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E300" i="2"/>
  <c r="F300"/>
  <c r="G300"/>
  <c r="H300"/>
  <c r="I300"/>
  <c r="J300"/>
  <c r="K300"/>
  <c r="L300"/>
  <c r="M300"/>
  <c r="N300"/>
  <c r="O300"/>
  <c r="P300"/>
  <c r="Q300"/>
  <c r="R300"/>
  <c r="D307" s="1"/>
  <c r="S300"/>
  <c r="T300"/>
  <c r="U300"/>
  <c r="V300"/>
  <c r="W300"/>
  <c r="X300"/>
  <c r="Y300"/>
  <c r="Z300"/>
  <c r="AA300"/>
  <c r="AB300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D4" i="3"/>
  <c r="AD5"/>
  <c r="AD6"/>
  <c r="AH6" s="1"/>
  <c r="AD7"/>
  <c r="AD8"/>
  <c r="AH8" s="1"/>
  <c r="AD9"/>
  <c r="AH9" s="1"/>
  <c r="AD10"/>
  <c r="AH10" s="1"/>
  <c r="AD11"/>
  <c r="AH11" s="1"/>
  <c r="AD12"/>
  <c r="AD13"/>
  <c r="AD14"/>
  <c r="AD15"/>
  <c r="AD16"/>
  <c r="AD17"/>
  <c r="AD18"/>
  <c r="AH41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H40" s="1"/>
  <c r="AD4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H74" s="1"/>
  <c r="AD75"/>
  <c r="AD76"/>
  <c r="AD77"/>
  <c r="AD78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77" i="6" l="1"/>
  <c r="BE61"/>
  <c r="BE45"/>
  <c r="BE29"/>
  <c r="BE13"/>
  <c r="BE69"/>
  <c r="BE53"/>
  <c r="BE37"/>
  <c r="BE21"/>
  <c r="BE5"/>
  <c r="BI11" i="4"/>
  <c r="AH68" i="3"/>
  <c r="AH52"/>
  <c r="AH36"/>
  <c r="AH20"/>
  <c r="AH4"/>
  <c r="AH69"/>
  <c r="AH53"/>
  <c r="AH37"/>
  <c r="AH21"/>
  <c r="AH5"/>
  <c r="AH54"/>
  <c r="AH22"/>
  <c r="AH55"/>
  <c r="AH23"/>
  <c r="AH18"/>
  <c r="AH56"/>
  <c r="AH24"/>
  <c r="AH57"/>
  <c r="AH25"/>
  <c r="AH7"/>
  <c r="AH76"/>
  <c r="AH60"/>
  <c r="AH44"/>
  <c r="AH28"/>
  <c r="AH12"/>
  <c r="AH77"/>
  <c r="AH61"/>
  <c r="AH45"/>
  <c r="AH29"/>
  <c r="AH13"/>
  <c r="AH75"/>
  <c r="AH78"/>
  <c r="AH46"/>
  <c r="AH14"/>
  <c r="AH47"/>
  <c r="AH15"/>
  <c r="AH64"/>
  <c r="AH48"/>
  <c r="AH32"/>
  <c r="AH16"/>
  <c r="AH65"/>
  <c r="AH49"/>
  <c r="AH33"/>
  <c r="AH17"/>
  <c r="D302" i="2"/>
  <c r="D301"/>
  <c r="AE26" i="3"/>
  <c r="AE11"/>
  <c r="AE67"/>
  <c r="AA5" i="4"/>
  <c r="AA19"/>
  <c r="AA35"/>
  <c r="AA49"/>
  <c r="AA65"/>
  <c r="AA16"/>
  <c r="AA32"/>
  <c r="AA64"/>
  <c r="AA31"/>
  <c r="AA46"/>
  <c r="AA62"/>
  <c r="AA78"/>
  <c r="AA13"/>
  <c r="AA29"/>
  <c r="AA45"/>
  <c r="AA61"/>
  <c r="AA77"/>
  <c r="AA12"/>
  <c r="AA28"/>
  <c r="AA44"/>
  <c r="AA60"/>
  <c r="AA11"/>
  <c r="AA27"/>
  <c r="AA58"/>
  <c r="AA74"/>
  <c r="AA9"/>
  <c r="AA25"/>
  <c r="AA57"/>
  <c r="AA7"/>
  <c r="AA56"/>
  <c r="AA72"/>
  <c r="AA6"/>
  <c r="AA23"/>
  <c r="AA39"/>
  <c r="AA55"/>
  <c r="AA71"/>
  <c r="AA4"/>
  <c r="AA22"/>
  <c r="AA38"/>
  <c r="AA54"/>
  <c r="AA21"/>
  <c r="AA37"/>
  <c r="AA53"/>
  <c r="AA69"/>
  <c r="AA20"/>
  <c r="AA36"/>
  <c r="AA52"/>
  <c r="AA68"/>
  <c r="D304" i="2"/>
  <c r="AE57" i="3"/>
  <c r="AE41"/>
  <c r="AE33"/>
  <c r="AE8"/>
  <c r="AE47"/>
  <c r="AE39"/>
  <c r="AE78"/>
  <c r="AE38"/>
  <c r="AE22"/>
  <c r="AE14"/>
  <c r="AE77"/>
  <c r="AE61"/>
  <c r="AE53"/>
  <c r="AA8" i="4"/>
  <c r="D303" i="2"/>
  <c r="D306"/>
  <c r="D305"/>
  <c r="BG3" i="4"/>
  <c r="BI3"/>
  <c r="BH3"/>
  <c r="BH71"/>
  <c r="BF63"/>
  <c r="BF31"/>
  <c r="BG78"/>
  <c r="BG62"/>
  <c r="BG38"/>
  <c r="BE77"/>
  <c r="BE45"/>
  <c r="BE21"/>
  <c r="BH68"/>
  <c r="BH44"/>
  <c r="BH12"/>
  <c r="BI67"/>
  <c r="BI43"/>
  <c r="BI19"/>
  <c r="BG53"/>
  <c r="BF71"/>
  <c r="BF39"/>
  <c r="BF15"/>
  <c r="BG70"/>
  <c r="BG54"/>
  <c r="BG46"/>
  <c r="BG30"/>
  <c r="BG22"/>
  <c r="BG14"/>
  <c r="BG6"/>
  <c r="BE53"/>
  <c r="BE13"/>
  <c r="BH52"/>
  <c r="BH20"/>
  <c r="BI75"/>
  <c r="BI51"/>
  <c r="BI35"/>
  <c r="BE4" i="6"/>
  <c r="BE26"/>
  <c r="BE34"/>
  <c r="BE58"/>
  <c r="BE66"/>
  <c r="BF55" i="4"/>
  <c r="BF23"/>
  <c r="BE69"/>
  <c r="BE61"/>
  <c r="BE29"/>
  <c r="BH60"/>
  <c r="BH28"/>
  <c r="BH4"/>
  <c r="BI59"/>
  <c r="BI27"/>
  <c r="AH3" i="3"/>
  <c r="BF47" i="4"/>
  <c r="BF7"/>
  <c r="BE37"/>
  <c r="BE5"/>
  <c r="BH76"/>
  <c r="BH36"/>
  <c r="BF3"/>
  <c r="BE65"/>
  <c r="BF77"/>
  <c r="BF69"/>
  <c r="BF61"/>
  <c r="BF53"/>
  <c r="BF45"/>
  <c r="BF37"/>
  <c r="BF29"/>
  <c r="BF21"/>
  <c r="BF13"/>
  <c r="BF5"/>
  <c r="BG76"/>
  <c r="BG68"/>
  <c r="BG60"/>
  <c r="BG52"/>
  <c r="BG44"/>
  <c r="BG36"/>
  <c r="BG28"/>
  <c r="BG20"/>
  <c r="BG12"/>
  <c r="BG4"/>
  <c r="BE75"/>
  <c r="BE67"/>
  <c r="BE59"/>
  <c r="BE51"/>
  <c r="BE43"/>
  <c r="BE35"/>
  <c r="BE27"/>
  <c r="BE19"/>
  <c r="BE11"/>
  <c r="BH74"/>
  <c r="BH66"/>
  <c r="BH58"/>
  <c r="BH50"/>
  <c r="BH42"/>
  <c r="BH34"/>
  <c r="BH26"/>
  <c r="BH18"/>
  <c r="BH10"/>
  <c r="BI73"/>
  <c r="BI65"/>
  <c r="BI57"/>
  <c r="BI49"/>
  <c r="BI41"/>
  <c r="BI25"/>
  <c r="BF76"/>
  <c r="BF68"/>
  <c r="BF60"/>
  <c r="BF52"/>
  <c r="BF44"/>
  <c r="BF36"/>
  <c r="BF28"/>
  <c r="BF20"/>
  <c r="BF12"/>
  <c r="BF4"/>
  <c r="BG75"/>
  <c r="BG67"/>
  <c r="BG59"/>
  <c r="BG51"/>
  <c r="BG43"/>
  <c r="BG35"/>
  <c r="BG27"/>
  <c r="BG19"/>
  <c r="BG11"/>
  <c r="BE74"/>
  <c r="BE66"/>
  <c r="BE58"/>
  <c r="BE50"/>
  <c r="BE42"/>
  <c r="BE34"/>
  <c r="BE26"/>
  <c r="BE18"/>
  <c r="BE10"/>
  <c r="BF75"/>
  <c r="BF67"/>
  <c r="BF59"/>
  <c r="BF51"/>
  <c r="BF43"/>
  <c r="BF35"/>
  <c r="BF27"/>
  <c r="BF19"/>
  <c r="BF11"/>
  <c r="BG74"/>
  <c r="BG66"/>
  <c r="BG58"/>
  <c r="BG50"/>
  <c r="BG42"/>
  <c r="BG34"/>
  <c r="BG26"/>
  <c r="BG18"/>
  <c r="BG10"/>
  <c r="BE73"/>
  <c r="BE57"/>
  <c r="BE49"/>
  <c r="BE41"/>
  <c r="BE33"/>
  <c r="BE25"/>
  <c r="BE17"/>
  <c r="BE9"/>
  <c r="BH72"/>
  <c r="BH64"/>
  <c r="BH56"/>
  <c r="BH48"/>
  <c r="BH40"/>
  <c r="BH32"/>
  <c r="BH24"/>
  <c r="BH16"/>
  <c r="BH8"/>
  <c r="BF73"/>
  <c r="BF65"/>
  <c r="BF57"/>
  <c r="BF49"/>
  <c r="BF41"/>
  <c r="BF33"/>
  <c r="BF25"/>
  <c r="BF17"/>
  <c r="BF9"/>
  <c r="BF78"/>
  <c r="BF70"/>
  <c r="BF62"/>
  <c r="BF54"/>
  <c r="BF46"/>
  <c r="BF38"/>
  <c r="BF30"/>
  <c r="BF22"/>
  <c r="BF14"/>
  <c r="BF6"/>
  <c r="BG77"/>
  <c r="BG69"/>
  <c r="BG61"/>
  <c r="BG45"/>
  <c r="BG37"/>
  <c r="BG29"/>
  <c r="BG21"/>
  <c r="BG13"/>
  <c r="BG5"/>
  <c r="BE76"/>
  <c r="BE68"/>
  <c r="BE60"/>
  <c r="BE52"/>
  <c r="BE44"/>
  <c r="BE36"/>
  <c r="BE28"/>
  <c r="BE20"/>
  <c r="BE12"/>
  <c r="BE4"/>
  <c r="BH75"/>
  <c r="BH67"/>
  <c r="BH59"/>
  <c r="BH51"/>
  <c r="BH43"/>
  <c r="BH35"/>
  <c r="BH27"/>
  <c r="BH19"/>
  <c r="BH11"/>
  <c r="BI74"/>
  <c r="BI66"/>
  <c r="BI58"/>
  <c r="BI50"/>
  <c r="BI42"/>
  <c r="BI34"/>
  <c r="BI26"/>
  <c r="BI18"/>
  <c r="BI10"/>
  <c r="BF74"/>
  <c r="BF66"/>
  <c r="BF58"/>
  <c r="BF50"/>
  <c r="BF42"/>
  <c r="BF34"/>
  <c r="BF26"/>
  <c r="BF18"/>
  <c r="BF10"/>
  <c r="BG73"/>
  <c r="BG65"/>
  <c r="BG57"/>
  <c r="BG49"/>
  <c r="BG41"/>
  <c r="BG33"/>
  <c r="BG25"/>
  <c r="BG17"/>
  <c r="BG9"/>
  <c r="BE72"/>
  <c r="BE64"/>
  <c r="BE56"/>
  <c r="BE48"/>
  <c r="BE40"/>
  <c r="BE32"/>
  <c r="BE24"/>
  <c r="BE16"/>
  <c r="BE8"/>
  <c r="BG72"/>
  <c r="BG64"/>
  <c r="BG56"/>
  <c r="BG48"/>
  <c r="BG40"/>
  <c r="BG32"/>
  <c r="BG24"/>
  <c r="BG16"/>
  <c r="BG8"/>
  <c r="BE71"/>
  <c r="BE63"/>
  <c r="BE55"/>
  <c r="BE47"/>
  <c r="BE39"/>
  <c r="BE31"/>
  <c r="BE23"/>
  <c r="BE15"/>
  <c r="BE7"/>
  <c r="BH78"/>
  <c r="BH70"/>
  <c r="BH62"/>
  <c r="BH54"/>
  <c r="BH46"/>
  <c r="BH38"/>
  <c r="BH30"/>
  <c r="BH22"/>
  <c r="BH14"/>
  <c r="BH6"/>
  <c r="BI77"/>
  <c r="BI69"/>
  <c r="BI61"/>
  <c r="BI53"/>
  <c r="BI45"/>
  <c r="BI37"/>
  <c r="BF72"/>
  <c r="BF64"/>
  <c r="BF56"/>
  <c r="BF48"/>
  <c r="BF40"/>
  <c r="BF32"/>
  <c r="BF24"/>
  <c r="BF16"/>
  <c r="BF8"/>
  <c r="BG71"/>
  <c r="BG63"/>
  <c r="BG55"/>
  <c r="BG47"/>
  <c r="BG39"/>
  <c r="BG31"/>
  <c r="BG23"/>
  <c r="BG15"/>
  <c r="BG7"/>
  <c r="BE78"/>
  <c r="BE70"/>
  <c r="BE62"/>
  <c r="BE54"/>
  <c r="BE46"/>
  <c r="BE38"/>
  <c r="BE30"/>
  <c r="BE22"/>
  <c r="BE14"/>
  <c r="BE6"/>
  <c r="BH77"/>
  <c r="BH69"/>
  <c r="BH61"/>
  <c r="BH53"/>
  <c r="BH45"/>
  <c r="BH37"/>
  <c r="BH29"/>
  <c r="BH21"/>
  <c r="BH13"/>
  <c r="BH5"/>
  <c r="BI76"/>
  <c r="BI68"/>
  <c r="BI60"/>
  <c r="BI52"/>
  <c r="BI44"/>
  <c r="BI36"/>
  <c r="BI28"/>
  <c r="BI20"/>
  <c r="BI12"/>
  <c r="BI4"/>
  <c r="BH73"/>
  <c r="BH65"/>
  <c r="BH57"/>
  <c r="BH49"/>
  <c r="BH41"/>
  <c r="BH33"/>
  <c r="BH25"/>
  <c r="BH17"/>
  <c r="BH9"/>
  <c r="BI72"/>
  <c r="BI64"/>
  <c r="BI56"/>
  <c r="BI48"/>
  <c r="BI40"/>
  <c r="BI71"/>
  <c r="BI63"/>
  <c r="BI55"/>
  <c r="BI47"/>
  <c r="BI39"/>
  <c r="BI31"/>
  <c r="BI23"/>
  <c r="BI15"/>
  <c r="BI7"/>
  <c r="BH63"/>
  <c r="BH55"/>
  <c r="BH47"/>
  <c r="BH39"/>
  <c r="BH31"/>
  <c r="BH23"/>
  <c r="BH15"/>
  <c r="BH7"/>
  <c r="BI78"/>
  <c r="BI70"/>
  <c r="BI62"/>
  <c r="BI54"/>
  <c r="BI46"/>
  <c r="BI38"/>
  <c r="BI30"/>
  <c r="BI22"/>
  <c r="BI14"/>
  <c r="BI6"/>
  <c r="BE76" i="6"/>
  <c r="BE68"/>
  <c r="BE60"/>
  <c r="BE52"/>
  <c r="BE44"/>
  <c r="BE36"/>
  <c r="BE28"/>
  <c r="BE20"/>
  <c r="BE12"/>
  <c r="BI33" i="4"/>
  <c r="BI17"/>
  <c r="BI9"/>
  <c r="BI32"/>
  <c r="BI24"/>
  <c r="BI16"/>
  <c r="BI8"/>
  <c r="BE73" i="6"/>
  <c r="BE65"/>
  <c r="BE57"/>
  <c r="BE49"/>
  <c r="BE41"/>
  <c r="BE33"/>
  <c r="BE25"/>
  <c r="BE17"/>
  <c r="BE9"/>
  <c r="BI29" i="4"/>
  <c r="BI21"/>
  <c r="BI13"/>
  <c r="BI5"/>
  <c r="BE72" i="6"/>
  <c r="BE64"/>
  <c r="BE56"/>
  <c r="BE48"/>
  <c r="BE40"/>
  <c r="BE32"/>
  <c r="BE24"/>
  <c r="BE16"/>
  <c r="BE8"/>
  <c r="BE75"/>
  <c r="BE67"/>
  <c r="BE59"/>
  <c r="BE51"/>
  <c r="BE43"/>
  <c r="BE35"/>
  <c r="BE27"/>
  <c r="BE19"/>
  <c r="BE11"/>
  <c r="BE74"/>
  <c r="BE50"/>
  <c r="BE42"/>
  <c r="BE18"/>
  <c r="BE10"/>
  <c r="BE79"/>
  <c r="BE71"/>
  <c r="BE63"/>
  <c r="BE55"/>
  <c r="BE47"/>
  <c r="BE39"/>
  <c r="BE31"/>
  <c r="BE23"/>
  <c r="BE15"/>
  <c r="BE7"/>
  <c r="BE78"/>
  <c r="BE70"/>
  <c r="BE62"/>
  <c r="BE54"/>
  <c r="BE46"/>
  <c r="BE38"/>
  <c r="BE30"/>
  <c r="BE22"/>
  <c r="BE14"/>
  <c r="BE6"/>
  <c r="AE69" i="3" l="1"/>
  <c r="AE30"/>
  <c r="AE49"/>
  <c r="AE28"/>
  <c r="AE50"/>
  <c r="AE64"/>
  <c r="AE4"/>
  <c r="AE5"/>
  <c r="AE3"/>
  <c r="AI39" s="1"/>
  <c r="AE44"/>
  <c r="AE45"/>
  <c r="AE6"/>
  <c r="AE25"/>
  <c r="AE42"/>
  <c r="AE76"/>
  <c r="AE59"/>
  <c r="AE17"/>
  <c r="AE74"/>
  <c r="AE19"/>
  <c r="AE29"/>
  <c r="AE9"/>
  <c r="AA3" i="4"/>
  <c r="AA43"/>
  <c r="AA76"/>
  <c r="AA18"/>
  <c r="AA51"/>
  <c r="AE36" i="3"/>
  <c r="AE56"/>
  <c r="AE21"/>
  <c r="AE71"/>
  <c r="AI71" s="1"/>
  <c r="AE32"/>
  <c r="AA70" i="4"/>
  <c r="AA10"/>
  <c r="AA59"/>
  <c r="AA34"/>
  <c r="AA67"/>
  <c r="AE68" i="3"/>
  <c r="AE12"/>
  <c r="AE13"/>
  <c r="AE63"/>
  <c r="AE24"/>
  <c r="AA26" i="4"/>
  <c r="AA75"/>
  <c r="AA17"/>
  <c r="AA50"/>
  <c r="AE34" i="3"/>
  <c r="AE51"/>
  <c r="AE37"/>
  <c r="AE55"/>
  <c r="AE16"/>
  <c r="AA42" i="4"/>
  <c r="AA33"/>
  <c r="BD33" s="1"/>
  <c r="AA66"/>
  <c r="AE66" i="3"/>
  <c r="AE10"/>
  <c r="AE27"/>
  <c r="AE48"/>
  <c r="AE60"/>
  <c r="AE43"/>
  <c r="AE70"/>
  <c r="AE31"/>
  <c r="AA41" i="4"/>
  <c r="AA15"/>
  <c r="AA48"/>
  <c r="AE75" i="3"/>
  <c r="AE20"/>
  <c r="AE23"/>
  <c r="AE40"/>
  <c r="AE58"/>
  <c r="AE62"/>
  <c r="AE54"/>
  <c r="AE15"/>
  <c r="AE73"/>
  <c r="AI73" s="1"/>
  <c r="AA24" i="4"/>
  <c r="AA73"/>
  <c r="AA14"/>
  <c r="BD10" s="1"/>
  <c r="AA47"/>
  <c r="AE72" i="3"/>
  <c r="AE18"/>
  <c r="AE46"/>
  <c r="AE7"/>
  <c r="AI7" s="1"/>
  <c r="AE65"/>
  <c r="AA40" i="4"/>
  <c r="BD37" s="1"/>
  <c r="AA30"/>
  <c r="AA63"/>
  <c r="AE35" i="3"/>
  <c r="AE52"/>
  <c r="BD30" i="4" l="1"/>
  <c r="BD52"/>
  <c r="BD48"/>
  <c r="BD39"/>
  <c r="BD63"/>
  <c r="BD68"/>
  <c r="BD64"/>
  <c r="BD78"/>
  <c r="BD43"/>
  <c r="BD50"/>
  <c r="BD53"/>
  <c r="AI50" i="3"/>
  <c r="AI67"/>
  <c r="AI22"/>
  <c r="AI43"/>
  <c r="AI37"/>
  <c r="AI74"/>
  <c r="AI44"/>
  <c r="AI69"/>
  <c r="AI10"/>
  <c r="AI42"/>
  <c r="AI75"/>
  <c r="AI27"/>
  <c r="AI63"/>
  <c r="AI64"/>
  <c r="AI78"/>
  <c r="AI19"/>
  <c r="AI45"/>
  <c r="AI40"/>
  <c r="AI30"/>
  <c r="AI72"/>
  <c r="AI55"/>
  <c r="AI24"/>
  <c r="AI57"/>
  <c r="AI36"/>
  <c r="AI58"/>
  <c r="AI20"/>
  <c r="AI68"/>
  <c r="AI59"/>
  <c r="AI6"/>
  <c r="AI41"/>
  <c r="AI76"/>
  <c r="AI16"/>
  <c r="AI56"/>
  <c r="AI29"/>
  <c r="AI4"/>
  <c r="AI49"/>
  <c r="AI33"/>
  <c r="AI32"/>
  <c r="AI3"/>
  <c r="AI47"/>
  <c r="AI35"/>
  <c r="AI62"/>
  <c r="AI70"/>
  <c r="AI18"/>
  <c r="AI48"/>
  <c r="AI34"/>
  <c r="AI26"/>
  <c r="AI23"/>
  <c r="AI21"/>
  <c r="AI28"/>
  <c r="AI66"/>
  <c r="AI25"/>
  <c r="AI5"/>
  <c r="AI61"/>
  <c r="AI52"/>
  <c r="AI31"/>
  <c r="AI77"/>
  <c r="AI12"/>
  <c r="AI17"/>
  <c r="AI8"/>
  <c r="AI15"/>
  <c r="AI60"/>
  <c r="AI53"/>
  <c r="AI14"/>
  <c r="AI51"/>
  <c r="AI11"/>
  <c r="AI65"/>
  <c r="AI54"/>
  <c r="AI46"/>
  <c r="AI13"/>
  <c r="AI9"/>
  <c r="AI38"/>
  <c r="BD72" i="4"/>
  <c r="BD35"/>
  <c r="BD28"/>
  <c r="BD44"/>
  <c r="BD21"/>
  <c r="BD69"/>
  <c r="BD77"/>
  <c r="BD31"/>
  <c r="BD41"/>
  <c r="BD67"/>
  <c r="BD36"/>
  <c r="BD17"/>
  <c r="BD70"/>
  <c r="BD22"/>
  <c r="BD27"/>
  <c r="BD45"/>
  <c r="BD76"/>
  <c r="BD12"/>
  <c r="BD71"/>
  <c r="BD60"/>
  <c r="BD25"/>
  <c r="BD47"/>
  <c r="BD5"/>
  <c r="BD14"/>
  <c r="BD42"/>
  <c r="BD23"/>
  <c r="BD16"/>
  <c r="BD11"/>
  <c r="BD24"/>
  <c r="BD15"/>
  <c r="BD59"/>
  <c r="BD29"/>
  <c r="BD7"/>
  <c r="BD56"/>
  <c r="BD32"/>
  <c r="BD13"/>
  <c r="BD73"/>
  <c r="BD58"/>
  <c r="BD8"/>
  <c r="BD74"/>
  <c r="BD62"/>
  <c r="BD6"/>
  <c r="BD54"/>
  <c r="BD61"/>
  <c r="BD20"/>
  <c r="BD38"/>
  <c r="BD3"/>
  <c r="BD51"/>
  <c r="BD40"/>
  <c r="BD75"/>
  <c r="BD46"/>
  <c r="BD49"/>
  <c r="BD55"/>
  <c r="BD57"/>
  <c r="BD9"/>
  <c r="BD18"/>
  <c r="BD66"/>
  <c r="BD4"/>
  <c r="BD19"/>
  <c r="BD26"/>
  <c r="BD65"/>
  <c r="BD34"/>
</calcChain>
</file>

<file path=xl/sharedStrings.xml><?xml version="1.0" encoding="utf-8"?>
<sst xmlns="http://schemas.openxmlformats.org/spreadsheetml/2006/main" count="1112" uniqueCount="176">
  <si>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</si>
  <si>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</si>
  <si>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</si>
  <si>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</si>
  <si>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</si>
  <si>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</si>
  <si>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</si>
  <si>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</si>
  <si>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</si>
  <si>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</si>
  <si>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</si>
  <si>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</si>
  <si>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</si>
  <si>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</si>
  <si>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</si>
  <si>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</si>
  <si>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</si>
  <si>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</si>
  <si>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</si>
  <si>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</si>
  <si>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</si>
  <si>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</si>
  <si>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</si>
  <si>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</si>
  <si>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</si>
  <si>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</si>
  <si>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</si>
  <si>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</si>
  <si>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</si>
  <si>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</si>
  <si>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</si>
  <si>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</si>
  <si>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</si>
  <si>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</si>
  <si>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</si>
  <si>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</si>
  <si>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</si>
  <si>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</si>
  <si>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</si>
  <si>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</si>
  <si>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</si>
  <si>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</si>
  <si>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</si>
  <si>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</si>
  <si>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</si>
  <si>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</si>
  <si>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</si>
  <si>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</si>
  <si>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</si>
  <si>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</si>
  <si>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</si>
  <si>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</si>
  <si>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</si>
  <si>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</si>
  <si>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</si>
  <si>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</si>
  <si>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</si>
  <si>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</si>
  <si>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</si>
  <si>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</si>
  <si>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</si>
  <si>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</si>
  <si>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</si>
  <si>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</si>
  <si>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</si>
  <si>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</si>
  <si>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</si>
  <si>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</si>
  <si>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</si>
  <si>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</si>
  <si>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</si>
  <si>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</si>
  <si>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</si>
  <si>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</si>
  <si>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</si>
  <si>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</si>
  <si>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</si>
  <si>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</si>
  <si>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</si>
  <si>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</si>
  <si>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</si>
  <si>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</si>
  <si>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</si>
  <si>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</si>
  <si>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</si>
  <si>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Chantel Tremitiere</t>
  </si>
  <si>
    <t>SAC</t>
  </si>
  <si>
    <t>Andrea Stinson</t>
  </si>
  <si>
    <t>CHA</t>
  </si>
  <si>
    <t>Cynthia Cooper*</t>
  </si>
  <si>
    <t>HOU</t>
  </si>
  <si>
    <t>Bridgette Gordon</t>
  </si>
  <si>
    <t>F</t>
  </si>
  <si>
    <t>Michele Timms*</t>
  </si>
  <si>
    <t>PHO</t>
  </si>
  <si>
    <t>Eva Nemcova</t>
  </si>
  <si>
    <t>CLE</t>
  </si>
  <si>
    <t>Rebecca Lobo*</t>
  </si>
  <si>
    <t>NYL</t>
  </si>
  <si>
    <t>C</t>
  </si>
  <si>
    <t>Wendy Palmer</t>
  </si>
  <si>
    <t>UTA</t>
  </si>
  <si>
    <t>Teresa Weatherspoon*</t>
  </si>
  <si>
    <t>Elena Baranova</t>
  </si>
  <si>
    <t>Penny Toler</t>
  </si>
  <si>
    <t>LAS</t>
  </si>
  <si>
    <t>Lisa Leslie*</t>
  </si>
  <si>
    <t>Tina Thompson*</t>
  </si>
  <si>
    <t>Vicky Bullett</t>
  </si>
  <si>
    <t>Jennifer Gillom</t>
  </si>
  <si>
    <t>F-C</t>
  </si>
  <si>
    <t>Sophia Witherspoon</t>
  </si>
  <si>
    <t>Bridget Pettis</t>
  </si>
  <si>
    <t>Tammi Reiss</t>
  </si>
  <si>
    <t>Janice Braxton</t>
  </si>
  <si>
    <t>Ruthie Bolton</t>
  </si>
  <si>
    <t>Isabelle Fijalkowski</t>
  </si>
  <si>
    <t>Vickie Johnson</t>
  </si>
  <si>
    <t>G-F</t>
  </si>
  <si>
    <t>Janeth Arcain</t>
  </si>
  <si>
    <t>Umeki Webb</t>
  </si>
  <si>
    <t>Toni Foster</t>
  </si>
  <si>
    <t>Tamecka Dixon</t>
  </si>
  <si>
    <t>Lynette Woodard*</t>
  </si>
  <si>
    <t>Rhonda Mapp</t>
  </si>
  <si>
    <t>Kim Perrot</t>
  </si>
  <si>
    <t>Pamela McGee</t>
  </si>
  <si>
    <t>Lady Grooms</t>
  </si>
  <si>
    <t>Wanda Guyton</t>
  </si>
  <si>
    <t>Kym Hampton</t>
  </si>
  <si>
    <t>Andrea Congreaves</t>
  </si>
  <si>
    <t>Latasha Byears</t>
  </si>
  <si>
    <t>Jamila Wideman</t>
  </si>
  <si>
    <t>Nicole Levesque</t>
  </si>
  <si>
    <t>Michelle Edwards</t>
  </si>
  <si>
    <t>Katrina Colleton</t>
  </si>
  <si>
    <t>Kim Williams</t>
  </si>
  <si>
    <t>Merlakia Jones</t>
  </si>
  <si>
    <t>Haixia Zheng</t>
  </si>
  <si>
    <t>Tammy Jackson</t>
  </si>
  <si>
    <t>Penny Moore</t>
  </si>
  <si>
    <t>Marlies Askamp</t>
  </si>
  <si>
    <t>Rushia Brown</t>
  </si>
  <si>
    <t>Linda Burgess</t>
  </si>
  <si>
    <t>Tora Suber</t>
  </si>
  <si>
    <t>Kisha Ford</t>
  </si>
  <si>
    <t>Dena Head</t>
  </si>
  <si>
    <t>Sharon Manning</t>
  </si>
  <si>
    <t>Tajama Abraham</t>
  </si>
  <si>
    <t>Tiffany Woosley</t>
  </si>
  <si>
    <t>Fran Harris</t>
  </si>
  <si>
    <t>Mikiko Hagiwara</t>
  </si>
  <si>
    <t>TOT</t>
  </si>
  <si>
    <t>Trena Trice</t>
  </si>
  <si>
    <t>Sue Wicks</t>
  </si>
  <si>
    <t>Mwadi Mabika</t>
  </si>
  <si>
    <t>Karen Booker</t>
  </si>
  <si>
    <t>Tia Jackson</t>
  </si>
  <si>
    <t>Rhonda Blades</t>
  </si>
  <si>
    <t>Deborah Carter</t>
  </si>
  <si>
    <t>Daedra Charles</t>
  </si>
  <si>
    <t>Heidi Burge</t>
  </si>
  <si>
    <t>Nancy Lieberman*</t>
  </si>
  <si>
    <t>Tina Nicholson</t>
  </si>
  <si>
    <t>Greta Koss</t>
  </si>
  <si>
    <t>Judy Mosley-McAfee</t>
  </si>
  <si>
    <t>Jessie Hicks</t>
  </si>
  <si>
    <t>C-F</t>
  </si>
  <si>
    <t>Adrienne Johnson</t>
  </si>
  <si>
    <t>Corissa Yasen</t>
  </si>
  <si>
    <t>Laure Savasta</t>
  </si>
  <si>
    <t>Sheryl Swoopes*</t>
  </si>
  <si>
    <t>F-G</t>
  </si>
  <si>
    <t>Debra Williams</t>
  </si>
  <si>
    <t>Katasha Artis</t>
  </si>
  <si>
    <t>Jenny Boucek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</si>
</sst>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28</v>
      </c>
      <c r="E3" s="4">
        <v>1051</v>
      </c>
      <c r="F3" s="4">
        <v>28</v>
      </c>
      <c r="G3" s="4">
        <v>28</v>
      </c>
      <c r="H3" s="4">
        <v>1051</v>
      </c>
      <c r="I3" s="4">
        <v>69</v>
      </c>
      <c r="J3" s="4">
        <v>196</v>
      </c>
      <c r="K3" s="4">
        <v>0.35199999999999998</v>
      </c>
      <c r="L3" s="4">
        <v>7</v>
      </c>
      <c r="M3" s="4">
        <v>37</v>
      </c>
      <c r="N3" s="4">
        <v>0.189</v>
      </c>
      <c r="O3" s="4">
        <v>62</v>
      </c>
      <c r="P3" s="4">
        <v>159</v>
      </c>
      <c r="Q3" s="4">
        <v>0.39</v>
      </c>
      <c r="R3" s="4">
        <v>67</v>
      </c>
      <c r="S3" s="4">
        <v>90</v>
      </c>
      <c r="T3" s="4">
        <v>0.74399999999999999</v>
      </c>
      <c r="U3" s="4">
        <v>25</v>
      </c>
      <c r="V3" s="4">
        <v>114</v>
      </c>
      <c r="W3" s="4">
        <v>135</v>
      </c>
      <c r="X3" s="4">
        <v>54</v>
      </c>
      <c r="Y3" s="4">
        <v>1</v>
      </c>
      <c r="Z3" s="4">
        <v>122</v>
      </c>
      <c r="AA3" s="4">
        <v>80</v>
      </c>
      <c r="AB3" s="4">
        <v>212</v>
      </c>
      <c r="AC3" s="5">
        <f>IF(Z3=0,"",W3/Z3)</f>
        <v>1.1065573770491803</v>
      </c>
    </row>
    <row r="4" spans="1:29" ht="14.25">
      <c r="A4" s="1" t="s">
        <v>87</v>
      </c>
      <c r="B4" s="3" t="s">
        <v>88</v>
      </c>
      <c r="C4" s="4" t="s">
        <v>8</v>
      </c>
      <c r="D4" s="4">
        <v>28</v>
      </c>
      <c r="E4" s="4">
        <v>1011</v>
      </c>
      <c r="F4" s="4">
        <v>28</v>
      </c>
      <c r="G4" s="4">
        <v>28</v>
      </c>
      <c r="H4" s="4">
        <v>1011</v>
      </c>
      <c r="I4" s="4">
        <v>177</v>
      </c>
      <c r="J4" s="4">
        <v>396</v>
      </c>
      <c r="K4" s="4">
        <v>0.44700000000000001</v>
      </c>
      <c r="L4" s="4">
        <v>25</v>
      </c>
      <c r="M4" s="4">
        <v>77</v>
      </c>
      <c r="N4" s="4">
        <v>0.32500000000000001</v>
      </c>
      <c r="O4" s="4">
        <v>152</v>
      </c>
      <c r="P4" s="4">
        <v>319</v>
      </c>
      <c r="Q4" s="4">
        <v>0.47599999999999998</v>
      </c>
      <c r="R4" s="4">
        <v>60</v>
      </c>
      <c r="S4" s="4">
        <v>89</v>
      </c>
      <c r="T4" s="4">
        <v>0.67400000000000004</v>
      </c>
      <c r="U4" s="4">
        <v>48</v>
      </c>
      <c r="V4" s="4">
        <v>155</v>
      </c>
      <c r="W4" s="4">
        <v>124</v>
      </c>
      <c r="X4" s="4">
        <v>43</v>
      </c>
      <c r="Y4" s="4">
        <v>21</v>
      </c>
      <c r="Z4" s="4">
        <v>99</v>
      </c>
      <c r="AA4" s="4">
        <v>55</v>
      </c>
      <c r="AB4" s="4">
        <v>439</v>
      </c>
      <c r="AC4" s="5">
        <f t="shared" ref="AC4:AC67" si="0">IF(Z4=0,"",W4/Z4)</f>
        <v>1.2525252525252526</v>
      </c>
    </row>
    <row r="5" spans="1:29" ht="14.25">
      <c r="A5" s="1" t="s">
        <v>89</v>
      </c>
      <c r="B5" s="3" t="s">
        <v>90</v>
      </c>
      <c r="C5" s="4" t="s">
        <v>8</v>
      </c>
      <c r="D5" s="4">
        <v>28</v>
      </c>
      <c r="E5" s="4">
        <v>982</v>
      </c>
      <c r="F5" s="4">
        <v>28</v>
      </c>
      <c r="G5" s="4">
        <v>28</v>
      </c>
      <c r="H5" s="4">
        <v>982</v>
      </c>
      <c r="I5" s="4">
        <v>191</v>
      </c>
      <c r="J5" s="4">
        <v>406</v>
      </c>
      <c r="K5" s="4">
        <v>0.47</v>
      </c>
      <c r="L5" s="4">
        <v>67</v>
      </c>
      <c r="M5" s="4">
        <v>162</v>
      </c>
      <c r="N5" s="4">
        <v>0.41399999999999998</v>
      </c>
      <c r="O5" s="4">
        <v>124</v>
      </c>
      <c r="P5" s="4">
        <v>244</v>
      </c>
      <c r="Q5" s="4">
        <v>0.50800000000000001</v>
      </c>
      <c r="R5" s="4">
        <v>172</v>
      </c>
      <c r="S5" s="4">
        <v>199</v>
      </c>
      <c r="T5" s="4">
        <v>0.86399999999999999</v>
      </c>
      <c r="U5" s="4">
        <v>33</v>
      </c>
      <c r="V5" s="4">
        <v>111</v>
      </c>
      <c r="W5" s="4">
        <v>131</v>
      </c>
      <c r="X5" s="4">
        <v>59</v>
      </c>
      <c r="Y5" s="4">
        <v>6</v>
      </c>
      <c r="Z5" s="4">
        <v>109</v>
      </c>
      <c r="AA5" s="4">
        <v>68</v>
      </c>
      <c r="AB5" s="4">
        <v>621</v>
      </c>
      <c r="AC5" s="5">
        <f t="shared" si="0"/>
        <v>1.201834862385321</v>
      </c>
    </row>
    <row r="6" spans="1:29" ht="14.25">
      <c r="A6" s="1" t="s">
        <v>91</v>
      </c>
      <c r="B6" s="3" t="s">
        <v>86</v>
      </c>
      <c r="C6" s="4" t="s">
        <v>92</v>
      </c>
      <c r="D6" s="4">
        <v>28</v>
      </c>
      <c r="E6" s="4">
        <v>981</v>
      </c>
      <c r="F6" s="4">
        <v>28</v>
      </c>
      <c r="G6" s="4">
        <v>28</v>
      </c>
      <c r="H6" s="4">
        <v>981</v>
      </c>
      <c r="I6" s="4">
        <v>135</v>
      </c>
      <c r="J6" s="4">
        <v>312</v>
      </c>
      <c r="K6" s="4">
        <v>0.433</v>
      </c>
      <c r="L6" s="4">
        <v>11</v>
      </c>
      <c r="M6" s="4">
        <v>40</v>
      </c>
      <c r="N6" s="4">
        <v>0.27500000000000002</v>
      </c>
      <c r="O6" s="4">
        <v>124</v>
      </c>
      <c r="P6" s="4">
        <v>272</v>
      </c>
      <c r="Q6" s="4">
        <v>0.45600000000000002</v>
      </c>
      <c r="R6" s="4">
        <v>84</v>
      </c>
      <c r="S6" s="4">
        <v>107</v>
      </c>
      <c r="T6" s="4">
        <v>0.78500000000000003</v>
      </c>
      <c r="U6" s="4">
        <v>67</v>
      </c>
      <c r="V6" s="4">
        <v>135</v>
      </c>
      <c r="W6" s="4">
        <v>78</v>
      </c>
      <c r="X6" s="4">
        <v>39</v>
      </c>
      <c r="Y6" s="4">
        <v>9</v>
      </c>
      <c r="Z6" s="4">
        <v>83</v>
      </c>
      <c r="AA6" s="4">
        <v>58</v>
      </c>
      <c r="AB6" s="4">
        <v>365</v>
      </c>
      <c r="AC6" s="5">
        <f t="shared" si="0"/>
        <v>0.93975903614457834</v>
      </c>
    </row>
    <row r="7" spans="1:29" ht="14.25">
      <c r="A7" s="1" t="s">
        <v>93</v>
      </c>
      <c r="B7" s="3" t="s">
        <v>94</v>
      </c>
      <c r="C7" s="4" t="s">
        <v>8</v>
      </c>
      <c r="D7" s="4">
        <v>27</v>
      </c>
      <c r="E7" s="4">
        <v>966</v>
      </c>
      <c r="F7" s="4">
        <v>27</v>
      </c>
      <c r="G7" s="4">
        <v>27</v>
      </c>
      <c r="H7" s="4">
        <v>966</v>
      </c>
      <c r="I7" s="4">
        <v>99</v>
      </c>
      <c r="J7" s="4">
        <v>295</v>
      </c>
      <c r="K7" s="4">
        <v>0.33600000000000002</v>
      </c>
      <c r="L7" s="4">
        <v>49</v>
      </c>
      <c r="M7" s="4">
        <v>142</v>
      </c>
      <c r="N7" s="4">
        <v>0.34499999999999997</v>
      </c>
      <c r="O7" s="4">
        <v>50</v>
      </c>
      <c r="P7" s="4">
        <v>153</v>
      </c>
      <c r="Q7" s="4">
        <v>0.32700000000000001</v>
      </c>
      <c r="R7" s="4">
        <v>79</v>
      </c>
      <c r="S7" s="4">
        <v>104</v>
      </c>
      <c r="T7" s="4">
        <v>0.76</v>
      </c>
      <c r="U7" s="4">
        <v>23</v>
      </c>
      <c r="V7" s="4">
        <v>99</v>
      </c>
      <c r="W7" s="4">
        <v>135</v>
      </c>
      <c r="X7" s="4">
        <v>71</v>
      </c>
      <c r="Y7" s="4">
        <v>3</v>
      </c>
      <c r="Z7" s="4">
        <v>80</v>
      </c>
      <c r="AA7" s="4">
        <v>95</v>
      </c>
      <c r="AB7" s="4">
        <v>326</v>
      </c>
      <c r="AC7" s="5">
        <f t="shared" si="0"/>
        <v>1.6875</v>
      </c>
    </row>
    <row r="8" spans="1:29" ht="14.25">
      <c r="A8" s="1" t="s">
        <v>95</v>
      </c>
      <c r="B8" s="3" t="s">
        <v>96</v>
      </c>
      <c r="C8" s="4" t="s">
        <v>92</v>
      </c>
      <c r="D8" s="4">
        <v>28</v>
      </c>
      <c r="E8" s="4">
        <v>944</v>
      </c>
      <c r="F8" s="4">
        <v>28</v>
      </c>
      <c r="G8" s="4">
        <v>28</v>
      </c>
      <c r="H8" s="4">
        <v>944</v>
      </c>
      <c r="I8" s="4">
        <v>138</v>
      </c>
      <c r="J8" s="4">
        <v>292</v>
      </c>
      <c r="K8" s="4">
        <v>0.47299999999999998</v>
      </c>
      <c r="L8" s="4">
        <v>37</v>
      </c>
      <c r="M8" s="4">
        <v>85</v>
      </c>
      <c r="N8" s="4">
        <v>0.435</v>
      </c>
      <c r="O8" s="4">
        <v>101</v>
      </c>
      <c r="P8" s="4">
        <v>207</v>
      </c>
      <c r="Q8" s="4">
        <v>0.48799999999999999</v>
      </c>
      <c r="R8" s="4">
        <v>71</v>
      </c>
      <c r="S8" s="4">
        <v>83</v>
      </c>
      <c r="T8" s="4">
        <v>0.85499999999999998</v>
      </c>
      <c r="U8" s="4">
        <v>23</v>
      </c>
      <c r="V8" s="4">
        <v>110</v>
      </c>
      <c r="W8" s="4">
        <v>67</v>
      </c>
      <c r="X8" s="4">
        <v>39</v>
      </c>
      <c r="Y8" s="4">
        <v>8</v>
      </c>
      <c r="Z8" s="4">
        <v>78</v>
      </c>
      <c r="AA8" s="4">
        <v>53</v>
      </c>
      <c r="AB8" s="4">
        <v>384</v>
      </c>
      <c r="AC8" s="5">
        <f t="shared" si="0"/>
        <v>0.85897435897435892</v>
      </c>
    </row>
    <row r="9" spans="1:29" ht="14.25">
      <c r="A9" s="1" t="s">
        <v>97</v>
      </c>
      <c r="B9" s="3" t="s">
        <v>98</v>
      </c>
      <c r="C9" s="4" t="s">
        <v>99</v>
      </c>
      <c r="D9" s="4">
        <v>28</v>
      </c>
      <c r="E9" s="4">
        <v>939</v>
      </c>
      <c r="F9" s="4">
        <v>28</v>
      </c>
      <c r="G9" s="4">
        <v>28</v>
      </c>
      <c r="H9" s="4">
        <v>939</v>
      </c>
      <c r="I9" s="4">
        <v>133</v>
      </c>
      <c r="J9" s="4">
        <v>354</v>
      </c>
      <c r="K9" s="4">
        <v>0.376</v>
      </c>
      <c r="L9" s="4">
        <v>18</v>
      </c>
      <c r="M9" s="4">
        <v>63</v>
      </c>
      <c r="N9" s="4">
        <v>0.28599999999999998</v>
      </c>
      <c r="O9" s="4">
        <v>115</v>
      </c>
      <c r="P9" s="4">
        <v>291</v>
      </c>
      <c r="Q9" s="4">
        <v>0.39500000000000002</v>
      </c>
      <c r="R9" s="4">
        <v>64</v>
      </c>
      <c r="S9" s="4">
        <v>105</v>
      </c>
      <c r="T9" s="4">
        <v>0.61</v>
      </c>
      <c r="U9" s="4">
        <v>62</v>
      </c>
      <c r="V9" s="4">
        <v>203</v>
      </c>
      <c r="W9" s="4">
        <v>53</v>
      </c>
      <c r="X9" s="4">
        <v>26</v>
      </c>
      <c r="Y9" s="4">
        <v>51</v>
      </c>
      <c r="Z9" s="4">
        <v>88</v>
      </c>
      <c r="AA9" s="4">
        <v>73</v>
      </c>
      <c r="AB9" s="4">
        <v>348</v>
      </c>
      <c r="AC9" s="5">
        <f t="shared" si="0"/>
        <v>0.60227272727272729</v>
      </c>
    </row>
    <row r="10" spans="1:29" ht="14.25">
      <c r="A10" s="1" t="s">
        <v>100</v>
      </c>
      <c r="B10" s="3" t="s">
        <v>101</v>
      </c>
      <c r="C10" s="4" t="s">
        <v>92</v>
      </c>
      <c r="D10" s="4">
        <v>28</v>
      </c>
      <c r="E10" s="4">
        <v>936</v>
      </c>
      <c r="F10" s="4">
        <v>28</v>
      </c>
      <c r="G10" s="4">
        <v>28</v>
      </c>
      <c r="H10" s="4">
        <v>936</v>
      </c>
      <c r="I10" s="4">
        <v>157</v>
      </c>
      <c r="J10" s="4">
        <v>420</v>
      </c>
      <c r="K10" s="4">
        <v>0.374</v>
      </c>
      <c r="L10" s="4">
        <v>12</v>
      </c>
      <c r="M10" s="4">
        <v>48</v>
      </c>
      <c r="N10" s="4">
        <v>0.25</v>
      </c>
      <c r="O10" s="4">
        <v>145</v>
      </c>
      <c r="P10" s="4">
        <v>372</v>
      </c>
      <c r="Q10" s="4">
        <v>0.39</v>
      </c>
      <c r="R10" s="4">
        <v>117</v>
      </c>
      <c r="S10" s="4">
        <v>173</v>
      </c>
      <c r="T10" s="4">
        <v>0.67600000000000005</v>
      </c>
      <c r="U10" s="4">
        <v>76</v>
      </c>
      <c r="V10" s="4">
        <v>225</v>
      </c>
      <c r="W10" s="4">
        <v>48</v>
      </c>
      <c r="X10" s="4">
        <v>47</v>
      </c>
      <c r="Y10" s="4">
        <v>6</v>
      </c>
      <c r="Z10" s="4">
        <v>71</v>
      </c>
      <c r="AA10" s="4">
        <v>86</v>
      </c>
      <c r="AB10" s="4">
        <v>443</v>
      </c>
      <c r="AC10" s="5">
        <f t="shared" si="0"/>
        <v>0.676056338028169</v>
      </c>
    </row>
    <row r="11" spans="1:29" ht="14.25">
      <c r="A11" s="1" t="s">
        <v>102</v>
      </c>
      <c r="B11" s="3" t="s">
        <v>98</v>
      </c>
      <c r="C11" s="4" t="s">
        <v>8</v>
      </c>
      <c r="D11" s="4">
        <v>28</v>
      </c>
      <c r="E11" s="4">
        <v>924</v>
      </c>
      <c r="F11" s="4">
        <v>28</v>
      </c>
      <c r="G11" s="4">
        <v>28</v>
      </c>
      <c r="H11" s="4">
        <v>924</v>
      </c>
      <c r="I11" s="4">
        <v>64</v>
      </c>
      <c r="J11" s="4">
        <v>137</v>
      </c>
      <c r="K11" s="4">
        <v>0.46700000000000003</v>
      </c>
      <c r="L11" s="4">
        <v>3</v>
      </c>
      <c r="M11" s="4">
        <v>35</v>
      </c>
      <c r="N11" s="4">
        <v>8.5999999999999993E-2</v>
      </c>
      <c r="O11" s="4">
        <v>61</v>
      </c>
      <c r="P11" s="4">
        <v>102</v>
      </c>
      <c r="Q11" s="4">
        <v>0.59799999999999998</v>
      </c>
      <c r="R11" s="4">
        <v>65</v>
      </c>
      <c r="S11" s="4">
        <v>100</v>
      </c>
      <c r="T11" s="4">
        <v>0.65</v>
      </c>
      <c r="U11" s="4">
        <v>25</v>
      </c>
      <c r="V11" s="4">
        <v>116</v>
      </c>
      <c r="W11" s="4">
        <v>173</v>
      </c>
      <c r="X11" s="4">
        <v>85</v>
      </c>
      <c r="Y11" s="4">
        <v>2</v>
      </c>
      <c r="Z11" s="4">
        <v>94</v>
      </c>
      <c r="AA11" s="4">
        <v>72</v>
      </c>
      <c r="AB11" s="4">
        <v>196</v>
      </c>
      <c r="AC11" s="5">
        <f t="shared" si="0"/>
        <v>1.8404255319148937</v>
      </c>
    </row>
    <row r="12" spans="1:29" ht="14.25">
      <c r="A12" s="1" t="s">
        <v>103</v>
      </c>
      <c r="B12" s="3" t="s">
        <v>101</v>
      </c>
      <c r="C12" s="4" t="s">
        <v>92</v>
      </c>
      <c r="D12" s="4">
        <v>28</v>
      </c>
      <c r="E12" s="4">
        <v>913</v>
      </c>
      <c r="F12" s="4">
        <v>28</v>
      </c>
      <c r="G12" s="4">
        <v>27</v>
      </c>
      <c r="H12" s="4">
        <v>913</v>
      </c>
      <c r="I12" s="4">
        <v>129</v>
      </c>
      <c r="J12" s="4">
        <v>331</v>
      </c>
      <c r="K12" s="4">
        <v>0.39</v>
      </c>
      <c r="L12" s="4">
        <v>40</v>
      </c>
      <c r="M12" s="4">
        <v>106</v>
      </c>
      <c r="N12" s="4">
        <v>0.377</v>
      </c>
      <c r="O12" s="4">
        <v>89</v>
      </c>
      <c r="P12" s="4">
        <v>225</v>
      </c>
      <c r="Q12" s="4">
        <v>0.39600000000000002</v>
      </c>
      <c r="R12" s="4">
        <v>43</v>
      </c>
      <c r="S12" s="4">
        <v>62</v>
      </c>
      <c r="T12" s="4">
        <v>0.69399999999999995</v>
      </c>
      <c r="U12" s="4">
        <v>55</v>
      </c>
      <c r="V12" s="4">
        <v>206</v>
      </c>
      <c r="W12" s="4">
        <v>62</v>
      </c>
      <c r="X12" s="4">
        <v>43</v>
      </c>
      <c r="Y12" s="4">
        <v>63</v>
      </c>
      <c r="Z12" s="4">
        <v>82</v>
      </c>
      <c r="AA12" s="4">
        <v>82</v>
      </c>
      <c r="AB12" s="4">
        <v>341</v>
      </c>
      <c r="AC12" s="5">
        <f t="shared" si="0"/>
        <v>0.75609756097560976</v>
      </c>
    </row>
    <row r="13" spans="1:29" ht="14.25">
      <c r="A13" s="1" t="s">
        <v>104</v>
      </c>
      <c r="B13" s="3" t="s">
        <v>105</v>
      </c>
      <c r="C13" s="4" t="s">
        <v>8</v>
      </c>
      <c r="D13" s="4">
        <v>28</v>
      </c>
      <c r="E13" s="4">
        <v>907</v>
      </c>
      <c r="F13" s="4">
        <v>28</v>
      </c>
      <c r="G13" s="4">
        <v>28</v>
      </c>
      <c r="H13" s="4">
        <v>907</v>
      </c>
      <c r="I13" s="4">
        <v>144</v>
      </c>
      <c r="J13" s="4">
        <v>338</v>
      </c>
      <c r="K13" s="4">
        <v>0.42599999999999999</v>
      </c>
      <c r="L13" s="4">
        <v>7</v>
      </c>
      <c r="M13" s="4">
        <v>38</v>
      </c>
      <c r="N13" s="4">
        <v>0.184</v>
      </c>
      <c r="O13" s="4">
        <v>137</v>
      </c>
      <c r="P13" s="4">
        <v>300</v>
      </c>
      <c r="Q13" s="4">
        <v>0.45700000000000002</v>
      </c>
      <c r="R13" s="4">
        <v>73</v>
      </c>
      <c r="S13" s="4">
        <v>87</v>
      </c>
      <c r="T13" s="4">
        <v>0.83899999999999997</v>
      </c>
      <c r="U13" s="4">
        <v>25</v>
      </c>
      <c r="V13" s="4">
        <v>94</v>
      </c>
      <c r="W13" s="4">
        <v>143</v>
      </c>
      <c r="X13" s="4">
        <v>36</v>
      </c>
      <c r="Y13" s="4">
        <v>3</v>
      </c>
      <c r="Z13" s="4">
        <v>107</v>
      </c>
      <c r="AA13" s="4">
        <v>66</v>
      </c>
      <c r="AB13" s="4">
        <v>368</v>
      </c>
      <c r="AC13" s="5">
        <f t="shared" si="0"/>
        <v>1.3364485981308412</v>
      </c>
    </row>
    <row r="14" spans="1:29" ht="14.25">
      <c r="A14" s="1" t="s">
        <v>106</v>
      </c>
      <c r="B14" s="3" t="s">
        <v>105</v>
      </c>
      <c r="C14" s="4" t="s">
        <v>99</v>
      </c>
      <c r="D14" s="4">
        <v>28</v>
      </c>
      <c r="E14" s="4">
        <v>902</v>
      </c>
      <c r="F14" s="4">
        <v>28</v>
      </c>
      <c r="G14" s="4">
        <v>28</v>
      </c>
      <c r="H14" s="4">
        <v>902</v>
      </c>
      <c r="I14" s="4">
        <v>160</v>
      </c>
      <c r="J14" s="4">
        <v>371</v>
      </c>
      <c r="K14" s="4">
        <v>0.43099999999999999</v>
      </c>
      <c r="L14" s="4">
        <v>12</v>
      </c>
      <c r="M14" s="4">
        <v>46</v>
      </c>
      <c r="N14" s="4">
        <v>0.26100000000000001</v>
      </c>
      <c r="O14" s="4">
        <v>148</v>
      </c>
      <c r="P14" s="4">
        <v>325</v>
      </c>
      <c r="Q14" s="4">
        <v>0.45500000000000002</v>
      </c>
      <c r="R14" s="4">
        <v>113</v>
      </c>
      <c r="S14" s="4">
        <v>189</v>
      </c>
      <c r="T14" s="4">
        <v>0.59799999999999998</v>
      </c>
      <c r="U14" s="4">
        <v>63</v>
      </c>
      <c r="V14" s="4">
        <v>266</v>
      </c>
      <c r="W14" s="4">
        <v>74</v>
      </c>
      <c r="X14" s="4">
        <v>39</v>
      </c>
      <c r="Y14" s="4">
        <v>59</v>
      </c>
      <c r="Z14" s="4">
        <v>109</v>
      </c>
      <c r="AA14" s="4">
        <v>99</v>
      </c>
      <c r="AB14" s="4">
        <v>445</v>
      </c>
      <c r="AC14" s="5">
        <f t="shared" si="0"/>
        <v>0.67889908256880738</v>
      </c>
    </row>
    <row r="15" spans="1:29" ht="14.25">
      <c r="A15" s="1" t="s">
        <v>107</v>
      </c>
      <c r="B15" s="3" t="s">
        <v>90</v>
      </c>
      <c r="C15" s="4" t="s">
        <v>92</v>
      </c>
      <c r="D15" s="4">
        <v>28</v>
      </c>
      <c r="E15" s="4">
        <v>885</v>
      </c>
      <c r="F15" s="4">
        <v>28</v>
      </c>
      <c r="G15" s="4">
        <v>28</v>
      </c>
      <c r="H15" s="4">
        <v>885</v>
      </c>
      <c r="I15" s="4">
        <v>133</v>
      </c>
      <c r="J15" s="4">
        <v>318</v>
      </c>
      <c r="K15" s="4">
        <v>0.41799999999999998</v>
      </c>
      <c r="L15" s="4">
        <v>37</v>
      </c>
      <c r="M15" s="4">
        <v>100</v>
      </c>
      <c r="N15" s="4">
        <v>0.37</v>
      </c>
      <c r="O15" s="4">
        <v>96</v>
      </c>
      <c r="P15" s="4">
        <v>218</v>
      </c>
      <c r="Q15" s="4">
        <v>0.44</v>
      </c>
      <c r="R15" s="4">
        <v>67</v>
      </c>
      <c r="S15" s="4">
        <v>80</v>
      </c>
      <c r="T15" s="4">
        <v>0.83799999999999997</v>
      </c>
      <c r="U15" s="4">
        <v>67</v>
      </c>
      <c r="V15" s="4">
        <v>184</v>
      </c>
      <c r="W15" s="4">
        <v>32</v>
      </c>
      <c r="X15" s="4">
        <v>21</v>
      </c>
      <c r="Y15" s="4">
        <v>28</v>
      </c>
      <c r="Z15" s="4">
        <v>62</v>
      </c>
      <c r="AA15" s="4">
        <v>107</v>
      </c>
      <c r="AB15" s="4">
        <v>370</v>
      </c>
      <c r="AC15" s="5">
        <f t="shared" si="0"/>
        <v>0.5161290322580645</v>
      </c>
    </row>
    <row r="16" spans="1:29" ht="14.25">
      <c r="A16" s="1" t="s">
        <v>108</v>
      </c>
      <c r="B16" s="3" t="s">
        <v>88</v>
      </c>
      <c r="C16" s="4" t="s">
        <v>92</v>
      </c>
      <c r="D16" s="4">
        <v>28</v>
      </c>
      <c r="E16" s="4">
        <v>875</v>
      </c>
      <c r="F16" s="4">
        <v>28</v>
      </c>
      <c r="G16" s="4">
        <v>28</v>
      </c>
      <c r="H16" s="4">
        <v>875</v>
      </c>
      <c r="I16" s="4">
        <v>145</v>
      </c>
      <c r="J16" s="4">
        <v>324</v>
      </c>
      <c r="K16" s="4">
        <v>0.44800000000000001</v>
      </c>
      <c r="L16" s="4">
        <v>7</v>
      </c>
      <c r="M16" s="4">
        <v>23</v>
      </c>
      <c r="N16" s="4">
        <v>0.30399999999999999</v>
      </c>
      <c r="O16" s="4">
        <v>138</v>
      </c>
      <c r="P16" s="4">
        <v>301</v>
      </c>
      <c r="Q16" s="4">
        <v>0.45800000000000002</v>
      </c>
      <c r="R16" s="4">
        <v>62</v>
      </c>
      <c r="S16" s="4">
        <v>80</v>
      </c>
      <c r="T16" s="4">
        <v>0.77500000000000002</v>
      </c>
      <c r="U16" s="4">
        <v>66</v>
      </c>
      <c r="V16" s="4">
        <v>178</v>
      </c>
      <c r="W16" s="4">
        <v>65</v>
      </c>
      <c r="X16" s="4">
        <v>54</v>
      </c>
      <c r="Y16" s="4">
        <v>55</v>
      </c>
      <c r="Z16" s="4">
        <v>68</v>
      </c>
      <c r="AA16" s="4">
        <v>84</v>
      </c>
      <c r="AB16" s="4">
        <v>359</v>
      </c>
      <c r="AC16" s="5">
        <f t="shared" si="0"/>
        <v>0.95588235294117652</v>
      </c>
    </row>
    <row r="17" spans="1:29" ht="14.25">
      <c r="A17" s="1" t="s">
        <v>109</v>
      </c>
      <c r="B17" s="3" t="s">
        <v>94</v>
      </c>
      <c r="C17" s="4" t="s">
        <v>110</v>
      </c>
      <c r="D17" s="4">
        <v>28</v>
      </c>
      <c r="E17" s="4">
        <v>874</v>
      </c>
      <c r="F17" s="4">
        <v>28</v>
      </c>
      <c r="G17" s="4">
        <v>28</v>
      </c>
      <c r="H17" s="4">
        <v>874</v>
      </c>
      <c r="I17" s="4">
        <v>163</v>
      </c>
      <c r="J17" s="4">
        <v>376</v>
      </c>
      <c r="K17" s="4">
        <v>0.434</v>
      </c>
      <c r="L17" s="4">
        <v>20</v>
      </c>
      <c r="M17" s="4">
        <v>64</v>
      </c>
      <c r="N17" s="4">
        <v>0.313</v>
      </c>
      <c r="O17" s="4">
        <v>143</v>
      </c>
      <c r="P17" s="4">
        <v>312</v>
      </c>
      <c r="Q17" s="4">
        <v>0.45800000000000002</v>
      </c>
      <c r="R17" s="4">
        <v>94</v>
      </c>
      <c r="S17" s="4">
        <v>121</v>
      </c>
      <c r="T17" s="4">
        <v>0.77700000000000002</v>
      </c>
      <c r="U17" s="4">
        <v>44</v>
      </c>
      <c r="V17" s="4">
        <v>150</v>
      </c>
      <c r="W17" s="4">
        <v>22</v>
      </c>
      <c r="X17" s="4">
        <v>36</v>
      </c>
      <c r="Y17" s="4">
        <v>15</v>
      </c>
      <c r="Z17" s="4">
        <v>58</v>
      </c>
      <c r="AA17" s="4">
        <v>93</v>
      </c>
      <c r="AB17" s="4">
        <v>440</v>
      </c>
      <c r="AC17" s="5">
        <f t="shared" si="0"/>
        <v>0.37931034482758619</v>
      </c>
    </row>
    <row r="18" spans="1:29" ht="14.25">
      <c r="A18" s="1" t="s">
        <v>111</v>
      </c>
      <c r="B18" s="3" t="s">
        <v>98</v>
      </c>
      <c r="C18" s="4" t="s">
        <v>8</v>
      </c>
      <c r="D18" s="4">
        <v>28</v>
      </c>
      <c r="E18" s="4">
        <v>867</v>
      </c>
      <c r="F18" s="4">
        <v>28</v>
      </c>
      <c r="G18" s="4">
        <v>28</v>
      </c>
      <c r="H18" s="4">
        <v>867</v>
      </c>
      <c r="I18" s="4">
        <v>140</v>
      </c>
      <c r="J18" s="4">
        <v>345</v>
      </c>
      <c r="K18" s="4">
        <v>0.40600000000000003</v>
      </c>
      <c r="L18" s="4">
        <v>44</v>
      </c>
      <c r="M18" s="4">
        <v>126</v>
      </c>
      <c r="N18" s="4">
        <v>0.34899999999999998</v>
      </c>
      <c r="O18" s="4">
        <v>96</v>
      </c>
      <c r="P18" s="4">
        <v>219</v>
      </c>
      <c r="Q18" s="4">
        <v>0.438</v>
      </c>
      <c r="R18" s="4">
        <v>83</v>
      </c>
      <c r="S18" s="4">
        <v>111</v>
      </c>
      <c r="T18" s="4">
        <v>0.748</v>
      </c>
      <c r="U18" s="4">
        <v>30</v>
      </c>
      <c r="V18" s="4">
        <v>84</v>
      </c>
      <c r="W18" s="4">
        <v>64</v>
      </c>
      <c r="X18" s="4">
        <v>49</v>
      </c>
      <c r="Y18" s="4">
        <v>7</v>
      </c>
      <c r="Z18" s="4">
        <v>77</v>
      </c>
      <c r="AA18" s="4">
        <v>62</v>
      </c>
      <c r="AB18" s="4">
        <v>407</v>
      </c>
      <c r="AC18" s="5">
        <f t="shared" si="0"/>
        <v>0.83116883116883122</v>
      </c>
    </row>
    <row r="19" spans="1:29" ht="14.25">
      <c r="A19" s="1" t="s">
        <v>112</v>
      </c>
      <c r="B19" s="3" t="s">
        <v>94</v>
      </c>
      <c r="C19" s="4" t="s">
        <v>8</v>
      </c>
      <c r="D19" s="4">
        <v>28</v>
      </c>
      <c r="E19" s="4">
        <v>842</v>
      </c>
      <c r="F19" s="4">
        <v>28</v>
      </c>
      <c r="G19" s="4">
        <v>28</v>
      </c>
      <c r="H19" s="4">
        <v>842</v>
      </c>
      <c r="I19" s="4">
        <v>107</v>
      </c>
      <c r="J19" s="4">
        <v>320</v>
      </c>
      <c r="K19" s="4">
        <v>0.33400000000000002</v>
      </c>
      <c r="L19" s="4">
        <v>41</v>
      </c>
      <c r="M19" s="4">
        <v>134</v>
      </c>
      <c r="N19" s="4">
        <v>0.30599999999999999</v>
      </c>
      <c r="O19" s="4">
        <v>66</v>
      </c>
      <c r="P19" s="4">
        <v>186</v>
      </c>
      <c r="Q19" s="4">
        <v>0.35499999999999998</v>
      </c>
      <c r="R19" s="4">
        <v>97</v>
      </c>
      <c r="S19" s="4">
        <v>108</v>
      </c>
      <c r="T19" s="4">
        <v>0.89800000000000002</v>
      </c>
      <c r="U19" s="4">
        <v>36</v>
      </c>
      <c r="V19" s="4">
        <v>107</v>
      </c>
      <c r="W19" s="4">
        <v>78</v>
      </c>
      <c r="X19" s="4">
        <v>49</v>
      </c>
      <c r="Y19" s="4">
        <v>11</v>
      </c>
      <c r="Z19" s="4">
        <v>82</v>
      </c>
      <c r="AA19" s="4">
        <v>57</v>
      </c>
      <c r="AB19" s="4">
        <v>352</v>
      </c>
      <c r="AC19" s="5">
        <f t="shared" si="0"/>
        <v>0.95121951219512191</v>
      </c>
    </row>
    <row r="20" spans="1:29" ht="14.25">
      <c r="A20" s="1" t="s">
        <v>113</v>
      </c>
      <c r="B20" s="3" t="s">
        <v>101</v>
      </c>
      <c r="C20" s="4" t="s">
        <v>8</v>
      </c>
      <c r="D20" s="4">
        <v>28</v>
      </c>
      <c r="E20" s="4">
        <v>831</v>
      </c>
      <c r="F20" s="4">
        <v>28</v>
      </c>
      <c r="G20" s="4">
        <v>26</v>
      </c>
      <c r="H20" s="4">
        <v>831</v>
      </c>
      <c r="I20" s="4">
        <v>72</v>
      </c>
      <c r="J20" s="4">
        <v>231</v>
      </c>
      <c r="K20" s="4">
        <v>0.312</v>
      </c>
      <c r="L20" s="4">
        <v>30</v>
      </c>
      <c r="M20" s="4">
        <v>101</v>
      </c>
      <c r="N20" s="4">
        <v>0.29699999999999999</v>
      </c>
      <c r="O20" s="4">
        <v>42</v>
      </c>
      <c r="P20" s="4">
        <v>130</v>
      </c>
      <c r="Q20" s="4">
        <v>0.32300000000000001</v>
      </c>
      <c r="R20" s="4">
        <v>42</v>
      </c>
      <c r="S20" s="4">
        <v>55</v>
      </c>
      <c r="T20" s="4">
        <v>0.76400000000000001</v>
      </c>
      <c r="U20" s="4">
        <v>29</v>
      </c>
      <c r="V20" s="4">
        <v>77</v>
      </c>
      <c r="W20" s="4">
        <v>87</v>
      </c>
      <c r="X20" s="4">
        <v>23</v>
      </c>
      <c r="Y20" s="4">
        <v>2</v>
      </c>
      <c r="Z20" s="4">
        <v>61</v>
      </c>
      <c r="AA20" s="4">
        <v>57</v>
      </c>
      <c r="AB20" s="4">
        <v>216</v>
      </c>
      <c r="AC20" s="5">
        <f t="shared" si="0"/>
        <v>1.4262295081967213</v>
      </c>
    </row>
    <row r="21" spans="1:29" ht="15.75" customHeight="1">
      <c r="A21" s="1" t="s">
        <v>114</v>
      </c>
      <c r="B21" s="3" t="s">
        <v>96</v>
      </c>
      <c r="C21" s="4" t="s">
        <v>92</v>
      </c>
      <c r="D21" s="4">
        <v>25</v>
      </c>
      <c r="E21" s="4">
        <v>822</v>
      </c>
      <c r="F21" s="4">
        <v>25</v>
      </c>
      <c r="G21" s="4">
        <v>24</v>
      </c>
      <c r="H21" s="4">
        <v>822</v>
      </c>
      <c r="I21" s="4">
        <v>88</v>
      </c>
      <c r="J21" s="4">
        <v>211</v>
      </c>
      <c r="K21" s="4">
        <v>0.41699999999999998</v>
      </c>
      <c r="L21" s="4">
        <v>5</v>
      </c>
      <c r="M21" s="4">
        <v>10</v>
      </c>
      <c r="N21" s="4">
        <v>0.5</v>
      </c>
      <c r="O21" s="4">
        <v>83</v>
      </c>
      <c r="P21" s="4">
        <v>201</v>
      </c>
      <c r="Q21" s="4">
        <v>0.41299999999999998</v>
      </c>
      <c r="R21" s="4">
        <v>106</v>
      </c>
      <c r="S21" s="4">
        <v>138</v>
      </c>
      <c r="T21" s="4">
        <v>0.76800000000000002</v>
      </c>
      <c r="U21" s="4">
        <v>38</v>
      </c>
      <c r="V21" s="4">
        <v>189</v>
      </c>
      <c r="W21" s="4">
        <v>49</v>
      </c>
      <c r="X21" s="4">
        <v>36</v>
      </c>
      <c r="Y21" s="4">
        <v>28</v>
      </c>
      <c r="Z21" s="4">
        <v>53</v>
      </c>
      <c r="AA21" s="4">
        <v>64</v>
      </c>
      <c r="AB21" s="4">
        <v>287</v>
      </c>
      <c r="AC21" s="5">
        <f t="shared" si="0"/>
        <v>0.92452830188679247</v>
      </c>
    </row>
    <row r="22" spans="1:29" ht="15.75" customHeight="1">
      <c r="A22" s="1" t="s">
        <v>115</v>
      </c>
      <c r="B22" s="3" t="s">
        <v>86</v>
      </c>
      <c r="C22" s="4" t="s">
        <v>8</v>
      </c>
      <c r="D22" s="4">
        <v>23</v>
      </c>
      <c r="E22" s="4">
        <v>813</v>
      </c>
      <c r="F22" s="4">
        <v>23</v>
      </c>
      <c r="G22" s="4">
        <v>23</v>
      </c>
      <c r="H22" s="4">
        <v>813</v>
      </c>
      <c r="I22" s="4">
        <v>164</v>
      </c>
      <c r="J22" s="4">
        <v>408</v>
      </c>
      <c r="K22" s="4">
        <v>0.40200000000000002</v>
      </c>
      <c r="L22" s="4">
        <v>66</v>
      </c>
      <c r="M22" s="4">
        <v>192</v>
      </c>
      <c r="N22" s="4">
        <v>0.34399999999999997</v>
      </c>
      <c r="O22" s="4">
        <v>98</v>
      </c>
      <c r="P22" s="4">
        <v>216</v>
      </c>
      <c r="Q22" s="4">
        <v>0.45400000000000001</v>
      </c>
      <c r="R22" s="4">
        <v>53</v>
      </c>
      <c r="S22" s="4">
        <v>69</v>
      </c>
      <c r="T22" s="4">
        <v>0.76800000000000002</v>
      </c>
      <c r="U22" s="4">
        <v>31</v>
      </c>
      <c r="V22" s="4">
        <v>134</v>
      </c>
      <c r="W22" s="4">
        <v>59</v>
      </c>
      <c r="X22" s="4">
        <v>54</v>
      </c>
      <c r="Y22" s="4">
        <v>1</v>
      </c>
      <c r="Z22" s="4">
        <v>58</v>
      </c>
      <c r="AA22" s="4">
        <v>71</v>
      </c>
      <c r="AB22" s="4">
        <v>447</v>
      </c>
      <c r="AC22" s="5">
        <f t="shared" si="0"/>
        <v>1.0172413793103448</v>
      </c>
    </row>
    <row r="23" spans="1:29" ht="15.75" customHeight="1">
      <c r="A23" s="1" t="s">
        <v>116</v>
      </c>
      <c r="B23" s="4" t="s">
        <v>96</v>
      </c>
      <c r="C23" s="4" t="s">
        <v>110</v>
      </c>
      <c r="D23" s="4">
        <v>28</v>
      </c>
      <c r="E23" s="4">
        <v>803</v>
      </c>
      <c r="F23" s="4">
        <v>28</v>
      </c>
      <c r="G23" s="4">
        <v>28</v>
      </c>
      <c r="H23" s="4">
        <v>803</v>
      </c>
      <c r="I23" s="4">
        <v>125</v>
      </c>
      <c r="J23" s="4">
        <v>246</v>
      </c>
      <c r="K23" s="4">
        <v>0.50800000000000001</v>
      </c>
      <c r="L23" s="4">
        <v>1</v>
      </c>
      <c r="M23" s="4">
        <v>4</v>
      </c>
      <c r="N23" s="4">
        <v>0.25</v>
      </c>
      <c r="O23" s="4">
        <v>124</v>
      </c>
      <c r="P23" s="4">
        <v>242</v>
      </c>
      <c r="Q23" s="4">
        <v>0.51200000000000001</v>
      </c>
      <c r="R23" s="4">
        <v>81</v>
      </c>
      <c r="S23" s="4">
        <v>103</v>
      </c>
      <c r="T23" s="4">
        <v>0.78600000000000003</v>
      </c>
      <c r="U23" s="4">
        <v>62</v>
      </c>
      <c r="V23" s="4">
        <v>157</v>
      </c>
      <c r="W23" s="4">
        <v>68</v>
      </c>
      <c r="X23" s="4">
        <v>17</v>
      </c>
      <c r="Y23" s="4">
        <v>17</v>
      </c>
      <c r="Z23" s="4">
        <v>73</v>
      </c>
      <c r="AA23" s="4">
        <v>129</v>
      </c>
      <c r="AB23" s="4">
        <v>332</v>
      </c>
      <c r="AC23" s="5">
        <f t="shared" si="0"/>
        <v>0.93150684931506844</v>
      </c>
    </row>
    <row r="24" spans="1:29" ht="15.75" customHeight="1">
      <c r="A24" s="1" t="s">
        <v>117</v>
      </c>
      <c r="B24" s="3" t="s">
        <v>98</v>
      </c>
      <c r="C24" s="4" t="s">
        <v>118</v>
      </c>
      <c r="D24" s="4">
        <v>26</v>
      </c>
      <c r="E24" s="4">
        <v>789</v>
      </c>
      <c r="F24" s="4">
        <v>26</v>
      </c>
      <c r="G24" s="4">
        <v>25</v>
      </c>
      <c r="H24" s="4">
        <v>789</v>
      </c>
      <c r="I24" s="4">
        <v>109</v>
      </c>
      <c r="J24" s="4">
        <v>270</v>
      </c>
      <c r="K24" s="4">
        <v>0.40400000000000003</v>
      </c>
      <c r="L24" s="4">
        <v>4</v>
      </c>
      <c r="M24" s="4">
        <v>21</v>
      </c>
      <c r="N24" s="4">
        <v>0.19</v>
      </c>
      <c r="O24" s="4">
        <v>105</v>
      </c>
      <c r="P24" s="4">
        <v>249</v>
      </c>
      <c r="Q24" s="4">
        <v>0.42199999999999999</v>
      </c>
      <c r="R24" s="4">
        <v>27</v>
      </c>
      <c r="S24" s="4">
        <v>35</v>
      </c>
      <c r="T24" s="4">
        <v>0.77100000000000002</v>
      </c>
      <c r="U24" s="4">
        <v>46</v>
      </c>
      <c r="V24" s="4">
        <v>110</v>
      </c>
      <c r="W24" s="4">
        <v>66</v>
      </c>
      <c r="X24" s="4">
        <v>19</v>
      </c>
      <c r="Y24" s="4">
        <v>4</v>
      </c>
      <c r="Z24" s="4">
        <v>49</v>
      </c>
      <c r="AA24" s="4">
        <v>52</v>
      </c>
      <c r="AB24" s="4">
        <v>249</v>
      </c>
      <c r="AC24" s="5">
        <f t="shared" si="0"/>
        <v>1.346938775510204</v>
      </c>
    </row>
    <row r="25" spans="1:29" ht="15.75" customHeight="1">
      <c r="A25" s="1" t="s">
        <v>119</v>
      </c>
      <c r="B25" s="3" t="s">
        <v>90</v>
      </c>
      <c r="C25" s="4" t="s">
        <v>8</v>
      </c>
      <c r="D25" s="4">
        <v>28</v>
      </c>
      <c r="E25" s="4">
        <v>784</v>
      </c>
      <c r="F25" s="4">
        <v>28</v>
      </c>
      <c r="G25" s="4">
        <v>27</v>
      </c>
      <c r="H25" s="4">
        <v>784</v>
      </c>
      <c r="I25" s="4">
        <v>110</v>
      </c>
      <c r="J25" s="4">
        <v>250</v>
      </c>
      <c r="K25" s="4">
        <v>0.44</v>
      </c>
      <c r="L25" s="4">
        <v>9</v>
      </c>
      <c r="M25" s="4">
        <v>33</v>
      </c>
      <c r="N25" s="4">
        <v>0.27300000000000002</v>
      </c>
      <c r="O25" s="4">
        <v>101</v>
      </c>
      <c r="P25" s="4">
        <v>217</v>
      </c>
      <c r="Q25" s="4">
        <v>0.46500000000000002</v>
      </c>
      <c r="R25" s="4">
        <v>76</v>
      </c>
      <c r="S25" s="4">
        <v>85</v>
      </c>
      <c r="T25" s="4">
        <v>0.89400000000000002</v>
      </c>
      <c r="U25" s="4">
        <v>41</v>
      </c>
      <c r="V25" s="4">
        <v>110</v>
      </c>
      <c r="W25" s="4">
        <v>45</v>
      </c>
      <c r="X25" s="4">
        <v>43</v>
      </c>
      <c r="Y25" s="4">
        <v>4</v>
      </c>
      <c r="Z25" s="4">
        <v>67</v>
      </c>
      <c r="AA25" s="4">
        <v>56</v>
      </c>
      <c r="AB25" s="4">
        <v>305</v>
      </c>
      <c r="AC25" s="5">
        <f t="shared" si="0"/>
        <v>0.67164179104477617</v>
      </c>
    </row>
    <row r="26" spans="1:29" ht="15.75" customHeight="1">
      <c r="A26" s="1" t="s">
        <v>120</v>
      </c>
      <c r="B26" s="3" t="s">
        <v>94</v>
      </c>
      <c r="C26" s="4" t="s">
        <v>118</v>
      </c>
      <c r="D26" s="4">
        <v>28</v>
      </c>
      <c r="E26" s="4">
        <v>775</v>
      </c>
      <c r="F26" s="4">
        <v>28</v>
      </c>
      <c r="G26" s="4">
        <v>17</v>
      </c>
      <c r="H26" s="4">
        <v>775</v>
      </c>
      <c r="I26" s="4">
        <v>47</v>
      </c>
      <c r="J26" s="4">
        <v>158</v>
      </c>
      <c r="K26" s="4">
        <v>0.29699999999999999</v>
      </c>
      <c r="L26" s="4">
        <v>1</v>
      </c>
      <c r="M26" s="4">
        <v>15</v>
      </c>
      <c r="N26" s="4">
        <v>6.7000000000000004E-2</v>
      </c>
      <c r="O26" s="4">
        <v>46</v>
      </c>
      <c r="P26" s="4">
        <v>143</v>
      </c>
      <c r="Q26" s="4">
        <v>0.32200000000000001</v>
      </c>
      <c r="R26" s="4">
        <v>46</v>
      </c>
      <c r="S26" s="4">
        <v>67</v>
      </c>
      <c r="T26" s="4">
        <v>0.68700000000000006</v>
      </c>
      <c r="U26" s="4">
        <v>42</v>
      </c>
      <c r="V26" s="4">
        <v>117</v>
      </c>
      <c r="W26" s="4">
        <v>68</v>
      </c>
      <c r="X26" s="4">
        <v>68</v>
      </c>
      <c r="Y26" s="4">
        <v>8</v>
      </c>
      <c r="Z26" s="4">
        <v>55</v>
      </c>
      <c r="AA26" s="4">
        <v>92</v>
      </c>
      <c r="AB26" s="4">
        <v>141</v>
      </c>
      <c r="AC26" s="5">
        <f t="shared" si="0"/>
        <v>1.2363636363636363</v>
      </c>
    </row>
    <row r="27" spans="1:29" ht="15.75" customHeight="1">
      <c r="A27" s="1" t="s">
        <v>121</v>
      </c>
      <c r="B27" s="3" t="s">
        <v>94</v>
      </c>
      <c r="C27" s="4" t="s">
        <v>110</v>
      </c>
      <c r="D27" s="4">
        <v>28</v>
      </c>
      <c r="E27" s="4">
        <v>736</v>
      </c>
      <c r="F27" s="4">
        <v>28</v>
      </c>
      <c r="G27" s="4">
        <v>28</v>
      </c>
      <c r="H27" s="4">
        <v>736</v>
      </c>
      <c r="I27" s="4">
        <v>94</v>
      </c>
      <c r="J27" s="4">
        <v>201</v>
      </c>
      <c r="K27" s="4">
        <v>0.46800000000000003</v>
      </c>
      <c r="L27" s="4">
        <v>1</v>
      </c>
      <c r="M27" s="4">
        <v>6</v>
      </c>
      <c r="N27" s="4">
        <v>0.16700000000000001</v>
      </c>
      <c r="O27" s="4">
        <v>93</v>
      </c>
      <c r="P27" s="4">
        <v>195</v>
      </c>
      <c r="Q27" s="4">
        <v>0.47699999999999998</v>
      </c>
      <c r="R27" s="4">
        <v>57</v>
      </c>
      <c r="S27" s="4">
        <v>81</v>
      </c>
      <c r="T27" s="4">
        <v>0.70399999999999996</v>
      </c>
      <c r="U27" s="4">
        <v>64</v>
      </c>
      <c r="V27" s="4">
        <v>170</v>
      </c>
      <c r="W27" s="4">
        <v>27</v>
      </c>
      <c r="X27" s="4">
        <v>53</v>
      </c>
      <c r="Y27" s="4">
        <v>21</v>
      </c>
      <c r="Z27" s="4">
        <v>52</v>
      </c>
      <c r="AA27" s="4">
        <v>77</v>
      </c>
      <c r="AB27" s="4">
        <v>246</v>
      </c>
      <c r="AC27" s="5">
        <f t="shared" si="0"/>
        <v>0.51923076923076927</v>
      </c>
    </row>
    <row r="28" spans="1:29" ht="15.75" customHeight="1">
      <c r="A28" s="1" t="s">
        <v>122</v>
      </c>
      <c r="B28" s="3" t="s">
        <v>105</v>
      </c>
      <c r="C28" s="4" t="s">
        <v>8</v>
      </c>
      <c r="D28" s="4">
        <v>27</v>
      </c>
      <c r="E28" s="4">
        <v>715</v>
      </c>
      <c r="F28" s="4">
        <v>27</v>
      </c>
      <c r="G28" s="4">
        <v>21</v>
      </c>
      <c r="H28" s="4">
        <v>715</v>
      </c>
      <c r="I28" s="4">
        <v>115</v>
      </c>
      <c r="J28" s="4">
        <v>252</v>
      </c>
      <c r="K28" s="4">
        <v>0.45600000000000002</v>
      </c>
      <c r="L28" s="4">
        <v>22</v>
      </c>
      <c r="M28" s="4">
        <v>52</v>
      </c>
      <c r="N28" s="4">
        <v>0.42299999999999999</v>
      </c>
      <c r="O28" s="4">
        <v>93</v>
      </c>
      <c r="P28" s="4">
        <v>200</v>
      </c>
      <c r="Q28" s="4">
        <v>0.46500000000000002</v>
      </c>
      <c r="R28" s="4">
        <v>68</v>
      </c>
      <c r="S28" s="4">
        <v>88</v>
      </c>
      <c r="T28" s="4">
        <v>0.77300000000000002</v>
      </c>
      <c r="U28" s="4">
        <v>22</v>
      </c>
      <c r="V28" s="4">
        <v>81</v>
      </c>
      <c r="W28" s="4">
        <v>55</v>
      </c>
      <c r="X28" s="4">
        <v>49</v>
      </c>
      <c r="Y28" s="4">
        <v>5</v>
      </c>
      <c r="Z28" s="4">
        <v>58</v>
      </c>
      <c r="AA28" s="4">
        <v>76</v>
      </c>
      <c r="AB28" s="4">
        <v>320</v>
      </c>
      <c r="AC28" s="5">
        <f t="shared" si="0"/>
        <v>0.94827586206896552</v>
      </c>
    </row>
    <row r="29" spans="1:29" ht="15.75" customHeight="1">
      <c r="A29" s="1" t="s">
        <v>123</v>
      </c>
      <c r="B29" s="3" t="s">
        <v>96</v>
      </c>
      <c r="C29" s="4" t="s">
        <v>8</v>
      </c>
      <c r="D29" s="4">
        <v>28</v>
      </c>
      <c r="E29" s="4">
        <v>712</v>
      </c>
      <c r="F29" s="4">
        <v>28</v>
      </c>
      <c r="G29" s="4">
        <v>27</v>
      </c>
      <c r="H29" s="4">
        <v>712</v>
      </c>
      <c r="I29" s="4">
        <v>87</v>
      </c>
      <c r="J29" s="4">
        <v>217</v>
      </c>
      <c r="K29" s="4">
        <v>0.40100000000000002</v>
      </c>
      <c r="L29" s="4">
        <v>0</v>
      </c>
      <c r="M29" s="4">
        <v>7</v>
      </c>
      <c r="N29" s="4">
        <v>0</v>
      </c>
      <c r="O29" s="4">
        <v>87</v>
      </c>
      <c r="P29" s="4">
        <v>210</v>
      </c>
      <c r="Q29" s="4">
        <v>0.41399999999999998</v>
      </c>
      <c r="R29" s="4">
        <v>43</v>
      </c>
      <c r="S29" s="4">
        <v>64</v>
      </c>
      <c r="T29" s="4">
        <v>0.67200000000000004</v>
      </c>
      <c r="U29" s="4">
        <v>37</v>
      </c>
      <c r="V29" s="4">
        <v>115</v>
      </c>
      <c r="W29" s="4">
        <v>67</v>
      </c>
      <c r="X29" s="4">
        <v>45</v>
      </c>
      <c r="Y29" s="4">
        <v>10</v>
      </c>
      <c r="Z29" s="4">
        <v>69</v>
      </c>
      <c r="AA29" s="4">
        <v>44</v>
      </c>
      <c r="AB29" s="4">
        <v>217</v>
      </c>
      <c r="AC29" s="5">
        <f t="shared" si="0"/>
        <v>0.97101449275362317</v>
      </c>
    </row>
    <row r="30" spans="1:29" ht="15.75" customHeight="1">
      <c r="A30" s="1" t="s">
        <v>124</v>
      </c>
      <c r="B30" s="3" t="s">
        <v>88</v>
      </c>
      <c r="C30" s="4" t="s">
        <v>99</v>
      </c>
      <c r="D30" s="4">
        <v>28</v>
      </c>
      <c r="E30" s="4">
        <v>710</v>
      </c>
      <c r="F30" s="4">
        <v>28</v>
      </c>
      <c r="G30" s="4">
        <v>23</v>
      </c>
      <c r="H30" s="4">
        <v>710</v>
      </c>
      <c r="I30" s="4">
        <v>120</v>
      </c>
      <c r="J30" s="4">
        <v>244</v>
      </c>
      <c r="K30" s="4">
        <v>0.49199999999999999</v>
      </c>
      <c r="L30" s="4">
        <v>4</v>
      </c>
      <c r="M30" s="4">
        <v>8</v>
      </c>
      <c r="N30" s="4">
        <v>0.5</v>
      </c>
      <c r="O30" s="4">
        <v>116</v>
      </c>
      <c r="P30" s="4">
        <v>236</v>
      </c>
      <c r="Q30" s="4">
        <v>0.49199999999999999</v>
      </c>
      <c r="R30" s="4">
        <v>82</v>
      </c>
      <c r="S30" s="4">
        <v>106</v>
      </c>
      <c r="T30" s="4">
        <v>0.77400000000000002</v>
      </c>
      <c r="U30" s="4">
        <v>53</v>
      </c>
      <c r="V30" s="4">
        <v>154</v>
      </c>
      <c r="W30" s="4">
        <v>64</v>
      </c>
      <c r="X30" s="4">
        <v>21</v>
      </c>
      <c r="Y30" s="4">
        <v>12</v>
      </c>
      <c r="Z30" s="4">
        <v>68</v>
      </c>
      <c r="AA30" s="4">
        <v>104</v>
      </c>
      <c r="AB30" s="4">
        <v>326</v>
      </c>
      <c r="AC30" s="5">
        <f t="shared" si="0"/>
        <v>0.94117647058823528</v>
      </c>
    </row>
    <row r="31" spans="1:29" ht="15.75" customHeight="1">
      <c r="A31" s="1" t="s">
        <v>125</v>
      </c>
      <c r="B31" s="3" t="s">
        <v>90</v>
      </c>
      <c r="C31" s="4" t="s">
        <v>8</v>
      </c>
      <c r="D31" s="4">
        <v>28</v>
      </c>
      <c r="E31" s="4">
        <v>692</v>
      </c>
      <c r="F31" s="4">
        <v>28</v>
      </c>
      <c r="G31" s="4">
        <v>24</v>
      </c>
      <c r="H31" s="4">
        <v>692</v>
      </c>
      <c r="I31" s="4">
        <v>59</v>
      </c>
      <c r="J31" s="4">
        <v>162</v>
      </c>
      <c r="K31" s="4">
        <v>0.36399999999999999</v>
      </c>
      <c r="L31" s="4">
        <v>28</v>
      </c>
      <c r="M31" s="4">
        <v>99</v>
      </c>
      <c r="N31" s="4">
        <v>0.28299999999999997</v>
      </c>
      <c r="O31" s="4">
        <v>31</v>
      </c>
      <c r="P31" s="4">
        <v>63</v>
      </c>
      <c r="Q31" s="4">
        <v>0.49199999999999999</v>
      </c>
      <c r="R31" s="4">
        <v>15</v>
      </c>
      <c r="S31" s="4">
        <v>37</v>
      </c>
      <c r="T31" s="4">
        <v>0.40500000000000003</v>
      </c>
      <c r="U31" s="4">
        <v>18</v>
      </c>
      <c r="V31" s="4">
        <v>75</v>
      </c>
      <c r="W31" s="4">
        <v>88</v>
      </c>
      <c r="X31" s="4">
        <v>69</v>
      </c>
      <c r="Y31" s="4">
        <v>2</v>
      </c>
      <c r="Z31" s="4">
        <v>65</v>
      </c>
      <c r="AA31" s="4">
        <v>53</v>
      </c>
      <c r="AB31" s="4">
        <v>161</v>
      </c>
      <c r="AC31" s="5">
        <f t="shared" si="0"/>
        <v>1.3538461538461539</v>
      </c>
    </row>
    <row r="32" spans="1:29" ht="15.75" customHeight="1">
      <c r="A32" s="1" t="s">
        <v>126</v>
      </c>
      <c r="B32" s="3" t="s">
        <v>86</v>
      </c>
      <c r="C32" s="4" t="s">
        <v>110</v>
      </c>
      <c r="D32" s="4">
        <v>27</v>
      </c>
      <c r="E32" s="4">
        <v>691</v>
      </c>
      <c r="F32" s="4">
        <v>27</v>
      </c>
      <c r="G32" s="4">
        <v>23</v>
      </c>
      <c r="H32" s="4">
        <v>691</v>
      </c>
      <c r="I32" s="4">
        <v>102</v>
      </c>
      <c r="J32" s="4">
        <v>222</v>
      </c>
      <c r="K32" s="4">
        <v>0.45900000000000002</v>
      </c>
      <c r="L32" s="4">
        <v>2</v>
      </c>
      <c r="M32" s="4">
        <v>7</v>
      </c>
      <c r="N32" s="4">
        <v>0.28599999999999998</v>
      </c>
      <c r="O32" s="4">
        <v>100</v>
      </c>
      <c r="P32" s="4">
        <v>215</v>
      </c>
      <c r="Q32" s="4">
        <v>0.46500000000000002</v>
      </c>
      <c r="R32" s="4">
        <v>79</v>
      </c>
      <c r="S32" s="4">
        <v>112</v>
      </c>
      <c r="T32" s="4">
        <v>0.70499999999999996</v>
      </c>
      <c r="U32" s="4">
        <v>54</v>
      </c>
      <c r="V32" s="4">
        <v>120</v>
      </c>
      <c r="W32" s="4">
        <v>20</v>
      </c>
      <c r="X32" s="4">
        <v>27</v>
      </c>
      <c r="Y32" s="4">
        <v>14</v>
      </c>
      <c r="Z32" s="4">
        <v>73</v>
      </c>
      <c r="AA32" s="4">
        <v>113</v>
      </c>
      <c r="AB32" s="4">
        <v>285</v>
      </c>
      <c r="AC32" s="5">
        <f t="shared" si="0"/>
        <v>0.27397260273972601</v>
      </c>
    </row>
    <row r="33" spans="1:29" ht="15.75" customHeight="1">
      <c r="A33" s="1" t="s">
        <v>127</v>
      </c>
      <c r="B33" s="3" t="s">
        <v>101</v>
      </c>
      <c r="C33" s="4" t="s">
        <v>92</v>
      </c>
      <c r="D33" s="4">
        <v>28</v>
      </c>
      <c r="E33" s="4">
        <v>691</v>
      </c>
      <c r="F33" s="4">
        <v>28</v>
      </c>
      <c r="G33" s="4">
        <v>24</v>
      </c>
      <c r="H33" s="4">
        <v>691</v>
      </c>
      <c r="I33" s="4">
        <v>58</v>
      </c>
      <c r="J33" s="4">
        <v>167</v>
      </c>
      <c r="K33" s="4">
        <v>0.34699999999999998</v>
      </c>
      <c r="L33" s="4">
        <v>1</v>
      </c>
      <c r="M33" s="4">
        <v>10</v>
      </c>
      <c r="N33" s="4">
        <v>0.1</v>
      </c>
      <c r="O33" s="4">
        <v>57</v>
      </c>
      <c r="P33" s="4">
        <v>157</v>
      </c>
      <c r="Q33" s="4">
        <v>0.36299999999999999</v>
      </c>
      <c r="R33" s="4">
        <v>36</v>
      </c>
      <c r="S33" s="4">
        <v>55</v>
      </c>
      <c r="T33" s="4">
        <v>0.65500000000000003</v>
      </c>
      <c r="U33" s="4">
        <v>33</v>
      </c>
      <c r="V33" s="4">
        <v>84</v>
      </c>
      <c r="W33" s="4">
        <v>67</v>
      </c>
      <c r="X33" s="4">
        <v>23</v>
      </c>
      <c r="Y33" s="4">
        <v>2</v>
      </c>
      <c r="Z33" s="4">
        <v>79</v>
      </c>
      <c r="AA33" s="4">
        <v>39</v>
      </c>
      <c r="AB33" s="4">
        <v>153</v>
      </c>
      <c r="AC33" s="5">
        <f t="shared" si="0"/>
        <v>0.84810126582278478</v>
      </c>
    </row>
    <row r="34" spans="1:29" ht="15.75" customHeight="1">
      <c r="A34" s="1" t="s">
        <v>128</v>
      </c>
      <c r="B34" s="3" t="s">
        <v>90</v>
      </c>
      <c r="C34" s="4" t="s">
        <v>99</v>
      </c>
      <c r="D34" s="4">
        <v>25</v>
      </c>
      <c r="E34" s="4">
        <v>668</v>
      </c>
      <c r="F34" s="4">
        <v>25</v>
      </c>
      <c r="G34" s="4">
        <v>25</v>
      </c>
      <c r="H34" s="4">
        <v>668</v>
      </c>
      <c r="I34" s="4">
        <v>57</v>
      </c>
      <c r="J34" s="4">
        <v>122</v>
      </c>
      <c r="K34" s="4">
        <v>0.46700000000000003</v>
      </c>
      <c r="L34" s="4">
        <v>0</v>
      </c>
      <c r="M34" s="4">
        <v>0</v>
      </c>
      <c r="N34" s="4">
        <v>0</v>
      </c>
      <c r="O34" s="4">
        <v>57</v>
      </c>
      <c r="P34" s="4">
        <v>122</v>
      </c>
      <c r="Q34" s="4">
        <v>0.46700000000000003</v>
      </c>
      <c r="R34" s="4">
        <v>38</v>
      </c>
      <c r="S34" s="4">
        <v>68</v>
      </c>
      <c r="T34" s="4">
        <v>0.55900000000000005</v>
      </c>
      <c r="U34" s="4">
        <v>76</v>
      </c>
      <c r="V34" s="4">
        <v>136</v>
      </c>
      <c r="W34" s="4">
        <v>12</v>
      </c>
      <c r="X34" s="4">
        <v>26</v>
      </c>
      <c r="Y34" s="4">
        <v>8</v>
      </c>
      <c r="Z34" s="4">
        <v>43</v>
      </c>
      <c r="AA34" s="4">
        <v>83</v>
      </c>
      <c r="AB34" s="4">
        <v>152</v>
      </c>
      <c r="AC34" s="5">
        <f t="shared" si="0"/>
        <v>0.27906976744186046</v>
      </c>
    </row>
    <row r="35" spans="1:29" ht="15.75" customHeight="1">
      <c r="A35" s="1" t="s">
        <v>129</v>
      </c>
      <c r="B35" s="3" t="s">
        <v>98</v>
      </c>
      <c r="C35" s="4" t="s">
        <v>99</v>
      </c>
      <c r="D35" s="4">
        <v>28</v>
      </c>
      <c r="E35" s="4">
        <v>663</v>
      </c>
      <c r="F35" s="4">
        <v>28</v>
      </c>
      <c r="G35" s="4">
        <v>28</v>
      </c>
      <c r="H35" s="4">
        <v>663</v>
      </c>
      <c r="I35" s="4">
        <v>100</v>
      </c>
      <c r="J35" s="4">
        <v>211</v>
      </c>
      <c r="K35" s="4">
        <v>0.47399999999999998</v>
      </c>
      <c r="L35" s="4">
        <v>0</v>
      </c>
      <c r="M35" s="4">
        <v>1</v>
      </c>
      <c r="N35" s="4">
        <v>0</v>
      </c>
      <c r="O35" s="4">
        <v>100</v>
      </c>
      <c r="P35" s="4">
        <v>210</v>
      </c>
      <c r="Q35" s="4">
        <v>0.47599999999999998</v>
      </c>
      <c r="R35" s="4">
        <v>73</v>
      </c>
      <c r="S35" s="4">
        <v>114</v>
      </c>
      <c r="T35" s="4">
        <v>0.64</v>
      </c>
      <c r="U35" s="4">
        <v>52</v>
      </c>
      <c r="V35" s="4">
        <v>163</v>
      </c>
      <c r="W35" s="4">
        <v>38</v>
      </c>
      <c r="X35" s="4">
        <v>39</v>
      </c>
      <c r="Y35" s="4">
        <v>19</v>
      </c>
      <c r="Z35" s="4">
        <v>49</v>
      </c>
      <c r="AA35" s="4">
        <v>68</v>
      </c>
      <c r="AB35" s="4">
        <v>273</v>
      </c>
      <c r="AC35" s="5">
        <f t="shared" si="0"/>
        <v>0.77551020408163263</v>
      </c>
    </row>
    <row r="36" spans="1:29" ht="15.75" customHeight="1">
      <c r="A36" s="1" t="s">
        <v>130</v>
      </c>
      <c r="B36" s="3" t="s">
        <v>88</v>
      </c>
      <c r="C36" s="4" t="s">
        <v>110</v>
      </c>
      <c r="D36" s="4">
        <v>28</v>
      </c>
      <c r="E36" s="4">
        <v>658</v>
      </c>
      <c r="F36" s="4">
        <v>28</v>
      </c>
      <c r="G36" s="4">
        <v>16</v>
      </c>
      <c r="H36" s="4">
        <v>658</v>
      </c>
      <c r="I36" s="4">
        <v>63</v>
      </c>
      <c r="J36" s="4">
        <v>126</v>
      </c>
      <c r="K36" s="4">
        <v>0.5</v>
      </c>
      <c r="L36" s="4">
        <v>18</v>
      </c>
      <c r="M36" s="4">
        <v>44</v>
      </c>
      <c r="N36" s="4">
        <v>0.40899999999999997</v>
      </c>
      <c r="O36" s="4">
        <v>45</v>
      </c>
      <c r="P36" s="4">
        <v>82</v>
      </c>
      <c r="Q36" s="4">
        <v>0.54900000000000004</v>
      </c>
      <c r="R36" s="4">
        <v>43</v>
      </c>
      <c r="S36" s="4">
        <v>56</v>
      </c>
      <c r="T36" s="4">
        <v>0.76800000000000002</v>
      </c>
      <c r="U36" s="4">
        <v>40</v>
      </c>
      <c r="V36" s="4">
        <v>133</v>
      </c>
      <c r="W36" s="4">
        <v>41</v>
      </c>
      <c r="X36" s="4">
        <v>16</v>
      </c>
      <c r="Y36" s="4">
        <v>5</v>
      </c>
      <c r="Z36" s="4">
        <v>31</v>
      </c>
      <c r="AA36" s="4">
        <v>52</v>
      </c>
      <c r="AB36" s="4">
        <v>187</v>
      </c>
      <c r="AC36" s="5">
        <f t="shared" si="0"/>
        <v>1.3225806451612903</v>
      </c>
    </row>
    <row r="37" spans="1:29" ht="15.75" customHeight="1">
      <c r="A37" s="1" t="s">
        <v>131</v>
      </c>
      <c r="B37" s="3" t="s">
        <v>86</v>
      </c>
      <c r="C37" s="4" t="s">
        <v>118</v>
      </c>
      <c r="D37" s="4">
        <v>28</v>
      </c>
      <c r="E37" s="4">
        <v>656</v>
      </c>
      <c r="F37" s="4">
        <v>28</v>
      </c>
      <c r="G37" s="4">
        <v>19</v>
      </c>
      <c r="H37" s="4">
        <v>656</v>
      </c>
      <c r="I37" s="4">
        <v>96</v>
      </c>
      <c r="J37" s="4">
        <v>209</v>
      </c>
      <c r="K37" s="4">
        <v>0.45900000000000002</v>
      </c>
      <c r="L37" s="4">
        <v>1</v>
      </c>
      <c r="M37" s="4">
        <v>5</v>
      </c>
      <c r="N37" s="4">
        <v>0.2</v>
      </c>
      <c r="O37" s="4">
        <v>95</v>
      </c>
      <c r="P37" s="4">
        <v>204</v>
      </c>
      <c r="Q37" s="4">
        <v>0.46600000000000003</v>
      </c>
      <c r="R37" s="4">
        <v>51</v>
      </c>
      <c r="S37" s="4">
        <v>69</v>
      </c>
      <c r="T37" s="4">
        <v>0.73899999999999999</v>
      </c>
      <c r="U37" s="4">
        <v>87</v>
      </c>
      <c r="V37" s="4">
        <v>193</v>
      </c>
      <c r="W37" s="4">
        <v>48</v>
      </c>
      <c r="X37" s="4">
        <v>39</v>
      </c>
      <c r="Y37" s="4">
        <v>8</v>
      </c>
      <c r="Z37" s="4">
        <v>67</v>
      </c>
      <c r="AA37" s="4">
        <v>98</v>
      </c>
      <c r="AB37" s="4">
        <v>244</v>
      </c>
      <c r="AC37" s="5">
        <f t="shared" si="0"/>
        <v>0.71641791044776115</v>
      </c>
    </row>
    <row r="38" spans="1:29" ht="15.75" customHeight="1">
      <c r="A38" s="1" t="s">
        <v>132</v>
      </c>
      <c r="B38" s="3" t="s">
        <v>105</v>
      </c>
      <c r="C38" s="4" t="s">
        <v>8</v>
      </c>
      <c r="D38" s="4">
        <v>28</v>
      </c>
      <c r="E38" s="4">
        <v>633</v>
      </c>
      <c r="F38" s="4">
        <v>28</v>
      </c>
      <c r="G38" s="4">
        <v>14</v>
      </c>
      <c r="H38" s="4">
        <v>633</v>
      </c>
      <c r="I38" s="4">
        <v>25</v>
      </c>
      <c r="J38" s="4">
        <v>106</v>
      </c>
      <c r="K38" s="4">
        <v>0.23599999999999999</v>
      </c>
      <c r="L38" s="4">
        <v>7</v>
      </c>
      <c r="M38" s="4">
        <v>36</v>
      </c>
      <c r="N38" s="4">
        <v>0.19400000000000001</v>
      </c>
      <c r="O38" s="4">
        <v>18</v>
      </c>
      <c r="P38" s="4">
        <v>70</v>
      </c>
      <c r="Q38" s="4">
        <v>0.25700000000000001</v>
      </c>
      <c r="R38" s="4">
        <v>27</v>
      </c>
      <c r="S38" s="4">
        <v>34</v>
      </c>
      <c r="T38" s="4">
        <v>0.79400000000000004</v>
      </c>
      <c r="U38" s="4">
        <v>16</v>
      </c>
      <c r="V38" s="4">
        <v>57</v>
      </c>
      <c r="W38" s="4">
        <v>103</v>
      </c>
      <c r="X38" s="4">
        <v>24</v>
      </c>
      <c r="Y38" s="4">
        <v>1</v>
      </c>
      <c r="Z38" s="4">
        <v>51</v>
      </c>
      <c r="AA38" s="4">
        <v>44</v>
      </c>
      <c r="AB38" s="4">
        <v>84</v>
      </c>
      <c r="AC38" s="5">
        <f t="shared" si="0"/>
        <v>2.0196078431372548</v>
      </c>
    </row>
    <row r="39" spans="1:29" ht="15.75" customHeight="1">
      <c r="A39" s="1" t="s">
        <v>133</v>
      </c>
      <c r="B39" s="3" t="s">
        <v>88</v>
      </c>
      <c r="C39" s="4" t="s">
        <v>8</v>
      </c>
      <c r="D39" s="4">
        <v>27</v>
      </c>
      <c r="E39" s="4">
        <v>622</v>
      </c>
      <c r="F39" s="4">
        <v>27</v>
      </c>
      <c r="G39" s="4">
        <v>21</v>
      </c>
      <c r="H39" s="4">
        <v>622</v>
      </c>
      <c r="I39" s="4">
        <v>36</v>
      </c>
      <c r="J39" s="4">
        <v>98</v>
      </c>
      <c r="K39" s="4">
        <v>0.36699999999999999</v>
      </c>
      <c r="L39" s="4">
        <v>23</v>
      </c>
      <c r="M39" s="4">
        <v>66</v>
      </c>
      <c r="N39" s="4">
        <v>0.34799999999999998</v>
      </c>
      <c r="O39" s="4">
        <v>13</v>
      </c>
      <c r="P39" s="4">
        <v>32</v>
      </c>
      <c r="Q39" s="4">
        <v>0.40600000000000003</v>
      </c>
      <c r="R39" s="4">
        <v>14</v>
      </c>
      <c r="S39" s="4">
        <v>15</v>
      </c>
      <c r="T39" s="4">
        <v>0.93300000000000005</v>
      </c>
      <c r="U39" s="4">
        <v>5</v>
      </c>
      <c r="V39" s="4">
        <v>47</v>
      </c>
      <c r="W39" s="4">
        <v>75</v>
      </c>
      <c r="X39" s="4">
        <v>21</v>
      </c>
      <c r="Y39" s="4">
        <v>3</v>
      </c>
      <c r="Z39" s="4">
        <v>71</v>
      </c>
      <c r="AA39" s="4">
        <v>47</v>
      </c>
      <c r="AB39" s="4">
        <v>109</v>
      </c>
      <c r="AC39" s="5">
        <f t="shared" si="0"/>
        <v>1.056338028169014</v>
      </c>
    </row>
    <row r="40" spans="1:29" ht="15.75" customHeight="1">
      <c r="A40" s="1" t="s">
        <v>134</v>
      </c>
      <c r="B40" s="3" t="s">
        <v>96</v>
      </c>
      <c r="C40" s="4" t="s">
        <v>8</v>
      </c>
      <c r="D40" s="4">
        <v>20</v>
      </c>
      <c r="E40" s="4">
        <v>622</v>
      </c>
      <c r="F40" s="4">
        <v>20</v>
      </c>
      <c r="G40" s="4">
        <v>14</v>
      </c>
      <c r="H40" s="4">
        <v>622</v>
      </c>
      <c r="I40" s="4">
        <v>76</v>
      </c>
      <c r="J40" s="4">
        <v>170</v>
      </c>
      <c r="K40" s="4">
        <v>0.44700000000000001</v>
      </c>
      <c r="L40" s="4">
        <v>6</v>
      </c>
      <c r="M40" s="4">
        <v>25</v>
      </c>
      <c r="N40" s="4">
        <v>0.24</v>
      </c>
      <c r="O40" s="4">
        <v>70</v>
      </c>
      <c r="P40" s="4">
        <v>145</v>
      </c>
      <c r="Q40" s="4">
        <v>0.48299999999999998</v>
      </c>
      <c r="R40" s="4">
        <v>45</v>
      </c>
      <c r="S40" s="4">
        <v>86</v>
      </c>
      <c r="T40" s="4">
        <v>0.52300000000000002</v>
      </c>
      <c r="U40" s="4">
        <v>13</v>
      </c>
      <c r="V40" s="4">
        <v>70</v>
      </c>
      <c r="W40" s="4">
        <v>89</v>
      </c>
      <c r="X40" s="4">
        <v>35</v>
      </c>
      <c r="Y40" s="4">
        <v>3</v>
      </c>
      <c r="Z40" s="4">
        <v>77</v>
      </c>
      <c r="AA40" s="4">
        <v>40</v>
      </c>
      <c r="AB40" s="4">
        <v>203</v>
      </c>
      <c r="AC40" s="5">
        <f t="shared" si="0"/>
        <v>1.1558441558441559</v>
      </c>
    </row>
    <row r="41" spans="1:29" ht="15.75" customHeight="1">
      <c r="A41" s="1" t="s">
        <v>135</v>
      </c>
      <c r="B41" s="3" t="s">
        <v>105</v>
      </c>
      <c r="C41" s="4" t="s">
        <v>92</v>
      </c>
      <c r="D41" s="4">
        <v>28</v>
      </c>
      <c r="E41" s="4">
        <v>613</v>
      </c>
      <c r="F41" s="4">
        <v>28</v>
      </c>
      <c r="G41" s="4">
        <v>14</v>
      </c>
      <c r="H41" s="4">
        <v>613</v>
      </c>
      <c r="I41" s="4">
        <v>55</v>
      </c>
      <c r="J41" s="4">
        <v>126</v>
      </c>
      <c r="K41" s="4">
        <v>0.437</v>
      </c>
      <c r="L41" s="4">
        <v>9</v>
      </c>
      <c r="M41" s="4">
        <v>25</v>
      </c>
      <c r="N41" s="4">
        <v>0.36</v>
      </c>
      <c r="O41" s="4">
        <v>46</v>
      </c>
      <c r="P41" s="4">
        <v>101</v>
      </c>
      <c r="Q41" s="4">
        <v>0.45500000000000002</v>
      </c>
      <c r="R41" s="4">
        <v>17</v>
      </c>
      <c r="S41" s="4">
        <v>30</v>
      </c>
      <c r="T41" s="4">
        <v>0.56699999999999995</v>
      </c>
      <c r="U41" s="4">
        <v>25</v>
      </c>
      <c r="V41" s="4">
        <v>60</v>
      </c>
      <c r="W41" s="4">
        <v>45</v>
      </c>
      <c r="X41" s="4">
        <v>35</v>
      </c>
      <c r="Y41" s="4">
        <v>9</v>
      </c>
      <c r="Z41" s="4">
        <v>35</v>
      </c>
      <c r="AA41" s="4">
        <v>46</v>
      </c>
      <c r="AB41" s="4">
        <v>136</v>
      </c>
      <c r="AC41" s="5">
        <f t="shared" si="0"/>
        <v>1.2857142857142858</v>
      </c>
    </row>
    <row r="42" spans="1:29" ht="15.75" customHeight="1">
      <c r="A42" s="1" t="s">
        <v>136</v>
      </c>
      <c r="B42" s="3" t="s">
        <v>101</v>
      </c>
      <c r="C42" s="4" t="s">
        <v>8</v>
      </c>
      <c r="D42" s="4">
        <v>28</v>
      </c>
      <c r="E42" s="4">
        <v>608</v>
      </c>
      <c r="F42" s="4">
        <v>28</v>
      </c>
      <c r="G42" s="4">
        <v>10</v>
      </c>
      <c r="H42" s="4">
        <v>608</v>
      </c>
      <c r="I42" s="4">
        <v>88</v>
      </c>
      <c r="J42" s="4">
        <v>229</v>
      </c>
      <c r="K42" s="4">
        <v>0.38400000000000001</v>
      </c>
      <c r="L42" s="4">
        <v>9</v>
      </c>
      <c r="M42" s="4">
        <v>34</v>
      </c>
      <c r="N42" s="4">
        <v>0.26500000000000001</v>
      </c>
      <c r="O42" s="4">
        <v>79</v>
      </c>
      <c r="P42" s="4">
        <v>195</v>
      </c>
      <c r="Q42" s="4">
        <v>0.40500000000000003</v>
      </c>
      <c r="R42" s="4">
        <v>41</v>
      </c>
      <c r="S42" s="4">
        <v>53</v>
      </c>
      <c r="T42" s="4">
        <v>0.77400000000000002</v>
      </c>
      <c r="U42" s="4">
        <v>34</v>
      </c>
      <c r="V42" s="4">
        <v>81</v>
      </c>
      <c r="W42" s="4">
        <v>60</v>
      </c>
      <c r="X42" s="4">
        <v>38</v>
      </c>
      <c r="Y42" s="4">
        <v>7</v>
      </c>
      <c r="Z42" s="4">
        <v>57</v>
      </c>
      <c r="AA42" s="4">
        <v>83</v>
      </c>
      <c r="AB42" s="4">
        <v>226</v>
      </c>
      <c r="AC42" s="5">
        <f t="shared" si="0"/>
        <v>1.0526315789473684</v>
      </c>
    </row>
    <row r="43" spans="1:29" ht="15.75" customHeight="1">
      <c r="A43" s="1" t="s">
        <v>137</v>
      </c>
      <c r="B43" s="3" t="s">
        <v>96</v>
      </c>
      <c r="C43" s="4" t="s">
        <v>8</v>
      </c>
      <c r="D43" s="4">
        <v>28</v>
      </c>
      <c r="E43" s="4">
        <v>589</v>
      </c>
      <c r="F43" s="4">
        <v>28</v>
      </c>
      <c r="G43" s="4">
        <v>1</v>
      </c>
      <c r="H43" s="4">
        <v>589</v>
      </c>
      <c r="I43" s="4">
        <v>92</v>
      </c>
      <c r="J43" s="4">
        <v>229</v>
      </c>
      <c r="K43" s="4">
        <v>0.40200000000000002</v>
      </c>
      <c r="L43" s="4">
        <v>5</v>
      </c>
      <c r="M43" s="4">
        <v>12</v>
      </c>
      <c r="N43" s="4">
        <v>0.41699999999999998</v>
      </c>
      <c r="O43" s="4">
        <v>87</v>
      </c>
      <c r="P43" s="4">
        <v>217</v>
      </c>
      <c r="Q43" s="4">
        <v>0.40100000000000002</v>
      </c>
      <c r="R43" s="4">
        <v>40</v>
      </c>
      <c r="S43" s="4">
        <v>56</v>
      </c>
      <c r="T43" s="4">
        <v>0.71399999999999997</v>
      </c>
      <c r="U43" s="4">
        <v>30</v>
      </c>
      <c r="V43" s="4">
        <v>80</v>
      </c>
      <c r="W43" s="4">
        <v>25</v>
      </c>
      <c r="X43" s="4">
        <v>23</v>
      </c>
      <c r="Y43" s="4">
        <v>3</v>
      </c>
      <c r="Z43" s="4">
        <v>54</v>
      </c>
      <c r="AA43" s="4">
        <v>55</v>
      </c>
      <c r="AB43" s="4">
        <v>229</v>
      </c>
      <c r="AC43" s="5">
        <f t="shared" si="0"/>
        <v>0.46296296296296297</v>
      </c>
    </row>
    <row r="44" spans="1:29" ht="15.75" customHeight="1">
      <c r="A44" s="1" t="s">
        <v>138</v>
      </c>
      <c r="B44" s="3" t="s">
        <v>105</v>
      </c>
      <c r="C44" s="4" t="s">
        <v>99</v>
      </c>
      <c r="D44" s="4">
        <v>28</v>
      </c>
      <c r="E44" s="4">
        <v>557</v>
      </c>
      <c r="F44" s="4">
        <v>28</v>
      </c>
      <c r="G44" s="4">
        <v>21</v>
      </c>
      <c r="H44" s="4">
        <v>557</v>
      </c>
      <c r="I44" s="4">
        <v>110</v>
      </c>
      <c r="J44" s="4">
        <v>178</v>
      </c>
      <c r="K44" s="4">
        <v>0.61799999999999999</v>
      </c>
      <c r="L44" s="4">
        <v>0</v>
      </c>
      <c r="M44" s="4">
        <v>0</v>
      </c>
      <c r="N44" s="4">
        <v>0</v>
      </c>
      <c r="O44" s="4">
        <v>110</v>
      </c>
      <c r="P44" s="4">
        <v>178</v>
      </c>
      <c r="Q44" s="4">
        <v>0.61799999999999999</v>
      </c>
      <c r="R44" s="4">
        <v>39</v>
      </c>
      <c r="S44" s="4">
        <v>59</v>
      </c>
      <c r="T44" s="4">
        <v>0.66100000000000003</v>
      </c>
      <c r="U44" s="4">
        <v>32</v>
      </c>
      <c r="V44" s="4">
        <v>123</v>
      </c>
      <c r="W44" s="4">
        <v>17</v>
      </c>
      <c r="X44" s="4">
        <v>11</v>
      </c>
      <c r="Y44" s="4">
        <v>20</v>
      </c>
      <c r="Z44" s="4">
        <v>46</v>
      </c>
      <c r="AA44" s="4">
        <v>77</v>
      </c>
      <c r="AB44" s="4">
        <v>259</v>
      </c>
      <c r="AC44" s="5">
        <f t="shared" si="0"/>
        <v>0.36956521739130432</v>
      </c>
    </row>
    <row r="45" spans="1:29" ht="15.75" customHeight="1">
      <c r="A45" s="1" t="s">
        <v>139</v>
      </c>
      <c r="B45" s="3" t="s">
        <v>90</v>
      </c>
      <c r="C45" s="4" t="s">
        <v>110</v>
      </c>
      <c r="D45" s="4">
        <v>28</v>
      </c>
      <c r="E45" s="4">
        <v>545</v>
      </c>
      <c r="F45" s="4">
        <v>28</v>
      </c>
      <c r="G45" s="4">
        <v>3</v>
      </c>
      <c r="H45" s="4">
        <v>545</v>
      </c>
      <c r="I45" s="4">
        <v>45</v>
      </c>
      <c r="J45" s="4">
        <v>110</v>
      </c>
      <c r="K45" s="4">
        <v>0.40899999999999997</v>
      </c>
      <c r="L45" s="4">
        <v>0</v>
      </c>
      <c r="M45" s="4">
        <v>1</v>
      </c>
      <c r="N45" s="4">
        <v>0</v>
      </c>
      <c r="O45" s="4">
        <v>45</v>
      </c>
      <c r="P45" s="4">
        <v>109</v>
      </c>
      <c r="Q45" s="4">
        <v>0.41299999999999998</v>
      </c>
      <c r="R45" s="4">
        <v>25</v>
      </c>
      <c r="S45" s="4">
        <v>41</v>
      </c>
      <c r="T45" s="4">
        <v>0.61</v>
      </c>
      <c r="U45" s="4">
        <v>42</v>
      </c>
      <c r="V45" s="4">
        <v>116</v>
      </c>
      <c r="W45" s="4">
        <v>12</v>
      </c>
      <c r="X45" s="4">
        <v>45</v>
      </c>
      <c r="Y45" s="4">
        <v>10</v>
      </c>
      <c r="Z45" s="4">
        <v>49</v>
      </c>
      <c r="AA45" s="4">
        <v>84</v>
      </c>
      <c r="AB45" s="4">
        <v>115</v>
      </c>
      <c r="AC45" s="5">
        <f t="shared" si="0"/>
        <v>0.24489795918367346</v>
      </c>
    </row>
    <row r="46" spans="1:29" ht="15.75" customHeight="1">
      <c r="A46" s="1" t="s">
        <v>140</v>
      </c>
      <c r="B46" s="3" t="s">
        <v>88</v>
      </c>
      <c r="C46" s="4" t="s">
        <v>92</v>
      </c>
      <c r="D46" s="4">
        <v>28</v>
      </c>
      <c r="E46" s="4">
        <v>539</v>
      </c>
      <c r="F46" s="4">
        <v>28</v>
      </c>
      <c r="G46" s="4">
        <v>9</v>
      </c>
      <c r="H46" s="4">
        <v>539</v>
      </c>
      <c r="I46" s="4">
        <v>57</v>
      </c>
      <c r="J46" s="4">
        <v>159</v>
      </c>
      <c r="K46" s="4">
        <v>0.35799999999999998</v>
      </c>
      <c r="L46" s="4">
        <v>5</v>
      </c>
      <c r="M46" s="4">
        <v>25</v>
      </c>
      <c r="N46" s="4">
        <v>0.2</v>
      </c>
      <c r="O46" s="4">
        <v>52</v>
      </c>
      <c r="P46" s="4">
        <v>134</v>
      </c>
      <c r="Q46" s="4">
        <v>0.38800000000000001</v>
      </c>
      <c r="R46" s="4">
        <v>16</v>
      </c>
      <c r="S46" s="4">
        <v>31</v>
      </c>
      <c r="T46" s="4">
        <v>0.51600000000000001</v>
      </c>
      <c r="U46" s="4">
        <v>15</v>
      </c>
      <c r="V46" s="4">
        <v>72</v>
      </c>
      <c r="W46" s="4">
        <v>28</v>
      </c>
      <c r="X46" s="4">
        <v>16</v>
      </c>
      <c r="Y46" s="4">
        <v>11</v>
      </c>
      <c r="Z46" s="4">
        <v>44</v>
      </c>
      <c r="AA46" s="4">
        <v>35</v>
      </c>
      <c r="AB46" s="4">
        <v>135</v>
      </c>
      <c r="AC46" s="5">
        <f t="shared" si="0"/>
        <v>0.63636363636363635</v>
      </c>
    </row>
    <row r="47" spans="1:29" ht="15.75" customHeight="1">
      <c r="A47" s="1" t="s">
        <v>141</v>
      </c>
      <c r="B47" s="3" t="s">
        <v>94</v>
      </c>
      <c r="C47" s="4" t="s">
        <v>99</v>
      </c>
      <c r="D47" s="4">
        <v>28</v>
      </c>
      <c r="E47" s="4">
        <v>517</v>
      </c>
      <c r="F47" s="4">
        <v>28</v>
      </c>
      <c r="G47" s="4">
        <v>1</v>
      </c>
      <c r="H47" s="4">
        <v>517</v>
      </c>
      <c r="I47" s="4">
        <v>70</v>
      </c>
      <c r="J47" s="4">
        <v>178</v>
      </c>
      <c r="K47" s="4">
        <v>0.39300000000000002</v>
      </c>
      <c r="L47" s="4">
        <v>0</v>
      </c>
      <c r="M47" s="4">
        <v>1</v>
      </c>
      <c r="N47" s="4">
        <v>0</v>
      </c>
      <c r="O47" s="4">
        <v>70</v>
      </c>
      <c r="P47" s="4">
        <v>177</v>
      </c>
      <c r="Q47" s="4">
        <v>0.39500000000000002</v>
      </c>
      <c r="R47" s="4">
        <v>71</v>
      </c>
      <c r="S47" s="4">
        <v>93</v>
      </c>
      <c r="T47" s="4">
        <v>0.76300000000000001</v>
      </c>
      <c r="U47" s="4">
        <v>66</v>
      </c>
      <c r="V47" s="4">
        <v>145</v>
      </c>
      <c r="W47" s="4">
        <v>23</v>
      </c>
      <c r="X47" s="4">
        <v>22</v>
      </c>
      <c r="Y47" s="4">
        <v>9</v>
      </c>
      <c r="Z47" s="4">
        <v>46</v>
      </c>
      <c r="AA47" s="4">
        <v>59</v>
      </c>
      <c r="AB47" s="4">
        <v>211</v>
      </c>
      <c r="AC47" s="5">
        <f t="shared" si="0"/>
        <v>0.5</v>
      </c>
    </row>
    <row r="48" spans="1:29" ht="15.75" customHeight="1">
      <c r="A48" s="1" t="s">
        <v>142</v>
      </c>
      <c r="B48" s="4" t="s">
        <v>96</v>
      </c>
      <c r="C48" s="4" t="s">
        <v>92</v>
      </c>
      <c r="D48" s="4">
        <v>28</v>
      </c>
      <c r="E48" s="4">
        <v>511</v>
      </c>
      <c r="F48" s="4">
        <v>28</v>
      </c>
      <c r="G48" s="4">
        <v>3</v>
      </c>
      <c r="H48" s="4">
        <v>511</v>
      </c>
      <c r="I48" s="4">
        <v>64</v>
      </c>
      <c r="J48" s="4">
        <v>123</v>
      </c>
      <c r="K48" s="4">
        <v>0.52</v>
      </c>
      <c r="L48" s="4">
        <v>0</v>
      </c>
      <c r="M48" s="4">
        <v>0</v>
      </c>
      <c r="N48" s="4">
        <v>0</v>
      </c>
      <c r="O48" s="4">
        <v>64</v>
      </c>
      <c r="P48" s="4">
        <v>123</v>
      </c>
      <c r="Q48" s="4">
        <v>0.52</v>
      </c>
      <c r="R48" s="4">
        <v>47</v>
      </c>
      <c r="S48" s="4">
        <v>64</v>
      </c>
      <c r="T48" s="4">
        <v>0.73399999999999999</v>
      </c>
      <c r="U48" s="4">
        <v>48</v>
      </c>
      <c r="V48" s="4">
        <v>113</v>
      </c>
      <c r="W48" s="4">
        <v>20</v>
      </c>
      <c r="X48" s="4">
        <v>34</v>
      </c>
      <c r="Y48" s="4">
        <v>14</v>
      </c>
      <c r="Z48" s="4">
        <v>27</v>
      </c>
      <c r="AA48" s="4">
        <v>72</v>
      </c>
      <c r="AB48" s="4">
        <v>175</v>
      </c>
      <c r="AC48" s="5">
        <f t="shared" si="0"/>
        <v>0.7407407407407407</v>
      </c>
    </row>
    <row r="49" spans="1:29" ht="15.75" customHeight="1">
      <c r="A49" s="1" t="s">
        <v>143</v>
      </c>
      <c r="B49" s="3" t="s">
        <v>105</v>
      </c>
      <c r="C49" s="4" t="s">
        <v>92</v>
      </c>
      <c r="D49" s="4">
        <v>28</v>
      </c>
      <c r="E49" s="4">
        <v>492</v>
      </c>
      <c r="F49" s="4">
        <v>28</v>
      </c>
      <c r="G49" s="4">
        <v>6</v>
      </c>
      <c r="H49" s="4">
        <v>492</v>
      </c>
      <c r="I49" s="4">
        <v>73</v>
      </c>
      <c r="J49" s="4">
        <v>135</v>
      </c>
      <c r="K49" s="4">
        <v>0.54100000000000004</v>
      </c>
      <c r="L49" s="4">
        <v>1</v>
      </c>
      <c r="M49" s="4">
        <v>2</v>
      </c>
      <c r="N49" s="4">
        <v>0.5</v>
      </c>
      <c r="O49" s="4">
        <v>72</v>
      </c>
      <c r="P49" s="4">
        <v>133</v>
      </c>
      <c r="Q49" s="4">
        <v>0.54100000000000004</v>
      </c>
      <c r="R49" s="4">
        <v>36</v>
      </c>
      <c r="S49" s="4">
        <v>49</v>
      </c>
      <c r="T49" s="4">
        <v>0.73499999999999999</v>
      </c>
      <c r="U49" s="4">
        <v>46</v>
      </c>
      <c r="V49" s="4">
        <v>117</v>
      </c>
      <c r="W49" s="4">
        <v>9</v>
      </c>
      <c r="X49" s="4">
        <v>20</v>
      </c>
      <c r="Y49" s="4">
        <v>13</v>
      </c>
      <c r="Z49" s="4">
        <v>47</v>
      </c>
      <c r="AA49" s="4">
        <v>46</v>
      </c>
      <c r="AB49" s="4">
        <v>183</v>
      </c>
      <c r="AC49" s="5">
        <f t="shared" si="0"/>
        <v>0.19148936170212766</v>
      </c>
    </row>
    <row r="50" spans="1:29" ht="15.75" customHeight="1">
      <c r="A50" s="1" t="s">
        <v>144</v>
      </c>
      <c r="B50" s="4" t="s">
        <v>88</v>
      </c>
      <c r="C50" s="4" t="s">
        <v>8</v>
      </c>
      <c r="D50" s="4">
        <v>28</v>
      </c>
      <c r="E50" s="4">
        <v>475</v>
      </c>
      <c r="F50" s="4">
        <v>28</v>
      </c>
      <c r="G50" s="4">
        <v>8</v>
      </c>
      <c r="H50" s="4">
        <v>475</v>
      </c>
      <c r="I50" s="4">
        <v>40</v>
      </c>
      <c r="J50" s="4">
        <v>108</v>
      </c>
      <c r="K50" s="4">
        <v>0.37</v>
      </c>
      <c r="L50" s="4">
        <v>23</v>
      </c>
      <c r="M50" s="4">
        <v>58</v>
      </c>
      <c r="N50" s="4">
        <v>0.39700000000000002</v>
      </c>
      <c r="O50" s="4">
        <v>17</v>
      </c>
      <c r="P50" s="4">
        <v>50</v>
      </c>
      <c r="Q50" s="4">
        <v>0.34</v>
      </c>
      <c r="R50" s="4">
        <v>28</v>
      </c>
      <c r="S50" s="4">
        <v>41</v>
      </c>
      <c r="T50" s="4">
        <v>0.68300000000000005</v>
      </c>
      <c r="U50" s="4">
        <v>5</v>
      </c>
      <c r="V50" s="4">
        <v>42</v>
      </c>
      <c r="W50" s="4">
        <v>56</v>
      </c>
      <c r="X50" s="4">
        <v>13</v>
      </c>
      <c r="Y50" s="4">
        <v>3</v>
      </c>
      <c r="Z50" s="4">
        <v>51</v>
      </c>
      <c r="AA50" s="4">
        <v>32</v>
      </c>
      <c r="AB50" s="4">
        <v>131</v>
      </c>
      <c r="AC50" s="5">
        <f t="shared" si="0"/>
        <v>1.0980392156862746</v>
      </c>
    </row>
    <row r="51" spans="1:29" ht="15.75" customHeight="1">
      <c r="A51" s="1" t="s">
        <v>145</v>
      </c>
      <c r="B51" s="3" t="s">
        <v>98</v>
      </c>
      <c r="C51" s="4" t="s">
        <v>118</v>
      </c>
      <c r="D51" s="4">
        <v>28</v>
      </c>
      <c r="E51" s="4">
        <v>473</v>
      </c>
      <c r="F51" s="4">
        <v>28</v>
      </c>
      <c r="G51" s="4">
        <v>3</v>
      </c>
      <c r="H51" s="4">
        <v>473</v>
      </c>
      <c r="I51" s="4">
        <v>43</v>
      </c>
      <c r="J51" s="4">
        <v>114</v>
      </c>
      <c r="K51" s="4">
        <v>0.377</v>
      </c>
      <c r="L51" s="4">
        <v>3</v>
      </c>
      <c r="M51" s="4">
        <v>20</v>
      </c>
      <c r="N51" s="4">
        <v>0.15</v>
      </c>
      <c r="O51" s="4">
        <v>40</v>
      </c>
      <c r="P51" s="4">
        <v>94</v>
      </c>
      <c r="Q51" s="4">
        <v>0.42599999999999999</v>
      </c>
      <c r="R51" s="4">
        <v>27</v>
      </c>
      <c r="S51" s="4">
        <v>44</v>
      </c>
      <c r="T51" s="4">
        <v>0.61399999999999999</v>
      </c>
      <c r="U51" s="4">
        <v>28</v>
      </c>
      <c r="V51" s="4">
        <v>48</v>
      </c>
      <c r="W51" s="4">
        <v>25</v>
      </c>
      <c r="X51" s="4">
        <v>28</v>
      </c>
      <c r="Y51" s="4">
        <v>5</v>
      </c>
      <c r="Z51" s="4">
        <v>38</v>
      </c>
      <c r="AA51" s="4">
        <v>56</v>
      </c>
      <c r="AB51" s="4">
        <v>116</v>
      </c>
      <c r="AC51" s="5">
        <f t="shared" si="0"/>
        <v>0.65789473684210531</v>
      </c>
    </row>
    <row r="52" spans="1:29" ht="15.75" customHeight="1">
      <c r="A52" s="1" t="s">
        <v>146</v>
      </c>
      <c r="B52" s="3" t="s">
        <v>101</v>
      </c>
      <c r="C52" s="4" t="s">
        <v>8</v>
      </c>
      <c r="D52" s="4">
        <v>27</v>
      </c>
      <c r="E52" s="4">
        <v>471</v>
      </c>
      <c r="F52" s="4">
        <v>27</v>
      </c>
      <c r="G52" s="4">
        <v>4</v>
      </c>
      <c r="H52" s="4">
        <v>471</v>
      </c>
      <c r="I52" s="4">
        <v>53</v>
      </c>
      <c r="J52" s="4">
        <v>136</v>
      </c>
      <c r="K52" s="4">
        <v>0.39</v>
      </c>
      <c r="L52" s="4">
        <v>10</v>
      </c>
      <c r="M52" s="4">
        <v>32</v>
      </c>
      <c r="N52" s="4">
        <v>0.313</v>
      </c>
      <c r="O52" s="4">
        <v>43</v>
      </c>
      <c r="P52" s="4">
        <v>104</v>
      </c>
      <c r="Q52" s="4">
        <v>0.41299999999999998</v>
      </c>
      <c r="R52" s="4">
        <v>38</v>
      </c>
      <c r="S52" s="4">
        <v>45</v>
      </c>
      <c r="T52" s="4">
        <v>0.84399999999999997</v>
      </c>
      <c r="U52" s="4">
        <v>22</v>
      </c>
      <c r="V52" s="4">
        <v>63</v>
      </c>
      <c r="W52" s="4">
        <v>46</v>
      </c>
      <c r="X52" s="4">
        <v>14</v>
      </c>
      <c r="Y52" s="4">
        <v>8</v>
      </c>
      <c r="Z52" s="4">
        <v>61</v>
      </c>
      <c r="AA52" s="4">
        <v>45</v>
      </c>
      <c r="AB52" s="4">
        <v>154</v>
      </c>
      <c r="AC52" s="5">
        <f t="shared" si="0"/>
        <v>0.75409836065573765</v>
      </c>
    </row>
    <row r="53" spans="1:29" ht="15.75" customHeight="1">
      <c r="A53" s="1" t="s">
        <v>147</v>
      </c>
      <c r="B53" s="3" t="s">
        <v>88</v>
      </c>
      <c r="C53" s="4" t="s">
        <v>110</v>
      </c>
      <c r="D53" s="4">
        <v>28</v>
      </c>
      <c r="E53" s="4">
        <v>438</v>
      </c>
      <c r="F53" s="4">
        <v>28</v>
      </c>
      <c r="G53" s="4">
        <v>5</v>
      </c>
      <c r="H53" s="4">
        <v>438</v>
      </c>
      <c r="I53" s="4">
        <v>58</v>
      </c>
      <c r="J53" s="4">
        <v>125</v>
      </c>
      <c r="K53" s="4">
        <v>0.46400000000000002</v>
      </c>
      <c r="L53" s="4">
        <v>0</v>
      </c>
      <c r="M53" s="4">
        <v>0</v>
      </c>
      <c r="N53" s="4">
        <v>0</v>
      </c>
      <c r="O53" s="4">
        <v>58</v>
      </c>
      <c r="P53" s="4">
        <v>125</v>
      </c>
      <c r="Q53" s="4">
        <v>0.46400000000000002</v>
      </c>
      <c r="R53" s="4">
        <v>21</v>
      </c>
      <c r="S53" s="4">
        <v>50</v>
      </c>
      <c r="T53" s="4">
        <v>0.42</v>
      </c>
      <c r="U53" s="4">
        <v>42</v>
      </c>
      <c r="V53" s="4">
        <v>98</v>
      </c>
      <c r="W53" s="4">
        <v>13</v>
      </c>
      <c r="X53" s="4">
        <v>25</v>
      </c>
      <c r="Y53" s="4">
        <v>5</v>
      </c>
      <c r="Z53" s="4">
        <v>29</v>
      </c>
      <c r="AA53" s="4">
        <v>31</v>
      </c>
      <c r="AB53" s="4">
        <v>137</v>
      </c>
      <c r="AC53" s="5">
        <f t="shared" si="0"/>
        <v>0.44827586206896552</v>
      </c>
    </row>
    <row r="54" spans="1:29" ht="15.75" customHeight="1">
      <c r="A54" s="1" t="s">
        <v>148</v>
      </c>
      <c r="B54" s="4" t="s">
        <v>86</v>
      </c>
      <c r="C54" s="4" t="s">
        <v>99</v>
      </c>
      <c r="D54" s="4">
        <v>28</v>
      </c>
      <c r="E54" s="4">
        <v>422</v>
      </c>
      <c r="F54" s="4">
        <v>28</v>
      </c>
      <c r="G54" s="4">
        <v>5</v>
      </c>
      <c r="H54" s="4">
        <v>422</v>
      </c>
      <c r="I54" s="4">
        <v>48</v>
      </c>
      <c r="J54" s="4">
        <v>126</v>
      </c>
      <c r="K54" s="4">
        <v>0.38100000000000001</v>
      </c>
      <c r="L54" s="4">
        <v>0</v>
      </c>
      <c r="M54" s="4">
        <v>0</v>
      </c>
      <c r="N54" s="4">
        <v>0</v>
      </c>
      <c r="O54" s="4">
        <v>48</v>
      </c>
      <c r="P54" s="4">
        <v>126</v>
      </c>
      <c r="Q54" s="4">
        <v>0.38100000000000001</v>
      </c>
      <c r="R54" s="4">
        <v>26</v>
      </c>
      <c r="S54" s="4">
        <v>38</v>
      </c>
      <c r="T54" s="4">
        <v>0.68400000000000005</v>
      </c>
      <c r="U54" s="4">
        <v>32</v>
      </c>
      <c r="V54" s="4">
        <v>67</v>
      </c>
      <c r="W54" s="4">
        <v>13</v>
      </c>
      <c r="X54" s="4">
        <v>12</v>
      </c>
      <c r="Y54" s="4">
        <v>12</v>
      </c>
      <c r="Z54" s="4">
        <v>49</v>
      </c>
      <c r="AA54" s="4">
        <v>70</v>
      </c>
      <c r="AB54" s="4">
        <v>122</v>
      </c>
      <c r="AC54" s="5">
        <f t="shared" si="0"/>
        <v>0.26530612244897961</v>
      </c>
    </row>
    <row r="55" spans="1:29" ht="15.75" customHeight="1">
      <c r="A55" s="1" t="s">
        <v>149</v>
      </c>
      <c r="B55" s="3" t="s">
        <v>90</v>
      </c>
      <c r="C55" s="4" t="s">
        <v>8</v>
      </c>
      <c r="D55" s="4">
        <v>26</v>
      </c>
      <c r="E55" s="4">
        <v>397</v>
      </c>
      <c r="F55" s="4">
        <v>26</v>
      </c>
      <c r="G55" s="4">
        <v>4</v>
      </c>
      <c r="H55" s="4">
        <v>397</v>
      </c>
      <c r="I55" s="4">
        <v>29</v>
      </c>
      <c r="J55" s="4">
        <v>88</v>
      </c>
      <c r="K55" s="4">
        <v>0.33</v>
      </c>
      <c r="L55" s="4">
        <v>16</v>
      </c>
      <c r="M55" s="4">
        <v>50</v>
      </c>
      <c r="N55" s="4">
        <v>0.32</v>
      </c>
      <c r="O55" s="4">
        <v>13</v>
      </c>
      <c r="P55" s="4">
        <v>38</v>
      </c>
      <c r="Q55" s="4">
        <v>0.34200000000000003</v>
      </c>
      <c r="R55" s="4">
        <v>2</v>
      </c>
      <c r="S55" s="4">
        <v>8</v>
      </c>
      <c r="T55" s="4">
        <v>0.25</v>
      </c>
      <c r="U55" s="4">
        <v>8</v>
      </c>
      <c r="V55" s="4">
        <v>28</v>
      </c>
      <c r="W55" s="4">
        <v>29</v>
      </c>
      <c r="X55" s="4">
        <v>18</v>
      </c>
      <c r="Y55" s="4">
        <v>1</v>
      </c>
      <c r="Z55" s="4">
        <v>30</v>
      </c>
      <c r="AA55" s="4">
        <v>19</v>
      </c>
      <c r="AB55" s="4">
        <v>76</v>
      </c>
      <c r="AC55" s="5">
        <f t="shared" si="0"/>
        <v>0.96666666666666667</v>
      </c>
    </row>
    <row r="56" spans="1:29" ht="15.75" customHeight="1">
      <c r="A56" s="1" t="s">
        <v>150</v>
      </c>
      <c r="B56" s="3" t="s">
        <v>90</v>
      </c>
      <c r="C56" s="4" t="s">
        <v>118</v>
      </c>
      <c r="D56" s="4">
        <v>25</v>
      </c>
      <c r="E56" s="4">
        <v>369</v>
      </c>
      <c r="F56" s="4">
        <v>25</v>
      </c>
      <c r="G56" s="4">
        <v>1</v>
      </c>
      <c r="H56" s="4">
        <v>369</v>
      </c>
      <c r="I56" s="4">
        <v>37</v>
      </c>
      <c r="J56" s="4">
        <v>107</v>
      </c>
      <c r="K56" s="4">
        <v>0.34599999999999997</v>
      </c>
      <c r="L56" s="4">
        <v>8</v>
      </c>
      <c r="M56" s="4">
        <v>24</v>
      </c>
      <c r="N56" s="4">
        <v>0.33300000000000002</v>
      </c>
      <c r="O56" s="4">
        <v>29</v>
      </c>
      <c r="P56" s="4">
        <v>83</v>
      </c>
      <c r="Q56" s="4">
        <v>0.34899999999999998</v>
      </c>
      <c r="R56" s="4">
        <v>22</v>
      </c>
      <c r="S56" s="4">
        <v>31</v>
      </c>
      <c r="T56" s="4">
        <v>0.71</v>
      </c>
      <c r="U56" s="4">
        <v>16</v>
      </c>
      <c r="V56" s="4">
        <v>56</v>
      </c>
      <c r="W56" s="4">
        <v>25</v>
      </c>
      <c r="X56" s="4">
        <v>17</v>
      </c>
      <c r="Y56" s="4">
        <v>3</v>
      </c>
      <c r="Z56" s="4">
        <v>29</v>
      </c>
      <c r="AA56" s="4">
        <v>27</v>
      </c>
      <c r="AB56" s="4">
        <v>104</v>
      </c>
      <c r="AC56" s="5">
        <f t="shared" si="0"/>
        <v>0.86206896551724133</v>
      </c>
    </row>
    <row r="57" spans="1:29" ht="15.75" customHeight="1">
      <c r="A57" s="1" t="s">
        <v>151</v>
      </c>
      <c r="B57" s="3" t="s">
        <v>152</v>
      </c>
      <c r="C57" s="4" t="s">
        <v>8</v>
      </c>
      <c r="D57" s="4">
        <v>26</v>
      </c>
      <c r="E57" s="4">
        <v>360</v>
      </c>
      <c r="F57" s="4">
        <v>26</v>
      </c>
      <c r="G57" s="4">
        <v>7</v>
      </c>
      <c r="H57" s="4">
        <v>360</v>
      </c>
      <c r="I57" s="4">
        <v>25</v>
      </c>
      <c r="J57" s="4">
        <v>86</v>
      </c>
      <c r="K57" s="4">
        <v>0.29099999999999998</v>
      </c>
      <c r="L57" s="4">
        <v>17</v>
      </c>
      <c r="M57" s="4">
        <v>61</v>
      </c>
      <c r="N57" s="4">
        <v>0.27900000000000003</v>
      </c>
      <c r="O57" s="4">
        <v>8</v>
      </c>
      <c r="P57" s="4">
        <v>25</v>
      </c>
      <c r="Q57" s="4">
        <v>0.32</v>
      </c>
      <c r="R57" s="4">
        <v>9</v>
      </c>
      <c r="S57" s="4">
        <v>16</v>
      </c>
      <c r="T57" s="4">
        <v>0.56299999999999994</v>
      </c>
      <c r="U57" s="4">
        <v>7</v>
      </c>
      <c r="V57" s="4">
        <v>23</v>
      </c>
      <c r="W57" s="4">
        <v>20</v>
      </c>
      <c r="X57" s="4">
        <v>4</v>
      </c>
      <c r="Y57" s="4">
        <v>2</v>
      </c>
      <c r="Z57" s="4">
        <v>16</v>
      </c>
      <c r="AA57" s="4">
        <v>16</v>
      </c>
      <c r="AB57" s="4">
        <v>76</v>
      </c>
      <c r="AC57" s="5">
        <f t="shared" si="0"/>
        <v>1.25</v>
      </c>
    </row>
    <row r="58" spans="1:29" ht="15.75" customHeight="1">
      <c r="A58" s="1" t="s">
        <v>153</v>
      </c>
      <c r="B58" s="3" t="s">
        <v>98</v>
      </c>
      <c r="C58" s="4" t="s">
        <v>110</v>
      </c>
      <c r="D58" s="4">
        <v>28</v>
      </c>
      <c r="E58" s="4">
        <v>340</v>
      </c>
      <c r="F58" s="4">
        <v>28</v>
      </c>
      <c r="G58" s="4">
        <v>0</v>
      </c>
      <c r="H58" s="4">
        <v>340</v>
      </c>
      <c r="I58" s="4">
        <v>51</v>
      </c>
      <c r="J58" s="4">
        <v>92</v>
      </c>
      <c r="K58" s="4">
        <v>0.55400000000000005</v>
      </c>
      <c r="L58" s="4">
        <v>2</v>
      </c>
      <c r="M58" s="4">
        <v>8</v>
      </c>
      <c r="N58" s="4">
        <v>0.25</v>
      </c>
      <c r="O58" s="4">
        <v>49</v>
      </c>
      <c r="P58" s="4">
        <v>84</v>
      </c>
      <c r="Q58" s="4">
        <v>0.58299999999999996</v>
      </c>
      <c r="R58" s="4">
        <v>30</v>
      </c>
      <c r="S58" s="4">
        <v>45</v>
      </c>
      <c r="T58" s="4">
        <v>0.66700000000000004</v>
      </c>
      <c r="U58" s="4">
        <v>32</v>
      </c>
      <c r="V58" s="4">
        <v>68</v>
      </c>
      <c r="W58" s="4">
        <v>2</v>
      </c>
      <c r="X58" s="4">
        <v>9</v>
      </c>
      <c r="Y58" s="4">
        <v>9</v>
      </c>
      <c r="Z58" s="4">
        <v>40</v>
      </c>
      <c r="AA58" s="4">
        <v>65</v>
      </c>
      <c r="AB58" s="4">
        <v>134</v>
      </c>
      <c r="AC58" s="5">
        <f t="shared" si="0"/>
        <v>0.05</v>
      </c>
    </row>
    <row r="59" spans="1:29" ht="15.75" customHeight="1">
      <c r="A59" s="1" t="s">
        <v>154</v>
      </c>
      <c r="B59" s="3" t="s">
        <v>98</v>
      </c>
      <c r="C59" s="4" t="s">
        <v>92</v>
      </c>
      <c r="D59" s="4">
        <v>28</v>
      </c>
      <c r="E59" s="4">
        <v>332</v>
      </c>
      <c r="F59" s="4">
        <v>28</v>
      </c>
      <c r="G59" s="4">
        <v>0</v>
      </c>
      <c r="H59" s="4">
        <v>332</v>
      </c>
      <c r="I59" s="4">
        <v>38</v>
      </c>
      <c r="J59" s="4">
        <v>107</v>
      </c>
      <c r="K59" s="4">
        <v>0.35499999999999998</v>
      </c>
      <c r="L59" s="4">
        <v>2</v>
      </c>
      <c r="M59" s="4">
        <v>7</v>
      </c>
      <c r="N59" s="4">
        <v>0.28599999999999998</v>
      </c>
      <c r="O59" s="4">
        <v>36</v>
      </c>
      <c r="P59" s="4">
        <v>100</v>
      </c>
      <c r="Q59" s="4">
        <v>0.36</v>
      </c>
      <c r="R59" s="4">
        <v>22</v>
      </c>
      <c r="S59" s="4">
        <v>33</v>
      </c>
      <c r="T59" s="4">
        <v>0.66700000000000004</v>
      </c>
      <c r="U59" s="4">
        <v>36</v>
      </c>
      <c r="V59" s="4">
        <v>94</v>
      </c>
      <c r="W59" s="4">
        <v>29</v>
      </c>
      <c r="X59" s="4">
        <v>17</v>
      </c>
      <c r="Y59" s="4">
        <v>18</v>
      </c>
      <c r="Z59" s="4">
        <v>46</v>
      </c>
      <c r="AA59" s="4">
        <v>52</v>
      </c>
      <c r="AB59" s="4">
        <v>100</v>
      </c>
      <c r="AC59" s="5">
        <f t="shared" si="0"/>
        <v>0.63043478260869568</v>
      </c>
    </row>
    <row r="60" spans="1:29" ht="15.75" customHeight="1">
      <c r="A60" s="1" t="s">
        <v>155</v>
      </c>
      <c r="B60" s="3" t="s">
        <v>105</v>
      </c>
      <c r="C60" s="4" t="s">
        <v>8</v>
      </c>
      <c r="D60" s="4">
        <v>21</v>
      </c>
      <c r="E60" s="4">
        <v>325</v>
      </c>
      <c r="F60" s="4">
        <v>21</v>
      </c>
      <c r="G60" s="4">
        <v>1</v>
      </c>
      <c r="H60" s="4">
        <v>325</v>
      </c>
      <c r="I60" s="4">
        <v>53</v>
      </c>
      <c r="J60" s="4">
        <v>136</v>
      </c>
      <c r="K60" s="4">
        <v>0.39</v>
      </c>
      <c r="L60" s="4">
        <v>7</v>
      </c>
      <c r="M60" s="4">
        <v>38</v>
      </c>
      <c r="N60" s="4">
        <v>0.184</v>
      </c>
      <c r="O60" s="4">
        <v>46</v>
      </c>
      <c r="P60" s="4">
        <v>98</v>
      </c>
      <c r="Q60" s="4">
        <v>0.46899999999999997</v>
      </c>
      <c r="R60" s="4">
        <v>13</v>
      </c>
      <c r="S60" s="4">
        <v>24</v>
      </c>
      <c r="T60" s="4">
        <v>0.54200000000000004</v>
      </c>
      <c r="U60" s="4">
        <v>22</v>
      </c>
      <c r="V60" s="4">
        <v>54</v>
      </c>
      <c r="W60" s="4">
        <v>22</v>
      </c>
      <c r="X60" s="4">
        <v>23</v>
      </c>
      <c r="Y60" s="4">
        <v>6</v>
      </c>
      <c r="Z60" s="4">
        <v>27</v>
      </c>
      <c r="AA60" s="4">
        <v>48</v>
      </c>
      <c r="AB60" s="4">
        <v>126</v>
      </c>
      <c r="AC60" s="5">
        <f t="shared" si="0"/>
        <v>0.81481481481481477</v>
      </c>
    </row>
    <row r="61" spans="1:29" ht="15.75" customHeight="1">
      <c r="A61" s="1" t="s">
        <v>156</v>
      </c>
      <c r="B61" s="3" t="s">
        <v>101</v>
      </c>
      <c r="C61" s="4" t="s">
        <v>99</v>
      </c>
      <c r="D61" s="4">
        <v>26</v>
      </c>
      <c r="E61" s="4">
        <v>321</v>
      </c>
      <c r="F61" s="4">
        <v>26</v>
      </c>
      <c r="G61" s="4">
        <v>4</v>
      </c>
      <c r="H61" s="4">
        <v>321</v>
      </c>
      <c r="I61" s="4">
        <v>20</v>
      </c>
      <c r="J61" s="4">
        <v>60</v>
      </c>
      <c r="K61" s="4">
        <v>0.33300000000000002</v>
      </c>
      <c r="L61" s="4">
        <v>0</v>
      </c>
      <c r="M61" s="4">
        <v>3</v>
      </c>
      <c r="N61" s="4">
        <v>0</v>
      </c>
      <c r="O61" s="4">
        <v>20</v>
      </c>
      <c r="P61" s="4">
        <v>57</v>
      </c>
      <c r="Q61" s="4">
        <v>0.35099999999999998</v>
      </c>
      <c r="R61" s="4">
        <v>21</v>
      </c>
      <c r="S61" s="4">
        <v>37</v>
      </c>
      <c r="T61" s="4">
        <v>0.56799999999999995</v>
      </c>
      <c r="U61" s="4">
        <v>34</v>
      </c>
      <c r="V61" s="4">
        <v>80</v>
      </c>
      <c r="W61" s="4">
        <v>24</v>
      </c>
      <c r="X61" s="4">
        <v>24</v>
      </c>
      <c r="Y61" s="4">
        <v>15</v>
      </c>
      <c r="Z61" s="4">
        <v>49</v>
      </c>
      <c r="AA61" s="4">
        <v>62</v>
      </c>
      <c r="AB61" s="4">
        <v>61</v>
      </c>
      <c r="AC61" s="5">
        <f t="shared" si="0"/>
        <v>0.48979591836734693</v>
      </c>
    </row>
    <row r="62" spans="1:29" ht="15.75" customHeight="1">
      <c r="A62" s="1" t="s">
        <v>157</v>
      </c>
      <c r="B62" s="3" t="s">
        <v>94</v>
      </c>
      <c r="C62" s="4" t="s">
        <v>92</v>
      </c>
      <c r="D62" s="4">
        <v>26</v>
      </c>
      <c r="E62" s="4">
        <v>320</v>
      </c>
      <c r="F62" s="4">
        <v>26</v>
      </c>
      <c r="G62" s="4">
        <v>6</v>
      </c>
      <c r="H62" s="4">
        <v>320</v>
      </c>
      <c r="I62" s="4">
        <v>25</v>
      </c>
      <c r="J62" s="4">
        <v>73</v>
      </c>
      <c r="K62" s="4">
        <v>0.34200000000000003</v>
      </c>
      <c r="L62" s="4">
        <v>3</v>
      </c>
      <c r="M62" s="4">
        <v>8</v>
      </c>
      <c r="N62" s="4">
        <v>0.375</v>
      </c>
      <c r="O62" s="4">
        <v>22</v>
      </c>
      <c r="P62" s="4">
        <v>65</v>
      </c>
      <c r="Q62" s="4">
        <v>0.33800000000000002</v>
      </c>
      <c r="R62" s="4">
        <v>21</v>
      </c>
      <c r="S62" s="4">
        <v>25</v>
      </c>
      <c r="T62" s="4">
        <v>0.84</v>
      </c>
      <c r="U62" s="4">
        <v>26</v>
      </c>
      <c r="V62" s="4">
        <v>57</v>
      </c>
      <c r="W62" s="4">
        <v>26</v>
      </c>
      <c r="X62" s="4">
        <v>23</v>
      </c>
      <c r="Y62" s="4">
        <v>8</v>
      </c>
      <c r="Z62" s="4">
        <v>37</v>
      </c>
      <c r="AA62" s="4">
        <v>31</v>
      </c>
      <c r="AB62" s="4">
        <v>74</v>
      </c>
      <c r="AC62" s="5">
        <f t="shared" si="0"/>
        <v>0.70270270270270274</v>
      </c>
    </row>
    <row r="63" spans="1:29" ht="15.75" customHeight="1">
      <c r="A63" s="1" t="s">
        <v>158</v>
      </c>
      <c r="B63" s="3" t="s">
        <v>98</v>
      </c>
      <c r="C63" s="4" t="s">
        <v>8</v>
      </c>
      <c r="D63" s="4">
        <v>28</v>
      </c>
      <c r="E63" s="4">
        <v>290</v>
      </c>
      <c r="F63" s="4">
        <v>28</v>
      </c>
      <c r="G63" s="4">
        <v>0</v>
      </c>
      <c r="H63" s="4">
        <v>290</v>
      </c>
      <c r="I63" s="4">
        <v>25</v>
      </c>
      <c r="J63" s="4">
        <v>70</v>
      </c>
      <c r="K63" s="4">
        <v>0.35699999999999998</v>
      </c>
      <c r="L63" s="4">
        <v>17</v>
      </c>
      <c r="M63" s="4">
        <v>54</v>
      </c>
      <c r="N63" s="4">
        <v>0.315</v>
      </c>
      <c r="O63" s="4">
        <v>8</v>
      </c>
      <c r="P63" s="4">
        <v>16</v>
      </c>
      <c r="Q63" s="4">
        <v>0.5</v>
      </c>
      <c r="R63" s="4">
        <v>13</v>
      </c>
      <c r="S63" s="4">
        <v>20</v>
      </c>
      <c r="T63" s="4">
        <v>0.65</v>
      </c>
      <c r="U63" s="4">
        <v>6</v>
      </c>
      <c r="V63" s="4">
        <v>21</v>
      </c>
      <c r="W63" s="4">
        <v>30</v>
      </c>
      <c r="X63" s="4">
        <v>14</v>
      </c>
      <c r="Y63" s="4">
        <v>1</v>
      </c>
      <c r="Z63" s="4">
        <v>39</v>
      </c>
      <c r="AA63" s="4">
        <v>55</v>
      </c>
      <c r="AB63" s="4">
        <v>80</v>
      </c>
      <c r="AC63" s="5">
        <f t="shared" si="0"/>
        <v>0.76923076923076927</v>
      </c>
    </row>
    <row r="64" spans="1:29" ht="15.75" customHeight="1">
      <c r="A64" s="1" t="s">
        <v>159</v>
      </c>
      <c r="B64" s="3" t="s">
        <v>101</v>
      </c>
      <c r="C64" s="4" t="s">
        <v>118</v>
      </c>
      <c r="D64" s="4">
        <v>18</v>
      </c>
      <c r="E64" s="4">
        <v>286</v>
      </c>
      <c r="F64" s="4">
        <v>18</v>
      </c>
      <c r="G64" s="4">
        <v>7</v>
      </c>
      <c r="H64" s="4">
        <v>286</v>
      </c>
      <c r="I64" s="4">
        <v>30</v>
      </c>
      <c r="J64" s="4">
        <v>78</v>
      </c>
      <c r="K64" s="4">
        <v>0.38500000000000001</v>
      </c>
      <c r="L64" s="4">
        <v>1</v>
      </c>
      <c r="M64" s="4">
        <v>7</v>
      </c>
      <c r="N64" s="4">
        <v>0.14299999999999999</v>
      </c>
      <c r="O64" s="4">
        <v>29</v>
      </c>
      <c r="P64" s="4">
        <v>71</v>
      </c>
      <c r="Q64" s="4">
        <v>0.40799999999999997</v>
      </c>
      <c r="R64" s="4">
        <v>10</v>
      </c>
      <c r="S64" s="4">
        <v>14</v>
      </c>
      <c r="T64" s="4">
        <v>0.71399999999999997</v>
      </c>
      <c r="U64" s="4">
        <v>22</v>
      </c>
      <c r="V64" s="4">
        <v>49</v>
      </c>
      <c r="W64" s="4">
        <v>8</v>
      </c>
      <c r="X64" s="4">
        <v>13</v>
      </c>
      <c r="Y64" s="4">
        <v>1</v>
      </c>
      <c r="Z64" s="4">
        <v>14</v>
      </c>
      <c r="AA64" s="4">
        <v>33</v>
      </c>
      <c r="AB64" s="4">
        <v>71</v>
      </c>
      <c r="AC64" s="5">
        <f t="shared" si="0"/>
        <v>0.5714285714285714</v>
      </c>
    </row>
    <row r="65" spans="1:29" ht="15.75" customHeight="1">
      <c r="A65" s="1" t="s">
        <v>160</v>
      </c>
      <c r="B65" s="3" t="s">
        <v>105</v>
      </c>
      <c r="C65" s="4" t="s">
        <v>110</v>
      </c>
      <c r="D65" s="4">
        <v>28</v>
      </c>
      <c r="E65" s="4">
        <v>282</v>
      </c>
      <c r="F65" s="4">
        <v>28</v>
      </c>
      <c r="G65" s="4">
        <v>1</v>
      </c>
      <c r="H65" s="4">
        <v>282</v>
      </c>
      <c r="I65" s="4">
        <v>27</v>
      </c>
      <c r="J65" s="4">
        <v>67</v>
      </c>
      <c r="K65" s="4">
        <v>0.40300000000000002</v>
      </c>
      <c r="L65" s="4">
        <v>0</v>
      </c>
      <c r="M65" s="4">
        <v>1</v>
      </c>
      <c r="N65" s="4">
        <v>0</v>
      </c>
      <c r="O65" s="4">
        <v>27</v>
      </c>
      <c r="P65" s="4">
        <v>66</v>
      </c>
      <c r="Q65" s="4">
        <v>0.40899999999999997</v>
      </c>
      <c r="R65" s="4">
        <v>10</v>
      </c>
      <c r="S65" s="4">
        <v>15</v>
      </c>
      <c r="T65" s="4">
        <v>0.66700000000000004</v>
      </c>
      <c r="U65" s="4">
        <v>16</v>
      </c>
      <c r="V65" s="4">
        <v>48</v>
      </c>
      <c r="W65" s="4">
        <v>12</v>
      </c>
      <c r="X65" s="4">
        <v>10</v>
      </c>
      <c r="Y65" s="4">
        <v>10</v>
      </c>
      <c r="Z65" s="4">
        <v>14</v>
      </c>
      <c r="AA65" s="4">
        <v>41</v>
      </c>
      <c r="AB65" s="4">
        <v>64</v>
      </c>
      <c r="AC65" s="5">
        <f t="shared" si="0"/>
        <v>0.8571428571428571</v>
      </c>
    </row>
    <row r="66" spans="1:29" ht="15.75" customHeight="1">
      <c r="A66" s="1" t="s">
        <v>161</v>
      </c>
      <c r="B66" s="3" t="s">
        <v>105</v>
      </c>
      <c r="C66" s="4" t="s">
        <v>110</v>
      </c>
      <c r="D66" s="4">
        <v>22</v>
      </c>
      <c r="E66" s="4">
        <v>282</v>
      </c>
      <c r="F66" s="4">
        <v>22</v>
      </c>
      <c r="G66" s="4">
        <v>6</v>
      </c>
      <c r="H66" s="4">
        <v>282</v>
      </c>
      <c r="I66" s="4">
        <v>32</v>
      </c>
      <c r="J66" s="4">
        <v>72</v>
      </c>
      <c r="K66" s="4">
        <v>0.44400000000000001</v>
      </c>
      <c r="L66" s="4">
        <v>0</v>
      </c>
      <c r="M66" s="4">
        <v>4</v>
      </c>
      <c r="N66" s="4">
        <v>0</v>
      </c>
      <c r="O66" s="4">
        <v>32</v>
      </c>
      <c r="P66" s="4">
        <v>68</v>
      </c>
      <c r="Q66" s="4">
        <v>0.47099999999999997</v>
      </c>
      <c r="R66" s="4">
        <v>23</v>
      </c>
      <c r="S66" s="4">
        <v>45</v>
      </c>
      <c r="T66" s="4">
        <v>0.51100000000000001</v>
      </c>
      <c r="U66" s="4">
        <v>23</v>
      </c>
      <c r="V66" s="4">
        <v>69</v>
      </c>
      <c r="W66" s="4">
        <v>15</v>
      </c>
      <c r="X66" s="4">
        <v>12</v>
      </c>
      <c r="Y66" s="4">
        <v>12</v>
      </c>
      <c r="Z66" s="4">
        <v>25</v>
      </c>
      <c r="AA66" s="4">
        <v>52</v>
      </c>
      <c r="AB66" s="4">
        <v>87</v>
      </c>
      <c r="AC66" s="5">
        <f t="shared" si="0"/>
        <v>0.6</v>
      </c>
    </row>
    <row r="67" spans="1:29" ht="15.75" customHeight="1">
      <c r="A67" s="1" t="s">
        <v>162</v>
      </c>
      <c r="B67" s="3" t="s">
        <v>94</v>
      </c>
      <c r="C67" s="4" t="s">
        <v>8</v>
      </c>
      <c r="D67" s="4">
        <v>25</v>
      </c>
      <c r="E67" s="4">
        <v>279</v>
      </c>
      <c r="F67" s="4">
        <v>25</v>
      </c>
      <c r="G67" s="4">
        <v>0</v>
      </c>
      <c r="H67" s="4">
        <v>279</v>
      </c>
      <c r="I67" s="4">
        <v>25</v>
      </c>
      <c r="J67" s="4">
        <v>77</v>
      </c>
      <c r="K67" s="4">
        <v>0.32500000000000001</v>
      </c>
      <c r="L67" s="4">
        <v>6</v>
      </c>
      <c r="M67" s="4">
        <v>26</v>
      </c>
      <c r="N67" s="4">
        <v>0.23100000000000001</v>
      </c>
      <c r="O67" s="4">
        <v>19</v>
      </c>
      <c r="P67" s="4">
        <v>51</v>
      </c>
      <c r="Q67" s="4">
        <v>0.373</v>
      </c>
      <c r="R67" s="4">
        <v>8</v>
      </c>
      <c r="S67" s="4">
        <v>10</v>
      </c>
      <c r="T67" s="4">
        <v>0.8</v>
      </c>
      <c r="U67" s="4">
        <v>6</v>
      </c>
      <c r="V67" s="4">
        <v>32</v>
      </c>
      <c r="W67" s="4">
        <v>40</v>
      </c>
      <c r="X67" s="4">
        <v>14</v>
      </c>
      <c r="Y67" s="4">
        <v>2</v>
      </c>
      <c r="Z67" s="4">
        <v>39</v>
      </c>
      <c r="AA67" s="4">
        <v>34</v>
      </c>
      <c r="AB67" s="4">
        <v>64</v>
      </c>
      <c r="AC67" s="5">
        <f t="shared" si="0"/>
        <v>1.0256410256410255</v>
      </c>
    </row>
    <row r="68" spans="1:29" ht="15.75" customHeight="1">
      <c r="A68" s="1" t="s">
        <v>163</v>
      </c>
      <c r="B68" s="3" t="s">
        <v>96</v>
      </c>
      <c r="C68" s="4" t="s">
        <v>8</v>
      </c>
      <c r="D68" s="4">
        <v>24</v>
      </c>
      <c r="E68" s="4">
        <v>273</v>
      </c>
      <c r="F68" s="4">
        <v>24</v>
      </c>
      <c r="G68" s="4">
        <v>14</v>
      </c>
      <c r="H68" s="4">
        <v>273</v>
      </c>
      <c r="I68" s="4">
        <v>18</v>
      </c>
      <c r="J68" s="4">
        <v>44</v>
      </c>
      <c r="K68" s="4">
        <v>0.40899999999999997</v>
      </c>
      <c r="L68" s="4">
        <v>9</v>
      </c>
      <c r="M68" s="4">
        <v>24</v>
      </c>
      <c r="N68" s="4">
        <v>0.375</v>
      </c>
      <c r="O68" s="4">
        <v>9</v>
      </c>
      <c r="P68" s="4">
        <v>20</v>
      </c>
      <c r="Q68" s="4">
        <v>0.45</v>
      </c>
      <c r="R68" s="4">
        <v>3</v>
      </c>
      <c r="S68" s="4">
        <v>5</v>
      </c>
      <c r="T68" s="4">
        <v>0.6</v>
      </c>
      <c r="U68" s="4">
        <v>2</v>
      </c>
      <c r="V68" s="4">
        <v>10</v>
      </c>
      <c r="W68" s="4">
        <v>42</v>
      </c>
      <c r="X68" s="4">
        <v>11</v>
      </c>
      <c r="Y68" s="4">
        <v>1</v>
      </c>
      <c r="Z68" s="4">
        <v>28</v>
      </c>
      <c r="AA68" s="4">
        <v>28</v>
      </c>
      <c r="AB68" s="4">
        <v>48</v>
      </c>
      <c r="AC68" s="5">
        <f t="shared" ref="AC68:AC131" si="1">IF(Z68=0,"",W68/Z68)</f>
        <v>1.5</v>
      </c>
    </row>
    <row r="69" spans="1:29" ht="15.75" customHeight="1">
      <c r="A69" s="1" t="s">
        <v>164</v>
      </c>
      <c r="B69" s="3" t="s">
        <v>101</v>
      </c>
      <c r="C69" s="4" t="s">
        <v>92</v>
      </c>
      <c r="D69" s="4">
        <v>13</v>
      </c>
      <c r="E69" s="4">
        <v>268</v>
      </c>
      <c r="F69" s="4">
        <v>13</v>
      </c>
      <c r="G69" s="4">
        <v>10</v>
      </c>
      <c r="H69" s="4">
        <v>268</v>
      </c>
      <c r="I69" s="4">
        <v>15</v>
      </c>
      <c r="J69" s="4">
        <v>29</v>
      </c>
      <c r="K69" s="4">
        <v>0.51700000000000002</v>
      </c>
      <c r="L69" s="4">
        <v>2</v>
      </c>
      <c r="M69" s="4">
        <v>3</v>
      </c>
      <c r="N69" s="4">
        <v>0.66700000000000004</v>
      </c>
      <c r="O69" s="4">
        <v>13</v>
      </c>
      <c r="P69" s="4">
        <v>26</v>
      </c>
      <c r="Q69" s="4">
        <v>0.5</v>
      </c>
      <c r="R69" s="4">
        <v>12</v>
      </c>
      <c r="S69" s="4">
        <v>16</v>
      </c>
      <c r="T69" s="4">
        <v>0.75</v>
      </c>
      <c r="U69" s="4">
        <v>12</v>
      </c>
      <c r="V69" s="4">
        <v>37</v>
      </c>
      <c r="W69" s="4">
        <v>10</v>
      </c>
      <c r="X69" s="4">
        <v>9</v>
      </c>
      <c r="Y69" s="4">
        <v>4</v>
      </c>
      <c r="Z69" s="4">
        <v>18</v>
      </c>
      <c r="AA69" s="4">
        <v>15</v>
      </c>
      <c r="AB69" s="4">
        <v>44</v>
      </c>
      <c r="AC69" s="5">
        <f t="shared" si="1"/>
        <v>0.55555555555555558</v>
      </c>
    </row>
    <row r="70" spans="1:29" ht="15.75" customHeight="1">
      <c r="A70" s="1" t="s">
        <v>165</v>
      </c>
      <c r="B70" s="3" t="s">
        <v>86</v>
      </c>
      <c r="C70" s="4" t="s">
        <v>92</v>
      </c>
      <c r="D70" s="4">
        <v>13</v>
      </c>
      <c r="E70" s="4">
        <v>265</v>
      </c>
      <c r="F70" s="4">
        <v>13</v>
      </c>
      <c r="G70" s="4">
        <v>9</v>
      </c>
      <c r="H70" s="4">
        <v>265</v>
      </c>
      <c r="I70" s="4">
        <v>22</v>
      </c>
      <c r="J70" s="4">
        <v>50</v>
      </c>
      <c r="K70" s="4">
        <v>0.44</v>
      </c>
      <c r="L70" s="4">
        <v>0</v>
      </c>
      <c r="M70" s="4">
        <v>0</v>
      </c>
      <c r="N70" s="4">
        <v>0</v>
      </c>
      <c r="O70" s="4">
        <v>22</v>
      </c>
      <c r="P70" s="4">
        <v>50</v>
      </c>
      <c r="Q70" s="4">
        <v>0.44</v>
      </c>
      <c r="R70" s="4">
        <v>11</v>
      </c>
      <c r="S70" s="4">
        <v>11</v>
      </c>
      <c r="T70" s="4">
        <v>1</v>
      </c>
      <c r="U70" s="4">
        <v>24</v>
      </c>
      <c r="V70" s="4">
        <v>47</v>
      </c>
      <c r="W70" s="4">
        <v>10</v>
      </c>
      <c r="X70" s="4">
        <v>8</v>
      </c>
      <c r="Y70" s="4">
        <v>2</v>
      </c>
      <c r="Z70" s="4">
        <v>24</v>
      </c>
      <c r="AA70" s="4">
        <v>30</v>
      </c>
      <c r="AB70" s="4">
        <v>55</v>
      </c>
      <c r="AC70" s="5">
        <f t="shared" si="1"/>
        <v>0.41666666666666669</v>
      </c>
    </row>
    <row r="71" spans="1:29" ht="15.75" customHeight="1">
      <c r="A71" s="1" t="s">
        <v>166</v>
      </c>
      <c r="B71" s="3" t="s">
        <v>101</v>
      </c>
      <c r="C71" s="4" t="s">
        <v>167</v>
      </c>
      <c r="D71" s="4">
        <v>26</v>
      </c>
      <c r="E71" s="4">
        <v>263</v>
      </c>
      <c r="F71" s="4">
        <v>26</v>
      </c>
      <c r="G71" s="4">
        <v>0</v>
      </c>
      <c r="H71" s="4">
        <v>263</v>
      </c>
      <c r="I71" s="4">
        <v>37</v>
      </c>
      <c r="J71" s="4">
        <v>80</v>
      </c>
      <c r="K71" s="4">
        <v>0.46300000000000002</v>
      </c>
      <c r="L71" s="4">
        <v>0</v>
      </c>
      <c r="M71" s="4">
        <v>1</v>
      </c>
      <c r="N71" s="4">
        <v>0</v>
      </c>
      <c r="O71" s="4">
        <v>37</v>
      </c>
      <c r="P71" s="4">
        <v>79</v>
      </c>
      <c r="Q71" s="4">
        <v>0.46800000000000003</v>
      </c>
      <c r="R71" s="4">
        <v>9</v>
      </c>
      <c r="S71" s="4">
        <v>16</v>
      </c>
      <c r="T71" s="4">
        <v>0.56299999999999994</v>
      </c>
      <c r="U71" s="4">
        <v>17</v>
      </c>
      <c r="V71" s="4">
        <v>36</v>
      </c>
      <c r="W71" s="4">
        <v>10</v>
      </c>
      <c r="X71" s="4">
        <v>13</v>
      </c>
      <c r="Y71" s="4">
        <v>11</v>
      </c>
      <c r="Z71" s="4">
        <v>12</v>
      </c>
      <c r="AA71" s="4">
        <v>57</v>
      </c>
      <c r="AB71" s="4">
        <v>83</v>
      </c>
      <c r="AC71" s="5">
        <f t="shared" si="1"/>
        <v>0.83333333333333337</v>
      </c>
    </row>
    <row r="72" spans="1:29" ht="15.75" customHeight="1">
      <c r="A72" s="1" t="s">
        <v>168</v>
      </c>
      <c r="B72" s="3" t="s">
        <v>96</v>
      </c>
      <c r="C72" s="4" t="s">
        <v>8</v>
      </c>
      <c r="D72" s="4">
        <v>25</v>
      </c>
      <c r="E72" s="4">
        <v>194</v>
      </c>
      <c r="F72" s="4">
        <v>25</v>
      </c>
      <c r="G72" s="4">
        <v>0</v>
      </c>
      <c r="H72" s="4">
        <v>194</v>
      </c>
      <c r="I72" s="4">
        <v>22</v>
      </c>
      <c r="J72" s="4">
        <v>58</v>
      </c>
      <c r="K72" s="4">
        <v>0.379</v>
      </c>
      <c r="L72" s="4">
        <v>2</v>
      </c>
      <c r="M72" s="4">
        <v>4</v>
      </c>
      <c r="N72" s="4">
        <v>0.5</v>
      </c>
      <c r="O72" s="4">
        <v>20</v>
      </c>
      <c r="P72" s="4">
        <v>54</v>
      </c>
      <c r="Q72" s="4">
        <v>0.37</v>
      </c>
      <c r="R72" s="4">
        <v>7</v>
      </c>
      <c r="S72" s="4">
        <v>9</v>
      </c>
      <c r="T72" s="4">
        <v>0.77800000000000002</v>
      </c>
      <c r="U72" s="4">
        <v>8</v>
      </c>
      <c r="V72" s="4">
        <v>22</v>
      </c>
      <c r="W72" s="4">
        <v>9</v>
      </c>
      <c r="X72" s="4">
        <v>5</v>
      </c>
      <c r="Y72" s="4">
        <v>1</v>
      </c>
      <c r="Z72" s="4">
        <v>27</v>
      </c>
      <c r="AA72" s="4">
        <v>13</v>
      </c>
      <c r="AB72" s="4">
        <v>53</v>
      </c>
      <c r="AC72" s="5">
        <f t="shared" si="1"/>
        <v>0.33333333333333331</v>
      </c>
    </row>
    <row r="73" spans="1:29" ht="15.75" customHeight="1">
      <c r="A73" s="1" t="s">
        <v>169</v>
      </c>
      <c r="B73" s="3" t="s">
        <v>86</v>
      </c>
      <c r="C73" s="4" t="s">
        <v>8</v>
      </c>
      <c r="D73" s="4">
        <v>19</v>
      </c>
      <c r="E73" s="4">
        <v>188</v>
      </c>
      <c r="F73" s="4">
        <v>19</v>
      </c>
      <c r="G73" s="4">
        <v>0</v>
      </c>
      <c r="H73" s="4">
        <v>188</v>
      </c>
      <c r="I73" s="4">
        <v>23</v>
      </c>
      <c r="J73" s="4">
        <v>57</v>
      </c>
      <c r="K73" s="4">
        <v>0.40400000000000003</v>
      </c>
      <c r="L73" s="4">
        <v>0</v>
      </c>
      <c r="M73" s="4">
        <v>1</v>
      </c>
      <c r="N73" s="4">
        <v>0</v>
      </c>
      <c r="O73" s="4">
        <v>23</v>
      </c>
      <c r="P73" s="4">
        <v>56</v>
      </c>
      <c r="Q73" s="4">
        <v>0.41099999999999998</v>
      </c>
      <c r="R73" s="4">
        <v>6</v>
      </c>
      <c r="S73" s="4">
        <v>12</v>
      </c>
      <c r="T73" s="4">
        <v>0.5</v>
      </c>
      <c r="U73" s="4">
        <v>12</v>
      </c>
      <c r="V73" s="4">
        <v>20</v>
      </c>
      <c r="W73" s="4">
        <v>6</v>
      </c>
      <c r="X73" s="4">
        <v>18</v>
      </c>
      <c r="Y73" s="4">
        <v>2</v>
      </c>
      <c r="Z73" s="4">
        <v>16</v>
      </c>
      <c r="AA73" s="4">
        <v>17</v>
      </c>
      <c r="AB73" s="4">
        <v>52</v>
      </c>
      <c r="AC73" s="5">
        <f t="shared" si="1"/>
        <v>0.375</v>
      </c>
    </row>
    <row r="74" spans="1:29" ht="15.75" customHeight="1">
      <c r="A74" s="1" t="s">
        <v>170</v>
      </c>
      <c r="B74" s="3" t="s">
        <v>86</v>
      </c>
      <c r="C74" s="4" t="s">
        <v>8</v>
      </c>
      <c r="D74" s="4">
        <v>14</v>
      </c>
      <c r="E74" s="4">
        <v>157</v>
      </c>
      <c r="F74" s="4">
        <v>14</v>
      </c>
      <c r="G74" s="4">
        <v>0</v>
      </c>
      <c r="H74" s="4">
        <v>157</v>
      </c>
      <c r="I74" s="4">
        <v>11</v>
      </c>
      <c r="J74" s="4">
        <v>45</v>
      </c>
      <c r="K74" s="4">
        <v>0.24399999999999999</v>
      </c>
      <c r="L74" s="4">
        <v>4</v>
      </c>
      <c r="M74" s="4">
        <v>20</v>
      </c>
      <c r="N74" s="4">
        <v>0.2</v>
      </c>
      <c r="O74" s="4">
        <v>7</v>
      </c>
      <c r="P74" s="4">
        <v>25</v>
      </c>
      <c r="Q74" s="4">
        <v>0.28000000000000003</v>
      </c>
      <c r="R74" s="4">
        <v>7</v>
      </c>
      <c r="S74" s="4">
        <v>9</v>
      </c>
      <c r="T74" s="4">
        <v>0.77800000000000002</v>
      </c>
      <c r="U74" s="4">
        <v>1</v>
      </c>
      <c r="V74" s="4">
        <v>6</v>
      </c>
      <c r="W74" s="4">
        <v>12</v>
      </c>
      <c r="X74" s="4">
        <v>4</v>
      </c>
      <c r="Y74" s="4">
        <v>1</v>
      </c>
      <c r="Z74" s="4">
        <v>21</v>
      </c>
      <c r="AA74" s="4">
        <v>14</v>
      </c>
      <c r="AB74" s="4">
        <v>33</v>
      </c>
      <c r="AC74" s="5">
        <f t="shared" si="1"/>
        <v>0.5714285714285714</v>
      </c>
    </row>
    <row r="75" spans="1:29" ht="15.75" customHeight="1">
      <c r="A75" s="1" t="s">
        <v>171</v>
      </c>
      <c r="B75" s="4" t="s">
        <v>90</v>
      </c>
      <c r="C75" s="4" t="s">
        <v>172</v>
      </c>
      <c r="D75" s="4">
        <v>9</v>
      </c>
      <c r="E75" s="4">
        <v>129</v>
      </c>
      <c r="F75" s="4">
        <v>9</v>
      </c>
      <c r="G75" s="4">
        <v>0</v>
      </c>
      <c r="H75" s="4">
        <v>129</v>
      </c>
      <c r="I75" s="4">
        <v>25</v>
      </c>
      <c r="J75" s="4">
        <v>53</v>
      </c>
      <c r="K75" s="4">
        <v>0.47199999999999998</v>
      </c>
      <c r="L75" s="4">
        <v>4</v>
      </c>
      <c r="M75" s="4">
        <v>16</v>
      </c>
      <c r="N75" s="4">
        <v>0.25</v>
      </c>
      <c r="O75" s="4">
        <v>21</v>
      </c>
      <c r="P75" s="4">
        <v>37</v>
      </c>
      <c r="Q75" s="4">
        <v>0.56799999999999995</v>
      </c>
      <c r="R75" s="4">
        <v>10</v>
      </c>
      <c r="S75" s="4">
        <v>14</v>
      </c>
      <c r="T75" s="4">
        <v>0.71399999999999997</v>
      </c>
      <c r="U75" s="4">
        <v>6</v>
      </c>
      <c r="V75" s="4">
        <v>15</v>
      </c>
      <c r="W75" s="4">
        <v>7</v>
      </c>
      <c r="X75" s="4">
        <v>7</v>
      </c>
      <c r="Y75" s="4">
        <v>4</v>
      </c>
      <c r="Z75" s="4">
        <v>4</v>
      </c>
      <c r="AA75" s="4">
        <v>5</v>
      </c>
      <c r="AB75" s="4">
        <v>64</v>
      </c>
      <c r="AC75" s="5">
        <f t="shared" si="1"/>
        <v>1.75</v>
      </c>
    </row>
    <row r="76" spans="1:29" ht="15.75" customHeight="1">
      <c r="A76" s="1" t="s">
        <v>173</v>
      </c>
      <c r="B76" s="3" t="s">
        <v>88</v>
      </c>
      <c r="C76" s="4" t="s">
        <v>8</v>
      </c>
      <c r="D76" s="4">
        <v>10</v>
      </c>
      <c r="E76" s="4">
        <v>116</v>
      </c>
      <c r="F76" s="4">
        <v>10</v>
      </c>
      <c r="G76" s="4">
        <v>2</v>
      </c>
      <c r="H76" s="4">
        <v>116</v>
      </c>
      <c r="I76" s="4">
        <v>11</v>
      </c>
      <c r="J76" s="4">
        <v>43</v>
      </c>
      <c r="K76" s="4">
        <v>0.25600000000000001</v>
      </c>
      <c r="L76" s="4">
        <v>4</v>
      </c>
      <c r="M76" s="4">
        <v>18</v>
      </c>
      <c r="N76" s="4">
        <v>0.222</v>
      </c>
      <c r="O76" s="4">
        <v>7</v>
      </c>
      <c r="P76" s="4">
        <v>25</v>
      </c>
      <c r="Q76" s="4">
        <v>0.28000000000000003</v>
      </c>
      <c r="R76" s="4">
        <v>1</v>
      </c>
      <c r="S76" s="4">
        <v>2</v>
      </c>
      <c r="T76" s="4">
        <v>0.5</v>
      </c>
      <c r="U76" s="4">
        <v>3</v>
      </c>
      <c r="V76" s="4">
        <v>13</v>
      </c>
      <c r="W76" s="4">
        <v>9</v>
      </c>
      <c r="X76" s="4">
        <v>2</v>
      </c>
      <c r="Y76" s="4">
        <v>0</v>
      </c>
      <c r="Z76" s="4">
        <v>6</v>
      </c>
      <c r="AA76" s="4">
        <v>9</v>
      </c>
      <c r="AB76" s="4">
        <v>27</v>
      </c>
      <c r="AC76" s="5">
        <f t="shared" si="1"/>
        <v>1.5</v>
      </c>
    </row>
    <row r="77" spans="1:29" ht="15.75" customHeight="1">
      <c r="A77" s="1" t="s">
        <v>174</v>
      </c>
      <c r="B77" s="3" t="s">
        <v>88</v>
      </c>
      <c r="C77" s="4" t="s">
        <v>92</v>
      </c>
      <c r="D77" s="4">
        <v>20</v>
      </c>
      <c r="E77" s="4">
        <v>113</v>
      </c>
      <c r="F77" s="4">
        <v>20</v>
      </c>
      <c r="G77" s="4">
        <v>0</v>
      </c>
      <c r="H77" s="4">
        <v>113</v>
      </c>
      <c r="I77" s="4">
        <v>4</v>
      </c>
      <c r="J77" s="4">
        <v>16</v>
      </c>
      <c r="K77" s="4">
        <v>0.25</v>
      </c>
      <c r="L77" s="4">
        <v>0</v>
      </c>
      <c r="M77" s="4">
        <v>1</v>
      </c>
      <c r="N77" s="4">
        <v>0</v>
      </c>
      <c r="O77" s="4">
        <v>4</v>
      </c>
      <c r="P77" s="4">
        <v>15</v>
      </c>
      <c r="Q77" s="4">
        <v>0.26700000000000002</v>
      </c>
      <c r="R77" s="4">
        <v>8</v>
      </c>
      <c r="S77" s="4">
        <v>15</v>
      </c>
      <c r="T77" s="4">
        <v>0.53300000000000003</v>
      </c>
      <c r="U77" s="4">
        <v>1</v>
      </c>
      <c r="V77" s="4">
        <v>16</v>
      </c>
      <c r="W77" s="4">
        <v>8</v>
      </c>
      <c r="X77" s="4">
        <v>6</v>
      </c>
      <c r="Y77" s="4">
        <v>1</v>
      </c>
      <c r="Z77" s="4">
        <v>12</v>
      </c>
      <c r="AA77" s="4">
        <v>13</v>
      </c>
      <c r="AB77" s="4">
        <v>16</v>
      </c>
      <c r="AC77" s="5">
        <f t="shared" si="1"/>
        <v>0.66666666666666663</v>
      </c>
    </row>
    <row r="78" spans="1:29" ht="15.75" customHeight="1">
      <c r="A78" s="1" t="s">
        <v>175</v>
      </c>
      <c r="B78" s="3" t="s">
        <v>96</v>
      </c>
      <c r="C78" s="4" t="s">
        <v>8</v>
      </c>
      <c r="D78" s="4">
        <v>10</v>
      </c>
      <c r="E78" s="4">
        <v>112</v>
      </c>
      <c r="F78" s="4">
        <v>10</v>
      </c>
      <c r="G78" s="4">
        <v>1</v>
      </c>
      <c r="H78" s="4">
        <v>112</v>
      </c>
      <c r="I78" s="4">
        <v>7</v>
      </c>
      <c r="J78" s="4">
        <v>15</v>
      </c>
      <c r="K78" s="4">
        <v>0.46700000000000003</v>
      </c>
      <c r="L78" s="4">
        <v>0</v>
      </c>
      <c r="M78" s="4">
        <v>3</v>
      </c>
      <c r="N78" s="4">
        <v>0</v>
      </c>
      <c r="O78" s="4">
        <v>7</v>
      </c>
      <c r="P78" s="4">
        <v>12</v>
      </c>
      <c r="Q78" s="4">
        <v>0.58299999999999996</v>
      </c>
      <c r="R78" s="4">
        <v>4</v>
      </c>
      <c r="S78" s="4">
        <v>7</v>
      </c>
      <c r="T78" s="4">
        <v>0.57099999999999995</v>
      </c>
      <c r="U78" s="4">
        <v>3</v>
      </c>
      <c r="V78" s="4">
        <v>10</v>
      </c>
      <c r="W78" s="4">
        <v>9</v>
      </c>
      <c r="X78" s="4">
        <v>6</v>
      </c>
      <c r="Y78" s="4">
        <v>0</v>
      </c>
      <c r="Z78" s="4">
        <v>22</v>
      </c>
      <c r="AA78" s="4">
        <v>10</v>
      </c>
      <c r="AB78" s="4">
        <v>18</v>
      </c>
      <c r="AC78" s="5">
        <f t="shared" si="1"/>
        <v>0.40909090909090912</v>
      </c>
    </row>
    <row r="79" spans="1:29" ht="15.75" customHeight="1">
      <c r="A79" s="1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</row>
    <row r="80" spans="1:29" ht="15.75" customHeight="1">
      <c r="A80" s="1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</row>
    <row r="81" spans="1:29" ht="15.75" customHeight="1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</row>
    <row r="82" spans="1:29" ht="15.75" customHeight="1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</row>
    <row r="83" spans="1:29" ht="15.75" customHeight="1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</row>
    <row r="84" spans="1:29" ht="15.75" customHeight="1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</row>
    <row r="85" spans="1:29" ht="15.75" customHeight="1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</row>
    <row r="86" spans="1:29" ht="15.75" customHeight="1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</row>
    <row r="87" spans="1:29" ht="15.75" customHeight="1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</row>
    <row r="88" spans="1:29" ht="15.75" customHeight="1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</row>
    <row r="89" spans="1:29" ht="15.75" customHeight="1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</row>
    <row r="90" spans="1:29" ht="15.75" customHeight="1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</row>
    <row r="91" spans="1:29" ht="15.75" customHeight="1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</row>
    <row r="92" spans="1:29" ht="15.75" customHeight="1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</row>
    <row r="93" spans="1:29" ht="15.75" customHeight="1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</row>
    <row r="94" spans="1:29" ht="15.75" customHeight="1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</row>
    <row r="95" spans="1:29" ht="15.75" customHeight="1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</row>
    <row r="96" spans="1:29" ht="15.75" customHeight="1">
      <c r="A96" s="1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</row>
    <row r="97" spans="1:29" ht="15.75" customHeight="1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</row>
    <row r="98" spans="1:29" ht="15.75" customHeight="1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</row>
    <row r="99" spans="1:29" ht="15.75" customHeight="1">
      <c r="A99" s="1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</row>
    <row r="100" spans="1:29" ht="15.75" customHeight="1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 t="str">
        <f t="shared" si="1"/>
        <v/>
      </c>
    </row>
    <row r="101" spans="1:29" ht="15.75" customHeight="1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 t="str">
        <f t="shared" si="1"/>
        <v/>
      </c>
    </row>
    <row r="102" spans="1:29" ht="15.75" customHeight="1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 t="str">
        <f t="shared" si="1"/>
        <v/>
      </c>
    </row>
    <row r="103" spans="1:29" ht="15.75" customHeight="1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 t="str">
        <f t="shared" si="1"/>
        <v/>
      </c>
    </row>
    <row r="104" spans="1:29" ht="15.75" customHeight="1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 t="str">
        <f t="shared" si="1"/>
        <v/>
      </c>
    </row>
    <row r="105" spans="1:29" ht="15.75" customHeight="1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 t="str">
        <f t="shared" si="1"/>
        <v/>
      </c>
    </row>
    <row r="106" spans="1:29" ht="15.75" customHeight="1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 t="str">
        <f t="shared" si="1"/>
        <v/>
      </c>
    </row>
    <row r="107" spans="1:29" ht="15.75" customHeight="1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 t="str">
        <f t="shared" si="1"/>
        <v/>
      </c>
    </row>
    <row r="108" spans="1:29" ht="15.75" customHeight="1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 t="str">
        <f t="shared" si="1"/>
        <v/>
      </c>
    </row>
    <row r="109" spans="1:29" ht="15.75" customHeight="1">
      <c r="A109" s="1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 t="str">
        <f t="shared" si="1"/>
        <v/>
      </c>
    </row>
    <row r="110" spans="1:29" ht="15.75" customHeight="1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 t="str">
        <f t="shared" si="1"/>
        <v/>
      </c>
    </row>
    <row r="111" spans="1:29" ht="15.75" customHeight="1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 t="str">
        <f t="shared" si="1"/>
        <v/>
      </c>
    </row>
    <row r="112" spans="1:29" ht="15.75" customHeight="1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 t="str">
        <f t="shared" si="1"/>
        <v/>
      </c>
    </row>
    <row r="113" spans="1:29" ht="15.75" customHeight="1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 t="str">
        <f t="shared" si="1"/>
        <v/>
      </c>
    </row>
    <row r="114" spans="1:29" ht="15.75" customHeight="1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 t="str">
        <f t="shared" si="1"/>
        <v/>
      </c>
    </row>
    <row r="115" spans="1:29" ht="15.75" customHeight="1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 t="str">
        <f t="shared" si="1"/>
        <v/>
      </c>
    </row>
    <row r="116" spans="1:29" ht="15.75" customHeight="1">
      <c r="A116" s="1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 t="str">
        <f t="shared" si="1"/>
        <v/>
      </c>
    </row>
    <row r="117" spans="1:29" ht="15.75" customHeight="1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 t="str">
        <f t="shared" si="1"/>
        <v/>
      </c>
    </row>
    <row r="118" spans="1:29" ht="15.75" customHeight="1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 t="str">
        <f t="shared" si="1"/>
        <v/>
      </c>
    </row>
    <row r="119" spans="1:29" ht="15.75" customHeight="1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 t="str">
        <f t="shared" si="1"/>
        <v/>
      </c>
    </row>
    <row r="120" spans="1:29" ht="15.75" customHeight="1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 t="str">
        <f t="shared" si="1"/>
        <v/>
      </c>
    </row>
    <row r="121" spans="1:29" ht="15.75" customHeight="1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 t="str">
        <f t="shared" si="1"/>
        <v/>
      </c>
    </row>
    <row r="122" spans="1:29" ht="15.75" customHeight="1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 t="str">
        <f t="shared" si="1"/>
        <v/>
      </c>
    </row>
    <row r="123" spans="1:29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 t="str">
        <f t="shared" si="1"/>
        <v/>
      </c>
    </row>
    <row r="124" spans="1:29" ht="15.75" customHeight="1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 t="str">
        <f t="shared" si="1"/>
        <v/>
      </c>
    </row>
    <row r="125" spans="1:29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 t="str">
        <f t="shared" si="1"/>
        <v/>
      </c>
    </row>
    <row r="126" spans="1:29" ht="15.75" customHeight="1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 t="str">
        <f t="shared" si="1"/>
        <v/>
      </c>
    </row>
    <row r="127" spans="1:29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 t="str">
        <f t="shared" si="1"/>
        <v/>
      </c>
    </row>
    <row r="128" spans="1:29" ht="15.75" customHeight="1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 t="str">
        <f t="shared" si="1"/>
        <v/>
      </c>
    </row>
    <row r="129" spans="1:29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 t="str">
        <f t="shared" si="1"/>
        <v/>
      </c>
    </row>
    <row r="130" spans="1:29" ht="15.75" customHeight="1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 t="str">
        <f t="shared" si="1"/>
        <v/>
      </c>
    </row>
    <row r="131" spans="1:29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 t="str">
        <f t="shared" si="1"/>
        <v/>
      </c>
    </row>
    <row r="132" spans="1:29" ht="15.75" customHeight="1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 t="str">
        <f t="shared" ref="AC132:AC195" si="2">IF(Z132=0,"",W132/Z132)</f>
        <v/>
      </c>
    </row>
    <row r="133" spans="1:29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 t="str">
        <f t="shared" si="2"/>
        <v/>
      </c>
    </row>
    <row r="134" spans="1:29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 t="str">
        <f t="shared" si="2"/>
        <v/>
      </c>
    </row>
    <row r="135" spans="1:29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 t="str">
        <f t="shared" si="2"/>
        <v/>
      </c>
    </row>
    <row r="136" spans="1:29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 t="str">
        <f t="shared" si="2"/>
        <v/>
      </c>
    </row>
    <row r="137" spans="1:29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 t="str">
        <f t="shared" si="2"/>
        <v/>
      </c>
    </row>
    <row r="138" spans="1:29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 t="str">
        <f t="shared" si="2"/>
        <v/>
      </c>
    </row>
    <row r="139" spans="1:29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 t="str">
        <f t="shared" si="2"/>
        <v/>
      </c>
    </row>
    <row r="140" spans="1:29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 t="str">
        <f t="shared" si="2"/>
        <v/>
      </c>
    </row>
    <row r="141" spans="1:29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 t="str">
        <f t="shared" si="2"/>
        <v/>
      </c>
    </row>
    <row r="142" spans="1:29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 t="str">
        <f t="shared" si="2"/>
        <v/>
      </c>
    </row>
    <row r="143" spans="1:29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 t="str">
        <f t="shared" si="2"/>
        <v/>
      </c>
    </row>
    <row r="144" spans="1:29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 t="str">
        <f t="shared" si="2"/>
        <v/>
      </c>
    </row>
    <row r="145" spans="1:29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 t="str">
        <f t="shared" si="2"/>
        <v/>
      </c>
    </row>
    <row r="146" spans="1:29" ht="15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 t="str">
        <f t="shared" si="2"/>
        <v/>
      </c>
    </row>
    <row r="147" spans="1:29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 t="str">
        <f t="shared" si="2"/>
        <v/>
      </c>
    </row>
    <row r="148" spans="1:29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 t="str">
        <f t="shared" si="2"/>
        <v/>
      </c>
    </row>
    <row r="149" spans="1:29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 t="str">
        <f t="shared" si="2"/>
        <v/>
      </c>
    </row>
    <row r="150" spans="1:29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 t="str">
        <f t="shared" si="2"/>
        <v/>
      </c>
    </row>
    <row r="151" spans="1:29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 t="str">
        <f t="shared" si="2"/>
        <v/>
      </c>
    </row>
    <row r="152" spans="1:29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 t="str">
        <f t="shared" si="2"/>
        <v/>
      </c>
    </row>
    <row r="153" spans="1:29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si="2"/>
        <v/>
      </c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1940</v>
      </c>
      <c r="E300" s="19">
        <f t="shared" ref="E300:AB300" si="5">SUM(E3:E298)</f>
        <v>44396</v>
      </c>
      <c r="F300" s="19">
        <f t="shared" si="5"/>
        <v>1940</v>
      </c>
      <c r="G300" s="19">
        <f t="shared" si="5"/>
        <v>1117</v>
      </c>
      <c r="H300" s="19">
        <f t="shared" si="5"/>
        <v>44396</v>
      </c>
      <c r="I300" s="19">
        <f t="shared" si="5"/>
        <v>5595</v>
      </c>
      <c r="J300" s="19">
        <f t="shared" si="5"/>
        <v>13491</v>
      </c>
      <c r="K300" s="19">
        <f t="shared" si="5"/>
        <v>30.931999999999995</v>
      </c>
      <c r="L300" s="19">
        <f t="shared" si="5"/>
        <v>835</v>
      </c>
      <c r="M300" s="19">
        <f t="shared" si="5"/>
        <v>2660</v>
      </c>
      <c r="N300" s="19">
        <f t="shared" si="5"/>
        <v>17.672000000000001</v>
      </c>
      <c r="O300" s="19">
        <f t="shared" si="5"/>
        <v>4760</v>
      </c>
      <c r="P300" s="19">
        <f t="shared" si="5"/>
        <v>10831</v>
      </c>
      <c r="Q300" s="19">
        <f t="shared" si="5"/>
        <v>32.718000000000004</v>
      </c>
      <c r="R300" s="19">
        <f t="shared" si="5"/>
        <v>3267</v>
      </c>
      <c r="S300" s="19">
        <f t="shared" si="5"/>
        <v>4558</v>
      </c>
      <c r="T300" s="19">
        <f t="shared" si="5"/>
        <v>52.622000000000007</v>
      </c>
      <c r="U300" s="19">
        <f t="shared" si="5"/>
        <v>2437</v>
      </c>
      <c r="V300" s="19">
        <f t="shared" si="5"/>
        <v>7165</v>
      </c>
      <c r="W300" s="19">
        <f t="shared" si="5"/>
        <v>3526</v>
      </c>
      <c r="X300" s="19">
        <f t="shared" si="5"/>
        <v>2160</v>
      </c>
      <c r="Y300" s="19">
        <f t="shared" si="5"/>
        <v>769</v>
      </c>
      <c r="Z300" s="19">
        <f t="shared" si="5"/>
        <v>3966</v>
      </c>
      <c r="AA300" s="19">
        <f t="shared" si="5"/>
        <v>4286</v>
      </c>
      <c r="AB300" s="19">
        <f t="shared" si="5"/>
        <v>15292</v>
      </c>
      <c r="AC300" s="6"/>
    </row>
    <row r="301" spans="1:29" ht="15.75" customHeight="1">
      <c r="A301" t="s">
        <v>78</v>
      </c>
      <c r="D301" s="18">
        <f>AB300/(2*(J300+0.44*S300))</f>
        <v>0.49340109908547208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0.78571531333044231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0.31390977443609025</v>
      </c>
    </row>
    <row r="304" spans="1:29" ht="15.75" customHeight="1">
      <c r="A304" t="s">
        <v>81</v>
      </c>
      <c r="D304" s="10">
        <f>O300/P300</f>
        <v>0.4394792724586834</v>
      </c>
    </row>
    <row r="305" spans="1:4" ht="15.75" customHeight="1">
      <c r="A305" t="s">
        <v>82</v>
      </c>
      <c r="D305" s="10">
        <f>I300/J300</f>
        <v>0.41472092506115188</v>
      </c>
    </row>
    <row r="306" spans="1:4" ht="15.75" customHeight="1">
      <c r="A306" t="s">
        <v>83</v>
      </c>
      <c r="D306" s="10">
        <f>(I300+0.5*L300)/(J300)</f>
        <v>0.44566748202505374</v>
      </c>
    </row>
    <row r="307" spans="1:4" ht="15.75" customHeight="1">
      <c r="A307" t="s">
        <v>84</v>
      </c>
      <c r="D307" s="10">
        <f>R300/S300</f>
        <v>0.71676173760421236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28</v>
      </c>
      <c r="E3" s="4">
        <v>1051</v>
      </c>
      <c r="F3" s="4">
        <v>28</v>
      </c>
      <c r="G3" s="4">
        <v>28</v>
      </c>
      <c r="H3" s="4">
        <v>37.5</v>
      </c>
      <c r="I3" s="4">
        <v>2.5</v>
      </c>
      <c r="J3" s="4">
        <v>7</v>
      </c>
      <c r="K3" s="4">
        <v>0.35199999999999998</v>
      </c>
      <c r="L3" s="4">
        <v>0.3</v>
      </c>
      <c r="M3" s="4">
        <v>1.3</v>
      </c>
      <c r="N3" s="4">
        <v>0.189</v>
      </c>
      <c r="O3" s="4">
        <v>2.2000000000000002</v>
      </c>
      <c r="P3" s="4">
        <v>5.7</v>
      </c>
      <c r="Q3" s="4">
        <v>0.39</v>
      </c>
      <c r="R3" s="4">
        <v>2.4</v>
      </c>
      <c r="S3" s="4">
        <v>3.2</v>
      </c>
      <c r="T3" s="4">
        <v>0.74399999999999999</v>
      </c>
      <c r="U3" s="4">
        <v>0.9</v>
      </c>
      <c r="V3" s="4">
        <v>4.0999999999999996</v>
      </c>
      <c r="W3" s="4">
        <v>4.8</v>
      </c>
      <c r="X3" s="4">
        <v>1.9</v>
      </c>
      <c r="Y3" s="4">
        <v>0</v>
      </c>
      <c r="Z3" s="4">
        <v>4.4000000000000004</v>
      </c>
      <c r="AA3" s="4">
        <v>2.9</v>
      </c>
      <c r="AB3" s="4">
        <v>7.6</v>
      </c>
      <c r="AC3" s="10">
        <f>(AB3)/(J3+(0.44*S3)+Z3)</f>
        <v>0.59337913803872577</v>
      </c>
      <c r="AD3" s="10">
        <f>Y3/AA3</f>
        <v>0</v>
      </c>
      <c r="AE3" s="12">
        <f>100*(AC3/TOTAL_BASIC!$D$302)</f>
        <v>75.520882433046438</v>
      </c>
      <c r="AF3" s="9"/>
      <c r="AG3" s="9"/>
      <c r="AH3" s="12">
        <f>(PERCENTRANK(AD$3:AD$298,AD3))*100</f>
        <v>0</v>
      </c>
      <c r="AI3" s="12">
        <f>(PERCENTRANK(AE$3:AE$298,AE3))*100</f>
        <v>13.3</v>
      </c>
    </row>
    <row r="4" spans="1:35" ht="14.25">
      <c r="A4" s="1" t="s">
        <v>87</v>
      </c>
      <c r="B4" s="7" t="s">
        <v>88</v>
      </c>
      <c r="C4" s="4" t="s">
        <v>8</v>
      </c>
      <c r="D4" s="4">
        <v>28</v>
      </c>
      <c r="E4" s="4">
        <v>1011</v>
      </c>
      <c r="F4" s="4">
        <v>28</v>
      </c>
      <c r="G4" s="4">
        <v>28</v>
      </c>
      <c r="H4" s="4">
        <v>36.1</v>
      </c>
      <c r="I4" s="4">
        <v>6.3</v>
      </c>
      <c r="J4" s="4">
        <v>14.1</v>
      </c>
      <c r="K4" s="4">
        <v>0.44700000000000001</v>
      </c>
      <c r="L4" s="4">
        <v>0.9</v>
      </c>
      <c r="M4" s="4">
        <v>2.8</v>
      </c>
      <c r="N4" s="4">
        <v>0.32500000000000001</v>
      </c>
      <c r="O4" s="4">
        <v>5.4</v>
      </c>
      <c r="P4" s="4">
        <v>11.4</v>
      </c>
      <c r="Q4" s="4">
        <v>0.47599999999999998</v>
      </c>
      <c r="R4" s="4">
        <v>2.1</v>
      </c>
      <c r="S4" s="4">
        <v>3.2</v>
      </c>
      <c r="T4" s="4">
        <v>0.67400000000000004</v>
      </c>
      <c r="U4" s="4">
        <v>1.7</v>
      </c>
      <c r="V4" s="4">
        <v>5.5</v>
      </c>
      <c r="W4" s="4">
        <v>4.4000000000000004</v>
      </c>
      <c r="X4" s="4">
        <v>1.5</v>
      </c>
      <c r="Y4" s="4">
        <v>0.8</v>
      </c>
      <c r="Z4" s="4">
        <v>3.5</v>
      </c>
      <c r="AA4" s="4">
        <v>2</v>
      </c>
      <c r="AB4" s="4">
        <v>15.7</v>
      </c>
      <c r="AC4" s="10">
        <f t="shared" ref="AC4:AC67" si="0">(AB4)/(J4+(0.44*S4)+Z4)</f>
        <v>0.82596801346801352</v>
      </c>
      <c r="AD4" s="10">
        <f t="shared" ref="AD4:AD67" si="1">Y4/AA4</f>
        <v>0.4</v>
      </c>
      <c r="AE4" s="12">
        <f>100*(AC4/TOTAL_BASIC!$D$302)</f>
        <v>105.12306422627179</v>
      </c>
      <c r="AF4" s="9"/>
      <c r="AG4" s="9"/>
      <c r="AH4" s="12">
        <f t="shared" ref="AH4:AH67" si="2">(PERCENTRANK(AD$3:AD$298,AD4))*100</f>
        <v>92</v>
      </c>
      <c r="AI4" s="12">
        <f t="shared" ref="AI4:AI67" si="3">(PERCENTRANK(AE$3:AE$298,AE4))*100</f>
        <v>70.599999999999994</v>
      </c>
    </row>
    <row r="5" spans="1:35" ht="14.25">
      <c r="A5" s="1" t="s">
        <v>89</v>
      </c>
      <c r="B5" s="7" t="s">
        <v>90</v>
      </c>
      <c r="C5" s="4" t="s">
        <v>8</v>
      </c>
      <c r="D5" s="4">
        <v>28</v>
      </c>
      <c r="E5" s="4">
        <v>982</v>
      </c>
      <c r="F5" s="4">
        <v>28</v>
      </c>
      <c r="G5" s="4">
        <v>28</v>
      </c>
      <c r="H5" s="4">
        <v>35.1</v>
      </c>
      <c r="I5" s="4">
        <v>6.8</v>
      </c>
      <c r="J5" s="4">
        <v>14.5</v>
      </c>
      <c r="K5" s="4">
        <v>0.47</v>
      </c>
      <c r="L5" s="4">
        <v>2.4</v>
      </c>
      <c r="M5" s="4">
        <v>5.8</v>
      </c>
      <c r="N5" s="4">
        <v>0.41399999999999998</v>
      </c>
      <c r="O5" s="4">
        <v>4.4000000000000004</v>
      </c>
      <c r="P5" s="4">
        <v>8.6999999999999993</v>
      </c>
      <c r="Q5" s="4">
        <v>0.50800000000000001</v>
      </c>
      <c r="R5" s="4">
        <v>6.1</v>
      </c>
      <c r="S5" s="4">
        <v>7.1</v>
      </c>
      <c r="T5" s="4">
        <v>0.86399999999999999</v>
      </c>
      <c r="U5" s="4">
        <v>1.2</v>
      </c>
      <c r="V5" s="4">
        <v>4</v>
      </c>
      <c r="W5" s="4">
        <v>4.7</v>
      </c>
      <c r="X5" s="4">
        <v>2.1</v>
      </c>
      <c r="Y5" s="4">
        <v>0.2</v>
      </c>
      <c r="Z5" s="4">
        <v>3.9</v>
      </c>
      <c r="AA5" s="4">
        <v>2.4</v>
      </c>
      <c r="AB5" s="4">
        <v>22.2</v>
      </c>
      <c r="AC5" s="10">
        <f t="shared" si="0"/>
        <v>1.0314068017097195</v>
      </c>
      <c r="AD5" s="10">
        <f t="shared" si="1"/>
        <v>8.3333333333333343E-2</v>
      </c>
      <c r="AE5" s="12">
        <f>100*(AC5/TOTAL_BASIC!$D$302)</f>
        <v>131.26978489675287</v>
      </c>
      <c r="AF5" s="9"/>
      <c r="AG5" s="9"/>
      <c r="AH5" s="12">
        <f t="shared" si="2"/>
        <v>29.299999999999997</v>
      </c>
      <c r="AI5" s="12">
        <f t="shared" si="3"/>
        <v>97.3</v>
      </c>
    </row>
    <row r="6" spans="1:35" ht="14.25">
      <c r="A6" s="1" t="s">
        <v>91</v>
      </c>
      <c r="B6" s="7" t="s">
        <v>86</v>
      </c>
      <c r="C6" s="4" t="s">
        <v>92</v>
      </c>
      <c r="D6" s="4">
        <v>28</v>
      </c>
      <c r="E6" s="4">
        <v>981</v>
      </c>
      <c r="F6" s="4">
        <v>28</v>
      </c>
      <c r="G6" s="4">
        <v>28</v>
      </c>
      <c r="H6" s="4">
        <v>35</v>
      </c>
      <c r="I6" s="4">
        <v>4.8</v>
      </c>
      <c r="J6" s="4">
        <v>11.1</v>
      </c>
      <c r="K6" s="4">
        <v>0.433</v>
      </c>
      <c r="L6" s="4">
        <v>0.4</v>
      </c>
      <c r="M6" s="4">
        <v>1.4</v>
      </c>
      <c r="N6" s="4">
        <v>0.27500000000000002</v>
      </c>
      <c r="O6" s="4">
        <v>4.4000000000000004</v>
      </c>
      <c r="P6" s="4">
        <v>9.6999999999999993</v>
      </c>
      <c r="Q6" s="4">
        <v>0.45600000000000002</v>
      </c>
      <c r="R6" s="4">
        <v>3</v>
      </c>
      <c r="S6" s="4">
        <v>3.8</v>
      </c>
      <c r="T6" s="4">
        <v>0.78500000000000003</v>
      </c>
      <c r="U6" s="4">
        <v>2.4</v>
      </c>
      <c r="V6" s="4">
        <v>4.8</v>
      </c>
      <c r="W6" s="4">
        <v>2.8</v>
      </c>
      <c r="X6" s="4">
        <v>1.4</v>
      </c>
      <c r="Y6" s="4">
        <v>0.3</v>
      </c>
      <c r="Z6" s="4">
        <v>3</v>
      </c>
      <c r="AA6" s="4">
        <v>2.1</v>
      </c>
      <c r="AB6" s="4">
        <v>13</v>
      </c>
      <c r="AC6" s="10">
        <f t="shared" si="0"/>
        <v>0.82424549835150895</v>
      </c>
      <c r="AD6" s="10">
        <f t="shared" si="1"/>
        <v>0.14285714285714285</v>
      </c>
      <c r="AE6" s="12">
        <f>100*(AC6/TOTAL_BASIC!$D$302)</f>
        <v>104.90383531634978</v>
      </c>
      <c r="AF6" s="9"/>
      <c r="AG6" s="9"/>
      <c r="AH6" s="12">
        <f t="shared" si="2"/>
        <v>57.3</v>
      </c>
      <c r="AI6" s="12">
        <f t="shared" si="3"/>
        <v>69.3</v>
      </c>
    </row>
    <row r="7" spans="1:35" ht="14.25">
      <c r="A7" s="1" t="s">
        <v>93</v>
      </c>
      <c r="B7" s="7" t="s">
        <v>94</v>
      </c>
      <c r="C7" s="4" t="s">
        <v>8</v>
      </c>
      <c r="D7" s="4">
        <v>27</v>
      </c>
      <c r="E7" s="4">
        <v>966</v>
      </c>
      <c r="F7" s="4">
        <v>27</v>
      </c>
      <c r="G7" s="4">
        <v>27</v>
      </c>
      <c r="H7" s="4">
        <v>35.799999999999997</v>
      </c>
      <c r="I7" s="4">
        <v>3.7</v>
      </c>
      <c r="J7" s="4">
        <v>10.9</v>
      </c>
      <c r="K7" s="4">
        <v>0.33600000000000002</v>
      </c>
      <c r="L7" s="4">
        <v>1.8</v>
      </c>
      <c r="M7" s="4">
        <v>5.3</v>
      </c>
      <c r="N7" s="4">
        <v>0.34499999999999997</v>
      </c>
      <c r="O7" s="4">
        <v>1.9</v>
      </c>
      <c r="P7" s="4">
        <v>5.7</v>
      </c>
      <c r="Q7" s="4">
        <v>0.32700000000000001</v>
      </c>
      <c r="R7" s="4">
        <v>2.9</v>
      </c>
      <c r="S7" s="4">
        <v>3.9</v>
      </c>
      <c r="T7" s="4">
        <v>0.76</v>
      </c>
      <c r="U7" s="4">
        <v>0.9</v>
      </c>
      <c r="V7" s="4">
        <v>3.7</v>
      </c>
      <c r="W7" s="4">
        <v>5</v>
      </c>
      <c r="X7" s="4">
        <v>2.6</v>
      </c>
      <c r="Y7" s="4">
        <v>0.1</v>
      </c>
      <c r="Z7" s="4">
        <v>3</v>
      </c>
      <c r="AA7" s="4">
        <v>3.5</v>
      </c>
      <c r="AB7" s="4">
        <v>12.1</v>
      </c>
      <c r="AC7" s="10">
        <f t="shared" si="0"/>
        <v>0.77484631147540983</v>
      </c>
      <c r="AD7" s="10">
        <f t="shared" si="1"/>
        <v>2.8571428571428574E-2</v>
      </c>
      <c r="AE7" s="12">
        <f>100*(AC7/TOTAL_BASIC!$D$302)</f>
        <v>98.616674300394934</v>
      </c>
      <c r="AF7" s="9"/>
      <c r="AG7" s="9"/>
      <c r="AH7" s="12">
        <f t="shared" si="2"/>
        <v>12</v>
      </c>
      <c r="AI7" s="12">
        <f t="shared" si="3"/>
        <v>54.6</v>
      </c>
    </row>
    <row r="8" spans="1:35" ht="14.25">
      <c r="A8" s="1" t="s">
        <v>95</v>
      </c>
      <c r="B8" s="7" t="s">
        <v>96</v>
      </c>
      <c r="C8" s="4" t="s">
        <v>92</v>
      </c>
      <c r="D8" s="4">
        <v>28</v>
      </c>
      <c r="E8" s="4">
        <v>944</v>
      </c>
      <c r="F8" s="4">
        <v>28</v>
      </c>
      <c r="G8" s="4">
        <v>28</v>
      </c>
      <c r="H8" s="4">
        <v>33.700000000000003</v>
      </c>
      <c r="I8" s="4">
        <v>4.9000000000000004</v>
      </c>
      <c r="J8" s="4">
        <v>10.4</v>
      </c>
      <c r="K8" s="4">
        <v>0.47299999999999998</v>
      </c>
      <c r="L8" s="4">
        <v>1.3</v>
      </c>
      <c r="M8" s="4">
        <v>3</v>
      </c>
      <c r="N8" s="4">
        <v>0.435</v>
      </c>
      <c r="O8" s="4">
        <v>3.6</v>
      </c>
      <c r="P8" s="4">
        <v>7.4</v>
      </c>
      <c r="Q8" s="4">
        <v>0.48799999999999999</v>
      </c>
      <c r="R8" s="4">
        <v>2.5</v>
      </c>
      <c r="S8" s="4">
        <v>3</v>
      </c>
      <c r="T8" s="4">
        <v>0.85499999999999998</v>
      </c>
      <c r="U8" s="4">
        <v>0.8</v>
      </c>
      <c r="V8" s="4">
        <v>3.9</v>
      </c>
      <c r="W8" s="4">
        <v>2.4</v>
      </c>
      <c r="X8" s="4">
        <v>1.4</v>
      </c>
      <c r="Y8" s="4">
        <v>0.3</v>
      </c>
      <c r="Z8" s="4">
        <v>2.8</v>
      </c>
      <c r="AA8" s="4">
        <v>1.9</v>
      </c>
      <c r="AB8" s="4">
        <v>13.7</v>
      </c>
      <c r="AC8" s="10">
        <f t="shared" si="0"/>
        <v>0.943526170798898</v>
      </c>
      <c r="AD8" s="10">
        <f t="shared" si="1"/>
        <v>0.15789473684210525</v>
      </c>
      <c r="AE8" s="12">
        <f>100*(AC8/TOTAL_BASIC!$D$302)</f>
        <v>120.08499195459696</v>
      </c>
      <c r="AF8" s="9"/>
      <c r="AG8" s="9"/>
      <c r="AH8" s="12">
        <f t="shared" si="2"/>
        <v>62.6</v>
      </c>
      <c r="AI8" s="12">
        <f t="shared" si="3"/>
        <v>93.300000000000011</v>
      </c>
    </row>
    <row r="9" spans="1:35" ht="14.25">
      <c r="A9" s="1" t="s">
        <v>97</v>
      </c>
      <c r="B9" s="7" t="s">
        <v>98</v>
      </c>
      <c r="C9" s="4" t="s">
        <v>99</v>
      </c>
      <c r="D9" s="4">
        <v>28</v>
      </c>
      <c r="E9" s="4">
        <v>939</v>
      </c>
      <c r="F9" s="4">
        <v>28</v>
      </c>
      <c r="G9" s="4">
        <v>28</v>
      </c>
      <c r="H9" s="4">
        <v>33.5</v>
      </c>
      <c r="I9" s="4">
        <v>4.8</v>
      </c>
      <c r="J9" s="4">
        <v>12.6</v>
      </c>
      <c r="K9" s="4">
        <v>0.376</v>
      </c>
      <c r="L9" s="4">
        <v>0.6</v>
      </c>
      <c r="M9" s="4">
        <v>2.2999999999999998</v>
      </c>
      <c r="N9" s="4">
        <v>0.28599999999999998</v>
      </c>
      <c r="O9" s="4">
        <v>4.0999999999999996</v>
      </c>
      <c r="P9" s="4">
        <v>10.4</v>
      </c>
      <c r="Q9" s="4">
        <v>0.39500000000000002</v>
      </c>
      <c r="R9" s="4">
        <v>2.2999999999999998</v>
      </c>
      <c r="S9" s="4">
        <v>3.8</v>
      </c>
      <c r="T9" s="4">
        <v>0.61</v>
      </c>
      <c r="U9" s="4">
        <v>2.2000000000000002</v>
      </c>
      <c r="V9" s="4">
        <v>7.3</v>
      </c>
      <c r="W9" s="4">
        <v>1.9</v>
      </c>
      <c r="X9" s="4">
        <v>0.9</v>
      </c>
      <c r="Y9" s="4">
        <v>1.8</v>
      </c>
      <c r="Z9" s="4">
        <v>3.1</v>
      </c>
      <c r="AA9" s="4">
        <v>2.6</v>
      </c>
      <c r="AB9" s="4">
        <v>12.4</v>
      </c>
      <c r="AC9" s="10">
        <f t="shared" si="0"/>
        <v>0.71379230946350447</v>
      </c>
      <c r="AD9" s="10">
        <f t="shared" si="1"/>
        <v>0.69230769230769229</v>
      </c>
      <c r="AE9" s="12">
        <f>100*(AC9/TOTAL_BASIC!$D$302)</f>
        <v>90.846175116267631</v>
      </c>
      <c r="AF9" s="9"/>
      <c r="AG9" s="9"/>
      <c r="AH9" s="12">
        <f t="shared" si="2"/>
        <v>98.6</v>
      </c>
      <c r="AI9" s="12">
        <f t="shared" si="3"/>
        <v>41.3</v>
      </c>
    </row>
    <row r="10" spans="1:35" ht="14.25">
      <c r="A10" s="1" t="s">
        <v>100</v>
      </c>
      <c r="B10" s="7" t="s">
        <v>101</v>
      </c>
      <c r="C10" s="4" t="s">
        <v>92</v>
      </c>
      <c r="D10" s="4">
        <v>28</v>
      </c>
      <c r="E10" s="4">
        <v>936</v>
      </c>
      <c r="F10" s="4">
        <v>28</v>
      </c>
      <c r="G10" s="4">
        <v>28</v>
      </c>
      <c r="H10" s="4">
        <v>33.4</v>
      </c>
      <c r="I10" s="4">
        <v>5.6</v>
      </c>
      <c r="J10" s="4">
        <v>15</v>
      </c>
      <c r="K10" s="4">
        <v>0.374</v>
      </c>
      <c r="L10" s="4">
        <v>0.4</v>
      </c>
      <c r="M10" s="4">
        <v>1.7</v>
      </c>
      <c r="N10" s="4">
        <v>0.25</v>
      </c>
      <c r="O10" s="4">
        <v>5.2</v>
      </c>
      <c r="P10" s="4">
        <v>13.3</v>
      </c>
      <c r="Q10" s="4">
        <v>0.39</v>
      </c>
      <c r="R10" s="4">
        <v>4.2</v>
      </c>
      <c r="S10" s="4">
        <v>6.2</v>
      </c>
      <c r="T10" s="4">
        <v>0.67600000000000005</v>
      </c>
      <c r="U10" s="4">
        <v>2.7</v>
      </c>
      <c r="V10" s="4">
        <v>8</v>
      </c>
      <c r="W10" s="4">
        <v>1.7</v>
      </c>
      <c r="X10" s="4">
        <v>1.7</v>
      </c>
      <c r="Y10" s="4">
        <v>0.2</v>
      </c>
      <c r="Z10" s="4">
        <v>2.5</v>
      </c>
      <c r="AA10" s="4">
        <v>3.1</v>
      </c>
      <c r="AB10" s="4">
        <v>15.8</v>
      </c>
      <c r="AC10" s="10">
        <f t="shared" si="0"/>
        <v>0.78109551117263198</v>
      </c>
      <c r="AD10" s="10">
        <f t="shared" si="1"/>
        <v>6.4516129032258063E-2</v>
      </c>
      <c r="AE10" s="12">
        <f>100*(AC10/TOTAL_BASIC!$D$302)</f>
        <v>99.412025948911676</v>
      </c>
      <c r="AF10" s="9"/>
      <c r="AG10" s="9"/>
      <c r="AH10" s="12">
        <f t="shared" si="2"/>
        <v>24</v>
      </c>
      <c r="AI10" s="12">
        <f t="shared" si="3"/>
        <v>60</v>
      </c>
    </row>
    <row r="11" spans="1:35" ht="14.25">
      <c r="A11" s="1" t="s">
        <v>102</v>
      </c>
      <c r="B11" s="7" t="s">
        <v>98</v>
      </c>
      <c r="C11" s="4" t="s">
        <v>8</v>
      </c>
      <c r="D11" s="4">
        <v>28</v>
      </c>
      <c r="E11" s="4">
        <v>924</v>
      </c>
      <c r="F11" s="4">
        <v>28</v>
      </c>
      <c r="G11" s="4">
        <v>28</v>
      </c>
      <c r="H11" s="4">
        <v>33</v>
      </c>
      <c r="I11" s="4">
        <v>2.2999999999999998</v>
      </c>
      <c r="J11" s="4">
        <v>4.9000000000000004</v>
      </c>
      <c r="K11" s="4">
        <v>0.46700000000000003</v>
      </c>
      <c r="L11" s="4">
        <v>0.1</v>
      </c>
      <c r="M11" s="4">
        <v>1.3</v>
      </c>
      <c r="N11" s="4">
        <v>8.5999999999999993E-2</v>
      </c>
      <c r="O11" s="4">
        <v>2.2000000000000002</v>
      </c>
      <c r="P11" s="4">
        <v>3.6</v>
      </c>
      <c r="Q11" s="4">
        <v>0.59799999999999998</v>
      </c>
      <c r="R11" s="4">
        <v>2.2999999999999998</v>
      </c>
      <c r="S11" s="4">
        <v>3.6</v>
      </c>
      <c r="T11" s="4">
        <v>0.65</v>
      </c>
      <c r="U11" s="4">
        <v>0.9</v>
      </c>
      <c r="V11" s="4">
        <v>4.0999999999999996</v>
      </c>
      <c r="W11" s="4">
        <v>6.2</v>
      </c>
      <c r="X11" s="4">
        <v>3</v>
      </c>
      <c r="Y11" s="4">
        <v>0.1</v>
      </c>
      <c r="Z11" s="4">
        <v>3.4</v>
      </c>
      <c r="AA11" s="4">
        <v>2.6</v>
      </c>
      <c r="AB11" s="4">
        <v>7</v>
      </c>
      <c r="AC11" s="10">
        <f t="shared" si="0"/>
        <v>0.70821529745042489</v>
      </c>
      <c r="AD11" s="10">
        <f t="shared" si="1"/>
        <v>3.8461538461538464E-2</v>
      </c>
      <c r="AE11" s="12">
        <f>100*(AC11/TOTAL_BASIC!$D$302)</f>
        <v>90.136374515660762</v>
      </c>
      <c r="AF11" s="9"/>
      <c r="AG11" s="9"/>
      <c r="AH11" s="12">
        <f t="shared" si="2"/>
        <v>13.3</v>
      </c>
      <c r="AI11" s="12">
        <f t="shared" si="3"/>
        <v>37.299999999999997</v>
      </c>
    </row>
    <row r="12" spans="1:35" ht="14.25">
      <c r="A12" s="1" t="s">
        <v>103</v>
      </c>
      <c r="B12" s="7" t="s">
        <v>101</v>
      </c>
      <c r="C12" s="4" t="s">
        <v>92</v>
      </c>
      <c r="D12" s="4">
        <v>28</v>
      </c>
      <c r="E12" s="4">
        <v>913</v>
      </c>
      <c r="F12" s="4">
        <v>28</v>
      </c>
      <c r="G12" s="4">
        <v>27</v>
      </c>
      <c r="H12" s="4">
        <v>32.6</v>
      </c>
      <c r="I12" s="4">
        <v>4.5999999999999996</v>
      </c>
      <c r="J12" s="4">
        <v>11.8</v>
      </c>
      <c r="K12" s="4">
        <v>0.39</v>
      </c>
      <c r="L12" s="4">
        <v>1.4</v>
      </c>
      <c r="M12" s="4">
        <v>3.8</v>
      </c>
      <c r="N12" s="4">
        <v>0.377</v>
      </c>
      <c r="O12" s="4">
        <v>3.2</v>
      </c>
      <c r="P12" s="4">
        <v>8</v>
      </c>
      <c r="Q12" s="4">
        <v>0.39600000000000002</v>
      </c>
      <c r="R12" s="4">
        <v>1.5</v>
      </c>
      <c r="S12" s="4">
        <v>2.2000000000000002</v>
      </c>
      <c r="T12" s="4">
        <v>0.69399999999999995</v>
      </c>
      <c r="U12" s="4">
        <v>2</v>
      </c>
      <c r="V12" s="4">
        <v>7.4</v>
      </c>
      <c r="W12" s="4">
        <v>2.2000000000000002</v>
      </c>
      <c r="X12" s="4">
        <v>1.5</v>
      </c>
      <c r="Y12" s="4">
        <v>2.2999999999999998</v>
      </c>
      <c r="Z12" s="4">
        <v>2.9</v>
      </c>
      <c r="AA12" s="4">
        <v>2.9</v>
      </c>
      <c r="AB12" s="4">
        <v>12.2</v>
      </c>
      <c r="AC12" s="10">
        <f t="shared" si="0"/>
        <v>0.7786571355629307</v>
      </c>
      <c r="AD12" s="10">
        <f t="shared" si="1"/>
        <v>0.79310344827586199</v>
      </c>
      <c r="AE12" s="12">
        <f>100*(AC12/TOTAL_BASIC!$D$302)</f>
        <v>99.101687640833447</v>
      </c>
      <c r="AF12" s="9"/>
      <c r="AG12" s="9"/>
      <c r="AH12" s="12">
        <f t="shared" si="2"/>
        <v>100</v>
      </c>
      <c r="AI12" s="12">
        <f t="shared" si="3"/>
        <v>56.000000000000007</v>
      </c>
    </row>
    <row r="13" spans="1:35" ht="14.25">
      <c r="A13" s="1" t="s">
        <v>104</v>
      </c>
      <c r="B13" s="7" t="s">
        <v>105</v>
      </c>
      <c r="C13" s="4" t="s">
        <v>8</v>
      </c>
      <c r="D13" s="4">
        <v>28</v>
      </c>
      <c r="E13" s="4">
        <v>907</v>
      </c>
      <c r="F13" s="4">
        <v>28</v>
      </c>
      <c r="G13" s="4">
        <v>28</v>
      </c>
      <c r="H13" s="4">
        <v>32.4</v>
      </c>
      <c r="I13" s="4">
        <v>5.0999999999999996</v>
      </c>
      <c r="J13" s="4">
        <v>12.1</v>
      </c>
      <c r="K13" s="4">
        <v>0.42599999999999999</v>
      </c>
      <c r="L13" s="4">
        <v>0.3</v>
      </c>
      <c r="M13" s="4">
        <v>1.4</v>
      </c>
      <c r="N13" s="4">
        <v>0.184</v>
      </c>
      <c r="O13" s="4">
        <v>4.9000000000000004</v>
      </c>
      <c r="P13" s="4">
        <v>10.7</v>
      </c>
      <c r="Q13" s="4">
        <v>0.45700000000000002</v>
      </c>
      <c r="R13" s="4">
        <v>2.6</v>
      </c>
      <c r="S13" s="4">
        <v>3.1</v>
      </c>
      <c r="T13" s="4">
        <v>0.83899999999999997</v>
      </c>
      <c r="U13" s="4">
        <v>0.9</v>
      </c>
      <c r="V13" s="4">
        <v>3.4</v>
      </c>
      <c r="W13" s="4">
        <v>5.0999999999999996</v>
      </c>
      <c r="X13" s="4">
        <v>1.3</v>
      </c>
      <c r="Y13" s="4">
        <v>0.1</v>
      </c>
      <c r="Z13" s="4">
        <v>3.8</v>
      </c>
      <c r="AA13" s="4">
        <v>2.4</v>
      </c>
      <c r="AB13" s="4">
        <v>13.1</v>
      </c>
      <c r="AC13" s="10">
        <f t="shared" si="0"/>
        <v>0.75880444856348472</v>
      </c>
      <c r="AD13" s="10">
        <f t="shared" si="1"/>
        <v>4.1666666666666671E-2</v>
      </c>
      <c r="AE13" s="12">
        <f>100*(AC13/TOTAL_BASIC!$D$302)</f>
        <v>96.574985327333195</v>
      </c>
      <c r="AF13" s="9"/>
      <c r="AG13" s="9"/>
      <c r="AH13" s="12">
        <f t="shared" si="2"/>
        <v>14.6</v>
      </c>
      <c r="AI13" s="12">
        <f t="shared" si="3"/>
        <v>53.300000000000004</v>
      </c>
    </row>
    <row r="14" spans="1:35" ht="14.25">
      <c r="A14" s="1" t="s">
        <v>106</v>
      </c>
      <c r="B14" s="7" t="s">
        <v>105</v>
      </c>
      <c r="C14" s="4" t="s">
        <v>99</v>
      </c>
      <c r="D14" s="4">
        <v>28</v>
      </c>
      <c r="E14" s="4">
        <v>902</v>
      </c>
      <c r="F14" s="4">
        <v>28</v>
      </c>
      <c r="G14" s="4">
        <v>28</v>
      </c>
      <c r="H14" s="4">
        <v>32.200000000000003</v>
      </c>
      <c r="I14" s="4">
        <v>5.7</v>
      </c>
      <c r="J14" s="4">
        <v>13.3</v>
      </c>
      <c r="K14" s="4">
        <v>0.43099999999999999</v>
      </c>
      <c r="L14" s="4">
        <v>0.4</v>
      </c>
      <c r="M14" s="4">
        <v>1.6</v>
      </c>
      <c r="N14" s="4">
        <v>0.26100000000000001</v>
      </c>
      <c r="O14" s="4">
        <v>5.3</v>
      </c>
      <c r="P14" s="4">
        <v>11.6</v>
      </c>
      <c r="Q14" s="4">
        <v>0.45500000000000002</v>
      </c>
      <c r="R14" s="4">
        <v>4</v>
      </c>
      <c r="S14" s="4">
        <v>6.8</v>
      </c>
      <c r="T14" s="4">
        <v>0.59799999999999998</v>
      </c>
      <c r="U14" s="4">
        <v>2.2999999999999998</v>
      </c>
      <c r="V14" s="4">
        <v>9.5</v>
      </c>
      <c r="W14" s="4">
        <v>2.6</v>
      </c>
      <c r="X14" s="4">
        <v>1.4</v>
      </c>
      <c r="Y14" s="4">
        <v>2.1</v>
      </c>
      <c r="Z14" s="4">
        <v>3.9</v>
      </c>
      <c r="AA14" s="4">
        <v>3.5</v>
      </c>
      <c r="AB14" s="4">
        <v>15.9</v>
      </c>
      <c r="AC14" s="10">
        <f t="shared" si="0"/>
        <v>0.78744057052297944</v>
      </c>
      <c r="AD14" s="10">
        <f t="shared" si="1"/>
        <v>0.6</v>
      </c>
      <c r="AE14" s="12">
        <f>100*(AC14/TOTAL_BASIC!$D$302)</f>
        <v>100.21957790096062</v>
      </c>
      <c r="AF14" s="9"/>
      <c r="AG14" s="9"/>
      <c r="AH14" s="12">
        <f t="shared" si="2"/>
        <v>94.6</v>
      </c>
      <c r="AI14" s="12">
        <f t="shared" si="3"/>
        <v>64</v>
      </c>
    </row>
    <row r="15" spans="1:35" ht="14.25">
      <c r="A15" s="1" t="s">
        <v>107</v>
      </c>
      <c r="B15" s="7" t="s">
        <v>90</v>
      </c>
      <c r="C15" s="4" t="s">
        <v>92</v>
      </c>
      <c r="D15" s="4">
        <v>28</v>
      </c>
      <c r="E15" s="4">
        <v>885</v>
      </c>
      <c r="F15" s="4">
        <v>28</v>
      </c>
      <c r="G15" s="4">
        <v>28</v>
      </c>
      <c r="H15" s="4">
        <v>31.6</v>
      </c>
      <c r="I15" s="4">
        <v>4.8</v>
      </c>
      <c r="J15" s="4">
        <v>11.4</v>
      </c>
      <c r="K15" s="4">
        <v>0.41799999999999998</v>
      </c>
      <c r="L15" s="4">
        <v>1.3</v>
      </c>
      <c r="M15" s="4">
        <v>3.6</v>
      </c>
      <c r="N15" s="4">
        <v>0.37</v>
      </c>
      <c r="O15" s="4">
        <v>3.4</v>
      </c>
      <c r="P15" s="4">
        <v>7.8</v>
      </c>
      <c r="Q15" s="4">
        <v>0.44</v>
      </c>
      <c r="R15" s="4">
        <v>2.4</v>
      </c>
      <c r="S15" s="4">
        <v>2.9</v>
      </c>
      <c r="T15" s="4">
        <v>0.83799999999999997</v>
      </c>
      <c r="U15" s="4">
        <v>2.4</v>
      </c>
      <c r="V15" s="4">
        <v>6.6</v>
      </c>
      <c r="W15" s="4">
        <v>1.1000000000000001</v>
      </c>
      <c r="X15" s="4">
        <v>0.8</v>
      </c>
      <c r="Y15" s="4">
        <v>1</v>
      </c>
      <c r="Z15" s="4">
        <v>2.2000000000000002</v>
      </c>
      <c r="AA15" s="4">
        <v>3.8</v>
      </c>
      <c r="AB15" s="4">
        <v>13.2</v>
      </c>
      <c r="AC15" s="10">
        <f t="shared" si="0"/>
        <v>0.88733530518956694</v>
      </c>
      <c r="AD15" s="10">
        <f t="shared" si="1"/>
        <v>0.26315789473684209</v>
      </c>
      <c r="AE15" s="12">
        <f>100*(AC15/TOTAL_BASIC!$D$302)</f>
        <v>112.93343659402335</v>
      </c>
      <c r="AF15" s="9"/>
      <c r="AG15" s="9"/>
      <c r="AH15" s="12">
        <f t="shared" si="2"/>
        <v>82.6</v>
      </c>
      <c r="AI15" s="12">
        <f t="shared" si="3"/>
        <v>81.3</v>
      </c>
    </row>
    <row r="16" spans="1:35" ht="14.25">
      <c r="A16" s="1" t="s">
        <v>108</v>
      </c>
      <c r="B16" s="7" t="s">
        <v>88</v>
      </c>
      <c r="C16" s="4" t="s">
        <v>92</v>
      </c>
      <c r="D16" s="4">
        <v>28</v>
      </c>
      <c r="E16" s="4">
        <v>875</v>
      </c>
      <c r="F16" s="4">
        <v>28</v>
      </c>
      <c r="G16" s="4">
        <v>28</v>
      </c>
      <c r="H16" s="4">
        <v>31.3</v>
      </c>
      <c r="I16" s="4">
        <v>5.2</v>
      </c>
      <c r="J16" s="4">
        <v>11.6</v>
      </c>
      <c r="K16" s="4">
        <v>0.44800000000000001</v>
      </c>
      <c r="L16" s="4">
        <v>0.3</v>
      </c>
      <c r="M16" s="4">
        <v>0.8</v>
      </c>
      <c r="N16" s="4">
        <v>0.30399999999999999</v>
      </c>
      <c r="O16" s="4">
        <v>4.9000000000000004</v>
      </c>
      <c r="P16" s="4">
        <v>10.8</v>
      </c>
      <c r="Q16" s="4">
        <v>0.45800000000000002</v>
      </c>
      <c r="R16" s="4">
        <v>2.2000000000000002</v>
      </c>
      <c r="S16" s="4">
        <v>2.9</v>
      </c>
      <c r="T16" s="4">
        <v>0.77500000000000002</v>
      </c>
      <c r="U16" s="4">
        <v>2.4</v>
      </c>
      <c r="V16" s="4">
        <v>6.4</v>
      </c>
      <c r="W16" s="4">
        <v>2.2999999999999998</v>
      </c>
      <c r="X16" s="4">
        <v>1.9</v>
      </c>
      <c r="Y16" s="4">
        <v>2</v>
      </c>
      <c r="Z16" s="4">
        <v>2.4</v>
      </c>
      <c r="AA16" s="4">
        <v>3</v>
      </c>
      <c r="AB16" s="4">
        <v>12.8</v>
      </c>
      <c r="AC16" s="10">
        <f t="shared" si="0"/>
        <v>0.83791568473422373</v>
      </c>
      <c r="AD16" s="10">
        <f t="shared" si="1"/>
        <v>0.66666666666666663</v>
      </c>
      <c r="AE16" s="12">
        <f>100*(AC16/TOTAL_BASIC!$D$302)</f>
        <v>106.64367494411147</v>
      </c>
      <c r="AF16" s="9"/>
      <c r="AG16" s="9"/>
      <c r="AH16" s="12">
        <f t="shared" si="2"/>
        <v>96</v>
      </c>
      <c r="AI16" s="12">
        <f t="shared" si="3"/>
        <v>74.599999999999994</v>
      </c>
    </row>
    <row r="17" spans="1:35" ht="14.25">
      <c r="A17" s="1" t="s">
        <v>109</v>
      </c>
      <c r="B17" s="7" t="s">
        <v>94</v>
      </c>
      <c r="C17" s="4" t="s">
        <v>110</v>
      </c>
      <c r="D17" s="4">
        <v>28</v>
      </c>
      <c r="E17" s="4">
        <v>874</v>
      </c>
      <c r="F17" s="4">
        <v>28</v>
      </c>
      <c r="G17" s="4">
        <v>28</v>
      </c>
      <c r="H17" s="4">
        <v>31.2</v>
      </c>
      <c r="I17" s="4">
        <v>5.8</v>
      </c>
      <c r="J17" s="4">
        <v>13.4</v>
      </c>
      <c r="K17" s="4">
        <v>0.434</v>
      </c>
      <c r="L17" s="4">
        <v>0.7</v>
      </c>
      <c r="M17" s="4">
        <v>2.2999999999999998</v>
      </c>
      <c r="N17" s="4">
        <v>0.313</v>
      </c>
      <c r="O17" s="4">
        <v>5.0999999999999996</v>
      </c>
      <c r="P17" s="4">
        <v>11.1</v>
      </c>
      <c r="Q17" s="4">
        <v>0.45800000000000002</v>
      </c>
      <c r="R17" s="4">
        <v>3.4</v>
      </c>
      <c r="S17" s="4">
        <v>4.3</v>
      </c>
      <c r="T17" s="4">
        <v>0.77700000000000002</v>
      </c>
      <c r="U17" s="4">
        <v>1.6</v>
      </c>
      <c r="V17" s="4">
        <v>5.4</v>
      </c>
      <c r="W17" s="4">
        <v>0.8</v>
      </c>
      <c r="X17" s="4">
        <v>1.3</v>
      </c>
      <c r="Y17" s="4">
        <v>0.5</v>
      </c>
      <c r="Z17" s="4">
        <v>2.1</v>
      </c>
      <c r="AA17" s="4">
        <v>3.3</v>
      </c>
      <c r="AB17" s="4">
        <v>15.7</v>
      </c>
      <c r="AC17" s="10">
        <f t="shared" si="0"/>
        <v>0.90271389144434222</v>
      </c>
      <c r="AD17" s="10">
        <f t="shared" si="1"/>
        <v>0.15151515151515152</v>
      </c>
      <c r="AE17" s="12">
        <f>100*(AC17/TOTAL_BASIC!$D$302)</f>
        <v>114.89070864840008</v>
      </c>
      <c r="AF17" s="9"/>
      <c r="AG17" s="9"/>
      <c r="AH17" s="12">
        <f t="shared" si="2"/>
        <v>61.3</v>
      </c>
      <c r="AI17" s="12">
        <f t="shared" si="3"/>
        <v>88</v>
      </c>
    </row>
    <row r="18" spans="1:35" ht="14.25">
      <c r="A18" s="1" t="s">
        <v>111</v>
      </c>
      <c r="B18" s="7" t="s">
        <v>98</v>
      </c>
      <c r="C18" s="4" t="s">
        <v>8</v>
      </c>
      <c r="D18" s="4">
        <v>28</v>
      </c>
      <c r="E18" s="4">
        <v>867</v>
      </c>
      <c r="F18" s="4">
        <v>28</v>
      </c>
      <c r="G18" s="4">
        <v>28</v>
      </c>
      <c r="H18" s="4">
        <v>31</v>
      </c>
      <c r="I18" s="4">
        <v>5</v>
      </c>
      <c r="J18" s="4">
        <v>12.3</v>
      </c>
      <c r="K18" s="4">
        <v>0.40600000000000003</v>
      </c>
      <c r="L18" s="4">
        <v>1.6</v>
      </c>
      <c r="M18" s="4">
        <v>4.5</v>
      </c>
      <c r="N18" s="4">
        <v>0.34899999999999998</v>
      </c>
      <c r="O18" s="4">
        <v>3.4</v>
      </c>
      <c r="P18" s="4">
        <v>7.8</v>
      </c>
      <c r="Q18" s="4">
        <v>0.438</v>
      </c>
      <c r="R18" s="4">
        <v>3</v>
      </c>
      <c r="S18" s="4">
        <v>4</v>
      </c>
      <c r="T18" s="4">
        <v>0.748</v>
      </c>
      <c r="U18" s="4">
        <v>1.1000000000000001</v>
      </c>
      <c r="V18" s="4">
        <v>3</v>
      </c>
      <c r="W18" s="4">
        <v>2.2999999999999998</v>
      </c>
      <c r="X18" s="4">
        <v>1.8</v>
      </c>
      <c r="Y18" s="4">
        <v>0.3</v>
      </c>
      <c r="Z18" s="4">
        <v>2.8</v>
      </c>
      <c r="AA18" s="4">
        <v>2.2000000000000002</v>
      </c>
      <c r="AB18" s="4">
        <v>14.5</v>
      </c>
      <c r="AC18" s="10">
        <f t="shared" si="0"/>
        <v>0.86002372479240807</v>
      </c>
      <c r="AD18" s="10">
        <f t="shared" si="1"/>
        <v>0.13636363636363635</v>
      </c>
      <c r="AE18" s="12">
        <f>100*(AC18/TOTAL_BASIC!$D$302)</f>
        <v>109.45742181694177</v>
      </c>
      <c r="AF18" s="9"/>
      <c r="AG18" s="9"/>
      <c r="AH18" s="12">
        <f t="shared" si="2"/>
        <v>56.000000000000007</v>
      </c>
      <c r="AI18" s="12">
        <f t="shared" si="3"/>
        <v>77.3</v>
      </c>
    </row>
    <row r="19" spans="1:35" ht="14.25">
      <c r="A19" s="1" t="s">
        <v>112</v>
      </c>
      <c r="B19" s="7" t="s">
        <v>94</v>
      </c>
      <c r="C19" s="4" t="s">
        <v>8</v>
      </c>
      <c r="D19" s="4">
        <v>28</v>
      </c>
      <c r="E19" s="4">
        <v>842</v>
      </c>
      <c r="F19" s="4">
        <v>28</v>
      </c>
      <c r="G19" s="4">
        <v>28</v>
      </c>
      <c r="H19" s="4">
        <v>30.1</v>
      </c>
      <c r="I19" s="4">
        <v>3.8</v>
      </c>
      <c r="J19" s="4">
        <v>11.4</v>
      </c>
      <c r="K19" s="4">
        <v>0.33400000000000002</v>
      </c>
      <c r="L19" s="4">
        <v>1.5</v>
      </c>
      <c r="M19" s="4">
        <v>4.8</v>
      </c>
      <c r="N19" s="4">
        <v>0.30599999999999999</v>
      </c>
      <c r="O19" s="4">
        <v>2.4</v>
      </c>
      <c r="P19" s="4">
        <v>6.6</v>
      </c>
      <c r="Q19" s="4">
        <v>0.35499999999999998</v>
      </c>
      <c r="R19" s="4">
        <v>3.5</v>
      </c>
      <c r="S19" s="4">
        <v>3.9</v>
      </c>
      <c r="T19" s="4">
        <v>0.89800000000000002</v>
      </c>
      <c r="U19" s="4">
        <v>1.3</v>
      </c>
      <c r="V19" s="4">
        <v>3.8</v>
      </c>
      <c r="W19" s="4">
        <v>2.8</v>
      </c>
      <c r="X19" s="4">
        <v>1.8</v>
      </c>
      <c r="Y19" s="4">
        <v>0.4</v>
      </c>
      <c r="Z19" s="4">
        <v>2.9</v>
      </c>
      <c r="AA19" s="4">
        <v>2</v>
      </c>
      <c r="AB19" s="4">
        <v>12.6</v>
      </c>
      <c r="AC19" s="10">
        <f t="shared" si="0"/>
        <v>0.78671328671328677</v>
      </c>
      <c r="AD19" s="10">
        <f t="shared" si="1"/>
        <v>0.2</v>
      </c>
      <c r="AE19" s="12">
        <f>100*(AC19/TOTAL_BASIC!$D$302)</f>
        <v>100.12701462806093</v>
      </c>
      <c r="AF19" s="9"/>
      <c r="AG19" s="9"/>
      <c r="AH19" s="12">
        <f t="shared" si="2"/>
        <v>73.3</v>
      </c>
      <c r="AI19" s="12">
        <f t="shared" si="3"/>
        <v>62.6</v>
      </c>
    </row>
    <row r="20" spans="1:35" ht="14.25">
      <c r="A20" s="1" t="s">
        <v>113</v>
      </c>
      <c r="B20" s="7" t="s">
        <v>101</v>
      </c>
      <c r="C20" s="4" t="s">
        <v>8</v>
      </c>
      <c r="D20" s="4">
        <v>28</v>
      </c>
      <c r="E20" s="4">
        <v>831</v>
      </c>
      <c r="F20" s="4">
        <v>28</v>
      </c>
      <c r="G20" s="4">
        <v>26</v>
      </c>
      <c r="H20" s="4">
        <v>29.7</v>
      </c>
      <c r="I20" s="4">
        <v>2.6</v>
      </c>
      <c r="J20" s="4">
        <v>8.3000000000000007</v>
      </c>
      <c r="K20" s="4">
        <v>0.312</v>
      </c>
      <c r="L20" s="4">
        <v>1.1000000000000001</v>
      </c>
      <c r="M20" s="4">
        <v>3.6</v>
      </c>
      <c r="N20" s="4">
        <v>0.29699999999999999</v>
      </c>
      <c r="O20" s="4">
        <v>1.5</v>
      </c>
      <c r="P20" s="4">
        <v>4.5999999999999996</v>
      </c>
      <c r="Q20" s="4">
        <v>0.32300000000000001</v>
      </c>
      <c r="R20" s="4">
        <v>1.5</v>
      </c>
      <c r="S20" s="4">
        <v>2</v>
      </c>
      <c r="T20" s="4">
        <v>0.76400000000000001</v>
      </c>
      <c r="U20" s="4">
        <v>1</v>
      </c>
      <c r="V20" s="4">
        <v>2.8</v>
      </c>
      <c r="W20" s="4">
        <v>3.1</v>
      </c>
      <c r="X20" s="4">
        <v>0.8</v>
      </c>
      <c r="Y20" s="4">
        <v>0.1</v>
      </c>
      <c r="Z20" s="4">
        <v>2.2000000000000002</v>
      </c>
      <c r="AA20" s="4">
        <v>2</v>
      </c>
      <c r="AB20" s="4">
        <v>7.7</v>
      </c>
      <c r="AC20" s="10">
        <f t="shared" si="0"/>
        <v>0.6766256590509665</v>
      </c>
      <c r="AD20" s="10">
        <f t="shared" si="1"/>
        <v>0.05</v>
      </c>
      <c r="AE20" s="12">
        <f>100*(AC20/TOTAL_BASIC!$D$302)</f>
        <v>86.115880341306678</v>
      </c>
      <c r="AF20" s="9"/>
      <c r="AG20" s="9"/>
      <c r="AH20" s="12">
        <f t="shared" si="2"/>
        <v>16</v>
      </c>
      <c r="AI20" s="12">
        <f t="shared" si="3"/>
        <v>29.299999999999997</v>
      </c>
    </row>
    <row r="21" spans="1:35" ht="15.75" customHeight="1">
      <c r="A21" s="1" t="s">
        <v>114</v>
      </c>
      <c r="B21" s="7" t="s">
        <v>96</v>
      </c>
      <c r="C21" s="4" t="s">
        <v>92</v>
      </c>
      <c r="D21" s="4">
        <v>25</v>
      </c>
      <c r="E21" s="4">
        <v>822</v>
      </c>
      <c r="F21" s="4">
        <v>25</v>
      </c>
      <c r="G21" s="4">
        <v>24</v>
      </c>
      <c r="H21" s="4">
        <v>32.9</v>
      </c>
      <c r="I21" s="4">
        <v>3.5</v>
      </c>
      <c r="J21" s="4">
        <v>8.4</v>
      </c>
      <c r="K21" s="4">
        <v>0.41699999999999998</v>
      </c>
      <c r="L21" s="4">
        <v>0.2</v>
      </c>
      <c r="M21" s="4">
        <v>0.4</v>
      </c>
      <c r="N21" s="4">
        <v>0.5</v>
      </c>
      <c r="O21" s="4">
        <v>3.3</v>
      </c>
      <c r="P21" s="4">
        <v>8</v>
      </c>
      <c r="Q21" s="4">
        <v>0.41299999999999998</v>
      </c>
      <c r="R21" s="4">
        <v>4.2</v>
      </c>
      <c r="S21" s="4">
        <v>5.5</v>
      </c>
      <c r="T21" s="4">
        <v>0.76800000000000002</v>
      </c>
      <c r="U21" s="4">
        <v>1.5</v>
      </c>
      <c r="V21" s="4">
        <v>7.6</v>
      </c>
      <c r="W21" s="4">
        <v>2</v>
      </c>
      <c r="X21" s="4">
        <v>1.4</v>
      </c>
      <c r="Y21" s="4">
        <v>1.1000000000000001</v>
      </c>
      <c r="Z21" s="4">
        <v>2.1</v>
      </c>
      <c r="AA21" s="4">
        <v>2.6</v>
      </c>
      <c r="AB21" s="4">
        <v>11.5</v>
      </c>
      <c r="AC21" s="10">
        <f t="shared" si="0"/>
        <v>0.8900928792569659</v>
      </c>
      <c r="AD21" s="10">
        <f t="shared" si="1"/>
        <v>0.42307692307692307</v>
      </c>
      <c r="AE21" s="12">
        <f>100*(AC21/TOTAL_BASIC!$D$302)</f>
        <v>113.28440010722132</v>
      </c>
      <c r="AF21" s="9"/>
      <c r="AG21" s="9"/>
      <c r="AH21" s="12">
        <f t="shared" si="2"/>
        <v>93.300000000000011</v>
      </c>
      <c r="AI21" s="12">
        <f t="shared" si="3"/>
        <v>84</v>
      </c>
    </row>
    <row r="22" spans="1:35" ht="15.75" customHeight="1">
      <c r="A22" s="1" t="s">
        <v>115</v>
      </c>
      <c r="B22" s="7" t="s">
        <v>86</v>
      </c>
      <c r="C22" s="4" t="s">
        <v>8</v>
      </c>
      <c r="D22" s="4">
        <v>23</v>
      </c>
      <c r="E22" s="4">
        <v>813</v>
      </c>
      <c r="F22" s="4">
        <v>23</v>
      </c>
      <c r="G22" s="4">
        <v>23</v>
      </c>
      <c r="H22" s="4">
        <v>35.299999999999997</v>
      </c>
      <c r="I22" s="4">
        <v>7.1</v>
      </c>
      <c r="J22" s="4">
        <v>17.7</v>
      </c>
      <c r="K22" s="4">
        <v>0.40200000000000002</v>
      </c>
      <c r="L22" s="4">
        <v>2.9</v>
      </c>
      <c r="M22" s="4">
        <v>8.3000000000000007</v>
      </c>
      <c r="N22" s="4">
        <v>0.34399999999999997</v>
      </c>
      <c r="O22" s="4">
        <v>4.3</v>
      </c>
      <c r="P22" s="4">
        <v>9.4</v>
      </c>
      <c r="Q22" s="4">
        <v>0.45400000000000001</v>
      </c>
      <c r="R22" s="4">
        <v>2.2999999999999998</v>
      </c>
      <c r="S22" s="4">
        <v>3</v>
      </c>
      <c r="T22" s="4">
        <v>0.76800000000000002</v>
      </c>
      <c r="U22" s="4">
        <v>1.3</v>
      </c>
      <c r="V22" s="4">
        <v>5.8</v>
      </c>
      <c r="W22" s="4">
        <v>2.6</v>
      </c>
      <c r="X22" s="4">
        <v>2.2999999999999998</v>
      </c>
      <c r="Y22" s="4">
        <v>0</v>
      </c>
      <c r="Z22" s="4">
        <v>2.5</v>
      </c>
      <c r="AA22" s="4">
        <v>3.1</v>
      </c>
      <c r="AB22" s="4">
        <v>19.399999999999999</v>
      </c>
      <c r="AC22" s="10">
        <f t="shared" si="0"/>
        <v>0.9014869888475836</v>
      </c>
      <c r="AD22" s="10">
        <f t="shared" si="1"/>
        <v>0</v>
      </c>
      <c r="AE22" s="12">
        <f>100*(AC22/TOTAL_BASIC!$D$302)</f>
        <v>114.73455761303866</v>
      </c>
      <c r="AF22" s="9"/>
      <c r="AG22" s="9"/>
      <c r="AH22" s="12">
        <f t="shared" si="2"/>
        <v>0</v>
      </c>
      <c r="AI22" s="12">
        <f t="shared" si="3"/>
        <v>86.6</v>
      </c>
    </row>
    <row r="23" spans="1:35" ht="15.75" customHeight="1">
      <c r="A23" s="1" t="s">
        <v>116</v>
      </c>
      <c r="B23" s="7" t="s">
        <v>96</v>
      </c>
      <c r="C23" s="4" t="s">
        <v>110</v>
      </c>
      <c r="D23" s="4">
        <v>28</v>
      </c>
      <c r="E23" s="4">
        <v>803</v>
      </c>
      <c r="F23" s="4">
        <v>28</v>
      </c>
      <c r="G23" s="4">
        <v>28</v>
      </c>
      <c r="H23" s="4">
        <v>28.7</v>
      </c>
      <c r="I23" s="4">
        <v>4.5</v>
      </c>
      <c r="J23" s="4">
        <v>8.8000000000000007</v>
      </c>
      <c r="K23" s="4">
        <v>0.50800000000000001</v>
      </c>
      <c r="L23" s="4">
        <v>0</v>
      </c>
      <c r="M23" s="4">
        <v>0.1</v>
      </c>
      <c r="N23" s="4">
        <v>0.25</v>
      </c>
      <c r="O23" s="4">
        <v>4.4000000000000004</v>
      </c>
      <c r="P23" s="4">
        <v>8.6</v>
      </c>
      <c r="Q23" s="4">
        <v>0.51200000000000001</v>
      </c>
      <c r="R23" s="4">
        <v>2.9</v>
      </c>
      <c r="S23" s="4">
        <v>3.7</v>
      </c>
      <c r="T23" s="4">
        <v>0.78600000000000003</v>
      </c>
      <c r="U23" s="4">
        <v>2.2000000000000002</v>
      </c>
      <c r="V23" s="4">
        <v>5.6</v>
      </c>
      <c r="W23" s="4">
        <v>2.4</v>
      </c>
      <c r="X23" s="4">
        <v>0.6</v>
      </c>
      <c r="Y23" s="4">
        <v>0.6</v>
      </c>
      <c r="Z23" s="4">
        <v>2.6</v>
      </c>
      <c r="AA23" s="4">
        <v>4.5999999999999996</v>
      </c>
      <c r="AB23" s="4">
        <v>11.9</v>
      </c>
      <c r="AC23" s="10">
        <f t="shared" si="0"/>
        <v>0.91341725514276939</v>
      </c>
      <c r="AD23" s="10">
        <f t="shared" si="1"/>
        <v>0.13043478260869565</v>
      </c>
      <c r="AE23" s="12">
        <f>100*(AC23/TOTAL_BASIC!$D$302)</f>
        <v>116.25295315564512</v>
      </c>
      <c r="AF23" s="9"/>
      <c r="AG23" s="9"/>
      <c r="AH23" s="12">
        <f t="shared" si="2"/>
        <v>50.6</v>
      </c>
      <c r="AI23" s="12">
        <f t="shared" si="3"/>
        <v>90.600000000000009</v>
      </c>
    </row>
    <row r="24" spans="1:35" ht="15.75" customHeight="1">
      <c r="A24" s="1" t="s">
        <v>117</v>
      </c>
      <c r="B24" s="7" t="s">
        <v>98</v>
      </c>
      <c r="C24" s="4" t="s">
        <v>118</v>
      </c>
      <c r="D24" s="4">
        <v>26</v>
      </c>
      <c r="E24" s="4">
        <v>789</v>
      </c>
      <c r="F24" s="4">
        <v>26</v>
      </c>
      <c r="G24" s="4">
        <v>25</v>
      </c>
      <c r="H24" s="4">
        <v>30.3</v>
      </c>
      <c r="I24" s="4">
        <v>4.2</v>
      </c>
      <c r="J24" s="4">
        <v>10.4</v>
      </c>
      <c r="K24" s="4">
        <v>0.40400000000000003</v>
      </c>
      <c r="L24" s="4">
        <v>0.2</v>
      </c>
      <c r="M24" s="4">
        <v>0.8</v>
      </c>
      <c r="N24" s="4">
        <v>0.19</v>
      </c>
      <c r="O24" s="4">
        <v>4</v>
      </c>
      <c r="P24" s="4">
        <v>9.6</v>
      </c>
      <c r="Q24" s="4">
        <v>0.42199999999999999</v>
      </c>
      <c r="R24" s="4">
        <v>1</v>
      </c>
      <c r="S24" s="4">
        <v>1.3</v>
      </c>
      <c r="T24" s="4">
        <v>0.77100000000000002</v>
      </c>
      <c r="U24" s="4">
        <v>1.8</v>
      </c>
      <c r="V24" s="4">
        <v>4.2</v>
      </c>
      <c r="W24" s="4">
        <v>2.5</v>
      </c>
      <c r="X24" s="4">
        <v>0.7</v>
      </c>
      <c r="Y24" s="4">
        <v>0.2</v>
      </c>
      <c r="Z24" s="4">
        <v>1.9</v>
      </c>
      <c r="AA24" s="4">
        <v>2</v>
      </c>
      <c r="AB24" s="4">
        <v>9.6</v>
      </c>
      <c r="AC24" s="10">
        <f t="shared" si="0"/>
        <v>0.74580484773151012</v>
      </c>
      <c r="AD24" s="10">
        <f t="shared" si="1"/>
        <v>0.1</v>
      </c>
      <c r="AE24" s="12">
        <f>100*(AC24/TOTAL_BASIC!$D$302)</f>
        <v>94.920492839860515</v>
      </c>
      <c r="AF24" s="9"/>
      <c r="AG24" s="9"/>
      <c r="AH24" s="12">
        <f t="shared" si="2"/>
        <v>40</v>
      </c>
      <c r="AI24" s="12">
        <f t="shared" si="3"/>
        <v>49.3</v>
      </c>
    </row>
    <row r="25" spans="1:35" ht="15.75" customHeight="1">
      <c r="A25" s="1" t="s">
        <v>119</v>
      </c>
      <c r="B25" s="7" t="s">
        <v>90</v>
      </c>
      <c r="C25" s="4" t="s">
        <v>8</v>
      </c>
      <c r="D25" s="4">
        <v>28</v>
      </c>
      <c r="E25" s="4">
        <v>784</v>
      </c>
      <c r="F25" s="4">
        <v>28</v>
      </c>
      <c r="G25" s="4">
        <v>27</v>
      </c>
      <c r="H25" s="4">
        <v>28</v>
      </c>
      <c r="I25" s="4">
        <v>3.9</v>
      </c>
      <c r="J25" s="4">
        <v>8.9</v>
      </c>
      <c r="K25" s="4">
        <v>0.44</v>
      </c>
      <c r="L25" s="4">
        <v>0.3</v>
      </c>
      <c r="M25" s="4">
        <v>1.2</v>
      </c>
      <c r="N25" s="4">
        <v>0.27300000000000002</v>
      </c>
      <c r="O25" s="4">
        <v>3.6</v>
      </c>
      <c r="P25" s="4">
        <v>7.8</v>
      </c>
      <c r="Q25" s="4">
        <v>0.46500000000000002</v>
      </c>
      <c r="R25" s="4">
        <v>2.7</v>
      </c>
      <c r="S25" s="4">
        <v>3</v>
      </c>
      <c r="T25" s="4">
        <v>0.89400000000000002</v>
      </c>
      <c r="U25" s="4">
        <v>1.5</v>
      </c>
      <c r="V25" s="4">
        <v>3.9</v>
      </c>
      <c r="W25" s="4">
        <v>1.6</v>
      </c>
      <c r="X25" s="4">
        <v>1.5</v>
      </c>
      <c r="Y25" s="4">
        <v>0.1</v>
      </c>
      <c r="Z25" s="4">
        <v>2.4</v>
      </c>
      <c r="AA25" s="4">
        <v>2</v>
      </c>
      <c r="AB25" s="4">
        <v>10.9</v>
      </c>
      <c r="AC25" s="10">
        <f t="shared" si="0"/>
        <v>0.86370839936608557</v>
      </c>
      <c r="AD25" s="10">
        <f t="shared" si="1"/>
        <v>0.05</v>
      </c>
      <c r="AE25" s="12">
        <f>100*(AC25/TOTAL_BASIC!$D$302)</f>
        <v>109.92637978570774</v>
      </c>
      <c r="AF25" s="9"/>
      <c r="AG25" s="9"/>
      <c r="AH25" s="12">
        <f t="shared" si="2"/>
        <v>16</v>
      </c>
      <c r="AI25" s="12">
        <f t="shared" si="3"/>
        <v>78.600000000000009</v>
      </c>
    </row>
    <row r="26" spans="1:35" ht="15.75" customHeight="1">
      <c r="A26" s="1" t="s">
        <v>120</v>
      </c>
      <c r="B26" s="7" t="s">
        <v>94</v>
      </c>
      <c r="C26" s="4" t="s">
        <v>118</v>
      </c>
      <c r="D26" s="4">
        <v>28</v>
      </c>
      <c r="E26" s="4">
        <v>775</v>
      </c>
      <c r="F26" s="4">
        <v>28</v>
      </c>
      <c r="G26" s="4">
        <v>17</v>
      </c>
      <c r="H26" s="4">
        <v>27.7</v>
      </c>
      <c r="I26" s="4">
        <v>1.7</v>
      </c>
      <c r="J26" s="4">
        <v>5.6</v>
      </c>
      <c r="K26" s="4">
        <v>0.29699999999999999</v>
      </c>
      <c r="L26" s="4">
        <v>0</v>
      </c>
      <c r="M26" s="4">
        <v>0.5</v>
      </c>
      <c r="N26" s="4">
        <v>6.7000000000000004E-2</v>
      </c>
      <c r="O26" s="4">
        <v>1.6</v>
      </c>
      <c r="P26" s="4">
        <v>5.0999999999999996</v>
      </c>
      <c r="Q26" s="4">
        <v>0.32200000000000001</v>
      </c>
      <c r="R26" s="4">
        <v>1.6</v>
      </c>
      <c r="S26" s="4">
        <v>2.4</v>
      </c>
      <c r="T26" s="4">
        <v>0.68700000000000006</v>
      </c>
      <c r="U26" s="4">
        <v>1.5</v>
      </c>
      <c r="V26" s="4">
        <v>4.2</v>
      </c>
      <c r="W26" s="4">
        <v>2.4</v>
      </c>
      <c r="X26" s="4">
        <v>2.4</v>
      </c>
      <c r="Y26" s="4">
        <v>0.3</v>
      </c>
      <c r="Z26" s="4">
        <v>2</v>
      </c>
      <c r="AA26" s="4">
        <v>3.3</v>
      </c>
      <c r="AB26" s="4">
        <v>5</v>
      </c>
      <c r="AC26" s="10">
        <f t="shared" si="0"/>
        <v>0.57763401109057311</v>
      </c>
      <c r="AD26" s="10">
        <f t="shared" si="1"/>
        <v>9.0909090909090912E-2</v>
      </c>
      <c r="AE26" s="12">
        <f>100*(AC26/TOTAL_BASIC!$D$302)</f>
        <v>73.51695980598025</v>
      </c>
      <c r="AF26" s="9"/>
      <c r="AG26" s="9"/>
      <c r="AH26" s="12">
        <f t="shared" si="2"/>
        <v>33.300000000000004</v>
      </c>
      <c r="AI26" s="12">
        <f t="shared" si="3"/>
        <v>10.6</v>
      </c>
    </row>
    <row r="27" spans="1:35" ht="15.75" customHeight="1">
      <c r="A27" s="1" t="s">
        <v>121</v>
      </c>
      <c r="B27" s="7" t="s">
        <v>94</v>
      </c>
      <c r="C27" s="4" t="s">
        <v>110</v>
      </c>
      <c r="D27" s="4">
        <v>28</v>
      </c>
      <c r="E27" s="4">
        <v>736</v>
      </c>
      <c r="F27" s="4">
        <v>28</v>
      </c>
      <c r="G27" s="4">
        <v>28</v>
      </c>
      <c r="H27" s="4">
        <v>26.3</v>
      </c>
      <c r="I27" s="4">
        <v>3.4</v>
      </c>
      <c r="J27" s="4">
        <v>7.2</v>
      </c>
      <c r="K27" s="4">
        <v>0.46800000000000003</v>
      </c>
      <c r="L27" s="4">
        <v>0</v>
      </c>
      <c r="M27" s="4">
        <v>0.2</v>
      </c>
      <c r="N27" s="4">
        <v>0.16700000000000001</v>
      </c>
      <c r="O27" s="4">
        <v>3.3</v>
      </c>
      <c r="P27" s="4">
        <v>7</v>
      </c>
      <c r="Q27" s="4">
        <v>0.47699999999999998</v>
      </c>
      <c r="R27" s="4">
        <v>2</v>
      </c>
      <c r="S27" s="4">
        <v>2.9</v>
      </c>
      <c r="T27" s="4">
        <v>0.70399999999999996</v>
      </c>
      <c r="U27" s="4">
        <v>2.2999999999999998</v>
      </c>
      <c r="V27" s="4">
        <v>6.1</v>
      </c>
      <c r="W27" s="4">
        <v>1</v>
      </c>
      <c r="X27" s="4">
        <v>1.9</v>
      </c>
      <c r="Y27" s="4">
        <v>0.8</v>
      </c>
      <c r="Z27" s="4">
        <v>1.9</v>
      </c>
      <c r="AA27" s="4">
        <v>2.8</v>
      </c>
      <c r="AB27" s="4">
        <v>8.8000000000000007</v>
      </c>
      <c r="AC27" s="10">
        <f t="shared" si="0"/>
        <v>0.84811102544333072</v>
      </c>
      <c r="AD27" s="10">
        <f t="shared" si="1"/>
        <v>0.28571428571428575</v>
      </c>
      <c r="AE27" s="12">
        <f>100*(AC27/TOTAL_BASIC!$D$302)</f>
        <v>107.94126206455228</v>
      </c>
      <c r="AF27" s="9"/>
      <c r="AG27" s="9"/>
      <c r="AH27" s="12">
        <f t="shared" si="2"/>
        <v>85.3</v>
      </c>
      <c r="AI27" s="12">
        <f t="shared" si="3"/>
        <v>76</v>
      </c>
    </row>
    <row r="28" spans="1:35" ht="15.75" customHeight="1">
      <c r="A28" s="1" t="s">
        <v>122</v>
      </c>
      <c r="B28" s="4" t="s">
        <v>105</v>
      </c>
      <c r="C28" s="4" t="s">
        <v>8</v>
      </c>
      <c r="D28" s="4">
        <v>27</v>
      </c>
      <c r="E28" s="4">
        <v>715</v>
      </c>
      <c r="F28" s="4">
        <v>27</v>
      </c>
      <c r="G28" s="4">
        <v>21</v>
      </c>
      <c r="H28" s="4">
        <v>26.5</v>
      </c>
      <c r="I28" s="4">
        <v>4.3</v>
      </c>
      <c r="J28" s="4">
        <v>9.3000000000000007</v>
      </c>
      <c r="K28" s="4">
        <v>0.45600000000000002</v>
      </c>
      <c r="L28" s="4">
        <v>0.8</v>
      </c>
      <c r="M28" s="4">
        <v>1.9</v>
      </c>
      <c r="N28" s="4">
        <v>0.42299999999999999</v>
      </c>
      <c r="O28" s="4">
        <v>3.4</v>
      </c>
      <c r="P28" s="4">
        <v>7.4</v>
      </c>
      <c r="Q28" s="4">
        <v>0.46500000000000002</v>
      </c>
      <c r="R28" s="4">
        <v>2.5</v>
      </c>
      <c r="S28" s="4">
        <v>3.3</v>
      </c>
      <c r="T28" s="4">
        <v>0.77300000000000002</v>
      </c>
      <c r="U28" s="4">
        <v>0.8</v>
      </c>
      <c r="V28" s="4">
        <v>3</v>
      </c>
      <c r="W28" s="4">
        <v>2</v>
      </c>
      <c r="X28" s="4">
        <v>1.8</v>
      </c>
      <c r="Y28" s="4">
        <v>0.2</v>
      </c>
      <c r="Z28" s="4">
        <v>2.1</v>
      </c>
      <c r="AA28" s="4">
        <v>2.8</v>
      </c>
      <c r="AB28" s="4">
        <v>11.9</v>
      </c>
      <c r="AC28" s="10">
        <f t="shared" si="0"/>
        <v>0.92592592592592593</v>
      </c>
      <c r="AD28" s="10">
        <f t="shared" si="1"/>
        <v>7.1428571428571438E-2</v>
      </c>
      <c r="AE28" s="12">
        <f>100*(AC28/TOTAL_BASIC!$D$302)</f>
        <v>117.84496371862315</v>
      </c>
      <c r="AF28" s="9"/>
      <c r="AG28" s="9"/>
      <c r="AH28" s="12">
        <f t="shared" si="2"/>
        <v>25.3</v>
      </c>
      <c r="AI28" s="12">
        <f t="shared" si="3"/>
        <v>92</v>
      </c>
    </row>
    <row r="29" spans="1:35" ht="15.75" customHeight="1">
      <c r="A29" s="1" t="s">
        <v>123</v>
      </c>
      <c r="B29" s="7" t="s">
        <v>96</v>
      </c>
      <c r="C29" s="4" t="s">
        <v>8</v>
      </c>
      <c r="D29" s="4">
        <v>28</v>
      </c>
      <c r="E29" s="4">
        <v>712</v>
      </c>
      <c r="F29" s="4">
        <v>28</v>
      </c>
      <c r="G29" s="4">
        <v>27</v>
      </c>
      <c r="H29" s="4">
        <v>25.4</v>
      </c>
      <c r="I29" s="4">
        <v>3.1</v>
      </c>
      <c r="J29" s="4">
        <v>7.8</v>
      </c>
      <c r="K29" s="4">
        <v>0.40100000000000002</v>
      </c>
      <c r="L29" s="4">
        <v>0</v>
      </c>
      <c r="M29" s="4">
        <v>0.3</v>
      </c>
      <c r="N29" s="4">
        <v>0</v>
      </c>
      <c r="O29" s="4">
        <v>3.1</v>
      </c>
      <c r="P29" s="4">
        <v>7.5</v>
      </c>
      <c r="Q29" s="4">
        <v>0.41399999999999998</v>
      </c>
      <c r="R29" s="4">
        <v>1.5</v>
      </c>
      <c r="S29" s="4">
        <v>2.2999999999999998</v>
      </c>
      <c r="T29" s="4">
        <v>0.67200000000000004</v>
      </c>
      <c r="U29" s="4">
        <v>1.3</v>
      </c>
      <c r="V29" s="4">
        <v>4.0999999999999996</v>
      </c>
      <c r="W29" s="4">
        <v>2.4</v>
      </c>
      <c r="X29" s="4">
        <v>1.6</v>
      </c>
      <c r="Y29" s="4">
        <v>0.4</v>
      </c>
      <c r="Z29" s="4">
        <v>2.5</v>
      </c>
      <c r="AA29" s="4">
        <v>1.6</v>
      </c>
      <c r="AB29" s="4">
        <v>7.8</v>
      </c>
      <c r="AC29" s="10">
        <f t="shared" si="0"/>
        <v>0.68953323903818953</v>
      </c>
      <c r="AD29" s="10">
        <f t="shared" si="1"/>
        <v>0.25</v>
      </c>
      <c r="AE29" s="12">
        <f>100*(AC29/TOTAL_BASIC!$D$302)</f>
        <v>87.758661100219356</v>
      </c>
      <c r="AF29" s="9"/>
      <c r="AG29" s="9"/>
      <c r="AH29" s="12">
        <f t="shared" si="2"/>
        <v>76</v>
      </c>
      <c r="AI29" s="12">
        <f t="shared" si="3"/>
        <v>32</v>
      </c>
    </row>
    <row r="30" spans="1:35" ht="15.75" customHeight="1">
      <c r="A30" s="1" t="s">
        <v>124</v>
      </c>
      <c r="B30" s="7" t="s">
        <v>88</v>
      </c>
      <c r="C30" s="4" t="s">
        <v>99</v>
      </c>
      <c r="D30" s="4">
        <v>28</v>
      </c>
      <c r="E30" s="4">
        <v>710</v>
      </c>
      <c r="F30" s="4">
        <v>28</v>
      </c>
      <c r="G30" s="4">
        <v>23</v>
      </c>
      <c r="H30" s="4">
        <v>25.4</v>
      </c>
      <c r="I30" s="4">
        <v>4.3</v>
      </c>
      <c r="J30" s="4">
        <v>8.6999999999999993</v>
      </c>
      <c r="K30" s="4">
        <v>0.49199999999999999</v>
      </c>
      <c r="L30" s="4">
        <v>0.1</v>
      </c>
      <c r="M30" s="4">
        <v>0.3</v>
      </c>
      <c r="N30" s="4">
        <v>0.5</v>
      </c>
      <c r="O30" s="4">
        <v>4.0999999999999996</v>
      </c>
      <c r="P30" s="4">
        <v>8.4</v>
      </c>
      <c r="Q30" s="4">
        <v>0.49199999999999999</v>
      </c>
      <c r="R30" s="4">
        <v>2.9</v>
      </c>
      <c r="S30" s="4">
        <v>3.8</v>
      </c>
      <c r="T30" s="4">
        <v>0.77400000000000002</v>
      </c>
      <c r="U30" s="4">
        <v>1.9</v>
      </c>
      <c r="V30" s="4">
        <v>5.5</v>
      </c>
      <c r="W30" s="4">
        <v>2.2999999999999998</v>
      </c>
      <c r="X30" s="4">
        <v>0.8</v>
      </c>
      <c r="Y30" s="4">
        <v>0.4</v>
      </c>
      <c r="Z30" s="4">
        <v>2.4</v>
      </c>
      <c r="AA30" s="4">
        <v>3.7</v>
      </c>
      <c r="AB30" s="4">
        <v>11.6</v>
      </c>
      <c r="AC30" s="10">
        <f t="shared" si="0"/>
        <v>0.90823676792984653</v>
      </c>
      <c r="AD30" s="10">
        <f t="shared" si="1"/>
        <v>0.10810810810810811</v>
      </c>
      <c r="AE30" s="12">
        <f>100*(AC30/TOTAL_BASIC!$D$302)</f>
        <v>115.59361928178132</v>
      </c>
      <c r="AF30" s="9"/>
      <c r="AG30" s="9"/>
      <c r="AH30" s="12">
        <f t="shared" si="2"/>
        <v>46.6</v>
      </c>
      <c r="AI30" s="12">
        <f t="shared" si="3"/>
        <v>89.3</v>
      </c>
    </row>
    <row r="31" spans="1:35" ht="15.75" customHeight="1">
      <c r="A31" s="1" t="s">
        <v>125</v>
      </c>
      <c r="B31" s="7" t="s">
        <v>90</v>
      </c>
      <c r="C31" s="4" t="s">
        <v>8</v>
      </c>
      <c r="D31" s="4">
        <v>28</v>
      </c>
      <c r="E31" s="4">
        <v>692</v>
      </c>
      <c r="F31" s="4">
        <v>28</v>
      </c>
      <c r="G31" s="4">
        <v>24</v>
      </c>
      <c r="H31" s="4">
        <v>24.7</v>
      </c>
      <c r="I31" s="4">
        <v>2.1</v>
      </c>
      <c r="J31" s="4">
        <v>5.8</v>
      </c>
      <c r="K31" s="4">
        <v>0.36399999999999999</v>
      </c>
      <c r="L31" s="4">
        <v>1</v>
      </c>
      <c r="M31" s="4">
        <v>3.5</v>
      </c>
      <c r="N31" s="4">
        <v>0.28299999999999997</v>
      </c>
      <c r="O31" s="4">
        <v>1.1000000000000001</v>
      </c>
      <c r="P31" s="4">
        <v>2.2999999999999998</v>
      </c>
      <c r="Q31" s="4">
        <v>0.49199999999999999</v>
      </c>
      <c r="R31" s="4">
        <v>0.5</v>
      </c>
      <c r="S31" s="4">
        <v>1.3</v>
      </c>
      <c r="T31" s="4">
        <v>0.40500000000000003</v>
      </c>
      <c r="U31" s="4">
        <v>0.6</v>
      </c>
      <c r="V31" s="4">
        <v>2.7</v>
      </c>
      <c r="W31" s="4">
        <v>3.1</v>
      </c>
      <c r="X31" s="4">
        <v>2.5</v>
      </c>
      <c r="Y31" s="4">
        <v>0.1</v>
      </c>
      <c r="Z31" s="4">
        <v>2.2999999999999998</v>
      </c>
      <c r="AA31" s="4">
        <v>1.9</v>
      </c>
      <c r="AB31" s="4">
        <v>5.8</v>
      </c>
      <c r="AC31" s="10">
        <f t="shared" si="0"/>
        <v>0.6688191881918818</v>
      </c>
      <c r="AD31" s="10">
        <f t="shared" si="1"/>
        <v>5.2631578947368425E-2</v>
      </c>
      <c r="AE31" s="12">
        <f>100*(AC31/TOTAL_BASIC!$D$302)</f>
        <v>85.122330804134606</v>
      </c>
      <c r="AF31" s="9"/>
      <c r="AG31" s="9"/>
      <c r="AH31" s="12">
        <f t="shared" si="2"/>
        <v>20</v>
      </c>
      <c r="AI31" s="12">
        <f t="shared" si="3"/>
        <v>28.000000000000004</v>
      </c>
    </row>
    <row r="32" spans="1:35" ht="15.75" customHeight="1">
      <c r="A32" s="1" t="s">
        <v>126</v>
      </c>
      <c r="B32" s="7" t="s">
        <v>86</v>
      </c>
      <c r="C32" s="4" t="s">
        <v>110</v>
      </c>
      <c r="D32" s="4">
        <v>27</v>
      </c>
      <c r="E32" s="4">
        <v>691</v>
      </c>
      <c r="F32" s="4">
        <v>27</v>
      </c>
      <c r="G32" s="4">
        <v>23</v>
      </c>
      <c r="H32" s="4">
        <v>25.6</v>
      </c>
      <c r="I32" s="4">
        <v>3.8</v>
      </c>
      <c r="J32" s="4">
        <v>8.1999999999999993</v>
      </c>
      <c r="K32" s="4">
        <v>0.45900000000000002</v>
      </c>
      <c r="L32" s="4">
        <v>0.1</v>
      </c>
      <c r="M32" s="4">
        <v>0.3</v>
      </c>
      <c r="N32" s="4">
        <v>0.28599999999999998</v>
      </c>
      <c r="O32" s="4">
        <v>3.7</v>
      </c>
      <c r="P32" s="4">
        <v>8</v>
      </c>
      <c r="Q32" s="4">
        <v>0.46500000000000002</v>
      </c>
      <c r="R32" s="4">
        <v>2.9</v>
      </c>
      <c r="S32" s="4">
        <v>4.0999999999999996</v>
      </c>
      <c r="T32" s="4">
        <v>0.70499999999999996</v>
      </c>
      <c r="U32" s="4">
        <v>2</v>
      </c>
      <c r="V32" s="4">
        <v>4.4000000000000004</v>
      </c>
      <c r="W32" s="4">
        <v>0.7</v>
      </c>
      <c r="X32" s="4">
        <v>1</v>
      </c>
      <c r="Y32" s="4">
        <v>0.5</v>
      </c>
      <c r="Z32" s="4">
        <v>2.7</v>
      </c>
      <c r="AA32" s="4">
        <v>4.2</v>
      </c>
      <c r="AB32" s="4">
        <v>10.6</v>
      </c>
      <c r="AC32" s="10">
        <f t="shared" si="0"/>
        <v>0.83438287153652391</v>
      </c>
      <c r="AD32" s="10">
        <f t="shared" si="1"/>
        <v>0.11904761904761904</v>
      </c>
      <c r="AE32" s="12">
        <f>100*(AC32/TOTAL_BASIC!$D$302)</f>
        <v>106.19404476155523</v>
      </c>
      <c r="AF32" s="9"/>
      <c r="AG32" s="9"/>
      <c r="AH32" s="12">
        <f t="shared" si="2"/>
        <v>49.3</v>
      </c>
      <c r="AI32" s="12">
        <f t="shared" si="3"/>
        <v>73.3</v>
      </c>
    </row>
    <row r="33" spans="1:35" ht="15.75" customHeight="1">
      <c r="A33" s="1" t="s">
        <v>127</v>
      </c>
      <c r="B33" s="7" t="s">
        <v>101</v>
      </c>
      <c r="C33" s="4" t="s">
        <v>92</v>
      </c>
      <c r="D33" s="4">
        <v>28</v>
      </c>
      <c r="E33" s="4">
        <v>691</v>
      </c>
      <c r="F33" s="4">
        <v>28</v>
      </c>
      <c r="G33" s="4">
        <v>24</v>
      </c>
      <c r="H33" s="4">
        <v>24.7</v>
      </c>
      <c r="I33" s="4">
        <v>2.1</v>
      </c>
      <c r="J33" s="4">
        <v>6</v>
      </c>
      <c r="K33" s="4">
        <v>0.34699999999999998</v>
      </c>
      <c r="L33" s="4">
        <v>0</v>
      </c>
      <c r="M33" s="4">
        <v>0.4</v>
      </c>
      <c r="N33" s="4">
        <v>0.1</v>
      </c>
      <c r="O33" s="4">
        <v>2</v>
      </c>
      <c r="P33" s="4">
        <v>5.6</v>
      </c>
      <c r="Q33" s="4">
        <v>0.36299999999999999</v>
      </c>
      <c r="R33" s="4">
        <v>1.3</v>
      </c>
      <c r="S33" s="4">
        <v>2</v>
      </c>
      <c r="T33" s="4">
        <v>0.65500000000000003</v>
      </c>
      <c r="U33" s="4">
        <v>1.2</v>
      </c>
      <c r="V33" s="4">
        <v>3</v>
      </c>
      <c r="W33" s="4">
        <v>2.4</v>
      </c>
      <c r="X33" s="4">
        <v>0.8</v>
      </c>
      <c r="Y33" s="4">
        <v>0.1</v>
      </c>
      <c r="Z33" s="4">
        <v>2.8</v>
      </c>
      <c r="AA33" s="4">
        <v>1.4</v>
      </c>
      <c r="AB33" s="4">
        <v>5.5</v>
      </c>
      <c r="AC33" s="10">
        <f t="shared" si="0"/>
        <v>0.56818181818181823</v>
      </c>
      <c r="AD33" s="10">
        <f t="shared" si="1"/>
        <v>7.1428571428571438E-2</v>
      </c>
      <c r="AE33" s="12">
        <f>100*(AC33/TOTAL_BASIC!$D$302)</f>
        <v>72.313955009155123</v>
      </c>
      <c r="AF33" s="9"/>
      <c r="AG33" s="9"/>
      <c r="AH33" s="12">
        <f t="shared" si="2"/>
        <v>25.3</v>
      </c>
      <c r="AI33" s="12">
        <f t="shared" si="3"/>
        <v>9.3000000000000007</v>
      </c>
    </row>
    <row r="34" spans="1:35" ht="15.75" customHeight="1">
      <c r="A34" s="1" t="s">
        <v>128</v>
      </c>
      <c r="B34" s="7" t="s">
        <v>90</v>
      </c>
      <c r="C34" s="4" t="s">
        <v>99</v>
      </c>
      <c r="D34" s="4">
        <v>25</v>
      </c>
      <c r="E34" s="4">
        <v>668</v>
      </c>
      <c r="F34" s="4">
        <v>25</v>
      </c>
      <c r="G34" s="4">
        <v>25</v>
      </c>
      <c r="H34" s="4">
        <v>26.7</v>
      </c>
      <c r="I34" s="4">
        <v>2.2999999999999998</v>
      </c>
      <c r="J34" s="4">
        <v>4.9000000000000004</v>
      </c>
      <c r="K34" s="4">
        <v>0.46700000000000003</v>
      </c>
      <c r="L34" s="4">
        <v>0</v>
      </c>
      <c r="M34" s="4">
        <v>0</v>
      </c>
      <c r="N34" s="4">
        <v>0</v>
      </c>
      <c r="O34" s="4">
        <v>2.2999999999999998</v>
      </c>
      <c r="P34" s="4">
        <v>4.9000000000000004</v>
      </c>
      <c r="Q34" s="4">
        <v>0.46700000000000003</v>
      </c>
      <c r="R34" s="4">
        <v>1.5</v>
      </c>
      <c r="S34" s="4">
        <v>2.7</v>
      </c>
      <c r="T34" s="4">
        <v>0.55900000000000005</v>
      </c>
      <c r="U34" s="4">
        <v>3</v>
      </c>
      <c r="V34" s="4">
        <v>5.4</v>
      </c>
      <c r="W34" s="4">
        <v>0.5</v>
      </c>
      <c r="X34" s="4">
        <v>1</v>
      </c>
      <c r="Y34" s="4">
        <v>0.3</v>
      </c>
      <c r="Z34" s="4">
        <v>1.7</v>
      </c>
      <c r="AA34" s="4">
        <v>3.3</v>
      </c>
      <c r="AB34" s="4">
        <v>6.1</v>
      </c>
      <c r="AC34" s="10">
        <f t="shared" si="0"/>
        <v>0.78325629173086786</v>
      </c>
      <c r="AD34" s="10">
        <f t="shared" si="1"/>
        <v>9.0909090909090912E-2</v>
      </c>
      <c r="AE34" s="12">
        <f>100*(AC34/TOTAL_BASIC!$D$302)</f>
        <v>99.687034023920035</v>
      </c>
      <c r="AF34" s="9"/>
      <c r="AG34" s="9"/>
      <c r="AH34" s="12">
        <f t="shared" si="2"/>
        <v>33.300000000000004</v>
      </c>
      <c r="AI34" s="12">
        <f t="shared" si="3"/>
        <v>61.3</v>
      </c>
    </row>
    <row r="35" spans="1:35" ht="15.75" customHeight="1">
      <c r="A35" s="1" t="s">
        <v>129</v>
      </c>
      <c r="B35" s="4" t="s">
        <v>98</v>
      </c>
      <c r="C35" s="4" t="s">
        <v>99</v>
      </c>
      <c r="D35" s="4">
        <v>28</v>
      </c>
      <c r="E35" s="4">
        <v>663</v>
      </c>
      <c r="F35" s="4">
        <v>28</v>
      </c>
      <c r="G35" s="4">
        <v>28</v>
      </c>
      <c r="H35" s="4">
        <v>23.7</v>
      </c>
      <c r="I35" s="4">
        <v>3.6</v>
      </c>
      <c r="J35" s="4">
        <v>7.5</v>
      </c>
      <c r="K35" s="4">
        <v>0.47399999999999998</v>
      </c>
      <c r="L35" s="4">
        <v>0</v>
      </c>
      <c r="M35" s="4">
        <v>0</v>
      </c>
      <c r="N35" s="4">
        <v>0</v>
      </c>
      <c r="O35" s="4">
        <v>3.6</v>
      </c>
      <c r="P35" s="4">
        <v>7.5</v>
      </c>
      <c r="Q35" s="4">
        <v>0.47599999999999998</v>
      </c>
      <c r="R35" s="4">
        <v>2.6</v>
      </c>
      <c r="S35" s="4">
        <v>4.0999999999999996</v>
      </c>
      <c r="T35" s="4">
        <v>0.64</v>
      </c>
      <c r="U35" s="4">
        <v>1.9</v>
      </c>
      <c r="V35" s="4">
        <v>5.8</v>
      </c>
      <c r="W35" s="4">
        <v>1.4</v>
      </c>
      <c r="X35" s="4">
        <v>1.4</v>
      </c>
      <c r="Y35" s="4">
        <v>0.7</v>
      </c>
      <c r="Z35" s="4">
        <v>1.8</v>
      </c>
      <c r="AA35" s="4">
        <v>2.4</v>
      </c>
      <c r="AB35" s="4">
        <v>9.8000000000000007</v>
      </c>
      <c r="AC35" s="10">
        <f t="shared" si="0"/>
        <v>0.88256484149855907</v>
      </c>
      <c r="AD35" s="10">
        <f t="shared" si="1"/>
        <v>0.29166666666666669</v>
      </c>
      <c r="AE35" s="12">
        <f>100*(AC35/TOTAL_BASIC!$D$302)</f>
        <v>112.3262874637885</v>
      </c>
      <c r="AF35" s="9"/>
      <c r="AG35" s="9"/>
      <c r="AH35" s="12">
        <f t="shared" si="2"/>
        <v>86.6</v>
      </c>
      <c r="AI35" s="12">
        <f t="shared" si="3"/>
        <v>80</v>
      </c>
    </row>
    <row r="36" spans="1:35" ht="15.75" customHeight="1">
      <c r="A36" s="1" t="s">
        <v>130</v>
      </c>
      <c r="B36" s="7" t="s">
        <v>88</v>
      </c>
      <c r="C36" s="4" t="s">
        <v>110</v>
      </c>
      <c r="D36" s="4">
        <v>28</v>
      </c>
      <c r="E36" s="4">
        <v>658</v>
      </c>
      <c r="F36" s="4">
        <v>28</v>
      </c>
      <c r="G36" s="4">
        <v>16</v>
      </c>
      <c r="H36" s="4">
        <v>23.5</v>
      </c>
      <c r="I36" s="4">
        <v>2.2999999999999998</v>
      </c>
      <c r="J36" s="4">
        <v>4.5</v>
      </c>
      <c r="K36" s="4">
        <v>0.5</v>
      </c>
      <c r="L36" s="4">
        <v>0.6</v>
      </c>
      <c r="M36" s="4">
        <v>1.6</v>
      </c>
      <c r="N36" s="4">
        <v>0.40899999999999997</v>
      </c>
      <c r="O36" s="4">
        <v>1.6</v>
      </c>
      <c r="P36" s="4">
        <v>2.9</v>
      </c>
      <c r="Q36" s="4">
        <v>0.54900000000000004</v>
      </c>
      <c r="R36" s="4">
        <v>1.5</v>
      </c>
      <c r="S36" s="4">
        <v>2</v>
      </c>
      <c r="T36" s="4">
        <v>0.76800000000000002</v>
      </c>
      <c r="U36" s="4">
        <v>1.4</v>
      </c>
      <c r="V36" s="4">
        <v>4.8</v>
      </c>
      <c r="W36" s="4">
        <v>1.5</v>
      </c>
      <c r="X36" s="4">
        <v>0.6</v>
      </c>
      <c r="Y36" s="4">
        <v>0.2</v>
      </c>
      <c r="Z36" s="4">
        <v>1.1000000000000001</v>
      </c>
      <c r="AA36" s="4">
        <v>1.9</v>
      </c>
      <c r="AB36" s="4">
        <v>6.7</v>
      </c>
      <c r="AC36" s="10">
        <f t="shared" si="0"/>
        <v>1.0339506172839505</v>
      </c>
      <c r="AD36" s="10">
        <f t="shared" si="1"/>
        <v>0.10526315789473685</v>
      </c>
      <c r="AE36" s="12">
        <f>100*(AC36/TOTAL_BASIC!$D$302)</f>
        <v>131.5935428191292</v>
      </c>
      <c r="AF36" s="9"/>
      <c r="AG36" s="9"/>
      <c r="AH36" s="12">
        <f t="shared" si="2"/>
        <v>45.300000000000004</v>
      </c>
      <c r="AI36" s="12">
        <f t="shared" si="3"/>
        <v>98.6</v>
      </c>
    </row>
    <row r="37" spans="1:35" ht="15.75" customHeight="1">
      <c r="A37" s="1" t="s">
        <v>131</v>
      </c>
      <c r="B37" s="7" t="s">
        <v>86</v>
      </c>
      <c r="C37" s="4" t="s">
        <v>118</v>
      </c>
      <c r="D37" s="4">
        <v>28</v>
      </c>
      <c r="E37" s="4">
        <v>656</v>
      </c>
      <c r="F37" s="4">
        <v>28</v>
      </c>
      <c r="G37" s="4">
        <v>19</v>
      </c>
      <c r="H37" s="4">
        <v>23.4</v>
      </c>
      <c r="I37" s="4">
        <v>3.4</v>
      </c>
      <c r="J37" s="4">
        <v>7.5</v>
      </c>
      <c r="K37" s="4">
        <v>0.45900000000000002</v>
      </c>
      <c r="L37" s="4">
        <v>0</v>
      </c>
      <c r="M37" s="4">
        <v>0.2</v>
      </c>
      <c r="N37" s="4">
        <v>0.2</v>
      </c>
      <c r="O37" s="4">
        <v>3.4</v>
      </c>
      <c r="P37" s="4">
        <v>7.3</v>
      </c>
      <c r="Q37" s="4">
        <v>0.46600000000000003</v>
      </c>
      <c r="R37" s="4">
        <v>1.8</v>
      </c>
      <c r="S37" s="4">
        <v>2.5</v>
      </c>
      <c r="T37" s="4">
        <v>0.73899999999999999</v>
      </c>
      <c r="U37" s="4">
        <v>3.1</v>
      </c>
      <c r="V37" s="4">
        <v>6.9</v>
      </c>
      <c r="W37" s="4">
        <v>1.7</v>
      </c>
      <c r="X37" s="4">
        <v>1.4</v>
      </c>
      <c r="Y37" s="4">
        <v>0.3</v>
      </c>
      <c r="Z37" s="4">
        <v>2.4</v>
      </c>
      <c r="AA37" s="4">
        <v>3.5</v>
      </c>
      <c r="AB37" s="4">
        <v>8.6999999999999993</v>
      </c>
      <c r="AC37" s="10">
        <f t="shared" si="0"/>
        <v>0.79090909090909089</v>
      </c>
      <c r="AD37" s="10">
        <f t="shared" si="1"/>
        <v>8.5714285714285715E-2</v>
      </c>
      <c r="AE37" s="12">
        <f>100*(AC37/TOTAL_BASIC!$D$302)</f>
        <v>100.66102537274391</v>
      </c>
      <c r="AF37" s="9"/>
      <c r="AG37" s="9"/>
      <c r="AH37" s="12">
        <f t="shared" si="2"/>
        <v>30.599999999999998</v>
      </c>
      <c r="AI37" s="12">
        <f t="shared" si="3"/>
        <v>65.3</v>
      </c>
    </row>
    <row r="38" spans="1:35" ht="15.75" customHeight="1">
      <c r="A38" s="1" t="s">
        <v>132</v>
      </c>
      <c r="B38" s="7" t="s">
        <v>105</v>
      </c>
      <c r="C38" s="4" t="s">
        <v>8</v>
      </c>
      <c r="D38" s="4">
        <v>28</v>
      </c>
      <c r="E38" s="4">
        <v>633</v>
      </c>
      <c r="F38" s="4">
        <v>28</v>
      </c>
      <c r="G38" s="4">
        <v>14</v>
      </c>
      <c r="H38" s="4">
        <v>22.6</v>
      </c>
      <c r="I38" s="4">
        <v>0.9</v>
      </c>
      <c r="J38" s="4">
        <v>3.8</v>
      </c>
      <c r="K38" s="4">
        <v>0.23599999999999999</v>
      </c>
      <c r="L38" s="4">
        <v>0.3</v>
      </c>
      <c r="M38" s="4">
        <v>1.3</v>
      </c>
      <c r="N38" s="4">
        <v>0.19400000000000001</v>
      </c>
      <c r="O38" s="4">
        <v>0.6</v>
      </c>
      <c r="P38" s="4">
        <v>2.5</v>
      </c>
      <c r="Q38" s="4">
        <v>0.25700000000000001</v>
      </c>
      <c r="R38" s="4">
        <v>1</v>
      </c>
      <c r="S38" s="4">
        <v>1.2</v>
      </c>
      <c r="T38" s="4">
        <v>0.79400000000000004</v>
      </c>
      <c r="U38" s="4">
        <v>0.6</v>
      </c>
      <c r="V38" s="4">
        <v>2</v>
      </c>
      <c r="W38" s="4">
        <v>3.7</v>
      </c>
      <c r="X38" s="4">
        <v>0.9</v>
      </c>
      <c r="Y38" s="4">
        <v>0</v>
      </c>
      <c r="Z38" s="4">
        <v>1.8</v>
      </c>
      <c r="AA38" s="4">
        <v>1.6</v>
      </c>
      <c r="AB38" s="4">
        <v>3</v>
      </c>
      <c r="AC38" s="10">
        <f t="shared" si="0"/>
        <v>0.48955613577023505</v>
      </c>
      <c r="AD38" s="10">
        <f t="shared" si="1"/>
        <v>0</v>
      </c>
      <c r="AE38" s="12">
        <f>100*(AC38/TOTAL_BASIC!$D$302)</f>
        <v>62.307063062718512</v>
      </c>
      <c r="AF38" s="9"/>
      <c r="AG38" s="9"/>
      <c r="AH38" s="12">
        <f t="shared" si="2"/>
        <v>0</v>
      </c>
      <c r="AI38" s="12">
        <f t="shared" si="3"/>
        <v>5.3</v>
      </c>
    </row>
    <row r="39" spans="1:35" ht="15.75" customHeight="1">
      <c r="A39" s="1" t="s">
        <v>133</v>
      </c>
      <c r="B39" s="7" t="s">
        <v>88</v>
      </c>
      <c r="C39" s="4" t="s">
        <v>8</v>
      </c>
      <c r="D39" s="4">
        <v>27</v>
      </c>
      <c r="E39" s="4">
        <v>622</v>
      </c>
      <c r="F39" s="4">
        <v>27</v>
      </c>
      <c r="G39" s="4">
        <v>21</v>
      </c>
      <c r="H39" s="4">
        <v>23</v>
      </c>
      <c r="I39" s="4">
        <v>1.3</v>
      </c>
      <c r="J39" s="4">
        <v>3.6</v>
      </c>
      <c r="K39" s="4">
        <v>0.36699999999999999</v>
      </c>
      <c r="L39" s="4">
        <v>0.9</v>
      </c>
      <c r="M39" s="4">
        <v>2.4</v>
      </c>
      <c r="N39" s="4">
        <v>0.34799999999999998</v>
      </c>
      <c r="O39" s="4">
        <v>0.5</v>
      </c>
      <c r="P39" s="4">
        <v>1.2</v>
      </c>
      <c r="Q39" s="4">
        <v>0.40600000000000003</v>
      </c>
      <c r="R39" s="4">
        <v>0.5</v>
      </c>
      <c r="S39" s="4">
        <v>0.6</v>
      </c>
      <c r="T39" s="4">
        <v>0.93300000000000005</v>
      </c>
      <c r="U39" s="4">
        <v>0.2</v>
      </c>
      <c r="V39" s="4">
        <v>1.7</v>
      </c>
      <c r="W39" s="4">
        <v>2.8</v>
      </c>
      <c r="X39" s="4">
        <v>0.8</v>
      </c>
      <c r="Y39" s="4">
        <v>0.1</v>
      </c>
      <c r="Z39" s="4">
        <v>2.6</v>
      </c>
      <c r="AA39" s="4">
        <v>1.7</v>
      </c>
      <c r="AB39" s="4">
        <v>4</v>
      </c>
      <c r="AC39" s="10">
        <f t="shared" si="0"/>
        <v>0.61881188118811881</v>
      </c>
      <c r="AD39" s="10">
        <f t="shared" si="1"/>
        <v>5.8823529411764712E-2</v>
      </c>
      <c r="AE39" s="12">
        <f>100*(AC39/TOTAL_BASIC!$D$302)</f>
        <v>78.757772782248153</v>
      </c>
      <c r="AF39" s="9"/>
      <c r="AG39" s="9"/>
      <c r="AH39" s="12">
        <f t="shared" si="2"/>
        <v>22.6</v>
      </c>
      <c r="AI39" s="12">
        <f t="shared" si="3"/>
        <v>20</v>
      </c>
    </row>
    <row r="40" spans="1:35" ht="15.75" customHeight="1">
      <c r="A40" s="1" t="s">
        <v>134</v>
      </c>
      <c r="B40" s="7" t="s">
        <v>96</v>
      </c>
      <c r="C40" s="4" t="s">
        <v>8</v>
      </c>
      <c r="D40" s="4">
        <v>20</v>
      </c>
      <c r="E40" s="4">
        <v>622</v>
      </c>
      <c r="F40" s="4">
        <v>20</v>
      </c>
      <c r="G40" s="4">
        <v>14</v>
      </c>
      <c r="H40" s="4">
        <v>31.1</v>
      </c>
      <c r="I40" s="4">
        <v>3.8</v>
      </c>
      <c r="J40" s="4">
        <v>8.5</v>
      </c>
      <c r="K40" s="4">
        <v>0.44700000000000001</v>
      </c>
      <c r="L40" s="4">
        <v>0.3</v>
      </c>
      <c r="M40" s="4">
        <v>1.3</v>
      </c>
      <c r="N40" s="4">
        <v>0.24</v>
      </c>
      <c r="O40" s="4">
        <v>3.5</v>
      </c>
      <c r="P40" s="4">
        <v>7.3</v>
      </c>
      <c r="Q40" s="4">
        <v>0.48299999999999998</v>
      </c>
      <c r="R40" s="4">
        <v>2.2999999999999998</v>
      </c>
      <c r="S40" s="4">
        <v>4.3</v>
      </c>
      <c r="T40" s="4">
        <v>0.52300000000000002</v>
      </c>
      <c r="U40" s="4">
        <v>0.7</v>
      </c>
      <c r="V40" s="4">
        <v>3.5</v>
      </c>
      <c r="W40" s="4">
        <v>4.5</v>
      </c>
      <c r="X40" s="4">
        <v>1.8</v>
      </c>
      <c r="Y40" s="4">
        <v>0.2</v>
      </c>
      <c r="Z40" s="4">
        <v>3.9</v>
      </c>
      <c r="AA40" s="4">
        <v>2</v>
      </c>
      <c r="AB40" s="4">
        <v>10.199999999999999</v>
      </c>
      <c r="AC40" s="10">
        <f t="shared" si="0"/>
        <v>0.71368597816960533</v>
      </c>
      <c r="AD40" s="10">
        <f t="shared" si="1"/>
        <v>0.1</v>
      </c>
      <c r="AE40" s="12">
        <f>100*(AC40/TOTAL_BASIC!$D$302)</f>
        <v>90.832642060198182</v>
      </c>
      <c r="AF40" s="9"/>
      <c r="AG40" s="9"/>
      <c r="AH40" s="12">
        <f t="shared" si="2"/>
        <v>40</v>
      </c>
      <c r="AI40" s="12">
        <f t="shared" si="3"/>
        <v>40</v>
      </c>
    </row>
    <row r="41" spans="1:35" ht="15.75" customHeight="1">
      <c r="A41" s="1" t="s">
        <v>135</v>
      </c>
      <c r="B41" s="7" t="s">
        <v>105</v>
      </c>
      <c r="C41" s="4" t="s">
        <v>92</v>
      </c>
      <c r="D41" s="4">
        <v>28</v>
      </c>
      <c r="E41" s="4">
        <v>613</v>
      </c>
      <c r="F41" s="4">
        <v>28</v>
      </c>
      <c r="G41" s="4">
        <v>14</v>
      </c>
      <c r="H41" s="4">
        <v>21.9</v>
      </c>
      <c r="I41" s="4">
        <v>2</v>
      </c>
      <c r="J41" s="4">
        <v>4.5</v>
      </c>
      <c r="K41" s="4">
        <v>0.437</v>
      </c>
      <c r="L41" s="4">
        <v>0.3</v>
      </c>
      <c r="M41" s="4">
        <v>0.9</v>
      </c>
      <c r="N41" s="4">
        <v>0.36</v>
      </c>
      <c r="O41" s="4">
        <v>1.6</v>
      </c>
      <c r="P41" s="4">
        <v>3.6</v>
      </c>
      <c r="Q41" s="4">
        <v>0.45500000000000002</v>
      </c>
      <c r="R41" s="4">
        <v>0.6</v>
      </c>
      <c r="S41" s="4">
        <v>1.1000000000000001</v>
      </c>
      <c r="T41" s="4">
        <v>0.56699999999999995</v>
      </c>
      <c r="U41" s="4">
        <v>0.9</v>
      </c>
      <c r="V41" s="4">
        <v>2.1</v>
      </c>
      <c r="W41" s="4">
        <v>1.6</v>
      </c>
      <c r="X41" s="4">
        <v>1.3</v>
      </c>
      <c r="Y41" s="4">
        <v>0.3</v>
      </c>
      <c r="Z41" s="4">
        <v>1.3</v>
      </c>
      <c r="AA41" s="4">
        <v>1.6</v>
      </c>
      <c r="AB41" s="4">
        <v>4.9000000000000004</v>
      </c>
      <c r="AC41" s="10">
        <f t="shared" si="0"/>
        <v>0.77975811584977728</v>
      </c>
      <c r="AD41" s="10">
        <f t="shared" si="1"/>
        <v>0.18749999999999997</v>
      </c>
      <c r="AE41" s="12">
        <f>100*(AC41/TOTAL_BASIC!$D$302)</f>
        <v>99.241812221348468</v>
      </c>
      <c r="AF41" s="9"/>
      <c r="AG41" s="9"/>
      <c r="AH41" s="12">
        <f t="shared" si="2"/>
        <v>70.599999999999994</v>
      </c>
      <c r="AI41" s="12">
        <f t="shared" si="3"/>
        <v>58.599999999999994</v>
      </c>
    </row>
    <row r="42" spans="1:35" ht="15.75" customHeight="1">
      <c r="A42" s="1" t="s">
        <v>136</v>
      </c>
      <c r="B42" s="7" t="s">
        <v>101</v>
      </c>
      <c r="C42" s="4" t="s">
        <v>8</v>
      </c>
      <c r="D42" s="4">
        <v>28</v>
      </c>
      <c r="E42" s="4">
        <v>608</v>
      </c>
      <c r="F42" s="4">
        <v>28</v>
      </c>
      <c r="G42" s="4">
        <v>10</v>
      </c>
      <c r="H42" s="4">
        <v>21.7</v>
      </c>
      <c r="I42" s="4">
        <v>3.1</v>
      </c>
      <c r="J42" s="4">
        <v>8.1999999999999993</v>
      </c>
      <c r="K42" s="4">
        <v>0.38400000000000001</v>
      </c>
      <c r="L42" s="4">
        <v>0.3</v>
      </c>
      <c r="M42" s="4">
        <v>1.2</v>
      </c>
      <c r="N42" s="4">
        <v>0.26500000000000001</v>
      </c>
      <c r="O42" s="4">
        <v>2.8</v>
      </c>
      <c r="P42" s="4">
        <v>7</v>
      </c>
      <c r="Q42" s="4">
        <v>0.40500000000000003</v>
      </c>
      <c r="R42" s="4">
        <v>1.5</v>
      </c>
      <c r="S42" s="4">
        <v>1.9</v>
      </c>
      <c r="T42" s="4">
        <v>0.77400000000000002</v>
      </c>
      <c r="U42" s="4">
        <v>1.2</v>
      </c>
      <c r="V42" s="4">
        <v>2.9</v>
      </c>
      <c r="W42" s="4">
        <v>2.1</v>
      </c>
      <c r="X42" s="4">
        <v>1.4</v>
      </c>
      <c r="Y42" s="4">
        <v>0.3</v>
      </c>
      <c r="Z42" s="4">
        <v>2</v>
      </c>
      <c r="AA42" s="4">
        <v>3</v>
      </c>
      <c r="AB42" s="4">
        <v>8.1</v>
      </c>
      <c r="AC42" s="10">
        <f t="shared" si="0"/>
        <v>0.73396158028271108</v>
      </c>
      <c r="AD42" s="10">
        <f t="shared" si="1"/>
        <v>9.9999999999999992E-2</v>
      </c>
      <c r="AE42" s="12">
        <f>100*(AC42/TOTAL_BASIC!$D$302)</f>
        <v>93.413169863221739</v>
      </c>
      <c r="AF42" s="9"/>
      <c r="AG42" s="9"/>
      <c r="AH42" s="12">
        <f t="shared" si="2"/>
        <v>38.6</v>
      </c>
      <c r="AI42" s="12">
        <f t="shared" si="3"/>
        <v>45.300000000000004</v>
      </c>
    </row>
    <row r="43" spans="1:35" ht="15.75" customHeight="1">
      <c r="A43" s="1" t="s">
        <v>137</v>
      </c>
      <c r="B43" s="7" t="s">
        <v>96</v>
      </c>
      <c r="C43" s="4" t="s">
        <v>8</v>
      </c>
      <c r="D43" s="4">
        <v>28</v>
      </c>
      <c r="E43" s="4">
        <v>589</v>
      </c>
      <c r="F43" s="4">
        <v>28</v>
      </c>
      <c r="G43" s="4">
        <v>1</v>
      </c>
      <c r="H43" s="4">
        <v>21</v>
      </c>
      <c r="I43" s="4">
        <v>3.3</v>
      </c>
      <c r="J43" s="4">
        <v>8.1999999999999993</v>
      </c>
      <c r="K43" s="4">
        <v>0.40200000000000002</v>
      </c>
      <c r="L43" s="4">
        <v>0.2</v>
      </c>
      <c r="M43" s="4">
        <v>0.4</v>
      </c>
      <c r="N43" s="4">
        <v>0.41699999999999998</v>
      </c>
      <c r="O43" s="4">
        <v>3.1</v>
      </c>
      <c r="P43" s="4">
        <v>7.8</v>
      </c>
      <c r="Q43" s="4">
        <v>0.40100000000000002</v>
      </c>
      <c r="R43" s="4">
        <v>1.4</v>
      </c>
      <c r="S43" s="4">
        <v>2</v>
      </c>
      <c r="T43" s="4">
        <v>0.71399999999999997</v>
      </c>
      <c r="U43" s="4">
        <v>1.1000000000000001</v>
      </c>
      <c r="V43" s="4">
        <v>2.9</v>
      </c>
      <c r="W43" s="4">
        <v>0.9</v>
      </c>
      <c r="X43" s="4">
        <v>0.8</v>
      </c>
      <c r="Y43" s="4">
        <v>0.1</v>
      </c>
      <c r="Z43" s="4">
        <v>1.9</v>
      </c>
      <c r="AA43" s="4">
        <v>2</v>
      </c>
      <c r="AB43" s="4">
        <v>8.1999999999999993</v>
      </c>
      <c r="AC43" s="10">
        <f t="shared" si="0"/>
        <v>0.74681238615664836</v>
      </c>
      <c r="AD43" s="10">
        <f t="shared" si="1"/>
        <v>0.05</v>
      </c>
      <c r="AE43" s="12">
        <f>100*(AC43/TOTAL_BASIC!$D$302)</f>
        <v>95.048724835348494</v>
      </c>
      <c r="AF43" s="9"/>
      <c r="AG43" s="9"/>
      <c r="AH43" s="12">
        <f t="shared" si="2"/>
        <v>16</v>
      </c>
      <c r="AI43" s="12">
        <f t="shared" si="3"/>
        <v>50.6</v>
      </c>
    </row>
    <row r="44" spans="1:35" ht="15.75" customHeight="1">
      <c r="A44" s="1" t="s">
        <v>138</v>
      </c>
      <c r="B44" s="7" t="s">
        <v>105</v>
      </c>
      <c r="C44" s="4" t="s">
        <v>99</v>
      </c>
      <c r="D44" s="4">
        <v>28</v>
      </c>
      <c r="E44" s="4">
        <v>557</v>
      </c>
      <c r="F44" s="4">
        <v>28</v>
      </c>
      <c r="G44" s="4">
        <v>21</v>
      </c>
      <c r="H44" s="4">
        <v>19.899999999999999</v>
      </c>
      <c r="I44" s="4">
        <v>3.9</v>
      </c>
      <c r="J44" s="4">
        <v>6.4</v>
      </c>
      <c r="K44" s="4">
        <v>0.61799999999999999</v>
      </c>
      <c r="L44" s="4">
        <v>0</v>
      </c>
      <c r="M44" s="4">
        <v>0</v>
      </c>
      <c r="N44" s="4">
        <v>0</v>
      </c>
      <c r="O44" s="4">
        <v>3.9</v>
      </c>
      <c r="P44" s="4">
        <v>6.4</v>
      </c>
      <c r="Q44" s="4">
        <v>0.61799999999999999</v>
      </c>
      <c r="R44" s="4">
        <v>1.4</v>
      </c>
      <c r="S44" s="4">
        <v>2.1</v>
      </c>
      <c r="T44" s="4">
        <v>0.66100000000000003</v>
      </c>
      <c r="U44" s="4">
        <v>1.1000000000000001</v>
      </c>
      <c r="V44" s="4">
        <v>4.4000000000000004</v>
      </c>
      <c r="W44" s="4">
        <v>0.6</v>
      </c>
      <c r="X44" s="4">
        <v>0.4</v>
      </c>
      <c r="Y44" s="4">
        <v>0.7</v>
      </c>
      <c r="Z44" s="4">
        <v>1.6</v>
      </c>
      <c r="AA44" s="4">
        <v>2.8</v>
      </c>
      <c r="AB44" s="4">
        <v>9.3000000000000007</v>
      </c>
      <c r="AC44" s="10">
        <f t="shared" si="0"/>
        <v>1.0421335723890632</v>
      </c>
      <c r="AD44" s="10">
        <f t="shared" si="1"/>
        <v>0.25</v>
      </c>
      <c r="AE44" s="12">
        <f>100*(AC44/TOTAL_BASIC!$D$302)</f>
        <v>132.63500847040015</v>
      </c>
      <c r="AF44" s="9"/>
      <c r="AG44" s="9"/>
      <c r="AH44" s="12">
        <f t="shared" si="2"/>
        <v>76</v>
      </c>
      <c r="AI44" s="12">
        <f t="shared" si="3"/>
        <v>100</v>
      </c>
    </row>
    <row r="45" spans="1:35" ht="15.75" customHeight="1">
      <c r="A45" s="1" t="s">
        <v>139</v>
      </c>
      <c r="B45" s="7" t="s">
        <v>90</v>
      </c>
      <c r="C45" s="4" t="s">
        <v>110</v>
      </c>
      <c r="D45" s="4">
        <v>28</v>
      </c>
      <c r="E45" s="4">
        <v>545</v>
      </c>
      <c r="F45" s="4">
        <v>28</v>
      </c>
      <c r="G45" s="4">
        <v>3</v>
      </c>
      <c r="H45" s="4">
        <v>19.5</v>
      </c>
      <c r="I45" s="4">
        <v>1.6</v>
      </c>
      <c r="J45" s="4">
        <v>3.9</v>
      </c>
      <c r="K45" s="4">
        <v>0.40899999999999997</v>
      </c>
      <c r="L45" s="4">
        <v>0</v>
      </c>
      <c r="M45" s="4">
        <v>0</v>
      </c>
      <c r="N45" s="4">
        <v>0</v>
      </c>
      <c r="O45" s="4">
        <v>1.6</v>
      </c>
      <c r="P45" s="4">
        <v>3.9</v>
      </c>
      <c r="Q45" s="4">
        <v>0.41299999999999998</v>
      </c>
      <c r="R45" s="4">
        <v>0.9</v>
      </c>
      <c r="S45" s="4">
        <v>1.5</v>
      </c>
      <c r="T45" s="4">
        <v>0.61</v>
      </c>
      <c r="U45" s="4">
        <v>1.5</v>
      </c>
      <c r="V45" s="4">
        <v>4.0999999999999996</v>
      </c>
      <c r="W45" s="4">
        <v>0.4</v>
      </c>
      <c r="X45" s="4">
        <v>1.6</v>
      </c>
      <c r="Y45" s="4">
        <v>0.4</v>
      </c>
      <c r="Z45" s="4">
        <v>1.8</v>
      </c>
      <c r="AA45" s="4">
        <v>3</v>
      </c>
      <c r="AB45" s="4">
        <v>4.0999999999999996</v>
      </c>
      <c r="AC45" s="10">
        <f t="shared" si="0"/>
        <v>0.64465408805031443</v>
      </c>
      <c r="AD45" s="10">
        <f t="shared" si="1"/>
        <v>0.13333333333333333</v>
      </c>
      <c r="AE45" s="12">
        <f>100*(AC45/TOTAL_BASIC!$D$302)</f>
        <v>82.046776626739501</v>
      </c>
      <c r="AF45" s="9"/>
      <c r="AG45" s="9"/>
      <c r="AH45" s="12">
        <f t="shared" si="2"/>
        <v>54.6</v>
      </c>
      <c r="AI45" s="12">
        <f t="shared" si="3"/>
        <v>22.6</v>
      </c>
    </row>
    <row r="46" spans="1:35" ht="15.75" customHeight="1">
      <c r="A46" s="1" t="s">
        <v>140</v>
      </c>
      <c r="B46" s="7" t="s">
        <v>88</v>
      </c>
      <c r="C46" s="4" t="s">
        <v>92</v>
      </c>
      <c r="D46" s="4">
        <v>28</v>
      </c>
      <c r="E46" s="4">
        <v>539</v>
      </c>
      <c r="F46" s="4">
        <v>28</v>
      </c>
      <c r="G46" s="4">
        <v>9</v>
      </c>
      <c r="H46" s="4">
        <v>19.3</v>
      </c>
      <c r="I46" s="4">
        <v>2</v>
      </c>
      <c r="J46" s="4">
        <v>5.7</v>
      </c>
      <c r="K46" s="4">
        <v>0.35799999999999998</v>
      </c>
      <c r="L46" s="4">
        <v>0.2</v>
      </c>
      <c r="M46" s="4">
        <v>0.9</v>
      </c>
      <c r="N46" s="4">
        <v>0.2</v>
      </c>
      <c r="O46" s="4">
        <v>1.9</v>
      </c>
      <c r="P46" s="4">
        <v>4.8</v>
      </c>
      <c r="Q46" s="4">
        <v>0.38800000000000001</v>
      </c>
      <c r="R46" s="4">
        <v>0.6</v>
      </c>
      <c r="S46" s="4">
        <v>1.1000000000000001</v>
      </c>
      <c r="T46" s="4">
        <v>0.51600000000000001</v>
      </c>
      <c r="U46" s="4">
        <v>0.5</v>
      </c>
      <c r="V46" s="4">
        <v>2.6</v>
      </c>
      <c r="W46" s="4">
        <v>1</v>
      </c>
      <c r="X46" s="4">
        <v>0.6</v>
      </c>
      <c r="Y46" s="4">
        <v>0.4</v>
      </c>
      <c r="Z46" s="4">
        <v>1.6</v>
      </c>
      <c r="AA46" s="4">
        <v>1.3</v>
      </c>
      <c r="AB46" s="4">
        <v>4.8</v>
      </c>
      <c r="AC46" s="10">
        <f t="shared" si="0"/>
        <v>0.61664953751284679</v>
      </c>
      <c r="AD46" s="10">
        <f t="shared" si="1"/>
        <v>0.30769230769230771</v>
      </c>
      <c r="AE46" s="12">
        <f>100*(AC46/TOTAL_BASIC!$D$302)</f>
        <v>78.482565765331742</v>
      </c>
      <c r="AF46" s="9"/>
      <c r="AG46" s="9"/>
      <c r="AH46" s="12">
        <f t="shared" si="2"/>
        <v>88</v>
      </c>
      <c r="AI46" s="12">
        <f t="shared" si="3"/>
        <v>18.600000000000001</v>
      </c>
    </row>
    <row r="47" spans="1:35" ht="15.75" customHeight="1">
      <c r="A47" s="1" t="s">
        <v>141</v>
      </c>
      <c r="B47" s="7" t="s">
        <v>94</v>
      </c>
      <c r="C47" s="4" t="s">
        <v>99</v>
      </c>
      <c r="D47" s="4">
        <v>28</v>
      </c>
      <c r="E47" s="4">
        <v>517</v>
      </c>
      <c r="F47" s="4">
        <v>28</v>
      </c>
      <c r="G47" s="4">
        <v>1</v>
      </c>
      <c r="H47" s="4">
        <v>18.5</v>
      </c>
      <c r="I47" s="4">
        <v>2.5</v>
      </c>
      <c r="J47" s="4">
        <v>6.4</v>
      </c>
      <c r="K47" s="4">
        <v>0.39300000000000002</v>
      </c>
      <c r="L47" s="4">
        <v>0</v>
      </c>
      <c r="M47" s="4">
        <v>0</v>
      </c>
      <c r="N47" s="4">
        <v>0</v>
      </c>
      <c r="O47" s="4">
        <v>2.5</v>
      </c>
      <c r="P47" s="4">
        <v>6.3</v>
      </c>
      <c r="Q47" s="4">
        <v>0.39500000000000002</v>
      </c>
      <c r="R47" s="4">
        <v>2.5</v>
      </c>
      <c r="S47" s="4">
        <v>3.3</v>
      </c>
      <c r="T47" s="4">
        <v>0.76300000000000001</v>
      </c>
      <c r="U47" s="4">
        <v>2.4</v>
      </c>
      <c r="V47" s="4">
        <v>5.2</v>
      </c>
      <c r="W47" s="4">
        <v>0.8</v>
      </c>
      <c r="X47" s="4">
        <v>0.8</v>
      </c>
      <c r="Y47" s="4">
        <v>0.3</v>
      </c>
      <c r="Z47" s="4">
        <v>1.6</v>
      </c>
      <c r="AA47" s="4">
        <v>2.1</v>
      </c>
      <c r="AB47" s="4">
        <v>7.5</v>
      </c>
      <c r="AC47" s="10">
        <f t="shared" si="0"/>
        <v>0.79348286077020735</v>
      </c>
      <c r="AD47" s="10">
        <f t="shared" si="1"/>
        <v>0.14285714285714285</v>
      </c>
      <c r="AE47" s="12">
        <f>100*(AC47/TOTAL_BASIC!$D$302)</f>
        <v>100.98859565391953</v>
      </c>
      <c r="AF47" s="9"/>
      <c r="AG47" s="9"/>
      <c r="AH47" s="12">
        <f t="shared" si="2"/>
        <v>57.3</v>
      </c>
      <c r="AI47" s="12">
        <f t="shared" si="3"/>
        <v>66.600000000000009</v>
      </c>
    </row>
    <row r="48" spans="1:35" ht="15.75" customHeight="1">
      <c r="A48" s="1" t="s">
        <v>142</v>
      </c>
      <c r="B48" s="7" t="s">
        <v>96</v>
      </c>
      <c r="C48" s="4" t="s">
        <v>92</v>
      </c>
      <c r="D48" s="4">
        <v>28</v>
      </c>
      <c r="E48" s="4">
        <v>511</v>
      </c>
      <c r="F48" s="4">
        <v>28</v>
      </c>
      <c r="G48" s="4">
        <v>3</v>
      </c>
      <c r="H48" s="4">
        <v>18.3</v>
      </c>
      <c r="I48" s="4">
        <v>2.2999999999999998</v>
      </c>
      <c r="J48" s="4">
        <v>4.4000000000000004</v>
      </c>
      <c r="K48" s="4">
        <v>0.52</v>
      </c>
      <c r="L48" s="4">
        <v>0</v>
      </c>
      <c r="M48" s="4">
        <v>0</v>
      </c>
      <c r="N48" s="4">
        <v>0</v>
      </c>
      <c r="O48" s="4">
        <v>2.2999999999999998</v>
      </c>
      <c r="P48" s="4">
        <v>4.4000000000000004</v>
      </c>
      <c r="Q48" s="4">
        <v>0.52</v>
      </c>
      <c r="R48" s="4">
        <v>1.7</v>
      </c>
      <c r="S48" s="4">
        <v>2.2999999999999998</v>
      </c>
      <c r="T48" s="4">
        <v>0.73399999999999999</v>
      </c>
      <c r="U48" s="4">
        <v>1.7</v>
      </c>
      <c r="V48" s="4">
        <v>4</v>
      </c>
      <c r="W48" s="4">
        <v>0.7</v>
      </c>
      <c r="X48" s="4">
        <v>1.2</v>
      </c>
      <c r="Y48" s="4">
        <v>0.5</v>
      </c>
      <c r="Z48" s="4">
        <v>1</v>
      </c>
      <c r="AA48" s="4">
        <v>2.6</v>
      </c>
      <c r="AB48" s="4">
        <v>6.3</v>
      </c>
      <c r="AC48" s="10">
        <f t="shared" si="0"/>
        <v>0.98253275109170291</v>
      </c>
      <c r="AD48" s="10">
        <f t="shared" si="1"/>
        <v>0.19230769230769229</v>
      </c>
      <c r="AE48" s="12">
        <f>100*(AC48/TOTAL_BASIC!$D$302)</f>
        <v>125.04945931714158</v>
      </c>
      <c r="AF48" s="9"/>
      <c r="AG48" s="9"/>
      <c r="AH48" s="12">
        <f t="shared" si="2"/>
        <v>72</v>
      </c>
      <c r="AI48" s="12">
        <f t="shared" si="3"/>
        <v>94.6</v>
      </c>
    </row>
    <row r="49" spans="1:35" ht="15.75" customHeight="1">
      <c r="A49" s="1" t="s">
        <v>143</v>
      </c>
      <c r="B49" s="7" t="s">
        <v>105</v>
      </c>
      <c r="C49" s="4" t="s">
        <v>92</v>
      </c>
      <c r="D49" s="4">
        <v>28</v>
      </c>
      <c r="E49" s="4">
        <v>492</v>
      </c>
      <c r="F49" s="4">
        <v>28</v>
      </c>
      <c r="G49" s="4">
        <v>6</v>
      </c>
      <c r="H49" s="4">
        <v>17.600000000000001</v>
      </c>
      <c r="I49" s="4">
        <v>2.6</v>
      </c>
      <c r="J49" s="4">
        <v>4.8</v>
      </c>
      <c r="K49" s="4">
        <v>0.54100000000000004</v>
      </c>
      <c r="L49" s="4">
        <v>0</v>
      </c>
      <c r="M49" s="4">
        <v>0.1</v>
      </c>
      <c r="N49" s="4">
        <v>0.5</v>
      </c>
      <c r="O49" s="4">
        <v>2.6</v>
      </c>
      <c r="P49" s="4">
        <v>4.8</v>
      </c>
      <c r="Q49" s="4">
        <v>0.54100000000000004</v>
      </c>
      <c r="R49" s="4">
        <v>1.3</v>
      </c>
      <c r="S49" s="4">
        <v>1.8</v>
      </c>
      <c r="T49" s="4">
        <v>0.73499999999999999</v>
      </c>
      <c r="U49" s="4">
        <v>1.6</v>
      </c>
      <c r="V49" s="4">
        <v>4.2</v>
      </c>
      <c r="W49" s="4">
        <v>0.3</v>
      </c>
      <c r="X49" s="4">
        <v>0.7</v>
      </c>
      <c r="Y49" s="4">
        <v>0.5</v>
      </c>
      <c r="Z49" s="4">
        <v>1.7</v>
      </c>
      <c r="AA49" s="4">
        <v>1.6</v>
      </c>
      <c r="AB49" s="4">
        <v>6.5</v>
      </c>
      <c r="AC49" s="10">
        <f t="shared" si="0"/>
        <v>0.8913878222709819</v>
      </c>
      <c r="AD49" s="10">
        <f t="shared" si="1"/>
        <v>0.3125</v>
      </c>
      <c r="AE49" s="12">
        <f>100*(AC49/TOTAL_BASIC!$D$302)</f>
        <v>113.44921082072608</v>
      </c>
      <c r="AF49" s="9"/>
      <c r="AG49" s="9"/>
      <c r="AH49" s="12">
        <f t="shared" si="2"/>
        <v>89.3</v>
      </c>
      <c r="AI49" s="12">
        <f t="shared" si="3"/>
        <v>85.3</v>
      </c>
    </row>
    <row r="50" spans="1:35" ht="15.75" customHeight="1">
      <c r="A50" s="1" t="s">
        <v>144</v>
      </c>
      <c r="B50" s="7" t="s">
        <v>88</v>
      </c>
      <c r="C50" s="4" t="s">
        <v>8</v>
      </c>
      <c r="D50" s="4">
        <v>28</v>
      </c>
      <c r="E50" s="4">
        <v>475</v>
      </c>
      <c r="F50" s="4">
        <v>28</v>
      </c>
      <c r="G50" s="4">
        <v>8</v>
      </c>
      <c r="H50" s="4">
        <v>17</v>
      </c>
      <c r="I50" s="4">
        <v>1.4</v>
      </c>
      <c r="J50" s="4">
        <v>3.9</v>
      </c>
      <c r="K50" s="4">
        <v>0.37</v>
      </c>
      <c r="L50" s="4">
        <v>0.8</v>
      </c>
      <c r="M50" s="4">
        <v>2.1</v>
      </c>
      <c r="N50" s="4">
        <v>0.39700000000000002</v>
      </c>
      <c r="O50" s="4">
        <v>0.6</v>
      </c>
      <c r="P50" s="4">
        <v>1.8</v>
      </c>
      <c r="Q50" s="4">
        <v>0.34</v>
      </c>
      <c r="R50" s="4">
        <v>1</v>
      </c>
      <c r="S50" s="4">
        <v>1.5</v>
      </c>
      <c r="T50" s="4">
        <v>0.68300000000000005</v>
      </c>
      <c r="U50" s="4">
        <v>0.2</v>
      </c>
      <c r="V50" s="4">
        <v>1.5</v>
      </c>
      <c r="W50" s="4">
        <v>2</v>
      </c>
      <c r="X50" s="4">
        <v>0.5</v>
      </c>
      <c r="Y50" s="4">
        <v>0.1</v>
      </c>
      <c r="Z50" s="4">
        <v>1.8</v>
      </c>
      <c r="AA50" s="4">
        <v>1.1000000000000001</v>
      </c>
      <c r="AB50" s="4">
        <v>4.7</v>
      </c>
      <c r="AC50" s="10">
        <f t="shared" si="0"/>
        <v>0.73899371069182396</v>
      </c>
      <c r="AD50" s="10">
        <f t="shared" si="1"/>
        <v>9.0909090909090912E-2</v>
      </c>
      <c r="AE50" s="12">
        <f>100*(AC50/TOTAL_BASIC!$D$302)</f>
        <v>94.053621986750187</v>
      </c>
      <c r="AF50" s="9"/>
      <c r="AG50" s="9"/>
      <c r="AH50" s="12">
        <f t="shared" si="2"/>
        <v>33.300000000000004</v>
      </c>
      <c r="AI50" s="12">
        <f t="shared" si="3"/>
        <v>48</v>
      </c>
    </row>
    <row r="51" spans="1:35" ht="15.75" customHeight="1">
      <c r="A51" s="1" t="s">
        <v>145</v>
      </c>
      <c r="B51" s="7" t="s">
        <v>98</v>
      </c>
      <c r="C51" s="4" t="s">
        <v>118</v>
      </c>
      <c r="D51" s="4">
        <v>28</v>
      </c>
      <c r="E51" s="4">
        <v>473</v>
      </c>
      <c r="F51" s="4">
        <v>28</v>
      </c>
      <c r="G51" s="4">
        <v>3</v>
      </c>
      <c r="H51" s="4">
        <v>16.899999999999999</v>
      </c>
      <c r="I51" s="4">
        <v>1.5</v>
      </c>
      <c r="J51" s="4">
        <v>4.0999999999999996</v>
      </c>
      <c r="K51" s="4">
        <v>0.377</v>
      </c>
      <c r="L51" s="4">
        <v>0.1</v>
      </c>
      <c r="M51" s="4">
        <v>0.7</v>
      </c>
      <c r="N51" s="4">
        <v>0.15</v>
      </c>
      <c r="O51" s="4">
        <v>1.4</v>
      </c>
      <c r="P51" s="4">
        <v>3.4</v>
      </c>
      <c r="Q51" s="4">
        <v>0.42599999999999999</v>
      </c>
      <c r="R51" s="4">
        <v>1</v>
      </c>
      <c r="S51" s="4">
        <v>1.6</v>
      </c>
      <c r="T51" s="4">
        <v>0.61399999999999999</v>
      </c>
      <c r="U51" s="4">
        <v>1</v>
      </c>
      <c r="V51" s="4">
        <v>1.7</v>
      </c>
      <c r="W51" s="4">
        <v>0.9</v>
      </c>
      <c r="X51" s="4">
        <v>1</v>
      </c>
      <c r="Y51" s="4">
        <v>0.2</v>
      </c>
      <c r="Z51" s="4">
        <v>1.4</v>
      </c>
      <c r="AA51" s="4">
        <v>2</v>
      </c>
      <c r="AB51" s="4">
        <v>4.0999999999999996</v>
      </c>
      <c r="AC51" s="10">
        <f t="shared" si="0"/>
        <v>0.66086395873629922</v>
      </c>
      <c r="AD51" s="10">
        <f t="shared" si="1"/>
        <v>0.1</v>
      </c>
      <c r="AE51" s="12">
        <f>100*(AC51/TOTAL_BASIC!$D$302)</f>
        <v>84.109848379442838</v>
      </c>
      <c r="AF51" s="9"/>
      <c r="AG51" s="9"/>
      <c r="AH51" s="12">
        <f t="shared" si="2"/>
        <v>40</v>
      </c>
      <c r="AI51" s="12">
        <f t="shared" si="3"/>
        <v>25.3</v>
      </c>
    </row>
    <row r="52" spans="1:35" ht="15.75" customHeight="1">
      <c r="A52" s="1" t="s">
        <v>146</v>
      </c>
      <c r="B52" s="7" t="s">
        <v>101</v>
      </c>
      <c r="C52" s="4" t="s">
        <v>8</v>
      </c>
      <c r="D52" s="4">
        <v>27</v>
      </c>
      <c r="E52" s="4">
        <v>471</v>
      </c>
      <c r="F52" s="4">
        <v>27</v>
      </c>
      <c r="G52" s="4">
        <v>4</v>
      </c>
      <c r="H52" s="4">
        <v>17.399999999999999</v>
      </c>
      <c r="I52" s="4">
        <v>2</v>
      </c>
      <c r="J52" s="4">
        <v>5</v>
      </c>
      <c r="K52" s="4">
        <v>0.39</v>
      </c>
      <c r="L52" s="4">
        <v>0.4</v>
      </c>
      <c r="M52" s="4">
        <v>1.2</v>
      </c>
      <c r="N52" s="4">
        <v>0.313</v>
      </c>
      <c r="O52" s="4">
        <v>1.6</v>
      </c>
      <c r="P52" s="4">
        <v>3.9</v>
      </c>
      <c r="Q52" s="4">
        <v>0.41299999999999998</v>
      </c>
      <c r="R52" s="4">
        <v>1.4</v>
      </c>
      <c r="S52" s="4">
        <v>1.7</v>
      </c>
      <c r="T52" s="4">
        <v>0.84399999999999997</v>
      </c>
      <c r="U52" s="4">
        <v>0.8</v>
      </c>
      <c r="V52" s="4">
        <v>2.2999999999999998</v>
      </c>
      <c r="W52" s="4">
        <v>1.7</v>
      </c>
      <c r="X52" s="4">
        <v>0.5</v>
      </c>
      <c r="Y52" s="4">
        <v>0.3</v>
      </c>
      <c r="Z52" s="4">
        <v>2.2999999999999998</v>
      </c>
      <c r="AA52" s="4">
        <v>1.7</v>
      </c>
      <c r="AB52" s="4">
        <v>5.7</v>
      </c>
      <c r="AC52" s="10">
        <f t="shared" si="0"/>
        <v>0.70825049701789267</v>
      </c>
      <c r="AD52" s="10">
        <f t="shared" si="1"/>
        <v>0.17647058823529413</v>
      </c>
      <c r="AE52" s="12">
        <f>100*(AC52/TOTAL_BASIC!$D$302)</f>
        <v>90.140854454752002</v>
      </c>
      <c r="AF52" s="9"/>
      <c r="AG52" s="9"/>
      <c r="AH52" s="12">
        <f t="shared" si="2"/>
        <v>66.600000000000009</v>
      </c>
      <c r="AI52" s="12">
        <f t="shared" si="3"/>
        <v>38.6</v>
      </c>
    </row>
    <row r="53" spans="1:35" ht="15.75" customHeight="1">
      <c r="A53" s="1" t="s">
        <v>147</v>
      </c>
      <c r="B53" s="7" t="s">
        <v>88</v>
      </c>
      <c r="C53" s="4" t="s">
        <v>110</v>
      </c>
      <c r="D53" s="4">
        <v>28</v>
      </c>
      <c r="E53" s="4">
        <v>438</v>
      </c>
      <c r="F53" s="4">
        <v>28</v>
      </c>
      <c r="G53" s="4">
        <v>5</v>
      </c>
      <c r="H53" s="4">
        <v>15.6</v>
      </c>
      <c r="I53" s="4">
        <v>2.1</v>
      </c>
      <c r="J53" s="4">
        <v>4.5</v>
      </c>
      <c r="K53" s="4">
        <v>0.46400000000000002</v>
      </c>
      <c r="L53" s="4">
        <v>0</v>
      </c>
      <c r="M53" s="4">
        <v>0</v>
      </c>
      <c r="N53" s="4">
        <v>0</v>
      </c>
      <c r="O53" s="4">
        <v>2.1</v>
      </c>
      <c r="P53" s="4">
        <v>4.5</v>
      </c>
      <c r="Q53" s="4">
        <v>0.46400000000000002</v>
      </c>
      <c r="R53" s="4">
        <v>0.8</v>
      </c>
      <c r="S53" s="4">
        <v>1.8</v>
      </c>
      <c r="T53" s="4">
        <v>0.42</v>
      </c>
      <c r="U53" s="4">
        <v>1.5</v>
      </c>
      <c r="V53" s="4">
        <v>3.5</v>
      </c>
      <c r="W53" s="4">
        <v>0.5</v>
      </c>
      <c r="X53" s="4">
        <v>0.9</v>
      </c>
      <c r="Y53" s="4">
        <v>0.2</v>
      </c>
      <c r="Z53" s="4">
        <v>1</v>
      </c>
      <c r="AA53" s="4">
        <v>1.1000000000000001</v>
      </c>
      <c r="AB53" s="4">
        <v>4.9000000000000004</v>
      </c>
      <c r="AC53" s="10">
        <f t="shared" si="0"/>
        <v>0.77876668785759706</v>
      </c>
      <c r="AD53" s="10">
        <f t="shared" si="1"/>
        <v>0.18181818181818182</v>
      </c>
      <c r="AE53" s="12">
        <f>100*(AC53/TOTAL_BASIC!$D$302)</f>
        <v>99.115630641918912</v>
      </c>
      <c r="AF53" s="9"/>
      <c r="AG53" s="9"/>
      <c r="AH53" s="12">
        <f t="shared" si="2"/>
        <v>68</v>
      </c>
      <c r="AI53" s="12">
        <f t="shared" si="3"/>
        <v>57.3</v>
      </c>
    </row>
    <row r="54" spans="1:35" ht="15.75" customHeight="1">
      <c r="A54" s="1" t="s">
        <v>148</v>
      </c>
      <c r="B54" s="7" t="s">
        <v>86</v>
      </c>
      <c r="C54" s="4" t="s">
        <v>99</v>
      </c>
      <c r="D54" s="4">
        <v>28</v>
      </c>
      <c r="E54" s="4">
        <v>422</v>
      </c>
      <c r="F54" s="4">
        <v>28</v>
      </c>
      <c r="G54" s="4">
        <v>5</v>
      </c>
      <c r="H54" s="4">
        <v>15.1</v>
      </c>
      <c r="I54" s="4">
        <v>1.7</v>
      </c>
      <c r="J54" s="4">
        <v>4.5</v>
      </c>
      <c r="K54" s="4">
        <v>0.38100000000000001</v>
      </c>
      <c r="L54" s="4">
        <v>0</v>
      </c>
      <c r="M54" s="4">
        <v>0</v>
      </c>
      <c r="N54" s="4">
        <v>0</v>
      </c>
      <c r="O54" s="4">
        <v>1.7</v>
      </c>
      <c r="P54" s="4">
        <v>4.5</v>
      </c>
      <c r="Q54" s="4">
        <v>0.38100000000000001</v>
      </c>
      <c r="R54" s="4">
        <v>0.9</v>
      </c>
      <c r="S54" s="4">
        <v>1.4</v>
      </c>
      <c r="T54" s="4">
        <v>0.68400000000000005</v>
      </c>
      <c r="U54" s="4">
        <v>1.1000000000000001</v>
      </c>
      <c r="V54" s="4">
        <v>2.4</v>
      </c>
      <c r="W54" s="4">
        <v>0.5</v>
      </c>
      <c r="X54" s="4">
        <v>0.4</v>
      </c>
      <c r="Y54" s="4">
        <v>0.4</v>
      </c>
      <c r="Z54" s="4">
        <v>1.8</v>
      </c>
      <c r="AA54" s="4">
        <v>2.5</v>
      </c>
      <c r="AB54" s="4">
        <v>4.4000000000000004</v>
      </c>
      <c r="AC54" s="10">
        <f t="shared" si="0"/>
        <v>0.63620589936379424</v>
      </c>
      <c r="AD54" s="10">
        <f t="shared" si="1"/>
        <v>0.16</v>
      </c>
      <c r="AE54" s="12">
        <f>100*(AC54/TOTAL_BASIC!$D$302)</f>
        <v>80.971554018348371</v>
      </c>
      <c r="AF54" s="9"/>
      <c r="AG54" s="9"/>
      <c r="AH54" s="12">
        <f t="shared" si="2"/>
        <v>64</v>
      </c>
      <c r="AI54" s="12">
        <f t="shared" si="3"/>
        <v>21.3</v>
      </c>
    </row>
    <row r="55" spans="1:35" ht="15.75" customHeight="1">
      <c r="A55" s="1" t="s">
        <v>149</v>
      </c>
      <c r="B55" s="7" t="s">
        <v>90</v>
      </c>
      <c r="C55" s="4" t="s">
        <v>8</v>
      </c>
      <c r="D55" s="4">
        <v>26</v>
      </c>
      <c r="E55" s="4">
        <v>397</v>
      </c>
      <c r="F55" s="4">
        <v>26</v>
      </c>
      <c r="G55" s="4">
        <v>4</v>
      </c>
      <c r="H55" s="4">
        <v>15.3</v>
      </c>
      <c r="I55" s="4">
        <v>1.1000000000000001</v>
      </c>
      <c r="J55" s="4">
        <v>3.4</v>
      </c>
      <c r="K55" s="4">
        <v>0.33</v>
      </c>
      <c r="L55" s="4">
        <v>0.6</v>
      </c>
      <c r="M55" s="4">
        <v>1.9</v>
      </c>
      <c r="N55" s="4">
        <v>0.32</v>
      </c>
      <c r="O55" s="4">
        <v>0.5</v>
      </c>
      <c r="P55" s="4">
        <v>1.5</v>
      </c>
      <c r="Q55" s="4">
        <v>0.34200000000000003</v>
      </c>
      <c r="R55" s="4">
        <v>0.1</v>
      </c>
      <c r="S55" s="4">
        <v>0.3</v>
      </c>
      <c r="T55" s="4">
        <v>0.25</v>
      </c>
      <c r="U55" s="4">
        <v>0.3</v>
      </c>
      <c r="V55" s="4">
        <v>1.1000000000000001</v>
      </c>
      <c r="W55" s="4">
        <v>1.1000000000000001</v>
      </c>
      <c r="X55" s="4">
        <v>0.7</v>
      </c>
      <c r="Y55" s="4">
        <v>0</v>
      </c>
      <c r="Z55" s="4">
        <v>1.2</v>
      </c>
      <c r="AA55" s="4">
        <v>0.7</v>
      </c>
      <c r="AB55" s="4">
        <v>2.9</v>
      </c>
      <c r="AC55" s="10">
        <f t="shared" si="0"/>
        <v>0.61284868977176665</v>
      </c>
      <c r="AD55" s="10">
        <f t="shared" si="1"/>
        <v>0</v>
      </c>
      <c r="AE55" s="12">
        <f>100*(AC55/TOTAL_BASIC!$D$302)</f>
        <v>77.99882214005234</v>
      </c>
      <c r="AF55" s="9"/>
      <c r="AG55" s="9"/>
      <c r="AH55" s="12">
        <f t="shared" si="2"/>
        <v>0</v>
      </c>
      <c r="AI55" s="12">
        <f t="shared" si="3"/>
        <v>17.299999999999997</v>
      </c>
    </row>
    <row r="56" spans="1:35" ht="15.75" customHeight="1">
      <c r="A56" s="1" t="s">
        <v>150</v>
      </c>
      <c r="B56" s="7" t="s">
        <v>90</v>
      </c>
      <c r="C56" s="4" t="s">
        <v>118</v>
      </c>
      <c r="D56" s="4">
        <v>25</v>
      </c>
      <c r="E56" s="4">
        <v>369</v>
      </c>
      <c r="F56" s="4">
        <v>25</v>
      </c>
      <c r="G56" s="4">
        <v>1</v>
      </c>
      <c r="H56" s="4">
        <v>14.8</v>
      </c>
      <c r="I56" s="4">
        <v>1.5</v>
      </c>
      <c r="J56" s="4">
        <v>4.3</v>
      </c>
      <c r="K56" s="4">
        <v>0.34599999999999997</v>
      </c>
      <c r="L56" s="4">
        <v>0.3</v>
      </c>
      <c r="M56" s="4">
        <v>1</v>
      </c>
      <c r="N56" s="4">
        <v>0.33300000000000002</v>
      </c>
      <c r="O56" s="4">
        <v>1.2</v>
      </c>
      <c r="P56" s="4">
        <v>3.3</v>
      </c>
      <c r="Q56" s="4">
        <v>0.34899999999999998</v>
      </c>
      <c r="R56" s="4">
        <v>0.9</v>
      </c>
      <c r="S56" s="4">
        <v>1.2</v>
      </c>
      <c r="T56" s="4">
        <v>0.71</v>
      </c>
      <c r="U56" s="4">
        <v>0.6</v>
      </c>
      <c r="V56" s="4">
        <v>2.2000000000000002</v>
      </c>
      <c r="W56" s="4">
        <v>1</v>
      </c>
      <c r="X56" s="4">
        <v>0.7</v>
      </c>
      <c r="Y56" s="4">
        <v>0.1</v>
      </c>
      <c r="Z56" s="4">
        <v>1.2</v>
      </c>
      <c r="AA56" s="4">
        <v>1.1000000000000001</v>
      </c>
      <c r="AB56" s="4">
        <v>4.2</v>
      </c>
      <c r="AC56" s="10">
        <f t="shared" si="0"/>
        <v>0.69674850696748514</v>
      </c>
      <c r="AD56" s="10">
        <f t="shared" si="1"/>
        <v>9.0909090909090912E-2</v>
      </c>
      <c r="AE56" s="12">
        <f>100*(AC56/TOTAL_BASIC!$D$302)</f>
        <v>88.676966726555179</v>
      </c>
      <c r="AF56" s="9"/>
      <c r="AG56" s="9"/>
      <c r="AH56" s="12">
        <f t="shared" si="2"/>
        <v>33.300000000000004</v>
      </c>
      <c r="AI56" s="12">
        <f t="shared" si="3"/>
        <v>34.599999999999994</v>
      </c>
    </row>
    <row r="57" spans="1:35" ht="15.75" customHeight="1">
      <c r="A57" s="1" t="s">
        <v>151</v>
      </c>
      <c r="B57" s="7" t="s">
        <v>152</v>
      </c>
      <c r="C57" s="4" t="s">
        <v>8</v>
      </c>
      <c r="D57" s="4">
        <v>26</v>
      </c>
      <c r="E57" s="4">
        <v>360</v>
      </c>
      <c r="F57" s="4">
        <v>26</v>
      </c>
      <c r="G57" s="4">
        <v>7</v>
      </c>
      <c r="H57" s="4">
        <v>13.8</v>
      </c>
      <c r="I57" s="4">
        <v>1</v>
      </c>
      <c r="J57" s="4">
        <v>3.3</v>
      </c>
      <c r="K57" s="4">
        <v>0.29099999999999998</v>
      </c>
      <c r="L57" s="4">
        <v>0.7</v>
      </c>
      <c r="M57" s="4">
        <v>2.2999999999999998</v>
      </c>
      <c r="N57" s="4">
        <v>0.27900000000000003</v>
      </c>
      <c r="O57" s="4">
        <v>0.3</v>
      </c>
      <c r="P57" s="4">
        <v>1</v>
      </c>
      <c r="Q57" s="4">
        <v>0.32</v>
      </c>
      <c r="R57" s="4">
        <v>0.3</v>
      </c>
      <c r="S57" s="4">
        <v>0.6</v>
      </c>
      <c r="T57" s="4">
        <v>0.56299999999999994</v>
      </c>
      <c r="U57" s="4">
        <v>0.3</v>
      </c>
      <c r="V57" s="4">
        <v>0.9</v>
      </c>
      <c r="W57" s="4">
        <v>0.8</v>
      </c>
      <c r="X57" s="4">
        <v>0.2</v>
      </c>
      <c r="Y57" s="4">
        <v>0.1</v>
      </c>
      <c r="Z57" s="4">
        <v>0.6</v>
      </c>
      <c r="AA57" s="4">
        <v>0.6</v>
      </c>
      <c r="AB57" s="4">
        <v>2.9</v>
      </c>
      <c r="AC57" s="10">
        <f t="shared" si="0"/>
        <v>0.69644572526416915</v>
      </c>
      <c r="AD57" s="10">
        <f t="shared" si="1"/>
        <v>0.16666666666666669</v>
      </c>
      <c r="AE57" s="12">
        <f>100*(AC57/TOTAL_BASIC!$D$302)</f>
        <v>88.638430923805885</v>
      </c>
      <c r="AF57" s="9"/>
      <c r="AG57" s="9"/>
      <c r="AH57" s="12">
        <f t="shared" si="2"/>
        <v>65.3</v>
      </c>
      <c r="AI57" s="12">
        <f t="shared" si="3"/>
        <v>33.300000000000004</v>
      </c>
    </row>
    <row r="58" spans="1:35" ht="15.75" customHeight="1">
      <c r="A58" s="1" t="s">
        <v>153</v>
      </c>
      <c r="B58" s="7" t="s">
        <v>98</v>
      </c>
      <c r="C58" s="4" t="s">
        <v>110</v>
      </c>
      <c r="D58" s="4">
        <v>28</v>
      </c>
      <c r="E58" s="4">
        <v>340</v>
      </c>
      <c r="F58" s="4">
        <v>28</v>
      </c>
      <c r="G58" s="4">
        <v>0</v>
      </c>
      <c r="H58" s="4">
        <v>12.1</v>
      </c>
      <c r="I58" s="4">
        <v>1.8</v>
      </c>
      <c r="J58" s="4">
        <v>3.3</v>
      </c>
      <c r="K58" s="4">
        <v>0.55400000000000005</v>
      </c>
      <c r="L58" s="4">
        <v>0.1</v>
      </c>
      <c r="M58" s="4">
        <v>0.3</v>
      </c>
      <c r="N58" s="4">
        <v>0.25</v>
      </c>
      <c r="O58" s="4">
        <v>1.8</v>
      </c>
      <c r="P58" s="4">
        <v>3</v>
      </c>
      <c r="Q58" s="4">
        <v>0.58299999999999996</v>
      </c>
      <c r="R58" s="4">
        <v>1.1000000000000001</v>
      </c>
      <c r="S58" s="4">
        <v>1.6</v>
      </c>
      <c r="T58" s="4">
        <v>0.66700000000000004</v>
      </c>
      <c r="U58" s="4">
        <v>1.1000000000000001</v>
      </c>
      <c r="V58" s="4">
        <v>2.4</v>
      </c>
      <c r="W58" s="4">
        <v>0.1</v>
      </c>
      <c r="X58" s="4">
        <v>0.3</v>
      </c>
      <c r="Y58" s="4">
        <v>0.3</v>
      </c>
      <c r="Z58" s="4">
        <v>1.4</v>
      </c>
      <c r="AA58" s="4">
        <v>2.2999999999999998</v>
      </c>
      <c r="AB58" s="4">
        <v>4.8</v>
      </c>
      <c r="AC58" s="10">
        <f t="shared" si="0"/>
        <v>0.8882309400444115</v>
      </c>
      <c r="AD58" s="10">
        <f t="shared" si="1"/>
        <v>0.13043478260869565</v>
      </c>
      <c r="AE58" s="12">
        <f>100*(AC58/TOTAL_BASIC!$D$302)</f>
        <v>113.04742633555558</v>
      </c>
      <c r="AF58" s="9"/>
      <c r="AG58" s="9"/>
      <c r="AH58" s="12">
        <f t="shared" si="2"/>
        <v>50.6</v>
      </c>
      <c r="AI58" s="12">
        <f t="shared" si="3"/>
        <v>82.6</v>
      </c>
    </row>
    <row r="59" spans="1:35" ht="15.75" customHeight="1">
      <c r="A59" s="1" t="s">
        <v>154</v>
      </c>
      <c r="B59" s="7" t="s">
        <v>98</v>
      </c>
      <c r="C59" s="4" t="s">
        <v>92</v>
      </c>
      <c r="D59" s="4">
        <v>28</v>
      </c>
      <c r="E59" s="4">
        <v>332</v>
      </c>
      <c r="F59" s="4">
        <v>28</v>
      </c>
      <c r="G59" s="4">
        <v>0</v>
      </c>
      <c r="H59" s="4">
        <v>11.9</v>
      </c>
      <c r="I59" s="4">
        <v>1.4</v>
      </c>
      <c r="J59" s="4">
        <v>3.8</v>
      </c>
      <c r="K59" s="4">
        <v>0.35499999999999998</v>
      </c>
      <c r="L59" s="4">
        <v>0.1</v>
      </c>
      <c r="M59" s="4">
        <v>0.3</v>
      </c>
      <c r="N59" s="4">
        <v>0.28599999999999998</v>
      </c>
      <c r="O59" s="4">
        <v>1.3</v>
      </c>
      <c r="P59" s="4">
        <v>3.6</v>
      </c>
      <c r="Q59" s="4">
        <v>0.36</v>
      </c>
      <c r="R59" s="4">
        <v>0.8</v>
      </c>
      <c r="S59" s="4">
        <v>1.2</v>
      </c>
      <c r="T59" s="4">
        <v>0.66700000000000004</v>
      </c>
      <c r="U59" s="4">
        <v>1.3</v>
      </c>
      <c r="V59" s="4">
        <v>3.4</v>
      </c>
      <c r="W59" s="4">
        <v>1</v>
      </c>
      <c r="X59" s="4">
        <v>0.6</v>
      </c>
      <c r="Y59" s="4">
        <v>0.6</v>
      </c>
      <c r="Z59" s="4">
        <v>1.6</v>
      </c>
      <c r="AA59" s="4">
        <v>1.9</v>
      </c>
      <c r="AB59" s="4">
        <v>3.6</v>
      </c>
      <c r="AC59" s="10">
        <f t="shared" si="0"/>
        <v>0.60728744939271262</v>
      </c>
      <c r="AD59" s="10">
        <f t="shared" si="1"/>
        <v>0.31578947368421051</v>
      </c>
      <c r="AE59" s="12">
        <f>100*(AC59/TOTAL_BASIC!$D$302)</f>
        <v>77.291028835696167</v>
      </c>
      <c r="AF59" s="9"/>
      <c r="AG59" s="9"/>
      <c r="AH59" s="12">
        <f t="shared" si="2"/>
        <v>90.600000000000009</v>
      </c>
      <c r="AI59" s="12">
        <f t="shared" si="3"/>
        <v>16</v>
      </c>
    </row>
    <row r="60" spans="1:35" ht="15.75" customHeight="1">
      <c r="A60" s="1" t="s">
        <v>155</v>
      </c>
      <c r="B60" s="7" t="s">
        <v>105</v>
      </c>
      <c r="C60" s="4" t="s">
        <v>8</v>
      </c>
      <c r="D60" s="4">
        <v>21</v>
      </c>
      <c r="E60" s="4">
        <v>325</v>
      </c>
      <c r="F60" s="4">
        <v>21</v>
      </c>
      <c r="G60" s="4">
        <v>1</v>
      </c>
      <c r="H60" s="4">
        <v>15.5</v>
      </c>
      <c r="I60" s="4">
        <v>2.5</v>
      </c>
      <c r="J60" s="4">
        <v>6.5</v>
      </c>
      <c r="K60" s="4">
        <v>0.39</v>
      </c>
      <c r="L60" s="4">
        <v>0.3</v>
      </c>
      <c r="M60" s="4">
        <v>1.8</v>
      </c>
      <c r="N60" s="4">
        <v>0.184</v>
      </c>
      <c r="O60" s="4">
        <v>2.2000000000000002</v>
      </c>
      <c r="P60" s="4">
        <v>4.7</v>
      </c>
      <c r="Q60" s="4">
        <v>0.46899999999999997</v>
      </c>
      <c r="R60" s="4">
        <v>0.6</v>
      </c>
      <c r="S60" s="4">
        <v>1.1000000000000001</v>
      </c>
      <c r="T60" s="4">
        <v>0.54200000000000004</v>
      </c>
      <c r="U60" s="4">
        <v>1</v>
      </c>
      <c r="V60" s="4">
        <v>2.6</v>
      </c>
      <c r="W60" s="4">
        <v>1</v>
      </c>
      <c r="X60" s="4">
        <v>1.1000000000000001</v>
      </c>
      <c r="Y60" s="4">
        <v>0.3</v>
      </c>
      <c r="Z60" s="4">
        <v>1.3</v>
      </c>
      <c r="AA60" s="4">
        <v>2.2999999999999998</v>
      </c>
      <c r="AB60" s="4">
        <v>6</v>
      </c>
      <c r="AC60" s="10">
        <f t="shared" si="0"/>
        <v>0.72428778367938185</v>
      </c>
      <c r="AD60" s="10">
        <f t="shared" si="1"/>
        <v>0.13043478260869565</v>
      </c>
      <c r="AE60" s="12">
        <f>100*(AC60/TOTAL_BASIC!$D$302)</f>
        <v>92.181960996701818</v>
      </c>
      <c r="AF60" s="9"/>
      <c r="AG60" s="9"/>
      <c r="AH60" s="12">
        <f t="shared" si="2"/>
        <v>50.6</v>
      </c>
      <c r="AI60" s="12">
        <f t="shared" si="3"/>
        <v>44</v>
      </c>
    </row>
    <row r="61" spans="1:35" ht="15.75" customHeight="1">
      <c r="A61" s="1" t="s">
        <v>156</v>
      </c>
      <c r="B61" s="7" t="s">
        <v>101</v>
      </c>
      <c r="C61" s="4" t="s">
        <v>99</v>
      </c>
      <c r="D61" s="4">
        <v>26</v>
      </c>
      <c r="E61" s="4">
        <v>321</v>
      </c>
      <c r="F61" s="4">
        <v>26</v>
      </c>
      <c r="G61" s="4">
        <v>4</v>
      </c>
      <c r="H61" s="4">
        <v>12.3</v>
      </c>
      <c r="I61" s="4">
        <v>0.8</v>
      </c>
      <c r="J61" s="4">
        <v>2.2999999999999998</v>
      </c>
      <c r="K61" s="4">
        <v>0.33300000000000002</v>
      </c>
      <c r="L61" s="4">
        <v>0</v>
      </c>
      <c r="M61" s="4">
        <v>0.1</v>
      </c>
      <c r="N61" s="4">
        <v>0</v>
      </c>
      <c r="O61" s="4">
        <v>0.8</v>
      </c>
      <c r="P61" s="4">
        <v>2.2000000000000002</v>
      </c>
      <c r="Q61" s="4">
        <v>0.35099999999999998</v>
      </c>
      <c r="R61" s="4">
        <v>0.8</v>
      </c>
      <c r="S61" s="4">
        <v>1.4</v>
      </c>
      <c r="T61" s="4">
        <v>0.56799999999999995</v>
      </c>
      <c r="U61" s="4">
        <v>1.3</v>
      </c>
      <c r="V61" s="4">
        <v>3.1</v>
      </c>
      <c r="W61" s="4">
        <v>0.9</v>
      </c>
      <c r="X61" s="4">
        <v>0.9</v>
      </c>
      <c r="Y61" s="4">
        <v>0.6</v>
      </c>
      <c r="Z61" s="4">
        <v>1.9</v>
      </c>
      <c r="AA61" s="4">
        <v>2.4</v>
      </c>
      <c r="AB61" s="4">
        <v>2.2999999999999998</v>
      </c>
      <c r="AC61" s="10">
        <f t="shared" si="0"/>
        <v>0.47757475083056478</v>
      </c>
      <c r="AD61" s="10">
        <f t="shared" si="1"/>
        <v>0.25</v>
      </c>
      <c r="AE61" s="12">
        <f>100*(AC61/TOTAL_BASIC!$D$302)</f>
        <v>60.782161519323061</v>
      </c>
      <c r="AF61" s="9"/>
      <c r="AG61" s="9"/>
      <c r="AH61" s="12">
        <f t="shared" si="2"/>
        <v>76</v>
      </c>
      <c r="AI61" s="12">
        <f t="shared" si="3"/>
        <v>2.6</v>
      </c>
    </row>
    <row r="62" spans="1:35" ht="15.75" customHeight="1">
      <c r="A62" s="1" t="s">
        <v>157</v>
      </c>
      <c r="B62" s="7" t="s">
        <v>94</v>
      </c>
      <c r="C62" s="4" t="s">
        <v>92</v>
      </c>
      <c r="D62" s="4">
        <v>26</v>
      </c>
      <c r="E62" s="4">
        <v>320</v>
      </c>
      <c r="F62" s="4">
        <v>26</v>
      </c>
      <c r="G62" s="4">
        <v>6</v>
      </c>
      <c r="H62" s="4">
        <v>12.3</v>
      </c>
      <c r="I62" s="4">
        <v>1</v>
      </c>
      <c r="J62" s="4">
        <v>2.8</v>
      </c>
      <c r="K62" s="4">
        <v>0.34200000000000003</v>
      </c>
      <c r="L62" s="4">
        <v>0.1</v>
      </c>
      <c r="M62" s="4">
        <v>0.3</v>
      </c>
      <c r="N62" s="4">
        <v>0.375</v>
      </c>
      <c r="O62" s="4">
        <v>0.8</v>
      </c>
      <c r="P62" s="4">
        <v>2.5</v>
      </c>
      <c r="Q62" s="4">
        <v>0.33800000000000002</v>
      </c>
      <c r="R62" s="4">
        <v>0.8</v>
      </c>
      <c r="S62" s="4">
        <v>1</v>
      </c>
      <c r="T62" s="4">
        <v>0.84</v>
      </c>
      <c r="U62" s="4">
        <v>1</v>
      </c>
      <c r="V62" s="4">
        <v>2.2000000000000002</v>
      </c>
      <c r="W62" s="4">
        <v>1</v>
      </c>
      <c r="X62" s="4">
        <v>0.9</v>
      </c>
      <c r="Y62" s="4">
        <v>0.3</v>
      </c>
      <c r="Z62" s="4">
        <v>1.4</v>
      </c>
      <c r="AA62" s="4">
        <v>1.2</v>
      </c>
      <c r="AB62" s="4">
        <v>2.8</v>
      </c>
      <c r="AC62" s="10">
        <f t="shared" si="0"/>
        <v>0.60344827586206895</v>
      </c>
      <c r="AD62" s="10">
        <f t="shared" si="1"/>
        <v>0.25</v>
      </c>
      <c r="AE62" s="12">
        <f>100*(AC62/TOTAL_BASIC!$D$302)</f>
        <v>76.802407389033704</v>
      </c>
      <c r="AF62" s="9"/>
      <c r="AG62" s="9"/>
      <c r="AH62" s="12">
        <f t="shared" si="2"/>
        <v>76</v>
      </c>
      <c r="AI62" s="12">
        <f t="shared" si="3"/>
        <v>14.6</v>
      </c>
    </row>
    <row r="63" spans="1:35" ht="15.75" customHeight="1">
      <c r="A63" s="1" t="s">
        <v>158</v>
      </c>
      <c r="B63" s="4" t="s">
        <v>98</v>
      </c>
      <c r="C63" s="4" t="s">
        <v>8</v>
      </c>
      <c r="D63" s="4">
        <v>28</v>
      </c>
      <c r="E63" s="4">
        <v>290</v>
      </c>
      <c r="F63" s="4">
        <v>28</v>
      </c>
      <c r="G63" s="4">
        <v>0</v>
      </c>
      <c r="H63" s="4">
        <v>10.4</v>
      </c>
      <c r="I63" s="4">
        <v>0.9</v>
      </c>
      <c r="J63" s="4">
        <v>2.5</v>
      </c>
      <c r="K63" s="4">
        <v>0.35699999999999998</v>
      </c>
      <c r="L63" s="4">
        <v>0.6</v>
      </c>
      <c r="M63" s="4">
        <v>1.9</v>
      </c>
      <c r="N63" s="4">
        <v>0.315</v>
      </c>
      <c r="O63" s="4">
        <v>0.3</v>
      </c>
      <c r="P63" s="4">
        <v>0.6</v>
      </c>
      <c r="Q63" s="4">
        <v>0.5</v>
      </c>
      <c r="R63" s="4">
        <v>0.5</v>
      </c>
      <c r="S63" s="4">
        <v>0.7</v>
      </c>
      <c r="T63" s="4">
        <v>0.65</v>
      </c>
      <c r="U63" s="4">
        <v>0.2</v>
      </c>
      <c r="V63" s="4">
        <v>0.8</v>
      </c>
      <c r="W63" s="4">
        <v>1.1000000000000001</v>
      </c>
      <c r="X63" s="4">
        <v>0.5</v>
      </c>
      <c r="Y63" s="4">
        <v>0</v>
      </c>
      <c r="Z63" s="4">
        <v>1.4</v>
      </c>
      <c r="AA63" s="4">
        <v>2</v>
      </c>
      <c r="AB63" s="4">
        <v>2.9</v>
      </c>
      <c r="AC63" s="10">
        <f t="shared" si="0"/>
        <v>0.68916349809885924</v>
      </c>
      <c r="AD63" s="10">
        <f t="shared" si="1"/>
        <v>0</v>
      </c>
      <c r="AE63" s="12">
        <f>100*(AC63/TOTAL_BASIC!$D$302)</f>
        <v>87.711603224032245</v>
      </c>
      <c r="AF63" s="9"/>
      <c r="AG63" s="9"/>
      <c r="AH63" s="12">
        <f t="shared" si="2"/>
        <v>0</v>
      </c>
      <c r="AI63" s="12">
        <f t="shared" si="3"/>
        <v>30.599999999999998</v>
      </c>
    </row>
    <row r="64" spans="1:35" ht="15.75" customHeight="1">
      <c r="A64" s="1" t="s">
        <v>159</v>
      </c>
      <c r="B64" s="7" t="s">
        <v>101</v>
      </c>
      <c r="C64" s="4" t="s">
        <v>118</v>
      </c>
      <c r="D64" s="4">
        <v>18</v>
      </c>
      <c r="E64" s="4">
        <v>286</v>
      </c>
      <c r="F64" s="4">
        <v>18</v>
      </c>
      <c r="G64" s="4">
        <v>7</v>
      </c>
      <c r="H64" s="4">
        <v>15.9</v>
      </c>
      <c r="I64" s="4">
        <v>1.7</v>
      </c>
      <c r="J64" s="4">
        <v>4.3</v>
      </c>
      <c r="K64" s="4">
        <v>0.38500000000000001</v>
      </c>
      <c r="L64" s="4">
        <v>0.1</v>
      </c>
      <c r="M64" s="4">
        <v>0.4</v>
      </c>
      <c r="N64" s="4">
        <v>0.14299999999999999</v>
      </c>
      <c r="O64" s="4">
        <v>1.6</v>
      </c>
      <c r="P64" s="4">
        <v>3.9</v>
      </c>
      <c r="Q64" s="4">
        <v>0.40799999999999997</v>
      </c>
      <c r="R64" s="4">
        <v>0.6</v>
      </c>
      <c r="S64" s="4">
        <v>0.8</v>
      </c>
      <c r="T64" s="4">
        <v>0.71399999999999997</v>
      </c>
      <c r="U64" s="4">
        <v>1.2</v>
      </c>
      <c r="V64" s="4">
        <v>2.7</v>
      </c>
      <c r="W64" s="4">
        <v>0.4</v>
      </c>
      <c r="X64" s="4">
        <v>0.7</v>
      </c>
      <c r="Y64" s="4">
        <v>0.1</v>
      </c>
      <c r="Z64" s="4">
        <v>0.8</v>
      </c>
      <c r="AA64" s="4">
        <v>1.8</v>
      </c>
      <c r="AB64" s="4">
        <v>3.9</v>
      </c>
      <c r="AC64" s="10">
        <f t="shared" si="0"/>
        <v>0.71533382245047683</v>
      </c>
      <c r="AD64" s="10">
        <f t="shared" si="1"/>
        <v>5.5555555555555559E-2</v>
      </c>
      <c r="AE64" s="12">
        <f>100*(AC64/TOTAL_BASIC!$D$302)</f>
        <v>91.042367421650894</v>
      </c>
      <c r="AF64" s="9"/>
      <c r="AG64" s="9"/>
      <c r="AH64" s="12">
        <f t="shared" si="2"/>
        <v>21.3</v>
      </c>
      <c r="AI64" s="12">
        <f t="shared" si="3"/>
        <v>42.6</v>
      </c>
    </row>
    <row r="65" spans="1:35" ht="15.75" customHeight="1">
      <c r="A65" s="1" t="s">
        <v>160</v>
      </c>
      <c r="B65" s="7" t="s">
        <v>105</v>
      </c>
      <c r="C65" s="4" t="s">
        <v>110</v>
      </c>
      <c r="D65" s="4">
        <v>28</v>
      </c>
      <c r="E65" s="4">
        <v>282</v>
      </c>
      <c r="F65" s="4">
        <v>28</v>
      </c>
      <c r="G65" s="4">
        <v>1</v>
      </c>
      <c r="H65" s="4">
        <v>10.1</v>
      </c>
      <c r="I65" s="4">
        <v>1</v>
      </c>
      <c r="J65" s="4">
        <v>2.4</v>
      </c>
      <c r="K65" s="4">
        <v>0.40300000000000002</v>
      </c>
      <c r="L65" s="4">
        <v>0</v>
      </c>
      <c r="M65" s="4">
        <v>0</v>
      </c>
      <c r="N65" s="4">
        <v>0</v>
      </c>
      <c r="O65" s="4">
        <v>1</v>
      </c>
      <c r="P65" s="4">
        <v>2.4</v>
      </c>
      <c r="Q65" s="4">
        <v>0.40899999999999997</v>
      </c>
      <c r="R65" s="4">
        <v>0.4</v>
      </c>
      <c r="S65" s="4">
        <v>0.5</v>
      </c>
      <c r="T65" s="4">
        <v>0.66700000000000004</v>
      </c>
      <c r="U65" s="4">
        <v>0.6</v>
      </c>
      <c r="V65" s="4">
        <v>1.7</v>
      </c>
      <c r="W65" s="4">
        <v>0.4</v>
      </c>
      <c r="X65" s="4">
        <v>0.4</v>
      </c>
      <c r="Y65" s="4">
        <v>0.4</v>
      </c>
      <c r="Z65" s="4">
        <v>0.5</v>
      </c>
      <c r="AA65" s="4">
        <v>1.5</v>
      </c>
      <c r="AB65" s="4">
        <v>2.2999999999999998</v>
      </c>
      <c r="AC65" s="10">
        <f t="shared" si="0"/>
        <v>0.73717948717948711</v>
      </c>
      <c r="AD65" s="10">
        <f t="shared" si="1"/>
        <v>0.26666666666666666</v>
      </c>
      <c r="AE65" s="12">
        <f>100*(AC65/TOTAL_BASIC!$D$302)</f>
        <v>93.82272111444226</v>
      </c>
      <c r="AF65" s="9"/>
      <c r="AG65" s="9"/>
      <c r="AH65" s="12">
        <f t="shared" si="2"/>
        <v>84</v>
      </c>
      <c r="AI65" s="12">
        <f t="shared" si="3"/>
        <v>46.6</v>
      </c>
    </row>
    <row r="66" spans="1:35" ht="15.75" customHeight="1">
      <c r="A66" s="1" t="s">
        <v>161</v>
      </c>
      <c r="B66" s="7" t="s">
        <v>105</v>
      </c>
      <c r="C66" s="4" t="s">
        <v>110</v>
      </c>
      <c r="D66" s="4">
        <v>22</v>
      </c>
      <c r="E66" s="4">
        <v>282</v>
      </c>
      <c r="F66" s="4">
        <v>22</v>
      </c>
      <c r="G66" s="4">
        <v>6</v>
      </c>
      <c r="H66" s="4">
        <v>12.8</v>
      </c>
      <c r="I66" s="4">
        <v>1.5</v>
      </c>
      <c r="J66" s="4">
        <v>3.3</v>
      </c>
      <c r="K66" s="4">
        <v>0.44400000000000001</v>
      </c>
      <c r="L66" s="4">
        <v>0</v>
      </c>
      <c r="M66" s="4">
        <v>0.2</v>
      </c>
      <c r="N66" s="4">
        <v>0</v>
      </c>
      <c r="O66" s="4">
        <v>1.5</v>
      </c>
      <c r="P66" s="4">
        <v>3.1</v>
      </c>
      <c r="Q66" s="4">
        <v>0.47099999999999997</v>
      </c>
      <c r="R66" s="4">
        <v>1</v>
      </c>
      <c r="S66" s="4">
        <v>2</v>
      </c>
      <c r="T66" s="4">
        <v>0.51100000000000001</v>
      </c>
      <c r="U66" s="4">
        <v>1</v>
      </c>
      <c r="V66" s="4">
        <v>3.1</v>
      </c>
      <c r="W66" s="4">
        <v>0.7</v>
      </c>
      <c r="X66" s="4">
        <v>0.5</v>
      </c>
      <c r="Y66" s="4">
        <v>0.5</v>
      </c>
      <c r="Z66" s="4">
        <v>1.1000000000000001</v>
      </c>
      <c r="AA66" s="4">
        <v>2.4</v>
      </c>
      <c r="AB66" s="4">
        <v>4</v>
      </c>
      <c r="AC66" s="10">
        <f t="shared" si="0"/>
        <v>0.75757575757575768</v>
      </c>
      <c r="AD66" s="10">
        <f t="shared" si="1"/>
        <v>0.20833333333333334</v>
      </c>
      <c r="AE66" s="12">
        <f>100*(AC66/TOTAL_BASIC!$D$302)</f>
        <v>96.418606678873502</v>
      </c>
      <c r="AF66" s="9"/>
      <c r="AG66" s="9"/>
      <c r="AH66" s="12">
        <f t="shared" si="2"/>
        <v>74.599999999999994</v>
      </c>
      <c r="AI66" s="12">
        <f t="shared" si="3"/>
        <v>52</v>
      </c>
    </row>
    <row r="67" spans="1:35" ht="15.75" customHeight="1">
      <c r="A67" s="1" t="s">
        <v>162</v>
      </c>
      <c r="B67" s="7" t="s">
        <v>94</v>
      </c>
      <c r="C67" s="4" t="s">
        <v>8</v>
      </c>
      <c r="D67" s="4">
        <v>25</v>
      </c>
      <c r="E67" s="4">
        <v>279</v>
      </c>
      <c r="F67" s="4">
        <v>25</v>
      </c>
      <c r="G67" s="4">
        <v>0</v>
      </c>
      <c r="H67" s="4">
        <v>11.2</v>
      </c>
      <c r="I67" s="4">
        <v>1</v>
      </c>
      <c r="J67" s="4">
        <v>3.1</v>
      </c>
      <c r="K67" s="4">
        <v>0.32500000000000001</v>
      </c>
      <c r="L67" s="4">
        <v>0.2</v>
      </c>
      <c r="M67" s="4">
        <v>1</v>
      </c>
      <c r="N67" s="4">
        <v>0.23100000000000001</v>
      </c>
      <c r="O67" s="4">
        <v>0.8</v>
      </c>
      <c r="P67" s="4">
        <v>2</v>
      </c>
      <c r="Q67" s="4">
        <v>0.373</v>
      </c>
      <c r="R67" s="4">
        <v>0.3</v>
      </c>
      <c r="S67" s="4">
        <v>0.4</v>
      </c>
      <c r="T67" s="4">
        <v>0.8</v>
      </c>
      <c r="U67" s="4">
        <v>0.2</v>
      </c>
      <c r="V67" s="4">
        <v>1.3</v>
      </c>
      <c r="W67" s="4">
        <v>1.6</v>
      </c>
      <c r="X67" s="4">
        <v>0.6</v>
      </c>
      <c r="Y67" s="4">
        <v>0.1</v>
      </c>
      <c r="Z67" s="4">
        <v>1.6</v>
      </c>
      <c r="AA67" s="4">
        <v>1.4</v>
      </c>
      <c r="AB67" s="4">
        <v>2.6</v>
      </c>
      <c r="AC67" s="10">
        <f t="shared" si="0"/>
        <v>0.53322395406070544</v>
      </c>
      <c r="AD67" s="10">
        <f t="shared" si="1"/>
        <v>7.1428571428571438E-2</v>
      </c>
      <c r="AE67" s="12">
        <f>100*(AC67/TOTAL_BASIC!$D$302)</f>
        <v>67.864778121799375</v>
      </c>
      <c r="AF67" s="9"/>
      <c r="AG67" s="9"/>
      <c r="AH67" s="12">
        <f t="shared" si="2"/>
        <v>25.3</v>
      </c>
      <c r="AI67" s="12">
        <f t="shared" si="3"/>
        <v>6.6000000000000005</v>
      </c>
    </row>
    <row r="68" spans="1:35" ht="15.75" customHeight="1">
      <c r="A68" s="1" t="s">
        <v>163</v>
      </c>
      <c r="B68" s="7" t="s">
        <v>96</v>
      </c>
      <c r="C68" s="4" t="s">
        <v>8</v>
      </c>
      <c r="D68" s="4">
        <v>24</v>
      </c>
      <c r="E68" s="4">
        <v>273</v>
      </c>
      <c r="F68" s="4">
        <v>24</v>
      </c>
      <c r="G68" s="4">
        <v>14</v>
      </c>
      <c r="H68" s="4">
        <v>11.4</v>
      </c>
      <c r="I68" s="4">
        <v>0.8</v>
      </c>
      <c r="J68" s="4">
        <v>1.8</v>
      </c>
      <c r="K68" s="4">
        <v>0.40899999999999997</v>
      </c>
      <c r="L68" s="4">
        <v>0.4</v>
      </c>
      <c r="M68" s="4">
        <v>1</v>
      </c>
      <c r="N68" s="4">
        <v>0.375</v>
      </c>
      <c r="O68" s="4">
        <v>0.4</v>
      </c>
      <c r="P68" s="4">
        <v>0.8</v>
      </c>
      <c r="Q68" s="4">
        <v>0.45</v>
      </c>
      <c r="R68" s="4">
        <v>0.1</v>
      </c>
      <c r="S68" s="4">
        <v>0.2</v>
      </c>
      <c r="T68" s="4">
        <v>0.6</v>
      </c>
      <c r="U68" s="4">
        <v>0.1</v>
      </c>
      <c r="V68" s="4">
        <v>0.4</v>
      </c>
      <c r="W68" s="4">
        <v>1.8</v>
      </c>
      <c r="X68" s="4">
        <v>0.5</v>
      </c>
      <c r="Y68" s="4">
        <v>0</v>
      </c>
      <c r="Z68" s="4">
        <v>1.2</v>
      </c>
      <c r="AA68" s="4">
        <v>1.2</v>
      </c>
      <c r="AB68" s="4">
        <v>2</v>
      </c>
      <c r="AC68" s="10">
        <f t="shared" ref="AC68:AC131" si="4">(AB68)/(J68+(0.44*S68)+Z68)</f>
        <v>0.64766839378238339</v>
      </c>
      <c r="AD68" s="10">
        <f t="shared" ref="AD68:AD131" si="5">Y68/AA68</f>
        <v>0</v>
      </c>
      <c r="AE68" s="12">
        <f>100*(AC68/TOTAL_BASIC!$D$302)</f>
        <v>82.430415036342609</v>
      </c>
      <c r="AF68" s="9"/>
      <c r="AG68" s="9"/>
      <c r="AH68" s="12">
        <f t="shared" ref="AH68:AH131" si="6">(PERCENTRANK(AD$3:AD$298,AD68))*100</f>
        <v>0</v>
      </c>
      <c r="AI68" s="12">
        <f t="shared" ref="AI68:AI131" si="7">(PERCENTRANK(AE$3:AE$298,AE68))*100</f>
        <v>24</v>
      </c>
    </row>
    <row r="69" spans="1:35" ht="15.75" customHeight="1">
      <c r="A69" s="1" t="s">
        <v>164</v>
      </c>
      <c r="B69" s="7" t="s">
        <v>101</v>
      </c>
      <c r="C69" s="4" t="s">
        <v>92</v>
      </c>
      <c r="D69" s="4">
        <v>13</v>
      </c>
      <c r="E69" s="4">
        <v>268</v>
      </c>
      <c r="F69" s="4">
        <v>13</v>
      </c>
      <c r="G69" s="4">
        <v>10</v>
      </c>
      <c r="H69" s="4">
        <v>20.6</v>
      </c>
      <c r="I69" s="4">
        <v>1.2</v>
      </c>
      <c r="J69" s="4">
        <v>2.2000000000000002</v>
      </c>
      <c r="K69" s="4">
        <v>0.51700000000000002</v>
      </c>
      <c r="L69" s="4">
        <v>0.2</v>
      </c>
      <c r="M69" s="4">
        <v>0.2</v>
      </c>
      <c r="N69" s="4">
        <v>0.66700000000000004</v>
      </c>
      <c r="O69" s="4">
        <v>1</v>
      </c>
      <c r="P69" s="4">
        <v>2</v>
      </c>
      <c r="Q69" s="4">
        <v>0.5</v>
      </c>
      <c r="R69" s="4">
        <v>0.9</v>
      </c>
      <c r="S69" s="4">
        <v>1.2</v>
      </c>
      <c r="T69" s="4">
        <v>0.75</v>
      </c>
      <c r="U69" s="4">
        <v>0.9</v>
      </c>
      <c r="V69" s="4">
        <v>2.8</v>
      </c>
      <c r="W69" s="4">
        <v>0.8</v>
      </c>
      <c r="X69" s="4">
        <v>0.7</v>
      </c>
      <c r="Y69" s="4">
        <v>0.3</v>
      </c>
      <c r="Z69" s="4">
        <v>1.4</v>
      </c>
      <c r="AA69" s="4">
        <v>1.2</v>
      </c>
      <c r="AB69" s="4">
        <v>3.4</v>
      </c>
      <c r="AC69" s="10">
        <f t="shared" si="4"/>
        <v>0.82364341085271309</v>
      </c>
      <c r="AD69" s="10">
        <f t="shared" si="5"/>
        <v>0.25</v>
      </c>
      <c r="AE69" s="12">
        <f>100*(AC69/TOTAL_BASIC!$D$302)</f>
        <v>104.82720609854267</v>
      </c>
      <c r="AF69" s="9"/>
      <c r="AG69" s="9"/>
      <c r="AH69" s="12">
        <f t="shared" si="6"/>
        <v>76</v>
      </c>
      <c r="AI69" s="12">
        <f t="shared" si="7"/>
        <v>68</v>
      </c>
    </row>
    <row r="70" spans="1:35" ht="15.75" customHeight="1">
      <c r="A70" s="1" t="s">
        <v>165</v>
      </c>
      <c r="B70" s="4" t="s">
        <v>86</v>
      </c>
      <c r="C70" s="4" t="s">
        <v>92</v>
      </c>
      <c r="D70" s="4">
        <v>13</v>
      </c>
      <c r="E70" s="4">
        <v>265</v>
      </c>
      <c r="F70" s="4">
        <v>13</v>
      </c>
      <c r="G70" s="4">
        <v>9</v>
      </c>
      <c r="H70" s="4">
        <v>20.399999999999999</v>
      </c>
      <c r="I70" s="4">
        <v>1.7</v>
      </c>
      <c r="J70" s="4">
        <v>3.8</v>
      </c>
      <c r="K70" s="4">
        <v>0.44</v>
      </c>
      <c r="L70" s="4">
        <v>0</v>
      </c>
      <c r="M70" s="4">
        <v>0</v>
      </c>
      <c r="N70" s="4">
        <v>0</v>
      </c>
      <c r="O70" s="4">
        <v>1.7</v>
      </c>
      <c r="P70" s="4">
        <v>3.8</v>
      </c>
      <c r="Q70" s="4">
        <v>0.44</v>
      </c>
      <c r="R70" s="4">
        <v>0.8</v>
      </c>
      <c r="S70" s="4">
        <v>0.8</v>
      </c>
      <c r="T70" s="4">
        <v>1</v>
      </c>
      <c r="U70" s="4">
        <v>1.8</v>
      </c>
      <c r="V70" s="4">
        <v>3.6</v>
      </c>
      <c r="W70" s="4">
        <v>0.8</v>
      </c>
      <c r="X70" s="4">
        <v>0.6</v>
      </c>
      <c r="Y70" s="4">
        <v>0.2</v>
      </c>
      <c r="Z70" s="4">
        <v>1.8</v>
      </c>
      <c r="AA70" s="4">
        <v>2.2999999999999998</v>
      </c>
      <c r="AB70" s="4">
        <v>4.2</v>
      </c>
      <c r="AC70" s="10">
        <f t="shared" si="4"/>
        <v>0.70564516129032262</v>
      </c>
      <c r="AD70" s="10">
        <f t="shared" si="5"/>
        <v>8.6956521739130446E-2</v>
      </c>
      <c r="AE70" s="12">
        <f>100*(AC70/TOTAL_BASIC!$D$302)</f>
        <v>89.809266704918457</v>
      </c>
      <c r="AF70" s="9"/>
      <c r="AG70" s="9"/>
      <c r="AH70" s="12">
        <f t="shared" si="6"/>
        <v>32</v>
      </c>
      <c r="AI70" s="12">
        <f t="shared" si="7"/>
        <v>36</v>
      </c>
    </row>
    <row r="71" spans="1:35" ht="15.75" customHeight="1">
      <c r="A71" s="1" t="s">
        <v>166</v>
      </c>
      <c r="B71" s="7" t="s">
        <v>101</v>
      </c>
      <c r="C71" s="4" t="s">
        <v>167</v>
      </c>
      <c r="D71" s="4">
        <v>26</v>
      </c>
      <c r="E71" s="4">
        <v>263</v>
      </c>
      <c r="F71" s="4">
        <v>26</v>
      </c>
      <c r="G71" s="4">
        <v>0</v>
      </c>
      <c r="H71" s="4">
        <v>10.1</v>
      </c>
      <c r="I71" s="4">
        <v>1.4</v>
      </c>
      <c r="J71" s="4">
        <v>3.1</v>
      </c>
      <c r="K71" s="4">
        <v>0.46300000000000002</v>
      </c>
      <c r="L71" s="4">
        <v>0</v>
      </c>
      <c r="M71" s="4">
        <v>0</v>
      </c>
      <c r="N71" s="4">
        <v>0</v>
      </c>
      <c r="O71" s="4">
        <v>1.4</v>
      </c>
      <c r="P71" s="4">
        <v>3</v>
      </c>
      <c r="Q71" s="4">
        <v>0.46800000000000003</v>
      </c>
      <c r="R71" s="4">
        <v>0.3</v>
      </c>
      <c r="S71" s="4">
        <v>0.6</v>
      </c>
      <c r="T71" s="4">
        <v>0.56299999999999994</v>
      </c>
      <c r="U71" s="4">
        <v>0.7</v>
      </c>
      <c r="V71" s="4">
        <v>1.4</v>
      </c>
      <c r="W71" s="4">
        <v>0.4</v>
      </c>
      <c r="X71" s="4">
        <v>0.5</v>
      </c>
      <c r="Y71" s="4">
        <v>0.4</v>
      </c>
      <c r="Z71" s="4">
        <v>0.5</v>
      </c>
      <c r="AA71" s="4">
        <v>2.2000000000000002</v>
      </c>
      <c r="AB71" s="4">
        <v>3.2</v>
      </c>
      <c r="AC71" s="10">
        <f t="shared" si="4"/>
        <v>0.82815734989648038</v>
      </c>
      <c r="AD71" s="10">
        <f t="shared" si="5"/>
        <v>0.18181818181818182</v>
      </c>
      <c r="AE71" s="12">
        <f>100*(AC71/TOTAL_BASIC!$D$302)</f>
        <v>105.40170668001076</v>
      </c>
      <c r="AF71" s="9"/>
      <c r="AG71" s="9"/>
      <c r="AH71" s="12">
        <f t="shared" si="6"/>
        <v>68</v>
      </c>
      <c r="AI71" s="12">
        <f t="shared" si="7"/>
        <v>72</v>
      </c>
    </row>
    <row r="72" spans="1:35" ht="15.75" customHeight="1">
      <c r="A72" s="1" t="s">
        <v>168</v>
      </c>
      <c r="B72" s="7" t="s">
        <v>96</v>
      </c>
      <c r="C72" s="4" t="s">
        <v>8</v>
      </c>
      <c r="D72" s="4">
        <v>25</v>
      </c>
      <c r="E72" s="4">
        <v>194</v>
      </c>
      <c r="F72" s="4">
        <v>25</v>
      </c>
      <c r="G72" s="4">
        <v>0</v>
      </c>
      <c r="H72" s="4">
        <v>7.8</v>
      </c>
      <c r="I72" s="4">
        <v>0.9</v>
      </c>
      <c r="J72" s="4">
        <v>2.2999999999999998</v>
      </c>
      <c r="K72" s="4">
        <v>0.379</v>
      </c>
      <c r="L72" s="4">
        <v>0.1</v>
      </c>
      <c r="M72" s="4">
        <v>0.2</v>
      </c>
      <c r="N72" s="4">
        <v>0.5</v>
      </c>
      <c r="O72" s="4">
        <v>0.8</v>
      </c>
      <c r="P72" s="4">
        <v>2.2000000000000002</v>
      </c>
      <c r="Q72" s="4">
        <v>0.37</v>
      </c>
      <c r="R72" s="4">
        <v>0.3</v>
      </c>
      <c r="S72" s="4">
        <v>0.4</v>
      </c>
      <c r="T72" s="4">
        <v>0.77800000000000002</v>
      </c>
      <c r="U72" s="4">
        <v>0.3</v>
      </c>
      <c r="V72" s="4">
        <v>0.9</v>
      </c>
      <c r="W72" s="4">
        <v>0.4</v>
      </c>
      <c r="X72" s="4">
        <v>0.2</v>
      </c>
      <c r="Y72" s="4">
        <v>0</v>
      </c>
      <c r="Z72" s="4">
        <v>1.1000000000000001</v>
      </c>
      <c r="AA72" s="4">
        <v>0.5</v>
      </c>
      <c r="AB72" s="4">
        <v>2.1</v>
      </c>
      <c r="AC72" s="10">
        <f t="shared" si="4"/>
        <v>0.58724832214765099</v>
      </c>
      <c r="AD72" s="10">
        <f t="shared" si="5"/>
        <v>0</v>
      </c>
      <c r="AE72" s="12">
        <f>100*(AC72/TOTAL_BASIC!$D$302)</f>
        <v>74.740597794697223</v>
      </c>
      <c r="AF72" s="9"/>
      <c r="AG72" s="9"/>
      <c r="AH72" s="12">
        <f t="shared" si="6"/>
        <v>0</v>
      </c>
      <c r="AI72" s="12">
        <f t="shared" si="7"/>
        <v>12</v>
      </c>
    </row>
    <row r="73" spans="1:35" ht="15.75" customHeight="1">
      <c r="A73" s="1" t="s">
        <v>169</v>
      </c>
      <c r="B73" s="7" t="s">
        <v>86</v>
      </c>
      <c r="C73" s="4" t="s">
        <v>8</v>
      </c>
      <c r="D73" s="4">
        <v>19</v>
      </c>
      <c r="E73" s="4">
        <v>188</v>
      </c>
      <c r="F73" s="4">
        <v>19</v>
      </c>
      <c r="G73" s="4">
        <v>0</v>
      </c>
      <c r="H73" s="4">
        <v>9.9</v>
      </c>
      <c r="I73" s="4">
        <v>1.2</v>
      </c>
      <c r="J73" s="4">
        <v>3</v>
      </c>
      <c r="K73" s="4">
        <v>0.40400000000000003</v>
      </c>
      <c r="L73" s="4">
        <v>0</v>
      </c>
      <c r="M73" s="4">
        <v>0.1</v>
      </c>
      <c r="N73" s="4">
        <v>0</v>
      </c>
      <c r="O73" s="4">
        <v>1.2</v>
      </c>
      <c r="P73" s="4">
        <v>2.9</v>
      </c>
      <c r="Q73" s="4">
        <v>0.41099999999999998</v>
      </c>
      <c r="R73" s="4">
        <v>0.3</v>
      </c>
      <c r="S73" s="4">
        <v>0.6</v>
      </c>
      <c r="T73" s="4">
        <v>0.5</v>
      </c>
      <c r="U73" s="4">
        <v>0.6</v>
      </c>
      <c r="V73" s="4">
        <v>1.1000000000000001</v>
      </c>
      <c r="W73" s="4">
        <v>0.3</v>
      </c>
      <c r="X73" s="4">
        <v>0.9</v>
      </c>
      <c r="Y73" s="4">
        <v>0.1</v>
      </c>
      <c r="Z73" s="4">
        <v>0.8</v>
      </c>
      <c r="AA73" s="4">
        <v>0.9</v>
      </c>
      <c r="AB73" s="4">
        <v>2.7</v>
      </c>
      <c r="AC73" s="10">
        <f t="shared" si="4"/>
        <v>0.66437007874015752</v>
      </c>
      <c r="AD73" s="10">
        <f t="shared" si="5"/>
        <v>0.11111111111111112</v>
      </c>
      <c r="AE73" s="12">
        <f>100*(AC73/TOTAL_BASIC!$D$302)</f>
        <v>84.556081250862476</v>
      </c>
      <c r="AF73" s="9"/>
      <c r="AG73" s="9"/>
      <c r="AH73" s="12">
        <f t="shared" si="6"/>
        <v>48</v>
      </c>
      <c r="AI73" s="12">
        <f t="shared" si="7"/>
        <v>26.6</v>
      </c>
    </row>
    <row r="74" spans="1:35" ht="15.75" customHeight="1">
      <c r="A74" s="1" t="s">
        <v>170</v>
      </c>
      <c r="B74" s="7" t="s">
        <v>86</v>
      </c>
      <c r="C74" s="4" t="s">
        <v>8</v>
      </c>
      <c r="D74" s="4">
        <v>14</v>
      </c>
      <c r="E74" s="4">
        <v>157</v>
      </c>
      <c r="F74" s="4">
        <v>14</v>
      </c>
      <c r="G74" s="4">
        <v>0</v>
      </c>
      <c r="H74" s="4">
        <v>11.2</v>
      </c>
      <c r="I74" s="4">
        <v>0.8</v>
      </c>
      <c r="J74" s="4">
        <v>3.2</v>
      </c>
      <c r="K74" s="4">
        <v>0.24399999999999999</v>
      </c>
      <c r="L74" s="4">
        <v>0.3</v>
      </c>
      <c r="M74" s="4">
        <v>1.4</v>
      </c>
      <c r="N74" s="4">
        <v>0.2</v>
      </c>
      <c r="O74" s="4">
        <v>0.5</v>
      </c>
      <c r="P74" s="4">
        <v>1.8</v>
      </c>
      <c r="Q74" s="4">
        <v>0.28000000000000003</v>
      </c>
      <c r="R74" s="4">
        <v>0.5</v>
      </c>
      <c r="S74" s="4">
        <v>0.6</v>
      </c>
      <c r="T74" s="4">
        <v>0.77800000000000002</v>
      </c>
      <c r="U74" s="4">
        <v>0.1</v>
      </c>
      <c r="V74" s="4">
        <v>0.4</v>
      </c>
      <c r="W74" s="4">
        <v>0.9</v>
      </c>
      <c r="X74" s="4">
        <v>0.3</v>
      </c>
      <c r="Y74" s="4">
        <v>0.1</v>
      </c>
      <c r="Z74" s="4">
        <v>1.5</v>
      </c>
      <c r="AA74" s="4">
        <v>1</v>
      </c>
      <c r="AB74" s="4">
        <v>2.4</v>
      </c>
      <c r="AC74" s="10">
        <f t="shared" si="4"/>
        <v>0.48348106365833998</v>
      </c>
      <c r="AD74" s="10">
        <f t="shared" si="5"/>
        <v>0.1</v>
      </c>
      <c r="AE74" s="12">
        <f>100*(AC74/TOTAL_BASIC!$D$302)</f>
        <v>61.533873077895073</v>
      </c>
      <c r="AF74" s="9"/>
      <c r="AG74" s="9"/>
      <c r="AH74" s="12">
        <f t="shared" si="6"/>
        <v>40</v>
      </c>
      <c r="AI74" s="12">
        <f t="shared" si="7"/>
        <v>4</v>
      </c>
    </row>
    <row r="75" spans="1:35" ht="15.75" customHeight="1">
      <c r="A75" s="1" t="s">
        <v>171</v>
      </c>
      <c r="B75" s="7" t="s">
        <v>90</v>
      </c>
      <c r="C75" s="4" t="s">
        <v>172</v>
      </c>
      <c r="D75" s="4">
        <v>9</v>
      </c>
      <c r="E75" s="4">
        <v>129</v>
      </c>
      <c r="F75" s="4">
        <v>9</v>
      </c>
      <c r="G75" s="4">
        <v>0</v>
      </c>
      <c r="H75" s="4">
        <v>14.3</v>
      </c>
      <c r="I75" s="4">
        <v>2.8</v>
      </c>
      <c r="J75" s="4">
        <v>5.9</v>
      </c>
      <c r="K75" s="4">
        <v>0.47199999999999998</v>
      </c>
      <c r="L75" s="4">
        <v>0.4</v>
      </c>
      <c r="M75" s="4">
        <v>1.8</v>
      </c>
      <c r="N75" s="4">
        <v>0.25</v>
      </c>
      <c r="O75" s="4">
        <v>2.2999999999999998</v>
      </c>
      <c r="P75" s="4">
        <v>4.0999999999999996</v>
      </c>
      <c r="Q75" s="4">
        <v>0.56799999999999995</v>
      </c>
      <c r="R75" s="4">
        <v>1.1000000000000001</v>
      </c>
      <c r="S75" s="4">
        <v>1.6</v>
      </c>
      <c r="T75" s="4">
        <v>0.71399999999999997</v>
      </c>
      <c r="U75" s="4">
        <v>0.7</v>
      </c>
      <c r="V75" s="4">
        <v>1.7</v>
      </c>
      <c r="W75" s="4">
        <v>0.8</v>
      </c>
      <c r="X75" s="4">
        <v>0.8</v>
      </c>
      <c r="Y75" s="4">
        <v>0.4</v>
      </c>
      <c r="Z75" s="4">
        <v>0.4</v>
      </c>
      <c r="AA75" s="4">
        <v>0.6</v>
      </c>
      <c r="AB75" s="4">
        <v>7.1</v>
      </c>
      <c r="AC75" s="10">
        <f t="shared" si="4"/>
        <v>1.0137064534551683</v>
      </c>
      <c r="AD75" s="10">
        <f t="shared" si="5"/>
        <v>0.66666666666666674</v>
      </c>
      <c r="AE75" s="12">
        <f>100*(AC75/TOTAL_BASIC!$D$302)</f>
        <v>129.01701624705913</v>
      </c>
      <c r="AF75" s="9"/>
      <c r="AG75" s="9"/>
      <c r="AH75" s="12">
        <f t="shared" si="6"/>
        <v>97.3</v>
      </c>
      <c r="AI75" s="12">
        <f t="shared" si="7"/>
        <v>96</v>
      </c>
    </row>
    <row r="76" spans="1:35" ht="15.75" customHeight="1">
      <c r="A76" s="1" t="s">
        <v>173</v>
      </c>
      <c r="B76" s="7" t="s">
        <v>88</v>
      </c>
      <c r="C76" s="4" t="s">
        <v>8</v>
      </c>
      <c r="D76" s="4">
        <v>10</v>
      </c>
      <c r="E76" s="4">
        <v>116</v>
      </c>
      <c r="F76" s="4">
        <v>10</v>
      </c>
      <c r="G76" s="4">
        <v>2</v>
      </c>
      <c r="H76" s="4">
        <v>11.6</v>
      </c>
      <c r="I76" s="4">
        <v>1.1000000000000001</v>
      </c>
      <c r="J76" s="4">
        <v>4.3</v>
      </c>
      <c r="K76" s="4">
        <v>0.25600000000000001</v>
      </c>
      <c r="L76" s="4">
        <v>0.4</v>
      </c>
      <c r="M76" s="4">
        <v>1.8</v>
      </c>
      <c r="N76" s="4">
        <v>0.222</v>
      </c>
      <c r="O76" s="4">
        <v>0.7</v>
      </c>
      <c r="P76" s="4">
        <v>2.5</v>
      </c>
      <c r="Q76" s="4">
        <v>0.28000000000000003</v>
      </c>
      <c r="R76" s="4">
        <v>0.1</v>
      </c>
      <c r="S76" s="4">
        <v>0.2</v>
      </c>
      <c r="T76" s="4">
        <v>0.5</v>
      </c>
      <c r="U76" s="4">
        <v>0.3</v>
      </c>
      <c r="V76" s="4">
        <v>1.3</v>
      </c>
      <c r="W76" s="4">
        <v>0.9</v>
      </c>
      <c r="X76" s="4">
        <v>0.2</v>
      </c>
      <c r="Y76" s="4">
        <v>0</v>
      </c>
      <c r="Z76" s="4">
        <v>0.6</v>
      </c>
      <c r="AA76" s="4">
        <v>0.9</v>
      </c>
      <c r="AB76" s="4">
        <v>2.7</v>
      </c>
      <c r="AC76" s="10">
        <f t="shared" si="4"/>
        <v>0.54129911788291907</v>
      </c>
      <c r="AD76" s="10">
        <f t="shared" si="5"/>
        <v>0</v>
      </c>
      <c r="AE76" s="12">
        <f>100*(AC76/TOTAL_BASIC!$D$302)</f>
        <v>68.892524900462135</v>
      </c>
      <c r="AF76" s="9"/>
      <c r="AG76" s="9"/>
      <c r="AH76" s="12">
        <f t="shared" si="6"/>
        <v>0</v>
      </c>
      <c r="AI76" s="12">
        <f t="shared" si="7"/>
        <v>8</v>
      </c>
    </row>
    <row r="77" spans="1:35" ht="15.75" customHeight="1">
      <c r="A77" s="1" t="s">
        <v>174</v>
      </c>
      <c r="B77" s="7" t="s">
        <v>88</v>
      </c>
      <c r="C77" s="4" t="s">
        <v>92</v>
      </c>
      <c r="D77" s="4">
        <v>20</v>
      </c>
      <c r="E77" s="4">
        <v>113</v>
      </c>
      <c r="F77" s="4">
        <v>20</v>
      </c>
      <c r="G77" s="4">
        <v>0</v>
      </c>
      <c r="H77" s="4">
        <v>5.7</v>
      </c>
      <c r="I77" s="4">
        <v>0.2</v>
      </c>
      <c r="J77" s="4">
        <v>0.8</v>
      </c>
      <c r="K77" s="4">
        <v>0.25</v>
      </c>
      <c r="L77" s="4">
        <v>0</v>
      </c>
      <c r="M77" s="4">
        <v>0.1</v>
      </c>
      <c r="N77" s="4">
        <v>0</v>
      </c>
      <c r="O77" s="4">
        <v>0.2</v>
      </c>
      <c r="P77" s="4">
        <v>0.8</v>
      </c>
      <c r="Q77" s="4">
        <v>0.26700000000000002</v>
      </c>
      <c r="R77" s="4">
        <v>0.4</v>
      </c>
      <c r="S77" s="4">
        <v>0.8</v>
      </c>
      <c r="T77" s="4">
        <v>0.53300000000000003</v>
      </c>
      <c r="U77" s="4">
        <v>0.1</v>
      </c>
      <c r="V77" s="4">
        <v>0.8</v>
      </c>
      <c r="W77" s="4">
        <v>0.4</v>
      </c>
      <c r="X77" s="4">
        <v>0.3</v>
      </c>
      <c r="Y77" s="4">
        <v>0.1</v>
      </c>
      <c r="Z77" s="4">
        <v>0.6</v>
      </c>
      <c r="AA77" s="4">
        <v>0.7</v>
      </c>
      <c r="AB77" s="4">
        <v>0.8</v>
      </c>
      <c r="AC77" s="10">
        <f t="shared" si="4"/>
        <v>0.45662100456621002</v>
      </c>
      <c r="AD77" s="10">
        <f t="shared" si="5"/>
        <v>0.14285714285714288</v>
      </c>
      <c r="AE77" s="12">
        <f>100*(AC77/TOTAL_BASIC!$D$302)</f>
        <v>58.11532457356757</v>
      </c>
      <c r="AF77" s="9"/>
      <c r="AG77" s="9"/>
      <c r="AH77" s="12">
        <f t="shared" si="6"/>
        <v>60</v>
      </c>
      <c r="AI77" s="12">
        <f t="shared" si="7"/>
        <v>1.3</v>
      </c>
    </row>
    <row r="78" spans="1:35" ht="15.75" customHeight="1">
      <c r="A78" s="1" t="s">
        <v>175</v>
      </c>
      <c r="B78" s="7" t="s">
        <v>96</v>
      </c>
      <c r="C78" s="4" t="s">
        <v>8</v>
      </c>
      <c r="D78" s="4">
        <v>10</v>
      </c>
      <c r="E78" s="4">
        <v>112</v>
      </c>
      <c r="F78" s="4">
        <v>10</v>
      </c>
      <c r="G78" s="4">
        <v>1</v>
      </c>
      <c r="H78" s="4">
        <v>11.2</v>
      </c>
      <c r="I78" s="4">
        <v>0.7</v>
      </c>
      <c r="J78" s="4">
        <v>1.5</v>
      </c>
      <c r="K78" s="4">
        <v>0.46700000000000003</v>
      </c>
      <c r="L78" s="4">
        <v>0</v>
      </c>
      <c r="M78" s="4">
        <v>0.3</v>
      </c>
      <c r="N78" s="4">
        <v>0</v>
      </c>
      <c r="O78" s="4">
        <v>0.7</v>
      </c>
      <c r="P78" s="4">
        <v>1.2</v>
      </c>
      <c r="Q78" s="4">
        <v>0.58299999999999996</v>
      </c>
      <c r="R78" s="4">
        <v>0.4</v>
      </c>
      <c r="S78" s="4">
        <v>0.7</v>
      </c>
      <c r="T78" s="4">
        <v>0.57099999999999995</v>
      </c>
      <c r="U78" s="4">
        <v>0.3</v>
      </c>
      <c r="V78" s="4">
        <v>1</v>
      </c>
      <c r="W78" s="4">
        <v>0.9</v>
      </c>
      <c r="X78" s="4">
        <v>0.6</v>
      </c>
      <c r="Y78" s="4">
        <v>0</v>
      </c>
      <c r="Z78" s="4">
        <v>2.2000000000000002</v>
      </c>
      <c r="AA78" s="4">
        <v>1</v>
      </c>
      <c r="AB78" s="4">
        <v>1.8</v>
      </c>
      <c r="AC78" s="10">
        <f t="shared" si="4"/>
        <v>0.44910179640718562</v>
      </c>
      <c r="AD78" s="10">
        <f t="shared" si="5"/>
        <v>0</v>
      </c>
      <c r="AE78" s="12">
        <f>100*(AC78/TOTAL_BASIC!$D$302)</f>
        <v>57.15833569585913</v>
      </c>
      <c r="AF78" s="9"/>
      <c r="AG78" s="9"/>
      <c r="AH78" s="12">
        <f t="shared" si="6"/>
        <v>0</v>
      </c>
      <c r="AI78" s="12">
        <f t="shared" si="7"/>
        <v>0</v>
      </c>
    </row>
    <row r="79" spans="1:35" ht="15.75" customHeight="1">
      <c r="A79" s="1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10"/>
      <c r="AD79" s="10"/>
      <c r="AE79" s="12"/>
      <c r="AF79" s="9"/>
      <c r="AG79" s="9"/>
      <c r="AH79" s="12"/>
      <c r="AI79" s="12"/>
    </row>
    <row r="80" spans="1:35" ht="15.75" customHeight="1">
      <c r="A80" s="1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10"/>
      <c r="AD80" s="10"/>
      <c r="AE80" s="12"/>
      <c r="AF80" s="9"/>
      <c r="AG80" s="9"/>
      <c r="AH80" s="12"/>
      <c r="AI80" s="12"/>
    </row>
    <row r="81" spans="1:35" ht="15.75" customHeight="1">
      <c r="A81" s="1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10"/>
      <c r="AD81" s="10"/>
      <c r="AE81" s="12"/>
      <c r="AF81" s="9"/>
      <c r="AG81" s="9"/>
      <c r="AH81" s="12"/>
      <c r="AI81" s="12"/>
    </row>
    <row r="82" spans="1:35" ht="15.75" customHeight="1">
      <c r="A82" s="1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10"/>
      <c r="AD82" s="10"/>
      <c r="AE82" s="12"/>
      <c r="AF82" s="9"/>
      <c r="AG82" s="9"/>
      <c r="AH82" s="12"/>
      <c r="AI82" s="12"/>
    </row>
    <row r="83" spans="1:35" ht="15.75" customHeight="1">
      <c r="A83" s="1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10"/>
      <c r="AD83" s="10"/>
      <c r="AE83" s="12"/>
      <c r="AF83" s="9"/>
      <c r="AG83" s="9"/>
      <c r="AH83" s="12"/>
      <c r="AI83" s="12"/>
    </row>
    <row r="84" spans="1:35" ht="15.75" customHeight="1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10"/>
      <c r="AD84" s="10"/>
      <c r="AE84" s="12"/>
      <c r="AF84" s="9"/>
      <c r="AG84" s="9"/>
      <c r="AH84" s="12"/>
      <c r="AI84" s="12"/>
    </row>
    <row r="85" spans="1:35" ht="15.75" customHeight="1">
      <c r="A85" s="1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10"/>
      <c r="AD85" s="10"/>
      <c r="AE85" s="12"/>
      <c r="AF85" s="9"/>
      <c r="AG85" s="9"/>
      <c r="AH85" s="12"/>
      <c r="AI85" s="12"/>
    </row>
    <row r="86" spans="1:35" ht="15.75" customHeight="1">
      <c r="A86" s="1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10"/>
      <c r="AD86" s="10"/>
      <c r="AE86" s="12"/>
      <c r="AF86" s="9"/>
      <c r="AG86" s="9"/>
      <c r="AH86" s="12"/>
      <c r="AI86" s="12"/>
    </row>
    <row r="87" spans="1:35" ht="15.75" customHeight="1">
      <c r="A87" s="1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10"/>
      <c r="AD87" s="10"/>
      <c r="AE87" s="12"/>
      <c r="AF87" s="9"/>
      <c r="AG87" s="9"/>
      <c r="AH87" s="12"/>
      <c r="AI87" s="12"/>
    </row>
    <row r="88" spans="1:35" ht="15.75" customHeight="1">
      <c r="A88" s="1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10"/>
      <c r="AD88" s="10"/>
      <c r="AE88" s="12"/>
      <c r="AF88" s="9"/>
      <c r="AG88" s="9"/>
      <c r="AH88" s="12"/>
      <c r="AI88" s="12"/>
    </row>
    <row r="89" spans="1:35" ht="15.75" customHeight="1">
      <c r="A89" s="1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10"/>
      <c r="AD89" s="10"/>
      <c r="AE89" s="12"/>
      <c r="AF89" s="9"/>
      <c r="AG89" s="9"/>
      <c r="AH89" s="12"/>
      <c r="AI89" s="12"/>
    </row>
    <row r="90" spans="1:35" ht="15.75" customHeight="1">
      <c r="A90" s="1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10"/>
      <c r="AD90" s="10"/>
      <c r="AE90" s="12"/>
      <c r="AF90" s="9"/>
      <c r="AG90" s="9"/>
      <c r="AH90" s="12"/>
      <c r="AI90" s="12"/>
    </row>
    <row r="91" spans="1:35" ht="15.75" customHeight="1">
      <c r="A91" s="1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10"/>
      <c r="AD91" s="10"/>
      <c r="AE91" s="12"/>
      <c r="AF91" s="9"/>
      <c r="AG91" s="9"/>
      <c r="AH91" s="12"/>
      <c r="AI91" s="12"/>
    </row>
    <row r="92" spans="1:35" ht="15.75" customHeight="1">
      <c r="A92" s="1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10"/>
      <c r="AD92" s="10"/>
      <c r="AE92" s="12"/>
      <c r="AF92" s="9"/>
      <c r="AG92" s="9"/>
      <c r="AH92" s="12"/>
      <c r="AI92" s="12"/>
    </row>
    <row r="93" spans="1:35" ht="15.75" customHeight="1">
      <c r="A93" s="1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10"/>
      <c r="AD93" s="10"/>
      <c r="AE93" s="12"/>
      <c r="AF93" s="9"/>
      <c r="AG93" s="9"/>
      <c r="AH93" s="12"/>
      <c r="AI93" s="12"/>
    </row>
    <row r="94" spans="1:35" ht="15.75" customHeight="1">
      <c r="A94" s="1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10"/>
      <c r="AD94" s="10"/>
      <c r="AE94" s="12"/>
      <c r="AF94" s="9"/>
      <c r="AG94" s="9"/>
      <c r="AH94" s="12"/>
      <c r="AI94" s="12"/>
    </row>
    <row r="95" spans="1:35" ht="15.75" customHeight="1">
      <c r="A95" s="1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10"/>
      <c r="AD95" s="10"/>
      <c r="AE95" s="12"/>
      <c r="AF95" s="9"/>
      <c r="AG95" s="9"/>
      <c r="AH95" s="12"/>
      <c r="AI95" s="12"/>
    </row>
    <row r="96" spans="1:35" ht="15.75" customHeight="1">
      <c r="A96" s="1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10"/>
      <c r="AD96" s="10"/>
      <c r="AE96" s="12"/>
      <c r="AF96" s="9"/>
      <c r="AG96" s="9"/>
      <c r="AH96" s="12"/>
      <c r="AI96" s="12"/>
    </row>
    <row r="97" spans="1:35" ht="15.75" customHeight="1">
      <c r="A97" s="1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10"/>
      <c r="AD97" s="10"/>
      <c r="AE97" s="12"/>
      <c r="AF97" s="9"/>
      <c r="AG97" s="9"/>
      <c r="AH97" s="12"/>
      <c r="AI97" s="12"/>
    </row>
    <row r="98" spans="1:35" ht="15.75" customHeight="1">
      <c r="A98" s="1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10"/>
      <c r="AD98" s="10"/>
      <c r="AE98" s="12"/>
      <c r="AF98" s="9"/>
      <c r="AG98" s="9"/>
      <c r="AH98" s="12"/>
      <c r="AI98" s="12"/>
    </row>
    <row r="99" spans="1:35" ht="15.75" customHeight="1">
      <c r="A99" s="1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10"/>
      <c r="AD99" s="10"/>
      <c r="AE99" s="12"/>
      <c r="AF99" s="9"/>
      <c r="AG99" s="9"/>
      <c r="AH99" s="12"/>
      <c r="AI99" s="12"/>
    </row>
    <row r="100" spans="1:35" ht="15.75" customHeight="1">
      <c r="A100" s="1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10"/>
      <c r="AD100" s="10"/>
      <c r="AE100" s="12"/>
      <c r="AF100" s="9"/>
      <c r="AG100" s="9"/>
      <c r="AH100" s="12"/>
      <c r="AI100" s="12"/>
    </row>
    <row r="101" spans="1:35" ht="15.75" customHeight="1">
      <c r="A101" s="1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10"/>
      <c r="AD101" s="10"/>
      <c r="AE101" s="12"/>
      <c r="AF101" s="9"/>
      <c r="AG101" s="9"/>
      <c r="AH101" s="12"/>
      <c r="AI101" s="12"/>
    </row>
    <row r="102" spans="1:35" ht="15.75" customHeight="1">
      <c r="A102" s="1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10"/>
      <c r="AD102" s="10"/>
      <c r="AE102" s="12"/>
      <c r="AF102" s="9"/>
      <c r="AG102" s="9"/>
      <c r="AH102" s="12"/>
      <c r="AI102" s="12"/>
    </row>
    <row r="103" spans="1:35" ht="15.75" customHeight="1">
      <c r="A103" s="1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10"/>
      <c r="AD103" s="10"/>
      <c r="AE103" s="12"/>
      <c r="AF103" s="9"/>
      <c r="AG103" s="9"/>
      <c r="AH103" s="12"/>
      <c r="AI103" s="12"/>
    </row>
    <row r="104" spans="1:35" ht="15.75" customHeight="1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10"/>
      <c r="AD104" s="10"/>
      <c r="AE104" s="12"/>
      <c r="AF104" s="9"/>
      <c r="AG104" s="9"/>
      <c r="AH104" s="12"/>
      <c r="AI104" s="12"/>
    </row>
    <row r="105" spans="1:35" ht="15.75" customHeight="1">
      <c r="A105" s="1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10"/>
      <c r="AD105" s="10"/>
      <c r="AE105" s="12"/>
      <c r="AF105" s="9"/>
      <c r="AG105" s="9"/>
      <c r="AH105" s="12"/>
      <c r="AI105" s="12"/>
    </row>
    <row r="106" spans="1:35" ht="15.75" customHeight="1">
      <c r="A106" s="1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10"/>
      <c r="AD106" s="10"/>
      <c r="AE106" s="12"/>
      <c r="AF106" s="9"/>
      <c r="AG106" s="9"/>
      <c r="AH106" s="12"/>
      <c r="AI106" s="12"/>
    </row>
    <row r="107" spans="1:35" ht="15.75" customHeight="1">
      <c r="A107" s="1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10"/>
      <c r="AD107" s="10"/>
      <c r="AE107" s="12"/>
      <c r="AF107" s="9"/>
      <c r="AG107" s="9"/>
      <c r="AH107" s="12"/>
      <c r="AI107" s="12"/>
    </row>
    <row r="108" spans="1:35" ht="15.75" customHeight="1">
      <c r="A108" s="1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10"/>
      <c r="AD108" s="10"/>
      <c r="AE108" s="12"/>
      <c r="AF108" s="9"/>
      <c r="AG108" s="9"/>
      <c r="AH108" s="12"/>
      <c r="AI108" s="12"/>
    </row>
    <row r="109" spans="1:35" ht="15.75" customHeight="1">
      <c r="A109" s="1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10"/>
      <c r="AD109" s="10"/>
      <c r="AE109" s="12"/>
      <c r="AF109" s="9"/>
      <c r="AG109" s="9"/>
      <c r="AH109" s="12"/>
      <c r="AI109" s="12"/>
    </row>
    <row r="110" spans="1:35" ht="15.75" customHeight="1">
      <c r="A110" s="1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10"/>
      <c r="AD110" s="10"/>
      <c r="AE110" s="12"/>
      <c r="AF110" s="9"/>
      <c r="AG110" s="9"/>
      <c r="AH110" s="12"/>
      <c r="AI110" s="12"/>
    </row>
    <row r="111" spans="1:35" ht="15.75" customHeight="1">
      <c r="A111" s="1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10"/>
      <c r="AD111" s="10"/>
      <c r="AE111" s="12"/>
      <c r="AF111" s="9"/>
      <c r="AG111" s="9"/>
      <c r="AH111" s="12"/>
      <c r="AI111" s="12"/>
    </row>
    <row r="112" spans="1:35" ht="15.75" customHeight="1">
      <c r="A112" s="1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10"/>
      <c r="AD112" s="10"/>
      <c r="AE112" s="12"/>
      <c r="AF112" s="9"/>
      <c r="AG112" s="9"/>
      <c r="AH112" s="12"/>
      <c r="AI112" s="12"/>
    </row>
    <row r="113" spans="1:35" ht="15.75" customHeight="1">
      <c r="A113" s="1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10"/>
      <c r="AD113" s="10"/>
      <c r="AE113" s="12"/>
      <c r="AF113" s="9"/>
      <c r="AG113" s="9"/>
      <c r="AH113" s="12"/>
      <c r="AI113" s="12"/>
    </row>
    <row r="114" spans="1:35" ht="15.75" customHeight="1">
      <c r="A114" s="1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10"/>
      <c r="AD114" s="10"/>
      <c r="AE114" s="12"/>
      <c r="AF114" s="9"/>
      <c r="AG114" s="9"/>
      <c r="AH114" s="12"/>
      <c r="AI114" s="12"/>
    </row>
    <row r="115" spans="1:35" ht="15.75" customHeight="1">
      <c r="A115" s="1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10"/>
      <c r="AD115" s="10"/>
      <c r="AE115" s="12"/>
      <c r="AF115" s="9"/>
      <c r="AG115" s="9"/>
      <c r="AH115" s="12"/>
      <c r="AI115" s="12"/>
    </row>
    <row r="116" spans="1:35" ht="15.75" customHeight="1">
      <c r="A116" s="1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10"/>
      <c r="AD116" s="10"/>
      <c r="AE116" s="12"/>
      <c r="AF116" s="9"/>
      <c r="AG116" s="9"/>
      <c r="AH116" s="12"/>
      <c r="AI116" s="12"/>
    </row>
    <row r="117" spans="1:35" ht="15.75" customHeight="1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10"/>
      <c r="AD117" s="10"/>
      <c r="AE117" s="12"/>
      <c r="AF117" s="9"/>
      <c r="AG117" s="9"/>
      <c r="AH117" s="12"/>
      <c r="AI117" s="12"/>
    </row>
    <row r="118" spans="1:35" ht="15.75" customHeight="1">
      <c r="A118" s="1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10"/>
      <c r="AD118" s="10"/>
      <c r="AE118" s="12"/>
      <c r="AF118" s="9"/>
      <c r="AG118" s="9"/>
      <c r="AH118" s="12"/>
      <c r="AI118" s="12"/>
    </row>
    <row r="119" spans="1:35" ht="15.75" customHeight="1">
      <c r="A119" s="1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10"/>
      <c r="AD119" s="10"/>
      <c r="AE119" s="12"/>
      <c r="AF119" s="9"/>
      <c r="AG119" s="9"/>
      <c r="AH119" s="12"/>
      <c r="AI119" s="12"/>
    </row>
    <row r="120" spans="1:35" ht="15.75" customHeight="1">
      <c r="A120" s="1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10"/>
      <c r="AD120" s="10"/>
      <c r="AE120" s="12"/>
      <c r="AF120" s="9"/>
      <c r="AG120" s="9"/>
      <c r="AH120" s="12"/>
      <c r="AI120" s="12"/>
    </row>
    <row r="121" spans="1:35" ht="15.75" customHeight="1">
      <c r="A121" s="1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10"/>
      <c r="AD121" s="10"/>
      <c r="AE121" s="12"/>
      <c r="AF121" s="9"/>
      <c r="AG121" s="9"/>
      <c r="AH121" s="12"/>
      <c r="AI121" s="12"/>
    </row>
    <row r="122" spans="1:35" ht="15.75" customHeight="1">
      <c r="A122" s="1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10"/>
      <c r="AD122" s="10"/>
      <c r="AE122" s="12"/>
      <c r="AF122" s="9"/>
      <c r="AG122" s="9"/>
      <c r="AH122" s="12"/>
      <c r="AI122" s="12"/>
    </row>
    <row r="123" spans="1:35" ht="15.75" customHeight="1">
      <c r="A123" s="1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10"/>
      <c r="AD123" s="10"/>
      <c r="AE123" s="12"/>
      <c r="AF123" s="9"/>
      <c r="AG123" s="9"/>
      <c r="AH123" s="12"/>
      <c r="AI123" s="12"/>
    </row>
    <row r="124" spans="1:35" ht="15.75" customHeight="1">
      <c r="A124" s="1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10"/>
      <c r="AD124" s="10"/>
      <c r="AE124" s="12"/>
      <c r="AF124" s="9"/>
      <c r="AG124" s="9"/>
      <c r="AH124" s="12"/>
      <c r="AI124" s="12"/>
    </row>
    <row r="125" spans="1:35" ht="15.75" customHeight="1">
      <c r="A125" s="1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10"/>
      <c r="AD125" s="10"/>
      <c r="AE125" s="12"/>
      <c r="AF125" s="9"/>
      <c r="AG125" s="9"/>
      <c r="AH125" s="12"/>
      <c r="AI125" s="12"/>
    </row>
    <row r="126" spans="1:35" ht="15.75" customHeight="1">
      <c r="A126" s="1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10"/>
      <c r="AD126" s="10"/>
      <c r="AE126" s="12"/>
      <c r="AF126" s="9"/>
      <c r="AG126" s="9"/>
      <c r="AH126" s="12"/>
      <c r="AI126" s="12"/>
    </row>
    <row r="127" spans="1:35" ht="15.75" customHeight="1">
      <c r="A127" s="1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10"/>
      <c r="AD127" s="10"/>
      <c r="AE127" s="12"/>
      <c r="AF127" s="9"/>
      <c r="AG127" s="9"/>
      <c r="AH127" s="12"/>
      <c r="AI127" s="12"/>
    </row>
    <row r="128" spans="1:35" ht="15.75" customHeight="1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10"/>
      <c r="AD128" s="10"/>
      <c r="AE128" s="12"/>
      <c r="AF128" s="9"/>
      <c r="AG128" s="9"/>
      <c r="AH128" s="12"/>
      <c r="AI128" s="12"/>
    </row>
    <row r="129" spans="1:35" ht="15.75" customHeight="1">
      <c r="A129" s="1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10"/>
      <c r="AD129" s="10"/>
      <c r="AE129" s="12"/>
      <c r="AF129" s="9"/>
      <c r="AG129" s="9"/>
      <c r="AH129" s="12"/>
      <c r="AI129" s="12"/>
    </row>
    <row r="130" spans="1:35" ht="15.75" customHeight="1">
      <c r="A130" s="1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10"/>
      <c r="AD130" s="10"/>
      <c r="AE130" s="12"/>
      <c r="AF130" s="9"/>
      <c r="AG130" s="9"/>
      <c r="AH130" s="12"/>
      <c r="AI130" s="12"/>
    </row>
    <row r="131" spans="1:35" ht="15.75" customHeight="1">
      <c r="A131" s="1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10"/>
      <c r="AD131" s="10"/>
      <c r="AE131" s="12"/>
      <c r="AF131" s="9"/>
      <c r="AG131" s="9"/>
      <c r="AH131" s="12"/>
      <c r="AI131" s="12"/>
    </row>
    <row r="132" spans="1:35" ht="15.75" customHeight="1">
      <c r="A132" s="1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10"/>
      <c r="AD132" s="10"/>
      <c r="AE132" s="12"/>
      <c r="AF132" s="9"/>
      <c r="AG132" s="9"/>
      <c r="AH132" s="12"/>
      <c r="AI132" s="12"/>
    </row>
    <row r="133" spans="1:35" ht="15.75" customHeight="1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10"/>
      <c r="AD133" s="10"/>
      <c r="AE133" s="12"/>
      <c r="AF133" s="9"/>
      <c r="AG133" s="9"/>
      <c r="AH133" s="12"/>
      <c r="AI133" s="12"/>
    </row>
    <row r="134" spans="1:35" ht="15.75" customHeight="1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</row>
    <row r="135" spans="1:35" ht="15.75" customHeight="1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</row>
    <row r="136" spans="1:35" ht="15.75" customHeight="1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</row>
    <row r="137" spans="1:35" ht="15.75" customHeight="1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</row>
    <row r="138" spans="1:35" ht="15.75" customHeight="1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</row>
    <row r="139" spans="1:35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</row>
    <row r="140" spans="1:35" ht="15.75" customHeight="1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</row>
    <row r="141" spans="1:35" ht="15.75" customHeight="1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</row>
    <row r="142" spans="1:35" ht="15.75" customHeight="1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</row>
    <row r="143" spans="1:35" ht="15.75" customHeight="1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</row>
    <row r="144" spans="1:35" ht="15.75" customHeight="1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</row>
    <row r="145" spans="1:35" ht="15.75" customHeight="1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28</v>
      </c>
      <c r="E3" s="4">
        <v>1051</v>
      </c>
      <c r="F3" s="4">
        <v>28</v>
      </c>
      <c r="G3" s="4">
        <v>1051</v>
      </c>
      <c r="H3" s="4">
        <v>8.8000000000000007</v>
      </c>
      <c r="I3" s="4">
        <v>0.45</v>
      </c>
      <c r="J3" s="4">
        <v>0.37</v>
      </c>
      <c r="K3" s="4">
        <v>0.189</v>
      </c>
      <c r="L3" s="4">
        <v>0.45900000000000002</v>
      </c>
      <c r="M3" s="4">
        <v>2.9</v>
      </c>
      <c r="N3" s="4">
        <v>6.8</v>
      </c>
      <c r="O3" s="4">
        <v>23</v>
      </c>
      <c r="P3" s="4">
        <v>2.8</v>
      </c>
      <c r="Q3" s="4">
        <v>0.1</v>
      </c>
      <c r="R3" s="4">
        <v>34.1</v>
      </c>
      <c r="S3" s="4">
        <v>15.2</v>
      </c>
      <c r="T3" s="4">
        <v>79</v>
      </c>
      <c r="U3" s="4">
        <v>101</v>
      </c>
      <c r="V3" s="4"/>
      <c r="W3" s="4">
        <v>-0.9</v>
      </c>
      <c r="X3" s="4">
        <v>-0.3</v>
      </c>
      <c r="Y3" s="4">
        <v>-1.1000000000000001</v>
      </c>
      <c r="Z3" s="4">
        <v>-4.2000000000000003E-2</v>
      </c>
      <c r="AA3" s="13">
        <f>(I3/TOTAL_BASIC!$D$301)*100</f>
        <v>91.203688202981965</v>
      </c>
      <c r="AB3" s="5">
        <f t="shared" ref="AB3" si="0">(T3/100)</f>
        <v>0.79</v>
      </c>
      <c r="AC3" s="3">
        <f t="shared" ref="AC3:AC100" si="1">T3-U3</f>
        <v>-22</v>
      </c>
      <c r="AD3" s="9">
        <f>2*I3</f>
        <v>0.9</v>
      </c>
      <c r="AE3" s="16">
        <f>IF(S3=0,0,O3/S3)</f>
        <v>1.5131578947368423</v>
      </c>
      <c r="AF3" s="16">
        <f>IF(R3=0,0,O3/R3)</f>
        <v>0.67448680351906154</v>
      </c>
      <c r="AG3" s="9"/>
      <c r="AH3" s="9"/>
      <c r="AI3" s="12">
        <f>(PERCENTRANK(F$3:F$298,F3))*100</f>
        <v>40</v>
      </c>
      <c r="AJ3" s="12">
        <f>(PERCENTRANK(G$3:G$298,G3))*100</f>
        <v>100</v>
      </c>
      <c r="AK3" s="12">
        <f t="shared" ref="AK3:BI18" si="2">(PERCENTRANK(H$3:H$298,H3))*100</f>
        <v>24</v>
      </c>
      <c r="AL3" s="12">
        <f t="shared" si="2"/>
        <v>37.299999999999997</v>
      </c>
      <c r="AM3" s="12">
        <f t="shared" si="2"/>
        <v>13.3</v>
      </c>
      <c r="AN3" s="12">
        <f t="shared" si="2"/>
        <v>60</v>
      </c>
      <c r="AO3" s="12">
        <f t="shared" si="2"/>
        <v>78.600000000000009</v>
      </c>
      <c r="AP3" s="12">
        <f t="shared" si="2"/>
        <v>13.3</v>
      </c>
      <c r="AQ3" s="12">
        <f t="shared" si="2"/>
        <v>21.3</v>
      </c>
      <c r="AR3" s="12">
        <f t="shared" si="2"/>
        <v>86.6</v>
      </c>
      <c r="AS3" s="12">
        <f t="shared" si="2"/>
        <v>60</v>
      </c>
      <c r="AT3" s="12">
        <f t="shared" si="2"/>
        <v>2.6</v>
      </c>
      <c r="AU3" s="12">
        <f>100-(PERCENTRANK(R$3:R$298,R3))*100</f>
        <v>8</v>
      </c>
      <c r="AV3" s="12">
        <f t="shared" si="2"/>
        <v>18.600000000000001</v>
      </c>
      <c r="AW3" s="12">
        <f t="shared" si="2"/>
        <v>16</v>
      </c>
      <c r="AX3" s="12">
        <f>100-(PERCENTRANK(U$3:U$298,U3))*100</f>
        <v>14.700000000000003</v>
      </c>
      <c r="AY3" s="12"/>
      <c r="AZ3" s="12">
        <f t="shared" si="2"/>
        <v>2.6</v>
      </c>
      <c r="BA3" s="12">
        <f t="shared" si="2"/>
        <v>4</v>
      </c>
      <c r="BB3" s="12">
        <f t="shared" si="2"/>
        <v>1.3</v>
      </c>
      <c r="BC3" s="12">
        <f t="shared" si="2"/>
        <v>10.6</v>
      </c>
      <c r="BD3" s="12">
        <f t="shared" si="2"/>
        <v>37.299999999999997</v>
      </c>
      <c r="BE3" s="12">
        <f t="shared" si="2"/>
        <v>16</v>
      </c>
      <c r="BF3" s="12">
        <f t="shared" si="2"/>
        <v>10.6</v>
      </c>
      <c r="BG3" s="12">
        <f t="shared" si="2"/>
        <v>37.299999999999997</v>
      </c>
      <c r="BH3" s="12">
        <f t="shared" si="2"/>
        <v>94.6</v>
      </c>
      <c r="BI3" s="12">
        <f t="shared" si="2"/>
        <v>50.6</v>
      </c>
    </row>
    <row r="4" spans="1:61" ht="14.25">
      <c r="A4" s="1" t="s">
        <v>87</v>
      </c>
      <c r="B4" s="3" t="s">
        <v>88</v>
      </c>
      <c r="C4" s="4" t="s">
        <v>8</v>
      </c>
      <c r="D4" s="4">
        <v>28</v>
      </c>
      <c r="E4" s="4">
        <v>1011</v>
      </c>
      <c r="F4" s="4">
        <v>28</v>
      </c>
      <c r="G4" s="4">
        <v>1011</v>
      </c>
      <c r="H4" s="4">
        <v>20.399999999999999</v>
      </c>
      <c r="I4" s="4">
        <v>0.504</v>
      </c>
      <c r="J4" s="4">
        <v>0.47899999999999998</v>
      </c>
      <c r="K4" s="4">
        <v>0.19400000000000001</v>
      </c>
      <c r="L4" s="4">
        <v>0.22500000000000001</v>
      </c>
      <c r="M4" s="4">
        <v>6.1</v>
      </c>
      <c r="N4" s="4">
        <v>9.5</v>
      </c>
      <c r="O4" s="4">
        <v>26.3</v>
      </c>
      <c r="P4" s="4">
        <v>2.2999999999999998</v>
      </c>
      <c r="Q4" s="4">
        <v>1.7</v>
      </c>
      <c r="R4" s="4">
        <v>18.5</v>
      </c>
      <c r="S4" s="4">
        <v>25.1</v>
      </c>
      <c r="T4" s="4">
        <v>96</v>
      </c>
      <c r="U4" s="4">
        <v>92</v>
      </c>
      <c r="V4" s="4"/>
      <c r="W4" s="4">
        <v>2.4</v>
      </c>
      <c r="X4" s="4">
        <v>1.4</v>
      </c>
      <c r="Y4" s="4">
        <v>3.8</v>
      </c>
      <c r="Z4" s="4">
        <v>0.151</v>
      </c>
      <c r="AA4" s="13">
        <f>(I4/TOTAL_BASIC!$D$301)*100</f>
        <v>102.1481307873398</v>
      </c>
      <c r="AB4" s="5">
        <f t="shared" ref="AB4:AB67" si="3">(T4/100)</f>
        <v>0.96</v>
      </c>
      <c r="AC4" s="3">
        <f t="shared" si="1"/>
        <v>4</v>
      </c>
      <c r="AD4" s="9">
        <f t="shared" ref="AD4:AD67" si="4">2*I4</f>
        <v>1.008</v>
      </c>
      <c r="AE4" s="16">
        <f t="shared" ref="AE4:AE67" si="5">IF(S4=0,0,O4/S4)</f>
        <v>1.047808764940239</v>
      </c>
      <c r="AF4" s="16">
        <f t="shared" ref="AF4:AF67" si="6">IF(R4=0,0,O4/R4)</f>
        <v>1.4216216216216218</v>
      </c>
      <c r="AG4" s="9"/>
      <c r="AH4" s="9"/>
      <c r="AI4" s="12">
        <f t="shared" ref="AI4:AI67" si="7">(PERCENTRANK(F$3:F$298,F4))*100</f>
        <v>40</v>
      </c>
      <c r="AJ4" s="12">
        <f t="shared" ref="AJ4:AN67" si="8">(PERCENTRANK(G$3:G$298,G4))*100</f>
        <v>98.6</v>
      </c>
      <c r="AK4" s="12">
        <f t="shared" si="2"/>
        <v>90.600000000000009</v>
      </c>
      <c r="AL4" s="12">
        <f t="shared" si="2"/>
        <v>62.6</v>
      </c>
      <c r="AM4" s="12">
        <f t="shared" si="2"/>
        <v>78.600000000000009</v>
      </c>
      <c r="AN4" s="12">
        <f t="shared" si="2"/>
        <v>61.3</v>
      </c>
      <c r="AO4" s="12">
        <f t="shared" si="2"/>
        <v>24</v>
      </c>
      <c r="AP4" s="12">
        <f t="shared" si="2"/>
        <v>45.300000000000004</v>
      </c>
      <c r="AQ4" s="12">
        <f t="shared" si="2"/>
        <v>53.300000000000004</v>
      </c>
      <c r="AR4" s="12">
        <f t="shared" si="2"/>
        <v>90.600000000000009</v>
      </c>
      <c r="AS4" s="12">
        <f t="shared" si="2"/>
        <v>44</v>
      </c>
      <c r="AT4" s="12">
        <f t="shared" si="2"/>
        <v>70.599999999999994</v>
      </c>
      <c r="AU4" s="12">
        <f t="shared" ref="AU4:AU67" si="9">100-(PERCENTRANK(R$3:R$298,R4))*100</f>
        <v>62.7</v>
      </c>
      <c r="AV4" s="12">
        <f t="shared" si="2"/>
        <v>93.300000000000011</v>
      </c>
      <c r="AW4" s="12">
        <f t="shared" si="2"/>
        <v>66.600000000000009</v>
      </c>
      <c r="AX4" s="12">
        <f t="shared" ref="AX4:AX67" si="10">100-(PERCENTRANK(U$3:U$298,U4))*100</f>
        <v>60</v>
      </c>
      <c r="AY4" s="9"/>
      <c r="AZ4" s="12">
        <f t="shared" si="2"/>
        <v>88</v>
      </c>
      <c r="BA4" s="12">
        <f t="shared" si="2"/>
        <v>82.6</v>
      </c>
      <c r="BB4" s="12">
        <f t="shared" ref="BB4:BE67" si="11">(PERCENTRANK(Y$3:Y$298,Y4))*100</f>
        <v>89.3</v>
      </c>
      <c r="BC4" s="12">
        <f t="shared" si="11"/>
        <v>70.599999999999994</v>
      </c>
      <c r="BD4" s="12">
        <f t="shared" si="11"/>
        <v>62.6</v>
      </c>
      <c r="BE4" s="12">
        <f t="shared" si="11"/>
        <v>66.600000000000009</v>
      </c>
      <c r="BF4" s="12">
        <f t="shared" ref="BF4:BI67" si="12">(PERCENTRANK(AC$3:AC$298,AC4))*100</f>
        <v>68</v>
      </c>
      <c r="BG4" s="12">
        <f t="shared" si="12"/>
        <v>62.6</v>
      </c>
      <c r="BH4" s="12">
        <f t="shared" si="12"/>
        <v>78.600000000000009</v>
      </c>
      <c r="BI4" s="12">
        <f t="shared" si="12"/>
        <v>94.6</v>
      </c>
    </row>
    <row r="5" spans="1:61" ht="14.25">
      <c r="A5" s="1" t="s">
        <v>89</v>
      </c>
      <c r="B5" s="3" t="s">
        <v>90</v>
      </c>
      <c r="C5" s="4" t="s">
        <v>8</v>
      </c>
      <c r="D5" s="4">
        <v>28</v>
      </c>
      <c r="E5" s="4">
        <v>982</v>
      </c>
      <c r="F5" s="4">
        <v>28</v>
      </c>
      <c r="G5" s="4">
        <v>982</v>
      </c>
      <c r="H5" s="4">
        <v>32.200000000000003</v>
      </c>
      <c r="I5" s="4">
        <v>0.629</v>
      </c>
      <c r="J5" s="4">
        <v>0.55300000000000005</v>
      </c>
      <c r="K5" s="4">
        <v>0.39900000000000002</v>
      </c>
      <c r="L5" s="4">
        <v>0.49</v>
      </c>
      <c r="M5" s="4">
        <v>4.3</v>
      </c>
      <c r="N5" s="4">
        <v>7.5</v>
      </c>
      <c r="O5" s="4">
        <v>31.4</v>
      </c>
      <c r="P5" s="4">
        <v>3.4</v>
      </c>
      <c r="Q5" s="4">
        <v>0.5</v>
      </c>
      <c r="R5" s="4">
        <v>18.100000000000001</v>
      </c>
      <c r="S5" s="4">
        <v>28.7</v>
      </c>
      <c r="T5" s="4">
        <v>119</v>
      </c>
      <c r="U5" s="4">
        <v>92</v>
      </c>
      <c r="V5" s="4"/>
      <c r="W5" s="4">
        <v>8.1</v>
      </c>
      <c r="X5" s="4">
        <v>1.3</v>
      </c>
      <c r="Y5" s="4">
        <v>9.4</v>
      </c>
      <c r="Z5" s="4">
        <v>0.38500000000000001</v>
      </c>
      <c r="AA5" s="13">
        <f>(I5/TOTAL_BASIC!$D$301)*100</f>
        <v>127.48248862150145</v>
      </c>
      <c r="AB5" s="5">
        <f t="shared" si="3"/>
        <v>1.19</v>
      </c>
      <c r="AC5" s="3">
        <f t="shared" si="1"/>
        <v>27</v>
      </c>
      <c r="AD5" s="9">
        <f t="shared" si="4"/>
        <v>1.258</v>
      </c>
      <c r="AE5" s="16">
        <f t="shared" si="5"/>
        <v>1.0940766550522647</v>
      </c>
      <c r="AF5" s="16">
        <f t="shared" si="6"/>
        <v>1.7348066298342539</v>
      </c>
      <c r="AG5" s="9"/>
      <c r="AH5" s="9"/>
      <c r="AI5" s="12">
        <f t="shared" si="7"/>
        <v>40</v>
      </c>
      <c r="AJ5" s="12">
        <f t="shared" si="8"/>
        <v>97.3</v>
      </c>
      <c r="AK5" s="12">
        <f t="shared" si="2"/>
        <v>100</v>
      </c>
      <c r="AL5" s="12">
        <f t="shared" si="2"/>
        <v>98.6</v>
      </c>
      <c r="AM5" s="12">
        <f t="shared" si="2"/>
        <v>96</v>
      </c>
      <c r="AN5" s="12">
        <f t="shared" si="2"/>
        <v>82.6</v>
      </c>
      <c r="AO5" s="12">
        <f t="shared" si="2"/>
        <v>82.6</v>
      </c>
      <c r="AP5" s="12">
        <f t="shared" si="2"/>
        <v>29.299999999999997</v>
      </c>
      <c r="AQ5" s="12">
        <f t="shared" si="2"/>
        <v>32</v>
      </c>
      <c r="AR5" s="12">
        <f t="shared" si="2"/>
        <v>98.6</v>
      </c>
      <c r="AS5" s="12">
        <f t="shared" si="2"/>
        <v>80</v>
      </c>
      <c r="AT5" s="12">
        <f t="shared" si="2"/>
        <v>29.299999999999997</v>
      </c>
      <c r="AU5" s="12">
        <f t="shared" si="9"/>
        <v>68</v>
      </c>
      <c r="AV5" s="12">
        <f t="shared" si="2"/>
        <v>100</v>
      </c>
      <c r="AW5" s="12">
        <f t="shared" si="2"/>
        <v>100</v>
      </c>
      <c r="AX5" s="12">
        <f t="shared" si="10"/>
        <v>60</v>
      </c>
      <c r="AY5" s="9"/>
      <c r="AZ5" s="12">
        <f t="shared" si="2"/>
        <v>100</v>
      </c>
      <c r="BA5" s="12">
        <f t="shared" si="2"/>
        <v>80</v>
      </c>
      <c r="BB5" s="12">
        <f t="shared" si="11"/>
        <v>100</v>
      </c>
      <c r="BC5" s="12">
        <f t="shared" si="11"/>
        <v>100</v>
      </c>
      <c r="BD5" s="12">
        <f t="shared" si="11"/>
        <v>98.6</v>
      </c>
      <c r="BE5" s="12">
        <f t="shared" si="11"/>
        <v>100</v>
      </c>
      <c r="BF5" s="12">
        <f t="shared" si="12"/>
        <v>100</v>
      </c>
      <c r="BG5" s="12">
        <f t="shared" si="12"/>
        <v>98.6</v>
      </c>
      <c r="BH5" s="12">
        <f t="shared" si="12"/>
        <v>81.3</v>
      </c>
      <c r="BI5" s="12">
        <f t="shared" si="12"/>
        <v>98.6</v>
      </c>
    </row>
    <row r="6" spans="1:61" ht="14.25">
      <c r="A6" s="1" t="s">
        <v>91</v>
      </c>
      <c r="B6" s="3" t="s">
        <v>86</v>
      </c>
      <c r="C6" s="4" t="s">
        <v>92</v>
      </c>
      <c r="D6" s="4">
        <v>28</v>
      </c>
      <c r="E6" s="4">
        <v>981</v>
      </c>
      <c r="F6" s="4">
        <v>28</v>
      </c>
      <c r="G6" s="4">
        <v>981</v>
      </c>
      <c r="H6" s="4">
        <v>16.899999999999999</v>
      </c>
      <c r="I6" s="4">
        <v>0.50800000000000001</v>
      </c>
      <c r="J6" s="4">
        <v>0.45</v>
      </c>
      <c r="K6" s="4">
        <v>0.128</v>
      </c>
      <c r="L6" s="4">
        <v>0.34300000000000003</v>
      </c>
      <c r="M6" s="4">
        <v>8.3000000000000007</v>
      </c>
      <c r="N6" s="4">
        <v>8.6999999999999993</v>
      </c>
      <c r="O6" s="4">
        <v>16.399999999999999</v>
      </c>
      <c r="P6" s="4">
        <v>2.1</v>
      </c>
      <c r="Q6" s="4">
        <v>0.7</v>
      </c>
      <c r="R6" s="4">
        <v>18.8</v>
      </c>
      <c r="S6" s="4">
        <v>20.100000000000001</v>
      </c>
      <c r="T6" s="4">
        <v>100</v>
      </c>
      <c r="U6" s="4">
        <v>103</v>
      </c>
      <c r="V6" s="4"/>
      <c r="W6" s="4">
        <v>2.5</v>
      </c>
      <c r="X6" s="4">
        <v>-0.5</v>
      </c>
      <c r="Y6" s="4">
        <v>1.9</v>
      </c>
      <c r="Z6" s="4">
        <v>7.9000000000000001E-2</v>
      </c>
      <c r="AA6" s="13">
        <f>(I6/TOTAL_BASIC!$D$301)*100</f>
        <v>102.95883023803296</v>
      </c>
      <c r="AB6" s="5">
        <f t="shared" si="3"/>
        <v>1</v>
      </c>
      <c r="AC6" s="3">
        <f t="shared" si="1"/>
        <v>-3</v>
      </c>
      <c r="AD6" s="9">
        <f t="shared" si="4"/>
        <v>1.016</v>
      </c>
      <c r="AE6" s="16">
        <f t="shared" si="5"/>
        <v>0.81592039800995009</v>
      </c>
      <c r="AF6" s="16">
        <f t="shared" si="6"/>
        <v>0.87234042553191482</v>
      </c>
      <c r="AG6" s="9"/>
      <c r="AH6" s="9"/>
      <c r="AI6" s="12">
        <f t="shared" si="7"/>
        <v>40</v>
      </c>
      <c r="AJ6" s="12">
        <f t="shared" si="8"/>
        <v>96</v>
      </c>
      <c r="AK6" s="12">
        <f t="shared" si="2"/>
        <v>66.600000000000009</v>
      </c>
      <c r="AL6" s="12">
        <f t="shared" si="2"/>
        <v>64</v>
      </c>
      <c r="AM6" s="12">
        <f t="shared" si="2"/>
        <v>52</v>
      </c>
      <c r="AN6" s="12">
        <f t="shared" si="2"/>
        <v>49.3</v>
      </c>
      <c r="AO6" s="12">
        <f t="shared" si="2"/>
        <v>60</v>
      </c>
      <c r="AP6" s="12">
        <f t="shared" si="2"/>
        <v>66.600000000000009</v>
      </c>
      <c r="AQ6" s="12">
        <f t="shared" si="2"/>
        <v>46.6</v>
      </c>
      <c r="AR6" s="12">
        <f t="shared" si="2"/>
        <v>65.3</v>
      </c>
      <c r="AS6" s="12">
        <f t="shared" si="2"/>
        <v>30.599999999999998</v>
      </c>
      <c r="AT6" s="12">
        <f t="shared" si="2"/>
        <v>40</v>
      </c>
      <c r="AU6" s="12">
        <f t="shared" si="9"/>
        <v>60</v>
      </c>
      <c r="AV6" s="12">
        <f t="shared" si="2"/>
        <v>54.6</v>
      </c>
      <c r="AW6" s="12">
        <f t="shared" si="2"/>
        <v>80</v>
      </c>
      <c r="AX6" s="12">
        <f t="shared" si="10"/>
        <v>5.4000000000000057</v>
      </c>
      <c r="AY6" s="9"/>
      <c r="AZ6" s="12">
        <f t="shared" si="2"/>
        <v>90.600000000000009</v>
      </c>
      <c r="BA6" s="12">
        <f t="shared" si="2"/>
        <v>1.3</v>
      </c>
      <c r="BB6" s="12">
        <f t="shared" si="11"/>
        <v>64</v>
      </c>
      <c r="BC6" s="12">
        <f t="shared" si="11"/>
        <v>50.6</v>
      </c>
      <c r="BD6" s="12">
        <f t="shared" si="11"/>
        <v>64</v>
      </c>
      <c r="BE6" s="12">
        <f t="shared" si="11"/>
        <v>80</v>
      </c>
      <c r="BF6" s="12">
        <f t="shared" si="12"/>
        <v>50.6</v>
      </c>
      <c r="BG6" s="12">
        <f t="shared" si="12"/>
        <v>64</v>
      </c>
      <c r="BH6" s="12">
        <f t="shared" si="12"/>
        <v>61.3</v>
      </c>
      <c r="BI6" s="12">
        <f t="shared" si="12"/>
        <v>73.3</v>
      </c>
    </row>
    <row r="7" spans="1:61" ht="14.25">
      <c r="A7" s="1" t="s">
        <v>93</v>
      </c>
      <c r="B7" s="3" t="s">
        <v>94</v>
      </c>
      <c r="C7" s="4" t="s">
        <v>8</v>
      </c>
      <c r="D7" s="4">
        <v>27</v>
      </c>
      <c r="E7" s="4">
        <v>966</v>
      </c>
      <c r="F7" s="4">
        <v>27</v>
      </c>
      <c r="G7" s="4">
        <v>966</v>
      </c>
      <c r="H7" s="4">
        <v>16.100000000000001</v>
      </c>
      <c r="I7" s="4">
        <v>0.47799999999999998</v>
      </c>
      <c r="J7" s="4">
        <v>0.41899999999999998</v>
      </c>
      <c r="K7" s="4">
        <v>0.48099999999999998</v>
      </c>
      <c r="L7" s="4">
        <v>0.35299999999999998</v>
      </c>
      <c r="M7" s="4">
        <v>2.8</v>
      </c>
      <c r="N7" s="4">
        <v>6.3</v>
      </c>
      <c r="O7" s="4">
        <v>29.2</v>
      </c>
      <c r="P7" s="4">
        <v>3.9</v>
      </c>
      <c r="Q7" s="4">
        <v>0.3</v>
      </c>
      <c r="R7" s="4">
        <v>19</v>
      </c>
      <c r="S7" s="4">
        <v>19.600000000000001</v>
      </c>
      <c r="T7" s="4">
        <v>96</v>
      </c>
      <c r="U7" s="4">
        <v>86</v>
      </c>
      <c r="V7" s="4"/>
      <c r="W7" s="4">
        <v>1.8</v>
      </c>
      <c r="X7" s="4">
        <v>2.1</v>
      </c>
      <c r="Y7" s="4">
        <v>3.9</v>
      </c>
      <c r="Z7" s="4">
        <v>0.16300000000000001</v>
      </c>
      <c r="AA7" s="13">
        <f>(I7/TOTAL_BASIC!$D$301)*100</f>
        <v>96.878584357834157</v>
      </c>
      <c r="AB7" s="5">
        <f t="shared" si="3"/>
        <v>0.96</v>
      </c>
      <c r="AC7" s="3">
        <f t="shared" si="1"/>
        <v>10</v>
      </c>
      <c r="AD7" s="9">
        <f t="shared" si="4"/>
        <v>0.95599999999999996</v>
      </c>
      <c r="AE7" s="16">
        <f t="shared" si="5"/>
        <v>1.4897959183673468</v>
      </c>
      <c r="AF7" s="16">
        <f t="shared" si="6"/>
        <v>1.5368421052631578</v>
      </c>
      <c r="AG7" s="9"/>
      <c r="AH7" s="9"/>
      <c r="AI7" s="12">
        <f t="shared" si="7"/>
        <v>33.300000000000004</v>
      </c>
      <c r="AJ7" s="12">
        <f t="shared" si="8"/>
        <v>94.6</v>
      </c>
      <c r="AK7" s="12">
        <f t="shared" si="2"/>
        <v>61.3</v>
      </c>
      <c r="AL7" s="12">
        <f t="shared" si="2"/>
        <v>46.6</v>
      </c>
      <c r="AM7" s="12">
        <f t="shared" si="2"/>
        <v>41.3</v>
      </c>
      <c r="AN7" s="12">
        <f t="shared" si="2"/>
        <v>90.600000000000009</v>
      </c>
      <c r="AO7" s="12">
        <f t="shared" si="2"/>
        <v>62.6</v>
      </c>
      <c r="AP7" s="12">
        <f t="shared" si="2"/>
        <v>12</v>
      </c>
      <c r="AQ7" s="12">
        <f t="shared" si="2"/>
        <v>17.299999999999997</v>
      </c>
      <c r="AR7" s="12">
        <f t="shared" si="2"/>
        <v>96</v>
      </c>
      <c r="AS7" s="12">
        <f t="shared" si="2"/>
        <v>90.600000000000009</v>
      </c>
      <c r="AT7" s="12">
        <f t="shared" si="2"/>
        <v>13.3</v>
      </c>
      <c r="AU7" s="12">
        <f t="shared" si="9"/>
        <v>57.4</v>
      </c>
      <c r="AV7" s="12">
        <f t="shared" si="2"/>
        <v>50.6</v>
      </c>
      <c r="AW7" s="12">
        <f t="shared" si="2"/>
        <v>66.600000000000009</v>
      </c>
      <c r="AX7" s="12">
        <f t="shared" si="10"/>
        <v>89.4</v>
      </c>
      <c r="AY7" s="9"/>
      <c r="AZ7" s="12">
        <f t="shared" si="2"/>
        <v>76</v>
      </c>
      <c r="BA7" s="12">
        <f t="shared" si="2"/>
        <v>94.6</v>
      </c>
      <c r="BB7" s="12">
        <f t="shared" si="11"/>
        <v>93.300000000000011</v>
      </c>
      <c r="BC7" s="12">
        <f t="shared" si="11"/>
        <v>76</v>
      </c>
      <c r="BD7" s="12">
        <f t="shared" si="11"/>
        <v>46.6</v>
      </c>
      <c r="BE7" s="12">
        <f t="shared" si="11"/>
        <v>66.600000000000009</v>
      </c>
      <c r="BF7" s="12">
        <f t="shared" si="12"/>
        <v>76</v>
      </c>
      <c r="BG7" s="12">
        <f t="shared" si="12"/>
        <v>46.6</v>
      </c>
      <c r="BH7" s="12">
        <f t="shared" si="12"/>
        <v>92</v>
      </c>
      <c r="BI7" s="12">
        <f t="shared" si="12"/>
        <v>97.3</v>
      </c>
    </row>
    <row r="8" spans="1:61" ht="14.25">
      <c r="A8" s="1" t="s">
        <v>95</v>
      </c>
      <c r="B8" s="3" t="s">
        <v>96</v>
      </c>
      <c r="C8" s="4" t="s">
        <v>92</v>
      </c>
      <c r="D8" s="4">
        <v>28</v>
      </c>
      <c r="E8" s="4">
        <v>944</v>
      </c>
      <c r="F8" s="4">
        <v>28</v>
      </c>
      <c r="G8" s="4">
        <v>944</v>
      </c>
      <c r="H8" s="4">
        <v>18.600000000000001</v>
      </c>
      <c r="I8" s="4">
        <v>0.58399999999999996</v>
      </c>
      <c r="J8" s="4">
        <v>0.53600000000000003</v>
      </c>
      <c r="K8" s="4">
        <v>0.29099999999999998</v>
      </c>
      <c r="L8" s="4">
        <v>0.28399999999999997</v>
      </c>
      <c r="M8" s="4">
        <v>3.3</v>
      </c>
      <c r="N8" s="4">
        <v>7.5</v>
      </c>
      <c r="O8" s="4">
        <v>14.4</v>
      </c>
      <c r="P8" s="4">
        <v>2.2999999999999998</v>
      </c>
      <c r="Q8" s="4">
        <v>0.7</v>
      </c>
      <c r="R8" s="4">
        <v>19.2</v>
      </c>
      <c r="S8" s="4">
        <v>20.100000000000001</v>
      </c>
      <c r="T8" s="4">
        <v>104</v>
      </c>
      <c r="U8" s="4">
        <v>94</v>
      </c>
      <c r="V8" s="4"/>
      <c r="W8" s="4">
        <v>2.9</v>
      </c>
      <c r="X8" s="4">
        <v>0.9</v>
      </c>
      <c r="Y8" s="4">
        <v>3.8</v>
      </c>
      <c r="Z8" s="4">
        <v>0.161</v>
      </c>
      <c r="AA8" s="13">
        <f>(I8/TOTAL_BASIC!$D$301)*100</f>
        <v>118.36211980120324</v>
      </c>
      <c r="AB8" s="5">
        <f t="shared" si="3"/>
        <v>1.04</v>
      </c>
      <c r="AC8" s="3">
        <f t="shared" si="1"/>
        <v>10</v>
      </c>
      <c r="AD8" s="9">
        <f t="shared" si="4"/>
        <v>1.1679999999999999</v>
      </c>
      <c r="AE8" s="16">
        <f t="shared" si="5"/>
        <v>0.71641791044776115</v>
      </c>
      <c r="AF8" s="16">
        <f t="shared" si="6"/>
        <v>0.75</v>
      </c>
      <c r="AG8" s="9"/>
      <c r="AH8" s="9"/>
      <c r="AI8" s="12">
        <f t="shared" si="7"/>
        <v>40</v>
      </c>
      <c r="AJ8" s="12">
        <f t="shared" si="8"/>
        <v>93.300000000000011</v>
      </c>
      <c r="AK8" s="12">
        <f t="shared" si="2"/>
        <v>78.600000000000009</v>
      </c>
      <c r="AL8" s="12">
        <f t="shared" si="2"/>
        <v>92</v>
      </c>
      <c r="AM8" s="12">
        <f t="shared" si="2"/>
        <v>92</v>
      </c>
      <c r="AN8" s="12">
        <f t="shared" si="2"/>
        <v>72</v>
      </c>
      <c r="AO8" s="12">
        <f t="shared" si="2"/>
        <v>37.299999999999997</v>
      </c>
      <c r="AP8" s="12">
        <f t="shared" si="2"/>
        <v>16</v>
      </c>
      <c r="AQ8" s="12">
        <f t="shared" si="2"/>
        <v>32</v>
      </c>
      <c r="AR8" s="12">
        <f t="shared" si="2"/>
        <v>54.6</v>
      </c>
      <c r="AS8" s="12">
        <f t="shared" si="2"/>
        <v>44</v>
      </c>
      <c r="AT8" s="12">
        <f t="shared" si="2"/>
        <v>40</v>
      </c>
      <c r="AU8" s="12">
        <f t="shared" si="9"/>
        <v>54.699999999999996</v>
      </c>
      <c r="AV8" s="12">
        <f t="shared" si="2"/>
        <v>54.6</v>
      </c>
      <c r="AW8" s="12">
        <f t="shared" si="2"/>
        <v>86.6</v>
      </c>
      <c r="AX8" s="12">
        <f t="shared" si="10"/>
        <v>40</v>
      </c>
      <c r="AY8" s="9"/>
      <c r="AZ8" s="12">
        <f t="shared" si="2"/>
        <v>94.6</v>
      </c>
      <c r="BA8" s="12">
        <f t="shared" si="2"/>
        <v>66.600000000000009</v>
      </c>
      <c r="BB8" s="12">
        <f t="shared" si="11"/>
        <v>89.3</v>
      </c>
      <c r="BC8" s="12">
        <f t="shared" si="11"/>
        <v>74.599999999999994</v>
      </c>
      <c r="BD8" s="12">
        <f t="shared" si="11"/>
        <v>92</v>
      </c>
      <c r="BE8" s="12">
        <f t="shared" si="11"/>
        <v>86.6</v>
      </c>
      <c r="BF8" s="12">
        <f t="shared" si="12"/>
        <v>76</v>
      </c>
      <c r="BG8" s="12">
        <f t="shared" si="12"/>
        <v>92</v>
      </c>
      <c r="BH8" s="12">
        <f t="shared" si="12"/>
        <v>52</v>
      </c>
      <c r="BI8" s="12">
        <f t="shared" si="12"/>
        <v>62.6</v>
      </c>
    </row>
    <row r="9" spans="1:61" ht="14.25">
      <c r="A9" s="1" t="s">
        <v>97</v>
      </c>
      <c r="B9" s="3" t="s">
        <v>98</v>
      </c>
      <c r="C9" s="4" t="s">
        <v>99</v>
      </c>
      <c r="D9" s="4">
        <v>28</v>
      </c>
      <c r="E9" s="4">
        <v>939</v>
      </c>
      <c r="F9" s="4">
        <v>28</v>
      </c>
      <c r="G9" s="4">
        <v>939</v>
      </c>
      <c r="H9" s="4">
        <v>14.3</v>
      </c>
      <c r="I9" s="4">
        <v>0.435</v>
      </c>
      <c r="J9" s="4">
        <v>0.40100000000000002</v>
      </c>
      <c r="K9" s="4">
        <v>0.17799999999999999</v>
      </c>
      <c r="L9" s="4">
        <v>0.29699999999999999</v>
      </c>
      <c r="M9" s="4">
        <v>8.1</v>
      </c>
      <c r="N9" s="4">
        <v>13.3</v>
      </c>
      <c r="O9" s="4">
        <v>11.7</v>
      </c>
      <c r="P9" s="4">
        <v>1.5</v>
      </c>
      <c r="Q9" s="4">
        <v>4.5</v>
      </c>
      <c r="R9" s="4">
        <v>18</v>
      </c>
      <c r="S9" s="4">
        <v>23.4</v>
      </c>
      <c r="T9" s="4">
        <v>85</v>
      </c>
      <c r="U9" s="4">
        <v>87</v>
      </c>
      <c r="V9" s="4"/>
      <c r="W9" s="4">
        <v>0</v>
      </c>
      <c r="X9" s="4">
        <v>2</v>
      </c>
      <c r="Y9" s="4">
        <v>1.9</v>
      </c>
      <c r="Z9" s="4">
        <v>8.3000000000000004E-2</v>
      </c>
      <c r="AA9" s="13">
        <f>(I9/TOTAL_BASIC!$D$301)*100</f>
        <v>88.163565262882557</v>
      </c>
      <c r="AB9" s="5">
        <f t="shared" si="3"/>
        <v>0.85</v>
      </c>
      <c r="AC9" s="3">
        <f t="shared" si="1"/>
        <v>-2</v>
      </c>
      <c r="AD9" s="9">
        <f t="shared" si="4"/>
        <v>0.87</v>
      </c>
      <c r="AE9" s="16">
        <f t="shared" si="5"/>
        <v>0.5</v>
      </c>
      <c r="AF9" s="16">
        <f t="shared" si="6"/>
        <v>0.64999999999999991</v>
      </c>
      <c r="AG9" s="9"/>
      <c r="AH9" s="9"/>
      <c r="AI9" s="12">
        <f t="shared" si="7"/>
        <v>40</v>
      </c>
      <c r="AJ9" s="12">
        <f t="shared" si="8"/>
        <v>92</v>
      </c>
      <c r="AK9" s="12">
        <f t="shared" si="2"/>
        <v>54.6</v>
      </c>
      <c r="AL9" s="12">
        <f t="shared" si="2"/>
        <v>25.3</v>
      </c>
      <c r="AM9" s="12">
        <f t="shared" si="2"/>
        <v>29.299999999999997</v>
      </c>
      <c r="AN9" s="12">
        <f t="shared" si="2"/>
        <v>58.599999999999994</v>
      </c>
      <c r="AO9" s="12">
        <f t="shared" si="2"/>
        <v>42.6</v>
      </c>
      <c r="AP9" s="12">
        <f t="shared" si="2"/>
        <v>65.3</v>
      </c>
      <c r="AQ9" s="12">
        <f t="shared" si="2"/>
        <v>76</v>
      </c>
      <c r="AR9" s="12">
        <f t="shared" si="2"/>
        <v>36</v>
      </c>
      <c r="AS9" s="12">
        <f t="shared" si="2"/>
        <v>13.3</v>
      </c>
      <c r="AT9" s="12">
        <f t="shared" si="2"/>
        <v>94.6</v>
      </c>
      <c r="AU9" s="12">
        <f t="shared" si="9"/>
        <v>70.7</v>
      </c>
      <c r="AV9" s="12">
        <f t="shared" si="2"/>
        <v>84</v>
      </c>
      <c r="AW9" s="12">
        <f t="shared" si="2"/>
        <v>30.599999999999998</v>
      </c>
      <c r="AX9" s="12">
        <f t="shared" si="10"/>
        <v>85.4</v>
      </c>
      <c r="AY9" s="9"/>
      <c r="AZ9" s="12">
        <f t="shared" si="2"/>
        <v>29.299999999999997</v>
      </c>
      <c r="BA9" s="12">
        <f t="shared" ref="BA9:BD72" si="13">(PERCENTRANK(X$3:X$298,X9))*100</f>
        <v>92</v>
      </c>
      <c r="BB9" s="12">
        <f t="shared" si="11"/>
        <v>64</v>
      </c>
      <c r="BC9" s="12">
        <f t="shared" si="11"/>
        <v>53.300000000000004</v>
      </c>
      <c r="BD9" s="12">
        <f t="shared" si="11"/>
        <v>25.3</v>
      </c>
      <c r="BE9" s="12">
        <f t="shared" si="11"/>
        <v>30.599999999999998</v>
      </c>
      <c r="BF9" s="12">
        <f t="shared" si="12"/>
        <v>56.000000000000007</v>
      </c>
      <c r="BG9" s="12">
        <f t="shared" si="12"/>
        <v>25.3</v>
      </c>
      <c r="BH9" s="12">
        <f t="shared" si="12"/>
        <v>24</v>
      </c>
      <c r="BI9" s="12">
        <f t="shared" si="12"/>
        <v>45.300000000000004</v>
      </c>
    </row>
    <row r="10" spans="1:61" ht="14.25">
      <c r="A10" s="1" t="s">
        <v>100</v>
      </c>
      <c r="B10" s="3" t="s">
        <v>101</v>
      </c>
      <c r="C10" s="4" t="s">
        <v>92</v>
      </c>
      <c r="D10" s="4">
        <v>28</v>
      </c>
      <c r="E10" s="4">
        <v>936</v>
      </c>
      <c r="F10" s="4">
        <v>28</v>
      </c>
      <c r="G10" s="4">
        <v>936</v>
      </c>
      <c r="H10" s="4">
        <v>18.7</v>
      </c>
      <c r="I10" s="4">
        <v>0.44600000000000001</v>
      </c>
      <c r="J10" s="4">
        <v>0.38800000000000001</v>
      </c>
      <c r="K10" s="4">
        <v>0.114</v>
      </c>
      <c r="L10" s="4">
        <v>0.41199999999999998</v>
      </c>
      <c r="M10" s="4">
        <v>9</v>
      </c>
      <c r="N10" s="4">
        <v>13.9</v>
      </c>
      <c r="O10" s="4">
        <v>12.2</v>
      </c>
      <c r="P10" s="4">
        <v>2.7</v>
      </c>
      <c r="Q10" s="4">
        <v>0.5</v>
      </c>
      <c r="R10" s="4">
        <v>12.5</v>
      </c>
      <c r="S10" s="4">
        <v>27</v>
      </c>
      <c r="T10" s="4">
        <v>93</v>
      </c>
      <c r="U10" s="4">
        <v>97</v>
      </c>
      <c r="V10" s="4"/>
      <c r="W10" s="4">
        <v>1.6</v>
      </c>
      <c r="X10" s="4">
        <v>0.4</v>
      </c>
      <c r="Y10" s="4">
        <v>2</v>
      </c>
      <c r="Z10" s="4">
        <v>8.3000000000000004E-2</v>
      </c>
      <c r="AA10" s="13">
        <f>(I10/TOTAL_BASIC!$D$301)*100</f>
        <v>90.392988752288787</v>
      </c>
      <c r="AB10" s="5">
        <f t="shared" si="3"/>
        <v>0.93</v>
      </c>
      <c r="AC10" s="3">
        <f t="shared" si="1"/>
        <v>-4</v>
      </c>
      <c r="AD10" s="9">
        <f t="shared" si="4"/>
        <v>0.89200000000000002</v>
      </c>
      <c r="AE10" s="16">
        <f t="shared" si="5"/>
        <v>0.45185185185185184</v>
      </c>
      <c r="AF10" s="16">
        <f t="shared" si="6"/>
        <v>0.97599999999999998</v>
      </c>
      <c r="AG10" s="9"/>
      <c r="AH10" s="9"/>
      <c r="AI10" s="12">
        <f t="shared" si="7"/>
        <v>40</v>
      </c>
      <c r="AJ10" s="12">
        <f t="shared" si="8"/>
        <v>90.600000000000009</v>
      </c>
      <c r="AK10" s="12">
        <f t="shared" si="2"/>
        <v>81.3</v>
      </c>
      <c r="AL10" s="12">
        <f t="shared" si="2"/>
        <v>33.300000000000004</v>
      </c>
      <c r="AM10" s="12">
        <f t="shared" si="2"/>
        <v>20</v>
      </c>
      <c r="AN10" s="12">
        <f t="shared" si="2"/>
        <v>46.6</v>
      </c>
      <c r="AO10" s="12">
        <f t="shared" si="2"/>
        <v>72</v>
      </c>
      <c r="AP10" s="12">
        <f t="shared" si="2"/>
        <v>70.599999999999994</v>
      </c>
      <c r="AQ10" s="12">
        <f t="shared" si="2"/>
        <v>82.6</v>
      </c>
      <c r="AR10" s="12">
        <f t="shared" si="2"/>
        <v>41.3</v>
      </c>
      <c r="AS10" s="12">
        <f t="shared" si="2"/>
        <v>57.3</v>
      </c>
      <c r="AT10" s="12">
        <f t="shared" si="2"/>
        <v>29.299999999999997</v>
      </c>
      <c r="AU10" s="12">
        <f t="shared" si="9"/>
        <v>93.4</v>
      </c>
      <c r="AV10" s="12">
        <f t="shared" si="2"/>
        <v>96</v>
      </c>
      <c r="AW10" s="12">
        <f t="shared" si="2"/>
        <v>60</v>
      </c>
      <c r="AX10" s="12">
        <f t="shared" si="10"/>
        <v>24</v>
      </c>
      <c r="AY10" s="9"/>
      <c r="AZ10" s="12">
        <f t="shared" si="2"/>
        <v>74.599999999999994</v>
      </c>
      <c r="BA10" s="12">
        <f t="shared" si="13"/>
        <v>30.599999999999998</v>
      </c>
      <c r="BB10" s="12">
        <f t="shared" si="11"/>
        <v>68</v>
      </c>
      <c r="BC10" s="12">
        <f t="shared" si="11"/>
        <v>53.300000000000004</v>
      </c>
      <c r="BD10" s="12">
        <f t="shared" si="11"/>
        <v>33.300000000000004</v>
      </c>
      <c r="BE10" s="12">
        <f t="shared" si="11"/>
        <v>60</v>
      </c>
      <c r="BF10" s="12">
        <f t="shared" si="12"/>
        <v>45.300000000000004</v>
      </c>
      <c r="BG10" s="12">
        <f t="shared" si="12"/>
        <v>33.300000000000004</v>
      </c>
      <c r="BH10" s="12">
        <f t="shared" si="12"/>
        <v>20</v>
      </c>
      <c r="BI10" s="12">
        <f t="shared" si="12"/>
        <v>80</v>
      </c>
    </row>
    <row r="11" spans="1:61" ht="14.25">
      <c r="A11" s="1" t="s">
        <v>102</v>
      </c>
      <c r="B11" s="3" t="s">
        <v>98</v>
      </c>
      <c r="C11" s="4" t="s">
        <v>8</v>
      </c>
      <c r="D11" s="4">
        <v>28</v>
      </c>
      <c r="E11" s="4">
        <v>924</v>
      </c>
      <c r="F11" s="4">
        <v>28</v>
      </c>
      <c r="G11" s="4">
        <v>924</v>
      </c>
      <c r="H11" s="4">
        <v>16.3</v>
      </c>
      <c r="I11" s="4">
        <v>0.54100000000000004</v>
      </c>
      <c r="J11" s="4">
        <v>0.47799999999999998</v>
      </c>
      <c r="K11" s="4">
        <v>0.255</v>
      </c>
      <c r="L11" s="4">
        <v>0.73</v>
      </c>
      <c r="M11" s="4">
        <v>3.3</v>
      </c>
      <c r="N11" s="4">
        <v>7.7</v>
      </c>
      <c r="O11" s="4">
        <v>33.799999999999997</v>
      </c>
      <c r="P11" s="4">
        <v>5</v>
      </c>
      <c r="Q11" s="4">
        <v>0.2</v>
      </c>
      <c r="R11" s="4">
        <v>34.200000000000003</v>
      </c>
      <c r="S11" s="4">
        <v>13.4</v>
      </c>
      <c r="T11" s="4">
        <v>94</v>
      </c>
      <c r="U11" s="4">
        <v>84</v>
      </c>
      <c r="V11" s="4"/>
      <c r="W11" s="4">
        <v>1.1000000000000001</v>
      </c>
      <c r="X11" s="4">
        <v>2.4</v>
      </c>
      <c r="Y11" s="4">
        <v>3.5</v>
      </c>
      <c r="Z11" s="4">
        <v>0.14899999999999999</v>
      </c>
      <c r="AA11" s="13">
        <f>(I11/TOTAL_BASIC!$D$301)*100</f>
        <v>109.64710070625165</v>
      </c>
      <c r="AB11" s="5">
        <f t="shared" si="3"/>
        <v>0.94</v>
      </c>
      <c r="AC11" s="3">
        <f t="shared" si="1"/>
        <v>10</v>
      </c>
      <c r="AD11" s="9">
        <f t="shared" si="4"/>
        <v>1.0820000000000001</v>
      </c>
      <c r="AE11" s="16">
        <f t="shared" si="5"/>
        <v>2.522388059701492</v>
      </c>
      <c r="AF11" s="16">
        <f t="shared" si="6"/>
        <v>0.98830409356725135</v>
      </c>
      <c r="AG11" s="9"/>
      <c r="AH11" s="9"/>
      <c r="AI11" s="12">
        <f t="shared" si="7"/>
        <v>40</v>
      </c>
      <c r="AJ11" s="12">
        <f t="shared" si="8"/>
        <v>89.3</v>
      </c>
      <c r="AK11" s="12">
        <f t="shared" si="2"/>
        <v>64</v>
      </c>
      <c r="AL11" s="12">
        <f t="shared" si="2"/>
        <v>84</v>
      </c>
      <c r="AM11" s="12">
        <f t="shared" si="2"/>
        <v>77.3</v>
      </c>
      <c r="AN11" s="12">
        <f t="shared" si="2"/>
        <v>69.3</v>
      </c>
      <c r="AO11" s="12">
        <f t="shared" si="2"/>
        <v>98.6</v>
      </c>
      <c r="AP11" s="12">
        <f t="shared" si="2"/>
        <v>16</v>
      </c>
      <c r="AQ11" s="12">
        <f t="shared" si="2"/>
        <v>34.599999999999994</v>
      </c>
      <c r="AR11" s="12">
        <f t="shared" si="2"/>
        <v>100</v>
      </c>
      <c r="AS11" s="12">
        <f t="shared" si="2"/>
        <v>97.3</v>
      </c>
      <c r="AT11" s="12">
        <f t="shared" si="2"/>
        <v>6.6000000000000005</v>
      </c>
      <c r="AU11" s="12">
        <f t="shared" si="9"/>
        <v>6.6999999999999886</v>
      </c>
      <c r="AV11" s="12">
        <f t="shared" si="2"/>
        <v>8</v>
      </c>
      <c r="AW11" s="12">
        <f t="shared" si="2"/>
        <v>61.3</v>
      </c>
      <c r="AX11" s="12">
        <f t="shared" si="10"/>
        <v>96</v>
      </c>
      <c r="AY11" s="9"/>
      <c r="AZ11" s="12">
        <f t="shared" si="2"/>
        <v>64</v>
      </c>
      <c r="BA11" s="12">
        <f t="shared" si="13"/>
        <v>100</v>
      </c>
      <c r="BB11" s="12">
        <f t="shared" si="11"/>
        <v>80</v>
      </c>
      <c r="BC11" s="12">
        <f t="shared" si="11"/>
        <v>69.3</v>
      </c>
      <c r="BD11" s="12">
        <f t="shared" si="11"/>
        <v>84</v>
      </c>
      <c r="BE11" s="12">
        <f t="shared" si="11"/>
        <v>61.3</v>
      </c>
      <c r="BF11" s="12">
        <f t="shared" si="12"/>
        <v>76</v>
      </c>
      <c r="BG11" s="12">
        <f t="shared" si="12"/>
        <v>84</v>
      </c>
      <c r="BH11" s="12">
        <f t="shared" si="12"/>
        <v>100</v>
      </c>
      <c r="BI11" s="12">
        <f t="shared" si="12"/>
        <v>82.6</v>
      </c>
    </row>
    <row r="12" spans="1:61" ht="14.25">
      <c r="A12" s="1" t="s">
        <v>103</v>
      </c>
      <c r="B12" s="3" t="s">
        <v>101</v>
      </c>
      <c r="C12" s="4" t="s">
        <v>92</v>
      </c>
      <c r="D12" s="4">
        <v>28</v>
      </c>
      <c r="E12" s="4">
        <v>913</v>
      </c>
      <c r="F12" s="4">
        <v>28</v>
      </c>
      <c r="G12" s="4">
        <v>913</v>
      </c>
      <c r="H12" s="4">
        <v>18</v>
      </c>
      <c r="I12" s="4">
        <v>0.47599999999999998</v>
      </c>
      <c r="J12" s="4">
        <v>0.45</v>
      </c>
      <c r="K12" s="4">
        <v>0.32</v>
      </c>
      <c r="L12" s="4">
        <v>0.187</v>
      </c>
      <c r="M12" s="4">
        <v>6.7</v>
      </c>
      <c r="N12" s="4">
        <v>13</v>
      </c>
      <c r="O12" s="4">
        <v>15.2</v>
      </c>
      <c r="P12" s="4">
        <v>2.5</v>
      </c>
      <c r="Q12" s="4">
        <v>5.4</v>
      </c>
      <c r="R12" s="4">
        <v>18.600000000000001</v>
      </c>
      <c r="S12" s="4">
        <v>21.5</v>
      </c>
      <c r="T12" s="4">
        <v>90</v>
      </c>
      <c r="U12" s="4">
        <v>95</v>
      </c>
      <c r="V12" s="4"/>
      <c r="W12" s="4">
        <v>0.8</v>
      </c>
      <c r="X12" s="4">
        <v>0.8</v>
      </c>
      <c r="Y12" s="4">
        <v>1.5</v>
      </c>
      <c r="Z12" s="4">
        <v>6.7000000000000004E-2</v>
      </c>
      <c r="AA12" s="13">
        <f>(I12/TOTAL_BASIC!$D$301)*100</f>
        <v>96.473234632487575</v>
      </c>
      <c r="AB12" s="5">
        <f t="shared" si="3"/>
        <v>0.9</v>
      </c>
      <c r="AC12" s="3">
        <f t="shared" si="1"/>
        <v>-5</v>
      </c>
      <c r="AD12" s="9">
        <f t="shared" si="4"/>
        <v>0.95199999999999996</v>
      </c>
      <c r="AE12" s="16">
        <f t="shared" si="5"/>
        <v>0.7069767441860465</v>
      </c>
      <c r="AF12" s="16">
        <f t="shared" si="6"/>
        <v>0.81720430107526876</v>
      </c>
      <c r="AG12" s="9"/>
      <c r="AH12" s="9"/>
      <c r="AI12" s="12">
        <f t="shared" si="7"/>
        <v>40</v>
      </c>
      <c r="AJ12" s="12">
        <f t="shared" si="8"/>
        <v>88</v>
      </c>
      <c r="AK12" s="12">
        <f t="shared" si="2"/>
        <v>70.599999999999994</v>
      </c>
      <c r="AL12" s="12">
        <f t="shared" si="2"/>
        <v>44</v>
      </c>
      <c r="AM12" s="12">
        <f t="shared" si="2"/>
        <v>52</v>
      </c>
      <c r="AN12" s="12">
        <f t="shared" si="2"/>
        <v>76</v>
      </c>
      <c r="AO12" s="12">
        <f t="shared" si="2"/>
        <v>14.6</v>
      </c>
      <c r="AP12" s="12">
        <f t="shared" si="2"/>
        <v>50.6</v>
      </c>
      <c r="AQ12" s="12">
        <f t="shared" si="2"/>
        <v>74.599999999999994</v>
      </c>
      <c r="AR12" s="12">
        <f t="shared" si="2"/>
        <v>57.3</v>
      </c>
      <c r="AS12" s="12">
        <f t="shared" si="2"/>
        <v>50.6</v>
      </c>
      <c r="AT12" s="12">
        <f t="shared" si="2"/>
        <v>100</v>
      </c>
      <c r="AU12" s="12">
        <f t="shared" si="9"/>
        <v>61.4</v>
      </c>
      <c r="AV12" s="12">
        <f t="shared" si="2"/>
        <v>72</v>
      </c>
      <c r="AW12" s="12">
        <f t="shared" si="2"/>
        <v>50.6</v>
      </c>
      <c r="AX12" s="12">
        <f t="shared" si="10"/>
        <v>36</v>
      </c>
      <c r="AY12" s="9"/>
      <c r="AZ12" s="12">
        <f t="shared" si="2"/>
        <v>58.599999999999994</v>
      </c>
      <c r="BA12" s="12">
        <f t="shared" si="13"/>
        <v>60</v>
      </c>
      <c r="BB12" s="12">
        <f t="shared" si="11"/>
        <v>56.000000000000007</v>
      </c>
      <c r="BC12" s="12">
        <f t="shared" si="11"/>
        <v>44</v>
      </c>
      <c r="BD12" s="12">
        <f t="shared" si="11"/>
        <v>44</v>
      </c>
      <c r="BE12" s="12">
        <f t="shared" si="11"/>
        <v>50.6</v>
      </c>
      <c r="BF12" s="12">
        <f t="shared" si="12"/>
        <v>41.3</v>
      </c>
      <c r="BG12" s="12">
        <f t="shared" si="12"/>
        <v>44</v>
      </c>
      <c r="BH12" s="12">
        <f t="shared" si="12"/>
        <v>50.6</v>
      </c>
      <c r="BI12" s="12">
        <f t="shared" si="12"/>
        <v>65.3</v>
      </c>
    </row>
    <row r="13" spans="1:61" ht="14.25">
      <c r="A13" s="1" t="s">
        <v>104</v>
      </c>
      <c r="B13" s="3" t="s">
        <v>105</v>
      </c>
      <c r="C13" s="4" t="s">
        <v>8</v>
      </c>
      <c r="D13" s="4">
        <v>28</v>
      </c>
      <c r="E13" s="4">
        <v>907</v>
      </c>
      <c r="F13" s="4">
        <v>28</v>
      </c>
      <c r="G13" s="4">
        <v>907</v>
      </c>
      <c r="H13" s="4">
        <v>16.2</v>
      </c>
      <c r="I13" s="4">
        <v>0.48899999999999999</v>
      </c>
      <c r="J13" s="4">
        <v>0.436</v>
      </c>
      <c r="K13" s="4">
        <v>0.112</v>
      </c>
      <c r="L13" s="4">
        <v>0.25700000000000001</v>
      </c>
      <c r="M13" s="4">
        <v>3.6</v>
      </c>
      <c r="N13" s="4">
        <v>6.3</v>
      </c>
      <c r="O13" s="4">
        <v>29.5</v>
      </c>
      <c r="P13" s="4">
        <v>2.1</v>
      </c>
      <c r="Q13" s="4">
        <v>0.3</v>
      </c>
      <c r="R13" s="4">
        <v>22.1</v>
      </c>
      <c r="S13" s="4">
        <v>23.6</v>
      </c>
      <c r="T13" s="4">
        <v>92</v>
      </c>
      <c r="U13" s="4">
        <v>95</v>
      </c>
      <c r="V13" s="4"/>
      <c r="W13" s="4">
        <v>1.4</v>
      </c>
      <c r="X13" s="4">
        <v>0.7</v>
      </c>
      <c r="Y13" s="4">
        <v>2.1</v>
      </c>
      <c r="Z13" s="4">
        <v>9.2999999999999999E-2</v>
      </c>
      <c r="AA13" s="13">
        <f>(I13/TOTAL_BASIC!$D$301)*100</f>
        <v>99.108007847240387</v>
      </c>
      <c r="AB13" s="5">
        <f t="shared" si="3"/>
        <v>0.92</v>
      </c>
      <c r="AC13" s="3">
        <f t="shared" si="1"/>
        <v>-3</v>
      </c>
      <c r="AD13" s="9">
        <f t="shared" si="4"/>
        <v>0.97799999999999998</v>
      </c>
      <c r="AE13" s="16">
        <f t="shared" si="5"/>
        <v>1.25</v>
      </c>
      <c r="AF13" s="16">
        <f t="shared" si="6"/>
        <v>1.3348416289592759</v>
      </c>
      <c r="AG13" s="9"/>
      <c r="AH13" s="9"/>
      <c r="AI13" s="12">
        <f t="shared" si="7"/>
        <v>40</v>
      </c>
      <c r="AJ13" s="12">
        <f t="shared" si="8"/>
        <v>86.6</v>
      </c>
      <c r="AK13" s="12">
        <f t="shared" si="2"/>
        <v>62.6</v>
      </c>
      <c r="AL13" s="12">
        <f t="shared" si="2"/>
        <v>52</v>
      </c>
      <c r="AM13" s="12">
        <f t="shared" si="2"/>
        <v>46.6</v>
      </c>
      <c r="AN13" s="12">
        <f t="shared" si="2"/>
        <v>45.300000000000004</v>
      </c>
      <c r="AO13" s="12">
        <f t="shared" si="2"/>
        <v>34.599999999999994</v>
      </c>
      <c r="AP13" s="12">
        <f t="shared" si="2"/>
        <v>22.6</v>
      </c>
      <c r="AQ13" s="12">
        <f t="shared" si="2"/>
        <v>17.299999999999997</v>
      </c>
      <c r="AR13" s="12">
        <f t="shared" si="2"/>
        <v>97.3</v>
      </c>
      <c r="AS13" s="12">
        <f t="shared" si="2"/>
        <v>30.599999999999998</v>
      </c>
      <c r="AT13" s="12">
        <f t="shared" si="2"/>
        <v>13.3</v>
      </c>
      <c r="AU13" s="12">
        <f t="shared" si="9"/>
        <v>38.700000000000003</v>
      </c>
      <c r="AV13" s="12">
        <f t="shared" si="2"/>
        <v>85.3</v>
      </c>
      <c r="AW13" s="12">
        <f t="shared" si="2"/>
        <v>56.000000000000007</v>
      </c>
      <c r="AX13" s="12">
        <f t="shared" si="10"/>
        <v>36</v>
      </c>
      <c r="AY13" s="9"/>
      <c r="AZ13" s="12">
        <f t="shared" si="2"/>
        <v>68</v>
      </c>
      <c r="BA13" s="12">
        <f t="shared" si="13"/>
        <v>52</v>
      </c>
      <c r="BB13" s="12">
        <f t="shared" si="11"/>
        <v>69.3</v>
      </c>
      <c r="BC13" s="12">
        <f t="shared" si="11"/>
        <v>58.599999999999994</v>
      </c>
      <c r="BD13" s="12">
        <f t="shared" si="11"/>
        <v>52</v>
      </c>
      <c r="BE13" s="12">
        <f t="shared" si="11"/>
        <v>56.000000000000007</v>
      </c>
      <c r="BF13" s="12">
        <f t="shared" si="12"/>
        <v>50.6</v>
      </c>
      <c r="BG13" s="12">
        <f t="shared" si="12"/>
        <v>52</v>
      </c>
      <c r="BH13" s="12">
        <f t="shared" si="12"/>
        <v>88</v>
      </c>
      <c r="BI13" s="12">
        <f t="shared" si="12"/>
        <v>93.300000000000011</v>
      </c>
    </row>
    <row r="14" spans="1:61" ht="14.25">
      <c r="A14" s="1" t="s">
        <v>106</v>
      </c>
      <c r="B14" s="3" t="s">
        <v>105</v>
      </c>
      <c r="C14" s="4" t="s">
        <v>99</v>
      </c>
      <c r="D14" s="4">
        <v>28</v>
      </c>
      <c r="E14" s="4">
        <v>902</v>
      </c>
      <c r="F14" s="4">
        <v>28</v>
      </c>
      <c r="G14" s="4">
        <v>902</v>
      </c>
      <c r="H14" s="4">
        <v>21.6</v>
      </c>
      <c r="I14" s="4">
        <v>0.49</v>
      </c>
      <c r="J14" s="4">
        <v>0.44700000000000001</v>
      </c>
      <c r="K14" s="4">
        <v>0.124</v>
      </c>
      <c r="L14" s="4">
        <v>0.50900000000000001</v>
      </c>
      <c r="M14" s="4">
        <v>9</v>
      </c>
      <c r="N14" s="4">
        <v>17.8</v>
      </c>
      <c r="O14" s="4">
        <v>15.9</v>
      </c>
      <c r="P14" s="4">
        <v>2.2000000000000002</v>
      </c>
      <c r="Q14" s="4">
        <v>5.0999999999999996</v>
      </c>
      <c r="R14" s="4">
        <v>19.399999999999999</v>
      </c>
      <c r="S14" s="4">
        <v>27.7</v>
      </c>
      <c r="T14" s="4">
        <v>91</v>
      </c>
      <c r="U14" s="4">
        <v>85</v>
      </c>
      <c r="V14" s="4"/>
      <c r="W14" s="4">
        <v>1.4</v>
      </c>
      <c r="X14" s="4">
        <v>2.2000000000000002</v>
      </c>
      <c r="Y14" s="4">
        <v>3.5</v>
      </c>
      <c r="Z14" s="4">
        <v>0.157</v>
      </c>
      <c r="AA14" s="13">
        <f>(I14/TOTAL_BASIC!$D$301)*100</f>
        <v>99.310682709913678</v>
      </c>
      <c r="AB14" s="5">
        <f t="shared" si="3"/>
        <v>0.91</v>
      </c>
      <c r="AC14" s="3">
        <f t="shared" si="1"/>
        <v>6</v>
      </c>
      <c r="AD14" s="9">
        <f t="shared" si="4"/>
        <v>0.98</v>
      </c>
      <c r="AE14" s="16">
        <f t="shared" si="5"/>
        <v>0.57400722021660655</v>
      </c>
      <c r="AF14" s="16">
        <f t="shared" si="6"/>
        <v>0.81958762886597947</v>
      </c>
      <c r="AG14" s="9"/>
      <c r="AH14" s="9"/>
      <c r="AI14" s="12">
        <f t="shared" si="7"/>
        <v>40</v>
      </c>
      <c r="AJ14" s="12">
        <f t="shared" si="8"/>
        <v>85.3</v>
      </c>
      <c r="AK14" s="12">
        <f t="shared" si="2"/>
        <v>94.6</v>
      </c>
      <c r="AL14" s="12">
        <f t="shared" si="2"/>
        <v>54.6</v>
      </c>
      <c r="AM14" s="12">
        <f t="shared" si="2"/>
        <v>50.6</v>
      </c>
      <c r="AN14" s="12">
        <f t="shared" si="2"/>
        <v>48</v>
      </c>
      <c r="AO14" s="12">
        <f t="shared" si="2"/>
        <v>86.6</v>
      </c>
      <c r="AP14" s="12">
        <f t="shared" si="2"/>
        <v>70.599999999999994</v>
      </c>
      <c r="AQ14" s="12">
        <f t="shared" si="2"/>
        <v>98.6</v>
      </c>
      <c r="AR14" s="12">
        <f t="shared" si="2"/>
        <v>61.3</v>
      </c>
      <c r="AS14" s="12">
        <f t="shared" si="2"/>
        <v>37.299999999999997</v>
      </c>
      <c r="AT14" s="12">
        <f t="shared" si="2"/>
        <v>97.3</v>
      </c>
      <c r="AU14" s="12">
        <f t="shared" si="9"/>
        <v>52</v>
      </c>
      <c r="AV14" s="12">
        <f t="shared" si="2"/>
        <v>98.6</v>
      </c>
      <c r="AW14" s="12">
        <f t="shared" si="2"/>
        <v>53.300000000000004</v>
      </c>
      <c r="AX14" s="12">
        <f t="shared" si="10"/>
        <v>93.4</v>
      </c>
      <c r="AY14" s="9"/>
      <c r="AZ14" s="12">
        <f t="shared" si="2"/>
        <v>68</v>
      </c>
      <c r="BA14" s="12">
        <f t="shared" si="13"/>
        <v>98.6</v>
      </c>
      <c r="BB14" s="12">
        <f t="shared" si="11"/>
        <v>80</v>
      </c>
      <c r="BC14" s="12">
        <f t="shared" si="11"/>
        <v>73.3</v>
      </c>
      <c r="BD14" s="12">
        <f t="shared" si="11"/>
        <v>54.6</v>
      </c>
      <c r="BE14" s="12">
        <f t="shared" si="11"/>
        <v>53.300000000000004</v>
      </c>
      <c r="BF14" s="12">
        <f t="shared" si="12"/>
        <v>69.3</v>
      </c>
      <c r="BG14" s="12">
        <f t="shared" si="12"/>
        <v>54.6</v>
      </c>
      <c r="BH14" s="12">
        <f t="shared" si="12"/>
        <v>37.299999999999997</v>
      </c>
      <c r="BI14" s="12">
        <f t="shared" si="12"/>
        <v>66.600000000000009</v>
      </c>
    </row>
    <row r="15" spans="1:61" ht="14.25">
      <c r="A15" s="1" t="s">
        <v>107</v>
      </c>
      <c r="B15" s="3" t="s">
        <v>90</v>
      </c>
      <c r="C15" s="4" t="s">
        <v>92</v>
      </c>
      <c r="D15" s="4">
        <v>28</v>
      </c>
      <c r="E15" s="4">
        <v>885</v>
      </c>
      <c r="F15" s="4">
        <v>28</v>
      </c>
      <c r="G15" s="4">
        <v>885</v>
      </c>
      <c r="H15" s="4">
        <v>18.600000000000001</v>
      </c>
      <c r="I15" s="4">
        <v>0.52400000000000002</v>
      </c>
      <c r="J15" s="4">
        <v>0.47599999999999998</v>
      </c>
      <c r="K15" s="4">
        <v>0.314</v>
      </c>
      <c r="L15" s="4">
        <v>0.252</v>
      </c>
      <c r="M15" s="4">
        <v>9.8000000000000007</v>
      </c>
      <c r="N15" s="4">
        <v>13.7</v>
      </c>
      <c r="O15" s="4">
        <v>7.7</v>
      </c>
      <c r="P15" s="4">
        <v>1.3</v>
      </c>
      <c r="Q15" s="4">
        <v>2.7</v>
      </c>
      <c r="R15" s="4">
        <v>14.9</v>
      </c>
      <c r="S15" s="4">
        <v>22</v>
      </c>
      <c r="T15" s="4">
        <v>105</v>
      </c>
      <c r="U15" s="4">
        <v>92</v>
      </c>
      <c r="V15" s="4"/>
      <c r="W15" s="4">
        <v>3.2</v>
      </c>
      <c r="X15" s="4">
        <v>1.1000000000000001</v>
      </c>
      <c r="Y15" s="4">
        <v>4.3</v>
      </c>
      <c r="Z15" s="4">
        <v>0.19500000000000001</v>
      </c>
      <c r="AA15" s="13">
        <f>(I15/TOTAL_BASIC!$D$301)*100</f>
        <v>106.20162804080566</v>
      </c>
      <c r="AB15" s="5">
        <f t="shared" si="3"/>
        <v>1.05</v>
      </c>
      <c r="AC15" s="3">
        <f t="shared" si="1"/>
        <v>13</v>
      </c>
      <c r="AD15" s="9">
        <f t="shared" si="4"/>
        <v>1.048</v>
      </c>
      <c r="AE15" s="16">
        <f t="shared" si="5"/>
        <v>0.35000000000000003</v>
      </c>
      <c r="AF15" s="16">
        <f t="shared" si="6"/>
        <v>0.51677852348993292</v>
      </c>
      <c r="AG15" s="9"/>
      <c r="AH15" s="9"/>
      <c r="AI15" s="12">
        <f t="shared" si="7"/>
        <v>40</v>
      </c>
      <c r="AJ15" s="12">
        <f t="shared" si="8"/>
        <v>84</v>
      </c>
      <c r="AK15" s="12">
        <f t="shared" si="2"/>
        <v>78.600000000000009</v>
      </c>
      <c r="AL15" s="12">
        <f t="shared" si="2"/>
        <v>78.600000000000009</v>
      </c>
      <c r="AM15" s="12">
        <f t="shared" si="2"/>
        <v>74.599999999999994</v>
      </c>
      <c r="AN15" s="12">
        <f t="shared" si="2"/>
        <v>74.599999999999994</v>
      </c>
      <c r="AO15" s="12">
        <f t="shared" si="2"/>
        <v>33.300000000000004</v>
      </c>
      <c r="AP15" s="12">
        <f t="shared" si="2"/>
        <v>81.3</v>
      </c>
      <c r="AQ15" s="12">
        <f t="shared" si="2"/>
        <v>81.3</v>
      </c>
      <c r="AR15" s="12">
        <f t="shared" si="2"/>
        <v>20</v>
      </c>
      <c r="AS15" s="12">
        <f t="shared" si="2"/>
        <v>5.3</v>
      </c>
      <c r="AT15" s="12">
        <f t="shared" si="2"/>
        <v>85.3</v>
      </c>
      <c r="AU15" s="12">
        <f t="shared" si="9"/>
        <v>88</v>
      </c>
      <c r="AV15" s="12">
        <f t="shared" si="2"/>
        <v>74.599999999999994</v>
      </c>
      <c r="AW15" s="12">
        <f t="shared" si="2"/>
        <v>90.600000000000009</v>
      </c>
      <c r="AX15" s="12">
        <f t="shared" si="10"/>
        <v>60</v>
      </c>
      <c r="AY15" s="9"/>
      <c r="AZ15" s="12">
        <f t="shared" si="2"/>
        <v>97.3</v>
      </c>
      <c r="BA15" s="12">
        <f t="shared" si="13"/>
        <v>76</v>
      </c>
      <c r="BB15" s="12">
        <f t="shared" si="11"/>
        <v>97.3</v>
      </c>
      <c r="BC15" s="12">
        <f t="shared" si="11"/>
        <v>90.600000000000009</v>
      </c>
      <c r="BD15" s="12">
        <f t="shared" si="11"/>
        <v>78.600000000000009</v>
      </c>
      <c r="BE15" s="12">
        <f t="shared" si="11"/>
        <v>90.600000000000009</v>
      </c>
      <c r="BF15" s="12">
        <f t="shared" si="12"/>
        <v>86.6</v>
      </c>
      <c r="BG15" s="12">
        <f t="shared" si="12"/>
        <v>78.600000000000009</v>
      </c>
      <c r="BH15" s="12">
        <f t="shared" si="12"/>
        <v>13.3</v>
      </c>
      <c r="BI15" s="12">
        <f t="shared" si="12"/>
        <v>33.300000000000004</v>
      </c>
    </row>
    <row r="16" spans="1:61" ht="14.25">
      <c r="A16" s="1" t="s">
        <v>108</v>
      </c>
      <c r="B16" s="3" t="s">
        <v>88</v>
      </c>
      <c r="C16" s="4" t="s">
        <v>92</v>
      </c>
      <c r="D16" s="4">
        <v>28</v>
      </c>
      <c r="E16" s="4">
        <v>875</v>
      </c>
      <c r="F16" s="4">
        <v>28</v>
      </c>
      <c r="G16" s="4">
        <v>875</v>
      </c>
      <c r="H16" s="4">
        <v>22.1</v>
      </c>
      <c r="I16" s="4">
        <v>0.5</v>
      </c>
      <c r="J16" s="4">
        <v>0.45800000000000002</v>
      </c>
      <c r="K16" s="4">
        <v>7.0999999999999994E-2</v>
      </c>
      <c r="L16" s="4">
        <v>0.247</v>
      </c>
      <c r="M16" s="4">
        <v>9.6</v>
      </c>
      <c r="N16" s="4">
        <v>12.7</v>
      </c>
      <c r="O16" s="4">
        <v>15.6</v>
      </c>
      <c r="P16" s="4">
        <v>3.4</v>
      </c>
      <c r="Q16" s="4">
        <v>5.2</v>
      </c>
      <c r="R16" s="4">
        <v>15.9</v>
      </c>
      <c r="S16" s="4">
        <v>23.2</v>
      </c>
      <c r="T16" s="4">
        <v>98</v>
      </c>
      <c r="U16" s="4">
        <v>86</v>
      </c>
      <c r="V16" s="4"/>
      <c r="W16" s="4">
        <v>2.2000000000000002</v>
      </c>
      <c r="X16" s="4">
        <v>2</v>
      </c>
      <c r="Y16" s="4">
        <v>4.2</v>
      </c>
      <c r="Z16" s="4">
        <v>0.193</v>
      </c>
      <c r="AA16" s="13">
        <f>(I16/TOTAL_BASIC!$D$301)*100</f>
        <v>101.33743133664662</v>
      </c>
      <c r="AB16" s="5">
        <f t="shared" si="3"/>
        <v>0.98</v>
      </c>
      <c r="AC16" s="3">
        <f t="shared" si="1"/>
        <v>12</v>
      </c>
      <c r="AD16" s="9">
        <f t="shared" si="4"/>
        <v>1</v>
      </c>
      <c r="AE16" s="16">
        <f t="shared" si="5"/>
        <v>0.67241379310344829</v>
      </c>
      <c r="AF16" s="16">
        <f t="shared" si="6"/>
        <v>0.98113207547169812</v>
      </c>
      <c r="AG16" s="9"/>
      <c r="AH16" s="9"/>
      <c r="AI16" s="12">
        <f t="shared" si="7"/>
        <v>40</v>
      </c>
      <c r="AJ16" s="12">
        <f t="shared" si="8"/>
        <v>82.6</v>
      </c>
      <c r="AK16" s="12">
        <f t="shared" si="2"/>
        <v>96</v>
      </c>
      <c r="AL16" s="12">
        <f t="shared" si="2"/>
        <v>58.599999999999994</v>
      </c>
      <c r="AM16" s="12">
        <f t="shared" si="2"/>
        <v>56.000000000000007</v>
      </c>
      <c r="AN16" s="12">
        <f t="shared" si="2"/>
        <v>36</v>
      </c>
      <c r="AO16" s="12">
        <f t="shared" si="2"/>
        <v>32</v>
      </c>
      <c r="AP16" s="12">
        <f t="shared" si="2"/>
        <v>78.600000000000009</v>
      </c>
      <c r="AQ16" s="12">
        <f t="shared" si="2"/>
        <v>73.3</v>
      </c>
      <c r="AR16" s="12">
        <f t="shared" si="2"/>
        <v>60</v>
      </c>
      <c r="AS16" s="12">
        <f t="shared" si="2"/>
        <v>80</v>
      </c>
      <c r="AT16" s="12">
        <f t="shared" si="2"/>
        <v>98.6</v>
      </c>
      <c r="AU16" s="12">
        <f t="shared" si="9"/>
        <v>82.7</v>
      </c>
      <c r="AV16" s="12">
        <f t="shared" si="2"/>
        <v>82.6</v>
      </c>
      <c r="AW16" s="12">
        <f t="shared" si="2"/>
        <v>74.599999999999994</v>
      </c>
      <c r="AX16" s="12">
        <f t="shared" si="10"/>
        <v>89.4</v>
      </c>
      <c r="AY16" s="9"/>
      <c r="AZ16" s="12">
        <f t="shared" si="2"/>
        <v>81.3</v>
      </c>
      <c r="BA16" s="12">
        <f t="shared" si="13"/>
        <v>92</v>
      </c>
      <c r="BB16" s="12">
        <f t="shared" si="11"/>
        <v>96</v>
      </c>
      <c r="BC16" s="12">
        <f t="shared" si="11"/>
        <v>89.3</v>
      </c>
      <c r="BD16" s="12">
        <f t="shared" si="11"/>
        <v>58.599999999999994</v>
      </c>
      <c r="BE16" s="12">
        <f t="shared" si="11"/>
        <v>74.599999999999994</v>
      </c>
      <c r="BF16" s="12">
        <f t="shared" si="12"/>
        <v>84</v>
      </c>
      <c r="BG16" s="12">
        <f t="shared" si="12"/>
        <v>58.599999999999994</v>
      </c>
      <c r="BH16" s="12">
        <f t="shared" si="12"/>
        <v>45.300000000000004</v>
      </c>
      <c r="BI16" s="12">
        <f t="shared" si="12"/>
        <v>81.3</v>
      </c>
    </row>
    <row r="17" spans="1:61" ht="14.25">
      <c r="A17" s="1" t="s">
        <v>109</v>
      </c>
      <c r="B17" s="3" t="s">
        <v>94</v>
      </c>
      <c r="C17" s="4" t="s">
        <v>110</v>
      </c>
      <c r="D17" s="4">
        <v>28</v>
      </c>
      <c r="E17" s="4">
        <v>874</v>
      </c>
      <c r="F17" s="4">
        <v>28</v>
      </c>
      <c r="G17" s="4">
        <v>874</v>
      </c>
      <c r="H17" s="4">
        <v>19.3</v>
      </c>
      <c r="I17" s="4">
        <v>0.51300000000000001</v>
      </c>
      <c r="J17" s="4">
        <v>0.46</v>
      </c>
      <c r="K17" s="4">
        <v>0.17</v>
      </c>
      <c r="L17" s="4">
        <v>0.32200000000000001</v>
      </c>
      <c r="M17" s="4">
        <v>5.9</v>
      </c>
      <c r="N17" s="4">
        <v>10.6</v>
      </c>
      <c r="O17" s="4">
        <v>6.4</v>
      </c>
      <c r="P17" s="4">
        <v>2.2000000000000002</v>
      </c>
      <c r="Q17" s="4">
        <v>1.5</v>
      </c>
      <c r="R17" s="4">
        <v>11.9</v>
      </c>
      <c r="S17" s="4">
        <v>25.1</v>
      </c>
      <c r="T17" s="4">
        <v>101</v>
      </c>
      <c r="U17" s="4">
        <v>88</v>
      </c>
      <c r="V17" s="4"/>
      <c r="W17" s="4">
        <v>2.7</v>
      </c>
      <c r="X17" s="4">
        <v>1.8</v>
      </c>
      <c r="Y17" s="4">
        <v>4.5</v>
      </c>
      <c r="Z17" s="4">
        <v>0.20399999999999999</v>
      </c>
      <c r="AA17" s="13">
        <f>(I17/TOTAL_BASIC!$D$301)*100</f>
        <v>103.97220455139944</v>
      </c>
      <c r="AB17" s="5">
        <f t="shared" si="3"/>
        <v>1.01</v>
      </c>
      <c r="AC17" s="3">
        <f t="shared" si="1"/>
        <v>13</v>
      </c>
      <c r="AD17" s="9">
        <f t="shared" si="4"/>
        <v>1.026</v>
      </c>
      <c r="AE17" s="16">
        <f t="shared" si="5"/>
        <v>0.2549800796812749</v>
      </c>
      <c r="AF17" s="16">
        <f t="shared" si="6"/>
        <v>0.53781512605042014</v>
      </c>
      <c r="AG17" s="9"/>
      <c r="AH17" s="9"/>
      <c r="AI17" s="12">
        <f t="shared" si="7"/>
        <v>40</v>
      </c>
      <c r="AJ17" s="12">
        <f t="shared" si="8"/>
        <v>81.3</v>
      </c>
      <c r="AK17" s="12">
        <f t="shared" si="2"/>
        <v>86.6</v>
      </c>
      <c r="AL17" s="12">
        <f t="shared" si="2"/>
        <v>69.3</v>
      </c>
      <c r="AM17" s="12">
        <f t="shared" si="2"/>
        <v>58.599999999999994</v>
      </c>
      <c r="AN17" s="12">
        <f t="shared" si="2"/>
        <v>56.000000000000007</v>
      </c>
      <c r="AO17" s="12">
        <f t="shared" si="2"/>
        <v>48</v>
      </c>
      <c r="AP17" s="12">
        <f t="shared" si="2"/>
        <v>42.6</v>
      </c>
      <c r="AQ17" s="12">
        <f t="shared" si="2"/>
        <v>64</v>
      </c>
      <c r="AR17" s="12">
        <f t="shared" si="2"/>
        <v>12</v>
      </c>
      <c r="AS17" s="12">
        <f t="shared" si="2"/>
        <v>37.299999999999997</v>
      </c>
      <c r="AT17" s="12">
        <f t="shared" si="2"/>
        <v>65.3</v>
      </c>
      <c r="AU17" s="12">
        <f t="shared" si="9"/>
        <v>97.4</v>
      </c>
      <c r="AV17" s="12">
        <f t="shared" si="2"/>
        <v>93.300000000000011</v>
      </c>
      <c r="AW17" s="12">
        <f t="shared" si="2"/>
        <v>81.3</v>
      </c>
      <c r="AX17" s="12">
        <f t="shared" si="10"/>
        <v>82.7</v>
      </c>
      <c r="AY17" s="9"/>
      <c r="AZ17" s="12">
        <f t="shared" si="2"/>
        <v>92</v>
      </c>
      <c r="BA17" s="12">
        <f t="shared" si="13"/>
        <v>89.3</v>
      </c>
      <c r="BB17" s="12">
        <f t="shared" si="11"/>
        <v>98.6</v>
      </c>
      <c r="BC17" s="12">
        <f t="shared" si="11"/>
        <v>93.300000000000011</v>
      </c>
      <c r="BD17" s="12">
        <f t="shared" si="11"/>
        <v>69.3</v>
      </c>
      <c r="BE17" s="12">
        <f t="shared" si="11"/>
        <v>81.3</v>
      </c>
      <c r="BF17" s="12">
        <f t="shared" si="12"/>
        <v>86.6</v>
      </c>
      <c r="BG17" s="12">
        <f t="shared" si="12"/>
        <v>69.3</v>
      </c>
      <c r="BH17" s="12">
        <f t="shared" si="12"/>
        <v>4</v>
      </c>
      <c r="BI17" s="12">
        <f t="shared" si="12"/>
        <v>36</v>
      </c>
    </row>
    <row r="18" spans="1:61" ht="14.25">
      <c r="A18" s="1" t="s">
        <v>111</v>
      </c>
      <c r="B18" s="3" t="s">
        <v>98</v>
      </c>
      <c r="C18" s="4" t="s">
        <v>8</v>
      </c>
      <c r="D18" s="4">
        <v>28</v>
      </c>
      <c r="E18" s="4">
        <v>867</v>
      </c>
      <c r="F18" s="4">
        <v>28</v>
      </c>
      <c r="G18" s="4">
        <v>867</v>
      </c>
      <c r="H18" s="4">
        <v>18.3</v>
      </c>
      <c r="I18" s="4">
        <v>0.51700000000000002</v>
      </c>
      <c r="J18" s="4">
        <v>0.47</v>
      </c>
      <c r="K18" s="4">
        <v>0.36499999999999999</v>
      </c>
      <c r="L18" s="4">
        <v>0.32200000000000001</v>
      </c>
      <c r="M18" s="4">
        <v>4.3</v>
      </c>
      <c r="N18" s="4">
        <v>5.9</v>
      </c>
      <c r="O18" s="4">
        <v>16</v>
      </c>
      <c r="P18" s="4">
        <v>3</v>
      </c>
      <c r="Q18" s="4">
        <v>0.7</v>
      </c>
      <c r="R18" s="4">
        <v>16.399999999999999</v>
      </c>
      <c r="S18" s="4">
        <v>24.5</v>
      </c>
      <c r="T18" s="4">
        <v>98</v>
      </c>
      <c r="U18" s="4">
        <v>90</v>
      </c>
      <c r="V18" s="4"/>
      <c r="W18" s="4">
        <v>2.2999999999999998</v>
      </c>
      <c r="X18" s="4">
        <v>1.4</v>
      </c>
      <c r="Y18" s="4">
        <v>3.6</v>
      </c>
      <c r="Z18" s="4">
        <v>0.16800000000000001</v>
      </c>
      <c r="AA18" s="13">
        <f>(I18/TOTAL_BASIC!$D$301)*100</f>
        <v>104.78290400209261</v>
      </c>
      <c r="AB18" s="5">
        <f t="shared" si="3"/>
        <v>0.98</v>
      </c>
      <c r="AC18" s="3">
        <f t="shared" si="1"/>
        <v>8</v>
      </c>
      <c r="AD18" s="9">
        <f t="shared" si="4"/>
        <v>1.034</v>
      </c>
      <c r="AE18" s="16">
        <f t="shared" si="5"/>
        <v>0.65306122448979587</v>
      </c>
      <c r="AF18" s="16">
        <f t="shared" si="6"/>
        <v>0.97560975609756106</v>
      </c>
      <c r="AG18" s="9"/>
      <c r="AH18" s="9"/>
      <c r="AI18" s="12">
        <f t="shared" si="7"/>
        <v>40</v>
      </c>
      <c r="AJ18" s="12">
        <f t="shared" si="8"/>
        <v>80</v>
      </c>
      <c r="AK18" s="12">
        <f t="shared" si="2"/>
        <v>76</v>
      </c>
      <c r="AL18" s="12">
        <f t="shared" si="2"/>
        <v>70.599999999999994</v>
      </c>
      <c r="AM18" s="12">
        <f t="shared" si="2"/>
        <v>69.3</v>
      </c>
      <c r="AN18" s="12">
        <f t="shared" si="2"/>
        <v>81.3</v>
      </c>
      <c r="AO18" s="12">
        <f t="shared" si="2"/>
        <v>48</v>
      </c>
      <c r="AP18" s="12">
        <f t="shared" si="2"/>
        <v>29.299999999999997</v>
      </c>
      <c r="AQ18" s="12">
        <f t="shared" si="2"/>
        <v>13.3</v>
      </c>
      <c r="AR18" s="12">
        <f t="shared" si="2"/>
        <v>62.6</v>
      </c>
      <c r="AS18" s="12">
        <f t="shared" si="2"/>
        <v>65.3</v>
      </c>
      <c r="AT18" s="12">
        <f t="shared" si="2"/>
        <v>40</v>
      </c>
      <c r="AU18" s="12">
        <f t="shared" si="9"/>
        <v>78.7</v>
      </c>
      <c r="AV18" s="12">
        <f t="shared" si="2"/>
        <v>92</v>
      </c>
      <c r="AW18" s="12">
        <f t="shared" si="2"/>
        <v>74.599999999999994</v>
      </c>
      <c r="AX18" s="12">
        <f t="shared" si="10"/>
        <v>72</v>
      </c>
      <c r="AY18" s="9"/>
      <c r="AZ18" s="12">
        <f t="shared" si="2"/>
        <v>82.6</v>
      </c>
      <c r="BA18" s="12">
        <f t="shared" si="13"/>
        <v>82.6</v>
      </c>
      <c r="BB18" s="12">
        <f t="shared" si="11"/>
        <v>84</v>
      </c>
      <c r="BC18" s="12">
        <f t="shared" si="11"/>
        <v>77.3</v>
      </c>
      <c r="BD18" s="12">
        <f t="shared" si="11"/>
        <v>70.599999999999994</v>
      </c>
      <c r="BE18" s="12">
        <f t="shared" si="11"/>
        <v>74.599999999999994</v>
      </c>
      <c r="BF18" s="12">
        <f t="shared" si="12"/>
        <v>73.3</v>
      </c>
      <c r="BG18" s="12">
        <f t="shared" si="12"/>
        <v>70.599999999999994</v>
      </c>
      <c r="BH18" s="12">
        <f t="shared" si="12"/>
        <v>42.6</v>
      </c>
      <c r="BI18" s="12">
        <f t="shared" si="12"/>
        <v>78.600000000000009</v>
      </c>
    </row>
    <row r="19" spans="1:61" ht="14.25">
      <c r="A19" s="1" t="s">
        <v>112</v>
      </c>
      <c r="B19" s="3" t="s">
        <v>94</v>
      </c>
      <c r="C19" s="4" t="s">
        <v>8</v>
      </c>
      <c r="D19" s="4">
        <v>28</v>
      </c>
      <c r="E19" s="4">
        <v>842</v>
      </c>
      <c r="F19" s="4">
        <v>28</v>
      </c>
      <c r="G19" s="4">
        <v>842</v>
      </c>
      <c r="H19" s="4">
        <v>17</v>
      </c>
      <c r="I19" s="4">
        <v>0.47899999999999998</v>
      </c>
      <c r="J19" s="4">
        <v>0.39800000000000002</v>
      </c>
      <c r="K19" s="4">
        <v>0.41899999999999998</v>
      </c>
      <c r="L19" s="4">
        <v>0.33800000000000002</v>
      </c>
      <c r="M19" s="4">
        <v>5</v>
      </c>
      <c r="N19" s="4">
        <v>7.8</v>
      </c>
      <c r="O19" s="4">
        <v>20.399999999999999</v>
      </c>
      <c r="P19" s="4">
        <v>3.1</v>
      </c>
      <c r="Q19" s="4">
        <v>1.1000000000000001</v>
      </c>
      <c r="R19" s="4">
        <v>18.2</v>
      </c>
      <c r="S19" s="4">
        <v>24</v>
      </c>
      <c r="T19" s="4">
        <v>94</v>
      </c>
      <c r="U19" s="4">
        <v>88</v>
      </c>
      <c r="V19" s="4"/>
      <c r="W19" s="4">
        <v>1.5</v>
      </c>
      <c r="X19" s="4">
        <v>1.7</v>
      </c>
      <c r="Y19" s="4">
        <v>3.2</v>
      </c>
      <c r="Z19" s="4">
        <v>0.151</v>
      </c>
      <c r="AA19" s="13">
        <f>(I19/TOTAL_BASIC!$D$301)*100</f>
        <v>97.081259220507448</v>
      </c>
      <c r="AB19" s="5">
        <f t="shared" si="3"/>
        <v>0.94</v>
      </c>
      <c r="AC19" s="3">
        <f t="shared" si="1"/>
        <v>6</v>
      </c>
      <c r="AD19" s="9">
        <f t="shared" si="4"/>
        <v>0.95799999999999996</v>
      </c>
      <c r="AE19" s="16">
        <f t="shared" si="5"/>
        <v>0.85</v>
      </c>
      <c r="AF19" s="16">
        <f t="shared" si="6"/>
        <v>1.1208791208791209</v>
      </c>
      <c r="AG19" s="9"/>
      <c r="AH19" s="9"/>
      <c r="AI19" s="12">
        <f t="shared" si="7"/>
        <v>40</v>
      </c>
      <c r="AJ19" s="12">
        <f t="shared" si="8"/>
        <v>78.600000000000009</v>
      </c>
      <c r="AK19" s="12">
        <f t="shared" si="8"/>
        <v>68</v>
      </c>
      <c r="AL19" s="12">
        <f t="shared" si="8"/>
        <v>48</v>
      </c>
      <c r="AM19" s="12">
        <f t="shared" si="8"/>
        <v>28.000000000000004</v>
      </c>
      <c r="AN19" s="12">
        <f t="shared" si="8"/>
        <v>84</v>
      </c>
      <c r="AO19" s="12">
        <f t="shared" ref="AO19:AR82" si="14">(PERCENTRANK(L$3:L$298,L19))*100</f>
        <v>56.000000000000007</v>
      </c>
      <c r="AP19" s="12">
        <f t="shared" si="14"/>
        <v>33.300000000000004</v>
      </c>
      <c r="AQ19" s="12">
        <f t="shared" si="14"/>
        <v>40</v>
      </c>
      <c r="AR19" s="12">
        <f t="shared" si="14"/>
        <v>78.600000000000009</v>
      </c>
      <c r="AS19" s="12">
        <f t="shared" ref="AS19:AV82" si="15">(PERCENTRANK(P$3:P$298,P19))*100</f>
        <v>69.3</v>
      </c>
      <c r="AT19" s="12">
        <f t="shared" si="15"/>
        <v>56.000000000000007</v>
      </c>
      <c r="AU19" s="12">
        <f t="shared" si="9"/>
        <v>66.699999999999989</v>
      </c>
      <c r="AV19" s="12">
        <f t="shared" si="15"/>
        <v>88</v>
      </c>
      <c r="AW19" s="12">
        <f t="shared" ref="AW19:AW82" si="16">(PERCENTRANK(T$3:T$298,T19))*100</f>
        <v>61.3</v>
      </c>
      <c r="AX19" s="12">
        <f t="shared" si="10"/>
        <v>82.7</v>
      </c>
      <c r="AY19" s="9"/>
      <c r="AZ19" s="12">
        <f t="shared" ref="AZ19:BD82" si="17">(PERCENTRANK(W$3:W$298,W19))*100</f>
        <v>72</v>
      </c>
      <c r="BA19" s="12">
        <f t="shared" si="13"/>
        <v>88</v>
      </c>
      <c r="BB19" s="12">
        <f t="shared" si="11"/>
        <v>76</v>
      </c>
      <c r="BC19" s="12">
        <f t="shared" si="11"/>
        <v>70.599999999999994</v>
      </c>
      <c r="BD19" s="12">
        <f t="shared" si="11"/>
        <v>48</v>
      </c>
      <c r="BE19" s="12">
        <f t="shared" si="11"/>
        <v>61.3</v>
      </c>
      <c r="BF19" s="12">
        <f t="shared" si="12"/>
        <v>69.3</v>
      </c>
      <c r="BG19" s="12">
        <f t="shared" si="12"/>
        <v>48</v>
      </c>
      <c r="BH19" s="12">
        <f t="shared" si="12"/>
        <v>66.600000000000009</v>
      </c>
      <c r="BI19" s="12">
        <f t="shared" si="12"/>
        <v>88</v>
      </c>
    </row>
    <row r="20" spans="1:61" ht="14.25">
      <c r="A20" s="1" t="s">
        <v>113</v>
      </c>
      <c r="B20" s="3" t="s">
        <v>101</v>
      </c>
      <c r="C20" s="4" t="s">
        <v>8</v>
      </c>
      <c r="D20" s="4">
        <v>28</v>
      </c>
      <c r="E20" s="4">
        <v>831</v>
      </c>
      <c r="F20" s="4">
        <v>28</v>
      </c>
      <c r="G20" s="4">
        <v>831</v>
      </c>
      <c r="H20" s="4">
        <v>9.6</v>
      </c>
      <c r="I20" s="4">
        <v>0.42299999999999999</v>
      </c>
      <c r="J20" s="4">
        <v>0.377</v>
      </c>
      <c r="K20" s="4">
        <v>0.437</v>
      </c>
      <c r="L20" s="4">
        <v>0.23799999999999999</v>
      </c>
      <c r="M20" s="4">
        <v>3.9</v>
      </c>
      <c r="N20" s="4">
        <v>5.3</v>
      </c>
      <c r="O20" s="4">
        <v>20.8</v>
      </c>
      <c r="P20" s="4">
        <v>1.5</v>
      </c>
      <c r="Q20" s="4">
        <v>0.2</v>
      </c>
      <c r="R20" s="4">
        <v>19.3</v>
      </c>
      <c r="S20" s="4">
        <v>17</v>
      </c>
      <c r="T20" s="4">
        <v>87</v>
      </c>
      <c r="U20" s="4">
        <v>105</v>
      </c>
      <c r="V20" s="4"/>
      <c r="W20" s="4">
        <v>0.2</v>
      </c>
      <c r="X20" s="4">
        <v>-0.7</v>
      </c>
      <c r="Y20" s="4">
        <v>-0.5</v>
      </c>
      <c r="Z20" s="4">
        <v>-2.4E-2</v>
      </c>
      <c r="AA20" s="13">
        <f>(I20/TOTAL_BASIC!$D$301)*100</f>
        <v>85.731466910803036</v>
      </c>
      <c r="AB20" s="5">
        <f t="shared" si="3"/>
        <v>0.87</v>
      </c>
      <c r="AC20" s="3">
        <f t="shared" si="1"/>
        <v>-18</v>
      </c>
      <c r="AD20" s="9">
        <f t="shared" si="4"/>
        <v>0.84599999999999997</v>
      </c>
      <c r="AE20" s="16">
        <f t="shared" si="5"/>
        <v>1.223529411764706</v>
      </c>
      <c r="AF20" s="16">
        <f t="shared" si="6"/>
        <v>1.0777202072538861</v>
      </c>
      <c r="AG20" s="9"/>
      <c r="AH20" s="9"/>
      <c r="AI20" s="12">
        <f t="shared" si="7"/>
        <v>40</v>
      </c>
      <c r="AJ20" s="12">
        <f t="shared" si="8"/>
        <v>77.3</v>
      </c>
      <c r="AK20" s="12">
        <f t="shared" si="8"/>
        <v>26.6</v>
      </c>
      <c r="AL20" s="12">
        <f t="shared" si="8"/>
        <v>18.600000000000001</v>
      </c>
      <c r="AM20" s="12">
        <f t="shared" si="8"/>
        <v>16</v>
      </c>
      <c r="AN20" s="12">
        <f t="shared" si="8"/>
        <v>86.6</v>
      </c>
      <c r="AO20" s="12">
        <f t="shared" si="14"/>
        <v>28.000000000000004</v>
      </c>
      <c r="AP20" s="12">
        <f t="shared" si="14"/>
        <v>26.6</v>
      </c>
      <c r="AQ20" s="12">
        <f t="shared" si="14"/>
        <v>8</v>
      </c>
      <c r="AR20" s="12">
        <f t="shared" si="14"/>
        <v>82.6</v>
      </c>
      <c r="AS20" s="12">
        <f t="shared" si="15"/>
        <v>13.3</v>
      </c>
      <c r="AT20" s="12">
        <f t="shared" si="15"/>
        <v>6.6000000000000005</v>
      </c>
      <c r="AU20" s="12">
        <f t="shared" si="9"/>
        <v>53.4</v>
      </c>
      <c r="AV20" s="12">
        <f t="shared" si="15"/>
        <v>29.299999999999997</v>
      </c>
      <c r="AW20" s="12">
        <f t="shared" si="16"/>
        <v>38.6</v>
      </c>
      <c r="AX20" s="12">
        <f t="shared" si="10"/>
        <v>1.4000000000000057</v>
      </c>
      <c r="AY20" s="9"/>
      <c r="AZ20" s="12">
        <f t="shared" si="17"/>
        <v>45.300000000000004</v>
      </c>
      <c r="BA20" s="12">
        <f t="shared" si="13"/>
        <v>0</v>
      </c>
      <c r="BB20" s="12">
        <f t="shared" si="11"/>
        <v>6.6000000000000005</v>
      </c>
      <c r="BC20" s="12">
        <f t="shared" si="11"/>
        <v>16</v>
      </c>
      <c r="BD20" s="12">
        <f t="shared" si="11"/>
        <v>18.600000000000001</v>
      </c>
      <c r="BE20" s="12">
        <f t="shared" si="11"/>
        <v>38.6</v>
      </c>
      <c r="BF20" s="12">
        <f t="shared" si="12"/>
        <v>14.6</v>
      </c>
      <c r="BG20" s="12">
        <f t="shared" si="12"/>
        <v>18.600000000000001</v>
      </c>
      <c r="BH20" s="12">
        <f t="shared" si="12"/>
        <v>86.6</v>
      </c>
      <c r="BI20" s="12">
        <f t="shared" si="12"/>
        <v>86.6</v>
      </c>
    </row>
    <row r="21" spans="1:61" ht="15.75" customHeight="1">
      <c r="A21" s="1" t="s">
        <v>114</v>
      </c>
      <c r="B21" s="3" t="s">
        <v>96</v>
      </c>
      <c r="C21" s="4" t="s">
        <v>92</v>
      </c>
      <c r="D21" s="4">
        <v>25</v>
      </c>
      <c r="E21" s="4">
        <v>822</v>
      </c>
      <c r="F21" s="4">
        <v>25</v>
      </c>
      <c r="G21" s="4">
        <v>822</v>
      </c>
      <c r="H21" s="4">
        <v>19.2</v>
      </c>
      <c r="I21" s="4">
        <v>0.52800000000000002</v>
      </c>
      <c r="J21" s="4">
        <v>0.42899999999999999</v>
      </c>
      <c r="K21" s="4">
        <v>4.7E-2</v>
      </c>
      <c r="L21" s="4">
        <v>0.65400000000000003</v>
      </c>
      <c r="M21" s="4">
        <v>6.3</v>
      </c>
      <c r="N21" s="4">
        <v>14.8</v>
      </c>
      <c r="O21" s="4">
        <v>11.2</v>
      </c>
      <c r="P21" s="4">
        <v>2.4</v>
      </c>
      <c r="Q21" s="4">
        <v>2.8</v>
      </c>
      <c r="R21" s="4">
        <v>16.3</v>
      </c>
      <c r="S21" s="4">
        <v>18.399999999999999</v>
      </c>
      <c r="T21" s="4">
        <v>104</v>
      </c>
      <c r="U21" s="4">
        <v>88</v>
      </c>
      <c r="V21" s="4"/>
      <c r="W21" s="4">
        <v>2.4</v>
      </c>
      <c r="X21" s="4">
        <v>1.6</v>
      </c>
      <c r="Y21" s="4">
        <v>3.9</v>
      </c>
      <c r="Z21" s="4">
        <v>0.191</v>
      </c>
      <c r="AA21" s="13">
        <f>(I21/TOTAL_BASIC!$D$301)*100</f>
        <v>107.01232749149882</v>
      </c>
      <c r="AB21" s="5">
        <f t="shared" si="3"/>
        <v>1.04</v>
      </c>
      <c r="AC21" s="3">
        <f t="shared" si="1"/>
        <v>16</v>
      </c>
      <c r="AD21" s="9">
        <f t="shared" si="4"/>
        <v>1.056</v>
      </c>
      <c r="AE21" s="16">
        <f t="shared" si="5"/>
        <v>0.60869565217391308</v>
      </c>
      <c r="AF21" s="16">
        <f t="shared" si="6"/>
        <v>0.68711656441717783</v>
      </c>
      <c r="AG21" s="9"/>
      <c r="AH21" s="9"/>
      <c r="AI21" s="12">
        <f t="shared" si="7"/>
        <v>18.600000000000001</v>
      </c>
      <c r="AJ21" s="12">
        <f t="shared" si="8"/>
        <v>76</v>
      </c>
      <c r="AK21" s="12">
        <f t="shared" si="8"/>
        <v>82.6</v>
      </c>
      <c r="AL21" s="12">
        <f t="shared" si="8"/>
        <v>81.3</v>
      </c>
      <c r="AM21" s="12">
        <f t="shared" si="8"/>
        <v>45.300000000000004</v>
      </c>
      <c r="AN21" s="12">
        <f t="shared" si="8"/>
        <v>25.3</v>
      </c>
      <c r="AO21" s="12">
        <f t="shared" si="14"/>
        <v>97.3</v>
      </c>
      <c r="AP21" s="12">
        <f t="shared" si="14"/>
        <v>48</v>
      </c>
      <c r="AQ21" s="12">
        <f t="shared" si="14"/>
        <v>92</v>
      </c>
      <c r="AR21" s="12">
        <f t="shared" si="14"/>
        <v>33.300000000000004</v>
      </c>
      <c r="AS21" s="12">
        <f t="shared" si="15"/>
        <v>48</v>
      </c>
      <c r="AT21" s="12">
        <f t="shared" si="15"/>
        <v>86.6</v>
      </c>
      <c r="AU21" s="12">
        <f t="shared" si="9"/>
        <v>80</v>
      </c>
      <c r="AV21" s="12">
        <f t="shared" si="15"/>
        <v>40</v>
      </c>
      <c r="AW21" s="12">
        <f t="shared" si="16"/>
        <v>86.6</v>
      </c>
      <c r="AX21" s="12">
        <f t="shared" si="10"/>
        <v>82.7</v>
      </c>
      <c r="AY21" s="9"/>
      <c r="AZ21" s="12">
        <f t="shared" si="17"/>
        <v>88</v>
      </c>
      <c r="BA21" s="12">
        <f t="shared" si="13"/>
        <v>86.6</v>
      </c>
      <c r="BB21" s="12">
        <f t="shared" si="11"/>
        <v>93.300000000000011</v>
      </c>
      <c r="BC21" s="12">
        <f t="shared" si="11"/>
        <v>85.3</v>
      </c>
      <c r="BD21" s="12">
        <f t="shared" si="11"/>
        <v>81.3</v>
      </c>
      <c r="BE21" s="12">
        <f t="shared" si="11"/>
        <v>86.6</v>
      </c>
      <c r="BF21" s="12">
        <f t="shared" si="12"/>
        <v>93.300000000000011</v>
      </c>
      <c r="BG21" s="12">
        <f t="shared" si="12"/>
        <v>81.3</v>
      </c>
      <c r="BH21" s="12">
        <f t="shared" si="12"/>
        <v>40</v>
      </c>
      <c r="BI21" s="12">
        <f t="shared" si="12"/>
        <v>52</v>
      </c>
    </row>
    <row r="22" spans="1:61" ht="15.75" customHeight="1">
      <c r="A22" s="1" t="s">
        <v>115</v>
      </c>
      <c r="B22" s="3" t="s">
        <v>86</v>
      </c>
      <c r="C22" s="4" t="s">
        <v>8</v>
      </c>
      <c r="D22" s="4">
        <v>23</v>
      </c>
      <c r="E22" s="4">
        <v>813</v>
      </c>
      <c r="F22" s="4">
        <v>23</v>
      </c>
      <c r="G22" s="4">
        <v>813</v>
      </c>
      <c r="H22" s="4">
        <v>23.6</v>
      </c>
      <c r="I22" s="4">
        <v>0.51</v>
      </c>
      <c r="J22" s="4">
        <v>0.48299999999999998</v>
      </c>
      <c r="K22" s="4">
        <v>0.47099999999999997</v>
      </c>
      <c r="L22" s="4">
        <v>0.16900000000000001</v>
      </c>
      <c r="M22" s="4">
        <v>4.5999999999999996</v>
      </c>
      <c r="N22" s="4">
        <v>10.4</v>
      </c>
      <c r="O22" s="4">
        <v>17.2</v>
      </c>
      <c r="P22" s="4">
        <v>3.6</v>
      </c>
      <c r="Q22" s="4">
        <v>0.1</v>
      </c>
      <c r="R22" s="4">
        <v>11.7</v>
      </c>
      <c r="S22" s="4">
        <v>27.3</v>
      </c>
      <c r="T22" s="4">
        <v>105</v>
      </c>
      <c r="U22" s="4">
        <v>97</v>
      </c>
      <c r="V22" s="4"/>
      <c r="W22" s="4">
        <v>3.5</v>
      </c>
      <c r="X22" s="4">
        <v>0.3</v>
      </c>
      <c r="Y22" s="4">
        <v>3.8</v>
      </c>
      <c r="Z22" s="4">
        <v>0.187</v>
      </c>
      <c r="AA22" s="13">
        <f>(I22/TOTAL_BASIC!$D$301)*100</f>
        <v>103.36417996337954</v>
      </c>
      <c r="AB22" s="5">
        <f t="shared" si="3"/>
        <v>1.05</v>
      </c>
      <c r="AC22" s="3">
        <f t="shared" si="1"/>
        <v>8</v>
      </c>
      <c r="AD22" s="9">
        <f t="shared" si="4"/>
        <v>1.02</v>
      </c>
      <c r="AE22" s="16">
        <f t="shared" si="5"/>
        <v>0.63003663003663002</v>
      </c>
      <c r="AF22" s="16">
        <f t="shared" si="6"/>
        <v>1.4700854700854702</v>
      </c>
      <c r="AG22" s="9"/>
      <c r="AH22" s="9"/>
      <c r="AI22" s="12">
        <f t="shared" si="7"/>
        <v>16</v>
      </c>
      <c r="AJ22" s="12">
        <f t="shared" si="8"/>
        <v>74.599999999999994</v>
      </c>
      <c r="AK22" s="12">
        <f t="shared" si="8"/>
        <v>97.3</v>
      </c>
      <c r="AL22" s="12">
        <f t="shared" si="8"/>
        <v>66.600000000000009</v>
      </c>
      <c r="AM22" s="12">
        <f t="shared" si="8"/>
        <v>81.3</v>
      </c>
      <c r="AN22" s="12">
        <f t="shared" si="8"/>
        <v>89.3</v>
      </c>
      <c r="AO22" s="12">
        <f t="shared" si="14"/>
        <v>9.3000000000000007</v>
      </c>
      <c r="AP22" s="12">
        <f t="shared" si="14"/>
        <v>32</v>
      </c>
      <c r="AQ22" s="12">
        <f t="shared" si="14"/>
        <v>61.3</v>
      </c>
      <c r="AR22" s="12">
        <f t="shared" si="14"/>
        <v>68</v>
      </c>
      <c r="AS22" s="12">
        <f t="shared" si="15"/>
        <v>84</v>
      </c>
      <c r="AT22" s="12">
        <f t="shared" si="15"/>
        <v>2.6</v>
      </c>
      <c r="AU22" s="12">
        <f t="shared" si="9"/>
        <v>98.7</v>
      </c>
      <c r="AV22" s="12">
        <f t="shared" si="15"/>
        <v>97.3</v>
      </c>
      <c r="AW22" s="12">
        <f t="shared" si="16"/>
        <v>90.600000000000009</v>
      </c>
      <c r="AX22" s="12">
        <f t="shared" si="10"/>
        <v>24</v>
      </c>
      <c r="AY22" s="9"/>
      <c r="AZ22" s="12">
        <f t="shared" si="17"/>
        <v>98.6</v>
      </c>
      <c r="BA22" s="12">
        <f t="shared" si="13"/>
        <v>28.000000000000004</v>
      </c>
      <c r="BB22" s="12">
        <f t="shared" si="11"/>
        <v>89.3</v>
      </c>
      <c r="BC22" s="12">
        <f t="shared" si="11"/>
        <v>84</v>
      </c>
      <c r="BD22" s="12">
        <f t="shared" si="11"/>
        <v>66.600000000000009</v>
      </c>
      <c r="BE22" s="12">
        <f t="shared" si="11"/>
        <v>90.600000000000009</v>
      </c>
      <c r="BF22" s="12">
        <f t="shared" si="12"/>
        <v>73.3</v>
      </c>
      <c r="BG22" s="12">
        <f t="shared" si="12"/>
        <v>66.600000000000009</v>
      </c>
      <c r="BH22" s="12">
        <f t="shared" si="12"/>
        <v>41.3</v>
      </c>
      <c r="BI22" s="12">
        <f t="shared" si="12"/>
        <v>96</v>
      </c>
    </row>
    <row r="23" spans="1:61" ht="15.75" customHeight="1">
      <c r="A23" s="1" t="s">
        <v>116</v>
      </c>
      <c r="B23" s="3" t="s">
        <v>96</v>
      </c>
      <c r="C23" s="4" t="s">
        <v>110</v>
      </c>
      <c r="D23" s="4">
        <v>28</v>
      </c>
      <c r="E23" s="4">
        <v>803</v>
      </c>
      <c r="F23" s="4">
        <v>28</v>
      </c>
      <c r="G23" s="4">
        <v>803</v>
      </c>
      <c r="H23" s="4">
        <v>18.5</v>
      </c>
      <c r="I23" s="4">
        <v>0.56999999999999995</v>
      </c>
      <c r="J23" s="4">
        <v>0.51</v>
      </c>
      <c r="K23" s="4">
        <v>1.6E-2</v>
      </c>
      <c r="L23" s="4">
        <v>0.41899999999999998</v>
      </c>
      <c r="M23" s="4">
        <v>10.6</v>
      </c>
      <c r="N23" s="4">
        <v>12.6</v>
      </c>
      <c r="O23" s="4">
        <v>17.5</v>
      </c>
      <c r="P23" s="4">
        <v>1.2</v>
      </c>
      <c r="Q23" s="4">
        <v>1.8</v>
      </c>
      <c r="R23" s="4">
        <v>20</v>
      </c>
      <c r="S23" s="4">
        <v>21.2</v>
      </c>
      <c r="T23" s="4">
        <v>105</v>
      </c>
      <c r="U23" s="4">
        <v>94</v>
      </c>
      <c r="V23" s="4"/>
      <c r="W23" s="4">
        <v>2.9</v>
      </c>
      <c r="X23" s="4">
        <v>0.7</v>
      </c>
      <c r="Y23" s="4">
        <v>3.6</v>
      </c>
      <c r="Z23" s="4">
        <v>0.18</v>
      </c>
      <c r="AA23" s="13">
        <f>(I23/TOTAL_BASIC!$D$301)*100</f>
        <v>115.52467172377715</v>
      </c>
      <c r="AB23" s="5">
        <f t="shared" si="3"/>
        <v>1.05</v>
      </c>
      <c r="AC23" s="3">
        <f t="shared" si="1"/>
        <v>11</v>
      </c>
      <c r="AD23" s="9">
        <f t="shared" si="4"/>
        <v>1.1399999999999999</v>
      </c>
      <c r="AE23" s="16">
        <f t="shared" si="5"/>
        <v>0.82547169811320753</v>
      </c>
      <c r="AF23" s="16">
        <f t="shared" si="6"/>
        <v>0.875</v>
      </c>
      <c r="AG23" s="9"/>
      <c r="AH23" s="9"/>
      <c r="AI23" s="12">
        <f t="shared" si="7"/>
        <v>40</v>
      </c>
      <c r="AJ23" s="12">
        <f t="shared" si="8"/>
        <v>73.3</v>
      </c>
      <c r="AK23" s="12">
        <f t="shared" si="8"/>
        <v>77.3</v>
      </c>
      <c r="AL23" s="12">
        <f t="shared" si="8"/>
        <v>89.3</v>
      </c>
      <c r="AM23" s="12">
        <f t="shared" si="8"/>
        <v>88</v>
      </c>
      <c r="AN23" s="12">
        <f t="shared" si="8"/>
        <v>16</v>
      </c>
      <c r="AO23" s="12">
        <f t="shared" si="14"/>
        <v>73.3</v>
      </c>
      <c r="AP23" s="12">
        <f t="shared" si="14"/>
        <v>86.6</v>
      </c>
      <c r="AQ23" s="12">
        <f t="shared" si="14"/>
        <v>70.599999999999994</v>
      </c>
      <c r="AR23" s="12">
        <f t="shared" si="14"/>
        <v>72</v>
      </c>
      <c r="AS23" s="12">
        <f t="shared" si="15"/>
        <v>4</v>
      </c>
      <c r="AT23" s="12">
        <f t="shared" si="15"/>
        <v>73.3</v>
      </c>
      <c r="AU23" s="12">
        <f t="shared" si="9"/>
        <v>49.4</v>
      </c>
      <c r="AV23" s="12">
        <f t="shared" si="15"/>
        <v>66.600000000000009</v>
      </c>
      <c r="AW23" s="12">
        <f t="shared" si="16"/>
        <v>90.600000000000009</v>
      </c>
      <c r="AX23" s="12">
        <f t="shared" si="10"/>
        <v>40</v>
      </c>
      <c r="AY23" s="9"/>
      <c r="AZ23" s="12">
        <f t="shared" si="17"/>
        <v>94.6</v>
      </c>
      <c r="BA23" s="12">
        <f t="shared" si="13"/>
        <v>52</v>
      </c>
      <c r="BB23" s="12">
        <f t="shared" si="11"/>
        <v>84</v>
      </c>
      <c r="BC23" s="12">
        <f t="shared" si="11"/>
        <v>80</v>
      </c>
      <c r="BD23" s="12">
        <f t="shared" si="11"/>
        <v>89.3</v>
      </c>
      <c r="BE23" s="12">
        <f t="shared" si="11"/>
        <v>90.600000000000009</v>
      </c>
      <c r="BF23" s="12">
        <f t="shared" si="12"/>
        <v>82.6</v>
      </c>
      <c r="BG23" s="12">
        <f t="shared" si="12"/>
        <v>89.3</v>
      </c>
      <c r="BH23" s="12">
        <f t="shared" si="12"/>
        <v>64</v>
      </c>
      <c r="BI23" s="12">
        <f t="shared" si="12"/>
        <v>74.599999999999994</v>
      </c>
    </row>
    <row r="24" spans="1:61" ht="15.75" customHeight="1">
      <c r="A24" s="1" t="s">
        <v>117</v>
      </c>
      <c r="B24" s="3" t="s">
        <v>98</v>
      </c>
      <c r="C24" s="4" t="s">
        <v>118</v>
      </c>
      <c r="D24" s="4">
        <v>26</v>
      </c>
      <c r="E24" s="4">
        <v>789</v>
      </c>
      <c r="F24" s="4">
        <v>26</v>
      </c>
      <c r="G24" s="4">
        <v>789</v>
      </c>
      <c r="H24" s="4">
        <v>12.5</v>
      </c>
      <c r="I24" s="4">
        <v>0.436</v>
      </c>
      <c r="J24" s="4">
        <v>0.41099999999999998</v>
      </c>
      <c r="K24" s="4">
        <v>7.8E-2</v>
      </c>
      <c r="L24" s="4">
        <v>0.13</v>
      </c>
      <c r="M24" s="4">
        <v>7.2</v>
      </c>
      <c r="N24" s="4">
        <v>8.5</v>
      </c>
      <c r="O24" s="4">
        <v>17.3</v>
      </c>
      <c r="P24" s="4">
        <v>1.3</v>
      </c>
      <c r="Q24" s="4">
        <v>0.4</v>
      </c>
      <c r="R24" s="4">
        <v>14.7</v>
      </c>
      <c r="S24" s="4">
        <v>19.100000000000001</v>
      </c>
      <c r="T24" s="4">
        <v>92</v>
      </c>
      <c r="U24" s="4">
        <v>93</v>
      </c>
      <c r="V24" s="4"/>
      <c r="W24" s="4">
        <v>0.9</v>
      </c>
      <c r="X24" s="4">
        <v>0.9</v>
      </c>
      <c r="Y24" s="4">
        <v>1.7</v>
      </c>
      <c r="Z24" s="4">
        <v>8.7999999999999995E-2</v>
      </c>
      <c r="AA24" s="13">
        <f>(I24/TOTAL_BASIC!$D$301)*100</f>
        <v>88.366240125555848</v>
      </c>
      <c r="AB24" s="5">
        <f t="shared" si="3"/>
        <v>0.92</v>
      </c>
      <c r="AC24" s="3">
        <f t="shared" si="1"/>
        <v>-1</v>
      </c>
      <c r="AD24" s="9">
        <f t="shared" si="4"/>
        <v>0.872</v>
      </c>
      <c r="AE24" s="16">
        <f t="shared" si="5"/>
        <v>0.90575916230366493</v>
      </c>
      <c r="AF24" s="16">
        <f t="shared" si="6"/>
        <v>1.1768707482993199</v>
      </c>
      <c r="AG24" s="9"/>
      <c r="AH24" s="9"/>
      <c r="AI24" s="12">
        <f t="shared" si="7"/>
        <v>25.3</v>
      </c>
      <c r="AJ24" s="12">
        <f t="shared" si="8"/>
        <v>72</v>
      </c>
      <c r="AK24" s="12">
        <f t="shared" si="8"/>
        <v>46.6</v>
      </c>
      <c r="AL24" s="12">
        <f t="shared" si="8"/>
        <v>29.299999999999997</v>
      </c>
      <c r="AM24" s="12">
        <f t="shared" si="8"/>
        <v>37.299999999999997</v>
      </c>
      <c r="AN24" s="12">
        <f t="shared" si="8"/>
        <v>37.299999999999997</v>
      </c>
      <c r="AO24" s="12">
        <f t="shared" si="14"/>
        <v>4</v>
      </c>
      <c r="AP24" s="12">
        <f t="shared" si="14"/>
        <v>56.000000000000007</v>
      </c>
      <c r="AQ24" s="12">
        <f t="shared" si="14"/>
        <v>45.300000000000004</v>
      </c>
      <c r="AR24" s="12">
        <f t="shared" si="14"/>
        <v>70.599999999999994</v>
      </c>
      <c r="AS24" s="12">
        <f t="shared" si="15"/>
        <v>5.3</v>
      </c>
      <c r="AT24" s="12">
        <f t="shared" si="15"/>
        <v>20</v>
      </c>
      <c r="AU24" s="12">
        <f t="shared" si="9"/>
        <v>90.7</v>
      </c>
      <c r="AV24" s="12">
        <f t="shared" si="15"/>
        <v>45.300000000000004</v>
      </c>
      <c r="AW24" s="12">
        <f t="shared" si="16"/>
        <v>56.000000000000007</v>
      </c>
      <c r="AX24" s="12">
        <f t="shared" si="10"/>
        <v>46.699999999999996</v>
      </c>
      <c r="AY24" s="9"/>
      <c r="AZ24" s="12">
        <f t="shared" si="17"/>
        <v>60</v>
      </c>
      <c r="BA24" s="12">
        <f t="shared" si="13"/>
        <v>66.600000000000009</v>
      </c>
      <c r="BB24" s="12">
        <f t="shared" si="11"/>
        <v>58.599999999999994</v>
      </c>
      <c r="BC24" s="12">
        <f t="shared" si="11"/>
        <v>57.3</v>
      </c>
      <c r="BD24" s="12">
        <f t="shared" si="11"/>
        <v>29.299999999999997</v>
      </c>
      <c r="BE24" s="12">
        <f t="shared" si="11"/>
        <v>56.000000000000007</v>
      </c>
      <c r="BF24" s="12">
        <f t="shared" si="12"/>
        <v>57.3</v>
      </c>
      <c r="BG24" s="12">
        <f t="shared" si="12"/>
        <v>29.299999999999997</v>
      </c>
      <c r="BH24" s="12">
        <f t="shared" si="12"/>
        <v>70.599999999999994</v>
      </c>
      <c r="BI24" s="12">
        <f t="shared" si="12"/>
        <v>89.3</v>
      </c>
    </row>
    <row r="25" spans="1:61" ht="15.75" customHeight="1">
      <c r="A25" s="1" t="s">
        <v>119</v>
      </c>
      <c r="B25" s="3" t="s">
        <v>90</v>
      </c>
      <c r="C25" s="4" t="s">
        <v>8</v>
      </c>
      <c r="D25" s="4">
        <v>28</v>
      </c>
      <c r="E25" s="4">
        <v>784</v>
      </c>
      <c r="F25" s="4">
        <v>28</v>
      </c>
      <c r="G25" s="4">
        <v>784</v>
      </c>
      <c r="H25" s="4">
        <v>18.2</v>
      </c>
      <c r="I25" s="4">
        <v>0.53100000000000003</v>
      </c>
      <c r="J25" s="4">
        <v>0.45800000000000002</v>
      </c>
      <c r="K25" s="4">
        <v>0.13200000000000001</v>
      </c>
      <c r="L25" s="4">
        <v>0.34</v>
      </c>
      <c r="M25" s="4">
        <v>6.8</v>
      </c>
      <c r="N25" s="4">
        <v>9.3000000000000007</v>
      </c>
      <c r="O25" s="4">
        <v>12</v>
      </c>
      <c r="P25" s="4">
        <v>3.1</v>
      </c>
      <c r="Q25" s="4">
        <v>0.4</v>
      </c>
      <c r="R25" s="4">
        <v>18.899999999999999</v>
      </c>
      <c r="S25" s="4">
        <v>21.2</v>
      </c>
      <c r="T25" s="4">
        <v>102</v>
      </c>
      <c r="U25" s="4">
        <v>92</v>
      </c>
      <c r="V25" s="4"/>
      <c r="W25" s="4">
        <v>2.2999999999999998</v>
      </c>
      <c r="X25" s="4">
        <v>1</v>
      </c>
      <c r="Y25" s="4">
        <v>3.3</v>
      </c>
      <c r="Z25" s="4">
        <v>0.16900000000000001</v>
      </c>
      <c r="AA25" s="13">
        <f>(I25/TOTAL_BASIC!$D$301)*100</f>
        <v>107.6203520795187</v>
      </c>
      <c r="AB25" s="5">
        <f t="shared" si="3"/>
        <v>1.02</v>
      </c>
      <c r="AC25" s="3">
        <f t="shared" si="1"/>
        <v>10</v>
      </c>
      <c r="AD25" s="9">
        <f t="shared" si="4"/>
        <v>1.0620000000000001</v>
      </c>
      <c r="AE25" s="16">
        <f t="shared" si="5"/>
        <v>0.56603773584905659</v>
      </c>
      <c r="AF25" s="16">
        <f t="shared" si="6"/>
        <v>0.634920634920635</v>
      </c>
      <c r="AG25" s="9"/>
      <c r="AH25" s="9"/>
      <c r="AI25" s="12">
        <f t="shared" si="7"/>
        <v>40</v>
      </c>
      <c r="AJ25" s="12">
        <f t="shared" si="8"/>
        <v>70.599999999999994</v>
      </c>
      <c r="AK25" s="12">
        <f t="shared" si="8"/>
        <v>73.3</v>
      </c>
      <c r="AL25" s="12">
        <f t="shared" si="8"/>
        <v>82.6</v>
      </c>
      <c r="AM25" s="12">
        <f t="shared" si="8"/>
        <v>56.000000000000007</v>
      </c>
      <c r="AN25" s="12">
        <f t="shared" si="8"/>
        <v>50.6</v>
      </c>
      <c r="AO25" s="12">
        <f t="shared" si="14"/>
        <v>57.3</v>
      </c>
      <c r="AP25" s="12">
        <f t="shared" si="14"/>
        <v>52</v>
      </c>
      <c r="AQ25" s="12">
        <f t="shared" si="14"/>
        <v>50.6</v>
      </c>
      <c r="AR25" s="12">
        <f t="shared" si="14"/>
        <v>38.6</v>
      </c>
      <c r="AS25" s="12">
        <f t="shared" si="15"/>
        <v>69.3</v>
      </c>
      <c r="AT25" s="12">
        <f t="shared" si="15"/>
        <v>20</v>
      </c>
      <c r="AU25" s="12">
        <f t="shared" si="9"/>
        <v>58.7</v>
      </c>
      <c r="AV25" s="12">
        <f t="shared" si="15"/>
        <v>66.600000000000009</v>
      </c>
      <c r="AW25" s="12">
        <f t="shared" si="16"/>
        <v>84</v>
      </c>
      <c r="AX25" s="12">
        <f t="shared" si="10"/>
        <v>60</v>
      </c>
      <c r="AY25" s="9"/>
      <c r="AZ25" s="12">
        <f t="shared" si="17"/>
        <v>82.6</v>
      </c>
      <c r="BA25" s="12">
        <f t="shared" si="13"/>
        <v>70.599999999999994</v>
      </c>
      <c r="BB25" s="12">
        <f t="shared" si="11"/>
        <v>77.3</v>
      </c>
      <c r="BC25" s="12">
        <f t="shared" si="11"/>
        <v>78.600000000000009</v>
      </c>
      <c r="BD25" s="12">
        <f t="shared" si="11"/>
        <v>82.6</v>
      </c>
      <c r="BE25" s="12">
        <f t="shared" si="11"/>
        <v>84</v>
      </c>
      <c r="BF25" s="12">
        <f t="shared" si="12"/>
        <v>76</v>
      </c>
      <c r="BG25" s="12">
        <f t="shared" si="12"/>
        <v>82.6</v>
      </c>
      <c r="BH25" s="12">
        <f t="shared" si="12"/>
        <v>34.599999999999994</v>
      </c>
      <c r="BI25" s="12">
        <f t="shared" si="12"/>
        <v>44</v>
      </c>
    </row>
    <row r="26" spans="1:61" ht="15.75" customHeight="1">
      <c r="A26" s="1" t="s">
        <v>120</v>
      </c>
      <c r="B26" s="3" t="s">
        <v>94</v>
      </c>
      <c r="C26" s="4" t="s">
        <v>118</v>
      </c>
      <c r="D26" s="4">
        <v>28</v>
      </c>
      <c r="E26" s="4">
        <v>775</v>
      </c>
      <c r="F26" s="4">
        <v>28</v>
      </c>
      <c r="G26" s="4">
        <v>775</v>
      </c>
      <c r="H26" s="4">
        <v>10.199999999999999</v>
      </c>
      <c r="I26" s="4">
        <v>0.376</v>
      </c>
      <c r="J26" s="4">
        <v>0.30099999999999999</v>
      </c>
      <c r="K26" s="4">
        <v>9.5000000000000001E-2</v>
      </c>
      <c r="L26" s="4">
        <v>0.42399999999999999</v>
      </c>
      <c r="M26" s="4">
        <v>6.3</v>
      </c>
      <c r="N26" s="4">
        <v>9.3000000000000007</v>
      </c>
      <c r="O26" s="4">
        <v>16.8</v>
      </c>
      <c r="P26" s="4">
        <v>4.7</v>
      </c>
      <c r="Q26" s="4">
        <v>0.9</v>
      </c>
      <c r="R26" s="4">
        <v>22.7</v>
      </c>
      <c r="S26" s="4">
        <v>14.1</v>
      </c>
      <c r="T26" s="4">
        <v>80</v>
      </c>
      <c r="U26" s="4">
        <v>84</v>
      </c>
      <c r="V26" s="4"/>
      <c r="W26" s="4">
        <v>-0.5</v>
      </c>
      <c r="X26" s="4">
        <v>2.1</v>
      </c>
      <c r="Y26" s="4">
        <v>1.6</v>
      </c>
      <c r="Z26" s="4">
        <v>8.3000000000000004E-2</v>
      </c>
      <c r="AA26" s="13">
        <f>(I26/TOTAL_BASIC!$D$301)*100</f>
        <v>76.205748365158257</v>
      </c>
      <c r="AB26" s="5">
        <f t="shared" si="3"/>
        <v>0.8</v>
      </c>
      <c r="AC26" s="3">
        <f t="shared" si="1"/>
        <v>-4</v>
      </c>
      <c r="AD26" s="9">
        <f t="shared" si="4"/>
        <v>0.752</v>
      </c>
      <c r="AE26" s="16">
        <f t="shared" si="5"/>
        <v>1.1914893617021278</v>
      </c>
      <c r="AF26" s="16">
        <f t="shared" si="6"/>
        <v>0.74008810572687234</v>
      </c>
      <c r="AG26" s="9"/>
      <c r="AH26" s="9"/>
      <c r="AI26" s="12">
        <f t="shared" si="7"/>
        <v>40</v>
      </c>
      <c r="AJ26" s="12">
        <f t="shared" si="8"/>
        <v>69.3</v>
      </c>
      <c r="AK26" s="12">
        <f t="shared" si="8"/>
        <v>30.599999999999998</v>
      </c>
      <c r="AL26" s="12">
        <f t="shared" si="8"/>
        <v>5.3</v>
      </c>
      <c r="AM26" s="12">
        <f t="shared" si="8"/>
        <v>4</v>
      </c>
      <c r="AN26" s="12">
        <f t="shared" si="8"/>
        <v>41.3</v>
      </c>
      <c r="AO26" s="12">
        <f t="shared" si="14"/>
        <v>74.599999999999994</v>
      </c>
      <c r="AP26" s="12">
        <f t="shared" si="14"/>
        <v>48</v>
      </c>
      <c r="AQ26" s="12">
        <f t="shared" si="14"/>
        <v>50.6</v>
      </c>
      <c r="AR26" s="12">
        <f t="shared" si="14"/>
        <v>66.600000000000009</v>
      </c>
      <c r="AS26" s="12">
        <f t="shared" si="15"/>
        <v>96</v>
      </c>
      <c r="AT26" s="12">
        <f t="shared" si="15"/>
        <v>48</v>
      </c>
      <c r="AU26" s="12">
        <f t="shared" si="9"/>
        <v>34.700000000000003</v>
      </c>
      <c r="AV26" s="12">
        <f t="shared" si="15"/>
        <v>14.6</v>
      </c>
      <c r="AW26" s="12">
        <f t="shared" si="16"/>
        <v>22.6</v>
      </c>
      <c r="AX26" s="12">
        <f t="shared" si="10"/>
        <v>96</v>
      </c>
      <c r="AY26" s="9"/>
      <c r="AZ26" s="12">
        <f t="shared" si="17"/>
        <v>13.3</v>
      </c>
      <c r="BA26" s="12">
        <f t="shared" si="13"/>
        <v>94.6</v>
      </c>
      <c r="BB26" s="12">
        <f t="shared" si="11"/>
        <v>57.3</v>
      </c>
      <c r="BC26" s="12">
        <f t="shared" si="11"/>
        <v>53.300000000000004</v>
      </c>
      <c r="BD26" s="12">
        <f t="shared" si="11"/>
        <v>5.3</v>
      </c>
      <c r="BE26" s="12">
        <f t="shared" si="11"/>
        <v>22.6</v>
      </c>
      <c r="BF26" s="12">
        <f t="shared" si="12"/>
        <v>45.300000000000004</v>
      </c>
      <c r="BG26" s="12">
        <f t="shared" si="12"/>
        <v>5.3</v>
      </c>
      <c r="BH26" s="12">
        <f t="shared" si="12"/>
        <v>84</v>
      </c>
      <c r="BI26" s="12">
        <f t="shared" si="12"/>
        <v>61.3</v>
      </c>
    </row>
    <row r="27" spans="1:61" ht="15.75" customHeight="1">
      <c r="A27" s="1" t="s">
        <v>121</v>
      </c>
      <c r="B27" s="3" t="s">
        <v>94</v>
      </c>
      <c r="C27" s="4" t="s">
        <v>110</v>
      </c>
      <c r="D27" s="4">
        <v>28</v>
      </c>
      <c r="E27" s="4">
        <v>736</v>
      </c>
      <c r="F27" s="4">
        <v>28</v>
      </c>
      <c r="G27" s="4">
        <v>736</v>
      </c>
      <c r="H27" s="4">
        <v>18</v>
      </c>
      <c r="I27" s="4">
        <v>0.52</v>
      </c>
      <c r="J27" s="4">
        <v>0.47</v>
      </c>
      <c r="K27" s="4">
        <v>0.03</v>
      </c>
      <c r="L27" s="4">
        <v>0.40300000000000002</v>
      </c>
      <c r="M27" s="4">
        <v>10.199999999999999</v>
      </c>
      <c r="N27" s="4">
        <v>14.2</v>
      </c>
      <c r="O27" s="4">
        <v>8.1</v>
      </c>
      <c r="P27" s="4">
        <v>3.9</v>
      </c>
      <c r="Q27" s="4">
        <v>2.5</v>
      </c>
      <c r="R27" s="4">
        <v>18</v>
      </c>
      <c r="S27" s="4">
        <v>17.600000000000001</v>
      </c>
      <c r="T27" s="4">
        <v>98</v>
      </c>
      <c r="U27" s="4">
        <v>83</v>
      </c>
      <c r="V27" s="4"/>
      <c r="W27" s="4">
        <v>1.4</v>
      </c>
      <c r="X27" s="4">
        <v>2.1</v>
      </c>
      <c r="Y27" s="4">
        <v>3.5</v>
      </c>
      <c r="Z27" s="4">
        <v>0.192</v>
      </c>
      <c r="AA27" s="13">
        <f>(I27/TOTAL_BASIC!$D$301)*100</f>
        <v>105.39092859011248</v>
      </c>
      <c r="AB27" s="5">
        <f t="shared" si="3"/>
        <v>0.98</v>
      </c>
      <c r="AC27" s="3">
        <f t="shared" si="1"/>
        <v>15</v>
      </c>
      <c r="AD27" s="9">
        <f t="shared" si="4"/>
        <v>1.04</v>
      </c>
      <c r="AE27" s="16">
        <f t="shared" si="5"/>
        <v>0.46022727272727265</v>
      </c>
      <c r="AF27" s="16">
        <f t="shared" si="6"/>
        <v>0.44999999999999996</v>
      </c>
      <c r="AG27" s="9"/>
      <c r="AH27" s="9"/>
      <c r="AI27" s="12">
        <f t="shared" si="7"/>
        <v>40</v>
      </c>
      <c r="AJ27" s="12">
        <f t="shared" si="8"/>
        <v>68</v>
      </c>
      <c r="AK27" s="12">
        <f t="shared" si="8"/>
        <v>70.599999999999994</v>
      </c>
      <c r="AL27" s="12">
        <f t="shared" si="8"/>
        <v>73.3</v>
      </c>
      <c r="AM27" s="12">
        <f t="shared" si="8"/>
        <v>69.3</v>
      </c>
      <c r="AN27" s="12">
        <f t="shared" si="8"/>
        <v>20</v>
      </c>
      <c r="AO27" s="12">
        <f t="shared" si="14"/>
        <v>70.599999999999994</v>
      </c>
      <c r="AP27" s="12">
        <f t="shared" si="14"/>
        <v>84</v>
      </c>
      <c r="AQ27" s="12">
        <f t="shared" si="14"/>
        <v>86.6</v>
      </c>
      <c r="AR27" s="12">
        <f t="shared" si="14"/>
        <v>21.3</v>
      </c>
      <c r="AS27" s="12">
        <f t="shared" si="15"/>
        <v>90.600000000000009</v>
      </c>
      <c r="AT27" s="12">
        <f t="shared" si="15"/>
        <v>82.6</v>
      </c>
      <c r="AU27" s="12">
        <f t="shared" si="9"/>
        <v>70.7</v>
      </c>
      <c r="AV27" s="12">
        <f t="shared" si="15"/>
        <v>34.599999999999994</v>
      </c>
      <c r="AW27" s="12">
        <f t="shared" si="16"/>
        <v>74.599999999999994</v>
      </c>
      <c r="AX27" s="12">
        <f t="shared" si="10"/>
        <v>100</v>
      </c>
      <c r="AY27" s="9"/>
      <c r="AZ27" s="12">
        <f t="shared" si="17"/>
        <v>68</v>
      </c>
      <c r="BA27" s="12">
        <f t="shared" si="13"/>
        <v>94.6</v>
      </c>
      <c r="BB27" s="12">
        <f t="shared" si="11"/>
        <v>80</v>
      </c>
      <c r="BC27" s="12">
        <f t="shared" si="11"/>
        <v>88</v>
      </c>
      <c r="BD27" s="12">
        <f t="shared" si="11"/>
        <v>73.3</v>
      </c>
      <c r="BE27" s="12">
        <f t="shared" si="11"/>
        <v>74.599999999999994</v>
      </c>
      <c r="BF27" s="12">
        <f t="shared" si="12"/>
        <v>90.600000000000009</v>
      </c>
      <c r="BG27" s="12">
        <f t="shared" si="12"/>
        <v>73.3</v>
      </c>
      <c r="BH27" s="12">
        <f t="shared" si="12"/>
        <v>21.3</v>
      </c>
      <c r="BI27" s="12">
        <f t="shared" si="12"/>
        <v>25.3</v>
      </c>
    </row>
    <row r="28" spans="1:61" ht="15.75" customHeight="1">
      <c r="A28" s="1" t="s">
        <v>122</v>
      </c>
      <c r="B28" s="3" t="s">
        <v>105</v>
      </c>
      <c r="C28" s="4" t="s">
        <v>8</v>
      </c>
      <c r="D28" s="4">
        <v>27</v>
      </c>
      <c r="E28" s="4">
        <v>715</v>
      </c>
      <c r="F28" s="4">
        <v>27</v>
      </c>
      <c r="G28" s="4">
        <v>715</v>
      </c>
      <c r="H28" s="4">
        <v>19.2</v>
      </c>
      <c r="I28" s="4">
        <v>0.55000000000000004</v>
      </c>
      <c r="J28" s="4">
        <v>0.5</v>
      </c>
      <c r="K28" s="4">
        <v>0.20599999999999999</v>
      </c>
      <c r="L28" s="4">
        <v>0.34899999999999998</v>
      </c>
      <c r="M28" s="4">
        <v>4</v>
      </c>
      <c r="N28" s="4">
        <v>6.9</v>
      </c>
      <c r="O28" s="4">
        <v>14.4</v>
      </c>
      <c r="P28" s="4">
        <v>3.6</v>
      </c>
      <c r="Q28" s="4">
        <v>0.5</v>
      </c>
      <c r="R28" s="4">
        <v>16.600000000000001</v>
      </c>
      <c r="S28" s="4">
        <v>21.6</v>
      </c>
      <c r="T28" s="4">
        <v>103</v>
      </c>
      <c r="U28" s="4">
        <v>91</v>
      </c>
      <c r="V28" s="4"/>
      <c r="W28" s="4">
        <v>2.2999999999999998</v>
      </c>
      <c r="X28" s="4">
        <v>1</v>
      </c>
      <c r="Y28" s="4">
        <v>3.3</v>
      </c>
      <c r="Z28" s="4">
        <v>0.183</v>
      </c>
      <c r="AA28" s="13">
        <f>(I28/TOTAL_BASIC!$D$301)*100</f>
        <v>111.4711744703113</v>
      </c>
      <c r="AB28" s="5">
        <f t="shared" si="3"/>
        <v>1.03</v>
      </c>
      <c r="AC28" s="3">
        <f t="shared" si="1"/>
        <v>12</v>
      </c>
      <c r="AD28" s="9">
        <f t="shared" si="4"/>
        <v>1.1000000000000001</v>
      </c>
      <c r="AE28" s="16">
        <f t="shared" si="5"/>
        <v>0.66666666666666663</v>
      </c>
      <c r="AF28" s="16">
        <f t="shared" si="6"/>
        <v>0.8674698795180722</v>
      </c>
      <c r="AG28" s="9"/>
      <c r="AH28" s="9"/>
      <c r="AI28" s="12">
        <f t="shared" si="7"/>
        <v>33.300000000000004</v>
      </c>
      <c r="AJ28" s="12">
        <f t="shared" si="8"/>
        <v>66.600000000000009</v>
      </c>
      <c r="AK28" s="12">
        <f t="shared" si="8"/>
        <v>82.6</v>
      </c>
      <c r="AL28" s="12">
        <f t="shared" si="8"/>
        <v>86.6</v>
      </c>
      <c r="AM28" s="12">
        <f t="shared" si="8"/>
        <v>84</v>
      </c>
      <c r="AN28" s="12">
        <f t="shared" si="8"/>
        <v>65.3</v>
      </c>
      <c r="AO28" s="12">
        <f t="shared" si="14"/>
        <v>61.3</v>
      </c>
      <c r="AP28" s="12">
        <f t="shared" si="14"/>
        <v>28.000000000000004</v>
      </c>
      <c r="AQ28" s="12">
        <f t="shared" si="14"/>
        <v>22.6</v>
      </c>
      <c r="AR28" s="12">
        <f t="shared" si="14"/>
        <v>54.6</v>
      </c>
      <c r="AS28" s="12">
        <f t="shared" si="15"/>
        <v>84</v>
      </c>
      <c r="AT28" s="12">
        <f t="shared" si="15"/>
        <v>29.299999999999997</v>
      </c>
      <c r="AU28" s="12">
        <f t="shared" si="9"/>
        <v>76</v>
      </c>
      <c r="AV28" s="12">
        <f t="shared" si="15"/>
        <v>73.3</v>
      </c>
      <c r="AW28" s="12">
        <f t="shared" si="16"/>
        <v>85.3</v>
      </c>
      <c r="AX28" s="12">
        <f t="shared" si="10"/>
        <v>66.699999999999989</v>
      </c>
      <c r="AY28" s="9"/>
      <c r="AZ28" s="12">
        <f t="shared" si="17"/>
        <v>82.6</v>
      </c>
      <c r="BA28" s="12">
        <f t="shared" si="13"/>
        <v>70.599999999999994</v>
      </c>
      <c r="BB28" s="12">
        <f t="shared" si="11"/>
        <v>77.3</v>
      </c>
      <c r="BC28" s="12">
        <f t="shared" si="11"/>
        <v>82.6</v>
      </c>
      <c r="BD28" s="12">
        <f t="shared" si="11"/>
        <v>86.6</v>
      </c>
      <c r="BE28" s="12">
        <f t="shared" si="11"/>
        <v>85.3</v>
      </c>
      <c r="BF28" s="12">
        <f t="shared" si="12"/>
        <v>84</v>
      </c>
      <c r="BG28" s="12">
        <f t="shared" si="12"/>
        <v>86.6</v>
      </c>
      <c r="BH28" s="12">
        <f t="shared" si="12"/>
        <v>44</v>
      </c>
      <c r="BI28" s="12">
        <f t="shared" si="12"/>
        <v>72</v>
      </c>
    </row>
    <row r="29" spans="1:61" ht="15.75" customHeight="1">
      <c r="A29" s="1" t="s">
        <v>123</v>
      </c>
      <c r="B29" s="4" t="s">
        <v>96</v>
      </c>
      <c r="C29" s="4" t="s">
        <v>8</v>
      </c>
      <c r="D29" s="4">
        <v>28</v>
      </c>
      <c r="E29" s="4">
        <v>712</v>
      </c>
      <c r="F29" s="4">
        <v>28</v>
      </c>
      <c r="G29" s="4">
        <v>712</v>
      </c>
      <c r="H29" s="4">
        <v>14.4</v>
      </c>
      <c r="I29" s="4">
        <v>0.443</v>
      </c>
      <c r="J29" s="4">
        <v>0.40100000000000002</v>
      </c>
      <c r="K29" s="4">
        <v>3.2000000000000001E-2</v>
      </c>
      <c r="L29" s="4">
        <v>0.29499999999999998</v>
      </c>
      <c r="M29" s="4">
        <v>7.1</v>
      </c>
      <c r="N29" s="4">
        <v>10.4</v>
      </c>
      <c r="O29" s="4">
        <v>18.2</v>
      </c>
      <c r="P29" s="4">
        <v>3.4</v>
      </c>
      <c r="Q29" s="4">
        <v>1.2</v>
      </c>
      <c r="R29" s="4">
        <v>22</v>
      </c>
      <c r="S29" s="4">
        <v>20.6</v>
      </c>
      <c r="T29" s="4">
        <v>85</v>
      </c>
      <c r="U29" s="4">
        <v>90</v>
      </c>
      <c r="V29" s="4"/>
      <c r="W29" s="4">
        <v>0</v>
      </c>
      <c r="X29" s="4">
        <v>1.1000000000000001</v>
      </c>
      <c r="Y29" s="4">
        <v>1.1000000000000001</v>
      </c>
      <c r="Z29" s="4">
        <v>6.0999999999999999E-2</v>
      </c>
      <c r="AA29" s="13">
        <f>(I29/TOTAL_BASIC!$D$301)*100</f>
        <v>89.784964164268899</v>
      </c>
      <c r="AB29" s="5">
        <f t="shared" si="3"/>
        <v>0.85</v>
      </c>
      <c r="AC29" s="3">
        <f t="shared" si="1"/>
        <v>-5</v>
      </c>
      <c r="AD29" s="9">
        <f t="shared" si="4"/>
        <v>0.88600000000000001</v>
      </c>
      <c r="AE29" s="16">
        <f t="shared" si="5"/>
        <v>0.8834951456310679</v>
      </c>
      <c r="AF29" s="16">
        <f t="shared" si="6"/>
        <v>0.82727272727272727</v>
      </c>
      <c r="AG29" s="9"/>
      <c r="AH29" s="9"/>
      <c r="AI29" s="12">
        <f t="shared" si="7"/>
        <v>40</v>
      </c>
      <c r="AJ29" s="12">
        <f t="shared" si="8"/>
        <v>65.3</v>
      </c>
      <c r="AK29" s="12">
        <f t="shared" si="8"/>
        <v>56.000000000000007</v>
      </c>
      <c r="AL29" s="12">
        <f t="shared" si="8"/>
        <v>32</v>
      </c>
      <c r="AM29" s="12">
        <f t="shared" si="8"/>
        <v>29.299999999999997</v>
      </c>
      <c r="AN29" s="12">
        <f t="shared" si="8"/>
        <v>21.3</v>
      </c>
      <c r="AO29" s="12">
        <f t="shared" si="14"/>
        <v>41.3</v>
      </c>
      <c r="AP29" s="12">
        <f t="shared" si="14"/>
        <v>54.6</v>
      </c>
      <c r="AQ29" s="12">
        <f t="shared" si="14"/>
        <v>61.3</v>
      </c>
      <c r="AR29" s="12">
        <f t="shared" si="14"/>
        <v>73.3</v>
      </c>
      <c r="AS29" s="12">
        <f t="shared" si="15"/>
        <v>80</v>
      </c>
      <c r="AT29" s="12">
        <f t="shared" si="15"/>
        <v>58.599999999999994</v>
      </c>
      <c r="AU29" s="12">
        <f t="shared" si="9"/>
        <v>40</v>
      </c>
      <c r="AV29" s="12">
        <f t="shared" si="15"/>
        <v>62.6</v>
      </c>
      <c r="AW29" s="12">
        <f t="shared" si="16"/>
        <v>30.599999999999998</v>
      </c>
      <c r="AX29" s="12">
        <f t="shared" si="10"/>
        <v>72</v>
      </c>
      <c r="AY29" s="9"/>
      <c r="AZ29" s="12">
        <f t="shared" si="17"/>
        <v>29.299999999999997</v>
      </c>
      <c r="BA29" s="12">
        <f t="shared" si="13"/>
        <v>76</v>
      </c>
      <c r="BB29" s="12">
        <f t="shared" si="11"/>
        <v>52</v>
      </c>
      <c r="BC29" s="12">
        <f t="shared" si="11"/>
        <v>41.3</v>
      </c>
      <c r="BD29" s="12">
        <f t="shared" si="11"/>
        <v>32</v>
      </c>
      <c r="BE29" s="12">
        <f t="shared" si="11"/>
        <v>30.599999999999998</v>
      </c>
      <c r="BF29" s="12">
        <f t="shared" si="12"/>
        <v>41.3</v>
      </c>
      <c r="BG29" s="12">
        <f t="shared" si="12"/>
        <v>32</v>
      </c>
      <c r="BH29" s="12">
        <f t="shared" si="12"/>
        <v>69.3</v>
      </c>
      <c r="BI29" s="12">
        <f t="shared" si="12"/>
        <v>69.3</v>
      </c>
    </row>
    <row r="30" spans="1:61" ht="15.75" customHeight="1">
      <c r="A30" s="1" t="s">
        <v>124</v>
      </c>
      <c r="B30" s="4" t="s">
        <v>88</v>
      </c>
      <c r="C30" s="4" t="s">
        <v>99</v>
      </c>
      <c r="D30" s="4">
        <v>28</v>
      </c>
      <c r="E30" s="4">
        <v>710</v>
      </c>
      <c r="F30" s="4">
        <v>28</v>
      </c>
      <c r="G30" s="4">
        <v>710</v>
      </c>
      <c r="H30" s="4">
        <v>20.9</v>
      </c>
      <c r="I30" s="4">
        <v>0.56100000000000005</v>
      </c>
      <c r="J30" s="4">
        <v>0.5</v>
      </c>
      <c r="K30" s="4">
        <v>3.3000000000000002E-2</v>
      </c>
      <c r="L30" s="4">
        <v>0.434</v>
      </c>
      <c r="M30" s="4">
        <v>9.5</v>
      </c>
      <c r="N30" s="4">
        <v>13.5</v>
      </c>
      <c r="O30" s="4">
        <v>19.100000000000001</v>
      </c>
      <c r="P30" s="4">
        <v>1.6</v>
      </c>
      <c r="Q30" s="4">
        <v>1.4</v>
      </c>
      <c r="R30" s="4">
        <v>19</v>
      </c>
      <c r="S30" s="4">
        <v>24</v>
      </c>
      <c r="T30" s="4">
        <v>104</v>
      </c>
      <c r="U30" s="4">
        <v>91</v>
      </c>
      <c r="V30" s="4"/>
      <c r="W30" s="4">
        <v>2.7</v>
      </c>
      <c r="X30" s="4">
        <v>1</v>
      </c>
      <c r="Y30" s="4">
        <v>3.7</v>
      </c>
      <c r="Z30" s="4">
        <v>0.20899999999999999</v>
      </c>
      <c r="AA30" s="13">
        <f>(I30/TOTAL_BASIC!$D$301)*100</f>
        <v>113.70059795971753</v>
      </c>
      <c r="AB30" s="5">
        <f t="shared" si="3"/>
        <v>1.04</v>
      </c>
      <c r="AC30" s="3">
        <f t="shared" si="1"/>
        <v>13</v>
      </c>
      <c r="AD30" s="9">
        <f t="shared" si="4"/>
        <v>1.1220000000000001</v>
      </c>
      <c r="AE30" s="16">
        <f t="shared" si="5"/>
        <v>0.79583333333333339</v>
      </c>
      <c r="AF30" s="16">
        <f t="shared" si="6"/>
        <v>1.0052631578947369</v>
      </c>
      <c r="AG30" s="9"/>
      <c r="AH30" s="9"/>
      <c r="AI30" s="12">
        <f t="shared" si="7"/>
        <v>40</v>
      </c>
      <c r="AJ30" s="12">
        <f t="shared" si="8"/>
        <v>64</v>
      </c>
      <c r="AK30" s="12">
        <f t="shared" si="8"/>
        <v>92</v>
      </c>
      <c r="AL30" s="12">
        <f t="shared" si="8"/>
        <v>88</v>
      </c>
      <c r="AM30" s="12">
        <f t="shared" si="8"/>
        <v>84</v>
      </c>
      <c r="AN30" s="12">
        <f t="shared" si="8"/>
        <v>24</v>
      </c>
      <c r="AO30" s="12">
        <f t="shared" si="14"/>
        <v>76</v>
      </c>
      <c r="AP30" s="12">
        <f t="shared" si="14"/>
        <v>74.599999999999994</v>
      </c>
      <c r="AQ30" s="12">
        <f t="shared" si="14"/>
        <v>80</v>
      </c>
      <c r="AR30" s="12">
        <f t="shared" si="14"/>
        <v>74.599999999999994</v>
      </c>
      <c r="AS30" s="12">
        <f t="shared" si="15"/>
        <v>18.600000000000001</v>
      </c>
      <c r="AT30" s="12">
        <f t="shared" si="15"/>
        <v>62.6</v>
      </c>
      <c r="AU30" s="12">
        <f t="shared" si="9"/>
        <v>57.4</v>
      </c>
      <c r="AV30" s="12">
        <f t="shared" si="15"/>
        <v>88</v>
      </c>
      <c r="AW30" s="12">
        <f t="shared" si="16"/>
        <v>86.6</v>
      </c>
      <c r="AX30" s="12">
        <f t="shared" si="10"/>
        <v>66.699999999999989</v>
      </c>
      <c r="AY30" s="9"/>
      <c r="AZ30" s="12">
        <f t="shared" si="17"/>
        <v>92</v>
      </c>
      <c r="BA30" s="12">
        <f t="shared" si="13"/>
        <v>70.599999999999994</v>
      </c>
      <c r="BB30" s="12">
        <f t="shared" si="11"/>
        <v>86.6</v>
      </c>
      <c r="BC30" s="12">
        <f t="shared" si="11"/>
        <v>94.6</v>
      </c>
      <c r="BD30" s="12">
        <f t="shared" si="11"/>
        <v>88</v>
      </c>
      <c r="BE30" s="12">
        <f t="shared" si="11"/>
        <v>86.6</v>
      </c>
      <c r="BF30" s="12">
        <f t="shared" si="12"/>
        <v>86.6</v>
      </c>
      <c r="BG30" s="12">
        <f t="shared" si="12"/>
        <v>88</v>
      </c>
      <c r="BH30" s="12">
        <f t="shared" si="12"/>
        <v>58.599999999999994</v>
      </c>
      <c r="BI30" s="12">
        <f t="shared" si="12"/>
        <v>84</v>
      </c>
    </row>
    <row r="31" spans="1:61" ht="15.75" customHeight="1">
      <c r="A31" s="1" t="s">
        <v>125</v>
      </c>
      <c r="B31" s="3" t="s">
        <v>90</v>
      </c>
      <c r="C31" s="4" t="s">
        <v>8</v>
      </c>
      <c r="D31" s="4">
        <v>28</v>
      </c>
      <c r="E31" s="4">
        <v>692</v>
      </c>
      <c r="F31" s="4">
        <v>28</v>
      </c>
      <c r="G31" s="4">
        <v>692</v>
      </c>
      <c r="H31" s="4">
        <v>14.1</v>
      </c>
      <c r="I31" s="4">
        <v>0.45200000000000001</v>
      </c>
      <c r="J31" s="4">
        <v>0.45100000000000001</v>
      </c>
      <c r="K31" s="4">
        <v>0.61099999999999999</v>
      </c>
      <c r="L31" s="4">
        <v>0.22800000000000001</v>
      </c>
      <c r="M31" s="4">
        <v>3.4</v>
      </c>
      <c r="N31" s="4">
        <v>7.2</v>
      </c>
      <c r="O31" s="4">
        <v>23.8</v>
      </c>
      <c r="P31" s="4">
        <v>5.6</v>
      </c>
      <c r="Q31" s="4">
        <v>0.2</v>
      </c>
      <c r="R31" s="4">
        <v>26.7</v>
      </c>
      <c r="S31" s="4">
        <v>16.5</v>
      </c>
      <c r="T31" s="4">
        <v>87</v>
      </c>
      <c r="U31" s="4">
        <v>87</v>
      </c>
      <c r="V31" s="4"/>
      <c r="W31" s="4">
        <v>0.2</v>
      </c>
      <c r="X31" s="4">
        <v>1.5</v>
      </c>
      <c r="Y31" s="4">
        <v>1.7</v>
      </c>
      <c r="Z31" s="4">
        <v>9.8000000000000004E-2</v>
      </c>
      <c r="AA31" s="13">
        <f>(I31/TOTAL_BASIC!$D$301)*100</f>
        <v>91.609037928328547</v>
      </c>
      <c r="AB31" s="5">
        <f t="shared" si="3"/>
        <v>0.87</v>
      </c>
      <c r="AC31" s="3">
        <f t="shared" si="1"/>
        <v>0</v>
      </c>
      <c r="AD31" s="9">
        <f t="shared" si="4"/>
        <v>0.90400000000000003</v>
      </c>
      <c r="AE31" s="16">
        <f t="shared" si="5"/>
        <v>1.4424242424242424</v>
      </c>
      <c r="AF31" s="16">
        <f t="shared" si="6"/>
        <v>0.89138576779026224</v>
      </c>
      <c r="AG31" s="9"/>
      <c r="AH31" s="9"/>
      <c r="AI31" s="12">
        <f t="shared" si="7"/>
        <v>40</v>
      </c>
      <c r="AJ31" s="12">
        <f t="shared" si="8"/>
        <v>62.6</v>
      </c>
      <c r="AK31" s="12">
        <f t="shared" si="8"/>
        <v>50.6</v>
      </c>
      <c r="AL31" s="12">
        <f t="shared" si="8"/>
        <v>40</v>
      </c>
      <c r="AM31" s="12">
        <f t="shared" si="8"/>
        <v>54.6</v>
      </c>
      <c r="AN31" s="12">
        <f t="shared" si="8"/>
        <v>96</v>
      </c>
      <c r="AO31" s="12">
        <f t="shared" si="14"/>
        <v>25.3</v>
      </c>
      <c r="AP31" s="12">
        <f t="shared" si="14"/>
        <v>21.3</v>
      </c>
      <c r="AQ31" s="12">
        <f t="shared" si="14"/>
        <v>28.000000000000004</v>
      </c>
      <c r="AR31" s="12">
        <f t="shared" si="14"/>
        <v>88</v>
      </c>
      <c r="AS31" s="12">
        <f t="shared" si="15"/>
        <v>100</v>
      </c>
      <c r="AT31" s="12">
        <f t="shared" si="15"/>
        <v>6.6000000000000005</v>
      </c>
      <c r="AU31" s="12">
        <f t="shared" si="9"/>
        <v>28</v>
      </c>
      <c r="AV31" s="12">
        <f t="shared" si="15"/>
        <v>25.3</v>
      </c>
      <c r="AW31" s="12">
        <f t="shared" si="16"/>
        <v>38.6</v>
      </c>
      <c r="AX31" s="12">
        <f t="shared" si="10"/>
        <v>85.4</v>
      </c>
      <c r="AY31" s="9"/>
      <c r="AZ31" s="12">
        <f t="shared" si="17"/>
        <v>45.300000000000004</v>
      </c>
      <c r="BA31" s="12">
        <f t="shared" si="13"/>
        <v>85.3</v>
      </c>
      <c r="BB31" s="12">
        <f t="shared" si="11"/>
        <v>58.599999999999994</v>
      </c>
      <c r="BC31" s="12">
        <f t="shared" si="11"/>
        <v>61.3</v>
      </c>
      <c r="BD31" s="12">
        <f t="shared" si="11"/>
        <v>40</v>
      </c>
      <c r="BE31" s="12">
        <f t="shared" si="11"/>
        <v>38.6</v>
      </c>
      <c r="BF31" s="12">
        <f t="shared" si="12"/>
        <v>60</v>
      </c>
      <c r="BG31" s="12">
        <f t="shared" si="12"/>
        <v>40</v>
      </c>
      <c r="BH31" s="12">
        <f t="shared" si="12"/>
        <v>90.600000000000009</v>
      </c>
      <c r="BI31" s="12">
        <f t="shared" si="12"/>
        <v>76</v>
      </c>
    </row>
    <row r="32" spans="1:61" ht="15.75" customHeight="1">
      <c r="A32" s="1" t="s">
        <v>126</v>
      </c>
      <c r="B32" s="3" t="s">
        <v>86</v>
      </c>
      <c r="C32" s="4" t="s">
        <v>110</v>
      </c>
      <c r="D32" s="4">
        <v>27</v>
      </c>
      <c r="E32" s="4">
        <v>691</v>
      </c>
      <c r="F32" s="4">
        <v>27</v>
      </c>
      <c r="G32" s="4">
        <v>691</v>
      </c>
      <c r="H32" s="4">
        <v>14.5</v>
      </c>
      <c r="I32" s="4">
        <v>0.52500000000000002</v>
      </c>
      <c r="J32" s="4">
        <v>0.46400000000000002</v>
      </c>
      <c r="K32" s="4">
        <v>3.2000000000000001E-2</v>
      </c>
      <c r="L32" s="4">
        <v>0.505</v>
      </c>
      <c r="M32" s="4">
        <v>9.5</v>
      </c>
      <c r="N32" s="4">
        <v>10.9</v>
      </c>
      <c r="O32" s="4">
        <v>6.1</v>
      </c>
      <c r="P32" s="4">
        <v>2.1</v>
      </c>
      <c r="Q32" s="4">
        <v>1.6</v>
      </c>
      <c r="R32" s="4">
        <v>21.2</v>
      </c>
      <c r="S32" s="4">
        <v>22.3</v>
      </c>
      <c r="T32" s="4">
        <v>94</v>
      </c>
      <c r="U32" s="4">
        <v>101</v>
      </c>
      <c r="V32" s="4"/>
      <c r="W32" s="4">
        <v>1.2</v>
      </c>
      <c r="X32" s="4">
        <v>-0.1</v>
      </c>
      <c r="Y32" s="4">
        <v>1</v>
      </c>
      <c r="Z32" s="4">
        <v>0.06</v>
      </c>
      <c r="AA32" s="13">
        <f>(I32/TOTAL_BASIC!$D$301)*100</f>
        <v>106.40430290347895</v>
      </c>
      <c r="AB32" s="5">
        <f t="shared" si="3"/>
        <v>0.94</v>
      </c>
      <c r="AC32" s="3">
        <f t="shared" si="1"/>
        <v>-7</v>
      </c>
      <c r="AD32" s="9">
        <f t="shared" si="4"/>
        <v>1.05</v>
      </c>
      <c r="AE32" s="16">
        <f t="shared" si="5"/>
        <v>0.27354260089686094</v>
      </c>
      <c r="AF32" s="16">
        <f t="shared" si="6"/>
        <v>0.28773584905660377</v>
      </c>
      <c r="AG32" s="9"/>
      <c r="AH32" s="9"/>
      <c r="AI32" s="12">
        <f t="shared" si="7"/>
        <v>33.300000000000004</v>
      </c>
      <c r="AJ32" s="12">
        <f t="shared" si="8"/>
        <v>60</v>
      </c>
      <c r="AK32" s="12">
        <f t="shared" si="8"/>
        <v>58.599999999999994</v>
      </c>
      <c r="AL32" s="12">
        <f t="shared" si="8"/>
        <v>80</v>
      </c>
      <c r="AM32" s="12">
        <f t="shared" si="8"/>
        <v>62.6</v>
      </c>
      <c r="AN32" s="12">
        <f t="shared" si="8"/>
        <v>21.3</v>
      </c>
      <c r="AO32" s="12">
        <f t="shared" si="14"/>
        <v>84</v>
      </c>
      <c r="AP32" s="12">
        <f t="shared" si="14"/>
        <v>74.599999999999994</v>
      </c>
      <c r="AQ32" s="12">
        <f t="shared" si="14"/>
        <v>65.3</v>
      </c>
      <c r="AR32" s="12">
        <f t="shared" si="14"/>
        <v>9.3000000000000007</v>
      </c>
      <c r="AS32" s="12">
        <f t="shared" si="15"/>
        <v>30.599999999999998</v>
      </c>
      <c r="AT32" s="12">
        <f t="shared" si="15"/>
        <v>68</v>
      </c>
      <c r="AU32" s="12">
        <f t="shared" si="9"/>
        <v>43.999999999999993</v>
      </c>
      <c r="AV32" s="12">
        <f t="shared" si="15"/>
        <v>76</v>
      </c>
      <c r="AW32" s="12">
        <f t="shared" si="16"/>
        <v>61.3</v>
      </c>
      <c r="AX32" s="12">
        <f t="shared" si="10"/>
        <v>14.700000000000003</v>
      </c>
      <c r="AY32" s="9"/>
      <c r="AZ32" s="12">
        <f t="shared" si="17"/>
        <v>66.600000000000009</v>
      </c>
      <c r="BA32" s="12">
        <f t="shared" si="13"/>
        <v>9.3000000000000007</v>
      </c>
      <c r="BB32" s="12">
        <f t="shared" si="11"/>
        <v>50.6</v>
      </c>
      <c r="BC32" s="12">
        <f t="shared" si="11"/>
        <v>38.6</v>
      </c>
      <c r="BD32" s="12">
        <f t="shared" si="11"/>
        <v>80</v>
      </c>
      <c r="BE32" s="12">
        <f t="shared" si="11"/>
        <v>61.3</v>
      </c>
      <c r="BF32" s="12">
        <f t="shared" si="12"/>
        <v>36</v>
      </c>
      <c r="BG32" s="12">
        <f t="shared" si="12"/>
        <v>80</v>
      </c>
      <c r="BH32" s="12">
        <f t="shared" si="12"/>
        <v>6.6000000000000005</v>
      </c>
      <c r="BI32" s="12">
        <f t="shared" si="12"/>
        <v>10.6</v>
      </c>
    </row>
    <row r="33" spans="1:61" ht="15.75" customHeight="1">
      <c r="A33" s="1" t="s">
        <v>127</v>
      </c>
      <c r="B33" s="3" t="s">
        <v>101</v>
      </c>
      <c r="C33" s="4" t="s">
        <v>92</v>
      </c>
      <c r="D33" s="4">
        <v>28</v>
      </c>
      <c r="E33" s="4">
        <v>691</v>
      </c>
      <c r="F33" s="4">
        <v>28</v>
      </c>
      <c r="G33" s="4">
        <v>691</v>
      </c>
      <c r="H33" s="4">
        <v>6.9</v>
      </c>
      <c r="I33" s="4">
        <v>0.4</v>
      </c>
      <c r="J33" s="4">
        <v>0.35</v>
      </c>
      <c r="K33" s="4">
        <v>0.06</v>
      </c>
      <c r="L33" s="4">
        <v>0.32900000000000001</v>
      </c>
      <c r="M33" s="4">
        <v>5.3</v>
      </c>
      <c r="N33" s="4">
        <v>7</v>
      </c>
      <c r="O33" s="4">
        <v>19.2</v>
      </c>
      <c r="P33" s="4">
        <v>1.8</v>
      </c>
      <c r="Q33" s="4">
        <v>0.2</v>
      </c>
      <c r="R33" s="4">
        <v>29.2</v>
      </c>
      <c r="S33" s="4">
        <v>17.399999999999999</v>
      </c>
      <c r="T33" s="4">
        <v>72</v>
      </c>
      <c r="U33" s="4">
        <v>103</v>
      </c>
      <c r="V33" s="4"/>
      <c r="W33" s="4">
        <v>-1.3</v>
      </c>
      <c r="X33" s="4">
        <v>-0.4</v>
      </c>
      <c r="Y33" s="4">
        <v>-1.8</v>
      </c>
      <c r="Z33" s="4">
        <v>-0.10199999999999999</v>
      </c>
      <c r="AA33" s="13">
        <f>(I33/TOTAL_BASIC!$D$301)*100</f>
        <v>81.069945069317299</v>
      </c>
      <c r="AB33" s="5">
        <f t="shared" si="3"/>
        <v>0.72</v>
      </c>
      <c r="AC33" s="3">
        <f t="shared" si="1"/>
        <v>-31</v>
      </c>
      <c r="AD33" s="9">
        <f t="shared" si="4"/>
        <v>0.8</v>
      </c>
      <c r="AE33" s="16">
        <f t="shared" si="5"/>
        <v>1.103448275862069</v>
      </c>
      <c r="AF33" s="16">
        <f t="shared" si="6"/>
        <v>0.65753424657534243</v>
      </c>
      <c r="AG33" s="9"/>
      <c r="AH33" s="9"/>
      <c r="AI33" s="12">
        <f t="shared" si="7"/>
        <v>40</v>
      </c>
      <c r="AJ33" s="12">
        <f t="shared" si="8"/>
        <v>60</v>
      </c>
      <c r="AK33" s="12">
        <f t="shared" si="8"/>
        <v>13.3</v>
      </c>
      <c r="AL33" s="12">
        <f t="shared" si="8"/>
        <v>9.3000000000000007</v>
      </c>
      <c r="AM33" s="12">
        <f t="shared" si="8"/>
        <v>8</v>
      </c>
      <c r="AN33" s="12">
        <f t="shared" si="8"/>
        <v>30.599999999999998</v>
      </c>
      <c r="AO33" s="12">
        <f t="shared" si="14"/>
        <v>50.6</v>
      </c>
      <c r="AP33" s="12">
        <f t="shared" si="14"/>
        <v>37.299999999999997</v>
      </c>
      <c r="AQ33" s="12">
        <f t="shared" si="14"/>
        <v>24</v>
      </c>
      <c r="AR33" s="12">
        <f t="shared" si="14"/>
        <v>76</v>
      </c>
      <c r="AS33" s="12">
        <f t="shared" si="15"/>
        <v>24</v>
      </c>
      <c r="AT33" s="12">
        <f t="shared" si="15"/>
        <v>6.6000000000000005</v>
      </c>
      <c r="AU33" s="12">
        <f t="shared" si="9"/>
        <v>20</v>
      </c>
      <c r="AV33" s="12">
        <f t="shared" si="15"/>
        <v>32</v>
      </c>
      <c r="AW33" s="12">
        <f t="shared" si="16"/>
        <v>9.3000000000000007</v>
      </c>
      <c r="AX33" s="12">
        <f t="shared" si="10"/>
        <v>5.4000000000000057</v>
      </c>
      <c r="AY33" s="9"/>
      <c r="AZ33" s="12">
        <f t="shared" si="17"/>
        <v>0</v>
      </c>
      <c r="BA33" s="12">
        <f t="shared" si="13"/>
        <v>2.6</v>
      </c>
      <c r="BB33" s="12">
        <f t="shared" si="11"/>
        <v>0</v>
      </c>
      <c r="BC33" s="12">
        <f t="shared" si="11"/>
        <v>2.6</v>
      </c>
      <c r="BD33" s="12">
        <f t="shared" si="11"/>
        <v>9.3000000000000007</v>
      </c>
      <c r="BE33" s="12">
        <f t="shared" si="11"/>
        <v>9.3000000000000007</v>
      </c>
      <c r="BF33" s="12">
        <f t="shared" si="12"/>
        <v>2.6</v>
      </c>
      <c r="BG33" s="12">
        <f t="shared" si="12"/>
        <v>9.3000000000000007</v>
      </c>
      <c r="BH33" s="12">
        <f t="shared" si="12"/>
        <v>82.6</v>
      </c>
      <c r="BI33" s="12">
        <f t="shared" si="12"/>
        <v>46.6</v>
      </c>
    </row>
    <row r="34" spans="1:61" ht="15.75" customHeight="1">
      <c r="A34" s="1" t="s">
        <v>128</v>
      </c>
      <c r="B34" s="3" t="s">
        <v>90</v>
      </c>
      <c r="C34" s="4" t="s">
        <v>99</v>
      </c>
      <c r="D34" s="4">
        <v>25</v>
      </c>
      <c r="E34" s="4">
        <v>668</v>
      </c>
      <c r="F34" s="4">
        <v>25</v>
      </c>
      <c r="G34" s="4">
        <v>668</v>
      </c>
      <c r="H34" s="4">
        <v>11.4</v>
      </c>
      <c r="I34" s="4">
        <v>0.5</v>
      </c>
      <c r="J34" s="4">
        <v>0.46700000000000003</v>
      </c>
      <c r="K34" s="4">
        <v>0</v>
      </c>
      <c r="L34" s="4">
        <v>0.55700000000000005</v>
      </c>
      <c r="M34" s="4">
        <v>14.7</v>
      </c>
      <c r="N34" s="4">
        <v>13.4</v>
      </c>
      <c r="O34" s="4">
        <v>3.4</v>
      </c>
      <c r="P34" s="4">
        <v>2.2000000000000002</v>
      </c>
      <c r="Q34" s="4">
        <v>1</v>
      </c>
      <c r="R34" s="4">
        <v>22.1</v>
      </c>
      <c r="S34" s="4">
        <v>13.7</v>
      </c>
      <c r="T34" s="4">
        <v>96</v>
      </c>
      <c r="U34" s="4">
        <v>93</v>
      </c>
      <c r="V34" s="4"/>
      <c r="W34" s="4">
        <v>0.9</v>
      </c>
      <c r="X34" s="4">
        <v>0.7</v>
      </c>
      <c r="Y34" s="4">
        <v>1.7</v>
      </c>
      <c r="Z34" s="4">
        <v>9.9000000000000005E-2</v>
      </c>
      <c r="AA34" s="13">
        <f>(I34/TOTAL_BASIC!$D$301)*100</f>
        <v>101.33743133664662</v>
      </c>
      <c r="AB34" s="5">
        <f t="shared" si="3"/>
        <v>0.96</v>
      </c>
      <c r="AC34" s="3">
        <f t="shared" si="1"/>
        <v>3</v>
      </c>
      <c r="AD34" s="9">
        <f t="shared" si="4"/>
        <v>1</v>
      </c>
      <c r="AE34" s="16">
        <f t="shared" si="5"/>
        <v>0.24817518248175183</v>
      </c>
      <c r="AF34" s="16">
        <f t="shared" si="6"/>
        <v>0.15384615384615383</v>
      </c>
      <c r="AG34" s="9"/>
      <c r="AH34" s="9"/>
      <c r="AI34" s="12">
        <f t="shared" si="7"/>
        <v>18.600000000000001</v>
      </c>
      <c r="AJ34" s="12">
        <f t="shared" si="8"/>
        <v>58.599999999999994</v>
      </c>
      <c r="AK34" s="12">
        <f t="shared" si="8"/>
        <v>38.6</v>
      </c>
      <c r="AL34" s="12">
        <f t="shared" si="8"/>
        <v>58.599999999999994</v>
      </c>
      <c r="AM34" s="12">
        <f t="shared" si="8"/>
        <v>66.600000000000009</v>
      </c>
      <c r="AN34" s="12">
        <f t="shared" si="8"/>
        <v>0</v>
      </c>
      <c r="AO34" s="12">
        <f t="shared" si="14"/>
        <v>93.300000000000011</v>
      </c>
      <c r="AP34" s="12">
        <f t="shared" si="14"/>
        <v>97.3</v>
      </c>
      <c r="AQ34" s="12">
        <f t="shared" si="14"/>
        <v>77.3</v>
      </c>
      <c r="AR34" s="12">
        <f t="shared" si="14"/>
        <v>1.3</v>
      </c>
      <c r="AS34" s="12">
        <f t="shared" si="15"/>
        <v>37.299999999999997</v>
      </c>
      <c r="AT34" s="12">
        <f t="shared" si="15"/>
        <v>52</v>
      </c>
      <c r="AU34" s="12">
        <f t="shared" si="9"/>
        <v>38.700000000000003</v>
      </c>
      <c r="AV34" s="12">
        <f t="shared" si="15"/>
        <v>12</v>
      </c>
      <c r="AW34" s="12">
        <f t="shared" si="16"/>
        <v>66.600000000000009</v>
      </c>
      <c r="AX34" s="12">
        <f t="shared" si="10"/>
        <v>46.699999999999996</v>
      </c>
      <c r="AY34" s="9"/>
      <c r="AZ34" s="12">
        <f t="shared" si="17"/>
        <v>60</v>
      </c>
      <c r="BA34" s="12">
        <f t="shared" si="13"/>
        <v>52</v>
      </c>
      <c r="BB34" s="12">
        <f t="shared" si="11"/>
        <v>58.599999999999994</v>
      </c>
      <c r="BC34" s="12">
        <f t="shared" si="11"/>
        <v>62.6</v>
      </c>
      <c r="BD34" s="12">
        <f t="shared" si="11"/>
        <v>58.599999999999994</v>
      </c>
      <c r="BE34" s="12">
        <f t="shared" si="11"/>
        <v>66.600000000000009</v>
      </c>
      <c r="BF34" s="12">
        <f t="shared" si="12"/>
        <v>66.600000000000009</v>
      </c>
      <c r="BG34" s="12">
        <f t="shared" si="12"/>
        <v>58.599999999999994</v>
      </c>
      <c r="BH34" s="12">
        <f t="shared" si="12"/>
        <v>2.6</v>
      </c>
      <c r="BI34" s="12">
        <f t="shared" si="12"/>
        <v>4</v>
      </c>
    </row>
    <row r="35" spans="1:61" ht="15.75" customHeight="1">
      <c r="A35" s="1" t="s">
        <v>129</v>
      </c>
      <c r="B35" s="3" t="s">
        <v>98</v>
      </c>
      <c r="C35" s="4" t="s">
        <v>99</v>
      </c>
      <c r="D35" s="4">
        <v>28</v>
      </c>
      <c r="E35" s="4">
        <v>663</v>
      </c>
      <c r="F35" s="4">
        <v>28</v>
      </c>
      <c r="G35" s="4">
        <v>663</v>
      </c>
      <c r="H35" s="4">
        <v>20.9</v>
      </c>
      <c r="I35" s="4">
        <v>0.52300000000000002</v>
      </c>
      <c r="J35" s="4">
        <v>0.47399999999999998</v>
      </c>
      <c r="K35" s="4">
        <v>5.0000000000000001E-3</v>
      </c>
      <c r="L35" s="4">
        <v>0.54</v>
      </c>
      <c r="M35" s="4">
        <v>9.6</v>
      </c>
      <c r="N35" s="4">
        <v>15.1</v>
      </c>
      <c r="O35" s="4">
        <v>12.1</v>
      </c>
      <c r="P35" s="4">
        <v>3.2</v>
      </c>
      <c r="Q35" s="4">
        <v>2.4</v>
      </c>
      <c r="R35" s="4">
        <v>15.8</v>
      </c>
      <c r="S35" s="4">
        <v>21.1</v>
      </c>
      <c r="T35" s="4">
        <v>101</v>
      </c>
      <c r="U35" s="4">
        <v>83</v>
      </c>
      <c r="V35" s="4"/>
      <c r="W35" s="4">
        <v>1.9</v>
      </c>
      <c r="X35" s="4">
        <v>1.8</v>
      </c>
      <c r="Y35" s="4">
        <v>3.7</v>
      </c>
      <c r="Z35" s="4">
        <v>0.221</v>
      </c>
      <c r="AA35" s="13">
        <f>(I35/TOTAL_BASIC!$D$301)*100</f>
        <v>105.99895317813237</v>
      </c>
      <c r="AB35" s="5">
        <f t="shared" si="3"/>
        <v>1.01</v>
      </c>
      <c r="AC35" s="3">
        <f t="shared" si="1"/>
        <v>18</v>
      </c>
      <c r="AD35" s="9">
        <f t="shared" si="4"/>
        <v>1.046</v>
      </c>
      <c r="AE35" s="16">
        <f t="shared" si="5"/>
        <v>0.57345971563981035</v>
      </c>
      <c r="AF35" s="16">
        <f t="shared" si="6"/>
        <v>0.76582278481012656</v>
      </c>
      <c r="AG35" s="9"/>
      <c r="AH35" s="9"/>
      <c r="AI35" s="12">
        <f t="shared" si="7"/>
        <v>40</v>
      </c>
      <c r="AJ35" s="12">
        <f t="shared" si="8"/>
        <v>57.3</v>
      </c>
      <c r="AK35" s="12">
        <f t="shared" si="8"/>
        <v>92</v>
      </c>
      <c r="AL35" s="12">
        <f t="shared" si="8"/>
        <v>77.3</v>
      </c>
      <c r="AM35" s="12">
        <f t="shared" si="8"/>
        <v>73.3</v>
      </c>
      <c r="AN35" s="12">
        <f t="shared" si="8"/>
        <v>8</v>
      </c>
      <c r="AO35" s="12">
        <f t="shared" si="14"/>
        <v>90.600000000000009</v>
      </c>
      <c r="AP35" s="12">
        <f t="shared" si="14"/>
        <v>78.600000000000009</v>
      </c>
      <c r="AQ35" s="12">
        <f t="shared" si="14"/>
        <v>94.6</v>
      </c>
      <c r="AR35" s="12">
        <f t="shared" si="14"/>
        <v>40</v>
      </c>
      <c r="AS35" s="12">
        <f t="shared" si="15"/>
        <v>74.599999999999994</v>
      </c>
      <c r="AT35" s="12">
        <f t="shared" si="15"/>
        <v>81.3</v>
      </c>
      <c r="AU35" s="12">
        <f t="shared" si="9"/>
        <v>84</v>
      </c>
      <c r="AV35" s="12">
        <f t="shared" si="15"/>
        <v>65.3</v>
      </c>
      <c r="AW35" s="12">
        <f t="shared" si="16"/>
        <v>81.3</v>
      </c>
      <c r="AX35" s="12">
        <f t="shared" si="10"/>
        <v>100</v>
      </c>
      <c r="AY35" s="9"/>
      <c r="AZ35" s="12">
        <f t="shared" si="17"/>
        <v>77.3</v>
      </c>
      <c r="BA35" s="12">
        <f t="shared" si="13"/>
        <v>89.3</v>
      </c>
      <c r="BB35" s="12">
        <f t="shared" si="11"/>
        <v>86.6</v>
      </c>
      <c r="BC35" s="12">
        <f t="shared" si="11"/>
        <v>96</v>
      </c>
      <c r="BD35" s="12">
        <f t="shared" si="11"/>
        <v>77.3</v>
      </c>
      <c r="BE35" s="12">
        <f t="shared" si="11"/>
        <v>81.3</v>
      </c>
      <c r="BF35" s="12">
        <f t="shared" si="12"/>
        <v>94.6</v>
      </c>
      <c r="BG35" s="12">
        <f t="shared" si="12"/>
        <v>77.3</v>
      </c>
      <c r="BH35" s="12">
        <f t="shared" si="12"/>
        <v>36</v>
      </c>
      <c r="BI35" s="12">
        <f t="shared" si="12"/>
        <v>64</v>
      </c>
    </row>
    <row r="36" spans="1:61" ht="15.75" customHeight="1">
      <c r="A36" s="1" t="s">
        <v>130</v>
      </c>
      <c r="B36" s="3" t="s">
        <v>88</v>
      </c>
      <c r="C36" s="4" t="s">
        <v>110</v>
      </c>
      <c r="D36" s="4">
        <v>28</v>
      </c>
      <c r="E36" s="4">
        <v>658</v>
      </c>
      <c r="F36" s="4">
        <v>28</v>
      </c>
      <c r="G36" s="4">
        <v>658</v>
      </c>
      <c r="H36" s="4">
        <v>16.8</v>
      </c>
      <c r="I36" s="4">
        <v>0.621</v>
      </c>
      <c r="J36" s="4">
        <v>0.57099999999999995</v>
      </c>
      <c r="K36" s="4">
        <v>0.34899999999999998</v>
      </c>
      <c r="L36" s="4">
        <v>0.44400000000000001</v>
      </c>
      <c r="M36" s="4">
        <v>7.8</v>
      </c>
      <c r="N36" s="4">
        <v>12.6</v>
      </c>
      <c r="O36" s="4">
        <v>11.4</v>
      </c>
      <c r="P36" s="4">
        <v>1.3</v>
      </c>
      <c r="Q36" s="4">
        <v>0.6</v>
      </c>
      <c r="R36" s="4">
        <v>17.100000000000001</v>
      </c>
      <c r="S36" s="4">
        <v>13.1</v>
      </c>
      <c r="T36" s="4">
        <v>117</v>
      </c>
      <c r="U36" s="4">
        <v>92</v>
      </c>
      <c r="V36" s="4"/>
      <c r="W36" s="4">
        <v>2.2999999999999998</v>
      </c>
      <c r="X36" s="4">
        <v>0.8</v>
      </c>
      <c r="Y36" s="4">
        <v>3.1</v>
      </c>
      <c r="Z36" s="4">
        <v>0.191</v>
      </c>
      <c r="AA36" s="13">
        <f>(I36/TOTAL_BASIC!$D$301)*100</f>
        <v>125.86108972011509</v>
      </c>
      <c r="AB36" s="5">
        <f t="shared" si="3"/>
        <v>1.17</v>
      </c>
      <c r="AC36" s="3">
        <f t="shared" si="1"/>
        <v>25</v>
      </c>
      <c r="AD36" s="9">
        <f t="shared" si="4"/>
        <v>1.242</v>
      </c>
      <c r="AE36" s="16">
        <f t="shared" si="5"/>
        <v>0.87022900763358779</v>
      </c>
      <c r="AF36" s="16">
        <f t="shared" si="6"/>
        <v>0.66666666666666663</v>
      </c>
      <c r="AG36" s="9"/>
      <c r="AH36" s="9"/>
      <c r="AI36" s="12">
        <f t="shared" si="7"/>
        <v>40</v>
      </c>
      <c r="AJ36" s="12">
        <f t="shared" si="8"/>
        <v>56.000000000000007</v>
      </c>
      <c r="AK36" s="12">
        <f t="shared" si="8"/>
        <v>65.3</v>
      </c>
      <c r="AL36" s="12">
        <f t="shared" si="8"/>
        <v>97.3</v>
      </c>
      <c r="AM36" s="12">
        <f t="shared" si="8"/>
        <v>98.6</v>
      </c>
      <c r="AN36" s="12">
        <f t="shared" si="8"/>
        <v>80</v>
      </c>
      <c r="AO36" s="12">
        <f t="shared" si="14"/>
        <v>77.3</v>
      </c>
      <c r="AP36" s="12">
        <f t="shared" si="14"/>
        <v>62.6</v>
      </c>
      <c r="AQ36" s="12">
        <f t="shared" si="14"/>
        <v>70.599999999999994</v>
      </c>
      <c r="AR36" s="12">
        <f t="shared" si="14"/>
        <v>34.599999999999994</v>
      </c>
      <c r="AS36" s="12">
        <f t="shared" si="15"/>
        <v>5.3</v>
      </c>
      <c r="AT36" s="12">
        <f t="shared" si="15"/>
        <v>36</v>
      </c>
      <c r="AU36" s="12">
        <f t="shared" si="9"/>
        <v>74.7</v>
      </c>
      <c r="AV36" s="12">
        <f t="shared" si="15"/>
        <v>5.3</v>
      </c>
      <c r="AW36" s="12">
        <f t="shared" si="16"/>
        <v>97.3</v>
      </c>
      <c r="AX36" s="12">
        <f t="shared" si="10"/>
        <v>60</v>
      </c>
      <c r="AY36" s="9"/>
      <c r="AZ36" s="12">
        <f t="shared" si="17"/>
        <v>82.6</v>
      </c>
      <c r="BA36" s="12">
        <f t="shared" si="13"/>
        <v>60</v>
      </c>
      <c r="BB36" s="12">
        <f t="shared" si="11"/>
        <v>74.599999999999994</v>
      </c>
      <c r="BC36" s="12">
        <f t="shared" si="11"/>
        <v>85.3</v>
      </c>
      <c r="BD36" s="12">
        <f t="shared" si="11"/>
        <v>97.3</v>
      </c>
      <c r="BE36" s="12">
        <f t="shared" si="11"/>
        <v>97.3</v>
      </c>
      <c r="BF36" s="12">
        <f t="shared" si="12"/>
        <v>96</v>
      </c>
      <c r="BG36" s="12">
        <f t="shared" si="12"/>
        <v>97.3</v>
      </c>
      <c r="BH36" s="12">
        <f t="shared" si="12"/>
        <v>68</v>
      </c>
      <c r="BI36" s="12">
        <f t="shared" si="12"/>
        <v>48</v>
      </c>
    </row>
    <row r="37" spans="1:61" ht="15.75" customHeight="1">
      <c r="A37" s="1" t="s">
        <v>131</v>
      </c>
      <c r="B37" s="3" t="s">
        <v>86</v>
      </c>
      <c r="C37" s="4" t="s">
        <v>118</v>
      </c>
      <c r="D37" s="4">
        <v>28</v>
      </c>
      <c r="E37" s="4">
        <v>656</v>
      </c>
      <c r="F37" s="4">
        <v>28</v>
      </c>
      <c r="G37" s="4">
        <v>656</v>
      </c>
      <c r="H37" s="4">
        <v>19.2</v>
      </c>
      <c r="I37" s="4">
        <v>0.51</v>
      </c>
      <c r="J37" s="4">
        <v>0.46200000000000002</v>
      </c>
      <c r="K37" s="4">
        <v>2.4E-2</v>
      </c>
      <c r="L37" s="4">
        <v>0.33</v>
      </c>
      <c r="M37" s="4">
        <v>16.100000000000001</v>
      </c>
      <c r="N37" s="4">
        <v>18.5</v>
      </c>
      <c r="O37" s="4">
        <v>15.4</v>
      </c>
      <c r="P37" s="4">
        <v>3.2</v>
      </c>
      <c r="Q37" s="4">
        <v>1</v>
      </c>
      <c r="R37" s="4">
        <v>21.9</v>
      </c>
      <c r="S37" s="4">
        <v>20.9</v>
      </c>
      <c r="T37" s="4">
        <v>97</v>
      </c>
      <c r="U37" s="4">
        <v>96</v>
      </c>
      <c r="V37" s="4"/>
      <c r="W37" s="4">
        <v>1.5</v>
      </c>
      <c r="X37" s="4">
        <v>0.4</v>
      </c>
      <c r="Y37" s="4">
        <v>1.9</v>
      </c>
      <c r="Z37" s="4">
        <v>0.11600000000000001</v>
      </c>
      <c r="AA37" s="13">
        <f>(I37/TOTAL_BASIC!$D$301)*100</f>
        <v>103.36417996337954</v>
      </c>
      <c r="AB37" s="5">
        <f t="shared" si="3"/>
        <v>0.97</v>
      </c>
      <c r="AC37" s="3">
        <f t="shared" si="1"/>
        <v>1</v>
      </c>
      <c r="AD37" s="9">
        <f t="shared" si="4"/>
        <v>1.02</v>
      </c>
      <c r="AE37" s="16">
        <f t="shared" si="5"/>
        <v>0.73684210526315796</v>
      </c>
      <c r="AF37" s="16">
        <f t="shared" si="6"/>
        <v>0.70319634703196354</v>
      </c>
      <c r="AG37" s="9"/>
      <c r="AH37" s="9"/>
      <c r="AI37" s="12">
        <f t="shared" si="7"/>
        <v>40</v>
      </c>
      <c r="AJ37" s="12">
        <f t="shared" si="8"/>
        <v>54.6</v>
      </c>
      <c r="AK37" s="12">
        <f t="shared" si="8"/>
        <v>82.6</v>
      </c>
      <c r="AL37" s="12">
        <f t="shared" si="8"/>
        <v>66.600000000000009</v>
      </c>
      <c r="AM37" s="12">
        <f t="shared" si="8"/>
        <v>60</v>
      </c>
      <c r="AN37" s="12">
        <f t="shared" si="8"/>
        <v>18.600000000000001</v>
      </c>
      <c r="AO37" s="12">
        <f t="shared" si="14"/>
        <v>52</v>
      </c>
      <c r="AP37" s="12">
        <f t="shared" si="14"/>
        <v>100</v>
      </c>
      <c r="AQ37" s="12">
        <f t="shared" si="14"/>
        <v>100</v>
      </c>
      <c r="AR37" s="12">
        <f t="shared" si="14"/>
        <v>58.599999999999994</v>
      </c>
      <c r="AS37" s="12">
        <f t="shared" si="15"/>
        <v>74.599999999999994</v>
      </c>
      <c r="AT37" s="12">
        <f t="shared" si="15"/>
        <v>52</v>
      </c>
      <c r="AU37" s="12">
        <f t="shared" si="9"/>
        <v>41.400000000000006</v>
      </c>
      <c r="AV37" s="12">
        <f t="shared" si="15"/>
        <v>64</v>
      </c>
      <c r="AW37" s="12">
        <f t="shared" si="16"/>
        <v>73.3</v>
      </c>
      <c r="AX37" s="12">
        <f t="shared" si="10"/>
        <v>28</v>
      </c>
      <c r="AY37" s="9"/>
      <c r="AZ37" s="12">
        <f t="shared" si="17"/>
        <v>72</v>
      </c>
      <c r="BA37" s="12">
        <f t="shared" si="13"/>
        <v>30.599999999999998</v>
      </c>
      <c r="BB37" s="12">
        <f t="shared" si="11"/>
        <v>64</v>
      </c>
      <c r="BC37" s="12">
        <f t="shared" si="11"/>
        <v>66.600000000000009</v>
      </c>
      <c r="BD37" s="12">
        <f t="shared" si="11"/>
        <v>66.600000000000009</v>
      </c>
      <c r="BE37" s="12">
        <f t="shared" si="11"/>
        <v>73.3</v>
      </c>
      <c r="BF37" s="12">
        <f t="shared" si="12"/>
        <v>61.3</v>
      </c>
      <c r="BG37" s="12">
        <f t="shared" si="12"/>
        <v>66.600000000000009</v>
      </c>
      <c r="BH37" s="12">
        <f t="shared" si="12"/>
        <v>53.300000000000004</v>
      </c>
      <c r="BI37" s="12">
        <f t="shared" si="12"/>
        <v>54.6</v>
      </c>
    </row>
    <row r="38" spans="1:61" ht="15.75" customHeight="1">
      <c r="A38" s="1" t="s">
        <v>132</v>
      </c>
      <c r="B38" s="3" t="s">
        <v>105</v>
      </c>
      <c r="C38" s="4" t="s">
        <v>8</v>
      </c>
      <c r="D38" s="4">
        <v>28</v>
      </c>
      <c r="E38" s="4">
        <v>633</v>
      </c>
      <c r="F38" s="4">
        <v>28</v>
      </c>
      <c r="G38" s="4">
        <v>633</v>
      </c>
      <c r="H38" s="4">
        <v>7.3</v>
      </c>
      <c r="I38" s="4">
        <v>0.34699999999999998</v>
      </c>
      <c r="J38" s="4">
        <v>0.26900000000000002</v>
      </c>
      <c r="K38" s="4">
        <v>0.34</v>
      </c>
      <c r="L38" s="4">
        <v>0.32100000000000001</v>
      </c>
      <c r="M38" s="4">
        <v>3.3</v>
      </c>
      <c r="N38" s="4">
        <v>5.4</v>
      </c>
      <c r="O38" s="4">
        <v>24.9</v>
      </c>
      <c r="P38" s="4">
        <v>2</v>
      </c>
      <c r="Q38" s="4">
        <v>0.1</v>
      </c>
      <c r="R38" s="4">
        <v>29.7</v>
      </c>
      <c r="S38" s="4">
        <v>12</v>
      </c>
      <c r="T38" s="4">
        <v>79</v>
      </c>
      <c r="U38" s="4">
        <v>96</v>
      </c>
      <c r="V38" s="4"/>
      <c r="W38" s="4">
        <v>-0.4</v>
      </c>
      <c r="X38" s="4">
        <v>0.4</v>
      </c>
      <c r="Y38" s="4">
        <v>0</v>
      </c>
      <c r="Z38" s="4">
        <v>-1E-3</v>
      </c>
      <c r="AA38" s="13">
        <f>(I38/TOTAL_BASIC!$D$301)*100</f>
        <v>70.328177347632746</v>
      </c>
      <c r="AB38" s="5">
        <f t="shared" si="3"/>
        <v>0.79</v>
      </c>
      <c r="AC38" s="3">
        <f t="shared" si="1"/>
        <v>-17</v>
      </c>
      <c r="AD38" s="9">
        <f t="shared" si="4"/>
        <v>0.69399999999999995</v>
      </c>
      <c r="AE38" s="16">
        <f t="shared" si="5"/>
        <v>2.0749999999999997</v>
      </c>
      <c r="AF38" s="16">
        <f t="shared" si="6"/>
        <v>0.83838383838383834</v>
      </c>
      <c r="AG38" s="9"/>
      <c r="AH38" s="9"/>
      <c r="AI38" s="12">
        <f t="shared" si="7"/>
        <v>40</v>
      </c>
      <c r="AJ38" s="12">
        <f t="shared" si="8"/>
        <v>53.300000000000004</v>
      </c>
      <c r="AK38" s="12">
        <f t="shared" si="8"/>
        <v>14.6</v>
      </c>
      <c r="AL38" s="12">
        <f t="shared" si="8"/>
        <v>2.6</v>
      </c>
      <c r="AM38" s="12">
        <f t="shared" si="8"/>
        <v>1.3</v>
      </c>
      <c r="AN38" s="12">
        <f t="shared" si="8"/>
        <v>78.600000000000009</v>
      </c>
      <c r="AO38" s="12">
        <f t="shared" si="14"/>
        <v>46.6</v>
      </c>
      <c r="AP38" s="12">
        <f t="shared" si="14"/>
        <v>16</v>
      </c>
      <c r="AQ38" s="12">
        <f t="shared" si="14"/>
        <v>9.3000000000000007</v>
      </c>
      <c r="AR38" s="12">
        <f t="shared" si="14"/>
        <v>89.3</v>
      </c>
      <c r="AS38" s="12">
        <f t="shared" si="15"/>
        <v>29.299999999999997</v>
      </c>
      <c r="AT38" s="12">
        <f t="shared" si="15"/>
        <v>2.6</v>
      </c>
      <c r="AU38" s="12">
        <f t="shared" si="9"/>
        <v>18.700000000000003</v>
      </c>
      <c r="AV38" s="12">
        <f t="shared" si="15"/>
        <v>1.3</v>
      </c>
      <c r="AW38" s="12">
        <f t="shared" si="16"/>
        <v>16</v>
      </c>
      <c r="AX38" s="12">
        <f t="shared" si="10"/>
        <v>28</v>
      </c>
      <c r="AY38" s="9"/>
      <c r="AZ38" s="12">
        <f t="shared" si="17"/>
        <v>16</v>
      </c>
      <c r="BA38" s="12">
        <f t="shared" si="13"/>
        <v>30.599999999999998</v>
      </c>
      <c r="BB38" s="12">
        <f t="shared" si="11"/>
        <v>21.3</v>
      </c>
      <c r="BC38" s="12">
        <f t="shared" si="11"/>
        <v>21.3</v>
      </c>
      <c r="BD38" s="12">
        <f t="shared" si="11"/>
        <v>2.6</v>
      </c>
      <c r="BE38" s="12">
        <f t="shared" si="11"/>
        <v>16</v>
      </c>
      <c r="BF38" s="12">
        <f t="shared" si="12"/>
        <v>20</v>
      </c>
      <c r="BG38" s="12">
        <f t="shared" si="12"/>
        <v>2.6</v>
      </c>
      <c r="BH38" s="12">
        <f t="shared" si="12"/>
        <v>97.3</v>
      </c>
      <c r="BI38" s="12">
        <f t="shared" si="12"/>
        <v>70.599999999999994</v>
      </c>
    </row>
    <row r="39" spans="1:61" ht="15.75" customHeight="1">
      <c r="A39" s="1" t="s">
        <v>133</v>
      </c>
      <c r="B39" s="3" t="s">
        <v>88</v>
      </c>
      <c r="C39" s="4" t="s">
        <v>8</v>
      </c>
      <c r="D39" s="4">
        <v>27</v>
      </c>
      <c r="E39" s="4">
        <v>622</v>
      </c>
      <c r="F39" s="4">
        <v>27</v>
      </c>
      <c r="G39" s="4">
        <v>622</v>
      </c>
      <c r="H39" s="4">
        <v>6.8</v>
      </c>
      <c r="I39" s="4">
        <v>0.52100000000000002</v>
      </c>
      <c r="J39" s="4">
        <v>0.48499999999999999</v>
      </c>
      <c r="K39" s="4">
        <v>0.67300000000000004</v>
      </c>
      <c r="L39" s="4">
        <v>0.153</v>
      </c>
      <c r="M39" s="4">
        <v>1</v>
      </c>
      <c r="N39" s="4">
        <v>4.7</v>
      </c>
      <c r="O39" s="4">
        <v>20.6</v>
      </c>
      <c r="P39" s="4">
        <v>1.9</v>
      </c>
      <c r="Q39" s="4">
        <v>0.4</v>
      </c>
      <c r="R39" s="4">
        <v>40.4</v>
      </c>
      <c r="S39" s="4">
        <v>13.4</v>
      </c>
      <c r="T39" s="4">
        <v>77</v>
      </c>
      <c r="U39" s="4">
        <v>95</v>
      </c>
      <c r="V39" s="4"/>
      <c r="W39" s="4">
        <v>-0.6</v>
      </c>
      <c r="X39" s="4">
        <v>0.5</v>
      </c>
      <c r="Y39" s="4">
        <v>-0.1</v>
      </c>
      <c r="Z39" s="4">
        <v>-7.0000000000000001E-3</v>
      </c>
      <c r="AA39" s="13">
        <f>(I39/TOTAL_BASIC!$D$301)*100</f>
        <v>105.59360345278577</v>
      </c>
      <c r="AB39" s="5">
        <f t="shared" si="3"/>
        <v>0.77</v>
      </c>
      <c r="AC39" s="3">
        <f t="shared" si="1"/>
        <v>-18</v>
      </c>
      <c r="AD39" s="9">
        <f t="shared" si="4"/>
        <v>1.042</v>
      </c>
      <c r="AE39" s="16">
        <f t="shared" si="5"/>
        <v>1.5373134328358209</v>
      </c>
      <c r="AF39" s="16">
        <f t="shared" si="6"/>
        <v>0.50990099009900991</v>
      </c>
      <c r="AG39" s="9"/>
      <c r="AH39" s="9"/>
      <c r="AI39" s="12">
        <f t="shared" si="7"/>
        <v>33.300000000000004</v>
      </c>
      <c r="AJ39" s="12">
        <f t="shared" si="8"/>
        <v>50.6</v>
      </c>
      <c r="AK39" s="12">
        <f t="shared" si="8"/>
        <v>12</v>
      </c>
      <c r="AL39" s="12">
        <f t="shared" si="8"/>
        <v>76</v>
      </c>
      <c r="AM39" s="12">
        <f t="shared" si="8"/>
        <v>82.6</v>
      </c>
      <c r="AN39" s="12">
        <f t="shared" si="8"/>
        <v>97.3</v>
      </c>
      <c r="AO39" s="12">
        <f t="shared" si="14"/>
        <v>6.6000000000000005</v>
      </c>
      <c r="AP39" s="12">
        <f t="shared" si="14"/>
        <v>1.3</v>
      </c>
      <c r="AQ39" s="12">
        <f t="shared" si="14"/>
        <v>5.3</v>
      </c>
      <c r="AR39" s="12">
        <f t="shared" si="14"/>
        <v>81.3</v>
      </c>
      <c r="AS39" s="12">
        <f t="shared" si="15"/>
        <v>28.000000000000004</v>
      </c>
      <c r="AT39" s="12">
        <f t="shared" si="15"/>
        <v>20</v>
      </c>
      <c r="AU39" s="12">
        <f t="shared" si="9"/>
        <v>1.4000000000000057</v>
      </c>
      <c r="AV39" s="12">
        <f t="shared" si="15"/>
        <v>8</v>
      </c>
      <c r="AW39" s="12">
        <f t="shared" si="16"/>
        <v>14.6</v>
      </c>
      <c r="AX39" s="12">
        <f t="shared" si="10"/>
        <v>36</v>
      </c>
      <c r="AY39" s="9"/>
      <c r="AZ39" s="12">
        <f t="shared" si="17"/>
        <v>6.6000000000000005</v>
      </c>
      <c r="BA39" s="12">
        <f t="shared" si="13"/>
        <v>40</v>
      </c>
      <c r="BB39" s="12">
        <f t="shared" si="11"/>
        <v>17.299999999999997</v>
      </c>
      <c r="BC39" s="12">
        <f t="shared" si="11"/>
        <v>20</v>
      </c>
      <c r="BD39" s="12">
        <f t="shared" si="11"/>
        <v>76</v>
      </c>
      <c r="BE39" s="12">
        <f t="shared" si="11"/>
        <v>14.6</v>
      </c>
      <c r="BF39" s="12">
        <f t="shared" si="12"/>
        <v>14.6</v>
      </c>
      <c r="BG39" s="12">
        <f t="shared" si="12"/>
        <v>76</v>
      </c>
      <c r="BH39" s="12">
        <f t="shared" si="12"/>
        <v>96</v>
      </c>
      <c r="BI39" s="12">
        <f t="shared" si="12"/>
        <v>32</v>
      </c>
    </row>
    <row r="40" spans="1:61" ht="15.75" customHeight="1">
      <c r="A40" s="1" t="s">
        <v>134</v>
      </c>
      <c r="B40" s="3" t="s">
        <v>96</v>
      </c>
      <c r="C40" s="4" t="s">
        <v>8</v>
      </c>
      <c r="D40" s="4">
        <v>20</v>
      </c>
      <c r="E40" s="4">
        <v>622</v>
      </c>
      <c r="F40" s="4">
        <v>20</v>
      </c>
      <c r="G40" s="4">
        <v>622</v>
      </c>
      <c r="H40" s="4">
        <v>14.4</v>
      </c>
      <c r="I40" s="4">
        <v>0.48799999999999999</v>
      </c>
      <c r="J40" s="4">
        <v>0.46500000000000002</v>
      </c>
      <c r="K40" s="4">
        <v>0.14699999999999999</v>
      </c>
      <c r="L40" s="4">
        <v>0.50600000000000001</v>
      </c>
      <c r="M40" s="4">
        <v>2.9</v>
      </c>
      <c r="N40" s="4">
        <v>7.3</v>
      </c>
      <c r="O40" s="4">
        <v>27.7</v>
      </c>
      <c r="P40" s="4">
        <v>3.1</v>
      </c>
      <c r="Q40" s="4">
        <v>0.4</v>
      </c>
      <c r="R40" s="4">
        <v>27</v>
      </c>
      <c r="S40" s="4">
        <v>21.4</v>
      </c>
      <c r="T40" s="4">
        <v>85</v>
      </c>
      <c r="U40" s="4">
        <v>92</v>
      </c>
      <c r="V40" s="4"/>
      <c r="W40" s="4">
        <v>0</v>
      </c>
      <c r="X40" s="4">
        <v>0.7</v>
      </c>
      <c r="Y40" s="4">
        <v>0.8</v>
      </c>
      <c r="Z40" s="4">
        <v>0.05</v>
      </c>
      <c r="AA40" s="13">
        <f>(I40/TOTAL_BASIC!$D$301)*100</f>
        <v>98.905332984567096</v>
      </c>
      <c r="AB40" s="5">
        <f t="shared" si="3"/>
        <v>0.85</v>
      </c>
      <c r="AC40" s="3">
        <f t="shared" si="1"/>
        <v>-7</v>
      </c>
      <c r="AD40" s="9">
        <f t="shared" si="4"/>
        <v>0.97599999999999998</v>
      </c>
      <c r="AE40" s="16">
        <f t="shared" si="5"/>
        <v>1.294392523364486</v>
      </c>
      <c r="AF40" s="16">
        <f t="shared" si="6"/>
        <v>1.0259259259259259</v>
      </c>
      <c r="AG40" s="9"/>
      <c r="AH40" s="9"/>
      <c r="AI40" s="12">
        <f t="shared" si="7"/>
        <v>10.6</v>
      </c>
      <c r="AJ40" s="12">
        <f t="shared" si="8"/>
        <v>50.6</v>
      </c>
      <c r="AK40" s="12">
        <f t="shared" si="8"/>
        <v>56.000000000000007</v>
      </c>
      <c r="AL40" s="12">
        <f t="shared" si="8"/>
        <v>50.6</v>
      </c>
      <c r="AM40" s="12">
        <f t="shared" si="8"/>
        <v>65.3</v>
      </c>
      <c r="AN40" s="12">
        <f t="shared" si="8"/>
        <v>52</v>
      </c>
      <c r="AO40" s="12">
        <f t="shared" si="14"/>
        <v>85.3</v>
      </c>
      <c r="AP40" s="12">
        <f t="shared" si="14"/>
        <v>13.3</v>
      </c>
      <c r="AQ40" s="12">
        <f t="shared" si="14"/>
        <v>29.299999999999997</v>
      </c>
      <c r="AR40" s="12">
        <f t="shared" si="14"/>
        <v>93.300000000000011</v>
      </c>
      <c r="AS40" s="12">
        <f t="shared" si="15"/>
        <v>69.3</v>
      </c>
      <c r="AT40" s="12">
        <f t="shared" si="15"/>
        <v>20</v>
      </c>
      <c r="AU40" s="12">
        <f t="shared" si="9"/>
        <v>26.700000000000003</v>
      </c>
      <c r="AV40" s="12">
        <f t="shared" si="15"/>
        <v>69.3</v>
      </c>
      <c r="AW40" s="12">
        <f t="shared" si="16"/>
        <v>30.599999999999998</v>
      </c>
      <c r="AX40" s="12">
        <f t="shared" si="10"/>
        <v>60</v>
      </c>
      <c r="AY40" s="9"/>
      <c r="AZ40" s="12">
        <f t="shared" si="17"/>
        <v>29.299999999999997</v>
      </c>
      <c r="BA40" s="12">
        <f t="shared" si="13"/>
        <v>52</v>
      </c>
      <c r="BB40" s="12">
        <f t="shared" si="11"/>
        <v>45.300000000000004</v>
      </c>
      <c r="BC40" s="12">
        <f t="shared" si="11"/>
        <v>37.299999999999997</v>
      </c>
      <c r="BD40" s="12">
        <f t="shared" si="11"/>
        <v>50.6</v>
      </c>
      <c r="BE40" s="12">
        <f t="shared" si="11"/>
        <v>30.599999999999998</v>
      </c>
      <c r="BF40" s="12">
        <f t="shared" si="12"/>
        <v>36</v>
      </c>
      <c r="BG40" s="12">
        <f t="shared" si="12"/>
        <v>50.6</v>
      </c>
      <c r="BH40" s="12">
        <f t="shared" si="12"/>
        <v>89.3</v>
      </c>
      <c r="BI40" s="12">
        <f t="shared" si="12"/>
        <v>85.3</v>
      </c>
    </row>
    <row r="41" spans="1:61" ht="15.75" customHeight="1">
      <c r="A41" s="1" t="s">
        <v>135</v>
      </c>
      <c r="B41" s="3" t="s">
        <v>105</v>
      </c>
      <c r="C41" s="4" t="s">
        <v>92</v>
      </c>
      <c r="D41" s="4">
        <v>28</v>
      </c>
      <c r="E41" s="4">
        <v>613</v>
      </c>
      <c r="F41" s="4">
        <v>28</v>
      </c>
      <c r="G41" s="4">
        <v>613</v>
      </c>
      <c r="H41" s="4">
        <v>11.5</v>
      </c>
      <c r="I41" s="4">
        <v>0.48899999999999999</v>
      </c>
      <c r="J41" s="4">
        <v>0.47199999999999998</v>
      </c>
      <c r="K41" s="4">
        <v>0.19800000000000001</v>
      </c>
      <c r="L41" s="4">
        <v>0.23799999999999999</v>
      </c>
      <c r="M41" s="4">
        <v>5.3</v>
      </c>
      <c r="N41" s="4">
        <v>5.9</v>
      </c>
      <c r="O41" s="4">
        <v>12.2</v>
      </c>
      <c r="P41" s="4">
        <v>3</v>
      </c>
      <c r="Q41" s="4">
        <v>1.1000000000000001</v>
      </c>
      <c r="R41" s="4">
        <v>20.100000000000001</v>
      </c>
      <c r="S41" s="4">
        <v>12.6</v>
      </c>
      <c r="T41" s="4">
        <v>94</v>
      </c>
      <c r="U41" s="4">
        <v>93</v>
      </c>
      <c r="V41" s="4"/>
      <c r="W41" s="4">
        <v>0.6</v>
      </c>
      <c r="X41" s="4">
        <v>0.6</v>
      </c>
      <c r="Y41" s="4">
        <v>1.2</v>
      </c>
      <c r="Z41" s="4">
        <v>8.1000000000000003E-2</v>
      </c>
      <c r="AA41" s="13">
        <f>(I41/TOTAL_BASIC!$D$301)*100</f>
        <v>99.108007847240387</v>
      </c>
      <c r="AB41" s="5">
        <f t="shared" si="3"/>
        <v>0.94</v>
      </c>
      <c r="AC41" s="3">
        <f t="shared" si="1"/>
        <v>1</v>
      </c>
      <c r="AD41" s="9">
        <f t="shared" si="4"/>
        <v>0.97799999999999998</v>
      </c>
      <c r="AE41" s="16">
        <f t="shared" si="5"/>
        <v>0.96825396825396826</v>
      </c>
      <c r="AF41" s="16">
        <f t="shared" si="6"/>
        <v>0.60696517412935314</v>
      </c>
      <c r="AG41" s="9"/>
      <c r="AH41" s="9"/>
      <c r="AI41" s="12">
        <f t="shared" si="7"/>
        <v>40</v>
      </c>
      <c r="AJ41" s="12">
        <f t="shared" si="8"/>
        <v>49.3</v>
      </c>
      <c r="AK41" s="12">
        <f t="shared" si="8"/>
        <v>40</v>
      </c>
      <c r="AL41" s="12">
        <f t="shared" si="8"/>
        <v>52</v>
      </c>
      <c r="AM41" s="12">
        <f t="shared" si="8"/>
        <v>72</v>
      </c>
      <c r="AN41" s="12">
        <f t="shared" si="8"/>
        <v>62.6</v>
      </c>
      <c r="AO41" s="12">
        <f t="shared" si="14"/>
        <v>28.000000000000004</v>
      </c>
      <c r="AP41" s="12">
        <f t="shared" si="14"/>
        <v>37.299999999999997</v>
      </c>
      <c r="AQ41" s="12">
        <f t="shared" si="14"/>
        <v>13.3</v>
      </c>
      <c r="AR41" s="12">
        <f t="shared" si="14"/>
        <v>41.3</v>
      </c>
      <c r="AS41" s="12">
        <f t="shared" si="15"/>
        <v>65.3</v>
      </c>
      <c r="AT41" s="12">
        <f t="shared" si="15"/>
        <v>56.000000000000007</v>
      </c>
      <c r="AU41" s="12">
        <f t="shared" si="9"/>
        <v>48</v>
      </c>
      <c r="AV41" s="12">
        <f t="shared" si="15"/>
        <v>2.6</v>
      </c>
      <c r="AW41" s="12">
        <f t="shared" si="16"/>
        <v>61.3</v>
      </c>
      <c r="AX41" s="12">
        <f t="shared" si="10"/>
        <v>46.699999999999996</v>
      </c>
      <c r="AY41" s="9"/>
      <c r="AZ41" s="12">
        <f t="shared" si="17"/>
        <v>56.000000000000007</v>
      </c>
      <c r="BA41" s="12">
        <f t="shared" si="13"/>
        <v>49.3</v>
      </c>
      <c r="BB41" s="12">
        <f t="shared" si="11"/>
        <v>54.6</v>
      </c>
      <c r="BC41" s="12">
        <f t="shared" si="11"/>
        <v>52</v>
      </c>
      <c r="BD41" s="12">
        <f t="shared" si="11"/>
        <v>52</v>
      </c>
      <c r="BE41" s="12">
        <f t="shared" si="11"/>
        <v>61.3</v>
      </c>
      <c r="BF41" s="12">
        <f t="shared" si="12"/>
        <v>61.3</v>
      </c>
      <c r="BG41" s="12">
        <f t="shared" si="12"/>
        <v>52</v>
      </c>
      <c r="BH41" s="12">
        <f t="shared" si="12"/>
        <v>74.599999999999994</v>
      </c>
      <c r="BI41" s="12">
        <f t="shared" si="12"/>
        <v>41.3</v>
      </c>
    </row>
    <row r="42" spans="1:61" ht="15.75" customHeight="1">
      <c r="A42" s="1" t="s">
        <v>136</v>
      </c>
      <c r="B42" s="3" t="s">
        <v>101</v>
      </c>
      <c r="C42" s="4" t="s">
        <v>8</v>
      </c>
      <c r="D42" s="4">
        <v>28</v>
      </c>
      <c r="E42" s="4">
        <v>608</v>
      </c>
      <c r="F42" s="4">
        <v>28</v>
      </c>
      <c r="G42" s="4">
        <v>608</v>
      </c>
      <c r="H42" s="4">
        <v>14.2</v>
      </c>
      <c r="I42" s="4">
        <v>0.44800000000000001</v>
      </c>
      <c r="J42" s="4">
        <v>0.40400000000000003</v>
      </c>
      <c r="K42" s="4">
        <v>0.14799999999999999</v>
      </c>
      <c r="L42" s="4">
        <v>0.23100000000000001</v>
      </c>
      <c r="M42" s="4">
        <v>6.2</v>
      </c>
      <c r="N42" s="4">
        <v>7.7</v>
      </c>
      <c r="O42" s="4">
        <v>22.2</v>
      </c>
      <c r="P42" s="4">
        <v>3.3</v>
      </c>
      <c r="Q42" s="4">
        <v>0.9</v>
      </c>
      <c r="R42" s="4">
        <v>18.399999999999999</v>
      </c>
      <c r="S42" s="4">
        <v>22.7</v>
      </c>
      <c r="T42" s="4">
        <v>88</v>
      </c>
      <c r="U42" s="4">
        <v>99</v>
      </c>
      <c r="V42" s="4"/>
      <c r="W42" s="4">
        <v>0.4</v>
      </c>
      <c r="X42" s="4">
        <v>0</v>
      </c>
      <c r="Y42" s="4">
        <v>0.4</v>
      </c>
      <c r="Z42" s="4">
        <v>2.5999999999999999E-2</v>
      </c>
      <c r="AA42" s="13">
        <f>(I42/TOTAL_BASIC!$D$301)*100</f>
        <v>90.798338477635369</v>
      </c>
      <c r="AB42" s="5">
        <f t="shared" si="3"/>
        <v>0.88</v>
      </c>
      <c r="AC42" s="3">
        <f t="shared" si="1"/>
        <v>-11</v>
      </c>
      <c r="AD42" s="9">
        <f t="shared" si="4"/>
        <v>0.89600000000000002</v>
      </c>
      <c r="AE42" s="16">
        <f t="shared" si="5"/>
        <v>0.97797356828193838</v>
      </c>
      <c r="AF42" s="16">
        <f t="shared" si="6"/>
        <v>1.2065217391304348</v>
      </c>
      <c r="AG42" s="9"/>
      <c r="AH42" s="9"/>
      <c r="AI42" s="12">
        <f t="shared" si="7"/>
        <v>40</v>
      </c>
      <c r="AJ42" s="12">
        <f t="shared" si="8"/>
        <v>48</v>
      </c>
      <c r="AK42" s="12">
        <f t="shared" si="8"/>
        <v>52</v>
      </c>
      <c r="AL42" s="12">
        <f t="shared" si="8"/>
        <v>34.599999999999994</v>
      </c>
      <c r="AM42" s="12">
        <f t="shared" si="8"/>
        <v>33.300000000000004</v>
      </c>
      <c r="AN42" s="12">
        <f t="shared" si="8"/>
        <v>53.300000000000004</v>
      </c>
      <c r="AO42" s="12">
        <f t="shared" si="14"/>
        <v>26.6</v>
      </c>
      <c r="AP42" s="12">
        <f t="shared" si="14"/>
        <v>46.6</v>
      </c>
      <c r="AQ42" s="12">
        <f t="shared" si="14"/>
        <v>34.599999999999994</v>
      </c>
      <c r="AR42" s="12">
        <f t="shared" si="14"/>
        <v>85.3</v>
      </c>
      <c r="AS42" s="12">
        <f t="shared" si="15"/>
        <v>78.600000000000009</v>
      </c>
      <c r="AT42" s="12">
        <f t="shared" si="15"/>
        <v>48</v>
      </c>
      <c r="AU42" s="12">
        <f t="shared" si="9"/>
        <v>65.400000000000006</v>
      </c>
      <c r="AV42" s="12">
        <f t="shared" si="15"/>
        <v>77.3</v>
      </c>
      <c r="AW42" s="12">
        <f t="shared" si="16"/>
        <v>45.300000000000004</v>
      </c>
      <c r="AX42" s="12">
        <f t="shared" si="10"/>
        <v>17.400000000000006</v>
      </c>
      <c r="AY42" s="9"/>
      <c r="AZ42" s="12">
        <f t="shared" si="17"/>
        <v>52</v>
      </c>
      <c r="BA42" s="12">
        <f t="shared" si="13"/>
        <v>16</v>
      </c>
      <c r="BB42" s="12">
        <f t="shared" si="11"/>
        <v>30.599999999999998</v>
      </c>
      <c r="BC42" s="12">
        <f t="shared" si="11"/>
        <v>30.599999999999998</v>
      </c>
      <c r="BD42" s="12">
        <f t="shared" si="11"/>
        <v>34.599999999999994</v>
      </c>
      <c r="BE42" s="12">
        <f t="shared" si="11"/>
        <v>45.300000000000004</v>
      </c>
      <c r="BF42" s="12">
        <f t="shared" si="12"/>
        <v>29.299999999999997</v>
      </c>
      <c r="BG42" s="12">
        <f t="shared" si="12"/>
        <v>34.599999999999994</v>
      </c>
      <c r="BH42" s="12">
        <f t="shared" si="12"/>
        <v>76</v>
      </c>
      <c r="BI42" s="12">
        <f t="shared" si="12"/>
        <v>92</v>
      </c>
    </row>
    <row r="43" spans="1:61" ht="15.75" customHeight="1">
      <c r="A43" s="1" t="s">
        <v>137</v>
      </c>
      <c r="B43" s="3" t="s">
        <v>96</v>
      </c>
      <c r="C43" s="4" t="s">
        <v>8</v>
      </c>
      <c r="D43" s="4">
        <v>28</v>
      </c>
      <c r="E43" s="4">
        <v>589</v>
      </c>
      <c r="F43" s="4">
        <v>28</v>
      </c>
      <c r="G43" s="4">
        <v>589</v>
      </c>
      <c r="H43" s="4">
        <v>12.3</v>
      </c>
      <c r="I43" s="4">
        <v>0.45100000000000001</v>
      </c>
      <c r="J43" s="4">
        <v>0.41299999999999998</v>
      </c>
      <c r="K43" s="4">
        <v>5.1999999999999998E-2</v>
      </c>
      <c r="L43" s="4">
        <v>0.245</v>
      </c>
      <c r="M43" s="4">
        <v>7</v>
      </c>
      <c r="N43" s="4">
        <v>8.8000000000000007</v>
      </c>
      <c r="O43" s="4">
        <v>8.8000000000000007</v>
      </c>
      <c r="P43" s="4">
        <v>2.1</v>
      </c>
      <c r="Q43" s="4">
        <v>0.4</v>
      </c>
      <c r="R43" s="4">
        <v>17.600000000000001</v>
      </c>
      <c r="S43" s="4">
        <v>24.4</v>
      </c>
      <c r="T43" s="4">
        <v>85</v>
      </c>
      <c r="U43" s="4">
        <v>95</v>
      </c>
      <c r="V43" s="4"/>
      <c r="W43" s="4">
        <v>0.1</v>
      </c>
      <c r="X43" s="4">
        <v>0.5</v>
      </c>
      <c r="Y43" s="4">
        <v>0.5</v>
      </c>
      <c r="Z43" s="4">
        <v>3.6999999999999998E-2</v>
      </c>
      <c r="AA43" s="13">
        <f>(I43/TOTAL_BASIC!$D$301)*100</f>
        <v>91.406363065655256</v>
      </c>
      <c r="AB43" s="5">
        <f t="shared" si="3"/>
        <v>0.85</v>
      </c>
      <c r="AC43" s="3">
        <f t="shared" si="1"/>
        <v>-10</v>
      </c>
      <c r="AD43" s="9">
        <f t="shared" si="4"/>
        <v>0.90200000000000002</v>
      </c>
      <c r="AE43" s="16">
        <f t="shared" si="5"/>
        <v>0.3606557377049181</v>
      </c>
      <c r="AF43" s="16">
        <f t="shared" si="6"/>
        <v>0.5</v>
      </c>
      <c r="AG43" s="9"/>
      <c r="AH43" s="9"/>
      <c r="AI43" s="12">
        <f t="shared" si="7"/>
        <v>40</v>
      </c>
      <c r="AJ43" s="12">
        <f t="shared" si="8"/>
        <v>46.6</v>
      </c>
      <c r="AK43" s="12">
        <f t="shared" si="8"/>
        <v>42.6</v>
      </c>
      <c r="AL43" s="12">
        <f t="shared" si="8"/>
        <v>38.6</v>
      </c>
      <c r="AM43" s="12">
        <f t="shared" si="8"/>
        <v>38.6</v>
      </c>
      <c r="AN43" s="12">
        <f t="shared" si="8"/>
        <v>28.000000000000004</v>
      </c>
      <c r="AO43" s="12">
        <f t="shared" si="14"/>
        <v>30.599999999999998</v>
      </c>
      <c r="AP43" s="12">
        <f t="shared" si="14"/>
        <v>53.300000000000004</v>
      </c>
      <c r="AQ43" s="12">
        <f t="shared" si="14"/>
        <v>48</v>
      </c>
      <c r="AR43" s="12">
        <f t="shared" si="14"/>
        <v>24</v>
      </c>
      <c r="AS43" s="12">
        <f t="shared" si="15"/>
        <v>30.599999999999998</v>
      </c>
      <c r="AT43" s="12">
        <f t="shared" si="15"/>
        <v>20</v>
      </c>
      <c r="AU43" s="12">
        <f t="shared" si="9"/>
        <v>72</v>
      </c>
      <c r="AV43" s="12">
        <f t="shared" si="15"/>
        <v>90.600000000000009</v>
      </c>
      <c r="AW43" s="12">
        <f t="shared" si="16"/>
        <v>30.599999999999998</v>
      </c>
      <c r="AX43" s="12">
        <f t="shared" si="10"/>
        <v>36</v>
      </c>
      <c r="AY43" s="9"/>
      <c r="AZ43" s="12">
        <f t="shared" si="17"/>
        <v>36</v>
      </c>
      <c r="BA43" s="12">
        <f t="shared" si="13"/>
        <v>40</v>
      </c>
      <c r="BB43" s="12">
        <f t="shared" si="11"/>
        <v>34.599999999999994</v>
      </c>
      <c r="BC43" s="12">
        <f t="shared" si="11"/>
        <v>32</v>
      </c>
      <c r="BD43" s="12">
        <f t="shared" si="11"/>
        <v>38.6</v>
      </c>
      <c r="BE43" s="12">
        <f t="shared" si="11"/>
        <v>30.599999999999998</v>
      </c>
      <c r="BF43" s="12">
        <f t="shared" si="12"/>
        <v>32</v>
      </c>
      <c r="BG43" s="12">
        <f t="shared" si="12"/>
        <v>38.6</v>
      </c>
      <c r="BH43" s="12">
        <f t="shared" si="12"/>
        <v>14.6</v>
      </c>
      <c r="BI43" s="12">
        <f t="shared" si="12"/>
        <v>29.299999999999997</v>
      </c>
    </row>
    <row r="44" spans="1:61" ht="15.75" customHeight="1">
      <c r="A44" s="1" t="s">
        <v>138</v>
      </c>
      <c r="B44" s="3" t="s">
        <v>105</v>
      </c>
      <c r="C44" s="4" t="s">
        <v>99</v>
      </c>
      <c r="D44" s="4">
        <v>28</v>
      </c>
      <c r="E44" s="4">
        <v>557</v>
      </c>
      <c r="F44" s="4">
        <v>28</v>
      </c>
      <c r="G44" s="4">
        <v>557</v>
      </c>
      <c r="H44" s="4">
        <v>20.2</v>
      </c>
      <c r="I44" s="4">
        <v>0.63500000000000001</v>
      </c>
      <c r="J44" s="4">
        <v>0.61799999999999999</v>
      </c>
      <c r="K44" s="4">
        <v>0</v>
      </c>
      <c r="L44" s="4">
        <v>0.33100000000000002</v>
      </c>
      <c r="M44" s="4">
        <v>7.4</v>
      </c>
      <c r="N44" s="4">
        <v>13.4</v>
      </c>
      <c r="O44" s="4">
        <v>6.2</v>
      </c>
      <c r="P44" s="4">
        <v>1</v>
      </c>
      <c r="Q44" s="4">
        <v>2.8</v>
      </c>
      <c r="R44" s="4">
        <v>18.399999999999999</v>
      </c>
      <c r="S44" s="4">
        <v>19.899999999999999</v>
      </c>
      <c r="T44" s="4">
        <v>107</v>
      </c>
      <c r="U44" s="4">
        <v>92</v>
      </c>
      <c r="V44" s="4"/>
      <c r="W44" s="4">
        <v>2</v>
      </c>
      <c r="X44" s="4">
        <v>0.8</v>
      </c>
      <c r="Y44" s="4">
        <v>2.7</v>
      </c>
      <c r="Z44" s="4">
        <v>0.19500000000000001</v>
      </c>
      <c r="AA44" s="13">
        <f>(I44/TOTAL_BASIC!$D$301)*100</f>
        <v>128.69853779754121</v>
      </c>
      <c r="AB44" s="5">
        <f t="shared" si="3"/>
        <v>1.07</v>
      </c>
      <c r="AC44" s="3">
        <f t="shared" si="1"/>
        <v>15</v>
      </c>
      <c r="AD44" s="9">
        <f t="shared" si="4"/>
        <v>1.27</v>
      </c>
      <c r="AE44" s="16">
        <f t="shared" si="5"/>
        <v>0.31155778894472363</v>
      </c>
      <c r="AF44" s="16">
        <f t="shared" si="6"/>
        <v>0.33695652173913049</v>
      </c>
      <c r="AG44" s="9"/>
      <c r="AH44" s="9"/>
      <c r="AI44" s="12">
        <f t="shared" si="7"/>
        <v>40</v>
      </c>
      <c r="AJ44" s="12">
        <f t="shared" si="8"/>
        <v>45.300000000000004</v>
      </c>
      <c r="AK44" s="12">
        <f t="shared" si="8"/>
        <v>88</v>
      </c>
      <c r="AL44" s="12">
        <f t="shared" si="8"/>
        <v>100</v>
      </c>
      <c r="AM44" s="12">
        <f t="shared" si="8"/>
        <v>100</v>
      </c>
      <c r="AN44" s="12">
        <f t="shared" si="8"/>
        <v>0</v>
      </c>
      <c r="AO44" s="12">
        <f t="shared" si="14"/>
        <v>53.300000000000004</v>
      </c>
      <c r="AP44" s="12">
        <f t="shared" si="14"/>
        <v>61.3</v>
      </c>
      <c r="AQ44" s="12">
        <f t="shared" si="14"/>
        <v>77.3</v>
      </c>
      <c r="AR44" s="12">
        <f t="shared" si="14"/>
        <v>10.6</v>
      </c>
      <c r="AS44" s="12">
        <f t="shared" si="15"/>
        <v>1.3</v>
      </c>
      <c r="AT44" s="12">
        <f t="shared" si="15"/>
        <v>86.6</v>
      </c>
      <c r="AU44" s="12">
        <f t="shared" si="9"/>
        <v>65.400000000000006</v>
      </c>
      <c r="AV44" s="12">
        <f t="shared" si="15"/>
        <v>52</v>
      </c>
      <c r="AW44" s="12">
        <f t="shared" si="16"/>
        <v>94.6</v>
      </c>
      <c r="AX44" s="12">
        <f t="shared" si="10"/>
        <v>60</v>
      </c>
      <c r="AY44" s="9"/>
      <c r="AZ44" s="12">
        <f t="shared" si="17"/>
        <v>78.600000000000009</v>
      </c>
      <c r="BA44" s="12">
        <f t="shared" si="13"/>
        <v>60</v>
      </c>
      <c r="BB44" s="12">
        <f t="shared" si="11"/>
        <v>72</v>
      </c>
      <c r="BC44" s="12">
        <f t="shared" si="11"/>
        <v>90.600000000000009</v>
      </c>
      <c r="BD44" s="12">
        <f t="shared" si="11"/>
        <v>100</v>
      </c>
      <c r="BE44" s="12">
        <f t="shared" si="11"/>
        <v>94.6</v>
      </c>
      <c r="BF44" s="12">
        <f t="shared" si="12"/>
        <v>90.600000000000009</v>
      </c>
      <c r="BG44" s="12">
        <f t="shared" si="12"/>
        <v>100</v>
      </c>
      <c r="BH44" s="12">
        <f t="shared" si="12"/>
        <v>10.6</v>
      </c>
      <c r="BI44" s="12">
        <f t="shared" si="12"/>
        <v>14.6</v>
      </c>
    </row>
    <row r="45" spans="1:61" ht="15.75" customHeight="1">
      <c r="A45" s="1" t="s">
        <v>139</v>
      </c>
      <c r="B45" s="3" t="s">
        <v>90</v>
      </c>
      <c r="C45" s="4" t="s">
        <v>110</v>
      </c>
      <c r="D45" s="4">
        <v>28</v>
      </c>
      <c r="E45" s="4">
        <v>545</v>
      </c>
      <c r="F45" s="4">
        <v>28</v>
      </c>
      <c r="G45" s="4">
        <v>545</v>
      </c>
      <c r="H45" s="4">
        <v>10.199999999999999</v>
      </c>
      <c r="I45" s="4">
        <v>0.44900000000000001</v>
      </c>
      <c r="J45" s="4">
        <v>0.40899999999999997</v>
      </c>
      <c r="K45" s="4">
        <v>8.9999999999999993E-3</v>
      </c>
      <c r="L45" s="4">
        <v>0.373</v>
      </c>
      <c r="M45" s="4">
        <v>10</v>
      </c>
      <c r="N45" s="4">
        <v>14</v>
      </c>
      <c r="O45" s="4">
        <v>4.0999999999999996</v>
      </c>
      <c r="P45" s="4">
        <v>4.5999999999999996</v>
      </c>
      <c r="Q45" s="4">
        <v>1.6</v>
      </c>
      <c r="R45" s="4">
        <v>27.7</v>
      </c>
      <c r="S45" s="4">
        <v>15.2</v>
      </c>
      <c r="T45" s="4">
        <v>80</v>
      </c>
      <c r="U45" s="4">
        <v>85</v>
      </c>
      <c r="V45" s="4"/>
      <c r="W45" s="4">
        <v>-0.4</v>
      </c>
      <c r="X45" s="4">
        <v>1.3</v>
      </c>
      <c r="Y45" s="4">
        <v>0.9</v>
      </c>
      <c r="Z45" s="4">
        <v>6.9000000000000006E-2</v>
      </c>
      <c r="AA45" s="13">
        <f>(I45/TOTAL_BASIC!$D$301)*100</f>
        <v>91.001013340308674</v>
      </c>
      <c r="AB45" s="5">
        <f t="shared" si="3"/>
        <v>0.8</v>
      </c>
      <c r="AC45" s="3">
        <f t="shared" si="1"/>
        <v>-5</v>
      </c>
      <c r="AD45" s="9">
        <f t="shared" si="4"/>
        <v>0.89800000000000002</v>
      </c>
      <c r="AE45" s="16">
        <f t="shared" si="5"/>
        <v>0.26973684210526316</v>
      </c>
      <c r="AF45" s="16">
        <f t="shared" si="6"/>
        <v>0.14801444043321299</v>
      </c>
      <c r="AG45" s="9"/>
      <c r="AH45" s="9"/>
      <c r="AI45" s="12">
        <f t="shared" si="7"/>
        <v>40</v>
      </c>
      <c r="AJ45" s="12">
        <f t="shared" si="8"/>
        <v>44</v>
      </c>
      <c r="AK45" s="12">
        <f t="shared" si="8"/>
        <v>30.599999999999998</v>
      </c>
      <c r="AL45" s="12">
        <f t="shared" si="8"/>
        <v>36</v>
      </c>
      <c r="AM45" s="12">
        <f t="shared" si="8"/>
        <v>36</v>
      </c>
      <c r="AN45" s="12">
        <f t="shared" si="8"/>
        <v>10.6</v>
      </c>
      <c r="AO45" s="12">
        <f t="shared" si="14"/>
        <v>65.3</v>
      </c>
      <c r="AP45" s="12">
        <f t="shared" si="14"/>
        <v>82.6</v>
      </c>
      <c r="AQ45" s="12">
        <f t="shared" si="14"/>
        <v>85.3</v>
      </c>
      <c r="AR45" s="12">
        <f t="shared" si="14"/>
        <v>4</v>
      </c>
      <c r="AS45" s="12">
        <f t="shared" si="15"/>
        <v>94.6</v>
      </c>
      <c r="AT45" s="12">
        <f t="shared" si="15"/>
        <v>68</v>
      </c>
      <c r="AU45" s="12">
        <f t="shared" si="9"/>
        <v>24</v>
      </c>
      <c r="AV45" s="12">
        <f t="shared" si="15"/>
        <v>18.600000000000001</v>
      </c>
      <c r="AW45" s="12">
        <f t="shared" si="16"/>
        <v>22.6</v>
      </c>
      <c r="AX45" s="12">
        <f t="shared" si="10"/>
        <v>93.4</v>
      </c>
      <c r="AY45" s="9"/>
      <c r="AZ45" s="12">
        <f t="shared" si="17"/>
        <v>16</v>
      </c>
      <c r="BA45" s="12">
        <f t="shared" si="13"/>
        <v>80</v>
      </c>
      <c r="BB45" s="12">
        <f t="shared" si="11"/>
        <v>46.6</v>
      </c>
      <c r="BC45" s="12">
        <f t="shared" si="11"/>
        <v>45.300000000000004</v>
      </c>
      <c r="BD45" s="12">
        <f t="shared" si="11"/>
        <v>36</v>
      </c>
      <c r="BE45" s="12">
        <f t="shared" si="11"/>
        <v>22.6</v>
      </c>
      <c r="BF45" s="12">
        <f t="shared" si="12"/>
        <v>41.3</v>
      </c>
      <c r="BG45" s="12">
        <f t="shared" si="12"/>
        <v>36</v>
      </c>
      <c r="BH45" s="12">
        <f t="shared" si="12"/>
        <v>5.3</v>
      </c>
      <c r="BI45" s="12">
        <f t="shared" si="12"/>
        <v>2.6</v>
      </c>
    </row>
    <row r="46" spans="1:61" ht="15.75" customHeight="1">
      <c r="A46" s="1" t="s">
        <v>140</v>
      </c>
      <c r="B46" s="3" t="s">
        <v>88</v>
      </c>
      <c r="C46" s="4" t="s">
        <v>92</v>
      </c>
      <c r="D46" s="4">
        <v>28</v>
      </c>
      <c r="E46" s="4">
        <v>539</v>
      </c>
      <c r="F46" s="4">
        <v>28</v>
      </c>
      <c r="G46" s="4">
        <v>539</v>
      </c>
      <c r="H46" s="4">
        <v>7.4</v>
      </c>
      <c r="I46" s="4">
        <v>0.39100000000000001</v>
      </c>
      <c r="J46" s="4">
        <v>0.374</v>
      </c>
      <c r="K46" s="4">
        <v>0.157</v>
      </c>
      <c r="L46" s="4">
        <v>0.19500000000000001</v>
      </c>
      <c r="M46" s="4">
        <v>3.6</v>
      </c>
      <c r="N46" s="4">
        <v>8.3000000000000007</v>
      </c>
      <c r="O46" s="4">
        <v>9.6999999999999993</v>
      </c>
      <c r="P46" s="4">
        <v>1.6</v>
      </c>
      <c r="Q46" s="4">
        <v>1.7</v>
      </c>
      <c r="R46" s="4">
        <v>20.3</v>
      </c>
      <c r="S46" s="4">
        <v>19.100000000000001</v>
      </c>
      <c r="T46" s="4">
        <v>74</v>
      </c>
      <c r="U46" s="4">
        <v>93</v>
      </c>
      <c r="V46" s="4"/>
      <c r="W46" s="4">
        <v>-0.9</v>
      </c>
      <c r="X46" s="4">
        <v>0.6</v>
      </c>
      <c r="Y46" s="4">
        <v>-0.3</v>
      </c>
      <c r="Z46" s="4">
        <v>-2.5000000000000001E-2</v>
      </c>
      <c r="AA46" s="13">
        <f>(I46/TOTAL_BASIC!$D$301)*100</f>
        <v>79.245871305257651</v>
      </c>
      <c r="AB46" s="5">
        <f t="shared" si="3"/>
        <v>0.74</v>
      </c>
      <c r="AC46" s="3">
        <f t="shared" si="1"/>
        <v>-19</v>
      </c>
      <c r="AD46" s="9">
        <f t="shared" si="4"/>
        <v>0.78200000000000003</v>
      </c>
      <c r="AE46" s="16">
        <f t="shared" si="5"/>
        <v>0.50785340314136118</v>
      </c>
      <c r="AF46" s="16">
        <f t="shared" si="6"/>
        <v>0.47783251231527091</v>
      </c>
      <c r="AG46" s="9"/>
      <c r="AH46" s="9"/>
      <c r="AI46" s="12">
        <f t="shared" si="7"/>
        <v>40</v>
      </c>
      <c r="AJ46" s="12">
        <f t="shared" si="8"/>
        <v>42.6</v>
      </c>
      <c r="AK46" s="12">
        <f t="shared" si="8"/>
        <v>17.299999999999997</v>
      </c>
      <c r="AL46" s="12">
        <f t="shared" si="8"/>
        <v>6.6000000000000005</v>
      </c>
      <c r="AM46" s="12">
        <f t="shared" si="8"/>
        <v>14.6</v>
      </c>
      <c r="AN46" s="12">
        <f t="shared" si="8"/>
        <v>54.6</v>
      </c>
      <c r="AO46" s="12">
        <f t="shared" si="14"/>
        <v>16</v>
      </c>
      <c r="AP46" s="12">
        <f t="shared" si="14"/>
        <v>22.6</v>
      </c>
      <c r="AQ46" s="12">
        <f t="shared" si="14"/>
        <v>44</v>
      </c>
      <c r="AR46" s="12">
        <f t="shared" si="14"/>
        <v>28.000000000000004</v>
      </c>
      <c r="AS46" s="12">
        <f t="shared" si="15"/>
        <v>18.600000000000001</v>
      </c>
      <c r="AT46" s="12">
        <f t="shared" si="15"/>
        <v>70.599999999999994</v>
      </c>
      <c r="AU46" s="12">
        <f t="shared" si="9"/>
        <v>46.699999999999996</v>
      </c>
      <c r="AV46" s="12">
        <f t="shared" si="15"/>
        <v>45.300000000000004</v>
      </c>
      <c r="AW46" s="12">
        <f t="shared" si="16"/>
        <v>10.6</v>
      </c>
      <c r="AX46" s="12">
        <f t="shared" si="10"/>
        <v>46.699999999999996</v>
      </c>
      <c r="AY46" s="9"/>
      <c r="AZ46" s="12">
        <f t="shared" si="17"/>
        <v>2.6</v>
      </c>
      <c r="BA46" s="12">
        <f t="shared" si="13"/>
        <v>49.3</v>
      </c>
      <c r="BB46" s="12">
        <f t="shared" si="11"/>
        <v>10.6</v>
      </c>
      <c r="BC46" s="12">
        <f t="shared" si="11"/>
        <v>14.6</v>
      </c>
      <c r="BD46" s="12">
        <f t="shared" si="11"/>
        <v>6.6000000000000005</v>
      </c>
      <c r="BE46" s="12">
        <f t="shared" si="11"/>
        <v>10.6</v>
      </c>
      <c r="BF46" s="12">
        <f t="shared" si="12"/>
        <v>12</v>
      </c>
      <c r="BG46" s="12">
        <f t="shared" si="12"/>
        <v>6.6000000000000005</v>
      </c>
      <c r="BH46" s="12">
        <f t="shared" si="12"/>
        <v>28.000000000000004</v>
      </c>
      <c r="BI46" s="12">
        <f t="shared" si="12"/>
        <v>28.000000000000004</v>
      </c>
    </row>
    <row r="47" spans="1:61" ht="15.75" customHeight="1">
      <c r="A47" s="1" t="s">
        <v>141</v>
      </c>
      <c r="B47" s="4" t="s">
        <v>94</v>
      </c>
      <c r="C47" s="4" t="s">
        <v>99</v>
      </c>
      <c r="D47" s="4">
        <v>28</v>
      </c>
      <c r="E47" s="4">
        <v>517</v>
      </c>
      <c r="F47" s="4">
        <v>28</v>
      </c>
      <c r="G47" s="4">
        <v>517</v>
      </c>
      <c r="H47" s="4">
        <v>18.2</v>
      </c>
      <c r="I47" s="4">
        <v>0.48199999999999998</v>
      </c>
      <c r="J47" s="4">
        <v>0.39300000000000002</v>
      </c>
      <c r="K47" s="4">
        <v>6.0000000000000001E-3</v>
      </c>
      <c r="L47" s="4">
        <v>0.52200000000000002</v>
      </c>
      <c r="M47" s="4">
        <v>14.9</v>
      </c>
      <c r="N47" s="4">
        <v>17.3</v>
      </c>
      <c r="O47" s="4">
        <v>10</v>
      </c>
      <c r="P47" s="4">
        <v>2.2999999999999998</v>
      </c>
      <c r="Q47" s="4">
        <v>1.5</v>
      </c>
      <c r="R47" s="4">
        <v>17.399999999999999</v>
      </c>
      <c r="S47" s="4">
        <v>23.1</v>
      </c>
      <c r="T47" s="4">
        <v>96</v>
      </c>
      <c r="U47" s="4">
        <v>86</v>
      </c>
      <c r="V47" s="4"/>
      <c r="W47" s="4">
        <v>1.1000000000000001</v>
      </c>
      <c r="X47" s="4">
        <v>1.2</v>
      </c>
      <c r="Y47" s="4">
        <v>2.2999999999999998</v>
      </c>
      <c r="Z47" s="4">
        <v>0.18</v>
      </c>
      <c r="AA47" s="13">
        <f>(I47/TOTAL_BASIC!$D$301)*100</f>
        <v>97.689283808527335</v>
      </c>
      <c r="AB47" s="5">
        <f t="shared" si="3"/>
        <v>0.96</v>
      </c>
      <c r="AC47" s="3">
        <f t="shared" si="1"/>
        <v>10</v>
      </c>
      <c r="AD47" s="9">
        <f t="shared" si="4"/>
        <v>0.96399999999999997</v>
      </c>
      <c r="AE47" s="16">
        <f t="shared" si="5"/>
        <v>0.4329004329004329</v>
      </c>
      <c r="AF47" s="16">
        <f t="shared" si="6"/>
        <v>0.57471264367816099</v>
      </c>
      <c r="AG47" s="9"/>
      <c r="AH47" s="9"/>
      <c r="AI47" s="12">
        <f t="shared" si="7"/>
        <v>40</v>
      </c>
      <c r="AJ47" s="12">
        <f t="shared" si="8"/>
        <v>41.3</v>
      </c>
      <c r="AK47" s="12">
        <f t="shared" si="8"/>
        <v>73.3</v>
      </c>
      <c r="AL47" s="12">
        <f t="shared" si="8"/>
        <v>49.3</v>
      </c>
      <c r="AM47" s="12">
        <f t="shared" si="8"/>
        <v>25.3</v>
      </c>
      <c r="AN47" s="12">
        <f t="shared" si="8"/>
        <v>9.3000000000000007</v>
      </c>
      <c r="AO47" s="12">
        <f t="shared" si="14"/>
        <v>89.3</v>
      </c>
      <c r="AP47" s="12">
        <f t="shared" si="14"/>
        <v>98.6</v>
      </c>
      <c r="AQ47" s="12">
        <f t="shared" si="14"/>
        <v>96</v>
      </c>
      <c r="AR47" s="12">
        <f t="shared" si="14"/>
        <v>30.599999999999998</v>
      </c>
      <c r="AS47" s="12">
        <f t="shared" si="15"/>
        <v>44</v>
      </c>
      <c r="AT47" s="12">
        <f t="shared" si="15"/>
        <v>65.3</v>
      </c>
      <c r="AU47" s="12">
        <f t="shared" si="9"/>
        <v>73.400000000000006</v>
      </c>
      <c r="AV47" s="12">
        <f t="shared" si="15"/>
        <v>81.3</v>
      </c>
      <c r="AW47" s="12">
        <f t="shared" si="16"/>
        <v>66.600000000000009</v>
      </c>
      <c r="AX47" s="12">
        <f t="shared" si="10"/>
        <v>89.4</v>
      </c>
      <c r="AY47" s="9"/>
      <c r="AZ47" s="12">
        <f t="shared" si="17"/>
        <v>64</v>
      </c>
      <c r="BA47" s="12">
        <f t="shared" si="13"/>
        <v>78.600000000000009</v>
      </c>
      <c r="BB47" s="12">
        <f t="shared" si="11"/>
        <v>70.599999999999994</v>
      </c>
      <c r="BC47" s="12">
        <f t="shared" si="11"/>
        <v>80</v>
      </c>
      <c r="BD47" s="12">
        <f t="shared" si="11"/>
        <v>49.3</v>
      </c>
      <c r="BE47" s="12">
        <f t="shared" si="11"/>
        <v>66.600000000000009</v>
      </c>
      <c r="BF47" s="12">
        <f t="shared" si="12"/>
        <v>76</v>
      </c>
      <c r="BG47" s="12">
        <f t="shared" si="12"/>
        <v>49.3</v>
      </c>
      <c r="BH47" s="12">
        <f t="shared" si="12"/>
        <v>18.600000000000001</v>
      </c>
      <c r="BI47" s="12">
        <f t="shared" si="12"/>
        <v>38.6</v>
      </c>
    </row>
    <row r="48" spans="1:61" ht="15.75" customHeight="1">
      <c r="A48" s="1" t="s">
        <v>142</v>
      </c>
      <c r="B48" s="3" t="s">
        <v>96</v>
      </c>
      <c r="C48" s="4" t="s">
        <v>92</v>
      </c>
      <c r="D48" s="4">
        <v>28</v>
      </c>
      <c r="E48" s="4">
        <v>511</v>
      </c>
      <c r="F48" s="4">
        <v>28</v>
      </c>
      <c r="G48" s="4">
        <v>511</v>
      </c>
      <c r="H48" s="4">
        <v>20.2</v>
      </c>
      <c r="I48" s="4">
        <v>0.57899999999999996</v>
      </c>
      <c r="J48" s="4">
        <v>0.52</v>
      </c>
      <c r="K48" s="4">
        <v>0</v>
      </c>
      <c r="L48" s="4">
        <v>0.52</v>
      </c>
      <c r="M48" s="4">
        <v>12.8</v>
      </c>
      <c r="N48" s="4">
        <v>14.3</v>
      </c>
      <c r="O48" s="4">
        <v>7.6</v>
      </c>
      <c r="P48" s="4">
        <v>3.6</v>
      </c>
      <c r="Q48" s="4">
        <v>2.2999999999999998</v>
      </c>
      <c r="R48" s="4">
        <v>15.2</v>
      </c>
      <c r="S48" s="4">
        <v>16.3</v>
      </c>
      <c r="T48" s="4">
        <v>113</v>
      </c>
      <c r="U48" s="4">
        <v>88</v>
      </c>
      <c r="V48" s="4"/>
      <c r="W48" s="4">
        <v>2</v>
      </c>
      <c r="X48" s="4">
        <v>1</v>
      </c>
      <c r="Y48" s="4">
        <v>2.9</v>
      </c>
      <c r="Z48" s="4">
        <v>0.22900000000000001</v>
      </c>
      <c r="AA48" s="13">
        <f>(I48/TOTAL_BASIC!$D$301)*100</f>
        <v>117.34874548783678</v>
      </c>
      <c r="AB48" s="5">
        <f t="shared" si="3"/>
        <v>1.1299999999999999</v>
      </c>
      <c r="AC48" s="3">
        <f t="shared" si="1"/>
        <v>25</v>
      </c>
      <c r="AD48" s="9">
        <f t="shared" si="4"/>
        <v>1.1579999999999999</v>
      </c>
      <c r="AE48" s="16">
        <f t="shared" si="5"/>
        <v>0.46625766871165641</v>
      </c>
      <c r="AF48" s="16">
        <f t="shared" si="6"/>
        <v>0.5</v>
      </c>
      <c r="AG48" s="9"/>
      <c r="AH48" s="9"/>
      <c r="AI48" s="12">
        <f t="shared" si="7"/>
        <v>40</v>
      </c>
      <c r="AJ48" s="12">
        <f t="shared" si="8"/>
        <v>40</v>
      </c>
      <c r="AK48" s="12">
        <f t="shared" si="8"/>
        <v>88</v>
      </c>
      <c r="AL48" s="12">
        <f t="shared" si="8"/>
        <v>90.600000000000009</v>
      </c>
      <c r="AM48" s="12">
        <f t="shared" si="8"/>
        <v>90.600000000000009</v>
      </c>
      <c r="AN48" s="12">
        <f t="shared" si="8"/>
        <v>0</v>
      </c>
      <c r="AO48" s="12">
        <f t="shared" si="14"/>
        <v>88</v>
      </c>
      <c r="AP48" s="12">
        <f t="shared" si="14"/>
        <v>94.6</v>
      </c>
      <c r="AQ48" s="12">
        <f t="shared" si="14"/>
        <v>88</v>
      </c>
      <c r="AR48" s="12">
        <f t="shared" si="14"/>
        <v>18.600000000000001</v>
      </c>
      <c r="AS48" s="12">
        <f t="shared" si="15"/>
        <v>84</v>
      </c>
      <c r="AT48" s="12">
        <f t="shared" si="15"/>
        <v>78.600000000000009</v>
      </c>
      <c r="AU48" s="12">
        <f t="shared" si="9"/>
        <v>86.7</v>
      </c>
      <c r="AV48" s="12">
        <f t="shared" si="15"/>
        <v>22.6</v>
      </c>
      <c r="AW48" s="12">
        <f t="shared" si="16"/>
        <v>96</v>
      </c>
      <c r="AX48" s="12">
        <f t="shared" si="10"/>
        <v>82.7</v>
      </c>
      <c r="AY48" s="9"/>
      <c r="AZ48" s="12">
        <f t="shared" si="17"/>
        <v>78.600000000000009</v>
      </c>
      <c r="BA48" s="12">
        <f t="shared" si="13"/>
        <v>70.599999999999994</v>
      </c>
      <c r="BB48" s="12">
        <f t="shared" si="11"/>
        <v>73.3</v>
      </c>
      <c r="BC48" s="12">
        <f t="shared" si="11"/>
        <v>97.3</v>
      </c>
      <c r="BD48" s="12">
        <f t="shared" si="11"/>
        <v>90.600000000000009</v>
      </c>
      <c r="BE48" s="12">
        <f t="shared" si="11"/>
        <v>96</v>
      </c>
      <c r="BF48" s="12">
        <f t="shared" si="12"/>
        <v>96</v>
      </c>
      <c r="BG48" s="12">
        <f t="shared" si="12"/>
        <v>90.600000000000009</v>
      </c>
      <c r="BH48" s="12">
        <f t="shared" si="12"/>
        <v>22.6</v>
      </c>
      <c r="BI48" s="12">
        <f t="shared" si="12"/>
        <v>29.299999999999997</v>
      </c>
    </row>
    <row r="49" spans="1:61" ht="15.75" customHeight="1">
      <c r="A49" s="1" t="s">
        <v>143</v>
      </c>
      <c r="B49" s="3" t="s">
        <v>105</v>
      </c>
      <c r="C49" s="4" t="s">
        <v>92</v>
      </c>
      <c r="D49" s="4">
        <v>28</v>
      </c>
      <c r="E49" s="4">
        <v>492</v>
      </c>
      <c r="F49" s="4">
        <v>28</v>
      </c>
      <c r="G49" s="4">
        <v>492</v>
      </c>
      <c r="H49" s="4">
        <v>17</v>
      </c>
      <c r="I49" s="4">
        <v>0.58399999999999996</v>
      </c>
      <c r="J49" s="4">
        <v>0.54400000000000004</v>
      </c>
      <c r="K49" s="4">
        <v>1.4999999999999999E-2</v>
      </c>
      <c r="L49" s="4">
        <v>0.36299999999999999</v>
      </c>
      <c r="M49" s="4">
        <v>12.1</v>
      </c>
      <c r="N49" s="4">
        <v>14.4</v>
      </c>
      <c r="O49" s="4">
        <v>3.4</v>
      </c>
      <c r="P49" s="4">
        <v>2.1</v>
      </c>
      <c r="Q49" s="4">
        <v>2.1</v>
      </c>
      <c r="R49" s="4">
        <v>23.1</v>
      </c>
      <c r="S49" s="4">
        <v>18.3</v>
      </c>
      <c r="T49" s="4">
        <v>98</v>
      </c>
      <c r="U49" s="4">
        <v>91</v>
      </c>
      <c r="V49" s="4"/>
      <c r="W49" s="4">
        <v>1</v>
      </c>
      <c r="X49" s="4">
        <v>0.7</v>
      </c>
      <c r="Y49" s="4">
        <v>1.7</v>
      </c>
      <c r="Z49" s="4">
        <v>0.13900000000000001</v>
      </c>
      <c r="AA49" s="13">
        <f>(I49/TOTAL_BASIC!$D$301)*100</f>
        <v>118.36211980120324</v>
      </c>
      <c r="AB49" s="5">
        <f t="shared" si="3"/>
        <v>0.98</v>
      </c>
      <c r="AC49" s="3">
        <f t="shared" si="1"/>
        <v>7</v>
      </c>
      <c r="AD49" s="9">
        <f t="shared" si="4"/>
        <v>1.1679999999999999</v>
      </c>
      <c r="AE49" s="16">
        <f t="shared" si="5"/>
        <v>0.18579234972677594</v>
      </c>
      <c r="AF49" s="16">
        <f t="shared" si="6"/>
        <v>0.14718614718614717</v>
      </c>
      <c r="AG49" s="9"/>
      <c r="AH49" s="9"/>
      <c r="AI49" s="12">
        <f t="shared" si="7"/>
        <v>40</v>
      </c>
      <c r="AJ49" s="12">
        <f t="shared" si="8"/>
        <v>38.6</v>
      </c>
      <c r="AK49" s="12">
        <f t="shared" si="8"/>
        <v>68</v>
      </c>
      <c r="AL49" s="12">
        <f t="shared" si="8"/>
        <v>92</v>
      </c>
      <c r="AM49" s="12">
        <f t="shared" si="8"/>
        <v>93.300000000000011</v>
      </c>
      <c r="AN49" s="12">
        <f t="shared" si="8"/>
        <v>13.3</v>
      </c>
      <c r="AO49" s="12">
        <f t="shared" si="14"/>
        <v>64</v>
      </c>
      <c r="AP49" s="12">
        <f t="shared" si="14"/>
        <v>92</v>
      </c>
      <c r="AQ49" s="12">
        <f t="shared" si="14"/>
        <v>89.3</v>
      </c>
      <c r="AR49" s="12">
        <f t="shared" si="14"/>
        <v>1.3</v>
      </c>
      <c r="AS49" s="12">
        <f t="shared" si="15"/>
        <v>30.599999999999998</v>
      </c>
      <c r="AT49" s="12">
        <f t="shared" si="15"/>
        <v>74.599999999999994</v>
      </c>
      <c r="AU49" s="12">
        <f t="shared" si="9"/>
        <v>33.399999999999991</v>
      </c>
      <c r="AV49" s="12">
        <f t="shared" si="15"/>
        <v>37.299999999999997</v>
      </c>
      <c r="AW49" s="12">
        <f t="shared" si="16"/>
        <v>74.599999999999994</v>
      </c>
      <c r="AX49" s="12">
        <f t="shared" si="10"/>
        <v>66.699999999999989</v>
      </c>
      <c r="AY49" s="9"/>
      <c r="AZ49" s="12">
        <f t="shared" si="17"/>
        <v>62.6</v>
      </c>
      <c r="BA49" s="12">
        <f t="shared" si="13"/>
        <v>52</v>
      </c>
      <c r="BB49" s="12">
        <f t="shared" si="11"/>
        <v>58.599999999999994</v>
      </c>
      <c r="BC49" s="12">
        <f t="shared" si="11"/>
        <v>68</v>
      </c>
      <c r="BD49" s="12">
        <f t="shared" si="11"/>
        <v>92</v>
      </c>
      <c r="BE49" s="12">
        <f t="shared" si="11"/>
        <v>74.599999999999994</v>
      </c>
      <c r="BF49" s="12">
        <f t="shared" si="12"/>
        <v>72</v>
      </c>
      <c r="BG49" s="12">
        <f t="shared" si="12"/>
        <v>92</v>
      </c>
      <c r="BH49" s="12">
        <f t="shared" si="12"/>
        <v>1.3</v>
      </c>
      <c r="BI49" s="12">
        <f t="shared" si="12"/>
        <v>1.3</v>
      </c>
    </row>
    <row r="50" spans="1:61" ht="15.75" customHeight="1">
      <c r="A50" s="1" t="s">
        <v>144</v>
      </c>
      <c r="B50" s="3" t="s">
        <v>88</v>
      </c>
      <c r="C50" s="4" t="s">
        <v>8</v>
      </c>
      <c r="D50" s="4">
        <v>28</v>
      </c>
      <c r="E50" s="4">
        <v>475</v>
      </c>
      <c r="F50" s="4">
        <v>28</v>
      </c>
      <c r="G50" s="4">
        <v>475</v>
      </c>
      <c r="H50" s="4">
        <v>10.7</v>
      </c>
      <c r="I50" s="4">
        <v>0.52</v>
      </c>
      <c r="J50" s="4">
        <v>0.47699999999999998</v>
      </c>
      <c r="K50" s="4">
        <v>0.53700000000000003</v>
      </c>
      <c r="L50" s="4">
        <v>0.38</v>
      </c>
      <c r="M50" s="4">
        <v>1.3</v>
      </c>
      <c r="N50" s="4">
        <v>5.5</v>
      </c>
      <c r="O50" s="4">
        <v>21.1</v>
      </c>
      <c r="P50" s="4">
        <v>1.5</v>
      </c>
      <c r="Q50" s="4">
        <v>0.5</v>
      </c>
      <c r="R50" s="4">
        <v>28.8</v>
      </c>
      <c r="S50" s="4">
        <v>17.7</v>
      </c>
      <c r="T50" s="4">
        <v>87</v>
      </c>
      <c r="U50" s="4">
        <v>95</v>
      </c>
      <c r="V50" s="4"/>
      <c r="W50" s="4">
        <v>0.2</v>
      </c>
      <c r="X50" s="4">
        <v>0.4</v>
      </c>
      <c r="Y50" s="4">
        <v>0.5</v>
      </c>
      <c r="Z50" s="4">
        <v>4.3999999999999997E-2</v>
      </c>
      <c r="AA50" s="13">
        <f>(I50/TOTAL_BASIC!$D$301)*100</f>
        <v>105.39092859011248</v>
      </c>
      <c r="AB50" s="5">
        <f t="shared" si="3"/>
        <v>0.87</v>
      </c>
      <c r="AC50" s="3">
        <f t="shared" si="1"/>
        <v>-8</v>
      </c>
      <c r="AD50" s="9">
        <f t="shared" si="4"/>
        <v>1.04</v>
      </c>
      <c r="AE50" s="16">
        <f t="shared" si="5"/>
        <v>1.1920903954802262</v>
      </c>
      <c r="AF50" s="16">
        <f t="shared" si="6"/>
        <v>0.73263888888888895</v>
      </c>
      <c r="AG50" s="9"/>
      <c r="AH50" s="9"/>
      <c r="AI50" s="12">
        <f t="shared" si="7"/>
        <v>40</v>
      </c>
      <c r="AJ50" s="12">
        <f t="shared" si="8"/>
        <v>37.299999999999997</v>
      </c>
      <c r="AK50" s="12">
        <f t="shared" si="8"/>
        <v>33.300000000000004</v>
      </c>
      <c r="AL50" s="12">
        <f t="shared" si="8"/>
        <v>73.3</v>
      </c>
      <c r="AM50" s="12">
        <f t="shared" si="8"/>
        <v>76</v>
      </c>
      <c r="AN50" s="12">
        <f t="shared" si="8"/>
        <v>92</v>
      </c>
      <c r="AO50" s="12">
        <f t="shared" si="14"/>
        <v>66.600000000000009</v>
      </c>
      <c r="AP50" s="12">
        <f t="shared" si="14"/>
        <v>5.3</v>
      </c>
      <c r="AQ50" s="12">
        <f t="shared" si="14"/>
        <v>10.6</v>
      </c>
      <c r="AR50" s="12">
        <f t="shared" si="14"/>
        <v>84</v>
      </c>
      <c r="AS50" s="12">
        <f t="shared" si="15"/>
        <v>13.3</v>
      </c>
      <c r="AT50" s="12">
        <f t="shared" si="15"/>
        <v>29.299999999999997</v>
      </c>
      <c r="AU50" s="12">
        <f t="shared" si="9"/>
        <v>21.399999999999991</v>
      </c>
      <c r="AV50" s="12">
        <f t="shared" si="15"/>
        <v>36</v>
      </c>
      <c r="AW50" s="12">
        <f t="shared" si="16"/>
        <v>38.6</v>
      </c>
      <c r="AX50" s="12">
        <f t="shared" si="10"/>
        <v>36</v>
      </c>
      <c r="AY50" s="9"/>
      <c r="AZ50" s="12">
        <f t="shared" si="17"/>
        <v>45.300000000000004</v>
      </c>
      <c r="BA50" s="12">
        <f t="shared" si="13"/>
        <v>30.599999999999998</v>
      </c>
      <c r="BB50" s="12">
        <f t="shared" si="11"/>
        <v>34.599999999999994</v>
      </c>
      <c r="BC50" s="12">
        <f t="shared" si="11"/>
        <v>33.300000000000004</v>
      </c>
      <c r="BD50" s="12">
        <f t="shared" si="11"/>
        <v>73.3</v>
      </c>
      <c r="BE50" s="12">
        <f t="shared" si="11"/>
        <v>38.6</v>
      </c>
      <c r="BF50" s="12">
        <f t="shared" si="12"/>
        <v>34.599999999999994</v>
      </c>
      <c r="BG50" s="12">
        <f t="shared" si="12"/>
        <v>73.3</v>
      </c>
      <c r="BH50" s="12">
        <f t="shared" si="12"/>
        <v>85.3</v>
      </c>
      <c r="BI50" s="12">
        <f t="shared" si="12"/>
        <v>60</v>
      </c>
    </row>
    <row r="51" spans="1:61" ht="15.75" customHeight="1">
      <c r="A51" s="1" t="s">
        <v>145</v>
      </c>
      <c r="B51" s="3" t="s">
        <v>98</v>
      </c>
      <c r="C51" s="4" t="s">
        <v>118</v>
      </c>
      <c r="D51" s="4">
        <v>28</v>
      </c>
      <c r="E51" s="4">
        <v>473</v>
      </c>
      <c r="F51" s="4">
        <v>28</v>
      </c>
      <c r="G51" s="4">
        <v>473</v>
      </c>
      <c r="H51" s="4">
        <v>8.6</v>
      </c>
      <c r="I51" s="4">
        <v>0.435</v>
      </c>
      <c r="J51" s="4">
        <v>0.39</v>
      </c>
      <c r="K51" s="4">
        <v>0.17499999999999999</v>
      </c>
      <c r="L51" s="4">
        <v>0.38600000000000001</v>
      </c>
      <c r="M51" s="4">
        <v>7.3</v>
      </c>
      <c r="N51" s="4">
        <v>6.2</v>
      </c>
      <c r="O51" s="4">
        <v>9.9</v>
      </c>
      <c r="P51" s="4">
        <v>3.2</v>
      </c>
      <c r="Q51" s="4">
        <v>0.9</v>
      </c>
      <c r="R51" s="4">
        <v>22.2</v>
      </c>
      <c r="S51" s="4">
        <v>16.3</v>
      </c>
      <c r="T51" s="4">
        <v>82</v>
      </c>
      <c r="U51" s="4">
        <v>91</v>
      </c>
      <c r="V51" s="4"/>
      <c r="W51" s="4">
        <v>-0.2</v>
      </c>
      <c r="X51" s="4">
        <v>0.7</v>
      </c>
      <c r="Y51" s="4">
        <v>0.5</v>
      </c>
      <c r="Z51" s="4">
        <v>4.5999999999999999E-2</v>
      </c>
      <c r="AA51" s="13">
        <f>(I51/TOTAL_BASIC!$D$301)*100</f>
        <v>88.163565262882557</v>
      </c>
      <c r="AB51" s="5">
        <f t="shared" si="3"/>
        <v>0.82</v>
      </c>
      <c r="AC51" s="3">
        <f t="shared" si="1"/>
        <v>-9</v>
      </c>
      <c r="AD51" s="9">
        <f t="shared" si="4"/>
        <v>0.87</v>
      </c>
      <c r="AE51" s="16">
        <f t="shared" si="5"/>
        <v>0.6073619631901841</v>
      </c>
      <c r="AF51" s="16">
        <f t="shared" si="6"/>
        <v>0.445945945945946</v>
      </c>
      <c r="AG51" s="9"/>
      <c r="AH51" s="9"/>
      <c r="AI51" s="12">
        <f t="shared" si="7"/>
        <v>40</v>
      </c>
      <c r="AJ51" s="12">
        <f t="shared" si="8"/>
        <v>36</v>
      </c>
      <c r="AK51" s="12">
        <f t="shared" si="8"/>
        <v>22.6</v>
      </c>
      <c r="AL51" s="12">
        <f t="shared" si="8"/>
        <v>25.3</v>
      </c>
      <c r="AM51" s="12">
        <f t="shared" si="8"/>
        <v>21.3</v>
      </c>
      <c r="AN51" s="12">
        <f t="shared" si="8"/>
        <v>57.3</v>
      </c>
      <c r="AO51" s="12">
        <f t="shared" si="14"/>
        <v>68</v>
      </c>
      <c r="AP51" s="12">
        <f t="shared" si="14"/>
        <v>58.599999999999994</v>
      </c>
      <c r="AQ51" s="12">
        <f t="shared" si="14"/>
        <v>16</v>
      </c>
      <c r="AR51" s="12">
        <f t="shared" si="14"/>
        <v>29.299999999999997</v>
      </c>
      <c r="AS51" s="12">
        <f t="shared" si="15"/>
        <v>74.599999999999994</v>
      </c>
      <c r="AT51" s="12">
        <f t="shared" si="15"/>
        <v>48</v>
      </c>
      <c r="AU51" s="12">
        <f t="shared" si="9"/>
        <v>36</v>
      </c>
      <c r="AV51" s="12">
        <f t="shared" si="15"/>
        <v>22.6</v>
      </c>
      <c r="AW51" s="12">
        <f t="shared" si="16"/>
        <v>26.6</v>
      </c>
      <c r="AX51" s="12">
        <f t="shared" si="10"/>
        <v>66.699999999999989</v>
      </c>
      <c r="AY51" s="9"/>
      <c r="AZ51" s="12">
        <f t="shared" si="17"/>
        <v>22.6</v>
      </c>
      <c r="BA51" s="12">
        <f t="shared" si="13"/>
        <v>52</v>
      </c>
      <c r="BB51" s="12">
        <f t="shared" si="11"/>
        <v>34.599999999999994</v>
      </c>
      <c r="BC51" s="12">
        <f t="shared" si="11"/>
        <v>34.599999999999994</v>
      </c>
      <c r="BD51" s="12">
        <f t="shared" si="11"/>
        <v>25.3</v>
      </c>
      <c r="BE51" s="12">
        <f t="shared" si="11"/>
        <v>26.6</v>
      </c>
      <c r="BF51" s="12">
        <f t="shared" si="12"/>
        <v>33.300000000000004</v>
      </c>
      <c r="BG51" s="12">
        <f t="shared" si="12"/>
        <v>25.3</v>
      </c>
      <c r="BH51" s="12">
        <f t="shared" si="12"/>
        <v>38.6</v>
      </c>
      <c r="BI51" s="12">
        <f t="shared" si="12"/>
        <v>24</v>
      </c>
    </row>
    <row r="52" spans="1:61" ht="15.75" customHeight="1">
      <c r="A52" s="1" t="s">
        <v>146</v>
      </c>
      <c r="B52" s="3" t="s">
        <v>101</v>
      </c>
      <c r="C52" s="4" t="s">
        <v>8</v>
      </c>
      <c r="D52" s="4">
        <v>27</v>
      </c>
      <c r="E52" s="4">
        <v>471</v>
      </c>
      <c r="F52" s="4">
        <v>27</v>
      </c>
      <c r="G52" s="4">
        <v>471</v>
      </c>
      <c r="H52" s="4">
        <v>11.2</v>
      </c>
      <c r="I52" s="4">
        <v>0.49399999999999999</v>
      </c>
      <c r="J52" s="4">
        <v>0.42599999999999999</v>
      </c>
      <c r="K52" s="4">
        <v>0.23499999999999999</v>
      </c>
      <c r="L52" s="4">
        <v>0.33100000000000002</v>
      </c>
      <c r="M52" s="4">
        <v>5.2</v>
      </c>
      <c r="N52" s="4">
        <v>7.7</v>
      </c>
      <c r="O52" s="4">
        <v>20.5</v>
      </c>
      <c r="P52" s="4">
        <v>1.6</v>
      </c>
      <c r="Q52" s="4">
        <v>1.3</v>
      </c>
      <c r="R52" s="4">
        <v>28.1</v>
      </c>
      <c r="S52" s="4">
        <v>20.5</v>
      </c>
      <c r="T52" s="4">
        <v>84</v>
      </c>
      <c r="U52" s="4">
        <v>102</v>
      </c>
      <c r="V52" s="4"/>
      <c r="W52" s="4">
        <v>-0.1</v>
      </c>
      <c r="X52" s="4">
        <v>-0.2</v>
      </c>
      <c r="Y52" s="4">
        <v>-0.3</v>
      </c>
      <c r="Z52" s="4">
        <v>-2.7E-2</v>
      </c>
      <c r="AA52" s="13">
        <f>(I52/TOTAL_BASIC!$D$301)*100</f>
        <v>100.12138216060687</v>
      </c>
      <c r="AB52" s="5">
        <f t="shared" si="3"/>
        <v>0.84</v>
      </c>
      <c r="AC52" s="3">
        <f t="shared" si="1"/>
        <v>-18</v>
      </c>
      <c r="AD52" s="9">
        <f t="shared" si="4"/>
        <v>0.98799999999999999</v>
      </c>
      <c r="AE52" s="16">
        <f t="shared" si="5"/>
        <v>1</v>
      </c>
      <c r="AF52" s="16">
        <f t="shared" si="6"/>
        <v>0.72953736654804269</v>
      </c>
      <c r="AG52" s="9"/>
      <c r="AH52" s="9"/>
      <c r="AI52" s="12">
        <f t="shared" si="7"/>
        <v>33.300000000000004</v>
      </c>
      <c r="AJ52" s="12">
        <f t="shared" si="8"/>
        <v>34.599999999999994</v>
      </c>
      <c r="AK52" s="12">
        <f t="shared" si="8"/>
        <v>36</v>
      </c>
      <c r="AL52" s="12">
        <f t="shared" si="8"/>
        <v>56.000000000000007</v>
      </c>
      <c r="AM52" s="12">
        <f t="shared" si="8"/>
        <v>44</v>
      </c>
      <c r="AN52" s="12">
        <f t="shared" si="8"/>
        <v>68</v>
      </c>
      <c r="AO52" s="12">
        <f t="shared" si="14"/>
        <v>53.300000000000004</v>
      </c>
      <c r="AP52" s="12">
        <f t="shared" si="14"/>
        <v>36</v>
      </c>
      <c r="AQ52" s="12">
        <f t="shared" si="14"/>
        <v>34.599999999999994</v>
      </c>
      <c r="AR52" s="12">
        <f t="shared" si="14"/>
        <v>80</v>
      </c>
      <c r="AS52" s="12">
        <f t="shared" si="15"/>
        <v>18.600000000000001</v>
      </c>
      <c r="AT52" s="12">
        <f t="shared" si="15"/>
        <v>61.3</v>
      </c>
      <c r="AU52" s="12">
        <f t="shared" si="9"/>
        <v>22.700000000000003</v>
      </c>
      <c r="AV52" s="12">
        <f t="shared" si="15"/>
        <v>61.3</v>
      </c>
      <c r="AW52" s="12">
        <f t="shared" si="16"/>
        <v>28.000000000000004</v>
      </c>
      <c r="AX52" s="12">
        <f t="shared" si="10"/>
        <v>9.3999999999999915</v>
      </c>
      <c r="AY52" s="9"/>
      <c r="AZ52" s="12">
        <f t="shared" si="17"/>
        <v>28.000000000000004</v>
      </c>
      <c r="BA52" s="12">
        <f t="shared" si="13"/>
        <v>5.3</v>
      </c>
      <c r="BB52" s="12">
        <f t="shared" si="11"/>
        <v>10.6</v>
      </c>
      <c r="BC52" s="12">
        <f t="shared" si="11"/>
        <v>12</v>
      </c>
      <c r="BD52" s="12">
        <f t="shared" si="11"/>
        <v>56.000000000000007</v>
      </c>
      <c r="BE52" s="12">
        <f t="shared" si="11"/>
        <v>28.000000000000004</v>
      </c>
      <c r="BF52" s="12">
        <f t="shared" si="12"/>
        <v>14.6</v>
      </c>
      <c r="BG52" s="12">
        <f t="shared" si="12"/>
        <v>56.000000000000007</v>
      </c>
      <c r="BH52" s="12">
        <f t="shared" si="12"/>
        <v>77.3</v>
      </c>
      <c r="BI52" s="12">
        <f t="shared" si="12"/>
        <v>58.599999999999994</v>
      </c>
    </row>
    <row r="53" spans="1:61" ht="15.75" customHeight="1">
      <c r="A53" s="1" t="s">
        <v>147</v>
      </c>
      <c r="B53" s="3" t="s">
        <v>88</v>
      </c>
      <c r="C53" s="4" t="s">
        <v>110</v>
      </c>
      <c r="D53" s="4">
        <v>28</v>
      </c>
      <c r="E53" s="4">
        <v>438</v>
      </c>
      <c r="F53" s="4">
        <v>28</v>
      </c>
      <c r="G53" s="4">
        <v>438</v>
      </c>
      <c r="H53" s="4">
        <v>15.5</v>
      </c>
      <c r="I53" s="4">
        <v>0.46600000000000003</v>
      </c>
      <c r="J53" s="4">
        <v>0.46400000000000002</v>
      </c>
      <c r="K53" s="4">
        <v>0</v>
      </c>
      <c r="L53" s="4">
        <v>0.4</v>
      </c>
      <c r="M53" s="4">
        <v>12.3</v>
      </c>
      <c r="N53" s="4">
        <v>13.9</v>
      </c>
      <c r="O53" s="4">
        <v>5.8</v>
      </c>
      <c r="P53" s="4">
        <v>3.1</v>
      </c>
      <c r="Q53" s="4">
        <v>1</v>
      </c>
      <c r="R53" s="4">
        <v>16.5</v>
      </c>
      <c r="S53" s="4">
        <v>19.100000000000001</v>
      </c>
      <c r="T53" s="4">
        <v>90</v>
      </c>
      <c r="U53" s="4">
        <v>89</v>
      </c>
      <c r="V53" s="4"/>
      <c r="W53" s="4">
        <v>0.3</v>
      </c>
      <c r="X53" s="4">
        <v>0.8</v>
      </c>
      <c r="Y53" s="4">
        <v>1.1000000000000001</v>
      </c>
      <c r="Z53" s="4">
        <v>0.10199999999999999</v>
      </c>
      <c r="AA53" s="13">
        <f>(I53/TOTAL_BASIC!$D$301)*100</f>
        <v>94.44648600575465</v>
      </c>
      <c r="AB53" s="5">
        <f t="shared" si="3"/>
        <v>0.9</v>
      </c>
      <c r="AC53" s="3">
        <f t="shared" si="1"/>
        <v>1</v>
      </c>
      <c r="AD53" s="9">
        <f t="shared" si="4"/>
        <v>0.93200000000000005</v>
      </c>
      <c r="AE53" s="16">
        <f t="shared" si="5"/>
        <v>0.30366492146596857</v>
      </c>
      <c r="AF53" s="16">
        <f t="shared" si="6"/>
        <v>0.3515151515151515</v>
      </c>
      <c r="AG53" s="9"/>
      <c r="AH53" s="9"/>
      <c r="AI53" s="12">
        <f t="shared" si="7"/>
        <v>40</v>
      </c>
      <c r="AJ53" s="12">
        <f t="shared" si="8"/>
        <v>33.300000000000004</v>
      </c>
      <c r="AK53" s="12">
        <f t="shared" si="8"/>
        <v>60</v>
      </c>
      <c r="AL53" s="12">
        <f t="shared" si="8"/>
        <v>41.3</v>
      </c>
      <c r="AM53" s="12">
        <f t="shared" si="8"/>
        <v>62.6</v>
      </c>
      <c r="AN53" s="12">
        <f t="shared" si="8"/>
        <v>0</v>
      </c>
      <c r="AO53" s="12">
        <f t="shared" si="14"/>
        <v>69.3</v>
      </c>
      <c r="AP53" s="12">
        <f t="shared" si="14"/>
        <v>93.300000000000011</v>
      </c>
      <c r="AQ53" s="12">
        <f t="shared" si="14"/>
        <v>82.6</v>
      </c>
      <c r="AR53" s="12">
        <f t="shared" si="14"/>
        <v>5.3</v>
      </c>
      <c r="AS53" s="12">
        <f t="shared" si="15"/>
        <v>69.3</v>
      </c>
      <c r="AT53" s="12">
        <f t="shared" si="15"/>
        <v>52</v>
      </c>
      <c r="AU53" s="12">
        <f t="shared" si="9"/>
        <v>77.400000000000006</v>
      </c>
      <c r="AV53" s="12">
        <f t="shared" si="15"/>
        <v>45.300000000000004</v>
      </c>
      <c r="AW53" s="12">
        <f t="shared" si="16"/>
        <v>50.6</v>
      </c>
      <c r="AX53" s="12">
        <f t="shared" si="10"/>
        <v>76</v>
      </c>
      <c r="AY53" s="9"/>
      <c r="AZ53" s="12">
        <f t="shared" si="17"/>
        <v>50.6</v>
      </c>
      <c r="BA53" s="12">
        <f t="shared" si="13"/>
        <v>60</v>
      </c>
      <c r="BB53" s="12">
        <f t="shared" si="11"/>
        <v>52</v>
      </c>
      <c r="BC53" s="12">
        <f t="shared" si="11"/>
        <v>64</v>
      </c>
      <c r="BD53" s="12">
        <f t="shared" si="11"/>
        <v>41.3</v>
      </c>
      <c r="BE53" s="12">
        <f t="shared" si="11"/>
        <v>50.6</v>
      </c>
      <c r="BF53" s="12">
        <f t="shared" si="12"/>
        <v>61.3</v>
      </c>
      <c r="BG53" s="12">
        <f t="shared" si="12"/>
        <v>41.3</v>
      </c>
      <c r="BH53" s="12">
        <f t="shared" si="12"/>
        <v>9.3000000000000007</v>
      </c>
      <c r="BI53" s="12">
        <f t="shared" si="12"/>
        <v>17.299999999999997</v>
      </c>
    </row>
    <row r="54" spans="1:61" ht="15.75" customHeight="1">
      <c r="A54" s="1" t="s">
        <v>148</v>
      </c>
      <c r="B54" s="3" t="s">
        <v>86</v>
      </c>
      <c r="C54" s="4" t="s">
        <v>99</v>
      </c>
      <c r="D54" s="4">
        <v>28</v>
      </c>
      <c r="E54" s="4">
        <v>422</v>
      </c>
      <c r="F54" s="4">
        <v>28</v>
      </c>
      <c r="G54" s="4">
        <v>422</v>
      </c>
      <c r="H54" s="4">
        <v>6.4</v>
      </c>
      <c r="I54" s="4">
        <v>0.42699999999999999</v>
      </c>
      <c r="J54" s="4">
        <v>0.38100000000000001</v>
      </c>
      <c r="K54" s="4">
        <v>0</v>
      </c>
      <c r="L54" s="4">
        <v>0.30199999999999999</v>
      </c>
      <c r="M54" s="4">
        <v>9.1999999999999993</v>
      </c>
      <c r="N54" s="4">
        <v>10</v>
      </c>
      <c r="O54" s="4">
        <v>6</v>
      </c>
      <c r="P54" s="4">
        <v>1.5</v>
      </c>
      <c r="Q54" s="4">
        <v>2.2999999999999998</v>
      </c>
      <c r="R54" s="4">
        <v>25.6</v>
      </c>
      <c r="S54" s="4">
        <v>20.3</v>
      </c>
      <c r="T54" s="4">
        <v>76</v>
      </c>
      <c r="U54" s="4">
        <v>102</v>
      </c>
      <c r="V54" s="4"/>
      <c r="W54" s="4">
        <v>-0.6</v>
      </c>
      <c r="X54" s="4">
        <v>-0.2</v>
      </c>
      <c r="Y54" s="4">
        <v>-0.8</v>
      </c>
      <c r="Z54" s="4">
        <v>-7.6999999999999999E-2</v>
      </c>
      <c r="AA54" s="13">
        <f>(I54/TOTAL_BASIC!$D$301)*100</f>
        <v>86.542166361496214</v>
      </c>
      <c r="AB54" s="5">
        <f t="shared" si="3"/>
        <v>0.76</v>
      </c>
      <c r="AC54" s="3">
        <f t="shared" si="1"/>
        <v>-26</v>
      </c>
      <c r="AD54" s="9">
        <f t="shared" si="4"/>
        <v>0.85399999999999998</v>
      </c>
      <c r="AE54" s="16">
        <f t="shared" si="5"/>
        <v>0.29556650246305416</v>
      </c>
      <c r="AF54" s="16">
        <f t="shared" si="6"/>
        <v>0.234375</v>
      </c>
      <c r="AG54" s="9"/>
      <c r="AH54" s="9"/>
      <c r="AI54" s="12">
        <f t="shared" si="7"/>
        <v>40</v>
      </c>
      <c r="AJ54" s="12">
        <f t="shared" si="8"/>
        <v>32</v>
      </c>
      <c r="AK54" s="12">
        <f t="shared" si="8"/>
        <v>9.3000000000000007</v>
      </c>
      <c r="AL54" s="12">
        <f t="shared" si="8"/>
        <v>20</v>
      </c>
      <c r="AM54" s="12">
        <f t="shared" si="8"/>
        <v>17.299999999999997</v>
      </c>
      <c r="AN54" s="12">
        <f t="shared" si="8"/>
        <v>0</v>
      </c>
      <c r="AO54" s="12">
        <f t="shared" si="14"/>
        <v>44</v>
      </c>
      <c r="AP54" s="12">
        <f t="shared" si="14"/>
        <v>73.3</v>
      </c>
      <c r="AQ54" s="12">
        <f t="shared" si="14"/>
        <v>56.000000000000007</v>
      </c>
      <c r="AR54" s="12">
        <f t="shared" si="14"/>
        <v>8</v>
      </c>
      <c r="AS54" s="12">
        <f t="shared" si="15"/>
        <v>13.3</v>
      </c>
      <c r="AT54" s="12">
        <f t="shared" si="15"/>
        <v>78.600000000000009</v>
      </c>
      <c r="AU54" s="12">
        <f t="shared" si="9"/>
        <v>30.700000000000003</v>
      </c>
      <c r="AV54" s="12">
        <f t="shared" si="15"/>
        <v>58.599999999999994</v>
      </c>
      <c r="AW54" s="12">
        <f t="shared" si="16"/>
        <v>12</v>
      </c>
      <c r="AX54" s="12">
        <f t="shared" si="10"/>
        <v>9.3999999999999915</v>
      </c>
      <c r="AY54" s="9"/>
      <c r="AZ54" s="12">
        <f t="shared" si="17"/>
        <v>6.6000000000000005</v>
      </c>
      <c r="BA54" s="12">
        <f t="shared" si="13"/>
        <v>5.3</v>
      </c>
      <c r="BB54" s="12">
        <f t="shared" si="11"/>
        <v>2.6</v>
      </c>
      <c r="BC54" s="12">
        <f t="shared" si="11"/>
        <v>6.6000000000000005</v>
      </c>
      <c r="BD54" s="12">
        <f t="shared" si="11"/>
        <v>20</v>
      </c>
      <c r="BE54" s="12">
        <f t="shared" si="11"/>
        <v>12</v>
      </c>
      <c r="BF54" s="12">
        <f t="shared" si="12"/>
        <v>8</v>
      </c>
      <c r="BG54" s="12">
        <f t="shared" si="12"/>
        <v>20</v>
      </c>
      <c r="BH54" s="12">
        <f t="shared" si="12"/>
        <v>8</v>
      </c>
      <c r="BI54" s="12">
        <f t="shared" si="12"/>
        <v>8</v>
      </c>
    </row>
    <row r="55" spans="1:61" ht="15.75" customHeight="1">
      <c r="A55" s="1" t="s">
        <v>149</v>
      </c>
      <c r="B55" s="3" t="s">
        <v>90</v>
      </c>
      <c r="C55" s="4" t="s">
        <v>8</v>
      </c>
      <c r="D55" s="4">
        <v>26</v>
      </c>
      <c r="E55" s="4">
        <v>397</v>
      </c>
      <c r="F55" s="4">
        <v>26</v>
      </c>
      <c r="G55" s="4">
        <v>397</v>
      </c>
      <c r="H55" s="4">
        <v>7.3</v>
      </c>
      <c r="I55" s="4">
        <v>0.41499999999999998</v>
      </c>
      <c r="J55" s="4">
        <v>0.42</v>
      </c>
      <c r="K55" s="4">
        <v>0.56799999999999995</v>
      </c>
      <c r="L55" s="4">
        <v>9.0999999999999998E-2</v>
      </c>
      <c r="M55" s="4">
        <v>2.6</v>
      </c>
      <c r="N55" s="4">
        <v>4.7</v>
      </c>
      <c r="O55" s="4">
        <v>13.4</v>
      </c>
      <c r="P55" s="4">
        <v>2.5</v>
      </c>
      <c r="Q55" s="4">
        <v>0.2</v>
      </c>
      <c r="R55" s="4">
        <v>24.7</v>
      </c>
      <c r="S55" s="4">
        <v>14.3</v>
      </c>
      <c r="T55" s="4">
        <v>80</v>
      </c>
      <c r="U55" s="4">
        <v>95</v>
      </c>
      <c r="V55" s="4"/>
      <c r="W55" s="4">
        <v>-0.2</v>
      </c>
      <c r="X55" s="4">
        <v>0.3</v>
      </c>
      <c r="Y55" s="4">
        <v>0.1</v>
      </c>
      <c r="Z55" s="4">
        <v>7.0000000000000001E-3</v>
      </c>
      <c r="AA55" s="13">
        <f>(I55/TOTAL_BASIC!$D$301)*100</f>
        <v>84.110068009416679</v>
      </c>
      <c r="AB55" s="5">
        <f t="shared" si="3"/>
        <v>0.8</v>
      </c>
      <c r="AC55" s="3">
        <f t="shared" si="1"/>
        <v>-15</v>
      </c>
      <c r="AD55" s="9">
        <f t="shared" si="4"/>
        <v>0.83</v>
      </c>
      <c r="AE55" s="16">
        <f t="shared" si="5"/>
        <v>0.93706293706293708</v>
      </c>
      <c r="AF55" s="16">
        <f t="shared" si="6"/>
        <v>0.54251012145748989</v>
      </c>
      <c r="AG55" s="9"/>
      <c r="AH55" s="9"/>
      <c r="AI55" s="12">
        <f t="shared" si="7"/>
        <v>25.3</v>
      </c>
      <c r="AJ55" s="12">
        <f t="shared" si="8"/>
        <v>30.599999999999998</v>
      </c>
      <c r="AK55" s="12">
        <f t="shared" si="8"/>
        <v>14.6</v>
      </c>
      <c r="AL55" s="12">
        <f t="shared" si="8"/>
        <v>14.6</v>
      </c>
      <c r="AM55" s="12">
        <f t="shared" si="8"/>
        <v>42.6</v>
      </c>
      <c r="AN55" s="12">
        <f t="shared" si="8"/>
        <v>94.6</v>
      </c>
      <c r="AO55" s="12">
        <f t="shared" si="14"/>
        <v>1.3</v>
      </c>
      <c r="AP55" s="12">
        <f t="shared" si="14"/>
        <v>10.6</v>
      </c>
      <c r="AQ55" s="12">
        <f t="shared" si="14"/>
        <v>5.3</v>
      </c>
      <c r="AR55" s="12">
        <f t="shared" si="14"/>
        <v>48</v>
      </c>
      <c r="AS55" s="12">
        <f t="shared" si="15"/>
        <v>50.6</v>
      </c>
      <c r="AT55" s="12">
        <f t="shared" si="15"/>
        <v>6.6000000000000005</v>
      </c>
      <c r="AU55" s="12">
        <f t="shared" si="9"/>
        <v>32</v>
      </c>
      <c r="AV55" s="12">
        <f t="shared" si="15"/>
        <v>16</v>
      </c>
      <c r="AW55" s="12">
        <f t="shared" si="16"/>
        <v>22.6</v>
      </c>
      <c r="AX55" s="12">
        <f t="shared" si="10"/>
        <v>36</v>
      </c>
      <c r="AY55" s="9"/>
      <c r="AZ55" s="12">
        <f t="shared" si="17"/>
        <v>22.6</v>
      </c>
      <c r="BA55" s="12">
        <f t="shared" si="13"/>
        <v>28.000000000000004</v>
      </c>
      <c r="BB55" s="12">
        <f t="shared" si="11"/>
        <v>26.6</v>
      </c>
      <c r="BC55" s="12">
        <f t="shared" si="11"/>
        <v>26.6</v>
      </c>
      <c r="BD55" s="12">
        <f t="shared" si="11"/>
        <v>14.6</v>
      </c>
      <c r="BE55" s="12">
        <f t="shared" si="11"/>
        <v>22.6</v>
      </c>
      <c r="BF55" s="12">
        <f t="shared" si="12"/>
        <v>22.6</v>
      </c>
      <c r="BG55" s="12">
        <f t="shared" si="12"/>
        <v>14.6</v>
      </c>
      <c r="BH55" s="12">
        <f t="shared" si="12"/>
        <v>72</v>
      </c>
      <c r="BI55" s="12">
        <f t="shared" si="12"/>
        <v>37.299999999999997</v>
      </c>
    </row>
    <row r="56" spans="1:61" ht="15.75" customHeight="1">
      <c r="A56" s="1" t="s">
        <v>150</v>
      </c>
      <c r="B56" s="3" t="s">
        <v>90</v>
      </c>
      <c r="C56" s="4" t="s">
        <v>118</v>
      </c>
      <c r="D56" s="4">
        <v>25</v>
      </c>
      <c r="E56" s="4">
        <v>369</v>
      </c>
      <c r="F56" s="4">
        <v>25</v>
      </c>
      <c r="G56" s="4">
        <v>369</v>
      </c>
      <c r="H56" s="4">
        <v>11.9</v>
      </c>
      <c r="I56" s="4">
        <v>0.43099999999999999</v>
      </c>
      <c r="J56" s="4">
        <v>0.38300000000000001</v>
      </c>
      <c r="K56" s="4">
        <v>0.224</v>
      </c>
      <c r="L56" s="4">
        <v>0.28999999999999998</v>
      </c>
      <c r="M56" s="4">
        <v>5.6</v>
      </c>
      <c r="N56" s="4">
        <v>10</v>
      </c>
      <c r="O56" s="4">
        <v>13</v>
      </c>
      <c r="P56" s="4">
        <v>2.6</v>
      </c>
      <c r="Q56" s="4">
        <v>0.7</v>
      </c>
      <c r="R56" s="4">
        <v>19.399999999999999</v>
      </c>
      <c r="S56" s="4">
        <v>19</v>
      </c>
      <c r="T56" s="4">
        <v>88</v>
      </c>
      <c r="U56" s="4">
        <v>92</v>
      </c>
      <c r="V56" s="4"/>
      <c r="W56" s="4">
        <v>0.2</v>
      </c>
      <c r="X56" s="4">
        <v>0.5</v>
      </c>
      <c r="Y56" s="4">
        <v>0.7</v>
      </c>
      <c r="Z56" s="4">
        <v>7.1999999999999995E-2</v>
      </c>
      <c r="AA56" s="13">
        <f>(I56/TOTAL_BASIC!$D$301)*100</f>
        <v>87.352865812189378</v>
      </c>
      <c r="AB56" s="5">
        <f t="shared" si="3"/>
        <v>0.88</v>
      </c>
      <c r="AC56" s="3">
        <f t="shared" si="1"/>
        <v>-4</v>
      </c>
      <c r="AD56" s="9">
        <f t="shared" si="4"/>
        <v>0.86199999999999999</v>
      </c>
      <c r="AE56" s="16">
        <f t="shared" si="5"/>
        <v>0.68421052631578949</v>
      </c>
      <c r="AF56" s="16">
        <f t="shared" si="6"/>
        <v>0.67010309278350522</v>
      </c>
      <c r="AG56" s="9"/>
      <c r="AH56" s="9"/>
      <c r="AI56" s="12">
        <f t="shared" si="7"/>
        <v>18.600000000000001</v>
      </c>
      <c r="AJ56" s="12">
        <f t="shared" si="8"/>
        <v>29.299999999999997</v>
      </c>
      <c r="AK56" s="12">
        <f t="shared" si="8"/>
        <v>41.3</v>
      </c>
      <c r="AL56" s="12">
        <f t="shared" si="8"/>
        <v>24</v>
      </c>
      <c r="AM56" s="12">
        <f t="shared" si="8"/>
        <v>18.600000000000001</v>
      </c>
      <c r="AN56" s="12">
        <f t="shared" si="8"/>
        <v>66.600000000000009</v>
      </c>
      <c r="AO56" s="12">
        <f t="shared" si="14"/>
        <v>40</v>
      </c>
      <c r="AP56" s="12">
        <f t="shared" si="14"/>
        <v>40</v>
      </c>
      <c r="AQ56" s="12">
        <f t="shared" si="14"/>
        <v>56.000000000000007</v>
      </c>
      <c r="AR56" s="12">
        <f t="shared" si="14"/>
        <v>46.6</v>
      </c>
      <c r="AS56" s="12">
        <f t="shared" si="15"/>
        <v>53.300000000000004</v>
      </c>
      <c r="AT56" s="12">
        <f t="shared" si="15"/>
        <v>40</v>
      </c>
      <c r="AU56" s="12">
        <f t="shared" si="9"/>
        <v>52</v>
      </c>
      <c r="AV56" s="12">
        <f t="shared" si="15"/>
        <v>44</v>
      </c>
      <c r="AW56" s="12">
        <f t="shared" si="16"/>
        <v>45.300000000000004</v>
      </c>
      <c r="AX56" s="12">
        <f t="shared" si="10"/>
        <v>60</v>
      </c>
      <c r="AY56" s="9"/>
      <c r="AZ56" s="12">
        <f t="shared" si="17"/>
        <v>45.300000000000004</v>
      </c>
      <c r="BA56" s="12">
        <f t="shared" si="13"/>
        <v>40</v>
      </c>
      <c r="BB56" s="12">
        <f t="shared" si="11"/>
        <v>42.6</v>
      </c>
      <c r="BC56" s="12">
        <f t="shared" si="11"/>
        <v>48</v>
      </c>
      <c r="BD56" s="12">
        <f t="shared" si="11"/>
        <v>24</v>
      </c>
      <c r="BE56" s="12">
        <f t="shared" si="11"/>
        <v>45.300000000000004</v>
      </c>
      <c r="BF56" s="12">
        <f t="shared" si="12"/>
        <v>45.300000000000004</v>
      </c>
      <c r="BG56" s="12">
        <f t="shared" si="12"/>
        <v>24</v>
      </c>
      <c r="BH56" s="12">
        <f t="shared" si="12"/>
        <v>46.6</v>
      </c>
      <c r="BI56" s="12">
        <f t="shared" si="12"/>
        <v>49.3</v>
      </c>
    </row>
    <row r="57" spans="1:61" ht="15.75" customHeight="1">
      <c r="A57" s="1" t="s">
        <v>151</v>
      </c>
      <c r="B57" s="3" t="s">
        <v>152</v>
      </c>
      <c r="C57" s="4" t="s">
        <v>8</v>
      </c>
      <c r="D57" s="4">
        <v>26</v>
      </c>
      <c r="E57" s="4">
        <v>360</v>
      </c>
      <c r="F57" s="4">
        <v>26</v>
      </c>
      <c r="G57" s="4">
        <v>360</v>
      </c>
      <c r="H57" s="4">
        <v>6.3</v>
      </c>
      <c r="I57" s="4">
        <v>0.40799999999999997</v>
      </c>
      <c r="J57" s="4">
        <v>0.39</v>
      </c>
      <c r="K57" s="4">
        <v>0.70899999999999996</v>
      </c>
      <c r="L57" s="4">
        <v>0.186</v>
      </c>
      <c r="M57" s="4">
        <v>2.2999999999999998</v>
      </c>
      <c r="N57" s="4">
        <v>4</v>
      </c>
      <c r="O57" s="4">
        <v>10.4</v>
      </c>
      <c r="P57" s="4">
        <v>0.6</v>
      </c>
      <c r="Q57" s="4">
        <v>0.4</v>
      </c>
      <c r="R57" s="4">
        <v>14.7</v>
      </c>
      <c r="S57" s="4">
        <v>13.6</v>
      </c>
      <c r="T57" s="4">
        <v>87</v>
      </c>
      <c r="U57" s="4">
        <v>101</v>
      </c>
      <c r="V57" s="4"/>
      <c r="W57" s="4">
        <v>0.1</v>
      </c>
      <c r="X57" s="4">
        <v>-0.1</v>
      </c>
      <c r="Y57" s="4">
        <v>0</v>
      </c>
      <c r="Z57" s="4">
        <v>0</v>
      </c>
      <c r="AA57" s="13">
        <f>(I57/TOTAL_BASIC!$D$301)*100</f>
        <v>82.691343970703628</v>
      </c>
      <c r="AB57" s="5">
        <f t="shared" si="3"/>
        <v>0.87</v>
      </c>
      <c r="AC57" s="3">
        <f t="shared" si="1"/>
        <v>-14</v>
      </c>
      <c r="AD57" s="9">
        <f t="shared" si="4"/>
        <v>0.81599999999999995</v>
      </c>
      <c r="AE57" s="16">
        <f t="shared" si="5"/>
        <v>0.76470588235294124</v>
      </c>
      <c r="AF57" s="16">
        <f t="shared" si="6"/>
        <v>0.70748299319727892</v>
      </c>
      <c r="AG57" s="9"/>
      <c r="AH57" s="9"/>
      <c r="AI57" s="12">
        <f t="shared" si="7"/>
        <v>25.3</v>
      </c>
      <c r="AJ57" s="12">
        <f t="shared" si="8"/>
        <v>28.000000000000004</v>
      </c>
      <c r="AK57" s="12">
        <f t="shared" si="8"/>
        <v>8</v>
      </c>
      <c r="AL57" s="12">
        <f t="shared" si="8"/>
        <v>12</v>
      </c>
      <c r="AM57" s="12">
        <f t="shared" si="8"/>
        <v>21.3</v>
      </c>
      <c r="AN57" s="12">
        <f t="shared" si="8"/>
        <v>98.6</v>
      </c>
      <c r="AO57" s="12">
        <f t="shared" si="14"/>
        <v>13.3</v>
      </c>
      <c r="AP57" s="12">
        <f t="shared" si="14"/>
        <v>6.6000000000000005</v>
      </c>
      <c r="AQ57" s="12">
        <f t="shared" si="14"/>
        <v>2.6</v>
      </c>
      <c r="AR57" s="12">
        <f t="shared" si="14"/>
        <v>32</v>
      </c>
      <c r="AS57" s="12">
        <f t="shared" si="15"/>
        <v>0</v>
      </c>
      <c r="AT57" s="12">
        <f t="shared" si="15"/>
        <v>20</v>
      </c>
      <c r="AU57" s="12">
        <f t="shared" si="9"/>
        <v>90.7</v>
      </c>
      <c r="AV57" s="12">
        <f t="shared" si="15"/>
        <v>10.6</v>
      </c>
      <c r="AW57" s="12">
        <f t="shared" si="16"/>
        <v>38.6</v>
      </c>
      <c r="AX57" s="12">
        <f t="shared" si="10"/>
        <v>14.700000000000003</v>
      </c>
      <c r="AY57" s="9"/>
      <c r="AZ57" s="12">
        <f t="shared" si="17"/>
        <v>36</v>
      </c>
      <c r="BA57" s="12">
        <f t="shared" si="13"/>
        <v>9.3000000000000007</v>
      </c>
      <c r="BB57" s="12">
        <f t="shared" si="11"/>
        <v>21.3</v>
      </c>
      <c r="BC57" s="12">
        <f t="shared" si="11"/>
        <v>22.6</v>
      </c>
      <c r="BD57" s="12">
        <f t="shared" si="11"/>
        <v>12</v>
      </c>
      <c r="BE57" s="12">
        <f t="shared" si="11"/>
        <v>38.6</v>
      </c>
      <c r="BF57" s="12">
        <f t="shared" si="12"/>
        <v>24</v>
      </c>
      <c r="BG57" s="12">
        <f t="shared" si="12"/>
        <v>12</v>
      </c>
      <c r="BH57" s="12">
        <f t="shared" si="12"/>
        <v>56.000000000000007</v>
      </c>
      <c r="BI57" s="12">
        <f t="shared" si="12"/>
        <v>56.000000000000007</v>
      </c>
    </row>
    <row r="58" spans="1:61" ht="15.75" customHeight="1">
      <c r="A58" s="1" t="s">
        <v>153</v>
      </c>
      <c r="B58" s="4" t="s">
        <v>98</v>
      </c>
      <c r="C58" s="4" t="s">
        <v>110</v>
      </c>
      <c r="D58" s="4">
        <v>28</v>
      </c>
      <c r="E58" s="4">
        <v>340</v>
      </c>
      <c r="F58" s="4">
        <v>28</v>
      </c>
      <c r="G58" s="4">
        <v>340</v>
      </c>
      <c r="H58" s="4">
        <v>12.9</v>
      </c>
      <c r="I58" s="4">
        <v>0.59899999999999998</v>
      </c>
      <c r="J58" s="4">
        <v>0.56499999999999995</v>
      </c>
      <c r="K58" s="4">
        <v>8.6999999999999994E-2</v>
      </c>
      <c r="L58" s="4">
        <v>0.48899999999999999</v>
      </c>
      <c r="M58" s="4">
        <v>11.6</v>
      </c>
      <c r="N58" s="4">
        <v>12.3</v>
      </c>
      <c r="O58" s="4">
        <v>1.2</v>
      </c>
      <c r="P58" s="4">
        <v>1.4</v>
      </c>
      <c r="Q58" s="4">
        <v>2.2000000000000002</v>
      </c>
      <c r="R58" s="4">
        <v>26.4</v>
      </c>
      <c r="S58" s="4">
        <v>20.100000000000001</v>
      </c>
      <c r="T58" s="4">
        <v>92</v>
      </c>
      <c r="U58" s="4">
        <v>90</v>
      </c>
      <c r="V58" s="4"/>
      <c r="W58" s="4">
        <v>0.4</v>
      </c>
      <c r="X58" s="4">
        <v>0.5</v>
      </c>
      <c r="Y58" s="4">
        <v>0.9</v>
      </c>
      <c r="Z58" s="4">
        <v>0.11</v>
      </c>
      <c r="AA58" s="13">
        <f>(I58/TOTAL_BASIC!$D$301)*100</f>
        <v>121.40224274130264</v>
      </c>
      <c r="AB58" s="5">
        <f t="shared" si="3"/>
        <v>0.92</v>
      </c>
      <c r="AC58" s="3">
        <f t="shared" si="1"/>
        <v>2</v>
      </c>
      <c r="AD58" s="9">
        <f t="shared" si="4"/>
        <v>1.198</v>
      </c>
      <c r="AE58" s="16">
        <f t="shared" si="5"/>
        <v>5.9701492537313425E-2</v>
      </c>
      <c r="AF58" s="16">
        <f t="shared" si="6"/>
        <v>4.5454545454545456E-2</v>
      </c>
      <c r="AG58" s="9"/>
      <c r="AH58" s="9"/>
      <c r="AI58" s="12">
        <f t="shared" si="7"/>
        <v>40</v>
      </c>
      <c r="AJ58" s="12">
        <f t="shared" si="8"/>
        <v>26.6</v>
      </c>
      <c r="AK58" s="12">
        <f t="shared" si="8"/>
        <v>49.3</v>
      </c>
      <c r="AL58" s="12">
        <f t="shared" si="8"/>
        <v>94.6</v>
      </c>
      <c r="AM58" s="12">
        <f t="shared" si="8"/>
        <v>97.3</v>
      </c>
      <c r="AN58" s="12">
        <f t="shared" si="8"/>
        <v>38.6</v>
      </c>
      <c r="AO58" s="12">
        <f t="shared" si="14"/>
        <v>81.3</v>
      </c>
      <c r="AP58" s="12">
        <f t="shared" si="14"/>
        <v>89.3</v>
      </c>
      <c r="AQ58" s="12">
        <f t="shared" si="14"/>
        <v>69.3</v>
      </c>
      <c r="AR58" s="12">
        <f t="shared" si="14"/>
        <v>0</v>
      </c>
      <c r="AS58" s="12">
        <f t="shared" si="15"/>
        <v>9.3000000000000007</v>
      </c>
      <c r="AT58" s="12">
        <f t="shared" si="15"/>
        <v>76</v>
      </c>
      <c r="AU58" s="12">
        <f t="shared" si="9"/>
        <v>29.400000000000006</v>
      </c>
      <c r="AV58" s="12">
        <f t="shared" si="15"/>
        <v>54.6</v>
      </c>
      <c r="AW58" s="12">
        <f t="shared" si="16"/>
        <v>56.000000000000007</v>
      </c>
      <c r="AX58" s="12">
        <f t="shared" si="10"/>
        <v>72</v>
      </c>
      <c r="AY58" s="9"/>
      <c r="AZ58" s="12">
        <f t="shared" si="17"/>
        <v>52</v>
      </c>
      <c r="BA58" s="12">
        <f t="shared" si="13"/>
        <v>40</v>
      </c>
      <c r="BB58" s="12">
        <f t="shared" si="11"/>
        <v>46.6</v>
      </c>
      <c r="BC58" s="12">
        <f t="shared" si="11"/>
        <v>65.3</v>
      </c>
      <c r="BD58" s="12">
        <f t="shared" si="11"/>
        <v>94.6</v>
      </c>
      <c r="BE58" s="12">
        <f t="shared" si="11"/>
        <v>56.000000000000007</v>
      </c>
      <c r="BF58" s="12">
        <f t="shared" si="12"/>
        <v>65.3</v>
      </c>
      <c r="BG58" s="12">
        <f t="shared" si="12"/>
        <v>94.6</v>
      </c>
      <c r="BH58" s="12">
        <f t="shared" si="12"/>
        <v>0</v>
      </c>
      <c r="BI58" s="12">
        <f t="shared" si="12"/>
        <v>0</v>
      </c>
    </row>
    <row r="59" spans="1:61" ht="15.75" customHeight="1">
      <c r="A59" s="1" t="s">
        <v>154</v>
      </c>
      <c r="B59" s="3" t="s">
        <v>98</v>
      </c>
      <c r="C59" s="4" t="s">
        <v>92</v>
      </c>
      <c r="D59" s="4">
        <v>28</v>
      </c>
      <c r="E59" s="4">
        <v>332</v>
      </c>
      <c r="F59" s="4">
        <v>28</v>
      </c>
      <c r="G59" s="4">
        <v>332</v>
      </c>
      <c r="H59" s="4">
        <v>12.3</v>
      </c>
      <c r="I59" s="4">
        <v>0.41099999999999998</v>
      </c>
      <c r="J59" s="4">
        <v>0.36399999999999999</v>
      </c>
      <c r="K59" s="4">
        <v>6.5000000000000002E-2</v>
      </c>
      <c r="L59" s="4">
        <v>0.308</v>
      </c>
      <c r="M59" s="4">
        <v>13.3</v>
      </c>
      <c r="N59" s="4">
        <v>17.399999999999999</v>
      </c>
      <c r="O59" s="4">
        <v>17.2</v>
      </c>
      <c r="P59" s="4">
        <v>2.8</v>
      </c>
      <c r="Q59" s="4">
        <v>4.5</v>
      </c>
      <c r="R59" s="4">
        <v>27.5</v>
      </c>
      <c r="S59" s="4">
        <v>22.7</v>
      </c>
      <c r="T59" s="4">
        <v>76</v>
      </c>
      <c r="U59" s="4">
        <v>83</v>
      </c>
      <c r="V59" s="4"/>
      <c r="W59" s="4">
        <v>-0.6</v>
      </c>
      <c r="X59" s="4">
        <v>0.9</v>
      </c>
      <c r="Y59" s="4">
        <v>0.4</v>
      </c>
      <c r="Z59" s="4">
        <v>4.5999999999999999E-2</v>
      </c>
      <c r="AA59" s="13">
        <f>(I59/TOTAL_BASIC!$D$301)*100</f>
        <v>83.299368558723501</v>
      </c>
      <c r="AB59" s="5">
        <f t="shared" si="3"/>
        <v>0.76</v>
      </c>
      <c r="AC59" s="3">
        <f t="shared" si="1"/>
        <v>-7</v>
      </c>
      <c r="AD59" s="9">
        <f t="shared" si="4"/>
        <v>0.82199999999999995</v>
      </c>
      <c r="AE59" s="16">
        <f t="shared" si="5"/>
        <v>0.75770925110132159</v>
      </c>
      <c r="AF59" s="16">
        <f t="shared" si="6"/>
        <v>0.62545454545454537</v>
      </c>
      <c r="AG59" s="9"/>
      <c r="AH59" s="9"/>
      <c r="AI59" s="12">
        <f t="shared" si="7"/>
        <v>40</v>
      </c>
      <c r="AJ59" s="12">
        <f t="shared" si="8"/>
        <v>25.3</v>
      </c>
      <c r="AK59" s="12">
        <f t="shared" si="8"/>
        <v>42.6</v>
      </c>
      <c r="AL59" s="12">
        <f t="shared" si="8"/>
        <v>13.3</v>
      </c>
      <c r="AM59" s="12">
        <f t="shared" si="8"/>
        <v>10.6</v>
      </c>
      <c r="AN59" s="12">
        <f t="shared" si="8"/>
        <v>33.300000000000004</v>
      </c>
      <c r="AO59" s="12">
        <f t="shared" si="14"/>
        <v>45.300000000000004</v>
      </c>
      <c r="AP59" s="12">
        <f t="shared" si="14"/>
        <v>96</v>
      </c>
      <c r="AQ59" s="12">
        <f t="shared" si="14"/>
        <v>97.3</v>
      </c>
      <c r="AR59" s="12">
        <f t="shared" si="14"/>
        <v>68</v>
      </c>
      <c r="AS59" s="12">
        <f t="shared" si="15"/>
        <v>60</v>
      </c>
      <c r="AT59" s="12">
        <f t="shared" si="15"/>
        <v>94.6</v>
      </c>
      <c r="AU59" s="12">
        <f t="shared" si="9"/>
        <v>25.400000000000006</v>
      </c>
      <c r="AV59" s="12">
        <f t="shared" si="15"/>
        <v>77.3</v>
      </c>
      <c r="AW59" s="12">
        <f t="shared" si="16"/>
        <v>12</v>
      </c>
      <c r="AX59" s="12">
        <f t="shared" si="10"/>
        <v>100</v>
      </c>
      <c r="AY59" s="9"/>
      <c r="AZ59" s="12">
        <f t="shared" si="17"/>
        <v>6.6000000000000005</v>
      </c>
      <c r="BA59" s="12">
        <f t="shared" si="13"/>
        <v>66.600000000000009</v>
      </c>
      <c r="BB59" s="12">
        <f t="shared" si="11"/>
        <v>30.599999999999998</v>
      </c>
      <c r="BC59" s="12">
        <f t="shared" si="11"/>
        <v>34.599999999999994</v>
      </c>
      <c r="BD59" s="12">
        <f t="shared" si="11"/>
        <v>13.3</v>
      </c>
      <c r="BE59" s="12">
        <f t="shared" si="11"/>
        <v>12</v>
      </c>
      <c r="BF59" s="12">
        <f t="shared" si="12"/>
        <v>36</v>
      </c>
      <c r="BG59" s="12">
        <f t="shared" si="12"/>
        <v>13.3</v>
      </c>
      <c r="BH59" s="12">
        <f t="shared" si="12"/>
        <v>54.6</v>
      </c>
      <c r="BI59" s="12">
        <f t="shared" si="12"/>
        <v>42.6</v>
      </c>
    </row>
    <row r="60" spans="1:61" ht="15.75" customHeight="1">
      <c r="A60" s="1" t="s">
        <v>155</v>
      </c>
      <c r="B60" s="4" t="s">
        <v>105</v>
      </c>
      <c r="C60" s="4" t="s">
        <v>8</v>
      </c>
      <c r="D60" s="4">
        <v>21</v>
      </c>
      <c r="E60" s="4">
        <v>325</v>
      </c>
      <c r="F60" s="4">
        <v>21</v>
      </c>
      <c r="G60" s="4">
        <v>325</v>
      </c>
      <c r="H60" s="4">
        <v>14.2</v>
      </c>
      <c r="I60" s="4">
        <v>0.43</v>
      </c>
      <c r="J60" s="4">
        <v>0.41499999999999998</v>
      </c>
      <c r="K60" s="4">
        <v>0.27900000000000003</v>
      </c>
      <c r="L60" s="4">
        <v>0.17599999999999999</v>
      </c>
      <c r="M60" s="4">
        <v>8.6999999999999993</v>
      </c>
      <c r="N60" s="4">
        <v>10</v>
      </c>
      <c r="O60" s="4">
        <v>12.8</v>
      </c>
      <c r="P60" s="4">
        <v>3.7</v>
      </c>
      <c r="Q60" s="4">
        <v>1.4</v>
      </c>
      <c r="R60" s="4">
        <v>15.6</v>
      </c>
      <c r="S60" s="4">
        <v>23.7</v>
      </c>
      <c r="T60" s="4">
        <v>86</v>
      </c>
      <c r="U60" s="4">
        <v>90</v>
      </c>
      <c r="V60" s="4"/>
      <c r="W60" s="4">
        <v>0.1</v>
      </c>
      <c r="X60" s="4">
        <v>0.5</v>
      </c>
      <c r="Y60" s="4">
        <v>0.6</v>
      </c>
      <c r="Z60" s="4">
        <v>7.8E-2</v>
      </c>
      <c r="AA60" s="13">
        <f>(I60/TOTAL_BASIC!$D$301)*100</f>
        <v>87.150190949516087</v>
      </c>
      <c r="AB60" s="5">
        <f t="shared" si="3"/>
        <v>0.86</v>
      </c>
      <c r="AC60" s="3">
        <f t="shared" si="1"/>
        <v>-4</v>
      </c>
      <c r="AD60" s="9">
        <f t="shared" si="4"/>
        <v>0.86</v>
      </c>
      <c r="AE60" s="16">
        <f t="shared" si="5"/>
        <v>0.54008438818565407</v>
      </c>
      <c r="AF60" s="16">
        <f t="shared" si="6"/>
        <v>0.8205128205128206</v>
      </c>
      <c r="AG60" s="9"/>
      <c r="AH60" s="9"/>
      <c r="AI60" s="12">
        <f t="shared" si="7"/>
        <v>13.3</v>
      </c>
      <c r="AJ60" s="12">
        <f t="shared" si="8"/>
        <v>24</v>
      </c>
      <c r="AK60" s="12">
        <f t="shared" si="8"/>
        <v>52</v>
      </c>
      <c r="AL60" s="12">
        <f t="shared" si="8"/>
        <v>22.6</v>
      </c>
      <c r="AM60" s="12">
        <f t="shared" si="8"/>
        <v>40</v>
      </c>
      <c r="AN60" s="12">
        <f t="shared" si="8"/>
        <v>70.599999999999994</v>
      </c>
      <c r="AO60" s="12">
        <f t="shared" si="14"/>
        <v>10.6</v>
      </c>
      <c r="AP60" s="12">
        <f t="shared" si="14"/>
        <v>69.3</v>
      </c>
      <c r="AQ60" s="12">
        <f t="shared" si="14"/>
        <v>56.000000000000007</v>
      </c>
      <c r="AR60" s="12">
        <f t="shared" si="14"/>
        <v>45.300000000000004</v>
      </c>
      <c r="AS60" s="12">
        <f t="shared" si="15"/>
        <v>88</v>
      </c>
      <c r="AT60" s="12">
        <f t="shared" si="15"/>
        <v>62.6</v>
      </c>
      <c r="AU60" s="12">
        <f t="shared" si="9"/>
        <v>85.4</v>
      </c>
      <c r="AV60" s="12">
        <f t="shared" si="15"/>
        <v>86.6</v>
      </c>
      <c r="AW60" s="12">
        <f t="shared" si="16"/>
        <v>36</v>
      </c>
      <c r="AX60" s="12">
        <f t="shared" si="10"/>
        <v>72</v>
      </c>
      <c r="AY60" s="9"/>
      <c r="AZ60" s="12">
        <f t="shared" si="17"/>
        <v>36</v>
      </c>
      <c r="BA60" s="12">
        <f t="shared" si="13"/>
        <v>40</v>
      </c>
      <c r="BB60" s="12">
        <f t="shared" si="11"/>
        <v>41.3</v>
      </c>
      <c r="BC60" s="12">
        <f t="shared" si="11"/>
        <v>49.3</v>
      </c>
      <c r="BD60" s="12">
        <f t="shared" si="11"/>
        <v>22.6</v>
      </c>
      <c r="BE60" s="12">
        <f t="shared" si="11"/>
        <v>36</v>
      </c>
      <c r="BF60" s="12">
        <f t="shared" si="12"/>
        <v>45.300000000000004</v>
      </c>
      <c r="BG60" s="12">
        <f t="shared" si="12"/>
        <v>22.6</v>
      </c>
      <c r="BH60" s="12">
        <f t="shared" si="12"/>
        <v>32</v>
      </c>
      <c r="BI60" s="12">
        <f t="shared" si="12"/>
        <v>68</v>
      </c>
    </row>
    <row r="61" spans="1:61" ht="15.75" customHeight="1">
      <c r="A61" s="1" t="s">
        <v>156</v>
      </c>
      <c r="B61" s="3" t="s">
        <v>101</v>
      </c>
      <c r="C61" s="4" t="s">
        <v>99</v>
      </c>
      <c r="D61" s="4">
        <v>26</v>
      </c>
      <c r="E61" s="4">
        <v>321</v>
      </c>
      <c r="F61" s="4">
        <v>26</v>
      </c>
      <c r="G61" s="4">
        <v>321</v>
      </c>
      <c r="H61" s="4">
        <v>7.6</v>
      </c>
      <c r="I61" s="4">
        <v>0.4</v>
      </c>
      <c r="J61" s="4">
        <v>0.33300000000000002</v>
      </c>
      <c r="K61" s="4">
        <v>0.05</v>
      </c>
      <c r="L61" s="4">
        <v>0.61699999999999999</v>
      </c>
      <c r="M61" s="4">
        <v>11.7</v>
      </c>
      <c r="N61" s="4">
        <v>14.4</v>
      </c>
      <c r="O61" s="4">
        <v>14.2</v>
      </c>
      <c r="P61" s="4">
        <v>4</v>
      </c>
      <c r="Q61" s="4">
        <v>3.7</v>
      </c>
      <c r="R61" s="4">
        <v>39.1</v>
      </c>
      <c r="S61" s="4">
        <v>17.399999999999999</v>
      </c>
      <c r="T61" s="4">
        <v>65</v>
      </c>
      <c r="U61" s="4">
        <v>93</v>
      </c>
      <c r="V61" s="4"/>
      <c r="W61" s="4">
        <v>-1</v>
      </c>
      <c r="X61" s="4">
        <v>0.4</v>
      </c>
      <c r="Y61" s="4">
        <v>-0.7</v>
      </c>
      <c r="Z61" s="4">
        <v>-8.4000000000000005E-2</v>
      </c>
      <c r="AA61" s="13">
        <f>(I61/TOTAL_BASIC!$D$301)*100</f>
        <v>81.069945069317299</v>
      </c>
      <c r="AB61" s="5">
        <f t="shared" si="3"/>
        <v>0.65</v>
      </c>
      <c r="AC61" s="3">
        <f t="shared" si="1"/>
        <v>-28</v>
      </c>
      <c r="AD61" s="9">
        <f t="shared" si="4"/>
        <v>0.8</v>
      </c>
      <c r="AE61" s="16">
        <f t="shared" si="5"/>
        <v>0.81609195402298851</v>
      </c>
      <c r="AF61" s="16">
        <f t="shared" si="6"/>
        <v>0.3631713554987212</v>
      </c>
      <c r="AG61" s="9"/>
      <c r="AH61" s="9"/>
      <c r="AI61" s="12">
        <f t="shared" si="7"/>
        <v>25.3</v>
      </c>
      <c r="AJ61" s="12">
        <f t="shared" si="8"/>
        <v>22.6</v>
      </c>
      <c r="AK61" s="12">
        <f t="shared" si="8"/>
        <v>18.600000000000001</v>
      </c>
      <c r="AL61" s="12">
        <f t="shared" si="8"/>
        <v>9.3000000000000007</v>
      </c>
      <c r="AM61" s="12">
        <f t="shared" si="8"/>
        <v>6.6000000000000005</v>
      </c>
      <c r="AN61" s="12">
        <f t="shared" si="8"/>
        <v>26.6</v>
      </c>
      <c r="AO61" s="12">
        <f t="shared" si="14"/>
        <v>94.6</v>
      </c>
      <c r="AP61" s="12">
        <f t="shared" si="14"/>
        <v>90.600000000000009</v>
      </c>
      <c r="AQ61" s="12">
        <f t="shared" si="14"/>
        <v>89.3</v>
      </c>
      <c r="AR61" s="12">
        <f t="shared" si="14"/>
        <v>52</v>
      </c>
      <c r="AS61" s="12">
        <f t="shared" si="15"/>
        <v>93.300000000000011</v>
      </c>
      <c r="AT61" s="12">
        <f t="shared" si="15"/>
        <v>93.300000000000011</v>
      </c>
      <c r="AU61" s="12">
        <f t="shared" si="9"/>
        <v>2.7000000000000028</v>
      </c>
      <c r="AV61" s="12">
        <f t="shared" si="15"/>
        <v>32</v>
      </c>
      <c r="AW61" s="12">
        <f t="shared" si="16"/>
        <v>4</v>
      </c>
      <c r="AX61" s="12">
        <f t="shared" si="10"/>
        <v>46.699999999999996</v>
      </c>
      <c r="AY61" s="9"/>
      <c r="AZ61" s="12">
        <f t="shared" si="17"/>
        <v>1.3</v>
      </c>
      <c r="BA61" s="12">
        <f t="shared" si="13"/>
        <v>30.599999999999998</v>
      </c>
      <c r="BB61" s="12">
        <f t="shared" si="11"/>
        <v>5.3</v>
      </c>
      <c r="BC61" s="12">
        <f t="shared" si="11"/>
        <v>5.3</v>
      </c>
      <c r="BD61" s="12">
        <f t="shared" si="11"/>
        <v>9.3000000000000007</v>
      </c>
      <c r="BE61" s="12">
        <f t="shared" si="11"/>
        <v>4</v>
      </c>
      <c r="BF61" s="12">
        <f t="shared" si="12"/>
        <v>6.6000000000000005</v>
      </c>
      <c r="BG61" s="12">
        <f t="shared" si="12"/>
        <v>9.3000000000000007</v>
      </c>
      <c r="BH61" s="12">
        <f t="shared" si="12"/>
        <v>62.6</v>
      </c>
      <c r="BI61" s="12">
        <f t="shared" si="12"/>
        <v>18.600000000000001</v>
      </c>
    </row>
    <row r="62" spans="1:61" ht="15.75" customHeight="1">
      <c r="A62" s="1" t="s">
        <v>157</v>
      </c>
      <c r="B62" s="3" t="s">
        <v>94</v>
      </c>
      <c r="C62" s="4" t="s">
        <v>92</v>
      </c>
      <c r="D62" s="4">
        <v>26</v>
      </c>
      <c r="E62" s="4">
        <v>320</v>
      </c>
      <c r="F62" s="4">
        <v>26</v>
      </c>
      <c r="G62" s="4">
        <v>320</v>
      </c>
      <c r="H62" s="4">
        <v>11.2</v>
      </c>
      <c r="I62" s="4">
        <v>0.44</v>
      </c>
      <c r="J62" s="4">
        <v>0.36299999999999999</v>
      </c>
      <c r="K62" s="4">
        <v>0.11</v>
      </c>
      <c r="L62" s="4">
        <v>0.34200000000000003</v>
      </c>
      <c r="M62" s="4">
        <v>9.5</v>
      </c>
      <c r="N62" s="4">
        <v>11</v>
      </c>
      <c r="O62" s="4">
        <v>16.100000000000001</v>
      </c>
      <c r="P62" s="4">
        <v>3.8</v>
      </c>
      <c r="Q62" s="4">
        <v>2.2000000000000002</v>
      </c>
      <c r="R62" s="4">
        <v>30.6</v>
      </c>
      <c r="S62" s="4">
        <v>17</v>
      </c>
      <c r="T62" s="4">
        <v>79</v>
      </c>
      <c r="U62" s="4">
        <v>85</v>
      </c>
      <c r="V62" s="4"/>
      <c r="W62" s="4">
        <v>-0.3</v>
      </c>
      <c r="X62" s="4">
        <v>0.8</v>
      </c>
      <c r="Y62" s="4">
        <v>0.5</v>
      </c>
      <c r="Z62" s="4">
        <v>6.3E-2</v>
      </c>
      <c r="AA62" s="13">
        <f>(I62/TOTAL_BASIC!$D$301)*100</f>
        <v>89.176939576249026</v>
      </c>
      <c r="AB62" s="5">
        <f t="shared" si="3"/>
        <v>0.79</v>
      </c>
      <c r="AC62" s="3">
        <f t="shared" si="1"/>
        <v>-6</v>
      </c>
      <c r="AD62" s="9">
        <f t="shared" si="4"/>
        <v>0.88</v>
      </c>
      <c r="AE62" s="16">
        <f t="shared" si="5"/>
        <v>0.94705882352941184</v>
      </c>
      <c r="AF62" s="16">
        <f t="shared" si="6"/>
        <v>0.52614379084967322</v>
      </c>
      <c r="AG62" s="9"/>
      <c r="AH62" s="9"/>
      <c r="AI62" s="12">
        <f t="shared" si="7"/>
        <v>25.3</v>
      </c>
      <c r="AJ62" s="12">
        <f t="shared" si="8"/>
        <v>21.3</v>
      </c>
      <c r="AK62" s="12">
        <f t="shared" si="8"/>
        <v>36</v>
      </c>
      <c r="AL62" s="12">
        <f t="shared" si="8"/>
        <v>30.599999999999998</v>
      </c>
      <c r="AM62" s="12">
        <f t="shared" si="8"/>
        <v>9.3000000000000007</v>
      </c>
      <c r="AN62" s="12">
        <f t="shared" si="8"/>
        <v>44</v>
      </c>
      <c r="AO62" s="12">
        <f t="shared" si="14"/>
        <v>58.599999999999994</v>
      </c>
      <c r="AP62" s="12">
        <f t="shared" si="14"/>
        <v>74.599999999999994</v>
      </c>
      <c r="AQ62" s="12">
        <f t="shared" si="14"/>
        <v>66.600000000000009</v>
      </c>
      <c r="AR62" s="12">
        <f t="shared" si="14"/>
        <v>64</v>
      </c>
      <c r="AS62" s="12">
        <f t="shared" si="15"/>
        <v>89.3</v>
      </c>
      <c r="AT62" s="12">
        <f t="shared" si="15"/>
        <v>76</v>
      </c>
      <c r="AU62" s="12">
        <f t="shared" si="9"/>
        <v>13.400000000000006</v>
      </c>
      <c r="AV62" s="12">
        <f t="shared" si="15"/>
        <v>29.299999999999997</v>
      </c>
      <c r="AW62" s="12">
        <f t="shared" si="16"/>
        <v>16</v>
      </c>
      <c r="AX62" s="12">
        <f t="shared" si="10"/>
        <v>93.4</v>
      </c>
      <c r="AY62" s="9"/>
      <c r="AZ62" s="12">
        <f t="shared" si="17"/>
        <v>20</v>
      </c>
      <c r="BA62" s="12">
        <f t="shared" si="13"/>
        <v>60</v>
      </c>
      <c r="BB62" s="12">
        <f t="shared" si="11"/>
        <v>34.599999999999994</v>
      </c>
      <c r="BC62" s="12">
        <f t="shared" si="11"/>
        <v>42.6</v>
      </c>
      <c r="BD62" s="12">
        <f t="shared" si="11"/>
        <v>30.599999999999998</v>
      </c>
      <c r="BE62" s="12">
        <f t="shared" si="11"/>
        <v>16</v>
      </c>
      <c r="BF62" s="12">
        <f t="shared" si="12"/>
        <v>40</v>
      </c>
      <c r="BG62" s="12">
        <f t="shared" si="12"/>
        <v>30.599999999999998</v>
      </c>
      <c r="BH62" s="12">
        <f t="shared" si="12"/>
        <v>73.3</v>
      </c>
      <c r="BI62" s="12">
        <f t="shared" si="12"/>
        <v>34.599999999999994</v>
      </c>
    </row>
    <row r="63" spans="1:61" ht="15.75" customHeight="1">
      <c r="A63" s="1" t="s">
        <v>158</v>
      </c>
      <c r="B63" s="4" t="s">
        <v>98</v>
      </c>
      <c r="C63" s="4" t="s">
        <v>8</v>
      </c>
      <c r="D63" s="4">
        <v>28</v>
      </c>
      <c r="E63" s="4">
        <v>290</v>
      </c>
      <c r="F63" s="4">
        <v>28</v>
      </c>
      <c r="G63" s="4">
        <v>290</v>
      </c>
      <c r="H63" s="4">
        <v>6.1</v>
      </c>
      <c r="I63" s="4">
        <v>0.50800000000000001</v>
      </c>
      <c r="J63" s="4">
        <v>0.47899999999999998</v>
      </c>
      <c r="K63" s="4">
        <v>0.77100000000000002</v>
      </c>
      <c r="L63" s="4">
        <v>0.28599999999999998</v>
      </c>
      <c r="M63" s="4">
        <v>2.5</v>
      </c>
      <c r="N63" s="4">
        <v>4.4000000000000004</v>
      </c>
      <c r="O63" s="4">
        <v>19.3</v>
      </c>
      <c r="P63" s="4">
        <v>2.6</v>
      </c>
      <c r="Q63" s="4">
        <v>0.3</v>
      </c>
      <c r="R63" s="4">
        <v>33.1</v>
      </c>
      <c r="S63" s="4">
        <v>18.3</v>
      </c>
      <c r="T63" s="4">
        <v>79</v>
      </c>
      <c r="U63" s="4">
        <v>91</v>
      </c>
      <c r="V63" s="4"/>
      <c r="W63" s="4">
        <v>-0.3</v>
      </c>
      <c r="X63" s="4">
        <v>0.4</v>
      </c>
      <c r="Y63" s="4">
        <v>0.1</v>
      </c>
      <c r="Z63" s="4">
        <v>1.7000000000000001E-2</v>
      </c>
      <c r="AA63" s="13">
        <f>(I63/TOTAL_BASIC!$D$301)*100</f>
        <v>102.95883023803296</v>
      </c>
      <c r="AB63" s="5">
        <f t="shared" si="3"/>
        <v>0.79</v>
      </c>
      <c r="AC63" s="3">
        <f t="shared" si="1"/>
        <v>-12</v>
      </c>
      <c r="AD63" s="9">
        <f t="shared" si="4"/>
        <v>1.016</v>
      </c>
      <c r="AE63" s="16">
        <f t="shared" si="5"/>
        <v>1.0546448087431695</v>
      </c>
      <c r="AF63" s="16">
        <f t="shared" si="6"/>
        <v>0.58308157099697888</v>
      </c>
      <c r="AG63" s="9"/>
      <c r="AH63" s="9"/>
      <c r="AI63" s="12">
        <f t="shared" si="7"/>
        <v>40</v>
      </c>
      <c r="AJ63" s="12">
        <f t="shared" si="8"/>
        <v>20</v>
      </c>
      <c r="AK63" s="12">
        <f t="shared" si="8"/>
        <v>6.6000000000000005</v>
      </c>
      <c r="AL63" s="12">
        <f t="shared" si="8"/>
        <v>64</v>
      </c>
      <c r="AM63" s="12">
        <f t="shared" si="8"/>
        <v>78.600000000000009</v>
      </c>
      <c r="AN63" s="12">
        <f t="shared" ref="AN63:AQ126" si="18">(PERCENTRANK(K$3:K$298,K63))*100</f>
        <v>100</v>
      </c>
      <c r="AO63" s="12">
        <f t="shared" si="14"/>
        <v>38.6</v>
      </c>
      <c r="AP63" s="12">
        <f t="shared" si="14"/>
        <v>8</v>
      </c>
      <c r="AQ63" s="12">
        <f t="shared" si="14"/>
        <v>4</v>
      </c>
      <c r="AR63" s="12">
        <f t="shared" si="14"/>
        <v>77.3</v>
      </c>
      <c r="AS63" s="12">
        <f t="shared" si="15"/>
        <v>53.300000000000004</v>
      </c>
      <c r="AT63" s="12">
        <f t="shared" si="15"/>
        <v>13.3</v>
      </c>
      <c r="AU63" s="12">
        <f t="shared" si="9"/>
        <v>10.700000000000003</v>
      </c>
      <c r="AV63" s="12">
        <f t="shared" si="15"/>
        <v>37.299999999999997</v>
      </c>
      <c r="AW63" s="12">
        <f t="shared" si="16"/>
        <v>16</v>
      </c>
      <c r="AX63" s="12">
        <f t="shared" si="10"/>
        <v>66.699999999999989</v>
      </c>
      <c r="AY63" s="9"/>
      <c r="AZ63" s="12">
        <f t="shared" si="17"/>
        <v>20</v>
      </c>
      <c r="BA63" s="12">
        <f t="shared" si="13"/>
        <v>30.599999999999998</v>
      </c>
      <c r="BB63" s="12">
        <f t="shared" si="11"/>
        <v>26.6</v>
      </c>
      <c r="BC63" s="12">
        <f t="shared" si="11"/>
        <v>29.299999999999997</v>
      </c>
      <c r="BD63" s="12">
        <f t="shared" si="11"/>
        <v>64</v>
      </c>
      <c r="BE63" s="12">
        <f t="shared" si="11"/>
        <v>16</v>
      </c>
      <c r="BF63" s="12">
        <f t="shared" si="12"/>
        <v>28.000000000000004</v>
      </c>
      <c r="BG63" s="12">
        <f t="shared" si="12"/>
        <v>64</v>
      </c>
      <c r="BH63" s="12">
        <f t="shared" si="12"/>
        <v>80</v>
      </c>
      <c r="BI63" s="12">
        <f t="shared" si="12"/>
        <v>40</v>
      </c>
    </row>
    <row r="64" spans="1:61" ht="15.75" customHeight="1">
      <c r="A64" s="1" t="s">
        <v>159</v>
      </c>
      <c r="B64" s="3" t="s">
        <v>101</v>
      </c>
      <c r="C64" s="4" t="s">
        <v>118</v>
      </c>
      <c r="D64" s="4">
        <v>18</v>
      </c>
      <c r="E64" s="4">
        <v>286</v>
      </c>
      <c r="F64" s="4">
        <v>18</v>
      </c>
      <c r="G64" s="4">
        <v>286</v>
      </c>
      <c r="H64" s="4">
        <v>9.9</v>
      </c>
      <c r="I64" s="4">
        <v>0.42199999999999999</v>
      </c>
      <c r="J64" s="4">
        <v>0.39100000000000001</v>
      </c>
      <c r="K64" s="4">
        <v>0.09</v>
      </c>
      <c r="L64" s="4">
        <v>0.17899999999999999</v>
      </c>
      <c r="M64" s="4">
        <v>8.5</v>
      </c>
      <c r="N64" s="4">
        <v>9.9</v>
      </c>
      <c r="O64" s="4">
        <v>5.8</v>
      </c>
      <c r="P64" s="4">
        <v>2.4</v>
      </c>
      <c r="Q64" s="4">
        <v>0.3</v>
      </c>
      <c r="R64" s="4">
        <v>14.3</v>
      </c>
      <c r="S64" s="4">
        <v>15.3</v>
      </c>
      <c r="T64" s="4">
        <v>87</v>
      </c>
      <c r="U64" s="4">
        <v>101</v>
      </c>
      <c r="V64" s="4"/>
      <c r="W64" s="4">
        <v>0.1</v>
      </c>
      <c r="X64" s="4">
        <v>-0.1</v>
      </c>
      <c r="Y64" s="4">
        <v>0</v>
      </c>
      <c r="Z64" s="4">
        <v>5.0000000000000001E-3</v>
      </c>
      <c r="AA64" s="13">
        <f>(I64/TOTAL_BASIC!$D$301)*100</f>
        <v>85.528792048129745</v>
      </c>
      <c r="AB64" s="5">
        <f t="shared" si="3"/>
        <v>0.87</v>
      </c>
      <c r="AC64" s="3">
        <f t="shared" si="1"/>
        <v>-14</v>
      </c>
      <c r="AD64" s="9">
        <f t="shared" si="4"/>
        <v>0.84399999999999997</v>
      </c>
      <c r="AE64" s="16">
        <f t="shared" si="5"/>
        <v>0.37908496732026142</v>
      </c>
      <c r="AF64" s="16">
        <f t="shared" si="6"/>
        <v>0.40559440559440557</v>
      </c>
      <c r="AG64" s="9"/>
      <c r="AH64" s="9"/>
      <c r="AI64" s="12">
        <f t="shared" si="7"/>
        <v>8</v>
      </c>
      <c r="AJ64" s="12">
        <f t="shared" si="8"/>
        <v>18.600000000000001</v>
      </c>
      <c r="AK64" s="12">
        <f t="shared" si="8"/>
        <v>29.299999999999997</v>
      </c>
      <c r="AL64" s="12">
        <f t="shared" si="8"/>
        <v>17.299999999999997</v>
      </c>
      <c r="AM64" s="12">
        <f t="shared" si="8"/>
        <v>24</v>
      </c>
      <c r="AN64" s="12">
        <f t="shared" si="18"/>
        <v>40</v>
      </c>
      <c r="AO64" s="12">
        <f t="shared" si="14"/>
        <v>12</v>
      </c>
      <c r="AP64" s="12">
        <f t="shared" si="14"/>
        <v>68</v>
      </c>
      <c r="AQ64" s="12">
        <f t="shared" si="14"/>
        <v>54.6</v>
      </c>
      <c r="AR64" s="12">
        <f t="shared" si="14"/>
        <v>5.3</v>
      </c>
      <c r="AS64" s="12">
        <f t="shared" si="15"/>
        <v>48</v>
      </c>
      <c r="AT64" s="12">
        <f t="shared" si="15"/>
        <v>13.3</v>
      </c>
      <c r="AU64" s="12">
        <f t="shared" si="9"/>
        <v>92</v>
      </c>
      <c r="AV64" s="12">
        <f t="shared" si="15"/>
        <v>21.3</v>
      </c>
      <c r="AW64" s="12">
        <f t="shared" si="16"/>
        <v>38.6</v>
      </c>
      <c r="AX64" s="12">
        <f t="shared" si="10"/>
        <v>14.700000000000003</v>
      </c>
      <c r="AY64" s="9"/>
      <c r="AZ64" s="12">
        <f t="shared" si="17"/>
        <v>36</v>
      </c>
      <c r="BA64" s="12">
        <f t="shared" si="13"/>
        <v>9.3000000000000007</v>
      </c>
      <c r="BB64" s="12">
        <f t="shared" si="11"/>
        <v>21.3</v>
      </c>
      <c r="BC64" s="12">
        <f t="shared" si="11"/>
        <v>24</v>
      </c>
      <c r="BD64" s="12">
        <f t="shared" si="11"/>
        <v>17.299999999999997</v>
      </c>
      <c r="BE64" s="12">
        <f t="shared" si="11"/>
        <v>38.6</v>
      </c>
      <c r="BF64" s="12">
        <f t="shared" si="12"/>
        <v>24</v>
      </c>
      <c r="BG64" s="12">
        <f t="shared" si="12"/>
        <v>17.299999999999997</v>
      </c>
      <c r="BH64" s="12">
        <f t="shared" si="12"/>
        <v>16</v>
      </c>
      <c r="BI64" s="12">
        <f t="shared" si="12"/>
        <v>20</v>
      </c>
    </row>
    <row r="65" spans="1:61" ht="15.75" customHeight="1">
      <c r="A65" s="1" t="s">
        <v>160</v>
      </c>
      <c r="B65" s="3" t="s">
        <v>105</v>
      </c>
      <c r="C65" s="4" t="s">
        <v>110</v>
      </c>
      <c r="D65" s="4">
        <v>28</v>
      </c>
      <c r="E65" s="4">
        <v>282</v>
      </c>
      <c r="F65" s="4">
        <v>28</v>
      </c>
      <c r="G65" s="4">
        <v>282</v>
      </c>
      <c r="H65" s="4">
        <v>9.6</v>
      </c>
      <c r="I65" s="4">
        <v>0.435</v>
      </c>
      <c r="J65" s="4">
        <v>0.40300000000000002</v>
      </c>
      <c r="K65" s="4">
        <v>1.4999999999999999E-2</v>
      </c>
      <c r="L65" s="4">
        <v>0.224</v>
      </c>
      <c r="M65" s="4">
        <v>7.3</v>
      </c>
      <c r="N65" s="4">
        <v>10.3</v>
      </c>
      <c r="O65" s="4">
        <v>7.1</v>
      </c>
      <c r="P65" s="4">
        <v>1.8</v>
      </c>
      <c r="Q65" s="4">
        <v>2.8</v>
      </c>
      <c r="R65" s="4">
        <v>16</v>
      </c>
      <c r="S65" s="4">
        <v>13.8</v>
      </c>
      <c r="T65" s="4">
        <v>89</v>
      </c>
      <c r="U65" s="4">
        <v>92</v>
      </c>
      <c r="V65" s="4"/>
      <c r="W65" s="4">
        <v>0.1</v>
      </c>
      <c r="X65" s="4">
        <v>0.4</v>
      </c>
      <c r="Y65" s="4">
        <v>0.5</v>
      </c>
      <c r="Z65" s="4">
        <v>7.0999999999999994E-2</v>
      </c>
      <c r="AA65" s="13">
        <f>(I65/TOTAL_BASIC!$D$301)*100</f>
        <v>88.163565262882557</v>
      </c>
      <c r="AB65" s="5">
        <f t="shared" si="3"/>
        <v>0.89</v>
      </c>
      <c r="AC65" s="3">
        <f t="shared" si="1"/>
        <v>-3</v>
      </c>
      <c r="AD65" s="9">
        <f t="shared" si="4"/>
        <v>0.87</v>
      </c>
      <c r="AE65" s="16">
        <f t="shared" si="5"/>
        <v>0.51449275362318836</v>
      </c>
      <c r="AF65" s="16">
        <f t="shared" si="6"/>
        <v>0.44374999999999998</v>
      </c>
      <c r="AG65" s="9"/>
      <c r="AH65" s="9"/>
      <c r="AI65" s="12">
        <f t="shared" si="7"/>
        <v>40</v>
      </c>
      <c r="AJ65" s="12">
        <f t="shared" si="8"/>
        <v>16</v>
      </c>
      <c r="AK65" s="12">
        <f t="shared" si="8"/>
        <v>26.6</v>
      </c>
      <c r="AL65" s="12">
        <f t="shared" si="8"/>
        <v>25.3</v>
      </c>
      <c r="AM65" s="12">
        <f t="shared" si="8"/>
        <v>32</v>
      </c>
      <c r="AN65" s="12">
        <f t="shared" si="18"/>
        <v>13.3</v>
      </c>
      <c r="AO65" s="12">
        <f t="shared" si="14"/>
        <v>22.6</v>
      </c>
      <c r="AP65" s="12">
        <f t="shared" si="14"/>
        <v>58.599999999999994</v>
      </c>
      <c r="AQ65" s="12">
        <f t="shared" si="14"/>
        <v>60</v>
      </c>
      <c r="AR65" s="12">
        <f t="shared" si="14"/>
        <v>17.299999999999997</v>
      </c>
      <c r="AS65" s="12">
        <f t="shared" si="15"/>
        <v>24</v>
      </c>
      <c r="AT65" s="12">
        <f t="shared" si="15"/>
        <v>86.6</v>
      </c>
      <c r="AU65" s="12">
        <f t="shared" si="9"/>
        <v>81.400000000000006</v>
      </c>
      <c r="AV65" s="12">
        <f t="shared" si="15"/>
        <v>13.3</v>
      </c>
      <c r="AW65" s="12">
        <f t="shared" si="16"/>
        <v>49.3</v>
      </c>
      <c r="AX65" s="12">
        <f t="shared" si="10"/>
        <v>60</v>
      </c>
      <c r="AY65" s="9"/>
      <c r="AZ65" s="12">
        <f t="shared" si="17"/>
        <v>36</v>
      </c>
      <c r="BA65" s="12">
        <f t="shared" si="13"/>
        <v>30.599999999999998</v>
      </c>
      <c r="BB65" s="12">
        <f t="shared" si="11"/>
        <v>34.599999999999994</v>
      </c>
      <c r="BC65" s="12">
        <f t="shared" si="11"/>
        <v>46.6</v>
      </c>
      <c r="BD65" s="12">
        <f t="shared" si="11"/>
        <v>25.3</v>
      </c>
      <c r="BE65" s="12">
        <f t="shared" si="11"/>
        <v>49.3</v>
      </c>
      <c r="BF65" s="12">
        <f t="shared" si="12"/>
        <v>50.6</v>
      </c>
      <c r="BG65" s="12">
        <f t="shared" si="12"/>
        <v>25.3</v>
      </c>
      <c r="BH65" s="12">
        <f t="shared" si="12"/>
        <v>29.299999999999997</v>
      </c>
      <c r="BI65" s="12">
        <f t="shared" si="12"/>
        <v>22.6</v>
      </c>
    </row>
    <row r="66" spans="1:61" ht="15.75" customHeight="1">
      <c r="A66" s="1" t="s">
        <v>161</v>
      </c>
      <c r="B66" s="3" t="s">
        <v>105</v>
      </c>
      <c r="C66" s="4" t="s">
        <v>110</v>
      </c>
      <c r="D66" s="4">
        <v>22</v>
      </c>
      <c r="E66" s="4">
        <v>282</v>
      </c>
      <c r="F66" s="4">
        <v>22</v>
      </c>
      <c r="G66" s="4">
        <v>282</v>
      </c>
      <c r="H66" s="4">
        <v>12.7</v>
      </c>
      <c r="I66" s="4">
        <v>0.47399999999999998</v>
      </c>
      <c r="J66" s="4">
        <v>0.44400000000000001</v>
      </c>
      <c r="K66" s="4">
        <v>5.6000000000000001E-2</v>
      </c>
      <c r="L66" s="4">
        <v>0.625</v>
      </c>
      <c r="M66" s="4">
        <v>10.5</v>
      </c>
      <c r="N66" s="4">
        <v>14.8</v>
      </c>
      <c r="O66" s="4">
        <v>9.1999999999999993</v>
      </c>
      <c r="P66" s="4">
        <v>2.2000000000000002</v>
      </c>
      <c r="Q66" s="4">
        <v>3.3</v>
      </c>
      <c r="R66" s="4">
        <v>21.4</v>
      </c>
      <c r="S66" s="4">
        <v>18.399999999999999</v>
      </c>
      <c r="T66" s="4">
        <v>88</v>
      </c>
      <c r="U66" s="4">
        <v>89</v>
      </c>
      <c r="V66" s="4"/>
      <c r="W66" s="4">
        <v>0.1</v>
      </c>
      <c r="X66" s="4">
        <v>0.5</v>
      </c>
      <c r="Y66" s="4">
        <v>0.7</v>
      </c>
      <c r="Z66" s="4">
        <v>9.4E-2</v>
      </c>
      <c r="AA66" s="13">
        <f>(I66/TOTAL_BASIC!$D$301)*100</f>
        <v>96.067884907140993</v>
      </c>
      <c r="AB66" s="5">
        <f t="shared" si="3"/>
        <v>0.88</v>
      </c>
      <c r="AC66" s="3">
        <f t="shared" si="1"/>
        <v>-1</v>
      </c>
      <c r="AD66" s="9">
        <f t="shared" si="4"/>
        <v>0.94799999999999995</v>
      </c>
      <c r="AE66" s="16">
        <f t="shared" si="5"/>
        <v>0.5</v>
      </c>
      <c r="AF66" s="16">
        <f t="shared" si="6"/>
        <v>0.42990654205607476</v>
      </c>
      <c r="AG66" s="9"/>
      <c r="AH66" s="9"/>
      <c r="AI66" s="12">
        <f t="shared" si="7"/>
        <v>14.6</v>
      </c>
      <c r="AJ66" s="12">
        <f t="shared" si="8"/>
        <v>16</v>
      </c>
      <c r="AK66" s="12">
        <f t="shared" si="8"/>
        <v>48</v>
      </c>
      <c r="AL66" s="12">
        <f t="shared" si="8"/>
        <v>42.6</v>
      </c>
      <c r="AM66" s="12">
        <f t="shared" si="8"/>
        <v>49.3</v>
      </c>
      <c r="AN66" s="12">
        <f t="shared" si="18"/>
        <v>29.299999999999997</v>
      </c>
      <c r="AO66" s="12">
        <f t="shared" si="14"/>
        <v>96</v>
      </c>
      <c r="AP66" s="12">
        <f t="shared" si="14"/>
        <v>85.3</v>
      </c>
      <c r="AQ66" s="12">
        <f t="shared" si="14"/>
        <v>92</v>
      </c>
      <c r="AR66" s="12">
        <f t="shared" si="14"/>
        <v>26.6</v>
      </c>
      <c r="AS66" s="12">
        <f t="shared" si="15"/>
        <v>37.299999999999997</v>
      </c>
      <c r="AT66" s="12">
        <f t="shared" si="15"/>
        <v>90.600000000000009</v>
      </c>
      <c r="AU66" s="12">
        <f t="shared" si="9"/>
        <v>42.7</v>
      </c>
      <c r="AV66" s="12">
        <f t="shared" si="15"/>
        <v>40</v>
      </c>
      <c r="AW66" s="12">
        <f t="shared" si="16"/>
        <v>45.300000000000004</v>
      </c>
      <c r="AX66" s="12">
        <f t="shared" si="10"/>
        <v>76</v>
      </c>
      <c r="AY66" s="9"/>
      <c r="AZ66" s="12">
        <f t="shared" si="17"/>
        <v>36</v>
      </c>
      <c r="BA66" s="12">
        <f t="shared" si="13"/>
        <v>40</v>
      </c>
      <c r="BB66" s="12">
        <f t="shared" si="11"/>
        <v>42.6</v>
      </c>
      <c r="BC66" s="12">
        <f t="shared" si="11"/>
        <v>60</v>
      </c>
      <c r="BD66" s="12">
        <f t="shared" si="11"/>
        <v>42.6</v>
      </c>
      <c r="BE66" s="12">
        <f t="shared" si="11"/>
        <v>45.300000000000004</v>
      </c>
      <c r="BF66" s="12">
        <f t="shared" si="12"/>
        <v>57.3</v>
      </c>
      <c r="BG66" s="12">
        <f t="shared" si="12"/>
        <v>42.6</v>
      </c>
      <c r="BH66" s="12">
        <f t="shared" si="12"/>
        <v>24</v>
      </c>
      <c r="BI66" s="12">
        <f t="shared" si="12"/>
        <v>21.3</v>
      </c>
    </row>
    <row r="67" spans="1:61" ht="15.75" customHeight="1">
      <c r="A67" s="1" t="s">
        <v>162</v>
      </c>
      <c r="B67" s="3" t="s">
        <v>94</v>
      </c>
      <c r="C67" s="4" t="s">
        <v>8</v>
      </c>
      <c r="D67" s="4">
        <v>25</v>
      </c>
      <c r="E67" s="4">
        <v>279</v>
      </c>
      <c r="F67" s="4">
        <v>25</v>
      </c>
      <c r="G67" s="4">
        <v>279</v>
      </c>
      <c r="H67" s="4">
        <v>6.4</v>
      </c>
      <c r="I67" s="4">
        <v>0.39300000000000002</v>
      </c>
      <c r="J67" s="4">
        <v>0.36399999999999999</v>
      </c>
      <c r="K67" s="4">
        <v>0.33800000000000002</v>
      </c>
      <c r="L67" s="4">
        <v>0.13</v>
      </c>
      <c r="M67" s="4">
        <v>2.5</v>
      </c>
      <c r="N67" s="4">
        <v>7.1</v>
      </c>
      <c r="O67" s="4">
        <v>29.1</v>
      </c>
      <c r="P67" s="4">
        <v>2.7</v>
      </c>
      <c r="Q67" s="4">
        <v>0.6</v>
      </c>
      <c r="R67" s="4">
        <v>32.4</v>
      </c>
      <c r="S67" s="4">
        <v>19.399999999999999</v>
      </c>
      <c r="T67" s="4">
        <v>70</v>
      </c>
      <c r="U67" s="4">
        <v>88</v>
      </c>
      <c r="V67" s="4"/>
      <c r="W67" s="4">
        <v>-0.7</v>
      </c>
      <c r="X67" s="4">
        <v>0.5</v>
      </c>
      <c r="Y67" s="4">
        <v>-0.2</v>
      </c>
      <c r="Z67" s="4">
        <v>-2.5999999999999999E-2</v>
      </c>
      <c r="AA67" s="13">
        <f>(I67/TOTAL_BASIC!$D$301)*100</f>
        <v>79.651221030604248</v>
      </c>
      <c r="AB67" s="5">
        <f t="shared" si="3"/>
        <v>0.7</v>
      </c>
      <c r="AC67" s="3">
        <f t="shared" si="1"/>
        <v>-18</v>
      </c>
      <c r="AD67" s="9">
        <f t="shared" si="4"/>
        <v>0.78600000000000003</v>
      </c>
      <c r="AE67" s="16">
        <f t="shared" si="5"/>
        <v>1.5000000000000002</v>
      </c>
      <c r="AF67" s="16">
        <f t="shared" si="6"/>
        <v>0.89814814814814825</v>
      </c>
      <c r="AG67" s="9"/>
      <c r="AH67" s="9"/>
      <c r="AI67" s="12">
        <f t="shared" si="7"/>
        <v>18.600000000000001</v>
      </c>
      <c r="AJ67" s="12">
        <f t="shared" si="8"/>
        <v>14.6</v>
      </c>
      <c r="AK67" s="12">
        <f t="shared" si="8"/>
        <v>9.3000000000000007</v>
      </c>
      <c r="AL67" s="12">
        <f t="shared" si="8"/>
        <v>8</v>
      </c>
      <c r="AM67" s="12">
        <f t="shared" si="8"/>
        <v>10.6</v>
      </c>
      <c r="AN67" s="12">
        <f t="shared" si="18"/>
        <v>77.3</v>
      </c>
      <c r="AO67" s="12">
        <f t="shared" si="14"/>
        <v>4</v>
      </c>
      <c r="AP67" s="12">
        <f t="shared" si="14"/>
        <v>8</v>
      </c>
      <c r="AQ67" s="12">
        <f t="shared" si="14"/>
        <v>26.6</v>
      </c>
      <c r="AR67" s="12">
        <f t="shared" si="14"/>
        <v>94.6</v>
      </c>
      <c r="AS67" s="12">
        <f t="shared" si="15"/>
        <v>57.3</v>
      </c>
      <c r="AT67" s="12">
        <f t="shared" si="15"/>
        <v>36</v>
      </c>
      <c r="AU67" s="12">
        <f t="shared" si="9"/>
        <v>12</v>
      </c>
      <c r="AV67" s="12">
        <f t="shared" si="15"/>
        <v>49.3</v>
      </c>
      <c r="AW67" s="12">
        <f t="shared" si="16"/>
        <v>6.6000000000000005</v>
      </c>
      <c r="AX67" s="12">
        <f t="shared" si="10"/>
        <v>82.7</v>
      </c>
      <c r="AY67" s="9"/>
      <c r="AZ67" s="12">
        <f t="shared" si="17"/>
        <v>5.3</v>
      </c>
      <c r="BA67" s="12">
        <f t="shared" si="13"/>
        <v>40</v>
      </c>
      <c r="BB67" s="12">
        <f t="shared" si="11"/>
        <v>13.3</v>
      </c>
      <c r="BC67" s="12">
        <f t="shared" si="11"/>
        <v>13.3</v>
      </c>
      <c r="BD67" s="12">
        <f t="shared" si="11"/>
        <v>8</v>
      </c>
      <c r="BE67" s="12">
        <f t="shared" ref="BE67:BH130" si="19">(PERCENTRANK(AB$3:AB$298,AB67))*100</f>
        <v>6.6000000000000005</v>
      </c>
      <c r="BF67" s="12">
        <f t="shared" si="12"/>
        <v>14.6</v>
      </c>
      <c r="BG67" s="12">
        <f t="shared" si="12"/>
        <v>8</v>
      </c>
      <c r="BH67" s="12">
        <f t="shared" si="12"/>
        <v>93.300000000000011</v>
      </c>
      <c r="BI67" s="12">
        <f t="shared" ref="BI67:BI130" si="20">(PERCENTRANK(AF$3:AF$298,AF67))*100</f>
        <v>77.3</v>
      </c>
    </row>
    <row r="68" spans="1:61" ht="15.75" customHeight="1">
      <c r="A68" s="1" t="s">
        <v>163</v>
      </c>
      <c r="B68" s="3" t="s">
        <v>96</v>
      </c>
      <c r="C68" s="4" t="s">
        <v>8</v>
      </c>
      <c r="D68" s="4">
        <v>24</v>
      </c>
      <c r="E68" s="4">
        <v>273</v>
      </c>
      <c r="F68" s="4">
        <v>24</v>
      </c>
      <c r="G68" s="4">
        <v>273</v>
      </c>
      <c r="H68" s="4">
        <v>7.8</v>
      </c>
      <c r="I68" s="4">
        <v>0.51900000000000002</v>
      </c>
      <c r="J68" s="4">
        <v>0.51100000000000001</v>
      </c>
      <c r="K68" s="4">
        <v>0.54500000000000004</v>
      </c>
      <c r="L68" s="4">
        <v>0.114</v>
      </c>
      <c r="M68" s="4">
        <v>1</v>
      </c>
      <c r="N68" s="4">
        <v>2.4</v>
      </c>
      <c r="O68" s="4">
        <v>26.9</v>
      </c>
      <c r="P68" s="4">
        <v>2.2000000000000002</v>
      </c>
      <c r="Q68" s="4">
        <v>0.3</v>
      </c>
      <c r="R68" s="4">
        <v>37.700000000000003</v>
      </c>
      <c r="S68" s="4">
        <v>12.7</v>
      </c>
      <c r="T68" s="4">
        <v>84</v>
      </c>
      <c r="U68" s="4">
        <v>97</v>
      </c>
      <c r="V68" s="4"/>
      <c r="W68" s="4">
        <v>0</v>
      </c>
      <c r="X68" s="4">
        <v>0.1</v>
      </c>
      <c r="Y68" s="4">
        <v>0.1</v>
      </c>
      <c r="Z68" s="4">
        <v>0.01</v>
      </c>
      <c r="AA68" s="13">
        <f>(I68/TOTAL_BASIC!$D$301)*100</f>
        <v>105.18825372743919</v>
      </c>
      <c r="AB68" s="5">
        <f t="shared" ref="AB68:AB131" si="21">(T68/100)</f>
        <v>0.84</v>
      </c>
      <c r="AC68" s="3">
        <f t="shared" si="1"/>
        <v>-13</v>
      </c>
      <c r="AD68" s="9">
        <f t="shared" ref="AD68:AD131" si="22">2*I68</f>
        <v>1.038</v>
      </c>
      <c r="AE68" s="16">
        <f t="shared" ref="AE68:AE131" si="23">IF(S68=0,0,O68/S68)</f>
        <v>2.1181102362204722</v>
      </c>
      <c r="AF68" s="16">
        <f t="shared" ref="AF68:AF131" si="24">IF(R68=0,0,O68/R68)</f>
        <v>0.71352785145888586</v>
      </c>
      <c r="AG68" s="9"/>
      <c r="AH68" s="9"/>
      <c r="AI68" s="12">
        <f t="shared" ref="AI68:AI131" si="25">(PERCENTRANK(F$3:F$298,F68))*100</f>
        <v>17.299999999999997</v>
      </c>
      <c r="AJ68" s="12">
        <f t="shared" ref="AJ68:AM131" si="26">(PERCENTRANK(G$3:G$298,G68))*100</f>
        <v>13.3</v>
      </c>
      <c r="AK68" s="12">
        <f t="shared" si="26"/>
        <v>20</v>
      </c>
      <c r="AL68" s="12">
        <f t="shared" si="26"/>
        <v>72</v>
      </c>
      <c r="AM68" s="12">
        <f t="shared" si="26"/>
        <v>89.3</v>
      </c>
      <c r="AN68" s="12">
        <f t="shared" si="18"/>
        <v>93.300000000000011</v>
      </c>
      <c r="AO68" s="12">
        <f t="shared" si="14"/>
        <v>2.6</v>
      </c>
      <c r="AP68" s="12">
        <f t="shared" si="14"/>
        <v>1.3</v>
      </c>
      <c r="AQ68" s="12">
        <f t="shared" si="14"/>
        <v>0</v>
      </c>
      <c r="AR68" s="12">
        <f t="shared" si="14"/>
        <v>92</v>
      </c>
      <c r="AS68" s="12">
        <f t="shared" si="15"/>
        <v>37.299999999999997</v>
      </c>
      <c r="AT68" s="12">
        <f t="shared" si="15"/>
        <v>13.3</v>
      </c>
      <c r="AU68" s="12">
        <f t="shared" ref="AU68:AU131" si="27">100-(PERCENTRANK(R$3:R$298,R68))*100</f>
        <v>4</v>
      </c>
      <c r="AV68" s="12">
        <f t="shared" si="15"/>
        <v>4</v>
      </c>
      <c r="AW68" s="12">
        <f t="shared" si="16"/>
        <v>28.000000000000004</v>
      </c>
      <c r="AX68" s="12">
        <f t="shared" ref="AX68:AX131" si="28">100-(PERCENTRANK(U$3:U$298,U68))*100</f>
        <v>24</v>
      </c>
      <c r="AY68" s="9"/>
      <c r="AZ68" s="12">
        <f t="shared" si="17"/>
        <v>29.299999999999997</v>
      </c>
      <c r="BA68" s="12">
        <f t="shared" si="13"/>
        <v>18.600000000000001</v>
      </c>
      <c r="BB68" s="12">
        <f t="shared" si="13"/>
        <v>26.6</v>
      </c>
      <c r="BC68" s="12">
        <f t="shared" si="13"/>
        <v>28.000000000000004</v>
      </c>
      <c r="BD68" s="12">
        <f t="shared" si="13"/>
        <v>72</v>
      </c>
      <c r="BE68" s="12">
        <f t="shared" si="19"/>
        <v>28.000000000000004</v>
      </c>
      <c r="BF68" s="12">
        <f t="shared" si="19"/>
        <v>26.6</v>
      </c>
      <c r="BG68" s="12">
        <f t="shared" si="19"/>
        <v>72</v>
      </c>
      <c r="BH68" s="12">
        <f t="shared" si="19"/>
        <v>98.6</v>
      </c>
      <c r="BI68" s="12">
        <f t="shared" si="20"/>
        <v>57.3</v>
      </c>
    </row>
    <row r="69" spans="1:61" ht="15.75" customHeight="1">
      <c r="A69" s="1" t="s">
        <v>164</v>
      </c>
      <c r="B69" s="3" t="s">
        <v>101</v>
      </c>
      <c r="C69" s="4" t="s">
        <v>92</v>
      </c>
      <c r="D69" s="4">
        <v>13</v>
      </c>
      <c r="E69" s="4">
        <v>268</v>
      </c>
      <c r="F69" s="4">
        <v>13</v>
      </c>
      <c r="G69" s="4">
        <v>268</v>
      </c>
      <c r="H69" s="4">
        <v>9.1</v>
      </c>
      <c r="I69" s="4">
        <v>0.61</v>
      </c>
      <c r="J69" s="4">
        <v>0.55200000000000005</v>
      </c>
      <c r="K69" s="4">
        <v>0.10299999999999999</v>
      </c>
      <c r="L69" s="4">
        <v>0.55200000000000005</v>
      </c>
      <c r="M69" s="4">
        <v>5</v>
      </c>
      <c r="N69" s="4">
        <v>8</v>
      </c>
      <c r="O69" s="4">
        <v>7</v>
      </c>
      <c r="P69" s="4">
        <v>1.8</v>
      </c>
      <c r="Q69" s="4">
        <v>1.2</v>
      </c>
      <c r="R69" s="4">
        <v>33.299999999999997</v>
      </c>
      <c r="S69" s="4">
        <v>9</v>
      </c>
      <c r="T69" s="4">
        <v>91</v>
      </c>
      <c r="U69" s="4">
        <v>102</v>
      </c>
      <c r="V69" s="4"/>
      <c r="W69" s="4">
        <v>0.1</v>
      </c>
      <c r="X69" s="4">
        <v>-0.1</v>
      </c>
      <c r="Y69" s="4">
        <v>0</v>
      </c>
      <c r="Z69" s="4">
        <v>5.0000000000000001E-3</v>
      </c>
      <c r="AA69" s="13">
        <f>(I69/TOTAL_BASIC!$D$301)*100</f>
        <v>123.63166623070887</v>
      </c>
      <c r="AB69" s="5">
        <f t="shared" si="21"/>
        <v>0.91</v>
      </c>
      <c r="AC69" s="3">
        <f t="shared" si="1"/>
        <v>-11</v>
      </c>
      <c r="AD69" s="9">
        <f t="shared" si="22"/>
        <v>1.22</v>
      </c>
      <c r="AE69" s="16">
        <f t="shared" si="23"/>
        <v>0.77777777777777779</v>
      </c>
      <c r="AF69" s="16">
        <f t="shared" si="24"/>
        <v>0.21021021021021022</v>
      </c>
      <c r="AG69" s="9"/>
      <c r="AH69" s="9"/>
      <c r="AI69" s="12">
        <f t="shared" si="25"/>
        <v>4</v>
      </c>
      <c r="AJ69" s="12">
        <f t="shared" si="26"/>
        <v>12</v>
      </c>
      <c r="AK69" s="12">
        <f t="shared" si="26"/>
        <v>25.3</v>
      </c>
      <c r="AL69" s="12">
        <f t="shared" si="26"/>
        <v>96</v>
      </c>
      <c r="AM69" s="12">
        <f t="shared" si="26"/>
        <v>94.6</v>
      </c>
      <c r="AN69" s="12">
        <f t="shared" si="18"/>
        <v>42.6</v>
      </c>
      <c r="AO69" s="12">
        <f t="shared" si="14"/>
        <v>92</v>
      </c>
      <c r="AP69" s="12">
        <f t="shared" si="14"/>
        <v>33.300000000000004</v>
      </c>
      <c r="AQ69" s="12">
        <f t="shared" si="14"/>
        <v>42.6</v>
      </c>
      <c r="AR69" s="12">
        <f t="shared" si="14"/>
        <v>14.6</v>
      </c>
      <c r="AS69" s="12">
        <f t="shared" si="15"/>
        <v>24</v>
      </c>
      <c r="AT69" s="12">
        <f t="shared" si="15"/>
        <v>58.599999999999994</v>
      </c>
      <c r="AU69" s="12">
        <f t="shared" si="27"/>
        <v>9.3999999999999915</v>
      </c>
      <c r="AV69" s="12">
        <f t="shared" si="15"/>
        <v>0</v>
      </c>
      <c r="AW69" s="12">
        <f t="shared" si="16"/>
        <v>53.300000000000004</v>
      </c>
      <c r="AX69" s="12">
        <f t="shared" si="28"/>
        <v>9.3999999999999915</v>
      </c>
      <c r="AY69" s="9"/>
      <c r="AZ69" s="12">
        <f t="shared" si="17"/>
        <v>36</v>
      </c>
      <c r="BA69" s="12">
        <f t="shared" si="13"/>
        <v>9.3000000000000007</v>
      </c>
      <c r="BB69" s="12">
        <f t="shared" si="13"/>
        <v>21.3</v>
      </c>
      <c r="BC69" s="12">
        <f t="shared" si="13"/>
        <v>24</v>
      </c>
      <c r="BD69" s="12">
        <f t="shared" si="13"/>
        <v>96</v>
      </c>
      <c r="BE69" s="12">
        <f t="shared" si="19"/>
        <v>53.300000000000004</v>
      </c>
      <c r="BF69" s="12">
        <f t="shared" si="19"/>
        <v>29.299999999999997</v>
      </c>
      <c r="BG69" s="12">
        <f t="shared" si="19"/>
        <v>96</v>
      </c>
      <c r="BH69" s="12">
        <f t="shared" si="19"/>
        <v>57.3</v>
      </c>
      <c r="BI69" s="12">
        <f t="shared" si="20"/>
        <v>5.3</v>
      </c>
    </row>
    <row r="70" spans="1:61" ht="15.75" customHeight="1">
      <c r="A70" s="1" t="s">
        <v>165</v>
      </c>
      <c r="B70" s="3" t="s">
        <v>86</v>
      </c>
      <c r="C70" s="4" t="s">
        <v>92</v>
      </c>
      <c r="D70" s="4">
        <v>13</v>
      </c>
      <c r="E70" s="4">
        <v>265</v>
      </c>
      <c r="F70" s="4">
        <v>13</v>
      </c>
      <c r="G70" s="4">
        <v>265</v>
      </c>
      <c r="H70" s="4">
        <v>8.4</v>
      </c>
      <c r="I70" s="4">
        <v>0.501</v>
      </c>
      <c r="J70" s="4">
        <v>0.44</v>
      </c>
      <c r="K70" s="4">
        <v>0</v>
      </c>
      <c r="L70" s="4">
        <v>0.22</v>
      </c>
      <c r="M70" s="4">
        <v>11</v>
      </c>
      <c r="N70" s="4">
        <v>11.2</v>
      </c>
      <c r="O70" s="4">
        <v>7</v>
      </c>
      <c r="P70" s="4">
        <v>1.6</v>
      </c>
      <c r="Q70" s="4">
        <v>0.6</v>
      </c>
      <c r="R70" s="4">
        <v>30.4</v>
      </c>
      <c r="S70" s="4">
        <v>13.3</v>
      </c>
      <c r="T70" s="4">
        <v>86</v>
      </c>
      <c r="U70" s="4">
        <v>103</v>
      </c>
      <c r="V70" s="4"/>
      <c r="W70" s="4">
        <v>0</v>
      </c>
      <c r="X70" s="4">
        <v>-0.1</v>
      </c>
      <c r="Y70" s="4">
        <v>-0.1</v>
      </c>
      <c r="Z70" s="4">
        <v>-1.9E-2</v>
      </c>
      <c r="AA70" s="13">
        <f>(I70/TOTAL_BASIC!$D$301)*100</f>
        <v>101.54010619931991</v>
      </c>
      <c r="AB70" s="5">
        <f t="shared" si="21"/>
        <v>0.86</v>
      </c>
      <c r="AC70" s="3">
        <f t="shared" si="1"/>
        <v>-17</v>
      </c>
      <c r="AD70" s="9">
        <f t="shared" si="22"/>
        <v>1.002</v>
      </c>
      <c r="AE70" s="16">
        <f t="shared" si="23"/>
        <v>0.52631578947368418</v>
      </c>
      <c r="AF70" s="16">
        <f t="shared" si="24"/>
        <v>0.23026315789473686</v>
      </c>
      <c r="AG70" s="9"/>
      <c r="AH70" s="9"/>
      <c r="AI70" s="12">
        <f t="shared" si="25"/>
        <v>4</v>
      </c>
      <c r="AJ70" s="12">
        <f t="shared" si="26"/>
        <v>10.6</v>
      </c>
      <c r="AK70" s="12">
        <f t="shared" si="26"/>
        <v>21.3</v>
      </c>
      <c r="AL70" s="12">
        <f t="shared" si="26"/>
        <v>61.3</v>
      </c>
      <c r="AM70" s="12">
        <f t="shared" si="26"/>
        <v>48</v>
      </c>
      <c r="AN70" s="12">
        <f t="shared" si="18"/>
        <v>0</v>
      </c>
      <c r="AO70" s="12">
        <f t="shared" si="14"/>
        <v>21.3</v>
      </c>
      <c r="AP70" s="12">
        <f t="shared" si="14"/>
        <v>88</v>
      </c>
      <c r="AQ70" s="12">
        <f t="shared" si="14"/>
        <v>68</v>
      </c>
      <c r="AR70" s="12">
        <f t="shared" si="14"/>
        <v>14.6</v>
      </c>
      <c r="AS70" s="12">
        <f t="shared" si="15"/>
        <v>18.600000000000001</v>
      </c>
      <c r="AT70" s="12">
        <f t="shared" si="15"/>
        <v>36</v>
      </c>
      <c r="AU70" s="12">
        <f t="shared" si="27"/>
        <v>16</v>
      </c>
      <c r="AV70" s="12">
        <f t="shared" si="15"/>
        <v>6.6000000000000005</v>
      </c>
      <c r="AW70" s="12">
        <f t="shared" si="16"/>
        <v>36</v>
      </c>
      <c r="AX70" s="12">
        <f t="shared" si="28"/>
        <v>5.4000000000000057</v>
      </c>
      <c r="AY70" s="9"/>
      <c r="AZ70" s="12">
        <f t="shared" si="17"/>
        <v>29.299999999999997</v>
      </c>
      <c r="BA70" s="12">
        <f t="shared" si="13"/>
        <v>9.3000000000000007</v>
      </c>
      <c r="BB70" s="12">
        <f t="shared" si="13"/>
        <v>17.299999999999997</v>
      </c>
      <c r="BC70" s="12">
        <f t="shared" si="13"/>
        <v>18.600000000000001</v>
      </c>
      <c r="BD70" s="12">
        <f t="shared" si="13"/>
        <v>61.3</v>
      </c>
      <c r="BE70" s="12">
        <f t="shared" si="19"/>
        <v>36</v>
      </c>
      <c r="BF70" s="12">
        <f t="shared" si="19"/>
        <v>20</v>
      </c>
      <c r="BG70" s="12">
        <f t="shared" si="19"/>
        <v>61.3</v>
      </c>
      <c r="BH70" s="12">
        <f t="shared" si="19"/>
        <v>30.599999999999998</v>
      </c>
      <c r="BI70" s="12">
        <f t="shared" si="20"/>
        <v>6.6000000000000005</v>
      </c>
    </row>
    <row r="71" spans="1:61" ht="15.75" customHeight="1">
      <c r="A71" s="1" t="s">
        <v>166</v>
      </c>
      <c r="B71" s="3" t="s">
        <v>101</v>
      </c>
      <c r="C71" s="4" t="s">
        <v>167</v>
      </c>
      <c r="D71" s="4">
        <v>26</v>
      </c>
      <c r="E71" s="4">
        <v>263</v>
      </c>
      <c r="F71" s="4">
        <v>26</v>
      </c>
      <c r="G71" s="4">
        <v>263</v>
      </c>
      <c r="H71" s="4">
        <v>12.4</v>
      </c>
      <c r="I71" s="4">
        <v>0.47699999999999998</v>
      </c>
      <c r="J71" s="4">
        <v>0.46300000000000002</v>
      </c>
      <c r="K71" s="4">
        <v>1.2999999999999999E-2</v>
      </c>
      <c r="L71" s="4">
        <v>0.2</v>
      </c>
      <c r="M71" s="4">
        <v>7.2</v>
      </c>
      <c r="N71" s="4">
        <v>7.9</v>
      </c>
      <c r="O71" s="4">
        <v>8.5</v>
      </c>
      <c r="P71" s="4">
        <v>2.6</v>
      </c>
      <c r="Q71" s="4">
        <v>3.3</v>
      </c>
      <c r="R71" s="4">
        <v>12.1</v>
      </c>
      <c r="S71" s="4">
        <v>16.8</v>
      </c>
      <c r="T71" s="4">
        <v>96</v>
      </c>
      <c r="U71" s="4">
        <v>99</v>
      </c>
      <c r="V71" s="4"/>
      <c r="W71" s="4">
        <v>0.4</v>
      </c>
      <c r="X71" s="4">
        <v>0</v>
      </c>
      <c r="Y71" s="4">
        <v>0.4</v>
      </c>
      <c r="Z71" s="4">
        <v>0.06</v>
      </c>
      <c r="AA71" s="13">
        <f>(I71/TOTAL_BASIC!$D$301)*100</f>
        <v>96.675909495160866</v>
      </c>
      <c r="AB71" s="5">
        <f t="shared" si="21"/>
        <v>0.96</v>
      </c>
      <c r="AC71" s="3">
        <f t="shared" si="1"/>
        <v>-3</v>
      </c>
      <c r="AD71" s="9">
        <f t="shared" si="22"/>
        <v>0.95399999999999996</v>
      </c>
      <c r="AE71" s="16">
        <f t="shared" si="23"/>
        <v>0.50595238095238093</v>
      </c>
      <c r="AF71" s="16">
        <f t="shared" si="24"/>
        <v>0.7024793388429752</v>
      </c>
      <c r="AG71" s="9"/>
      <c r="AH71" s="9"/>
      <c r="AI71" s="12">
        <f t="shared" si="25"/>
        <v>25.3</v>
      </c>
      <c r="AJ71" s="12">
        <f t="shared" si="26"/>
        <v>9.3000000000000007</v>
      </c>
      <c r="AK71" s="12">
        <f t="shared" si="26"/>
        <v>45.300000000000004</v>
      </c>
      <c r="AL71" s="12">
        <f t="shared" si="26"/>
        <v>45.300000000000004</v>
      </c>
      <c r="AM71" s="12">
        <f t="shared" si="26"/>
        <v>61.3</v>
      </c>
      <c r="AN71" s="12">
        <f t="shared" si="18"/>
        <v>12</v>
      </c>
      <c r="AO71" s="12">
        <f t="shared" si="14"/>
        <v>17.299999999999997</v>
      </c>
      <c r="AP71" s="12">
        <f t="shared" si="14"/>
        <v>56.000000000000007</v>
      </c>
      <c r="AQ71" s="12">
        <f t="shared" si="14"/>
        <v>41.3</v>
      </c>
      <c r="AR71" s="12">
        <f t="shared" si="14"/>
        <v>22.6</v>
      </c>
      <c r="AS71" s="12">
        <f t="shared" si="15"/>
        <v>53.300000000000004</v>
      </c>
      <c r="AT71" s="12">
        <f t="shared" si="15"/>
        <v>90.600000000000009</v>
      </c>
      <c r="AU71" s="12">
        <f t="shared" si="27"/>
        <v>94.7</v>
      </c>
      <c r="AV71" s="12">
        <f t="shared" si="15"/>
        <v>28.000000000000004</v>
      </c>
      <c r="AW71" s="12">
        <f t="shared" si="16"/>
        <v>66.600000000000009</v>
      </c>
      <c r="AX71" s="12">
        <f t="shared" si="28"/>
        <v>17.400000000000006</v>
      </c>
      <c r="AY71" s="9"/>
      <c r="AZ71" s="12">
        <f t="shared" si="17"/>
        <v>52</v>
      </c>
      <c r="BA71" s="12">
        <f t="shared" si="13"/>
        <v>16</v>
      </c>
      <c r="BB71" s="12">
        <f t="shared" si="13"/>
        <v>30.599999999999998</v>
      </c>
      <c r="BC71" s="12">
        <f t="shared" si="13"/>
        <v>38.6</v>
      </c>
      <c r="BD71" s="12">
        <f t="shared" si="13"/>
        <v>45.300000000000004</v>
      </c>
      <c r="BE71" s="12">
        <f t="shared" si="19"/>
        <v>66.600000000000009</v>
      </c>
      <c r="BF71" s="12">
        <f t="shared" si="19"/>
        <v>50.6</v>
      </c>
      <c r="BG71" s="12">
        <f t="shared" si="19"/>
        <v>45.300000000000004</v>
      </c>
      <c r="BH71" s="12">
        <f t="shared" si="19"/>
        <v>26.6</v>
      </c>
      <c r="BI71" s="12">
        <f t="shared" si="20"/>
        <v>53.300000000000004</v>
      </c>
    </row>
    <row r="72" spans="1:61" ht="15.75" customHeight="1">
      <c r="A72" s="1" t="s">
        <v>168</v>
      </c>
      <c r="B72" s="3" t="s">
        <v>96</v>
      </c>
      <c r="C72" s="4" t="s">
        <v>8</v>
      </c>
      <c r="D72" s="4">
        <v>25</v>
      </c>
      <c r="E72" s="4">
        <v>194</v>
      </c>
      <c r="F72" s="4">
        <v>25</v>
      </c>
      <c r="G72" s="4">
        <v>194</v>
      </c>
      <c r="H72" s="4">
        <v>4.7</v>
      </c>
      <c r="I72" s="4">
        <v>0.42799999999999999</v>
      </c>
      <c r="J72" s="4">
        <v>0.39700000000000002</v>
      </c>
      <c r="K72" s="4">
        <v>6.9000000000000006E-2</v>
      </c>
      <c r="L72" s="4">
        <v>0.155</v>
      </c>
      <c r="M72" s="4">
        <v>5.6</v>
      </c>
      <c r="N72" s="4">
        <v>7.3</v>
      </c>
      <c r="O72" s="4">
        <v>8.8000000000000007</v>
      </c>
      <c r="P72" s="4">
        <v>1.4</v>
      </c>
      <c r="Q72" s="4">
        <v>0.4</v>
      </c>
      <c r="R72" s="4">
        <v>30.4</v>
      </c>
      <c r="S72" s="4">
        <v>21.4</v>
      </c>
      <c r="T72" s="4">
        <v>68</v>
      </c>
      <c r="U72" s="4">
        <v>97</v>
      </c>
      <c r="V72" s="4"/>
      <c r="W72" s="4">
        <v>-0.6</v>
      </c>
      <c r="X72" s="4">
        <v>0.1</v>
      </c>
      <c r="Y72" s="4">
        <v>-0.5</v>
      </c>
      <c r="Z72" s="4">
        <v>-0.1</v>
      </c>
      <c r="AA72" s="13">
        <f>(I72/TOTAL_BASIC!$D$301)*100</f>
        <v>86.744841224169505</v>
      </c>
      <c r="AB72" s="5">
        <f t="shared" si="21"/>
        <v>0.68</v>
      </c>
      <c r="AC72" s="3">
        <f t="shared" si="1"/>
        <v>-29</v>
      </c>
      <c r="AD72" s="9">
        <f t="shared" si="22"/>
        <v>0.85599999999999998</v>
      </c>
      <c r="AE72" s="16">
        <f t="shared" si="23"/>
        <v>0.41121495327102808</v>
      </c>
      <c r="AF72" s="16">
        <f t="shared" si="24"/>
        <v>0.28947368421052633</v>
      </c>
      <c r="AG72" s="9"/>
      <c r="AH72" s="9"/>
      <c r="AI72" s="12">
        <f t="shared" si="25"/>
        <v>18.600000000000001</v>
      </c>
      <c r="AJ72" s="12">
        <f t="shared" si="26"/>
        <v>8</v>
      </c>
      <c r="AK72" s="12">
        <f t="shared" si="26"/>
        <v>5.3</v>
      </c>
      <c r="AL72" s="12">
        <f t="shared" si="26"/>
        <v>21.3</v>
      </c>
      <c r="AM72" s="12">
        <f t="shared" si="26"/>
        <v>26.6</v>
      </c>
      <c r="AN72" s="12">
        <f t="shared" si="18"/>
        <v>34.599999999999994</v>
      </c>
      <c r="AO72" s="12">
        <f t="shared" si="14"/>
        <v>8</v>
      </c>
      <c r="AP72" s="12">
        <f t="shared" si="14"/>
        <v>40</v>
      </c>
      <c r="AQ72" s="12">
        <f t="shared" si="14"/>
        <v>29.299999999999997</v>
      </c>
      <c r="AR72" s="12">
        <f t="shared" si="14"/>
        <v>24</v>
      </c>
      <c r="AS72" s="12">
        <f t="shared" si="15"/>
        <v>9.3000000000000007</v>
      </c>
      <c r="AT72" s="12">
        <f t="shared" si="15"/>
        <v>20</v>
      </c>
      <c r="AU72" s="12">
        <f t="shared" si="27"/>
        <v>16</v>
      </c>
      <c r="AV72" s="12">
        <f t="shared" si="15"/>
        <v>69.3</v>
      </c>
      <c r="AW72" s="12">
        <f t="shared" si="16"/>
        <v>5.3</v>
      </c>
      <c r="AX72" s="12">
        <f t="shared" si="28"/>
        <v>24</v>
      </c>
      <c r="AY72" s="9"/>
      <c r="AZ72" s="12">
        <f t="shared" si="17"/>
        <v>6.6000000000000005</v>
      </c>
      <c r="BA72" s="12">
        <f t="shared" si="13"/>
        <v>18.600000000000001</v>
      </c>
      <c r="BB72" s="12">
        <f t="shared" si="13"/>
        <v>6.6000000000000005</v>
      </c>
      <c r="BC72" s="12">
        <f t="shared" si="13"/>
        <v>4</v>
      </c>
      <c r="BD72" s="12">
        <f t="shared" si="13"/>
        <v>21.3</v>
      </c>
      <c r="BE72" s="12">
        <f t="shared" si="19"/>
        <v>5.3</v>
      </c>
      <c r="BF72" s="12">
        <f t="shared" si="19"/>
        <v>4</v>
      </c>
      <c r="BG72" s="12">
        <f t="shared" si="19"/>
        <v>21.3</v>
      </c>
      <c r="BH72" s="12">
        <f t="shared" si="19"/>
        <v>17.299999999999997</v>
      </c>
      <c r="BI72" s="12">
        <f t="shared" si="20"/>
        <v>12</v>
      </c>
    </row>
    <row r="73" spans="1:61" ht="15.75" customHeight="1">
      <c r="A73" s="1" t="s">
        <v>169</v>
      </c>
      <c r="B73" s="3" t="s">
        <v>86</v>
      </c>
      <c r="C73" s="4" t="s">
        <v>8</v>
      </c>
      <c r="D73" s="4">
        <v>19</v>
      </c>
      <c r="E73" s="4">
        <v>188</v>
      </c>
      <c r="F73" s="4">
        <v>19</v>
      </c>
      <c r="G73" s="4">
        <v>188</v>
      </c>
      <c r="H73" s="4">
        <v>11.1</v>
      </c>
      <c r="I73" s="4">
        <v>0.41699999999999998</v>
      </c>
      <c r="J73" s="4">
        <v>0.40400000000000003</v>
      </c>
      <c r="K73" s="4">
        <v>1.7999999999999999E-2</v>
      </c>
      <c r="L73" s="4">
        <v>0.21099999999999999</v>
      </c>
      <c r="M73" s="4">
        <v>7.8</v>
      </c>
      <c r="N73" s="4">
        <v>6.7</v>
      </c>
      <c r="O73" s="4">
        <v>6.4</v>
      </c>
      <c r="P73" s="4">
        <v>5.0999999999999996</v>
      </c>
      <c r="Q73" s="4">
        <v>0.8</v>
      </c>
      <c r="R73" s="4">
        <v>20.399999999999999</v>
      </c>
      <c r="S73" s="4">
        <v>18.600000000000001</v>
      </c>
      <c r="T73" s="4">
        <v>79</v>
      </c>
      <c r="U73" s="4">
        <v>98</v>
      </c>
      <c r="V73" s="4"/>
      <c r="W73" s="4">
        <v>-0.2</v>
      </c>
      <c r="X73" s="4">
        <v>0.1</v>
      </c>
      <c r="Y73" s="4">
        <v>-0.1</v>
      </c>
      <c r="Z73" s="4">
        <v>-2.1999999999999999E-2</v>
      </c>
      <c r="AA73" s="13">
        <f>(I73/TOTAL_BASIC!$D$301)*100</f>
        <v>84.515417734763275</v>
      </c>
      <c r="AB73" s="5">
        <f t="shared" si="21"/>
        <v>0.79</v>
      </c>
      <c r="AC73" s="3">
        <f t="shared" si="1"/>
        <v>-19</v>
      </c>
      <c r="AD73" s="9">
        <f t="shared" si="22"/>
        <v>0.83399999999999996</v>
      </c>
      <c r="AE73" s="16">
        <f t="shared" si="23"/>
        <v>0.34408602150537632</v>
      </c>
      <c r="AF73" s="16">
        <f t="shared" si="24"/>
        <v>0.31372549019607848</v>
      </c>
      <c r="AG73" s="9"/>
      <c r="AH73" s="9"/>
      <c r="AI73" s="12">
        <f t="shared" si="25"/>
        <v>9.3000000000000007</v>
      </c>
      <c r="AJ73" s="12">
        <f t="shared" si="26"/>
        <v>6.6000000000000005</v>
      </c>
      <c r="AK73" s="12">
        <f t="shared" si="26"/>
        <v>34.599999999999994</v>
      </c>
      <c r="AL73" s="12">
        <f t="shared" si="26"/>
        <v>16</v>
      </c>
      <c r="AM73" s="12">
        <f t="shared" si="26"/>
        <v>33.300000000000004</v>
      </c>
      <c r="AN73" s="12">
        <f t="shared" si="18"/>
        <v>17.299999999999997</v>
      </c>
      <c r="AO73" s="12">
        <f t="shared" si="14"/>
        <v>20</v>
      </c>
      <c r="AP73" s="12">
        <f t="shared" si="14"/>
        <v>62.6</v>
      </c>
      <c r="AQ73" s="12">
        <f t="shared" si="14"/>
        <v>20</v>
      </c>
      <c r="AR73" s="12">
        <f t="shared" si="14"/>
        <v>12</v>
      </c>
      <c r="AS73" s="12">
        <f t="shared" si="15"/>
        <v>98.6</v>
      </c>
      <c r="AT73" s="12">
        <f t="shared" si="15"/>
        <v>46.6</v>
      </c>
      <c r="AU73" s="12">
        <f t="shared" si="27"/>
        <v>45.4</v>
      </c>
      <c r="AV73" s="12">
        <f t="shared" si="15"/>
        <v>42.6</v>
      </c>
      <c r="AW73" s="12">
        <f t="shared" si="16"/>
        <v>16</v>
      </c>
      <c r="AX73" s="12">
        <f t="shared" si="28"/>
        <v>18.700000000000003</v>
      </c>
      <c r="AY73" s="9"/>
      <c r="AZ73" s="12">
        <f t="shared" si="17"/>
        <v>22.6</v>
      </c>
      <c r="BA73" s="12">
        <f t="shared" si="17"/>
        <v>18.600000000000001</v>
      </c>
      <c r="BB73" s="12">
        <f t="shared" si="17"/>
        <v>17.299999999999997</v>
      </c>
      <c r="BC73" s="12">
        <f t="shared" si="17"/>
        <v>17.299999999999997</v>
      </c>
      <c r="BD73" s="12">
        <f t="shared" si="17"/>
        <v>16</v>
      </c>
      <c r="BE73" s="12">
        <f t="shared" si="19"/>
        <v>16</v>
      </c>
      <c r="BF73" s="12">
        <f t="shared" si="19"/>
        <v>12</v>
      </c>
      <c r="BG73" s="12">
        <f t="shared" si="19"/>
        <v>16</v>
      </c>
      <c r="BH73" s="12">
        <f t="shared" si="19"/>
        <v>12</v>
      </c>
      <c r="BI73" s="12">
        <f t="shared" si="20"/>
        <v>13.3</v>
      </c>
    </row>
    <row r="74" spans="1:61" ht="15.75" customHeight="1">
      <c r="A74" s="1" t="s">
        <v>170</v>
      </c>
      <c r="B74" s="3" t="s">
        <v>86</v>
      </c>
      <c r="C74" s="4" t="s">
        <v>8</v>
      </c>
      <c r="D74" s="4">
        <v>14</v>
      </c>
      <c r="E74" s="4">
        <v>157</v>
      </c>
      <c r="F74" s="4">
        <v>14</v>
      </c>
      <c r="G74" s="4">
        <v>157</v>
      </c>
      <c r="H74" s="4">
        <v>-0.5</v>
      </c>
      <c r="I74" s="4">
        <v>0.33700000000000002</v>
      </c>
      <c r="J74" s="4">
        <v>0.28899999999999998</v>
      </c>
      <c r="K74" s="4">
        <v>0.44400000000000001</v>
      </c>
      <c r="L74" s="4">
        <v>0.2</v>
      </c>
      <c r="M74" s="4">
        <v>0.8</v>
      </c>
      <c r="N74" s="4">
        <v>2.4</v>
      </c>
      <c r="O74" s="4">
        <v>13.8</v>
      </c>
      <c r="P74" s="4">
        <v>1.4</v>
      </c>
      <c r="Q74" s="4">
        <v>0.5</v>
      </c>
      <c r="R74" s="4">
        <v>30</v>
      </c>
      <c r="S74" s="4">
        <v>19.899999999999999</v>
      </c>
      <c r="T74" s="4">
        <v>61</v>
      </c>
      <c r="U74" s="4">
        <v>106</v>
      </c>
      <c r="V74" s="4"/>
      <c r="W74" s="4">
        <v>-0.6</v>
      </c>
      <c r="X74" s="4">
        <v>-0.2</v>
      </c>
      <c r="Y74" s="4">
        <v>-0.8</v>
      </c>
      <c r="Z74" s="4">
        <v>-0.20399999999999999</v>
      </c>
      <c r="AA74" s="13">
        <f>(I74/TOTAL_BASIC!$D$301)*100</f>
        <v>68.301428720899821</v>
      </c>
      <c r="AB74" s="5">
        <f t="shared" si="21"/>
        <v>0.61</v>
      </c>
      <c r="AC74" s="3">
        <f t="shared" si="1"/>
        <v>-45</v>
      </c>
      <c r="AD74" s="9">
        <f t="shared" si="22"/>
        <v>0.67400000000000004</v>
      </c>
      <c r="AE74" s="16">
        <f t="shared" si="23"/>
        <v>0.6934673366834172</v>
      </c>
      <c r="AF74" s="16">
        <f t="shared" si="24"/>
        <v>0.46</v>
      </c>
      <c r="AG74" s="9"/>
      <c r="AH74" s="9"/>
      <c r="AI74" s="12">
        <f t="shared" si="25"/>
        <v>6.6000000000000005</v>
      </c>
      <c r="AJ74" s="12">
        <f t="shared" si="26"/>
        <v>5.3</v>
      </c>
      <c r="AK74" s="12">
        <f t="shared" si="26"/>
        <v>0</v>
      </c>
      <c r="AL74" s="12">
        <f t="shared" si="26"/>
        <v>1.3</v>
      </c>
      <c r="AM74" s="12">
        <f t="shared" si="26"/>
        <v>2.6</v>
      </c>
      <c r="AN74" s="12">
        <f t="shared" si="18"/>
        <v>88</v>
      </c>
      <c r="AO74" s="12">
        <f t="shared" si="14"/>
        <v>17.299999999999997</v>
      </c>
      <c r="AP74" s="12">
        <f t="shared" si="14"/>
        <v>0</v>
      </c>
      <c r="AQ74" s="12">
        <f t="shared" si="14"/>
        <v>0</v>
      </c>
      <c r="AR74" s="12">
        <f t="shared" si="14"/>
        <v>49.3</v>
      </c>
      <c r="AS74" s="12">
        <f t="shared" si="15"/>
        <v>9.3000000000000007</v>
      </c>
      <c r="AT74" s="12">
        <f t="shared" si="15"/>
        <v>29.299999999999997</v>
      </c>
      <c r="AU74" s="12">
        <f t="shared" si="27"/>
        <v>17.400000000000006</v>
      </c>
      <c r="AV74" s="12">
        <f t="shared" si="15"/>
        <v>52</v>
      </c>
      <c r="AW74" s="12">
        <f t="shared" si="16"/>
        <v>2.6</v>
      </c>
      <c r="AX74" s="12">
        <f t="shared" si="28"/>
        <v>0</v>
      </c>
      <c r="AY74" s="9"/>
      <c r="AZ74" s="12">
        <f t="shared" si="17"/>
        <v>6.6000000000000005</v>
      </c>
      <c r="BA74" s="12">
        <f t="shared" si="17"/>
        <v>5.3</v>
      </c>
      <c r="BB74" s="12">
        <f t="shared" si="17"/>
        <v>2.6</v>
      </c>
      <c r="BC74" s="12">
        <f t="shared" si="17"/>
        <v>0</v>
      </c>
      <c r="BD74" s="12">
        <f t="shared" si="17"/>
        <v>1.3</v>
      </c>
      <c r="BE74" s="12">
        <f t="shared" si="19"/>
        <v>2.6</v>
      </c>
      <c r="BF74" s="12">
        <f t="shared" si="19"/>
        <v>0</v>
      </c>
      <c r="BG74" s="12">
        <f t="shared" si="19"/>
        <v>1.3</v>
      </c>
      <c r="BH74" s="12">
        <f t="shared" si="19"/>
        <v>48</v>
      </c>
      <c r="BI74" s="12">
        <f t="shared" si="20"/>
        <v>26.6</v>
      </c>
    </row>
    <row r="75" spans="1:61" ht="15.75" customHeight="1">
      <c r="A75" s="1" t="s">
        <v>171</v>
      </c>
      <c r="B75" s="3" t="s">
        <v>90</v>
      </c>
      <c r="C75" s="4" t="s">
        <v>172</v>
      </c>
      <c r="D75" s="4">
        <v>9</v>
      </c>
      <c r="E75" s="4">
        <v>129</v>
      </c>
      <c r="F75" s="4">
        <v>9</v>
      </c>
      <c r="G75" s="4">
        <v>129</v>
      </c>
      <c r="H75" s="4">
        <v>26.6</v>
      </c>
      <c r="I75" s="4">
        <v>0.54100000000000004</v>
      </c>
      <c r="J75" s="4">
        <v>0.50900000000000001</v>
      </c>
      <c r="K75" s="4">
        <v>0.30199999999999999</v>
      </c>
      <c r="L75" s="4">
        <v>0.26400000000000001</v>
      </c>
      <c r="M75" s="4">
        <v>6</v>
      </c>
      <c r="N75" s="4">
        <v>7.7</v>
      </c>
      <c r="O75" s="4">
        <v>12.7</v>
      </c>
      <c r="P75" s="4">
        <v>3</v>
      </c>
      <c r="Q75" s="4">
        <v>2.6</v>
      </c>
      <c r="R75" s="4">
        <v>6.3</v>
      </c>
      <c r="S75" s="4">
        <v>22.9</v>
      </c>
      <c r="T75" s="4">
        <v>118</v>
      </c>
      <c r="U75" s="4">
        <v>92</v>
      </c>
      <c r="V75" s="4"/>
      <c r="W75" s="4">
        <v>0.7</v>
      </c>
      <c r="X75" s="4">
        <v>0.2</v>
      </c>
      <c r="Y75" s="4">
        <v>0.9</v>
      </c>
      <c r="Z75" s="4">
        <v>0.28299999999999997</v>
      </c>
      <c r="AA75" s="13">
        <f>(I75/TOTAL_BASIC!$D$301)*100</f>
        <v>109.64710070625165</v>
      </c>
      <c r="AB75" s="5">
        <f t="shared" si="21"/>
        <v>1.18</v>
      </c>
      <c r="AC75" s="3">
        <f t="shared" si="1"/>
        <v>26</v>
      </c>
      <c r="AD75" s="9">
        <f t="shared" si="22"/>
        <v>1.0820000000000001</v>
      </c>
      <c r="AE75" s="16">
        <f t="shared" si="23"/>
        <v>0.55458515283842791</v>
      </c>
      <c r="AF75" s="16">
        <f t="shared" si="24"/>
        <v>2.0158730158730158</v>
      </c>
      <c r="AG75" s="9"/>
      <c r="AH75" s="9"/>
      <c r="AI75" s="12">
        <f t="shared" si="25"/>
        <v>0</v>
      </c>
      <c r="AJ75" s="12">
        <f t="shared" si="26"/>
        <v>4</v>
      </c>
      <c r="AK75" s="12">
        <f t="shared" si="26"/>
        <v>98.6</v>
      </c>
      <c r="AL75" s="12">
        <f t="shared" si="26"/>
        <v>84</v>
      </c>
      <c r="AM75" s="12">
        <f t="shared" si="26"/>
        <v>86.6</v>
      </c>
      <c r="AN75" s="12">
        <f t="shared" si="18"/>
        <v>73.3</v>
      </c>
      <c r="AO75" s="12">
        <f t="shared" si="14"/>
        <v>36</v>
      </c>
      <c r="AP75" s="12">
        <f t="shared" si="14"/>
        <v>44</v>
      </c>
      <c r="AQ75" s="12">
        <f t="shared" si="14"/>
        <v>34.599999999999994</v>
      </c>
      <c r="AR75" s="12">
        <f t="shared" si="14"/>
        <v>44</v>
      </c>
      <c r="AS75" s="12">
        <f t="shared" si="15"/>
        <v>65.3</v>
      </c>
      <c r="AT75" s="12">
        <f t="shared" si="15"/>
        <v>84</v>
      </c>
      <c r="AU75" s="12">
        <f t="shared" si="27"/>
        <v>100</v>
      </c>
      <c r="AV75" s="12">
        <f t="shared" si="15"/>
        <v>80</v>
      </c>
      <c r="AW75" s="12">
        <f t="shared" si="16"/>
        <v>98.6</v>
      </c>
      <c r="AX75" s="12">
        <f t="shared" si="28"/>
        <v>60</v>
      </c>
      <c r="AY75" s="9"/>
      <c r="AZ75" s="12">
        <f t="shared" si="17"/>
        <v>57.3</v>
      </c>
      <c r="BA75" s="12">
        <f t="shared" si="17"/>
        <v>25.3</v>
      </c>
      <c r="BB75" s="12">
        <f t="shared" si="17"/>
        <v>46.6</v>
      </c>
      <c r="BC75" s="12">
        <f t="shared" si="17"/>
        <v>98.6</v>
      </c>
      <c r="BD75" s="12">
        <f t="shared" si="17"/>
        <v>84</v>
      </c>
      <c r="BE75" s="12">
        <f t="shared" si="19"/>
        <v>98.6</v>
      </c>
      <c r="BF75" s="12">
        <f t="shared" si="19"/>
        <v>98.6</v>
      </c>
      <c r="BG75" s="12">
        <f t="shared" si="19"/>
        <v>84</v>
      </c>
      <c r="BH75" s="12">
        <f t="shared" si="19"/>
        <v>33.300000000000004</v>
      </c>
      <c r="BI75" s="12">
        <f t="shared" si="20"/>
        <v>100</v>
      </c>
    </row>
    <row r="76" spans="1:61" ht="15.75" customHeight="1">
      <c r="A76" s="1" t="s">
        <v>173</v>
      </c>
      <c r="B76" s="3" t="s">
        <v>88</v>
      </c>
      <c r="C76" s="4" t="s">
        <v>8</v>
      </c>
      <c r="D76" s="4">
        <v>10</v>
      </c>
      <c r="E76" s="4">
        <v>116</v>
      </c>
      <c r="F76" s="4">
        <v>10</v>
      </c>
      <c r="G76" s="4">
        <v>116</v>
      </c>
      <c r="H76" s="4">
        <v>4.4000000000000004</v>
      </c>
      <c r="I76" s="4">
        <v>0.308</v>
      </c>
      <c r="J76" s="4">
        <v>0.30199999999999999</v>
      </c>
      <c r="K76" s="4">
        <v>0.41899999999999998</v>
      </c>
      <c r="L76" s="4">
        <v>4.7E-2</v>
      </c>
      <c r="M76" s="4">
        <v>3.3</v>
      </c>
      <c r="N76" s="4">
        <v>7</v>
      </c>
      <c r="O76" s="4">
        <v>14.2</v>
      </c>
      <c r="P76" s="4">
        <v>1</v>
      </c>
      <c r="Q76" s="4">
        <v>0</v>
      </c>
      <c r="R76" s="4">
        <v>12</v>
      </c>
      <c r="S76" s="4">
        <v>20.399999999999999</v>
      </c>
      <c r="T76" s="4">
        <v>71</v>
      </c>
      <c r="U76" s="4">
        <v>96</v>
      </c>
      <c r="V76" s="4"/>
      <c r="W76" s="4">
        <v>-0.2</v>
      </c>
      <c r="X76" s="4">
        <v>0.1</v>
      </c>
      <c r="Y76" s="4">
        <v>-0.2</v>
      </c>
      <c r="Z76" s="4">
        <v>-6.2E-2</v>
      </c>
      <c r="AA76" s="13">
        <f>(I76/TOTAL_BASIC!$D$301)*100</f>
        <v>62.423857703374317</v>
      </c>
      <c r="AB76" s="5">
        <f t="shared" si="21"/>
        <v>0.71</v>
      </c>
      <c r="AC76" s="3">
        <f t="shared" si="1"/>
        <v>-25</v>
      </c>
      <c r="AD76" s="9">
        <f t="shared" si="22"/>
        <v>0.61599999999999999</v>
      </c>
      <c r="AE76" s="16">
        <f t="shared" si="23"/>
        <v>0.69607843137254899</v>
      </c>
      <c r="AF76" s="16">
        <f t="shared" si="24"/>
        <v>1.1833333333333333</v>
      </c>
      <c r="AG76" s="9"/>
      <c r="AH76" s="9"/>
      <c r="AI76" s="12">
        <f t="shared" si="25"/>
        <v>1.3</v>
      </c>
      <c r="AJ76" s="12">
        <f t="shared" si="26"/>
        <v>2.6</v>
      </c>
      <c r="AK76" s="12">
        <f t="shared" si="26"/>
        <v>4</v>
      </c>
      <c r="AL76" s="12">
        <f t="shared" si="26"/>
        <v>0</v>
      </c>
      <c r="AM76" s="12">
        <f t="shared" si="26"/>
        <v>5.3</v>
      </c>
      <c r="AN76" s="12">
        <f t="shared" si="18"/>
        <v>84</v>
      </c>
      <c r="AO76" s="12">
        <f t="shared" si="14"/>
        <v>0</v>
      </c>
      <c r="AP76" s="12">
        <f t="shared" si="14"/>
        <v>16</v>
      </c>
      <c r="AQ76" s="12">
        <f t="shared" si="14"/>
        <v>24</v>
      </c>
      <c r="AR76" s="12">
        <f t="shared" si="14"/>
        <v>52</v>
      </c>
      <c r="AS76" s="12">
        <f t="shared" si="15"/>
        <v>1.3</v>
      </c>
      <c r="AT76" s="12">
        <f t="shared" si="15"/>
        <v>0</v>
      </c>
      <c r="AU76" s="12">
        <f t="shared" si="27"/>
        <v>96</v>
      </c>
      <c r="AV76" s="12">
        <f t="shared" si="15"/>
        <v>60</v>
      </c>
      <c r="AW76" s="12">
        <f t="shared" si="16"/>
        <v>8</v>
      </c>
      <c r="AX76" s="12">
        <f t="shared" si="28"/>
        <v>28</v>
      </c>
      <c r="AY76" s="9"/>
      <c r="AZ76" s="12">
        <f t="shared" si="17"/>
        <v>22.6</v>
      </c>
      <c r="BA76" s="12">
        <f t="shared" si="17"/>
        <v>18.600000000000001</v>
      </c>
      <c r="BB76" s="12">
        <f t="shared" si="17"/>
        <v>13.3</v>
      </c>
      <c r="BC76" s="12">
        <f t="shared" si="17"/>
        <v>8</v>
      </c>
      <c r="BD76" s="12">
        <f t="shared" si="17"/>
        <v>0</v>
      </c>
      <c r="BE76" s="12">
        <f t="shared" si="19"/>
        <v>8</v>
      </c>
      <c r="BF76" s="12">
        <f t="shared" si="19"/>
        <v>9.3000000000000007</v>
      </c>
      <c r="BG76" s="12">
        <f t="shared" si="19"/>
        <v>0</v>
      </c>
      <c r="BH76" s="12">
        <f t="shared" si="19"/>
        <v>49.3</v>
      </c>
      <c r="BI76" s="12">
        <f t="shared" si="20"/>
        <v>90.600000000000009</v>
      </c>
    </row>
    <row r="77" spans="1:61" ht="15.75" customHeight="1">
      <c r="A77" s="1" t="s">
        <v>174</v>
      </c>
      <c r="B77" s="3" t="s">
        <v>88</v>
      </c>
      <c r="C77" s="4" t="s">
        <v>92</v>
      </c>
      <c r="D77" s="4">
        <v>20</v>
      </c>
      <c r="E77" s="4">
        <v>113</v>
      </c>
      <c r="F77" s="4">
        <v>20</v>
      </c>
      <c r="G77" s="4">
        <v>113</v>
      </c>
      <c r="H77" s="4">
        <v>3.3</v>
      </c>
      <c r="I77" s="4">
        <v>0.35399999999999998</v>
      </c>
      <c r="J77" s="4">
        <v>0.25</v>
      </c>
      <c r="K77" s="4">
        <v>6.3E-2</v>
      </c>
      <c r="L77" s="4">
        <v>0.93799999999999994</v>
      </c>
      <c r="M77" s="4">
        <v>1.1000000000000001</v>
      </c>
      <c r="N77" s="4">
        <v>8.8000000000000007</v>
      </c>
      <c r="O77" s="4">
        <v>11.7</v>
      </c>
      <c r="P77" s="4">
        <v>2.9</v>
      </c>
      <c r="Q77" s="4">
        <v>0.7</v>
      </c>
      <c r="R77" s="4">
        <v>34.700000000000003</v>
      </c>
      <c r="S77" s="4">
        <v>14.5</v>
      </c>
      <c r="T77" s="4">
        <v>60</v>
      </c>
      <c r="U77" s="4">
        <v>89</v>
      </c>
      <c r="V77" s="4"/>
      <c r="W77" s="4">
        <v>-0.4</v>
      </c>
      <c r="X77" s="4">
        <v>0.2</v>
      </c>
      <c r="Y77" s="4">
        <v>-0.2</v>
      </c>
      <c r="Z77" s="4">
        <v>-5.7000000000000002E-2</v>
      </c>
      <c r="AA77" s="13">
        <f>(I77/TOTAL_BASIC!$D$301)*100</f>
        <v>71.746901386345797</v>
      </c>
      <c r="AB77" s="5">
        <f t="shared" si="21"/>
        <v>0.6</v>
      </c>
      <c r="AC77" s="3">
        <f t="shared" si="1"/>
        <v>-29</v>
      </c>
      <c r="AD77" s="9">
        <f t="shared" si="22"/>
        <v>0.70799999999999996</v>
      </c>
      <c r="AE77" s="16">
        <f t="shared" si="23"/>
        <v>0.80689655172413788</v>
      </c>
      <c r="AF77" s="16">
        <f t="shared" si="24"/>
        <v>0.33717579250720459</v>
      </c>
      <c r="AG77" s="9"/>
      <c r="AH77" s="9"/>
      <c r="AI77" s="12">
        <f t="shared" si="25"/>
        <v>10.6</v>
      </c>
      <c r="AJ77" s="12">
        <f t="shared" si="26"/>
        <v>1.3</v>
      </c>
      <c r="AK77" s="12">
        <f t="shared" si="26"/>
        <v>2.6</v>
      </c>
      <c r="AL77" s="12">
        <f t="shared" si="26"/>
        <v>4</v>
      </c>
      <c r="AM77" s="12">
        <f t="shared" si="26"/>
        <v>0</v>
      </c>
      <c r="AN77" s="12">
        <f t="shared" si="18"/>
        <v>32</v>
      </c>
      <c r="AO77" s="12">
        <f t="shared" si="14"/>
        <v>100</v>
      </c>
      <c r="AP77" s="12">
        <f t="shared" si="14"/>
        <v>4</v>
      </c>
      <c r="AQ77" s="12">
        <f t="shared" si="14"/>
        <v>48</v>
      </c>
      <c r="AR77" s="12">
        <f t="shared" si="14"/>
        <v>36</v>
      </c>
      <c r="AS77" s="12">
        <f t="shared" si="15"/>
        <v>62.6</v>
      </c>
      <c r="AT77" s="12">
        <f t="shared" si="15"/>
        <v>40</v>
      </c>
      <c r="AU77" s="12">
        <f t="shared" si="27"/>
        <v>5.4000000000000057</v>
      </c>
      <c r="AV77" s="12">
        <f t="shared" si="15"/>
        <v>17.299999999999997</v>
      </c>
      <c r="AW77" s="12">
        <f t="shared" si="16"/>
        <v>1.3</v>
      </c>
      <c r="AX77" s="12">
        <f t="shared" si="28"/>
        <v>76</v>
      </c>
      <c r="AY77" s="9"/>
      <c r="AZ77" s="12">
        <f t="shared" si="17"/>
        <v>16</v>
      </c>
      <c r="BA77" s="12">
        <f t="shared" si="17"/>
        <v>25.3</v>
      </c>
      <c r="BB77" s="12">
        <f t="shared" si="17"/>
        <v>13.3</v>
      </c>
      <c r="BC77" s="12">
        <f t="shared" si="17"/>
        <v>9.3000000000000007</v>
      </c>
      <c r="BD77" s="12">
        <f t="shared" si="17"/>
        <v>4</v>
      </c>
      <c r="BE77" s="12">
        <f t="shared" si="19"/>
        <v>1.3</v>
      </c>
      <c r="BF77" s="12">
        <f t="shared" si="19"/>
        <v>4</v>
      </c>
      <c r="BG77" s="12">
        <f t="shared" si="19"/>
        <v>4</v>
      </c>
      <c r="BH77" s="12">
        <f t="shared" si="19"/>
        <v>60</v>
      </c>
      <c r="BI77" s="12">
        <f t="shared" si="20"/>
        <v>16</v>
      </c>
    </row>
    <row r="78" spans="1:61" ht="15.75" customHeight="1">
      <c r="A78" s="1" t="s">
        <v>175</v>
      </c>
      <c r="B78" s="3" t="s">
        <v>96</v>
      </c>
      <c r="C78" s="4" t="s">
        <v>8</v>
      </c>
      <c r="D78" s="4">
        <v>10</v>
      </c>
      <c r="E78" s="4">
        <v>112</v>
      </c>
      <c r="F78" s="4">
        <v>10</v>
      </c>
      <c r="G78" s="4">
        <v>112</v>
      </c>
      <c r="H78" s="4">
        <v>1</v>
      </c>
      <c r="I78" s="4">
        <v>0.498</v>
      </c>
      <c r="J78" s="4">
        <v>0.46700000000000003</v>
      </c>
      <c r="K78" s="4">
        <v>0.2</v>
      </c>
      <c r="L78" s="4">
        <v>0.46700000000000003</v>
      </c>
      <c r="M78" s="4">
        <v>3.7</v>
      </c>
      <c r="N78" s="4">
        <v>5.8</v>
      </c>
      <c r="O78" s="4">
        <v>13.9</v>
      </c>
      <c r="P78" s="4">
        <v>2.9</v>
      </c>
      <c r="Q78" s="4">
        <v>0</v>
      </c>
      <c r="R78" s="4">
        <v>54.9</v>
      </c>
      <c r="S78" s="4">
        <v>16.7</v>
      </c>
      <c r="T78" s="4">
        <v>54</v>
      </c>
      <c r="U78" s="4">
        <v>94</v>
      </c>
      <c r="V78" s="4"/>
      <c r="W78" s="4">
        <v>-0.5</v>
      </c>
      <c r="X78" s="4">
        <v>0.1</v>
      </c>
      <c r="Y78" s="4">
        <v>-0.4</v>
      </c>
      <c r="Z78" s="4">
        <v>-0.158</v>
      </c>
      <c r="AA78" s="13">
        <f>(I78/TOTAL_BASIC!$D$301)*100</f>
        <v>100.93208161130003</v>
      </c>
      <c r="AB78" s="5">
        <f t="shared" si="21"/>
        <v>0.54</v>
      </c>
      <c r="AC78" s="3">
        <f t="shared" si="1"/>
        <v>-40</v>
      </c>
      <c r="AD78" s="9">
        <f t="shared" si="22"/>
        <v>0.996</v>
      </c>
      <c r="AE78" s="16">
        <f t="shared" si="23"/>
        <v>0.83233532934131738</v>
      </c>
      <c r="AF78" s="16">
        <f t="shared" si="24"/>
        <v>0.25318761384335159</v>
      </c>
      <c r="AG78" s="9"/>
      <c r="AH78" s="9"/>
      <c r="AI78" s="12">
        <f t="shared" si="25"/>
        <v>1.3</v>
      </c>
      <c r="AJ78" s="12">
        <f t="shared" si="26"/>
        <v>0</v>
      </c>
      <c r="AK78" s="12">
        <f t="shared" si="26"/>
        <v>1.3</v>
      </c>
      <c r="AL78" s="12">
        <f t="shared" si="26"/>
        <v>57.3</v>
      </c>
      <c r="AM78" s="12">
        <f t="shared" si="26"/>
        <v>66.600000000000009</v>
      </c>
      <c r="AN78" s="12">
        <f t="shared" si="18"/>
        <v>64</v>
      </c>
      <c r="AO78" s="12">
        <f t="shared" si="14"/>
        <v>80</v>
      </c>
      <c r="AP78" s="12">
        <f t="shared" si="14"/>
        <v>25.3</v>
      </c>
      <c r="AQ78" s="12">
        <f t="shared" si="14"/>
        <v>12</v>
      </c>
      <c r="AR78" s="12">
        <f t="shared" si="14"/>
        <v>50.6</v>
      </c>
      <c r="AS78" s="12">
        <f t="shared" si="15"/>
        <v>62.6</v>
      </c>
      <c r="AT78" s="12">
        <f t="shared" si="15"/>
        <v>0</v>
      </c>
      <c r="AU78" s="12">
        <f t="shared" si="27"/>
        <v>0</v>
      </c>
      <c r="AV78" s="12">
        <f t="shared" si="15"/>
        <v>26.6</v>
      </c>
      <c r="AW78" s="12">
        <f t="shared" si="16"/>
        <v>0</v>
      </c>
      <c r="AX78" s="12">
        <f t="shared" si="28"/>
        <v>40</v>
      </c>
      <c r="AY78" s="9"/>
      <c r="AZ78" s="12">
        <f t="shared" si="17"/>
        <v>13.3</v>
      </c>
      <c r="BA78" s="12">
        <f t="shared" si="17"/>
        <v>18.600000000000001</v>
      </c>
      <c r="BB78" s="12">
        <f t="shared" si="17"/>
        <v>9.3000000000000007</v>
      </c>
      <c r="BC78" s="12">
        <f t="shared" si="17"/>
        <v>1.3</v>
      </c>
      <c r="BD78" s="12">
        <f t="shared" si="17"/>
        <v>57.3</v>
      </c>
      <c r="BE78" s="12">
        <f t="shared" si="19"/>
        <v>0</v>
      </c>
      <c r="BF78" s="12">
        <f t="shared" si="19"/>
        <v>1.3</v>
      </c>
      <c r="BG78" s="12">
        <f t="shared" si="19"/>
        <v>57.3</v>
      </c>
      <c r="BH78" s="12">
        <f t="shared" si="19"/>
        <v>65.3</v>
      </c>
      <c r="BI78" s="12">
        <f t="shared" si="20"/>
        <v>9.3000000000000007</v>
      </c>
    </row>
    <row r="79" spans="1:61" ht="15.75" customHeight="1">
      <c r="A79" s="1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13"/>
      <c r="AB79" s="5"/>
      <c r="AC79" s="3"/>
      <c r="AD79" s="9"/>
      <c r="AE79" s="16"/>
      <c r="AF79" s="16"/>
      <c r="AG79" s="9"/>
      <c r="AH79" s="9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9"/>
      <c r="AZ79" s="12"/>
      <c r="BA79" s="12"/>
      <c r="BB79" s="12"/>
      <c r="BC79" s="12"/>
      <c r="BD79" s="12"/>
      <c r="BE79" s="12"/>
      <c r="BF79" s="12"/>
      <c r="BG79" s="12"/>
      <c r="BH79" s="12"/>
      <c r="BI79" s="12"/>
    </row>
    <row r="80" spans="1:61" ht="15.75" customHeight="1">
      <c r="A80" s="1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13"/>
      <c r="AB80" s="5"/>
      <c r="AC80" s="3"/>
      <c r="AD80" s="9"/>
      <c r="AE80" s="16"/>
      <c r="AF80" s="16"/>
      <c r="AG80" s="9"/>
      <c r="AH80" s="9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9"/>
      <c r="AZ80" s="12"/>
      <c r="BA80" s="12"/>
      <c r="BB80" s="12"/>
      <c r="BC80" s="12"/>
      <c r="BD80" s="12"/>
      <c r="BE80" s="12"/>
      <c r="BF80" s="12"/>
      <c r="BG80" s="12"/>
      <c r="BH80" s="12"/>
      <c r="BI80" s="12"/>
    </row>
    <row r="81" spans="1:61" ht="15.75" customHeight="1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13"/>
      <c r="AB81" s="5"/>
      <c r="AC81" s="3"/>
      <c r="AD81" s="9"/>
      <c r="AE81" s="16"/>
      <c r="AF81" s="16"/>
      <c r="AG81" s="9"/>
      <c r="AH81" s="9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9"/>
      <c r="AZ81" s="12"/>
      <c r="BA81" s="12"/>
      <c r="BB81" s="12"/>
      <c r="BC81" s="12"/>
      <c r="BD81" s="12"/>
      <c r="BE81" s="12"/>
      <c r="BF81" s="12"/>
      <c r="BG81" s="12"/>
      <c r="BH81" s="12"/>
      <c r="BI81" s="12"/>
    </row>
    <row r="82" spans="1:61" ht="15.75" customHeight="1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13"/>
      <c r="AB82" s="5"/>
      <c r="AC82" s="3"/>
      <c r="AD82" s="9"/>
      <c r="AE82" s="16"/>
      <c r="AF82" s="16"/>
      <c r="AG82" s="9"/>
      <c r="AH82" s="9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9"/>
      <c r="AZ82" s="12"/>
      <c r="BA82" s="12"/>
      <c r="BB82" s="12"/>
      <c r="BC82" s="12"/>
      <c r="BD82" s="12"/>
      <c r="BE82" s="12"/>
      <c r="BF82" s="12"/>
      <c r="BG82" s="12"/>
      <c r="BH82" s="12"/>
      <c r="BI82" s="12"/>
    </row>
    <row r="83" spans="1:61" ht="15.75" customHeight="1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13"/>
      <c r="AB83" s="5"/>
      <c r="AC83" s="3"/>
      <c r="AD83" s="9"/>
      <c r="AE83" s="16"/>
      <c r="AF83" s="16"/>
      <c r="AG83" s="9"/>
      <c r="AH83" s="9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9"/>
      <c r="AZ83" s="12"/>
      <c r="BA83" s="12"/>
      <c r="BB83" s="12"/>
      <c r="BC83" s="12"/>
      <c r="BD83" s="12"/>
      <c r="BE83" s="12"/>
      <c r="BF83" s="12"/>
      <c r="BG83" s="12"/>
      <c r="BH83" s="12"/>
      <c r="BI83" s="12"/>
    </row>
    <row r="84" spans="1:61" ht="15.75" customHeight="1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13"/>
      <c r="AB84" s="5"/>
      <c r="AC84" s="3"/>
      <c r="AD84" s="9"/>
      <c r="AE84" s="16"/>
      <c r="AF84" s="16"/>
      <c r="AG84" s="9"/>
      <c r="AH84" s="9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9"/>
      <c r="AZ84" s="12"/>
      <c r="BA84" s="12"/>
      <c r="BB84" s="12"/>
      <c r="BC84" s="12"/>
      <c r="BD84" s="12"/>
      <c r="BE84" s="12"/>
      <c r="BF84" s="12"/>
      <c r="BG84" s="12"/>
      <c r="BH84" s="12"/>
      <c r="BI84" s="12"/>
    </row>
    <row r="85" spans="1:61" ht="15.75" customHeight="1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13"/>
      <c r="AB85" s="5"/>
      <c r="AC85" s="3"/>
      <c r="AD85" s="9"/>
      <c r="AE85" s="16"/>
      <c r="AF85" s="16"/>
      <c r="AG85" s="9"/>
      <c r="AH85" s="9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9"/>
      <c r="AZ85" s="12"/>
      <c r="BA85" s="12"/>
      <c r="BB85" s="12"/>
      <c r="BC85" s="12"/>
      <c r="BD85" s="12"/>
      <c r="BE85" s="12"/>
      <c r="BF85" s="12"/>
      <c r="BG85" s="12"/>
      <c r="BH85" s="12"/>
      <c r="BI85" s="12"/>
    </row>
    <row r="86" spans="1:61" ht="15.75" customHeight="1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13"/>
      <c r="AB86" s="5"/>
      <c r="AC86" s="3"/>
      <c r="AD86" s="9"/>
      <c r="AE86" s="16"/>
      <c r="AF86" s="16"/>
      <c r="AG86" s="9"/>
      <c r="AH86" s="9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9"/>
      <c r="AZ86" s="12"/>
      <c r="BA86" s="12"/>
      <c r="BB86" s="12"/>
      <c r="BC86" s="12"/>
      <c r="BD86" s="12"/>
      <c r="BE86" s="12"/>
      <c r="BF86" s="12"/>
      <c r="BG86" s="12"/>
      <c r="BH86" s="12"/>
      <c r="BI86" s="12"/>
    </row>
    <row r="87" spans="1:61" ht="15.75" customHeight="1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13"/>
      <c r="AB87" s="5"/>
      <c r="AC87" s="3"/>
      <c r="AD87" s="9"/>
      <c r="AE87" s="16"/>
      <c r="AF87" s="16"/>
      <c r="AG87" s="9"/>
      <c r="AH87" s="9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9"/>
      <c r="AZ87" s="12"/>
      <c r="BA87" s="12"/>
      <c r="BB87" s="12"/>
      <c r="BC87" s="12"/>
      <c r="BD87" s="12"/>
      <c r="BE87" s="12"/>
      <c r="BF87" s="12"/>
      <c r="BG87" s="12"/>
      <c r="BH87" s="12"/>
      <c r="BI87" s="12"/>
    </row>
    <row r="88" spans="1:61" ht="15.75" customHeight="1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13"/>
      <c r="AB88" s="5"/>
      <c r="AC88" s="3"/>
      <c r="AD88" s="9"/>
      <c r="AE88" s="16"/>
      <c r="AF88" s="16"/>
      <c r="AG88" s="9"/>
      <c r="AH88" s="9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9"/>
      <c r="AZ88" s="12"/>
      <c r="BA88" s="12"/>
      <c r="BB88" s="12"/>
      <c r="BC88" s="12"/>
      <c r="BD88" s="12"/>
      <c r="BE88" s="12"/>
      <c r="BF88" s="12"/>
      <c r="BG88" s="12"/>
      <c r="BH88" s="12"/>
      <c r="BI88" s="12"/>
    </row>
    <row r="89" spans="1:61" ht="15.75" customHeight="1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13"/>
      <c r="AB89" s="5"/>
      <c r="AC89" s="3"/>
      <c r="AD89" s="9"/>
      <c r="AE89" s="16"/>
      <c r="AF89" s="16"/>
      <c r="AG89" s="9"/>
      <c r="AH89" s="9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9"/>
      <c r="AZ89" s="12"/>
      <c r="BA89" s="12"/>
      <c r="BB89" s="12"/>
      <c r="BC89" s="12"/>
      <c r="BD89" s="12"/>
      <c r="BE89" s="12"/>
      <c r="BF89" s="12"/>
      <c r="BG89" s="12"/>
      <c r="BH89" s="12"/>
      <c r="BI89" s="12"/>
    </row>
    <row r="90" spans="1:61" ht="15.75" customHeight="1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13"/>
      <c r="AB90" s="5"/>
      <c r="AC90" s="3"/>
      <c r="AD90" s="9"/>
      <c r="AE90" s="16"/>
      <c r="AF90" s="16"/>
      <c r="AG90" s="9"/>
      <c r="AH90" s="9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9"/>
      <c r="AZ90" s="12"/>
      <c r="BA90" s="12"/>
      <c r="BB90" s="12"/>
      <c r="BC90" s="12"/>
      <c r="BD90" s="12"/>
      <c r="BE90" s="12"/>
      <c r="BF90" s="12"/>
      <c r="BG90" s="12"/>
      <c r="BH90" s="12"/>
      <c r="BI90" s="12"/>
    </row>
    <row r="91" spans="1:61" ht="15.75" customHeight="1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13"/>
      <c r="AB91" s="5"/>
      <c r="AC91" s="3"/>
      <c r="AD91" s="9"/>
      <c r="AE91" s="16"/>
      <c r="AF91" s="16"/>
      <c r="AG91" s="9"/>
      <c r="AH91" s="9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9"/>
      <c r="AZ91" s="12"/>
      <c r="BA91" s="12"/>
      <c r="BB91" s="12"/>
      <c r="BC91" s="12"/>
      <c r="BD91" s="12"/>
      <c r="BE91" s="12"/>
      <c r="BF91" s="12"/>
      <c r="BG91" s="12"/>
      <c r="BH91" s="12"/>
      <c r="BI91" s="12"/>
    </row>
    <row r="92" spans="1:61" ht="15.75" customHeight="1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13"/>
      <c r="AB92" s="5"/>
      <c r="AC92" s="3"/>
      <c r="AD92" s="9"/>
      <c r="AE92" s="16"/>
      <c r="AF92" s="16"/>
      <c r="AG92" s="9"/>
      <c r="AH92" s="9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9"/>
      <c r="AZ92" s="12"/>
      <c r="BA92" s="12"/>
      <c r="BB92" s="12"/>
      <c r="BC92" s="12"/>
      <c r="BD92" s="12"/>
      <c r="BE92" s="12"/>
      <c r="BF92" s="12"/>
      <c r="BG92" s="12"/>
      <c r="BH92" s="12"/>
      <c r="BI92" s="12"/>
    </row>
    <row r="93" spans="1:61" ht="15.75" customHeight="1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13"/>
      <c r="AB93" s="5"/>
      <c r="AC93" s="3"/>
      <c r="AD93" s="9"/>
      <c r="AE93" s="16"/>
      <c r="AF93" s="16"/>
      <c r="AG93" s="9"/>
      <c r="AH93" s="9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9"/>
      <c r="AZ93" s="12"/>
      <c r="BA93" s="12"/>
      <c r="BB93" s="12"/>
      <c r="BC93" s="12"/>
      <c r="BD93" s="12"/>
      <c r="BE93" s="12"/>
      <c r="BF93" s="12"/>
      <c r="BG93" s="12"/>
      <c r="BH93" s="12"/>
      <c r="BI93" s="12"/>
    </row>
    <row r="94" spans="1:61" ht="15.75" customHeight="1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13"/>
      <c r="AB94" s="5"/>
      <c r="AC94" s="3"/>
      <c r="AD94" s="9"/>
      <c r="AE94" s="16"/>
      <c r="AF94" s="16"/>
      <c r="AG94" s="9"/>
      <c r="AH94" s="9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9"/>
      <c r="AZ94" s="12"/>
      <c r="BA94" s="12"/>
      <c r="BB94" s="12"/>
      <c r="BC94" s="12"/>
      <c r="BD94" s="12"/>
      <c r="BE94" s="12"/>
      <c r="BF94" s="12"/>
      <c r="BG94" s="12"/>
      <c r="BH94" s="12"/>
      <c r="BI94" s="12"/>
    </row>
    <row r="95" spans="1:61" ht="15.75" customHeight="1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13"/>
      <c r="AB95" s="5"/>
      <c r="AC95" s="3"/>
      <c r="AD95" s="9"/>
      <c r="AE95" s="16"/>
      <c r="AF95" s="16"/>
      <c r="AG95" s="9"/>
      <c r="AH95" s="9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9"/>
      <c r="AZ95" s="12"/>
      <c r="BA95" s="12"/>
      <c r="BB95" s="12"/>
      <c r="BC95" s="12"/>
      <c r="BD95" s="12"/>
      <c r="BE95" s="12"/>
      <c r="BF95" s="12"/>
      <c r="BG95" s="12"/>
      <c r="BH95" s="12"/>
      <c r="BI95" s="12"/>
    </row>
    <row r="96" spans="1:61" ht="15.75" customHeight="1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13"/>
      <c r="AB96" s="5"/>
      <c r="AC96" s="3"/>
      <c r="AD96" s="9"/>
      <c r="AE96" s="16"/>
      <c r="AF96" s="16"/>
      <c r="AG96" s="9"/>
      <c r="AH96" s="9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9"/>
      <c r="AZ96" s="12"/>
      <c r="BA96" s="12"/>
      <c r="BB96" s="12"/>
      <c r="BC96" s="12"/>
      <c r="BD96" s="12"/>
      <c r="BE96" s="12"/>
      <c r="BF96" s="12"/>
      <c r="BG96" s="12"/>
      <c r="BH96" s="12"/>
      <c r="BI96" s="12"/>
    </row>
    <row r="97" spans="1:61" ht="15.75" customHeight="1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13"/>
      <c r="AB97" s="5"/>
      <c r="AC97" s="3"/>
      <c r="AD97" s="9"/>
      <c r="AE97" s="16"/>
      <c r="AF97" s="16"/>
      <c r="AG97" s="9"/>
      <c r="AH97" s="9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9"/>
      <c r="AZ97" s="12"/>
      <c r="BA97" s="12"/>
      <c r="BB97" s="12"/>
      <c r="BC97" s="12"/>
      <c r="BD97" s="12"/>
      <c r="BE97" s="12"/>
      <c r="BF97" s="12"/>
      <c r="BG97" s="12"/>
      <c r="BH97" s="12"/>
      <c r="BI97" s="12"/>
    </row>
    <row r="98" spans="1:61" ht="15.75" customHeight="1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13"/>
      <c r="AB98" s="5"/>
      <c r="AC98" s="3"/>
      <c r="AD98" s="9"/>
      <c r="AE98" s="16"/>
      <c r="AF98" s="16"/>
      <c r="AG98" s="9"/>
      <c r="AH98" s="9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9"/>
      <c r="AZ98" s="12"/>
      <c r="BA98" s="12"/>
      <c r="BB98" s="12"/>
      <c r="BC98" s="12"/>
      <c r="BD98" s="12"/>
      <c r="BE98" s="12"/>
      <c r="BF98" s="12"/>
      <c r="BG98" s="12"/>
      <c r="BH98" s="12"/>
      <c r="BI98" s="12"/>
    </row>
    <row r="99" spans="1:61" ht="15.75" customHeight="1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13"/>
      <c r="AB99" s="5"/>
      <c r="AC99" s="3"/>
      <c r="AD99" s="9"/>
      <c r="AE99" s="16"/>
      <c r="AF99" s="16"/>
      <c r="AG99" s="9"/>
      <c r="AH99" s="9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9"/>
      <c r="AZ99" s="12"/>
      <c r="BA99" s="12"/>
      <c r="BB99" s="12"/>
      <c r="BC99" s="12"/>
      <c r="BD99" s="12"/>
      <c r="BE99" s="12"/>
      <c r="BF99" s="12"/>
      <c r="BG99" s="12"/>
      <c r="BH99" s="12"/>
      <c r="BI99" s="12"/>
    </row>
    <row r="100" spans="1:61" ht="15.75" customHeight="1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13"/>
      <c r="AB100" s="5"/>
      <c r="AC100" s="3"/>
      <c r="AD100" s="9"/>
      <c r="AE100" s="16"/>
      <c r="AF100" s="16"/>
      <c r="AG100" s="9"/>
      <c r="AH100" s="9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9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</row>
    <row r="101" spans="1:61" ht="15.75" customHeight="1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13"/>
      <c r="AB101" s="5"/>
      <c r="AC101" s="3"/>
      <c r="AD101" s="9"/>
      <c r="AE101" s="16"/>
      <c r="AF101" s="16"/>
      <c r="AG101" s="9"/>
      <c r="AH101" s="9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9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</row>
    <row r="102" spans="1:61" ht="15.75" customHeight="1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13"/>
      <c r="AB102" s="5"/>
      <c r="AC102" s="3"/>
      <c r="AD102" s="9"/>
      <c r="AE102" s="16"/>
      <c r="AF102" s="16"/>
      <c r="AG102" s="9"/>
      <c r="AH102" s="9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9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</row>
    <row r="103" spans="1:61" ht="15.75" customHeight="1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13"/>
      <c r="AB103" s="5"/>
      <c r="AC103" s="3"/>
      <c r="AD103" s="9"/>
      <c r="AE103" s="16"/>
      <c r="AF103" s="16"/>
      <c r="AG103" s="9"/>
      <c r="AH103" s="9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9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</row>
    <row r="104" spans="1:61" ht="15.75" customHeight="1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13"/>
      <c r="AB104" s="5"/>
      <c r="AC104" s="3"/>
      <c r="AD104" s="9"/>
      <c r="AE104" s="16"/>
      <c r="AF104" s="16"/>
      <c r="AG104" s="9"/>
      <c r="AH104" s="9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9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</row>
    <row r="105" spans="1:61" ht="15.75" customHeight="1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13"/>
      <c r="AB105" s="5"/>
      <c r="AC105" s="3"/>
      <c r="AD105" s="9"/>
      <c r="AE105" s="16"/>
      <c r="AF105" s="16"/>
      <c r="AG105" s="9"/>
      <c r="AH105" s="9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9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</row>
    <row r="106" spans="1:61" ht="15.75" customHeight="1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13"/>
      <c r="AB106" s="5"/>
      <c r="AC106" s="3"/>
      <c r="AD106" s="9"/>
      <c r="AE106" s="16"/>
      <c r="AF106" s="16"/>
      <c r="AG106" s="9"/>
      <c r="AH106" s="9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9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</row>
    <row r="107" spans="1:61" ht="15.75" customHeight="1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13"/>
      <c r="AB107" s="5"/>
      <c r="AC107" s="3"/>
      <c r="AD107" s="9"/>
      <c r="AE107" s="16"/>
      <c r="AF107" s="16"/>
      <c r="AG107" s="9"/>
      <c r="AH107" s="9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9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</row>
    <row r="108" spans="1:61" ht="15.75" customHeight="1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13"/>
      <c r="AB108" s="5"/>
      <c r="AC108" s="3"/>
      <c r="AD108" s="9"/>
      <c r="AE108" s="16"/>
      <c r="AF108" s="16"/>
      <c r="AG108" s="9"/>
      <c r="AH108" s="9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9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</row>
    <row r="109" spans="1:61" ht="15.75" customHeight="1">
      <c r="A109" s="1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13"/>
      <c r="AB109" s="5"/>
      <c r="AC109" s="3"/>
      <c r="AD109" s="9"/>
      <c r="AE109" s="16"/>
      <c r="AF109" s="16"/>
      <c r="AG109" s="9"/>
      <c r="AH109" s="9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9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</row>
    <row r="110" spans="1:61" ht="15.75" customHeight="1">
      <c r="A110" s="1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13"/>
      <c r="AB110" s="5"/>
      <c r="AC110" s="3"/>
      <c r="AD110" s="9"/>
      <c r="AE110" s="16"/>
      <c r="AF110" s="16"/>
      <c r="AG110" s="9"/>
      <c r="AH110" s="9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9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</row>
    <row r="111" spans="1:61" ht="15.75" customHeight="1">
      <c r="A111" s="1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13"/>
      <c r="AB111" s="5"/>
      <c r="AC111" s="3"/>
      <c r="AD111" s="9"/>
      <c r="AE111" s="16"/>
      <c r="AF111" s="16"/>
      <c r="AG111" s="9"/>
      <c r="AH111" s="9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9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</row>
    <row r="112" spans="1:61" ht="15.75" customHeight="1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13"/>
      <c r="AB112" s="5"/>
      <c r="AC112" s="3"/>
      <c r="AD112" s="9"/>
      <c r="AE112" s="16"/>
      <c r="AF112" s="16"/>
      <c r="AG112" s="9"/>
      <c r="AH112" s="9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9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</row>
    <row r="113" spans="1:61" ht="15.75" customHeight="1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13"/>
      <c r="AB113" s="5"/>
      <c r="AC113" s="3"/>
      <c r="AD113" s="9"/>
      <c r="AE113" s="16"/>
      <c r="AF113" s="16"/>
      <c r="AG113" s="9"/>
      <c r="AH113" s="9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9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</row>
    <row r="114" spans="1:61" ht="15.75" customHeight="1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13"/>
      <c r="AB114" s="5"/>
      <c r="AC114" s="3"/>
      <c r="AD114" s="9"/>
      <c r="AE114" s="16"/>
      <c r="AF114" s="16"/>
      <c r="AG114" s="9"/>
      <c r="AH114" s="9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9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</row>
    <row r="115" spans="1:61" ht="15.75" customHeight="1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13"/>
      <c r="AB115" s="5"/>
      <c r="AC115" s="3"/>
      <c r="AD115" s="9"/>
      <c r="AE115" s="16"/>
      <c r="AF115" s="16"/>
      <c r="AG115" s="9"/>
      <c r="AH115" s="9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9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</row>
    <row r="116" spans="1:61" ht="15.75" customHeight="1">
      <c r="A116" s="1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13"/>
      <c r="AB116" s="5"/>
      <c r="AC116" s="3"/>
      <c r="AD116" s="9"/>
      <c r="AE116" s="16"/>
      <c r="AF116" s="16"/>
      <c r="AG116" s="9"/>
      <c r="AH116" s="9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9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</row>
    <row r="117" spans="1:61" ht="15.75" customHeight="1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13"/>
      <c r="AB117" s="5"/>
      <c r="AC117" s="3"/>
      <c r="AD117" s="9"/>
      <c r="AE117" s="16"/>
      <c r="AF117" s="16"/>
      <c r="AG117" s="9"/>
      <c r="AH117" s="9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9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</row>
    <row r="118" spans="1:61" ht="15.75" customHeight="1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13"/>
      <c r="AB118" s="5"/>
      <c r="AC118" s="3"/>
      <c r="AD118" s="9"/>
      <c r="AE118" s="16"/>
      <c r="AF118" s="16"/>
      <c r="AG118" s="9"/>
      <c r="AH118" s="9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9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</row>
    <row r="119" spans="1:61" ht="15.75" customHeight="1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13"/>
      <c r="AB119" s="5"/>
      <c r="AC119" s="3"/>
      <c r="AD119" s="9"/>
      <c r="AE119" s="16"/>
      <c r="AF119" s="16"/>
      <c r="AG119" s="9"/>
      <c r="AH119" s="9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9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</row>
    <row r="120" spans="1:61" ht="15.75" customHeight="1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13"/>
      <c r="AB120" s="5"/>
      <c r="AC120" s="3"/>
      <c r="AD120" s="9"/>
      <c r="AE120" s="16"/>
      <c r="AF120" s="16"/>
      <c r="AG120" s="9"/>
      <c r="AH120" s="9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9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</row>
    <row r="121" spans="1:61" ht="15.75" customHeight="1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13"/>
      <c r="AB121" s="5"/>
      <c r="AC121" s="3"/>
      <c r="AD121" s="9"/>
      <c r="AE121" s="16"/>
      <c r="AF121" s="16"/>
      <c r="AG121" s="9"/>
      <c r="AH121" s="9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9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</row>
    <row r="122" spans="1:61" ht="15.75" customHeight="1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13"/>
      <c r="AB122" s="5"/>
      <c r="AC122" s="3"/>
      <c r="AD122" s="9"/>
      <c r="AE122" s="16"/>
      <c r="AF122" s="16"/>
      <c r="AG122" s="9"/>
      <c r="AH122" s="9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9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</row>
    <row r="123" spans="1:61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13"/>
      <c r="AB123" s="5"/>
      <c r="AC123" s="3"/>
      <c r="AD123" s="9"/>
      <c r="AE123" s="16"/>
      <c r="AF123" s="16"/>
      <c r="AG123" s="9"/>
      <c r="AH123" s="9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9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</row>
    <row r="124" spans="1:61" ht="15.75" customHeight="1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13"/>
      <c r="AB124" s="5"/>
      <c r="AC124" s="3"/>
      <c r="AD124" s="9"/>
      <c r="AE124" s="16"/>
      <c r="AF124" s="16"/>
      <c r="AG124" s="9"/>
      <c r="AH124" s="9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9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</row>
    <row r="125" spans="1:61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13"/>
      <c r="AB125" s="5"/>
      <c r="AC125" s="3"/>
      <c r="AD125" s="9"/>
      <c r="AE125" s="16"/>
      <c r="AF125" s="16"/>
      <c r="AG125" s="9"/>
      <c r="AH125" s="9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9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</row>
    <row r="126" spans="1:61" ht="15.75" customHeight="1">
      <c r="A126" s="1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13"/>
      <c r="AB126" s="5"/>
      <c r="AC126" s="3"/>
      <c r="AD126" s="9"/>
      <c r="AE126" s="16"/>
      <c r="AF126" s="16"/>
      <c r="AG126" s="9"/>
      <c r="AH126" s="9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9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</row>
    <row r="127" spans="1:61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13"/>
      <c r="AB127" s="5"/>
      <c r="AC127" s="3"/>
      <c r="AD127" s="9"/>
      <c r="AE127" s="16"/>
      <c r="AF127" s="16"/>
      <c r="AG127" s="9"/>
      <c r="AH127" s="9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9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</row>
    <row r="128" spans="1:61" ht="15.75" customHeight="1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13"/>
      <c r="AB128" s="5"/>
      <c r="AC128" s="3"/>
      <c r="AD128" s="9"/>
      <c r="AE128" s="16"/>
      <c r="AF128" s="16"/>
      <c r="AG128" s="9"/>
      <c r="AH128" s="9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9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</row>
    <row r="129" spans="1:61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3"/>
      <c r="AB129" s="5"/>
      <c r="AC129" s="3"/>
      <c r="AD129" s="9"/>
      <c r="AE129" s="16"/>
      <c r="AF129" s="16"/>
      <c r="AG129" s="9"/>
      <c r="AH129" s="9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9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</row>
    <row r="130" spans="1:61" ht="15.75" customHeight="1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3"/>
      <c r="AB130" s="5"/>
      <c r="AC130" s="3"/>
      <c r="AD130" s="9"/>
      <c r="AE130" s="16"/>
      <c r="AF130" s="16"/>
      <c r="AG130" s="9"/>
      <c r="AH130" s="9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9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</row>
    <row r="131" spans="1:61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3"/>
      <c r="AB131" s="5"/>
      <c r="AC131" s="3"/>
      <c r="AD131" s="9"/>
      <c r="AE131" s="16"/>
      <c r="AF131" s="16"/>
      <c r="AG131" s="9"/>
      <c r="AH131" s="9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9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</row>
    <row r="132" spans="1:61" ht="15.75" customHeight="1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3"/>
      <c r="AB132" s="5"/>
      <c r="AC132" s="3"/>
      <c r="AD132" s="9"/>
      <c r="AE132" s="16"/>
      <c r="AF132" s="16"/>
      <c r="AG132" s="9"/>
      <c r="AH132" s="9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9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</row>
    <row r="133" spans="1:61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3"/>
      <c r="AB133" s="5"/>
      <c r="AC133" s="3"/>
      <c r="AD133" s="9"/>
      <c r="AE133" s="16"/>
      <c r="AF133" s="16"/>
      <c r="AG133" s="9"/>
      <c r="AH133" s="9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9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</row>
    <row r="134" spans="1:61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7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28</v>
      </c>
      <c r="E4" s="4">
        <v>1051</v>
      </c>
      <c r="F4" s="4">
        <v>28</v>
      </c>
      <c r="G4" s="4">
        <v>1051</v>
      </c>
      <c r="H4" s="4">
        <v>0.35199999999999998</v>
      </c>
      <c r="I4" s="4">
        <v>12.1</v>
      </c>
      <c r="J4" s="4"/>
      <c r="K4" s="4">
        <v>0.81100000000000005</v>
      </c>
      <c r="L4" s="4">
        <v>0.30099999999999999</v>
      </c>
      <c r="M4" s="4">
        <v>7.0999999999999994E-2</v>
      </c>
      <c r="N4" s="4">
        <v>0.27600000000000002</v>
      </c>
      <c r="O4" s="4">
        <v>0.17899999999999999</v>
      </c>
      <c r="P4" s="4">
        <v>0.189</v>
      </c>
      <c r="Q4" s="4"/>
      <c r="R4" s="4">
        <v>0.39</v>
      </c>
      <c r="S4" s="4">
        <v>0.40699999999999997</v>
      </c>
      <c r="T4" s="4">
        <v>0.28599999999999998</v>
      </c>
      <c r="U4" s="4">
        <v>0.35199999999999998</v>
      </c>
      <c r="V4" s="4">
        <v>0.48599999999999999</v>
      </c>
      <c r="W4" s="4">
        <v>0.189</v>
      </c>
      <c r="X4" s="4"/>
      <c r="Y4" s="4">
        <v>0.38700000000000001</v>
      </c>
      <c r="Z4" s="4">
        <v>0.42899999999999999</v>
      </c>
      <c r="AA4" s="4"/>
      <c r="AB4" s="4">
        <v>0</v>
      </c>
      <c r="AC4" s="4">
        <v>0</v>
      </c>
      <c r="AD4" s="10">
        <f>(K4*Y4+P4*Z4)</f>
        <v>0.39493800000000007</v>
      </c>
      <c r="AE4" s="9"/>
      <c r="AF4" s="9"/>
      <c r="AG4" s="12">
        <f>(PERCENTRANK(F$4:F$298,F4))*100</f>
        <v>40</v>
      </c>
      <c r="AH4" s="12">
        <f t="shared" ref="AH4:AX19" si="0">(PERCENTRANK(G$4:G$298,G4))*100</f>
        <v>100</v>
      </c>
      <c r="AI4" s="12">
        <f t="shared" si="0"/>
        <v>20</v>
      </c>
      <c r="AJ4" s="12">
        <f t="shared" si="0"/>
        <v>81.3</v>
      </c>
      <c r="AK4" s="12"/>
      <c r="AL4" s="12">
        <f t="shared" si="0"/>
        <v>40</v>
      </c>
      <c r="AM4" s="12">
        <f t="shared" si="0"/>
        <v>41.3</v>
      </c>
      <c r="AN4" s="12">
        <f t="shared" si="0"/>
        <v>9.3000000000000007</v>
      </c>
      <c r="AO4" s="12">
        <f t="shared" si="0"/>
        <v>82.6</v>
      </c>
      <c r="AP4" s="12">
        <f t="shared" si="0"/>
        <v>98.6</v>
      </c>
      <c r="AQ4" s="12">
        <f t="shared" si="0"/>
        <v>60</v>
      </c>
      <c r="AR4" s="12"/>
      <c r="AS4" s="12">
        <f t="shared" si="0"/>
        <v>26.6</v>
      </c>
      <c r="AT4" s="12">
        <f t="shared" si="0"/>
        <v>12</v>
      </c>
      <c r="AU4" s="12">
        <f t="shared" si="0"/>
        <v>29.299999999999997</v>
      </c>
      <c r="AV4" s="12">
        <f t="shared" si="0"/>
        <v>64</v>
      </c>
      <c r="AW4" s="12">
        <f t="shared" si="0"/>
        <v>66.600000000000009</v>
      </c>
      <c r="AX4" s="12">
        <f t="shared" si="0"/>
        <v>33.300000000000004</v>
      </c>
      <c r="AY4" s="12"/>
      <c r="AZ4" s="12">
        <f>100-(PERCENTRANK(Y$4:Y$298,Y4))*100</f>
        <v>84</v>
      </c>
      <c r="BA4" s="12">
        <f>100-(PERCENTRANK(Z$4:Z$298,Z4))*100</f>
        <v>77.400000000000006</v>
      </c>
      <c r="BB4" s="12"/>
      <c r="BC4" s="12">
        <f>(PERCENTRANK(AB$4:AB$298,AB4))*100</f>
        <v>0</v>
      </c>
      <c r="BD4" s="12">
        <f>(PERCENTRANK(AC$4:AC$298,AC4))*100</f>
        <v>0</v>
      </c>
      <c r="BE4" s="12">
        <f>100-(PERCENTRANK(AD$4:AD$298,AD4))*100</f>
        <v>94.7</v>
      </c>
    </row>
    <row r="5" spans="1:57" ht="14.25">
      <c r="A5" s="1" t="s">
        <v>87</v>
      </c>
      <c r="B5" s="3" t="s">
        <v>88</v>
      </c>
      <c r="C5" s="4" t="s">
        <v>8</v>
      </c>
      <c r="D5" s="4">
        <v>28</v>
      </c>
      <c r="E5" s="4">
        <v>1011</v>
      </c>
      <c r="F5" s="4">
        <v>28</v>
      </c>
      <c r="G5" s="4">
        <v>1011</v>
      </c>
      <c r="H5" s="4">
        <v>0.44700000000000001</v>
      </c>
      <c r="I5" s="4">
        <v>9.1999999999999993</v>
      </c>
      <c r="J5" s="4"/>
      <c r="K5" s="4">
        <v>0.80600000000000005</v>
      </c>
      <c r="L5" s="4">
        <v>0.35099999999999998</v>
      </c>
      <c r="M5" s="4">
        <v>0.19700000000000001</v>
      </c>
      <c r="N5" s="4">
        <v>0.21</v>
      </c>
      <c r="O5" s="4">
        <v>4.8000000000000001E-2</v>
      </c>
      <c r="P5" s="4">
        <v>0.19400000000000001</v>
      </c>
      <c r="Q5" s="4"/>
      <c r="R5" s="4">
        <v>0.47599999999999998</v>
      </c>
      <c r="S5" s="4">
        <v>0.63300000000000001</v>
      </c>
      <c r="T5" s="4">
        <v>0.372</v>
      </c>
      <c r="U5" s="4">
        <v>0.33700000000000002</v>
      </c>
      <c r="V5" s="4">
        <v>0.36799999999999999</v>
      </c>
      <c r="W5" s="4">
        <v>0.32500000000000001</v>
      </c>
      <c r="X5" s="4"/>
      <c r="Y5" s="4">
        <v>0.434</v>
      </c>
      <c r="Z5" s="4">
        <v>0.8</v>
      </c>
      <c r="AA5" s="4"/>
      <c r="AB5" s="4">
        <v>2.5999999999999999E-2</v>
      </c>
      <c r="AC5" s="4">
        <v>0</v>
      </c>
      <c r="AD5" s="10">
        <f t="shared" ref="AD5:AD68" si="1">(K5*Y5+P5*Z5)</f>
        <v>0.50500400000000001</v>
      </c>
      <c r="AE5" s="9"/>
      <c r="AF5" s="9"/>
      <c r="AG5" s="12">
        <f t="shared" ref="AG5:AJ68" si="2">(PERCENTRANK(F$4:F$298,F5))*100</f>
        <v>40</v>
      </c>
      <c r="AH5" s="12">
        <f t="shared" si="0"/>
        <v>98.6</v>
      </c>
      <c r="AI5" s="12">
        <f t="shared" si="0"/>
        <v>69.3</v>
      </c>
      <c r="AJ5" s="12">
        <f t="shared" si="0"/>
        <v>48</v>
      </c>
      <c r="AK5" s="12"/>
      <c r="AL5" s="12">
        <f t="shared" si="0"/>
        <v>38.6</v>
      </c>
      <c r="AM5" s="12">
        <f t="shared" si="0"/>
        <v>60</v>
      </c>
      <c r="AN5" s="12">
        <f t="shared" si="0"/>
        <v>53.300000000000004</v>
      </c>
      <c r="AO5" s="12">
        <f t="shared" si="0"/>
        <v>61.3</v>
      </c>
      <c r="AP5" s="12">
        <f t="shared" si="0"/>
        <v>54.6</v>
      </c>
      <c r="AQ5" s="12">
        <f t="shared" si="0"/>
        <v>61.3</v>
      </c>
      <c r="AR5" s="12"/>
      <c r="AS5" s="12">
        <f t="shared" si="0"/>
        <v>76</v>
      </c>
      <c r="AT5" s="12">
        <f t="shared" si="0"/>
        <v>82.6</v>
      </c>
      <c r="AU5" s="12">
        <f t="shared" si="0"/>
        <v>50.6</v>
      </c>
      <c r="AV5" s="12">
        <f t="shared" si="0"/>
        <v>57.3</v>
      </c>
      <c r="AW5" s="12">
        <f t="shared" si="0"/>
        <v>44</v>
      </c>
      <c r="AX5" s="12">
        <f t="shared" si="0"/>
        <v>72</v>
      </c>
      <c r="AY5" s="12"/>
      <c r="AZ5" s="12">
        <f t="shared" ref="AZ5:AZ68" si="3">100-(PERCENTRANK(Y$4:Y$298,Y5))*100</f>
        <v>81.400000000000006</v>
      </c>
      <c r="BA5" s="12">
        <f t="shared" ref="BA5:BA68" si="4">100-(PERCENTRANK(Z$4:Z$298,Z5))*100</f>
        <v>50.7</v>
      </c>
      <c r="BB5" s="12"/>
      <c r="BC5" s="12">
        <f t="shared" ref="BC5:BC68" si="5">(PERCENTRANK(AB$4:AB$298,AB5))*100</f>
        <v>80</v>
      </c>
      <c r="BD5" s="12">
        <f t="shared" ref="BD5:BD68" si="6">(PERCENTRANK(AC$4:AC$298,AC5))*100</f>
        <v>0</v>
      </c>
      <c r="BE5" s="12">
        <f t="shared" ref="BE5:BE68" si="7">100-(PERCENTRANK(AD$4:AD$298,AD5))*100</f>
        <v>84</v>
      </c>
    </row>
    <row r="6" spans="1:57" ht="14.25">
      <c r="A6" s="1" t="s">
        <v>89</v>
      </c>
      <c r="B6" s="3" t="s">
        <v>90</v>
      </c>
      <c r="C6" s="4" t="s">
        <v>8</v>
      </c>
      <c r="D6" s="4">
        <v>28</v>
      </c>
      <c r="E6" s="4">
        <v>982</v>
      </c>
      <c r="F6" s="4">
        <v>28</v>
      </c>
      <c r="G6" s="4">
        <v>982</v>
      </c>
      <c r="H6" s="4">
        <v>0.47</v>
      </c>
      <c r="I6" s="4">
        <v>11.6</v>
      </c>
      <c r="J6" s="4"/>
      <c r="K6" s="4">
        <v>0.60099999999999998</v>
      </c>
      <c r="L6" s="4">
        <v>0.315</v>
      </c>
      <c r="M6" s="4">
        <v>0.11600000000000001</v>
      </c>
      <c r="N6" s="4">
        <v>0.11799999999999999</v>
      </c>
      <c r="O6" s="4">
        <v>3.2000000000000001E-2</v>
      </c>
      <c r="P6" s="4">
        <v>0.39900000000000002</v>
      </c>
      <c r="Q6" s="4"/>
      <c r="R6" s="4">
        <v>0.50800000000000001</v>
      </c>
      <c r="S6" s="4">
        <v>0.58599999999999997</v>
      </c>
      <c r="T6" s="4">
        <v>0.38300000000000001</v>
      </c>
      <c r="U6" s="4">
        <v>0.41699999999999998</v>
      </c>
      <c r="V6" s="4">
        <v>0.46200000000000002</v>
      </c>
      <c r="W6" s="4">
        <v>0.41399999999999998</v>
      </c>
      <c r="X6" s="4"/>
      <c r="Y6" s="4">
        <v>0.13700000000000001</v>
      </c>
      <c r="Z6" s="4">
        <v>0.71599999999999997</v>
      </c>
      <c r="AA6" s="4"/>
      <c r="AB6" s="4">
        <v>6.0000000000000001E-3</v>
      </c>
      <c r="AC6" s="4">
        <v>0</v>
      </c>
      <c r="AD6" s="10">
        <f t="shared" si="1"/>
        <v>0.36802099999999999</v>
      </c>
      <c r="AE6" s="9"/>
      <c r="AF6" s="9"/>
      <c r="AG6" s="12">
        <f t="shared" si="2"/>
        <v>40</v>
      </c>
      <c r="AH6" s="12">
        <f t="shared" si="0"/>
        <v>97.3</v>
      </c>
      <c r="AI6" s="12">
        <f t="shared" si="0"/>
        <v>85.3</v>
      </c>
      <c r="AJ6" s="12">
        <f t="shared" si="0"/>
        <v>73.3</v>
      </c>
      <c r="AK6" s="12"/>
      <c r="AL6" s="12">
        <f t="shared" si="0"/>
        <v>17.299999999999997</v>
      </c>
      <c r="AM6" s="12">
        <f t="shared" si="0"/>
        <v>46.6</v>
      </c>
      <c r="AN6" s="12">
        <f t="shared" si="0"/>
        <v>21.3</v>
      </c>
      <c r="AO6" s="12">
        <f t="shared" si="0"/>
        <v>18.600000000000001</v>
      </c>
      <c r="AP6" s="12">
        <f t="shared" si="0"/>
        <v>32</v>
      </c>
      <c r="AQ6" s="12">
        <f t="shared" si="0"/>
        <v>82.6</v>
      </c>
      <c r="AR6" s="12"/>
      <c r="AS6" s="12">
        <f t="shared" si="0"/>
        <v>88</v>
      </c>
      <c r="AT6" s="12">
        <f t="shared" si="0"/>
        <v>68</v>
      </c>
      <c r="AU6" s="12">
        <f t="shared" si="0"/>
        <v>57.3</v>
      </c>
      <c r="AV6" s="12">
        <f t="shared" si="0"/>
        <v>81.3</v>
      </c>
      <c r="AW6" s="12">
        <f t="shared" si="0"/>
        <v>64</v>
      </c>
      <c r="AX6" s="12">
        <f t="shared" si="0"/>
        <v>89.3</v>
      </c>
      <c r="AY6" s="12"/>
      <c r="AZ6" s="12">
        <f t="shared" si="3"/>
        <v>100</v>
      </c>
      <c r="BA6" s="12">
        <f t="shared" si="4"/>
        <v>64</v>
      </c>
      <c r="BB6" s="12"/>
      <c r="BC6" s="12">
        <f t="shared" si="5"/>
        <v>68</v>
      </c>
      <c r="BD6" s="12">
        <f t="shared" si="6"/>
        <v>0</v>
      </c>
      <c r="BE6" s="12">
        <f t="shared" si="7"/>
        <v>97.4</v>
      </c>
    </row>
    <row r="7" spans="1:57" ht="14.25">
      <c r="A7" s="1" t="s">
        <v>91</v>
      </c>
      <c r="B7" s="3" t="s">
        <v>86</v>
      </c>
      <c r="C7" s="4" t="s">
        <v>92</v>
      </c>
      <c r="D7" s="4">
        <v>28</v>
      </c>
      <c r="E7" s="4">
        <v>981</v>
      </c>
      <c r="F7" s="4">
        <v>28</v>
      </c>
      <c r="G7" s="4">
        <v>981</v>
      </c>
      <c r="H7" s="4">
        <v>0.433</v>
      </c>
      <c r="I7" s="4">
        <v>8.5</v>
      </c>
      <c r="J7" s="4"/>
      <c r="K7" s="4">
        <v>0.872</v>
      </c>
      <c r="L7" s="4">
        <v>0.29499999999999998</v>
      </c>
      <c r="M7" s="4">
        <v>0.27600000000000002</v>
      </c>
      <c r="N7" s="4">
        <v>0.23699999999999999</v>
      </c>
      <c r="O7" s="4">
        <v>3.7999999999999999E-2</v>
      </c>
      <c r="P7" s="4">
        <v>0.128</v>
      </c>
      <c r="Q7" s="4"/>
      <c r="R7" s="4">
        <v>0.45600000000000002</v>
      </c>
      <c r="S7" s="4">
        <v>0.64100000000000001</v>
      </c>
      <c r="T7" s="4">
        <v>0.38400000000000001</v>
      </c>
      <c r="U7" s="4">
        <v>0.32400000000000001</v>
      </c>
      <c r="V7" s="4">
        <v>0.41699999999999998</v>
      </c>
      <c r="W7" s="4">
        <v>0.27500000000000002</v>
      </c>
      <c r="X7" s="4"/>
      <c r="Y7" s="4">
        <v>0.61299999999999999</v>
      </c>
      <c r="Z7" s="4">
        <v>0.81799999999999995</v>
      </c>
      <c r="AA7" s="4"/>
      <c r="AB7" s="4">
        <v>0</v>
      </c>
      <c r="AC7" s="4">
        <v>0</v>
      </c>
      <c r="AD7" s="10">
        <f t="shared" si="1"/>
        <v>0.63924000000000003</v>
      </c>
      <c r="AE7" s="9"/>
      <c r="AF7" s="9"/>
      <c r="AG7" s="12">
        <f t="shared" si="2"/>
        <v>40</v>
      </c>
      <c r="AH7" s="12">
        <f t="shared" si="0"/>
        <v>96</v>
      </c>
      <c r="AI7" s="12">
        <f t="shared" si="0"/>
        <v>61.3</v>
      </c>
      <c r="AJ7" s="12">
        <f t="shared" si="0"/>
        <v>41.3</v>
      </c>
      <c r="AK7" s="12"/>
      <c r="AL7" s="12">
        <f t="shared" si="0"/>
        <v>50.6</v>
      </c>
      <c r="AM7" s="12">
        <f t="shared" si="0"/>
        <v>40</v>
      </c>
      <c r="AN7" s="12">
        <f t="shared" si="0"/>
        <v>70.599999999999994</v>
      </c>
      <c r="AO7" s="12">
        <f t="shared" si="0"/>
        <v>72</v>
      </c>
      <c r="AP7" s="12">
        <f t="shared" si="0"/>
        <v>40</v>
      </c>
      <c r="AQ7" s="12">
        <f t="shared" si="0"/>
        <v>49.3</v>
      </c>
      <c r="AR7" s="12"/>
      <c r="AS7" s="12">
        <f t="shared" si="0"/>
        <v>58.599999999999994</v>
      </c>
      <c r="AT7" s="12">
        <f t="shared" si="0"/>
        <v>86.6</v>
      </c>
      <c r="AU7" s="12">
        <f t="shared" si="0"/>
        <v>58.599999999999994</v>
      </c>
      <c r="AV7" s="12">
        <f t="shared" si="0"/>
        <v>53.300000000000004</v>
      </c>
      <c r="AW7" s="12">
        <f t="shared" si="0"/>
        <v>54.6</v>
      </c>
      <c r="AX7" s="12">
        <f t="shared" si="0"/>
        <v>54.6</v>
      </c>
      <c r="AY7" s="12"/>
      <c r="AZ7" s="12">
        <f t="shared" si="3"/>
        <v>46.699999999999996</v>
      </c>
      <c r="BA7" s="12">
        <f t="shared" si="4"/>
        <v>48</v>
      </c>
      <c r="BB7" s="12"/>
      <c r="BC7" s="12">
        <f t="shared" si="5"/>
        <v>0</v>
      </c>
      <c r="BD7" s="12">
        <f t="shared" si="6"/>
        <v>0</v>
      </c>
      <c r="BE7" s="12">
        <f t="shared" si="7"/>
        <v>57.4</v>
      </c>
    </row>
    <row r="8" spans="1:57" ht="14.25">
      <c r="A8" s="1" t="s">
        <v>93</v>
      </c>
      <c r="B8" s="3" t="s">
        <v>94</v>
      </c>
      <c r="C8" s="4" t="s">
        <v>8</v>
      </c>
      <c r="D8" s="4">
        <v>27</v>
      </c>
      <c r="E8" s="4">
        <v>966</v>
      </c>
      <c r="F8" s="4">
        <v>27</v>
      </c>
      <c r="G8" s="4">
        <v>966</v>
      </c>
      <c r="H8" s="4">
        <v>0.33600000000000002</v>
      </c>
      <c r="I8" s="4">
        <v>14.7</v>
      </c>
      <c r="J8" s="4"/>
      <c r="K8" s="4">
        <v>0.51900000000000002</v>
      </c>
      <c r="L8" s="4">
        <v>0.183</v>
      </c>
      <c r="M8" s="4">
        <v>0.13200000000000001</v>
      </c>
      <c r="N8" s="4">
        <v>0.17599999999999999</v>
      </c>
      <c r="O8" s="4">
        <v>2.7E-2</v>
      </c>
      <c r="P8" s="4">
        <v>0.48099999999999998</v>
      </c>
      <c r="Q8" s="4"/>
      <c r="R8" s="4">
        <v>0.32700000000000001</v>
      </c>
      <c r="S8" s="4">
        <v>0.38900000000000001</v>
      </c>
      <c r="T8" s="4">
        <v>0.35899999999999999</v>
      </c>
      <c r="U8" s="4">
        <v>0.23100000000000001</v>
      </c>
      <c r="V8" s="4">
        <v>0.375</v>
      </c>
      <c r="W8" s="4">
        <v>0.34499999999999997</v>
      </c>
      <c r="X8" s="4"/>
      <c r="Y8" s="4">
        <v>0.36</v>
      </c>
      <c r="Z8" s="4">
        <v>0.755</v>
      </c>
      <c r="AA8" s="4"/>
      <c r="AB8" s="4">
        <v>1.4E-2</v>
      </c>
      <c r="AC8" s="4">
        <v>0.5</v>
      </c>
      <c r="AD8" s="10">
        <f t="shared" si="1"/>
        <v>0.54999500000000001</v>
      </c>
      <c r="AE8" s="9"/>
      <c r="AF8" s="9"/>
      <c r="AG8" s="12">
        <f t="shared" si="2"/>
        <v>33.300000000000004</v>
      </c>
      <c r="AH8" s="12">
        <f t="shared" si="0"/>
        <v>94.6</v>
      </c>
      <c r="AI8" s="12">
        <f t="shared" si="0"/>
        <v>14.6</v>
      </c>
      <c r="AJ8" s="12">
        <f t="shared" si="0"/>
        <v>92</v>
      </c>
      <c r="AK8" s="12"/>
      <c r="AL8" s="12">
        <f t="shared" si="0"/>
        <v>9.3000000000000007</v>
      </c>
      <c r="AM8" s="12">
        <f t="shared" si="0"/>
        <v>10.6</v>
      </c>
      <c r="AN8" s="12">
        <f t="shared" si="0"/>
        <v>26.6</v>
      </c>
      <c r="AO8" s="12">
        <f t="shared" si="0"/>
        <v>41.3</v>
      </c>
      <c r="AP8" s="12">
        <f t="shared" si="0"/>
        <v>26.6</v>
      </c>
      <c r="AQ8" s="12">
        <f t="shared" si="0"/>
        <v>90.600000000000009</v>
      </c>
      <c r="AR8" s="12"/>
      <c r="AS8" s="12">
        <f t="shared" si="0"/>
        <v>9.3000000000000007</v>
      </c>
      <c r="AT8" s="12">
        <f t="shared" si="0"/>
        <v>9.3000000000000007</v>
      </c>
      <c r="AU8" s="12">
        <f t="shared" si="0"/>
        <v>45.300000000000004</v>
      </c>
      <c r="AV8" s="12">
        <f t="shared" si="0"/>
        <v>21.3</v>
      </c>
      <c r="AW8" s="12">
        <f t="shared" si="0"/>
        <v>46.6</v>
      </c>
      <c r="AX8" s="12">
        <f t="shared" si="0"/>
        <v>76</v>
      </c>
      <c r="AY8" s="12"/>
      <c r="AZ8" s="12">
        <f t="shared" si="3"/>
        <v>86.7</v>
      </c>
      <c r="BA8" s="12">
        <f t="shared" si="4"/>
        <v>56</v>
      </c>
      <c r="BB8" s="12"/>
      <c r="BC8" s="12">
        <f t="shared" si="5"/>
        <v>72</v>
      </c>
      <c r="BD8" s="12">
        <f t="shared" si="6"/>
        <v>88</v>
      </c>
      <c r="BE8" s="12">
        <f t="shared" si="7"/>
        <v>73.400000000000006</v>
      </c>
    </row>
    <row r="9" spans="1:57" ht="14.25">
      <c r="A9" s="1" t="s">
        <v>95</v>
      </c>
      <c r="B9" s="3" t="s">
        <v>96</v>
      </c>
      <c r="C9" s="4" t="s">
        <v>92</v>
      </c>
      <c r="D9" s="4">
        <v>28</v>
      </c>
      <c r="E9" s="4">
        <v>944</v>
      </c>
      <c r="F9" s="4">
        <v>28</v>
      </c>
      <c r="G9" s="4">
        <v>944</v>
      </c>
      <c r="H9" s="4">
        <v>0.47299999999999998</v>
      </c>
      <c r="I9" s="4">
        <v>12</v>
      </c>
      <c r="J9" s="4"/>
      <c r="K9" s="4">
        <v>0.70899999999999996</v>
      </c>
      <c r="L9" s="4">
        <v>0.188</v>
      </c>
      <c r="M9" s="4">
        <v>0.19500000000000001</v>
      </c>
      <c r="N9" s="4">
        <v>0.26700000000000002</v>
      </c>
      <c r="O9" s="4">
        <v>5.8000000000000003E-2</v>
      </c>
      <c r="P9" s="4">
        <v>0.29099999999999998</v>
      </c>
      <c r="Q9" s="4"/>
      <c r="R9" s="4">
        <v>0.48799999999999999</v>
      </c>
      <c r="S9" s="4">
        <v>0.63600000000000001</v>
      </c>
      <c r="T9" s="4">
        <v>0.42099999999999999</v>
      </c>
      <c r="U9" s="4">
        <v>0.436</v>
      </c>
      <c r="V9" s="4">
        <v>0.47099999999999997</v>
      </c>
      <c r="W9" s="4">
        <v>0.435</v>
      </c>
      <c r="X9" s="4"/>
      <c r="Y9" s="4">
        <v>0.68300000000000005</v>
      </c>
      <c r="Z9" s="4">
        <v>0.94599999999999995</v>
      </c>
      <c r="AA9" s="4"/>
      <c r="AB9" s="4">
        <v>7.0999999999999994E-2</v>
      </c>
      <c r="AC9" s="4">
        <v>0.16700000000000001</v>
      </c>
      <c r="AD9" s="10">
        <f t="shared" si="1"/>
        <v>0.75953300000000001</v>
      </c>
      <c r="AE9" s="9"/>
      <c r="AF9" s="9"/>
      <c r="AG9" s="12">
        <f t="shared" si="2"/>
        <v>40</v>
      </c>
      <c r="AH9" s="12">
        <f t="shared" si="0"/>
        <v>93.300000000000011</v>
      </c>
      <c r="AI9" s="12">
        <f t="shared" si="0"/>
        <v>88</v>
      </c>
      <c r="AJ9" s="12">
        <f t="shared" si="0"/>
        <v>80</v>
      </c>
      <c r="AK9" s="12"/>
      <c r="AL9" s="12">
        <f t="shared" si="0"/>
        <v>28.000000000000004</v>
      </c>
      <c r="AM9" s="12">
        <f t="shared" si="0"/>
        <v>12</v>
      </c>
      <c r="AN9" s="12">
        <f t="shared" si="0"/>
        <v>50.6</v>
      </c>
      <c r="AO9" s="12">
        <f t="shared" si="0"/>
        <v>80</v>
      </c>
      <c r="AP9" s="12">
        <f t="shared" si="0"/>
        <v>62.6</v>
      </c>
      <c r="AQ9" s="12">
        <f t="shared" si="0"/>
        <v>72</v>
      </c>
      <c r="AR9" s="12"/>
      <c r="AS9" s="12">
        <f t="shared" si="0"/>
        <v>81.3</v>
      </c>
      <c r="AT9" s="12">
        <f t="shared" si="0"/>
        <v>84</v>
      </c>
      <c r="AU9" s="12">
        <f t="shared" si="0"/>
        <v>76</v>
      </c>
      <c r="AV9" s="12">
        <f t="shared" si="0"/>
        <v>82.6</v>
      </c>
      <c r="AW9" s="12">
        <f t="shared" si="0"/>
        <v>65.3</v>
      </c>
      <c r="AX9" s="12">
        <f t="shared" si="0"/>
        <v>93.300000000000011</v>
      </c>
      <c r="AY9" s="12"/>
      <c r="AZ9" s="12">
        <f t="shared" si="3"/>
        <v>32</v>
      </c>
      <c r="BA9" s="12">
        <f t="shared" si="4"/>
        <v>33.399999999999991</v>
      </c>
      <c r="BB9" s="12"/>
      <c r="BC9" s="12">
        <f t="shared" si="5"/>
        <v>93.300000000000011</v>
      </c>
      <c r="BD9" s="12">
        <f t="shared" si="6"/>
        <v>85.3</v>
      </c>
      <c r="BE9" s="12">
        <f t="shared" si="7"/>
        <v>18.700000000000003</v>
      </c>
    </row>
    <row r="10" spans="1:57" ht="14.25">
      <c r="A10" s="1" t="s">
        <v>97</v>
      </c>
      <c r="B10" s="3" t="s">
        <v>98</v>
      </c>
      <c r="C10" s="4" t="s">
        <v>99</v>
      </c>
      <c r="D10" s="4">
        <v>28</v>
      </c>
      <c r="E10" s="4">
        <v>939</v>
      </c>
      <c r="F10" s="4">
        <v>28</v>
      </c>
      <c r="G10" s="4">
        <v>939</v>
      </c>
      <c r="H10" s="4">
        <v>0.376</v>
      </c>
      <c r="I10" s="4">
        <v>8.9</v>
      </c>
      <c r="J10" s="4"/>
      <c r="K10" s="4">
        <v>0.82199999999999995</v>
      </c>
      <c r="L10" s="4">
        <v>0.29399999999999998</v>
      </c>
      <c r="M10" s="4">
        <v>0.27700000000000002</v>
      </c>
      <c r="N10" s="4">
        <v>0.16900000000000001</v>
      </c>
      <c r="O10" s="4">
        <v>5.0999999999999997E-2</v>
      </c>
      <c r="P10" s="4">
        <v>0.17799999999999999</v>
      </c>
      <c r="Q10" s="4"/>
      <c r="R10" s="4">
        <v>0.39500000000000002</v>
      </c>
      <c r="S10" s="4">
        <v>0.52900000000000003</v>
      </c>
      <c r="T10" s="4">
        <v>0.33700000000000002</v>
      </c>
      <c r="U10" s="4">
        <v>0.317</v>
      </c>
      <c r="V10" s="4">
        <v>0.222</v>
      </c>
      <c r="W10" s="4">
        <v>0.28599999999999998</v>
      </c>
      <c r="X10" s="4"/>
      <c r="Y10" s="4">
        <v>0.71299999999999997</v>
      </c>
      <c r="Z10" s="4">
        <v>1</v>
      </c>
      <c r="AA10" s="4"/>
      <c r="AB10" s="4">
        <v>0</v>
      </c>
      <c r="AC10" s="4">
        <v>0</v>
      </c>
      <c r="AD10" s="10">
        <f t="shared" si="1"/>
        <v>0.76408599999999982</v>
      </c>
      <c r="AE10" s="9"/>
      <c r="AF10" s="9"/>
      <c r="AG10" s="12">
        <f t="shared" si="2"/>
        <v>40</v>
      </c>
      <c r="AH10" s="12">
        <f t="shared" si="0"/>
        <v>92</v>
      </c>
      <c r="AI10" s="12">
        <f t="shared" si="0"/>
        <v>30.599999999999998</v>
      </c>
      <c r="AJ10" s="12">
        <f t="shared" si="0"/>
        <v>44</v>
      </c>
      <c r="AK10" s="12"/>
      <c r="AL10" s="12">
        <f t="shared" si="0"/>
        <v>41.3</v>
      </c>
      <c r="AM10" s="12">
        <f t="shared" si="0"/>
        <v>38.6</v>
      </c>
      <c r="AN10" s="12">
        <f t="shared" si="0"/>
        <v>72</v>
      </c>
      <c r="AO10" s="12">
        <f t="shared" si="0"/>
        <v>40</v>
      </c>
      <c r="AP10" s="12">
        <f t="shared" si="0"/>
        <v>56.000000000000007</v>
      </c>
      <c r="AQ10" s="12">
        <f t="shared" si="0"/>
        <v>58.599999999999994</v>
      </c>
      <c r="AR10" s="12"/>
      <c r="AS10" s="12">
        <f t="shared" si="0"/>
        <v>29.299999999999997</v>
      </c>
      <c r="AT10" s="12">
        <f t="shared" si="0"/>
        <v>48</v>
      </c>
      <c r="AU10" s="12">
        <f t="shared" si="0"/>
        <v>42.6</v>
      </c>
      <c r="AV10" s="12">
        <f t="shared" si="0"/>
        <v>45.300000000000004</v>
      </c>
      <c r="AW10" s="12">
        <f t="shared" si="0"/>
        <v>24</v>
      </c>
      <c r="AX10" s="12">
        <f t="shared" si="0"/>
        <v>58.599999999999994</v>
      </c>
      <c r="AY10" s="12"/>
      <c r="AZ10" s="12">
        <f t="shared" si="3"/>
        <v>20</v>
      </c>
      <c r="BA10" s="12">
        <f t="shared" si="4"/>
        <v>32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13.400000000000006</v>
      </c>
    </row>
    <row r="11" spans="1:57" ht="14.25">
      <c r="A11" s="1" t="s">
        <v>100</v>
      </c>
      <c r="B11" s="3" t="s">
        <v>101</v>
      </c>
      <c r="C11" s="4" t="s">
        <v>92</v>
      </c>
      <c r="D11" s="4">
        <v>28</v>
      </c>
      <c r="E11" s="4">
        <v>936</v>
      </c>
      <c r="F11" s="4">
        <v>28</v>
      </c>
      <c r="G11" s="4">
        <v>936</v>
      </c>
      <c r="H11" s="4">
        <v>0.374</v>
      </c>
      <c r="I11" s="4">
        <v>8</v>
      </c>
      <c r="J11" s="4"/>
      <c r="K11" s="4">
        <v>0.88600000000000001</v>
      </c>
      <c r="L11" s="4">
        <v>0.28599999999999998</v>
      </c>
      <c r="M11" s="4">
        <v>0.35699999999999998</v>
      </c>
      <c r="N11" s="4">
        <v>0.21</v>
      </c>
      <c r="O11" s="4">
        <v>3.3000000000000002E-2</v>
      </c>
      <c r="P11" s="4">
        <v>0.114</v>
      </c>
      <c r="Q11" s="4"/>
      <c r="R11" s="4">
        <v>0.39</v>
      </c>
      <c r="S11" s="4">
        <v>0.50800000000000001</v>
      </c>
      <c r="T11" s="4">
        <v>0.32</v>
      </c>
      <c r="U11" s="4">
        <v>0.34100000000000003</v>
      </c>
      <c r="V11" s="4">
        <v>0.42899999999999999</v>
      </c>
      <c r="W11" s="4">
        <v>0.25</v>
      </c>
      <c r="X11" s="4"/>
      <c r="Y11" s="4">
        <v>0.64800000000000002</v>
      </c>
      <c r="Z11" s="4">
        <v>1</v>
      </c>
      <c r="AA11" s="4"/>
      <c r="AB11" s="4">
        <v>0</v>
      </c>
      <c r="AC11" s="4">
        <v>0</v>
      </c>
      <c r="AD11" s="10">
        <f t="shared" si="1"/>
        <v>0.68812799999999996</v>
      </c>
      <c r="AE11" s="9"/>
      <c r="AF11" s="9"/>
      <c r="AG11" s="12">
        <f t="shared" si="2"/>
        <v>40</v>
      </c>
      <c r="AH11" s="12">
        <f t="shared" si="0"/>
        <v>90.600000000000009</v>
      </c>
      <c r="AI11" s="12">
        <f t="shared" si="0"/>
        <v>29.299999999999997</v>
      </c>
      <c r="AJ11" s="12">
        <f t="shared" si="0"/>
        <v>37.299999999999997</v>
      </c>
      <c r="AK11" s="12"/>
      <c r="AL11" s="12">
        <f t="shared" si="0"/>
        <v>53.300000000000004</v>
      </c>
      <c r="AM11" s="12">
        <f t="shared" si="0"/>
        <v>36</v>
      </c>
      <c r="AN11" s="12">
        <f t="shared" si="0"/>
        <v>89.3</v>
      </c>
      <c r="AO11" s="12">
        <f t="shared" si="0"/>
        <v>61.3</v>
      </c>
      <c r="AP11" s="12">
        <f t="shared" si="0"/>
        <v>34.599999999999994</v>
      </c>
      <c r="AQ11" s="12">
        <f t="shared" si="0"/>
        <v>46.6</v>
      </c>
      <c r="AR11" s="12"/>
      <c r="AS11" s="12">
        <f t="shared" si="0"/>
        <v>26.6</v>
      </c>
      <c r="AT11" s="12">
        <f t="shared" si="0"/>
        <v>34.599999999999994</v>
      </c>
      <c r="AU11" s="12">
        <f t="shared" si="0"/>
        <v>38.6</v>
      </c>
      <c r="AV11" s="12">
        <f t="shared" si="0"/>
        <v>60</v>
      </c>
      <c r="AW11" s="12">
        <f t="shared" si="0"/>
        <v>57.3</v>
      </c>
      <c r="AX11" s="12">
        <f t="shared" si="0"/>
        <v>45.300000000000004</v>
      </c>
      <c r="AY11" s="12"/>
      <c r="AZ11" s="12">
        <f t="shared" si="3"/>
        <v>40</v>
      </c>
      <c r="BA11" s="12">
        <f t="shared" si="4"/>
        <v>32</v>
      </c>
      <c r="BB11" s="12"/>
      <c r="BC11" s="12">
        <f t="shared" si="5"/>
        <v>0</v>
      </c>
      <c r="BD11" s="12">
        <f t="shared" si="6"/>
        <v>0</v>
      </c>
      <c r="BE11" s="12">
        <f t="shared" si="7"/>
        <v>42.7</v>
      </c>
    </row>
    <row r="12" spans="1:57" ht="14.25">
      <c r="A12" s="1" t="s">
        <v>102</v>
      </c>
      <c r="B12" s="3" t="s">
        <v>98</v>
      </c>
      <c r="C12" s="4" t="s">
        <v>8</v>
      </c>
      <c r="D12" s="4">
        <v>28</v>
      </c>
      <c r="E12" s="4">
        <v>924</v>
      </c>
      <c r="F12" s="4">
        <v>28</v>
      </c>
      <c r="G12" s="4">
        <v>924</v>
      </c>
      <c r="H12" s="4">
        <v>0.46700000000000003</v>
      </c>
      <c r="I12" s="4">
        <v>8.8000000000000007</v>
      </c>
      <c r="J12" s="4"/>
      <c r="K12" s="4">
        <v>0.745</v>
      </c>
      <c r="L12" s="4">
        <v>0.46700000000000003</v>
      </c>
      <c r="M12" s="4">
        <v>8.7999999999999995E-2</v>
      </c>
      <c r="N12" s="4">
        <v>0.11700000000000001</v>
      </c>
      <c r="O12" s="4">
        <v>5.8000000000000003E-2</v>
      </c>
      <c r="P12" s="4">
        <v>0.255</v>
      </c>
      <c r="Q12" s="4"/>
      <c r="R12" s="4">
        <v>0.59799999999999998</v>
      </c>
      <c r="S12" s="4">
        <v>0.71899999999999997</v>
      </c>
      <c r="T12" s="4">
        <v>0.5</v>
      </c>
      <c r="U12" s="4">
        <v>0.25</v>
      </c>
      <c r="V12" s="4">
        <v>0.375</v>
      </c>
      <c r="W12" s="4">
        <v>8.5999999999999993E-2</v>
      </c>
      <c r="X12" s="4"/>
      <c r="Y12" s="4">
        <v>0.23</v>
      </c>
      <c r="Z12" s="4">
        <v>0.66700000000000004</v>
      </c>
      <c r="AA12" s="4"/>
      <c r="AB12" s="4">
        <v>0</v>
      </c>
      <c r="AC12" s="4">
        <v>0</v>
      </c>
      <c r="AD12" s="10">
        <f t="shared" si="1"/>
        <v>0.34143500000000004</v>
      </c>
      <c r="AE12" s="9"/>
      <c r="AF12" s="9"/>
      <c r="AG12" s="12">
        <f t="shared" si="2"/>
        <v>40</v>
      </c>
      <c r="AH12" s="12">
        <f t="shared" si="0"/>
        <v>89.3</v>
      </c>
      <c r="AI12" s="12">
        <f t="shared" si="0"/>
        <v>80</v>
      </c>
      <c r="AJ12" s="12">
        <f t="shared" si="0"/>
        <v>42.6</v>
      </c>
      <c r="AK12" s="12"/>
      <c r="AL12" s="12">
        <f t="shared" si="0"/>
        <v>30.599999999999998</v>
      </c>
      <c r="AM12" s="12">
        <f t="shared" si="0"/>
        <v>82.6</v>
      </c>
      <c r="AN12" s="12">
        <f t="shared" si="0"/>
        <v>13.3</v>
      </c>
      <c r="AO12" s="12">
        <f t="shared" si="0"/>
        <v>16</v>
      </c>
      <c r="AP12" s="12">
        <f t="shared" si="0"/>
        <v>62.6</v>
      </c>
      <c r="AQ12" s="12">
        <f t="shared" si="0"/>
        <v>69.3</v>
      </c>
      <c r="AR12" s="12"/>
      <c r="AS12" s="12">
        <f t="shared" si="0"/>
        <v>98.6</v>
      </c>
      <c r="AT12" s="12">
        <f t="shared" si="0"/>
        <v>96</v>
      </c>
      <c r="AU12" s="12">
        <f t="shared" si="0"/>
        <v>86.6</v>
      </c>
      <c r="AV12" s="12">
        <f t="shared" si="0"/>
        <v>28.000000000000004</v>
      </c>
      <c r="AW12" s="12">
        <f t="shared" si="0"/>
        <v>46.6</v>
      </c>
      <c r="AX12" s="12">
        <f t="shared" si="0"/>
        <v>24</v>
      </c>
      <c r="AY12" s="12"/>
      <c r="AZ12" s="12">
        <f t="shared" si="3"/>
        <v>96</v>
      </c>
      <c r="BA12" s="12">
        <f t="shared" si="4"/>
        <v>72</v>
      </c>
      <c r="BB12" s="12"/>
      <c r="BC12" s="12">
        <f t="shared" si="5"/>
        <v>0</v>
      </c>
      <c r="BD12" s="12">
        <f t="shared" si="6"/>
        <v>0</v>
      </c>
      <c r="BE12" s="12">
        <f t="shared" si="7"/>
        <v>100</v>
      </c>
    </row>
    <row r="13" spans="1:57" ht="14.25">
      <c r="A13" s="1" t="s">
        <v>103</v>
      </c>
      <c r="B13" s="3" t="s">
        <v>101</v>
      </c>
      <c r="C13" s="4" t="s">
        <v>92</v>
      </c>
      <c r="D13" s="4">
        <v>28</v>
      </c>
      <c r="E13" s="4">
        <v>913</v>
      </c>
      <c r="F13" s="4">
        <v>28</v>
      </c>
      <c r="G13" s="4">
        <v>913</v>
      </c>
      <c r="H13" s="4">
        <v>0.39</v>
      </c>
      <c r="I13" s="4">
        <v>11.4</v>
      </c>
      <c r="J13" s="4"/>
      <c r="K13" s="4">
        <v>0.68</v>
      </c>
      <c r="L13" s="4">
        <v>0.254</v>
      </c>
      <c r="M13" s="4">
        <v>0.187</v>
      </c>
      <c r="N13" s="4">
        <v>0.18099999999999999</v>
      </c>
      <c r="O13" s="4">
        <v>5.7000000000000002E-2</v>
      </c>
      <c r="P13" s="4">
        <v>0.32</v>
      </c>
      <c r="Q13" s="4"/>
      <c r="R13" s="4">
        <v>0.39600000000000002</v>
      </c>
      <c r="S13" s="4">
        <v>0.58299999999999996</v>
      </c>
      <c r="T13" s="4">
        <v>0.33900000000000002</v>
      </c>
      <c r="U13" s="4">
        <v>0.23300000000000001</v>
      </c>
      <c r="V13" s="4">
        <v>0.26300000000000001</v>
      </c>
      <c r="W13" s="4">
        <v>0.377</v>
      </c>
      <c r="X13" s="4"/>
      <c r="Y13" s="4">
        <v>0.50600000000000001</v>
      </c>
      <c r="Z13" s="4">
        <v>0.92500000000000004</v>
      </c>
      <c r="AA13" s="4"/>
      <c r="AB13" s="4">
        <v>1.9E-2</v>
      </c>
      <c r="AC13" s="4">
        <v>0.5</v>
      </c>
      <c r="AD13" s="10">
        <f t="shared" si="1"/>
        <v>0.64008000000000009</v>
      </c>
      <c r="AE13" s="9"/>
      <c r="AF13" s="9"/>
      <c r="AG13" s="12">
        <f t="shared" si="2"/>
        <v>40</v>
      </c>
      <c r="AH13" s="12">
        <f t="shared" si="0"/>
        <v>88</v>
      </c>
      <c r="AI13" s="12">
        <f t="shared" si="0"/>
        <v>38.6</v>
      </c>
      <c r="AJ13" s="12">
        <f t="shared" si="0"/>
        <v>72</v>
      </c>
      <c r="AK13" s="12"/>
      <c r="AL13" s="12">
        <f t="shared" si="0"/>
        <v>24</v>
      </c>
      <c r="AM13" s="12">
        <f t="shared" si="0"/>
        <v>32</v>
      </c>
      <c r="AN13" s="12">
        <f t="shared" si="0"/>
        <v>46.6</v>
      </c>
      <c r="AO13" s="12">
        <f t="shared" si="0"/>
        <v>46.6</v>
      </c>
      <c r="AP13" s="12">
        <f t="shared" si="0"/>
        <v>60</v>
      </c>
      <c r="AQ13" s="12">
        <f t="shared" si="0"/>
        <v>76</v>
      </c>
      <c r="AR13" s="12"/>
      <c r="AS13" s="12">
        <f t="shared" si="0"/>
        <v>32</v>
      </c>
      <c r="AT13" s="12">
        <f t="shared" si="0"/>
        <v>66.600000000000009</v>
      </c>
      <c r="AU13" s="12">
        <f t="shared" si="0"/>
        <v>44</v>
      </c>
      <c r="AV13" s="12">
        <f t="shared" si="0"/>
        <v>26.6</v>
      </c>
      <c r="AW13" s="12">
        <f t="shared" si="0"/>
        <v>30.599999999999998</v>
      </c>
      <c r="AX13" s="12">
        <f t="shared" si="0"/>
        <v>85.3</v>
      </c>
      <c r="AY13" s="12"/>
      <c r="AZ13" s="12">
        <f t="shared" si="3"/>
        <v>72</v>
      </c>
      <c r="BA13" s="12">
        <f t="shared" si="4"/>
        <v>36</v>
      </c>
      <c r="BB13" s="12"/>
      <c r="BC13" s="12">
        <f t="shared" si="5"/>
        <v>74.599999999999994</v>
      </c>
      <c r="BD13" s="12">
        <f t="shared" si="6"/>
        <v>88</v>
      </c>
      <c r="BE13" s="12">
        <f t="shared" si="7"/>
        <v>56</v>
      </c>
    </row>
    <row r="14" spans="1:57" ht="14.25">
      <c r="A14" s="1" t="s">
        <v>104</v>
      </c>
      <c r="B14" s="3" t="s">
        <v>105</v>
      </c>
      <c r="C14" s="4" t="s">
        <v>8</v>
      </c>
      <c r="D14" s="4">
        <v>28</v>
      </c>
      <c r="E14" s="4">
        <v>907</v>
      </c>
      <c r="F14" s="4">
        <v>28</v>
      </c>
      <c r="G14" s="4">
        <v>907</v>
      </c>
      <c r="H14" s="4">
        <v>0.42599999999999999</v>
      </c>
      <c r="I14" s="4">
        <v>10.1</v>
      </c>
      <c r="J14" s="4"/>
      <c r="K14" s="4">
        <v>0.88800000000000001</v>
      </c>
      <c r="L14" s="4">
        <v>0.21</v>
      </c>
      <c r="M14" s="4">
        <v>0.24</v>
      </c>
      <c r="N14" s="4">
        <v>0.35799999999999998</v>
      </c>
      <c r="O14" s="4">
        <v>6.8000000000000005E-2</v>
      </c>
      <c r="P14" s="4">
        <v>0.112</v>
      </c>
      <c r="Q14" s="4"/>
      <c r="R14" s="4">
        <v>0.45700000000000002</v>
      </c>
      <c r="S14" s="4">
        <v>0.40799999999999997</v>
      </c>
      <c r="T14" s="4">
        <v>0.53100000000000003</v>
      </c>
      <c r="U14" s="4">
        <v>0.47099999999999997</v>
      </c>
      <c r="V14" s="4">
        <v>0.26100000000000001</v>
      </c>
      <c r="W14" s="4">
        <v>0.184</v>
      </c>
      <c r="X14" s="4"/>
      <c r="Y14" s="4">
        <v>0.38</v>
      </c>
      <c r="Z14" s="4">
        <v>0.71399999999999997</v>
      </c>
      <c r="AA14" s="4"/>
      <c r="AB14" s="4">
        <v>2.5999999999999999E-2</v>
      </c>
      <c r="AC14" s="4">
        <v>1</v>
      </c>
      <c r="AD14" s="10">
        <f t="shared" si="1"/>
        <v>0.417408</v>
      </c>
      <c r="AE14" s="9"/>
      <c r="AF14" s="9"/>
      <c r="AG14" s="12">
        <f t="shared" si="2"/>
        <v>40</v>
      </c>
      <c r="AH14" s="12">
        <f t="shared" si="0"/>
        <v>86.6</v>
      </c>
      <c r="AI14" s="12">
        <f t="shared" si="0"/>
        <v>58.599999999999994</v>
      </c>
      <c r="AJ14" s="12">
        <f t="shared" si="0"/>
        <v>57.3</v>
      </c>
      <c r="AK14" s="12"/>
      <c r="AL14" s="12">
        <f t="shared" si="0"/>
        <v>54.6</v>
      </c>
      <c r="AM14" s="12">
        <f t="shared" si="0"/>
        <v>18.600000000000001</v>
      </c>
      <c r="AN14" s="12">
        <f t="shared" si="0"/>
        <v>62.6</v>
      </c>
      <c r="AO14" s="12">
        <f t="shared" si="0"/>
        <v>92</v>
      </c>
      <c r="AP14" s="12">
        <f t="shared" si="0"/>
        <v>73.3</v>
      </c>
      <c r="AQ14" s="12">
        <f t="shared" si="0"/>
        <v>45.300000000000004</v>
      </c>
      <c r="AR14" s="12"/>
      <c r="AS14" s="12">
        <f t="shared" si="0"/>
        <v>60</v>
      </c>
      <c r="AT14" s="12">
        <f t="shared" si="0"/>
        <v>13.3</v>
      </c>
      <c r="AU14" s="12">
        <f t="shared" si="0"/>
        <v>94.6</v>
      </c>
      <c r="AV14" s="12">
        <f t="shared" si="0"/>
        <v>86.6</v>
      </c>
      <c r="AW14" s="12">
        <f t="shared" si="0"/>
        <v>29.299999999999997</v>
      </c>
      <c r="AX14" s="12">
        <f t="shared" si="0"/>
        <v>30.599999999999998</v>
      </c>
      <c r="AY14" s="12"/>
      <c r="AZ14" s="12">
        <f t="shared" si="3"/>
        <v>85.4</v>
      </c>
      <c r="BA14" s="12">
        <f t="shared" si="4"/>
        <v>66.699999999999989</v>
      </c>
      <c r="BB14" s="12"/>
      <c r="BC14" s="12">
        <f t="shared" si="5"/>
        <v>80</v>
      </c>
      <c r="BD14" s="12">
        <f t="shared" si="6"/>
        <v>94.6</v>
      </c>
      <c r="BE14" s="12">
        <f t="shared" si="7"/>
        <v>92</v>
      </c>
    </row>
    <row r="15" spans="1:57" ht="14.25">
      <c r="A15" s="1" t="s">
        <v>106</v>
      </c>
      <c r="B15" s="3" t="s">
        <v>105</v>
      </c>
      <c r="C15" s="4" t="s">
        <v>99</v>
      </c>
      <c r="D15" s="4">
        <v>28</v>
      </c>
      <c r="E15" s="4">
        <v>902</v>
      </c>
      <c r="F15" s="4">
        <v>28</v>
      </c>
      <c r="G15" s="4">
        <v>902</v>
      </c>
      <c r="H15" s="4">
        <v>0.43099999999999999</v>
      </c>
      <c r="I15" s="4">
        <v>7.6</v>
      </c>
      <c r="J15" s="4"/>
      <c r="K15" s="4">
        <v>0.876</v>
      </c>
      <c r="L15" s="4">
        <v>0.377</v>
      </c>
      <c r="M15" s="4">
        <v>0.27800000000000002</v>
      </c>
      <c r="N15" s="4">
        <v>0.127</v>
      </c>
      <c r="O15" s="4">
        <v>7.0000000000000007E-2</v>
      </c>
      <c r="P15" s="4">
        <v>0.124</v>
      </c>
      <c r="Q15" s="4"/>
      <c r="R15" s="4">
        <v>0.45500000000000002</v>
      </c>
      <c r="S15" s="4">
        <v>0.52100000000000002</v>
      </c>
      <c r="T15" s="4">
        <v>0.39800000000000002</v>
      </c>
      <c r="U15" s="4">
        <v>0.34</v>
      </c>
      <c r="V15" s="4">
        <v>0.53800000000000003</v>
      </c>
      <c r="W15" s="4">
        <v>0.26100000000000001</v>
      </c>
      <c r="X15" s="4"/>
      <c r="Y15" s="4">
        <v>0.68200000000000005</v>
      </c>
      <c r="Z15" s="4">
        <v>1</v>
      </c>
      <c r="AA15" s="4"/>
      <c r="AB15" s="4">
        <v>2.1999999999999999E-2</v>
      </c>
      <c r="AC15" s="4">
        <v>1</v>
      </c>
      <c r="AD15" s="10">
        <f t="shared" si="1"/>
        <v>0.72143200000000007</v>
      </c>
      <c r="AE15" s="9"/>
      <c r="AF15" s="9"/>
      <c r="AG15" s="12">
        <f t="shared" si="2"/>
        <v>40</v>
      </c>
      <c r="AH15" s="12">
        <f t="shared" si="0"/>
        <v>85.3</v>
      </c>
      <c r="AI15" s="12">
        <f t="shared" si="0"/>
        <v>60</v>
      </c>
      <c r="AJ15" s="12">
        <f t="shared" si="0"/>
        <v>36</v>
      </c>
      <c r="AK15" s="12"/>
      <c r="AL15" s="12">
        <f t="shared" si="0"/>
        <v>52</v>
      </c>
      <c r="AM15" s="12">
        <f t="shared" si="0"/>
        <v>68</v>
      </c>
      <c r="AN15" s="12">
        <f t="shared" si="0"/>
        <v>73.3</v>
      </c>
      <c r="AO15" s="12">
        <f t="shared" si="0"/>
        <v>22.6</v>
      </c>
      <c r="AP15" s="12">
        <f t="shared" si="0"/>
        <v>76</v>
      </c>
      <c r="AQ15" s="12">
        <f t="shared" si="0"/>
        <v>48</v>
      </c>
      <c r="AR15" s="12"/>
      <c r="AS15" s="12">
        <f t="shared" si="0"/>
        <v>56.000000000000007</v>
      </c>
      <c r="AT15" s="12">
        <f t="shared" si="0"/>
        <v>41.3</v>
      </c>
      <c r="AU15" s="12">
        <f t="shared" si="0"/>
        <v>68</v>
      </c>
      <c r="AV15" s="12">
        <f t="shared" si="0"/>
        <v>58.599999999999994</v>
      </c>
      <c r="AW15" s="12">
        <f t="shared" si="0"/>
        <v>78.600000000000009</v>
      </c>
      <c r="AX15" s="12">
        <f t="shared" si="0"/>
        <v>50.6</v>
      </c>
      <c r="AY15" s="12"/>
      <c r="AZ15" s="12">
        <f t="shared" si="3"/>
        <v>33.399999999999991</v>
      </c>
      <c r="BA15" s="12">
        <f t="shared" si="4"/>
        <v>32</v>
      </c>
      <c r="BB15" s="12"/>
      <c r="BC15" s="12">
        <f t="shared" si="5"/>
        <v>78.600000000000009</v>
      </c>
      <c r="BD15" s="12">
        <f t="shared" si="6"/>
        <v>94.6</v>
      </c>
      <c r="BE15" s="12">
        <f t="shared" si="7"/>
        <v>29.400000000000006</v>
      </c>
    </row>
    <row r="16" spans="1:57" ht="14.25">
      <c r="A16" s="1" t="s">
        <v>107</v>
      </c>
      <c r="B16" s="3" t="s">
        <v>90</v>
      </c>
      <c r="C16" s="4" t="s">
        <v>92</v>
      </c>
      <c r="D16" s="4">
        <v>28</v>
      </c>
      <c r="E16" s="4">
        <v>885</v>
      </c>
      <c r="F16" s="4">
        <v>28</v>
      </c>
      <c r="G16" s="4">
        <v>885</v>
      </c>
      <c r="H16" s="4">
        <v>0.41799999999999998</v>
      </c>
      <c r="I16" s="4">
        <v>11.8</v>
      </c>
      <c r="J16" s="4"/>
      <c r="K16" s="4">
        <v>0.68600000000000005</v>
      </c>
      <c r="L16" s="4">
        <v>0.21099999999999999</v>
      </c>
      <c r="M16" s="4">
        <v>0.20100000000000001</v>
      </c>
      <c r="N16" s="4">
        <v>0.186</v>
      </c>
      <c r="O16" s="4">
        <v>0.06</v>
      </c>
      <c r="P16" s="4">
        <v>0.314</v>
      </c>
      <c r="Q16" s="4"/>
      <c r="R16" s="4">
        <v>0.44</v>
      </c>
      <c r="S16" s="4">
        <v>0.50700000000000001</v>
      </c>
      <c r="T16" s="4">
        <v>0.39100000000000001</v>
      </c>
      <c r="U16" s="4">
        <v>0.49199999999999999</v>
      </c>
      <c r="V16" s="4">
        <v>0.36799999999999999</v>
      </c>
      <c r="W16" s="4">
        <v>0.37</v>
      </c>
      <c r="X16" s="4"/>
      <c r="Y16" s="4">
        <v>0.61499999999999999</v>
      </c>
      <c r="Z16" s="4">
        <v>0.83799999999999997</v>
      </c>
      <c r="AA16" s="4"/>
      <c r="AB16" s="4">
        <v>0</v>
      </c>
      <c r="AC16" s="4">
        <v>0</v>
      </c>
      <c r="AD16" s="10">
        <f t="shared" si="1"/>
        <v>0.68502200000000002</v>
      </c>
      <c r="AE16" s="9"/>
      <c r="AF16" s="9"/>
      <c r="AG16" s="12">
        <f t="shared" si="2"/>
        <v>40</v>
      </c>
      <c r="AH16" s="12">
        <f t="shared" si="0"/>
        <v>84</v>
      </c>
      <c r="AI16" s="12">
        <f t="shared" si="0"/>
        <v>57.3</v>
      </c>
      <c r="AJ16" s="12">
        <f t="shared" si="0"/>
        <v>77.3</v>
      </c>
      <c r="AK16" s="12"/>
      <c r="AL16" s="12">
        <f t="shared" si="0"/>
        <v>25.3</v>
      </c>
      <c r="AM16" s="12">
        <f t="shared" si="0"/>
        <v>20</v>
      </c>
      <c r="AN16" s="12">
        <f t="shared" si="0"/>
        <v>54.6</v>
      </c>
      <c r="AO16" s="12">
        <f t="shared" si="0"/>
        <v>50.6</v>
      </c>
      <c r="AP16" s="12">
        <f t="shared" si="0"/>
        <v>65.3</v>
      </c>
      <c r="AQ16" s="12">
        <f t="shared" si="0"/>
        <v>74.599999999999994</v>
      </c>
      <c r="AR16" s="12"/>
      <c r="AS16" s="12">
        <f t="shared" si="0"/>
        <v>50.6</v>
      </c>
      <c r="AT16" s="12">
        <f t="shared" si="0"/>
        <v>33.300000000000004</v>
      </c>
      <c r="AU16" s="12">
        <f t="shared" si="0"/>
        <v>66.600000000000009</v>
      </c>
      <c r="AV16" s="12">
        <f t="shared" si="0"/>
        <v>89.3</v>
      </c>
      <c r="AW16" s="12">
        <f t="shared" si="0"/>
        <v>44</v>
      </c>
      <c r="AX16" s="12">
        <f t="shared" si="0"/>
        <v>81.3</v>
      </c>
      <c r="AY16" s="12"/>
      <c r="AZ16" s="12">
        <f t="shared" si="3"/>
        <v>45.4</v>
      </c>
      <c r="BA16" s="12">
        <f t="shared" si="4"/>
        <v>45.4</v>
      </c>
      <c r="BB16" s="12"/>
      <c r="BC16" s="12">
        <f t="shared" si="5"/>
        <v>0</v>
      </c>
      <c r="BD16" s="12">
        <f t="shared" si="6"/>
        <v>0</v>
      </c>
      <c r="BE16" s="12">
        <f t="shared" si="7"/>
        <v>46.699999999999996</v>
      </c>
    </row>
    <row r="17" spans="1:57" ht="14.25">
      <c r="A17" s="1" t="s">
        <v>108</v>
      </c>
      <c r="B17" s="3" t="s">
        <v>88</v>
      </c>
      <c r="C17" s="4" t="s">
        <v>92</v>
      </c>
      <c r="D17" s="4">
        <v>28</v>
      </c>
      <c r="E17" s="4">
        <v>875</v>
      </c>
      <c r="F17" s="4">
        <v>28</v>
      </c>
      <c r="G17" s="4">
        <v>875</v>
      </c>
      <c r="H17" s="4">
        <v>0.44800000000000001</v>
      </c>
      <c r="I17" s="4">
        <v>9.1999999999999993</v>
      </c>
      <c r="J17" s="4"/>
      <c r="K17" s="4">
        <v>0.92900000000000005</v>
      </c>
      <c r="L17" s="4">
        <v>0.22500000000000001</v>
      </c>
      <c r="M17" s="4">
        <v>0.309</v>
      </c>
      <c r="N17" s="4">
        <v>0.35799999999999998</v>
      </c>
      <c r="O17" s="4">
        <v>3.6999999999999998E-2</v>
      </c>
      <c r="P17" s="4">
        <v>7.0999999999999994E-2</v>
      </c>
      <c r="Q17" s="4"/>
      <c r="R17" s="4">
        <v>0.45800000000000002</v>
      </c>
      <c r="S17" s="4">
        <v>0.52100000000000002</v>
      </c>
      <c r="T17" s="4">
        <v>0.48</v>
      </c>
      <c r="U17" s="4">
        <v>0.379</v>
      </c>
      <c r="V17" s="4">
        <v>0.66700000000000004</v>
      </c>
      <c r="W17" s="4">
        <v>0.30399999999999999</v>
      </c>
      <c r="X17" s="4"/>
      <c r="Y17" s="4">
        <v>0.746</v>
      </c>
      <c r="Z17" s="4">
        <v>1</v>
      </c>
      <c r="AA17" s="4"/>
      <c r="AB17" s="4">
        <v>0</v>
      </c>
      <c r="AC17" s="4">
        <v>0</v>
      </c>
      <c r="AD17" s="10">
        <f t="shared" si="1"/>
        <v>0.76403399999999999</v>
      </c>
      <c r="AE17" s="9"/>
      <c r="AF17" s="9"/>
      <c r="AG17" s="12">
        <f t="shared" si="2"/>
        <v>40</v>
      </c>
      <c r="AH17" s="12">
        <f t="shared" si="0"/>
        <v>82.6</v>
      </c>
      <c r="AI17" s="12">
        <f t="shared" si="0"/>
        <v>72</v>
      </c>
      <c r="AJ17" s="12">
        <f t="shared" si="0"/>
        <v>48</v>
      </c>
      <c r="AK17" s="12"/>
      <c r="AL17" s="12">
        <f t="shared" si="0"/>
        <v>64</v>
      </c>
      <c r="AM17" s="12">
        <f t="shared" si="0"/>
        <v>22.6</v>
      </c>
      <c r="AN17" s="12">
        <f t="shared" si="0"/>
        <v>81.3</v>
      </c>
      <c r="AO17" s="12">
        <f t="shared" si="0"/>
        <v>92</v>
      </c>
      <c r="AP17" s="12">
        <f t="shared" si="0"/>
        <v>37.299999999999997</v>
      </c>
      <c r="AQ17" s="12">
        <f t="shared" si="0"/>
        <v>36</v>
      </c>
      <c r="AR17" s="12"/>
      <c r="AS17" s="12">
        <f t="shared" si="0"/>
        <v>61.3</v>
      </c>
      <c r="AT17" s="12">
        <f t="shared" si="0"/>
        <v>41.3</v>
      </c>
      <c r="AU17" s="12">
        <f t="shared" si="0"/>
        <v>85.3</v>
      </c>
      <c r="AV17" s="12">
        <f t="shared" si="0"/>
        <v>70.599999999999994</v>
      </c>
      <c r="AW17" s="12">
        <f t="shared" si="0"/>
        <v>82.6</v>
      </c>
      <c r="AX17" s="12">
        <f t="shared" si="0"/>
        <v>64</v>
      </c>
      <c r="AY17" s="12"/>
      <c r="AZ17" s="12">
        <f t="shared" si="3"/>
        <v>14.700000000000003</v>
      </c>
      <c r="BA17" s="12">
        <f t="shared" si="4"/>
        <v>32</v>
      </c>
      <c r="BB17" s="12"/>
      <c r="BC17" s="12">
        <f t="shared" si="5"/>
        <v>0</v>
      </c>
      <c r="BD17" s="12">
        <f t="shared" si="6"/>
        <v>0</v>
      </c>
      <c r="BE17" s="12">
        <f t="shared" si="7"/>
        <v>14.700000000000003</v>
      </c>
    </row>
    <row r="18" spans="1:57" ht="14.25">
      <c r="A18" s="1" t="s">
        <v>109</v>
      </c>
      <c r="B18" s="3" t="s">
        <v>94</v>
      </c>
      <c r="C18" s="4" t="s">
        <v>110</v>
      </c>
      <c r="D18" s="4">
        <v>28</v>
      </c>
      <c r="E18" s="4">
        <v>874</v>
      </c>
      <c r="F18" s="4">
        <v>28</v>
      </c>
      <c r="G18" s="4">
        <v>874</v>
      </c>
      <c r="H18" s="4">
        <v>0.434</v>
      </c>
      <c r="I18" s="4">
        <v>9.1999999999999993</v>
      </c>
      <c r="J18" s="4"/>
      <c r="K18" s="4">
        <v>0.83</v>
      </c>
      <c r="L18" s="4">
        <v>0.31900000000000001</v>
      </c>
      <c r="M18" s="4">
        <v>0.22900000000000001</v>
      </c>
      <c r="N18" s="4">
        <v>0.245</v>
      </c>
      <c r="O18" s="4">
        <v>3.6999999999999998E-2</v>
      </c>
      <c r="P18" s="4">
        <v>0.17</v>
      </c>
      <c r="Q18" s="4"/>
      <c r="R18" s="4">
        <v>0.45800000000000002</v>
      </c>
      <c r="S18" s="4">
        <v>0.55000000000000004</v>
      </c>
      <c r="T18" s="4">
        <v>0.314</v>
      </c>
      <c r="U18" s="4">
        <v>0.46700000000000003</v>
      </c>
      <c r="V18" s="4">
        <v>0.5</v>
      </c>
      <c r="W18" s="4">
        <v>0.313</v>
      </c>
      <c r="X18" s="4"/>
      <c r="Y18" s="4">
        <v>0.69899999999999995</v>
      </c>
      <c r="Z18" s="4">
        <v>1</v>
      </c>
      <c r="AA18" s="4"/>
      <c r="AB18" s="4">
        <v>0</v>
      </c>
      <c r="AC18" s="4">
        <v>0</v>
      </c>
      <c r="AD18" s="10">
        <f t="shared" si="1"/>
        <v>0.75017</v>
      </c>
      <c r="AE18" s="9"/>
      <c r="AF18" s="9"/>
      <c r="AG18" s="12">
        <f t="shared" si="2"/>
        <v>40</v>
      </c>
      <c r="AH18" s="12">
        <f t="shared" si="0"/>
        <v>81.3</v>
      </c>
      <c r="AI18" s="12">
        <f t="shared" si="0"/>
        <v>62.6</v>
      </c>
      <c r="AJ18" s="12">
        <f t="shared" si="0"/>
        <v>48</v>
      </c>
      <c r="AK18" s="12"/>
      <c r="AL18" s="12">
        <f t="shared" si="0"/>
        <v>44</v>
      </c>
      <c r="AM18" s="12">
        <f t="shared" si="0"/>
        <v>50.6</v>
      </c>
      <c r="AN18" s="12">
        <f t="shared" si="0"/>
        <v>60</v>
      </c>
      <c r="AO18" s="12">
        <f t="shared" si="0"/>
        <v>76</v>
      </c>
      <c r="AP18" s="12">
        <f t="shared" si="0"/>
        <v>37.299999999999997</v>
      </c>
      <c r="AQ18" s="12">
        <f t="shared" si="0"/>
        <v>56.000000000000007</v>
      </c>
      <c r="AR18" s="12"/>
      <c r="AS18" s="12">
        <f t="shared" si="0"/>
        <v>61.3</v>
      </c>
      <c r="AT18" s="12">
        <f t="shared" si="0"/>
        <v>54.6</v>
      </c>
      <c r="AU18" s="12">
        <f t="shared" si="0"/>
        <v>34.599999999999994</v>
      </c>
      <c r="AV18" s="12">
        <f t="shared" si="0"/>
        <v>85.3</v>
      </c>
      <c r="AW18" s="12">
        <f t="shared" si="0"/>
        <v>68</v>
      </c>
      <c r="AX18" s="12">
        <f t="shared" si="0"/>
        <v>66.600000000000009</v>
      </c>
      <c r="AY18" s="12"/>
      <c r="AZ18" s="12">
        <f t="shared" si="3"/>
        <v>28</v>
      </c>
      <c r="BA18" s="12">
        <f t="shared" si="4"/>
        <v>32</v>
      </c>
      <c r="BB18" s="12"/>
      <c r="BC18" s="12">
        <f t="shared" si="5"/>
        <v>0</v>
      </c>
      <c r="BD18" s="12">
        <f t="shared" si="6"/>
        <v>0</v>
      </c>
      <c r="BE18" s="12">
        <f t="shared" si="7"/>
        <v>21.399999999999991</v>
      </c>
    </row>
    <row r="19" spans="1:57" ht="14.25">
      <c r="A19" s="1" t="s">
        <v>111</v>
      </c>
      <c r="B19" s="4" t="s">
        <v>98</v>
      </c>
      <c r="C19" s="4" t="s">
        <v>8</v>
      </c>
      <c r="D19" s="4">
        <v>28</v>
      </c>
      <c r="E19" s="4">
        <v>867</v>
      </c>
      <c r="F19" s="4">
        <v>28</v>
      </c>
      <c r="G19" s="4">
        <v>867</v>
      </c>
      <c r="H19" s="4">
        <v>0.40600000000000003</v>
      </c>
      <c r="I19" s="4">
        <v>10.3</v>
      </c>
      <c r="J19" s="4"/>
      <c r="K19" s="4">
        <v>0.63500000000000001</v>
      </c>
      <c r="L19" s="4">
        <v>0.35699999999999998</v>
      </c>
      <c r="M19" s="4">
        <v>0.13900000000000001</v>
      </c>
      <c r="N19" s="4">
        <v>0.10100000000000001</v>
      </c>
      <c r="O19" s="4">
        <v>0.02</v>
      </c>
      <c r="P19" s="4">
        <v>0.36499999999999999</v>
      </c>
      <c r="Q19" s="4"/>
      <c r="R19" s="4">
        <v>0.438</v>
      </c>
      <c r="S19" s="4">
        <v>0.53700000000000003</v>
      </c>
      <c r="T19" s="4">
        <v>0.33300000000000002</v>
      </c>
      <c r="U19" s="4">
        <v>0.34300000000000003</v>
      </c>
      <c r="V19" s="4">
        <v>0.14299999999999999</v>
      </c>
      <c r="W19" s="4">
        <v>0.34899999999999998</v>
      </c>
      <c r="X19" s="4"/>
      <c r="Y19" s="4">
        <v>0.57299999999999995</v>
      </c>
      <c r="Z19" s="4">
        <v>0.88600000000000001</v>
      </c>
      <c r="AA19" s="4"/>
      <c r="AB19" s="4">
        <v>8.0000000000000002E-3</v>
      </c>
      <c r="AC19" s="4">
        <v>1</v>
      </c>
      <c r="AD19" s="10">
        <f t="shared" si="1"/>
        <v>0.68724499999999999</v>
      </c>
      <c r="AE19" s="9"/>
      <c r="AF19" s="9"/>
      <c r="AG19" s="12">
        <f t="shared" si="2"/>
        <v>40</v>
      </c>
      <c r="AH19" s="12">
        <f t="shared" si="0"/>
        <v>80</v>
      </c>
      <c r="AI19" s="12">
        <f t="shared" si="0"/>
        <v>52</v>
      </c>
      <c r="AJ19" s="12">
        <f t="shared" si="0"/>
        <v>60</v>
      </c>
      <c r="AK19" s="12"/>
      <c r="AL19" s="12">
        <f t="shared" si="0"/>
        <v>18.600000000000001</v>
      </c>
      <c r="AM19" s="12">
        <f t="shared" si="0"/>
        <v>64</v>
      </c>
      <c r="AN19" s="12">
        <f t="shared" si="0"/>
        <v>30.599999999999998</v>
      </c>
      <c r="AO19" s="12">
        <f t="shared" si="0"/>
        <v>10.6</v>
      </c>
      <c r="AP19" s="12">
        <f t="shared" si="0"/>
        <v>18.600000000000001</v>
      </c>
      <c r="AQ19" s="12">
        <f t="shared" si="0"/>
        <v>81.3</v>
      </c>
      <c r="AR19" s="12"/>
      <c r="AS19" s="12">
        <f t="shared" si="0"/>
        <v>49.3</v>
      </c>
      <c r="AT19" s="12">
        <f t="shared" si="0"/>
        <v>50.6</v>
      </c>
      <c r="AU19" s="12">
        <f t="shared" si="0"/>
        <v>40</v>
      </c>
      <c r="AV19" s="12">
        <f t="shared" si="0"/>
        <v>61.3</v>
      </c>
      <c r="AW19" s="12">
        <f t="shared" si="0"/>
        <v>18.600000000000001</v>
      </c>
      <c r="AX19" s="12">
        <f t="shared" si="0"/>
        <v>78.600000000000009</v>
      </c>
      <c r="AY19" s="12"/>
      <c r="AZ19" s="12">
        <f t="shared" si="3"/>
        <v>57.4</v>
      </c>
      <c r="BA19" s="12">
        <f t="shared" si="4"/>
        <v>40</v>
      </c>
      <c r="BB19" s="12"/>
      <c r="BC19" s="12">
        <f t="shared" si="5"/>
        <v>70.599999999999994</v>
      </c>
      <c r="BD19" s="12">
        <f t="shared" si="6"/>
        <v>94.6</v>
      </c>
      <c r="BE19" s="12">
        <f t="shared" si="7"/>
        <v>45.4</v>
      </c>
    </row>
    <row r="20" spans="1:57" ht="14.25">
      <c r="A20" s="1" t="s">
        <v>112</v>
      </c>
      <c r="B20" s="3" t="s">
        <v>94</v>
      </c>
      <c r="C20" s="4" t="s">
        <v>8</v>
      </c>
      <c r="D20" s="4">
        <v>28</v>
      </c>
      <c r="E20" s="4">
        <v>842</v>
      </c>
      <c r="F20" s="4">
        <v>28</v>
      </c>
      <c r="G20" s="4">
        <v>842</v>
      </c>
      <c r="H20" s="4">
        <v>0.33400000000000002</v>
      </c>
      <c r="I20" s="4">
        <v>12.1</v>
      </c>
      <c r="J20" s="4"/>
      <c r="K20" s="4">
        <v>0.58099999999999996</v>
      </c>
      <c r="L20" s="4">
        <v>0.35299999999999998</v>
      </c>
      <c r="M20" s="4">
        <v>7.4999999999999997E-2</v>
      </c>
      <c r="N20" s="4">
        <v>0.11600000000000001</v>
      </c>
      <c r="O20" s="4">
        <v>3.7999999999999999E-2</v>
      </c>
      <c r="P20" s="4">
        <v>0.41899999999999998</v>
      </c>
      <c r="Q20" s="4"/>
      <c r="R20" s="4">
        <v>0.35499999999999998</v>
      </c>
      <c r="S20" s="4">
        <v>0.434</v>
      </c>
      <c r="T20" s="4">
        <v>8.3000000000000004E-2</v>
      </c>
      <c r="U20" s="4">
        <v>0.29699999999999999</v>
      </c>
      <c r="V20" s="4">
        <v>0.33300000000000002</v>
      </c>
      <c r="W20" s="4">
        <v>0.30599999999999999</v>
      </c>
      <c r="X20" s="4"/>
      <c r="Y20" s="4">
        <v>0.51500000000000001</v>
      </c>
      <c r="Z20" s="4">
        <v>0.85399999999999998</v>
      </c>
      <c r="AA20" s="4"/>
      <c r="AB20" s="4">
        <v>7.0000000000000001E-3</v>
      </c>
      <c r="AC20" s="4">
        <v>0</v>
      </c>
      <c r="AD20" s="10">
        <f t="shared" si="1"/>
        <v>0.65704099999999999</v>
      </c>
      <c r="AE20" s="9"/>
      <c r="AF20" s="9"/>
      <c r="AG20" s="12">
        <f t="shared" si="2"/>
        <v>40</v>
      </c>
      <c r="AH20" s="12">
        <f t="shared" si="2"/>
        <v>78.600000000000009</v>
      </c>
      <c r="AI20" s="12">
        <f t="shared" si="2"/>
        <v>13.3</v>
      </c>
      <c r="AJ20" s="12">
        <f t="shared" si="2"/>
        <v>81.3</v>
      </c>
      <c r="AK20" s="12"/>
      <c r="AL20" s="12">
        <f t="shared" ref="AL20:AO83" si="8">(PERCENTRANK(K$4:K$298,K20))*100</f>
        <v>14.6</v>
      </c>
      <c r="AM20" s="12">
        <f t="shared" si="8"/>
        <v>62.6</v>
      </c>
      <c r="AN20" s="12">
        <f t="shared" si="8"/>
        <v>10.6</v>
      </c>
      <c r="AO20" s="12">
        <f t="shared" si="8"/>
        <v>14.6</v>
      </c>
      <c r="AP20" s="12">
        <f t="shared" ref="AP20:AQ83" si="9">(PERCENTRANK(O$4:O$298,O20))*100</f>
        <v>40</v>
      </c>
      <c r="AQ20" s="12">
        <f t="shared" si="9"/>
        <v>84</v>
      </c>
      <c r="AR20" s="12"/>
      <c r="AS20" s="12">
        <f t="shared" ref="AS20:AV83" si="10">(PERCENTRANK(R$4:R$298,R20))*100</f>
        <v>17.299999999999997</v>
      </c>
      <c r="AT20" s="12">
        <f t="shared" si="10"/>
        <v>16</v>
      </c>
      <c r="AU20" s="12">
        <f t="shared" si="10"/>
        <v>5.3</v>
      </c>
      <c r="AV20" s="12">
        <f t="shared" si="10"/>
        <v>41.3</v>
      </c>
      <c r="AW20" s="12">
        <f t="shared" ref="AW20:AX83" si="11">(PERCENTRANK(V$4:V$298,V20))*100</f>
        <v>33.300000000000004</v>
      </c>
      <c r="AX20" s="12">
        <f t="shared" si="11"/>
        <v>65.3</v>
      </c>
      <c r="AY20" s="12"/>
      <c r="AZ20" s="12">
        <f t="shared" si="3"/>
        <v>70.7</v>
      </c>
      <c r="BA20" s="12">
        <f t="shared" si="4"/>
        <v>43.999999999999993</v>
      </c>
      <c r="BB20" s="12"/>
      <c r="BC20" s="12">
        <f t="shared" si="5"/>
        <v>69.3</v>
      </c>
      <c r="BD20" s="12">
        <f t="shared" si="6"/>
        <v>0</v>
      </c>
      <c r="BE20" s="12">
        <f t="shared" si="7"/>
        <v>52</v>
      </c>
    </row>
    <row r="21" spans="1:57" ht="15.75" customHeight="1">
      <c r="A21" s="1" t="s">
        <v>113</v>
      </c>
      <c r="B21" s="3" t="s">
        <v>101</v>
      </c>
      <c r="C21" s="4" t="s">
        <v>8</v>
      </c>
      <c r="D21" s="4">
        <v>28</v>
      </c>
      <c r="E21" s="4">
        <v>831</v>
      </c>
      <c r="F21" s="4">
        <v>28</v>
      </c>
      <c r="G21" s="4">
        <v>831</v>
      </c>
      <c r="H21" s="4">
        <v>0.312</v>
      </c>
      <c r="I21" s="4">
        <v>12.9</v>
      </c>
      <c r="J21" s="4"/>
      <c r="K21" s="4">
        <v>0.56299999999999994</v>
      </c>
      <c r="L21" s="4">
        <v>0.27300000000000002</v>
      </c>
      <c r="M21" s="4">
        <v>0.113</v>
      </c>
      <c r="N21" s="4">
        <v>0.121</v>
      </c>
      <c r="O21" s="4">
        <v>6.0999999999999999E-2</v>
      </c>
      <c r="P21" s="4">
        <v>0.437</v>
      </c>
      <c r="Q21" s="4"/>
      <c r="R21" s="4">
        <v>0.32300000000000001</v>
      </c>
      <c r="S21" s="4">
        <v>0.36499999999999999</v>
      </c>
      <c r="T21" s="4">
        <v>0.192</v>
      </c>
      <c r="U21" s="4">
        <v>0.32100000000000001</v>
      </c>
      <c r="V21" s="4">
        <v>0.42899999999999999</v>
      </c>
      <c r="W21" s="4">
        <v>0.29699999999999999</v>
      </c>
      <c r="X21" s="4"/>
      <c r="Y21" s="4">
        <v>0.54800000000000004</v>
      </c>
      <c r="Z21" s="4">
        <v>0.73299999999999998</v>
      </c>
      <c r="AA21" s="4"/>
      <c r="AB21" s="4">
        <v>0</v>
      </c>
      <c r="AC21" s="4">
        <v>0</v>
      </c>
      <c r="AD21" s="10">
        <f t="shared" si="1"/>
        <v>0.62884499999999999</v>
      </c>
      <c r="AE21" s="9"/>
      <c r="AF21" s="9"/>
      <c r="AG21" s="12">
        <f t="shared" si="2"/>
        <v>40</v>
      </c>
      <c r="AH21" s="12">
        <f t="shared" si="2"/>
        <v>77.3</v>
      </c>
      <c r="AI21" s="12">
        <f t="shared" si="2"/>
        <v>8</v>
      </c>
      <c r="AJ21" s="12">
        <f t="shared" si="2"/>
        <v>84</v>
      </c>
      <c r="AK21" s="12"/>
      <c r="AL21" s="12">
        <f t="shared" si="8"/>
        <v>13.3</v>
      </c>
      <c r="AM21" s="12">
        <f t="shared" si="8"/>
        <v>34.599999999999994</v>
      </c>
      <c r="AN21" s="12">
        <f t="shared" si="8"/>
        <v>20</v>
      </c>
      <c r="AO21" s="12">
        <f t="shared" si="8"/>
        <v>21.3</v>
      </c>
      <c r="AP21" s="12">
        <f t="shared" si="9"/>
        <v>66.600000000000009</v>
      </c>
      <c r="AQ21" s="12">
        <f t="shared" si="9"/>
        <v>86.6</v>
      </c>
      <c r="AR21" s="12"/>
      <c r="AS21" s="12">
        <f t="shared" si="10"/>
        <v>8</v>
      </c>
      <c r="AT21" s="12">
        <f t="shared" si="10"/>
        <v>8</v>
      </c>
      <c r="AU21" s="12">
        <f t="shared" si="10"/>
        <v>14.6</v>
      </c>
      <c r="AV21" s="12">
        <f t="shared" si="10"/>
        <v>49.3</v>
      </c>
      <c r="AW21" s="12">
        <f t="shared" si="11"/>
        <v>57.3</v>
      </c>
      <c r="AX21" s="12">
        <f t="shared" si="11"/>
        <v>62.6</v>
      </c>
      <c r="AY21" s="12"/>
      <c r="AZ21" s="12">
        <f t="shared" si="3"/>
        <v>62.7</v>
      </c>
      <c r="BA21" s="12">
        <f t="shared" si="4"/>
        <v>61.4</v>
      </c>
      <c r="BB21" s="12"/>
      <c r="BC21" s="12">
        <f t="shared" si="5"/>
        <v>0</v>
      </c>
      <c r="BD21" s="12">
        <f t="shared" si="6"/>
        <v>0</v>
      </c>
      <c r="BE21" s="12">
        <f t="shared" si="7"/>
        <v>60</v>
      </c>
    </row>
    <row r="22" spans="1:57" ht="15.75" customHeight="1">
      <c r="A22" s="1" t="s">
        <v>114</v>
      </c>
      <c r="B22" s="3" t="s">
        <v>96</v>
      </c>
      <c r="C22" s="4" t="s">
        <v>92</v>
      </c>
      <c r="D22" s="4">
        <v>25</v>
      </c>
      <c r="E22" s="4">
        <v>822</v>
      </c>
      <c r="F22" s="4">
        <v>25</v>
      </c>
      <c r="G22" s="4">
        <v>822</v>
      </c>
      <c r="H22" s="4">
        <v>0.41699999999999998</v>
      </c>
      <c r="I22" s="4">
        <v>7.3</v>
      </c>
      <c r="J22" s="4"/>
      <c r="K22" s="4">
        <v>0.95299999999999996</v>
      </c>
      <c r="L22" s="4">
        <v>0.23200000000000001</v>
      </c>
      <c r="M22" s="4">
        <v>0.51200000000000001</v>
      </c>
      <c r="N22" s="4">
        <v>0.16600000000000001</v>
      </c>
      <c r="O22" s="4">
        <v>4.2999999999999997E-2</v>
      </c>
      <c r="P22" s="4">
        <v>4.7E-2</v>
      </c>
      <c r="Q22" s="4"/>
      <c r="R22" s="4">
        <v>0.41299999999999998</v>
      </c>
      <c r="S22" s="4">
        <v>0.51</v>
      </c>
      <c r="T22" s="4">
        <v>0.38900000000000001</v>
      </c>
      <c r="U22" s="4">
        <v>0.371</v>
      </c>
      <c r="V22" s="4">
        <v>0.33300000000000002</v>
      </c>
      <c r="W22" s="4">
        <v>0.5</v>
      </c>
      <c r="X22" s="4"/>
      <c r="Y22" s="4">
        <v>0.69899999999999995</v>
      </c>
      <c r="Z22" s="4">
        <v>1</v>
      </c>
      <c r="AA22" s="4"/>
      <c r="AB22" s="4">
        <v>0</v>
      </c>
      <c r="AC22" s="4">
        <v>0</v>
      </c>
      <c r="AD22" s="10">
        <f t="shared" si="1"/>
        <v>0.71314699999999998</v>
      </c>
      <c r="AE22" s="9"/>
      <c r="AF22" s="9"/>
      <c r="AG22" s="12">
        <f t="shared" si="2"/>
        <v>18.600000000000001</v>
      </c>
      <c r="AH22" s="12">
        <f t="shared" si="2"/>
        <v>76</v>
      </c>
      <c r="AI22" s="12">
        <f t="shared" si="2"/>
        <v>56.000000000000007</v>
      </c>
      <c r="AJ22" s="12">
        <f t="shared" si="2"/>
        <v>32</v>
      </c>
      <c r="AK22" s="12"/>
      <c r="AL22" s="12">
        <f t="shared" si="8"/>
        <v>74.599999999999994</v>
      </c>
      <c r="AM22" s="12">
        <f t="shared" si="8"/>
        <v>25.3</v>
      </c>
      <c r="AN22" s="12">
        <f t="shared" si="8"/>
        <v>100</v>
      </c>
      <c r="AO22" s="12">
        <f t="shared" si="8"/>
        <v>38.6</v>
      </c>
      <c r="AP22" s="12">
        <f t="shared" si="9"/>
        <v>48</v>
      </c>
      <c r="AQ22" s="12">
        <f t="shared" si="9"/>
        <v>25.3</v>
      </c>
      <c r="AR22" s="12"/>
      <c r="AS22" s="12">
        <f t="shared" si="10"/>
        <v>41.3</v>
      </c>
      <c r="AT22" s="12">
        <f t="shared" si="10"/>
        <v>36</v>
      </c>
      <c r="AU22" s="12">
        <f t="shared" si="10"/>
        <v>62.6</v>
      </c>
      <c r="AV22" s="12">
        <f t="shared" si="10"/>
        <v>66.600000000000009</v>
      </c>
      <c r="AW22" s="12">
        <f t="shared" si="11"/>
        <v>33.300000000000004</v>
      </c>
      <c r="AX22" s="12">
        <f t="shared" si="11"/>
        <v>94.6</v>
      </c>
      <c r="AY22" s="12"/>
      <c r="AZ22" s="12">
        <f t="shared" si="3"/>
        <v>28</v>
      </c>
      <c r="BA22" s="12">
        <f t="shared" si="4"/>
        <v>32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32</v>
      </c>
    </row>
    <row r="23" spans="1:57" ht="15" customHeight="1">
      <c r="A23" s="1" t="s">
        <v>115</v>
      </c>
      <c r="B23" s="3" t="s">
        <v>86</v>
      </c>
      <c r="C23" s="4" t="s">
        <v>8</v>
      </c>
      <c r="D23" s="4">
        <v>23</v>
      </c>
      <c r="E23" s="4">
        <v>813</v>
      </c>
      <c r="F23" s="4">
        <v>23</v>
      </c>
      <c r="G23" s="4">
        <v>813</v>
      </c>
      <c r="H23" s="4">
        <v>0.40200000000000002</v>
      </c>
      <c r="I23" s="4">
        <v>14.6</v>
      </c>
      <c r="J23" s="4"/>
      <c r="K23" s="4">
        <v>0.52900000000000003</v>
      </c>
      <c r="L23" s="4">
        <v>0.14199999999999999</v>
      </c>
      <c r="M23" s="4">
        <v>0.13200000000000001</v>
      </c>
      <c r="N23" s="4">
        <v>0.223</v>
      </c>
      <c r="O23" s="4">
        <v>4.3999999999999997E-2</v>
      </c>
      <c r="P23" s="4">
        <v>0.47099999999999997</v>
      </c>
      <c r="Q23" s="4"/>
      <c r="R23" s="4">
        <v>0.45400000000000001</v>
      </c>
      <c r="S23" s="4">
        <v>0.5</v>
      </c>
      <c r="T23" s="4">
        <v>0.38900000000000001</v>
      </c>
      <c r="U23" s="4">
        <v>0.38500000000000001</v>
      </c>
      <c r="V23" s="4">
        <v>0.66700000000000004</v>
      </c>
      <c r="W23" s="4">
        <v>0.34399999999999997</v>
      </c>
      <c r="X23" s="4"/>
      <c r="Y23" s="4">
        <v>0.32700000000000001</v>
      </c>
      <c r="Z23" s="4">
        <v>0.72699999999999998</v>
      </c>
      <c r="AA23" s="4"/>
      <c r="AB23" s="4">
        <v>2.1000000000000001E-2</v>
      </c>
      <c r="AC23" s="4">
        <v>0.75</v>
      </c>
      <c r="AD23" s="10">
        <f t="shared" si="1"/>
        <v>0.51539999999999997</v>
      </c>
      <c r="AE23" s="9"/>
      <c r="AF23" s="9"/>
      <c r="AG23" s="12">
        <f t="shared" si="2"/>
        <v>16</v>
      </c>
      <c r="AH23" s="12">
        <f t="shared" si="2"/>
        <v>74.599999999999994</v>
      </c>
      <c r="AI23" s="12">
        <f t="shared" si="2"/>
        <v>45.300000000000004</v>
      </c>
      <c r="AJ23" s="12">
        <f t="shared" si="2"/>
        <v>90.600000000000009</v>
      </c>
      <c r="AK23" s="12"/>
      <c r="AL23" s="12">
        <f t="shared" si="8"/>
        <v>10.6</v>
      </c>
      <c r="AM23" s="12">
        <f t="shared" si="8"/>
        <v>6.6000000000000005</v>
      </c>
      <c r="AN23" s="12">
        <f t="shared" si="8"/>
        <v>26.6</v>
      </c>
      <c r="AO23" s="12">
        <f t="shared" si="8"/>
        <v>68</v>
      </c>
      <c r="AP23" s="12">
        <f t="shared" si="9"/>
        <v>50.6</v>
      </c>
      <c r="AQ23" s="12">
        <f t="shared" si="9"/>
        <v>89.3</v>
      </c>
      <c r="AR23" s="12"/>
      <c r="AS23" s="12">
        <f t="shared" si="10"/>
        <v>54.6</v>
      </c>
      <c r="AT23" s="12">
        <f t="shared" si="10"/>
        <v>29.299999999999997</v>
      </c>
      <c r="AU23" s="12">
        <f t="shared" si="10"/>
        <v>62.6</v>
      </c>
      <c r="AV23" s="12">
        <f t="shared" si="10"/>
        <v>72</v>
      </c>
      <c r="AW23" s="12">
        <f t="shared" si="11"/>
        <v>82.6</v>
      </c>
      <c r="AX23" s="12">
        <f t="shared" si="11"/>
        <v>74.599999999999994</v>
      </c>
      <c r="AY23" s="12"/>
      <c r="AZ23" s="12">
        <f t="shared" si="3"/>
        <v>90.7</v>
      </c>
      <c r="BA23" s="12">
        <f t="shared" si="4"/>
        <v>62.7</v>
      </c>
      <c r="BB23" s="12"/>
      <c r="BC23" s="12">
        <f t="shared" si="5"/>
        <v>77.3</v>
      </c>
      <c r="BD23" s="12">
        <f t="shared" si="6"/>
        <v>93.300000000000011</v>
      </c>
      <c r="BE23" s="12">
        <f t="shared" si="7"/>
        <v>81.400000000000006</v>
      </c>
    </row>
    <row r="24" spans="1:57" ht="15.75" customHeight="1">
      <c r="A24" s="1" t="s">
        <v>116</v>
      </c>
      <c r="B24" s="3" t="s">
        <v>96</v>
      </c>
      <c r="C24" s="4" t="s">
        <v>110</v>
      </c>
      <c r="D24" s="4">
        <v>28</v>
      </c>
      <c r="E24" s="4">
        <v>803</v>
      </c>
      <c r="F24" s="4">
        <v>28</v>
      </c>
      <c r="G24" s="4">
        <v>803</v>
      </c>
      <c r="H24" s="4">
        <v>0.50800000000000001</v>
      </c>
      <c r="I24" s="4">
        <v>6.1</v>
      </c>
      <c r="J24" s="4"/>
      <c r="K24" s="4">
        <v>0.98399999999999999</v>
      </c>
      <c r="L24" s="4">
        <v>0.30499999999999999</v>
      </c>
      <c r="M24" s="4">
        <v>0.48399999999999999</v>
      </c>
      <c r="N24" s="4">
        <v>0.187</v>
      </c>
      <c r="O24" s="4">
        <v>8.0000000000000002E-3</v>
      </c>
      <c r="P24" s="4">
        <v>1.6E-2</v>
      </c>
      <c r="Q24" s="4"/>
      <c r="R24" s="4">
        <v>0.51200000000000001</v>
      </c>
      <c r="S24" s="4">
        <v>0.627</v>
      </c>
      <c r="T24" s="4">
        <v>0.45400000000000001</v>
      </c>
      <c r="U24" s="4">
        <v>0.47799999999999998</v>
      </c>
      <c r="V24" s="4">
        <v>0.5</v>
      </c>
      <c r="W24" s="4">
        <v>0.25</v>
      </c>
      <c r="X24" s="4"/>
      <c r="Y24" s="4">
        <v>0.75800000000000001</v>
      </c>
      <c r="Z24" s="4">
        <v>1</v>
      </c>
      <c r="AA24" s="4"/>
      <c r="AB24" s="4">
        <v>0.25</v>
      </c>
      <c r="AC24" s="4">
        <v>0</v>
      </c>
      <c r="AD24" s="10">
        <f t="shared" si="1"/>
        <v>0.76187199999999999</v>
      </c>
      <c r="AE24" s="9"/>
      <c r="AF24" s="9"/>
      <c r="AG24" s="12">
        <f t="shared" si="2"/>
        <v>40</v>
      </c>
      <c r="AH24" s="12">
        <f t="shared" si="2"/>
        <v>73.3</v>
      </c>
      <c r="AI24" s="12">
        <f t="shared" si="2"/>
        <v>93.300000000000011</v>
      </c>
      <c r="AJ24" s="12">
        <f t="shared" si="2"/>
        <v>22.6</v>
      </c>
      <c r="AK24" s="12"/>
      <c r="AL24" s="12">
        <f t="shared" si="8"/>
        <v>84</v>
      </c>
      <c r="AM24" s="12">
        <f t="shared" si="8"/>
        <v>42.6</v>
      </c>
      <c r="AN24" s="12">
        <f t="shared" si="8"/>
        <v>98.6</v>
      </c>
      <c r="AO24" s="12">
        <f t="shared" si="8"/>
        <v>52</v>
      </c>
      <c r="AP24" s="12">
        <f t="shared" si="9"/>
        <v>8</v>
      </c>
      <c r="AQ24" s="12">
        <f t="shared" si="9"/>
        <v>16</v>
      </c>
      <c r="AR24" s="12"/>
      <c r="AS24" s="12">
        <f t="shared" si="10"/>
        <v>89.3</v>
      </c>
      <c r="AT24" s="12">
        <f t="shared" si="10"/>
        <v>81.3</v>
      </c>
      <c r="AU24" s="12">
        <f t="shared" si="10"/>
        <v>81.3</v>
      </c>
      <c r="AV24" s="12">
        <f t="shared" si="10"/>
        <v>88</v>
      </c>
      <c r="AW24" s="12">
        <f t="shared" si="11"/>
        <v>68</v>
      </c>
      <c r="AX24" s="12">
        <f t="shared" si="11"/>
        <v>45.300000000000004</v>
      </c>
      <c r="AY24" s="12"/>
      <c r="AZ24" s="12">
        <f t="shared" si="3"/>
        <v>9.3999999999999915</v>
      </c>
      <c r="BA24" s="12">
        <f t="shared" si="4"/>
        <v>32</v>
      </c>
      <c r="BB24" s="12"/>
      <c r="BC24" s="12">
        <f t="shared" si="5"/>
        <v>96</v>
      </c>
      <c r="BD24" s="12">
        <f t="shared" si="6"/>
        <v>0</v>
      </c>
      <c r="BE24" s="12">
        <f t="shared" si="7"/>
        <v>16</v>
      </c>
    </row>
    <row r="25" spans="1:57" ht="15.75" customHeight="1">
      <c r="A25" s="1" t="s">
        <v>117</v>
      </c>
      <c r="B25" s="3" t="s">
        <v>98</v>
      </c>
      <c r="C25" s="4" t="s">
        <v>118</v>
      </c>
      <c r="D25" s="4">
        <v>26</v>
      </c>
      <c r="E25" s="4">
        <v>789</v>
      </c>
      <c r="F25" s="4">
        <v>26</v>
      </c>
      <c r="G25" s="4">
        <v>789</v>
      </c>
      <c r="H25" s="4">
        <v>0.40400000000000003</v>
      </c>
      <c r="I25" s="4">
        <v>9.1</v>
      </c>
      <c r="J25" s="4"/>
      <c r="K25" s="4">
        <v>0.92200000000000004</v>
      </c>
      <c r="L25" s="4">
        <v>0.28899999999999998</v>
      </c>
      <c r="M25" s="4">
        <v>0.17</v>
      </c>
      <c r="N25" s="4">
        <v>0.36699999999999999</v>
      </c>
      <c r="O25" s="4">
        <v>6.3E-2</v>
      </c>
      <c r="P25" s="4">
        <v>7.8E-2</v>
      </c>
      <c r="Q25" s="4"/>
      <c r="R25" s="4">
        <v>0.42199999999999999</v>
      </c>
      <c r="S25" s="4">
        <v>0.47399999999999998</v>
      </c>
      <c r="T25" s="4">
        <v>0.37</v>
      </c>
      <c r="U25" s="4">
        <v>0.41399999999999998</v>
      </c>
      <c r="V25" s="4">
        <v>0.41199999999999998</v>
      </c>
      <c r="W25" s="4">
        <v>0.19</v>
      </c>
      <c r="X25" s="4"/>
      <c r="Y25" s="4">
        <v>0.67600000000000005</v>
      </c>
      <c r="Z25" s="4">
        <v>0.75</v>
      </c>
      <c r="AA25" s="4"/>
      <c r="AB25" s="4">
        <v>0</v>
      </c>
      <c r="AC25" s="4">
        <v>0</v>
      </c>
      <c r="AD25" s="10">
        <f t="shared" si="1"/>
        <v>0.68177200000000004</v>
      </c>
      <c r="AE25" s="9"/>
      <c r="AF25" s="9"/>
      <c r="AG25" s="12">
        <f t="shared" si="2"/>
        <v>25.3</v>
      </c>
      <c r="AH25" s="12">
        <f t="shared" si="2"/>
        <v>72</v>
      </c>
      <c r="AI25" s="12">
        <f t="shared" si="2"/>
        <v>49.3</v>
      </c>
      <c r="AJ25" s="12">
        <f t="shared" si="2"/>
        <v>46.6</v>
      </c>
      <c r="AK25" s="12"/>
      <c r="AL25" s="12">
        <f t="shared" si="8"/>
        <v>62.6</v>
      </c>
      <c r="AM25" s="12">
        <f t="shared" si="8"/>
        <v>37.299999999999997</v>
      </c>
      <c r="AN25" s="12">
        <f t="shared" si="8"/>
        <v>41.3</v>
      </c>
      <c r="AO25" s="12">
        <f t="shared" si="8"/>
        <v>94.6</v>
      </c>
      <c r="AP25" s="12">
        <f t="shared" si="9"/>
        <v>68</v>
      </c>
      <c r="AQ25" s="12">
        <f t="shared" si="9"/>
        <v>37.299999999999997</v>
      </c>
      <c r="AR25" s="12"/>
      <c r="AS25" s="12">
        <f t="shared" si="10"/>
        <v>46.6</v>
      </c>
      <c r="AT25" s="12">
        <f t="shared" si="10"/>
        <v>22.6</v>
      </c>
      <c r="AU25" s="12">
        <f t="shared" si="10"/>
        <v>49.3</v>
      </c>
      <c r="AV25" s="12">
        <f t="shared" si="10"/>
        <v>80</v>
      </c>
      <c r="AW25" s="12">
        <f t="shared" si="11"/>
        <v>52</v>
      </c>
      <c r="AX25" s="12">
        <f t="shared" si="11"/>
        <v>34.599999999999994</v>
      </c>
      <c r="AY25" s="12"/>
      <c r="AZ25" s="12">
        <f t="shared" si="3"/>
        <v>34.700000000000003</v>
      </c>
      <c r="BA25" s="12">
        <f t="shared" si="4"/>
        <v>58.7</v>
      </c>
      <c r="BB25" s="12"/>
      <c r="BC25" s="12">
        <f t="shared" si="5"/>
        <v>0</v>
      </c>
      <c r="BD25" s="12">
        <f t="shared" si="6"/>
        <v>0</v>
      </c>
      <c r="BE25" s="12">
        <f t="shared" si="7"/>
        <v>48</v>
      </c>
    </row>
    <row r="26" spans="1:57" ht="15.75" customHeight="1">
      <c r="A26" s="1" t="s">
        <v>119</v>
      </c>
      <c r="B26" s="3" t="s">
        <v>90</v>
      </c>
      <c r="C26" s="4" t="s">
        <v>8</v>
      </c>
      <c r="D26" s="4">
        <v>28</v>
      </c>
      <c r="E26" s="4">
        <v>784</v>
      </c>
      <c r="F26" s="4">
        <v>28</v>
      </c>
      <c r="G26" s="4">
        <v>784</v>
      </c>
      <c r="H26" s="4">
        <v>0.44</v>
      </c>
      <c r="I26" s="4">
        <v>10</v>
      </c>
      <c r="J26" s="4"/>
      <c r="K26" s="4">
        <v>0.86799999999999999</v>
      </c>
      <c r="L26" s="4">
        <v>0.248</v>
      </c>
      <c r="M26" s="4">
        <v>0.192</v>
      </c>
      <c r="N26" s="4">
        <v>0.28399999999999997</v>
      </c>
      <c r="O26" s="4">
        <v>0.08</v>
      </c>
      <c r="P26" s="4">
        <v>0.13200000000000001</v>
      </c>
      <c r="Q26" s="4"/>
      <c r="R26" s="4">
        <v>0.46500000000000002</v>
      </c>
      <c r="S26" s="4">
        <v>0.61299999999999999</v>
      </c>
      <c r="T26" s="4">
        <v>0.41699999999999998</v>
      </c>
      <c r="U26" s="4">
        <v>0.36599999999999999</v>
      </c>
      <c r="V26" s="4">
        <v>0.5</v>
      </c>
      <c r="W26" s="4">
        <v>0.27300000000000002</v>
      </c>
      <c r="X26" s="4"/>
      <c r="Y26" s="4">
        <v>0.46500000000000002</v>
      </c>
      <c r="Z26" s="4">
        <v>0.88900000000000001</v>
      </c>
      <c r="AA26" s="4"/>
      <c r="AB26" s="4">
        <v>6.0999999999999999E-2</v>
      </c>
      <c r="AC26" s="4">
        <v>0</v>
      </c>
      <c r="AD26" s="10">
        <f t="shared" si="1"/>
        <v>0.5209680000000001</v>
      </c>
      <c r="AE26" s="9"/>
      <c r="AF26" s="9"/>
      <c r="AG26" s="12">
        <f t="shared" si="2"/>
        <v>40</v>
      </c>
      <c r="AH26" s="12">
        <f t="shared" si="2"/>
        <v>70.599999999999994</v>
      </c>
      <c r="AI26" s="12">
        <f t="shared" si="2"/>
        <v>65.3</v>
      </c>
      <c r="AJ26" s="12">
        <f t="shared" si="2"/>
        <v>56.000000000000007</v>
      </c>
      <c r="AK26" s="12"/>
      <c r="AL26" s="12">
        <f t="shared" si="8"/>
        <v>49.3</v>
      </c>
      <c r="AM26" s="12">
        <f t="shared" si="8"/>
        <v>30.599999999999998</v>
      </c>
      <c r="AN26" s="12">
        <f t="shared" si="8"/>
        <v>49.3</v>
      </c>
      <c r="AO26" s="12">
        <f t="shared" si="8"/>
        <v>85.3</v>
      </c>
      <c r="AP26" s="12">
        <f t="shared" si="9"/>
        <v>80</v>
      </c>
      <c r="AQ26" s="12">
        <f t="shared" si="9"/>
        <v>50.6</v>
      </c>
      <c r="AR26" s="12"/>
      <c r="AS26" s="12">
        <f t="shared" si="10"/>
        <v>65.3</v>
      </c>
      <c r="AT26" s="12">
        <f t="shared" si="10"/>
        <v>80</v>
      </c>
      <c r="AU26" s="12">
        <f t="shared" si="10"/>
        <v>74.599999999999994</v>
      </c>
      <c r="AV26" s="12">
        <f t="shared" si="10"/>
        <v>65.3</v>
      </c>
      <c r="AW26" s="12">
        <f t="shared" si="11"/>
        <v>68</v>
      </c>
      <c r="AX26" s="12">
        <f t="shared" si="11"/>
        <v>53.300000000000004</v>
      </c>
      <c r="AY26" s="12"/>
      <c r="AZ26" s="12">
        <f t="shared" si="3"/>
        <v>78.7</v>
      </c>
      <c r="BA26" s="12">
        <f t="shared" si="4"/>
        <v>38.700000000000003</v>
      </c>
      <c r="BB26" s="12"/>
      <c r="BC26" s="12">
        <f t="shared" si="5"/>
        <v>89.3</v>
      </c>
      <c r="BD26" s="12">
        <f t="shared" si="6"/>
        <v>0</v>
      </c>
      <c r="BE26" s="12">
        <f t="shared" si="7"/>
        <v>80</v>
      </c>
    </row>
    <row r="27" spans="1:57" ht="15.75" customHeight="1">
      <c r="A27" s="1" t="s">
        <v>120</v>
      </c>
      <c r="B27" s="3" t="s">
        <v>94</v>
      </c>
      <c r="C27" s="4" t="s">
        <v>118</v>
      </c>
      <c r="D27" s="4">
        <v>28</v>
      </c>
      <c r="E27" s="4">
        <v>775</v>
      </c>
      <c r="F27" s="4">
        <v>28</v>
      </c>
      <c r="G27" s="4">
        <v>775</v>
      </c>
      <c r="H27" s="4">
        <v>0.29699999999999999</v>
      </c>
      <c r="I27" s="4">
        <v>6.2</v>
      </c>
      <c r="J27" s="4"/>
      <c r="K27" s="4">
        <v>0.90500000000000003</v>
      </c>
      <c r="L27" s="4">
        <v>0.50600000000000001</v>
      </c>
      <c r="M27" s="4">
        <v>0.222</v>
      </c>
      <c r="N27" s="4">
        <v>0.127</v>
      </c>
      <c r="O27" s="4">
        <v>5.0999999999999997E-2</v>
      </c>
      <c r="P27" s="4">
        <v>9.5000000000000001E-2</v>
      </c>
      <c r="Q27" s="4"/>
      <c r="R27" s="4">
        <v>0.32200000000000001</v>
      </c>
      <c r="S27" s="4">
        <v>0.35</v>
      </c>
      <c r="T27" s="4">
        <v>0.314</v>
      </c>
      <c r="U27" s="4">
        <v>0.3</v>
      </c>
      <c r="V27" s="4">
        <v>0.125</v>
      </c>
      <c r="W27" s="4">
        <v>6.7000000000000004E-2</v>
      </c>
      <c r="X27" s="4"/>
      <c r="Y27" s="4">
        <v>0.58699999999999997</v>
      </c>
      <c r="Z27" s="4">
        <v>1</v>
      </c>
      <c r="AA27" s="4"/>
      <c r="AB27" s="4">
        <v>6.7000000000000004E-2</v>
      </c>
      <c r="AC27" s="4">
        <v>0</v>
      </c>
      <c r="AD27" s="10">
        <f t="shared" si="1"/>
        <v>0.62623499999999999</v>
      </c>
      <c r="AE27" s="9"/>
      <c r="AF27" s="9"/>
      <c r="AG27" s="12">
        <f t="shared" si="2"/>
        <v>40</v>
      </c>
      <c r="AH27" s="12">
        <f t="shared" si="2"/>
        <v>69.3</v>
      </c>
      <c r="AI27" s="12">
        <f t="shared" si="2"/>
        <v>6.6000000000000005</v>
      </c>
      <c r="AJ27" s="12">
        <f t="shared" si="2"/>
        <v>25.3</v>
      </c>
      <c r="AK27" s="12"/>
      <c r="AL27" s="12">
        <f t="shared" si="8"/>
        <v>58.599999999999994</v>
      </c>
      <c r="AM27" s="12">
        <f t="shared" si="8"/>
        <v>86.6</v>
      </c>
      <c r="AN27" s="12">
        <f t="shared" si="8"/>
        <v>58.599999999999994</v>
      </c>
      <c r="AO27" s="12">
        <f t="shared" si="8"/>
        <v>22.6</v>
      </c>
      <c r="AP27" s="12">
        <f t="shared" si="9"/>
        <v>56.000000000000007</v>
      </c>
      <c r="AQ27" s="12">
        <f t="shared" si="9"/>
        <v>41.3</v>
      </c>
      <c r="AR27" s="12"/>
      <c r="AS27" s="12">
        <f t="shared" si="10"/>
        <v>6.6000000000000005</v>
      </c>
      <c r="AT27" s="12">
        <f t="shared" si="10"/>
        <v>4</v>
      </c>
      <c r="AU27" s="12">
        <f t="shared" si="10"/>
        <v>34.599999999999994</v>
      </c>
      <c r="AV27" s="12">
        <f t="shared" si="10"/>
        <v>44</v>
      </c>
      <c r="AW27" s="12">
        <f t="shared" si="11"/>
        <v>17.299999999999997</v>
      </c>
      <c r="AX27" s="12">
        <f t="shared" si="11"/>
        <v>22.6</v>
      </c>
      <c r="AY27" s="12"/>
      <c r="AZ27" s="12">
        <f t="shared" si="3"/>
        <v>53.4</v>
      </c>
      <c r="BA27" s="12">
        <f t="shared" si="4"/>
        <v>32</v>
      </c>
      <c r="BB27" s="12"/>
      <c r="BC27" s="12">
        <f t="shared" si="5"/>
        <v>90.600000000000009</v>
      </c>
      <c r="BD27" s="12">
        <f t="shared" si="6"/>
        <v>0</v>
      </c>
      <c r="BE27" s="12">
        <f t="shared" si="7"/>
        <v>61.4</v>
      </c>
    </row>
    <row r="28" spans="1:57" ht="15.75" customHeight="1">
      <c r="A28" s="1" t="s">
        <v>121</v>
      </c>
      <c r="B28" s="3" t="s">
        <v>94</v>
      </c>
      <c r="C28" s="4" t="s">
        <v>110</v>
      </c>
      <c r="D28" s="4">
        <v>28</v>
      </c>
      <c r="E28" s="4">
        <v>736</v>
      </c>
      <c r="F28" s="4">
        <v>28</v>
      </c>
      <c r="G28" s="4">
        <v>736</v>
      </c>
      <c r="H28" s="4">
        <v>0.46800000000000003</v>
      </c>
      <c r="I28" s="4">
        <v>4.8</v>
      </c>
      <c r="J28" s="4"/>
      <c r="K28" s="4">
        <v>0.97</v>
      </c>
      <c r="L28" s="4">
        <v>0.46800000000000003</v>
      </c>
      <c r="M28" s="4">
        <v>0.35799999999999998</v>
      </c>
      <c r="N28" s="4">
        <v>0.13900000000000001</v>
      </c>
      <c r="O28" s="4">
        <v>5.0000000000000001E-3</v>
      </c>
      <c r="P28" s="4">
        <v>0.03</v>
      </c>
      <c r="Q28" s="4"/>
      <c r="R28" s="4">
        <v>0.47699999999999998</v>
      </c>
      <c r="S28" s="4">
        <v>0.56399999999999995</v>
      </c>
      <c r="T28" s="4">
        <v>0.36099999999999999</v>
      </c>
      <c r="U28" s="4">
        <v>0.5</v>
      </c>
      <c r="V28" s="4">
        <v>0</v>
      </c>
      <c r="W28" s="4">
        <v>0.16700000000000001</v>
      </c>
      <c r="X28" s="4"/>
      <c r="Y28" s="4">
        <v>0.59099999999999997</v>
      </c>
      <c r="Z28" s="4">
        <v>1</v>
      </c>
      <c r="AA28" s="4"/>
      <c r="AB28" s="4">
        <v>0</v>
      </c>
      <c r="AC28" s="4">
        <v>0</v>
      </c>
      <c r="AD28" s="10">
        <f t="shared" si="1"/>
        <v>0.60326999999999997</v>
      </c>
      <c r="AE28" s="9"/>
      <c r="AF28" s="9"/>
      <c r="AG28" s="12">
        <f t="shared" si="2"/>
        <v>40</v>
      </c>
      <c r="AH28" s="12">
        <f t="shared" si="2"/>
        <v>68</v>
      </c>
      <c r="AI28" s="12">
        <f t="shared" si="2"/>
        <v>84</v>
      </c>
      <c r="AJ28" s="12">
        <f t="shared" si="2"/>
        <v>8</v>
      </c>
      <c r="AK28" s="12"/>
      <c r="AL28" s="12">
        <f t="shared" si="8"/>
        <v>80</v>
      </c>
      <c r="AM28" s="12">
        <f t="shared" si="8"/>
        <v>84</v>
      </c>
      <c r="AN28" s="12">
        <f t="shared" si="8"/>
        <v>90.600000000000009</v>
      </c>
      <c r="AO28" s="12">
        <f t="shared" si="8"/>
        <v>29.299999999999997</v>
      </c>
      <c r="AP28" s="12">
        <f t="shared" si="9"/>
        <v>4</v>
      </c>
      <c r="AQ28" s="12">
        <f t="shared" si="9"/>
        <v>20</v>
      </c>
      <c r="AR28" s="12"/>
      <c r="AS28" s="12">
        <f t="shared" si="10"/>
        <v>78.600000000000009</v>
      </c>
      <c r="AT28" s="12">
        <f t="shared" si="10"/>
        <v>60</v>
      </c>
      <c r="AU28" s="12">
        <f t="shared" si="10"/>
        <v>46.6</v>
      </c>
      <c r="AV28" s="12">
        <f t="shared" si="10"/>
        <v>90.600000000000009</v>
      </c>
      <c r="AW28" s="12">
        <f t="shared" si="11"/>
        <v>0</v>
      </c>
      <c r="AX28" s="12">
        <f t="shared" si="11"/>
        <v>29.299999999999997</v>
      </c>
      <c r="AY28" s="12"/>
      <c r="AZ28" s="12">
        <f t="shared" si="3"/>
        <v>49.4</v>
      </c>
      <c r="BA28" s="12">
        <f t="shared" si="4"/>
        <v>32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65.400000000000006</v>
      </c>
    </row>
    <row r="29" spans="1:57" ht="15.75" customHeight="1">
      <c r="A29" s="1" t="s">
        <v>122</v>
      </c>
      <c r="B29" s="3" t="s">
        <v>105</v>
      </c>
      <c r="C29" s="4" t="s">
        <v>8</v>
      </c>
      <c r="D29" s="4">
        <v>27</v>
      </c>
      <c r="E29" s="4">
        <v>715</v>
      </c>
      <c r="F29" s="4">
        <v>27</v>
      </c>
      <c r="G29" s="4">
        <v>715</v>
      </c>
      <c r="H29" s="4">
        <v>0.45600000000000002</v>
      </c>
      <c r="I29" s="4">
        <v>10.6</v>
      </c>
      <c r="J29" s="4"/>
      <c r="K29" s="4">
        <v>0.79400000000000004</v>
      </c>
      <c r="L29" s="4">
        <v>0.32100000000000001</v>
      </c>
      <c r="M29" s="4">
        <v>0.16700000000000001</v>
      </c>
      <c r="N29" s="4">
        <v>0.20599999999999999</v>
      </c>
      <c r="O29" s="4">
        <v>0.115</v>
      </c>
      <c r="P29" s="4">
        <v>0.20599999999999999</v>
      </c>
      <c r="Q29" s="4"/>
      <c r="R29" s="4">
        <v>0.46500000000000002</v>
      </c>
      <c r="S29" s="4">
        <v>0.57999999999999996</v>
      </c>
      <c r="T29" s="4">
        <v>0.40500000000000003</v>
      </c>
      <c r="U29" s="4">
        <v>0.40400000000000003</v>
      </c>
      <c r="V29" s="4">
        <v>0.41399999999999998</v>
      </c>
      <c r="W29" s="4">
        <v>0.42299999999999999</v>
      </c>
      <c r="X29" s="4"/>
      <c r="Y29" s="4">
        <v>0.33300000000000002</v>
      </c>
      <c r="Z29" s="4">
        <v>0.77300000000000002</v>
      </c>
      <c r="AA29" s="4"/>
      <c r="AB29" s="4">
        <v>0</v>
      </c>
      <c r="AC29" s="4">
        <v>0</v>
      </c>
      <c r="AD29" s="10">
        <f t="shared" si="1"/>
        <v>0.42364000000000002</v>
      </c>
      <c r="AE29" s="9"/>
      <c r="AF29" s="9"/>
      <c r="AG29" s="12">
        <f t="shared" si="2"/>
        <v>33.300000000000004</v>
      </c>
      <c r="AH29" s="12">
        <f t="shared" si="2"/>
        <v>66.600000000000009</v>
      </c>
      <c r="AI29" s="12">
        <f t="shared" si="2"/>
        <v>73.3</v>
      </c>
      <c r="AJ29" s="12">
        <f t="shared" si="2"/>
        <v>65.3</v>
      </c>
      <c r="AK29" s="12"/>
      <c r="AL29" s="12">
        <f t="shared" si="8"/>
        <v>34.599999999999994</v>
      </c>
      <c r="AM29" s="12">
        <f t="shared" si="8"/>
        <v>52</v>
      </c>
      <c r="AN29" s="12">
        <f t="shared" si="8"/>
        <v>40</v>
      </c>
      <c r="AO29" s="12">
        <f t="shared" si="8"/>
        <v>57.3</v>
      </c>
      <c r="AP29" s="12">
        <f t="shared" si="9"/>
        <v>89.3</v>
      </c>
      <c r="AQ29" s="12">
        <f t="shared" si="9"/>
        <v>65.3</v>
      </c>
      <c r="AR29" s="12"/>
      <c r="AS29" s="12">
        <f t="shared" si="10"/>
        <v>65.3</v>
      </c>
      <c r="AT29" s="12">
        <f t="shared" si="10"/>
        <v>65.3</v>
      </c>
      <c r="AU29" s="12">
        <f t="shared" si="10"/>
        <v>73.3</v>
      </c>
      <c r="AV29" s="12">
        <f t="shared" si="10"/>
        <v>77.3</v>
      </c>
      <c r="AW29" s="12">
        <f t="shared" si="11"/>
        <v>53.300000000000004</v>
      </c>
      <c r="AX29" s="12">
        <f t="shared" si="11"/>
        <v>92</v>
      </c>
      <c r="AY29" s="12"/>
      <c r="AZ29" s="12">
        <f t="shared" si="3"/>
        <v>89.4</v>
      </c>
      <c r="BA29" s="12">
        <f t="shared" si="4"/>
        <v>54.699999999999996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90.7</v>
      </c>
    </row>
    <row r="30" spans="1:57" ht="15.75" customHeight="1">
      <c r="A30" s="1" t="s">
        <v>123</v>
      </c>
      <c r="B30" s="3" t="s">
        <v>96</v>
      </c>
      <c r="C30" s="4" t="s">
        <v>8</v>
      </c>
      <c r="D30" s="4">
        <v>28</v>
      </c>
      <c r="E30" s="4">
        <v>712</v>
      </c>
      <c r="F30" s="4">
        <v>28</v>
      </c>
      <c r="G30" s="4">
        <v>712</v>
      </c>
      <c r="H30" s="4">
        <v>0.40100000000000002</v>
      </c>
      <c r="I30" s="4">
        <v>6.6</v>
      </c>
      <c r="J30" s="4"/>
      <c r="K30" s="4">
        <v>0.96799999999999997</v>
      </c>
      <c r="L30" s="4">
        <v>0.34599999999999997</v>
      </c>
      <c r="M30" s="4">
        <v>0.41499999999999998</v>
      </c>
      <c r="N30" s="4">
        <v>0.184</v>
      </c>
      <c r="O30" s="4">
        <v>2.3E-2</v>
      </c>
      <c r="P30" s="4">
        <v>3.2000000000000001E-2</v>
      </c>
      <c r="Q30" s="4"/>
      <c r="R30" s="4">
        <v>0.41399999999999998</v>
      </c>
      <c r="S30" s="4">
        <v>0.6</v>
      </c>
      <c r="T30" s="4">
        <v>0.27800000000000002</v>
      </c>
      <c r="U30" s="4">
        <v>0.375</v>
      </c>
      <c r="V30" s="4">
        <v>0.4</v>
      </c>
      <c r="W30" s="4">
        <v>0</v>
      </c>
      <c r="X30" s="4"/>
      <c r="Y30" s="4">
        <v>0.39100000000000001</v>
      </c>
      <c r="Z30" s="4">
        <v>0</v>
      </c>
      <c r="AA30" s="4"/>
      <c r="AB30" s="4">
        <v>0</v>
      </c>
      <c r="AC30" s="4">
        <v>0</v>
      </c>
      <c r="AD30" s="10">
        <f t="shared" si="1"/>
        <v>0.37848799999999999</v>
      </c>
      <c r="AE30" s="9"/>
      <c r="AF30" s="9"/>
      <c r="AG30" s="12">
        <f t="shared" si="2"/>
        <v>40</v>
      </c>
      <c r="AH30" s="12">
        <f t="shared" si="2"/>
        <v>65.3</v>
      </c>
      <c r="AI30" s="12">
        <f t="shared" si="2"/>
        <v>44</v>
      </c>
      <c r="AJ30" s="12">
        <f t="shared" si="2"/>
        <v>28.000000000000004</v>
      </c>
      <c r="AK30" s="12"/>
      <c r="AL30" s="12">
        <f t="shared" si="8"/>
        <v>77.3</v>
      </c>
      <c r="AM30" s="12">
        <f t="shared" si="8"/>
        <v>57.3</v>
      </c>
      <c r="AN30" s="12">
        <f t="shared" si="8"/>
        <v>96</v>
      </c>
      <c r="AO30" s="12">
        <f t="shared" si="8"/>
        <v>48</v>
      </c>
      <c r="AP30" s="12">
        <f t="shared" si="9"/>
        <v>20</v>
      </c>
      <c r="AQ30" s="12">
        <f t="shared" si="9"/>
        <v>21.3</v>
      </c>
      <c r="AR30" s="12"/>
      <c r="AS30" s="12">
        <f t="shared" si="10"/>
        <v>45.300000000000004</v>
      </c>
      <c r="AT30" s="12">
        <f t="shared" si="10"/>
        <v>73.3</v>
      </c>
      <c r="AU30" s="12">
        <f t="shared" si="10"/>
        <v>28.000000000000004</v>
      </c>
      <c r="AV30" s="12">
        <f t="shared" si="10"/>
        <v>68</v>
      </c>
      <c r="AW30" s="12">
        <f t="shared" si="11"/>
        <v>49.3</v>
      </c>
      <c r="AX30" s="12">
        <f t="shared" si="11"/>
        <v>0</v>
      </c>
      <c r="AY30" s="12"/>
      <c r="AZ30" s="12">
        <f t="shared" si="3"/>
        <v>82.7</v>
      </c>
      <c r="BA30" s="12">
        <f t="shared" si="4"/>
        <v>100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96</v>
      </c>
    </row>
    <row r="31" spans="1:57" ht="15.75" customHeight="1">
      <c r="A31" s="1" t="s">
        <v>124</v>
      </c>
      <c r="B31" s="3" t="s">
        <v>88</v>
      </c>
      <c r="C31" s="4" t="s">
        <v>99</v>
      </c>
      <c r="D31" s="4">
        <v>28</v>
      </c>
      <c r="E31" s="4">
        <v>710</v>
      </c>
      <c r="F31" s="4">
        <v>28</v>
      </c>
      <c r="G31" s="4">
        <v>710</v>
      </c>
      <c r="H31" s="4">
        <v>0.49199999999999999</v>
      </c>
      <c r="I31" s="4">
        <v>5.7</v>
      </c>
      <c r="J31" s="4"/>
      <c r="K31" s="4">
        <v>0.96699999999999997</v>
      </c>
      <c r="L31" s="4">
        <v>0.46300000000000002</v>
      </c>
      <c r="M31" s="4">
        <v>0.28699999999999998</v>
      </c>
      <c r="N31" s="4">
        <v>0.17599999999999999</v>
      </c>
      <c r="O31" s="4">
        <v>4.1000000000000002E-2</v>
      </c>
      <c r="P31" s="4">
        <v>3.3000000000000002E-2</v>
      </c>
      <c r="Q31" s="4"/>
      <c r="R31" s="4">
        <v>0.49199999999999999</v>
      </c>
      <c r="S31" s="4">
        <v>0.55800000000000005</v>
      </c>
      <c r="T31" s="4">
        <v>0.42899999999999999</v>
      </c>
      <c r="U31" s="4">
        <v>0.442</v>
      </c>
      <c r="V31" s="4">
        <v>0.4</v>
      </c>
      <c r="W31" s="4">
        <v>0.5</v>
      </c>
      <c r="X31" s="4"/>
      <c r="Y31" s="4">
        <v>0.76700000000000002</v>
      </c>
      <c r="Z31" s="4">
        <v>1</v>
      </c>
      <c r="AA31" s="4"/>
      <c r="AB31" s="4">
        <v>0</v>
      </c>
      <c r="AC31" s="4">
        <v>0</v>
      </c>
      <c r="AD31" s="10">
        <f t="shared" si="1"/>
        <v>0.77468900000000007</v>
      </c>
      <c r="AE31" s="9"/>
      <c r="AF31" s="9"/>
      <c r="AG31" s="12">
        <f t="shared" si="2"/>
        <v>40</v>
      </c>
      <c r="AH31" s="12">
        <f t="shared" si="2"/>
        <v>64</v>
      </c>
      <c r="AI31" s="12">
        <f t="shared" si="2"/>
        <v>90.600000000000009</v>
      </c>
      <c r="AJ31" s="12">
        <f t="shared" si="2"/>
        <v>14.6</v>
      </c>
      <c r="AK31" s="12"/>
      <c r="AL31" s="12">
        <f t="shared" si="8"/>
        <v>76</v>
      </c>
      <c r="AM31" s="12">
        <f t="shared" si="8"/>
        <v>81.3</v>
      </c>
      <c r="AN31" s="12">
        <f t="shared" si="8"/>
        <v>77.3</v>
      </c>
      <c r="AO31" s="12">
        <f t="shared" si="8"/>
        <v>41.3</v>
      </c>
      <c r="AP31" s="12">
        <f t="shared" si="9"/>
        <v>45.300000000000004</v>
      </c>
      <c r="AQ31" s="12">
        <f t="shared" si="9"/>
        <v>24</v>
      </c>
      <c r="AR31" s="12"/>
      <c r="AS31" s="12">
        <f t="shared" si="10"/>
        <v>82.6</v>
      </c>
      <c r="AT31" s="12">
        <f t="shared" si="10"/>
        <v>57.3</v>
      </c>
      <c r="AU31" s="12">
        <f t="shared" si="10"/>
        <v>77.3</v>
      </c>
      <c r="AV31" s="12">
        <f t="shared" si="10"/>
        <v>84</v>
      </c>
      <c r="AW31" s="12">
        <f t="shared" si="11"/>
        <v>49.3</v>
      </c>
      <c r="AX31" s="12">
        <f t="shared" si="11"/>
        <v>94.6</v>
      </c>
      <c r="AY31" s="12"/>
      <c r="AZ31" s="12">
        <f t="shared" si="3"/>
        <v>8</v>
      </c>
      <c r="BA31" s="12">
        <f t="shared" si="4"/>
        <v>32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9.3999999999999915</v>
      </c>
    </row>
    <row r="32" spans="1:57" ht="15.75" customHeight="1">
      <c r="A32" s="1" t="s">
        <v>125</v>
      </c>
      <c r="B32" s="3" t="s">
        <v>90</v>
      </c>
      <c r="C32" s="4" t="s">
        <v>8</v>
      </c>
      <c r="D32" s="4">
        <v>28</v>
      </c>
      <c r="E32" s="4">
        <v>692</v>
      </c>
      <c r="F32" s="4">
        <v>28</v>
      </c>
      <c r="G32" s="4">
        <v>692</v>
      </c>
      <c r="H32" s="4">
        <v>0.36399999999999999</v>
      </c>
      <c r="I32" s="4">
        <v>14.9</v>
      </c>
      <c r="J32" s="4"/>
      <c r="K32" s="4">
        <v>0.38900000000000001</v>
      </c>
      <c r="L32" s="4">
        <v>0.24099999999999999</v>
      </c>
      <c r="M32" s="4">
        <v>0.08</v>
      </c>
      <c r="N32" s="4">
        <v>1.9E-2</v>
      </c>
      <c r="O32" s="4">
        <v>2.5000000000000001E-2</v>
      </c>
      <c r="P32" s="4">
        <v>0.61099999999999999</v>
      </c>
      <c r="Q32" s="4"/>
      <c r="R32" s="4">
        <v>0.49199999999999999</v>
      </c>
      <c r="S32" s="4">
        <v>0.51300000000000001</v>
      </c>
      <c r="T32" s="4">
        <v>0.53800000000000003</v>
      </c>
      <c r="U32" s="4">
        <v>0.33300000000000002</v>
      </c>
      <c r="V32" s="4">
        <v>0.25</v>
      </c>
      <c r="W32" s="4">
        <v>0.28299999999999997</v>
      </c>
      <c r="X32" s="4"/>
      <c r="Y32" s="4">
        <v>0.161</v>
      </c>
      <c r="Z32" s="4">
        <v>0.78600000000000003</v>
      </c>
      <c r="AA32" s="4"/>
      <c r="AB32" s="4">
        <v>0.02</v>
      </c>
      <c r="AC32" s="4">
        <v>0.5</v>
      </c>
      <c r="AD32" s="10">
        <f t="shared" si="1"/>
        <v>0.542875</v>
      </c>
      <c r="AE32" s="9"/>
      <c r="AF32" s="9"/>
      <c r="AG32" s="12">
        <f t="shared" si="2"/>
        <v>40</v>
      </c>
      <c r="AH32" s="12">
        <f t="shared" si="2"/>
        <v>62.6</v>
      </c>
      <c r="AI32" s="12">
        <f t="shared" si="2"/>
        <v>25.3</v>
      </c>
      <c r="AJ32" s="12">
        <f t="shared" si="2"/>
        <v>93.300000000000011</v>
      </c>
      <c r="AK32" s="12"/>
      <c r="AL32" s="12">
        <f t="shared" si="8"/>
        <v>4</v>
      </c>
      <c r="AM32" s="12">
        <f t="shared" si="8"/>
        <v>26.6</v>
      </c>
      <c r="AN32" s="12">
        <f t="shared" si="8"/>
        <v>12</v>
      </c>
      <c r="AO32" s="12">
        <f t="shared" si="8"/>
        <v>1.3</v>
      </c>
      <c r="AP32" s="12">
        <f t="shared" si="9"/>
        <v>25.3</v>
      </c>
      <c r="AQ32" s="12">
        <f t="shared" si="9"/>
        <v>96</v>
      </c>
      <c r="AR32" s="12"/>
      <c r="AS32" s="12">
        <f t="shared" si="10"/>
        <v>82.6</v>
      </c>
      <c r="AT32" s="12">
        <f t="shared" si="10"/>
        <v>38.6</v>
      </c>
      <c r="AU32" s="12">
        <f t="shared" si="10"/>
        <v>96</v>
      </c>
      <c r="AV32" s="12">
        <f t="shared" si="10"/>
        <v>56.000000000000007</v>
      </c>
      <c r="AW32" s="12">
        <f t="shared" si="11"/>
        <v>26.6</v>
      </c>
      <c r="AX32" s="12">
        <f t="shared" si="11"/>
        <v>57.3</v>
      </c>
      <c r="AY32" s="12"/>
      <c r="AZ32" s="12">
        <f t="shared" si="3"/>
        <v>98.7</v>
      </c>
      <c r="BA32" s="12">
        <f t="shared" si="4"/>
        <v>52</v>
      </c>
      <c r="BB32" s="12"/>
      <c r="BC32" s="12">
        <f t="shared" si="5"/>
        <v>76</v>
      </c>
      <c r="BD32" s="12">
        <f t="shared" si="6"/>
        <v>88</v>
      </c>
      <c r="BE32" s="12">
        <f t="shared" si="7"/>
        <v>77.400000000000006</v>
      </c>
    </row>
    <row r="33" spans="1:57" ht="15.75" customHeight="1">
      <c r="A33" s="1" t="s">
        <v>127</v>
      </c>
      <c r="B33" s="3" t="s">
        <v>101</v>
      </c>
      <c r="C33" s="4" t="s">
        <v>92</v>
      </c>
      <c r="D33" s="4">
        <v>28</v>
      </c>
      <c r="E33" s="4">
        <v>691</v>
      </c>
      <c r="F33" s="4">
        <v>28</v>
      </c>
      <c r="G33" s="4">
        <v>691</v>
      </c>
      <c r="H33" s="4">
        <v>0.34699999999999998</v>
      </c>
      <c r="I33" s="4">
        <v>6.5</v>
      </c>
      <c r="J33" s="4"/>
      <c r="K33" s="4">
        <v>0.94</v>
      </c>
      <c r="L33" s="4">
        <v>0.52700000000000002</v>
      </c>
      <c r="M33" s="4">
        <v>0.126</v>
      </c>
      <c r="N33" s="4">
        <v>0.156</v>
      </c>
      <c r="O33" s="4">
        <v>0.13200000000000001</v>
      </c>
      <c r="P33" s="4">
        <v>0.06</v>
      </c>
      <c r="Q33" s="4"/>
      <c r="R33" s="4">
        <v>0.36299999999999999</v>
      </c>
      <c r="S33" s="4">
        <v>0.48899999999999999</v>
      </c>
      <c r="T33" s="4">
        <v>0.19</v>
      </c>
      <c r="U33" s="4">
        <v>0.23100000000000001</v>
      </c>
      <c r="V33" s="4">
        <v>0.182</v>
      </c>
      <c r="W33" s="4">
        <v>0.1</v>
      </c>
      <c r="X33" s="4"/>
      <c r="Y33" s="4">
        <v>0.45600000000000002</v>
      </c>
      <c r="Z33" s="4">
        <v>1</v>
      </c>
      <c r="AA33" s="4"/>
      <c r="AB33" s="4">
        <v>0</v>
      </c>
      <c r="AC33" s="4">
        <v>0</v>
      </c>
      <c r="AD33" s="10">
        <f t="shared" si="1"/>
        <v>0.48863999999999996</v>
      </c>
      <c r="AE33" s="9"/>
      <c r="AF33" s="9"/>
      <c r="AG33" s="12">
        <f t="shared" si="2"/>
        <v>40</v>
      </c>
      <c r="AH33" s="12">
        <f t="shared" si="2"/>
        <v>60</v>
      </c>
      <c r="AI33" s="12">
        <f t="shared" si="2"/>
        <v>18.600000000000001</v>
      </c>
      <c r="AJ33" s="12">
        <f t="shared" si="2"/>
        <v>26.6</v>
      </c>
      <c r="AK33" s="12"/>
      <c r="AL33" s="12">
        <f t="shared" si="8"/>
        <v>69.3</v>
      </c>
      <c r="AM33" s="12">
        <f t="shared" si="8"/>
        <v>89.3</v>
      </c>
      <c r="AN33" s="12">
        <f t="shared" si="8"/>
        <v>24</v>
      </c>
      <c r="AO33" s="12">
        <f t="shared" si="8"/>
        <v>32</v>
      </c>
      <c r="AP33" s="12">
        <f t="shared" si="9"/>
        <v>92</v>
      </c>
      <c r="AQ33" s="12">
        <f t="shared" si="9"/>
        <v>30.599999999999998</v>
      </c>
      <c r="AR33" s="12"/>
      <c r="AS33" s="12">
        <f t="shared" si="10"/>
        <v>20</v>
      </c>
      <c r="AT33" s="12">
        <f t="shared" si="10"/>
        <v>25.3</v>
      </c>
      <c r="AU33" s="12">
        <f t="shared" si="10"/>
        <v>13.3</v>
      </c>
      <c r="AV33" s="12">
        <f t="shared" si="10"/>
        <v>21.3</v>
      </c>
      <c r="AW33" s="12">
        <f t="shared" si="11"/>
        <v>21.3</v>
      </c>
      <c r="AX33" s="12">
        <f t="shared" si="11"/>
        <v>25.3</v>
      </c>
      <c r="AY33" s="12"/>
      <c r="AZ33" s="12">
        <f t="shared" si="3"/>
        <v>80</v>
      </c>
      <c r="BA33" s="12">
        <f t="shared" si="4"/>
        <v>32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86.7</v>
      </c>
    </row>
    <row r="34" spans="1:57" ht="15.75" customHeight="1">
      <c r="A34" s="1" t="s">
        <v>126</v>
      </c>
      <c r="B34" s="3" t="s">
        <v>86</v>
      </c>
      <c r="C34" s="4" t="s">
        <v>110</v>
      </c>
      <c r="D34" s="4">
        <v>27</v>
      </c>
      <c r="E34" s="4">
        <v>691</v>
      </c>
      <c r="F34" s="4">
        <v>27</v>
      </c>
      <c r="G34" s="4">
        <v>691</v>
      </c>
      <c r="H34" s="4">
        <v>0.45900000000000002</v>
      </c>
      <c r="I34" s="4">
        <v>6.1</v>
      </c>
      <c r="J34" s="4"/>
      <c r="K34" s="4">
        <v>0.96799999999999997</v>
      </c>
      <c r="L34" s="4">
        <v>0.39200000000000002</v>
      </c>
      <c r="M34" s="4">
        <v>0.34200000000000003</v>
      </c>
      <c r="N34" s="4">
        <v>0.185</v>
      </c>
      <c r="O34" s="4">
        <v>4.1000000000000002E-2</v>
      </c>
      <c r="P34" s="4">
        <v>3.2000000000000001E-2</v>
      </c>
      <c r="Q34" s="4"/>
      <c r="R34" s="4">
        <v>0.46500000000000002</v>
      </c>
      <c r="S34" s="4">
        <v>0.65500000000000003</v>
      </c>
      <c r="T34" s="4">
        <v>0.38200000000000001</v>
      </c>
      <c r="U34" s="4">
        <v>0.22</v>
      </c>
      <c r="V34" s="4">
        <v>0.222</v>
      </c>
      <c r="W34" s="4">
        <v>0.28599999999999998</v>
      </c>
      <c r="X34" s="4"/>
      <c r="Y34" s="4">
        <v>0.57999999999999996</v>
      </c>
      <c r="Z34" s="4">
        <v>1</v>
      </c>
      <c r="AA34" s="4"/>
      <c r="AB34" s="4">
        <v>0</v>
      </c>
      <c r="AC34" s="4">
        <v>0</v>
      </c>
      <c r="AD34" s="10">
        <f t="shared" si="1"/>
        <v>0.59343999999999997</v>
      </c>
      <c r="AE34" s="9"/>
      <c r="AF34" s="9"/>
      <c r="AG34" s="12">
        <f t="shared" si="2"/>
        <v>33.300000000000004</v>
      </c>
      <c r="AH34" s="12">
        <f t="shared" si="2"/>
        <v>60</v>
      </c>
      <c r="AI34" s="12">
        <f t="shared" si="2"/>
        <v>74.599999999999994</v>
      </c>
      <c r="AJ34" s="12">
        <f t="shared" si="2"/>
        <v>22.6</v>
      </c>
      <c r="AK34" s="12"/>
      <c r="AL34" s="12">
        <f t="shared" si="8"/>
        <v>77.3</v>
      </c>
      <c r="AM34" s="12">
        <f t="shared" si="8"/>
        <v>72</v>
      </c>
      <c r="AN34" s="12">
        <f t="shared" si="8"/>
        <v>86.6</v>
      </c>
      <c r="AO34" s="12">
        <f t="shared" si="8"/>
        <v>49.3</v>
      </c>
      <c r="AP34" s="12">
        <f t="shared" si="9"/>
        <v>45.300000000000004</v>
      </c>
      <c r="AQ34" s="12">
        <f t="shared" si="9"/>
        <v>21.3</v>
      </c>
      <c r="AR34" s="12"/>
      <c r="AS34" s="12">
        <f t="shared" si="10"/>
        <v>65.3</v>
      </c>
      <c r="AT34" s="12">
        <f t="shared" si="10"/>
        <v>93.300000000000011</v>
      </c>
      <c r="AU34" s="12">
        <f t="shared" si="10"/>
        <v>56.000000000000007</v>
      </c>
      <c r="AV34" s="12">
        <f t="shared" si="10"/>
        <v>18.600000000000001</v>
      </c>
      <c r="AW34" s="12">
        <f t="shared" si="11"/>
        <v>24</v>
      </c>
      <c r="AX34" s="12">
        <f t="shared" si="11"/>
        <v>58.599999999999994</v>
      </c>
      <c r="AY34" s="12"/>
      <c r="AZ34" s="12">
        <f t="shared" si="3"/>
        <v>54.699999999999996</v>
      </c>
      <c r="BA34" s="12">
        <f t="shared" si="4"/>
        <v>32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66.699999999999989</v>
      </c>
    </row>
    <row r="35" spans="1:57" ht="15.75" customHeight="1">
      <c r="A35" s="1" t="s">
        <v>128</v>
      </c>
      <c r="B35" s="3" t="s">
        <v>90</v>
      </c>
      <c r="C35" s="4" t="s">
        <v>99</v>
      </c>
      <c r="D35" s="4">
        <v>25</v>
      </c>
      <c r="E35" s="4">
        <v>668</v>
      </c>
      <c r="F35" s="4">
        <v>25</v>
      </c>
      <c r="G35" s="4">
        <v>668</v>
      </c>
      <c r="H35" s="4">
        <v>0.46700000000000003</v>
      </c>
      <c r="I35" s="4">
        <v>1.6</v>
      </c>
      <c r="J35" s="4"/>
      <c r="K35" s="4">
        <v>1</v>
      </c>
      <c r="L35" s="4">
        <v>0.82</v>
      </c>
      <c r="M35" s="4">
        <v>0.18</v>
      </c>
      <c r="N35" s="4">
        <v>3.3000000000000002E-2</v>
      </c>
      <c r="O35" s="4">
        <v>8.0000000000000002E-3</v>
      </c>
      <c r="P35" s="4">
        <v>0</v>
      </c>
      <c r="Q35" s="4"/>
      <c r="R35" s="4">
        <v>0.46700000000000003</v>
      </c>
      <c r="S35" s="4">
        <v>0.49</v>
      </c>
      <c r="T35" s="4">
        <v>0.318</v>
      </c>
      <c r="U35" s="4">
        <v>1</v>
      </c>
      <c r="V35" s="4">
        <v>0</v>
      </c>
      <c r="W35" s="4">
        <v>0</v>
      </c>
      <c r="X35" s="4"/>
      <c r="Y35" s="4">
        <v>0.66700000000000004</v>
      </c>
      <c r="Z35" s="4">
        <v>0</v>
      </c>
      <c r="AA35" s="4"/>
      <c r="AB35" s="4">
        <v>0</v>
      </c>
      <c r="AC35" s="4">
        <v>0</v>
      </c>
      <c r="AD35" s="10">
        <f t="shared" si="1"/>
        <v>0.66700000000000004</v>
      </c>
      <c r="AE35" s="9"/>
      <c r="AF35" s="9"/>
      <c r="AG35" s="12">
        <f t="shared" si="2"/>
        <v>18.600000000000001</v>
      </c>
      <c r="AH35" s="12">
        <f t="shared" si="2"/>
        <v>58.599999999999994</v>
      </c>
      <c r="AI35" s="12">
        <f t="shared" si="2"/>
        <v>80</v>
      </c>
      <c r="AJ35" s="12">
        <f t="shared" si="2"/>
        <v>0</v>
      </c>
      <c r="AK35" s="12"/>
      <c r="AL35" s="12">
        <f t="shared" si="8"/>
        <v>93.300000000000011</v>
      </c>
      <c r="AM35" s="12">
        <f t="shared" si="8"/>
        <v>100</v>
      </c>
      <c r="AN35" s="12">
        <f t="shared" si="8"/>
        <v>44</v>
      </c>
      <c r="AO35" s="12">
        <f t="shared" si="8"/>
        <v>2.6</v>
      </c>
      <c r="AP35" s="12">
        <f t="shared" si="9"/>
        <v>8</v>
      </c>
      <c r="AQ35" s="12">
        <f t="shared" si="9"/>
        <v>0</v>
      </c>
      <c r="AR35" s="12"/>
      <c r="AS35" s="12">
        <f t="shared" si="10"/>
        <v>70.599999999999994</v>
      </c>
      <c r="AT35" s="12">
        <f t="shared" si="10"/>
        <v>28.000000000000004</v>
      </c>
      <c r="AU35" s="12">
        <f t="shared" si="10"/>
        <v>37.299999999999997</v>
      </c>
      <c r="AV35" s="12">
        <f t="shared" si="10"/>
        <v>100</v>
      </c>
      <c r="AW35" s="12">
        <f t="shared" si="11"/>
        <v>0</v>
      </c>
      <c r="AX35" s="12">
        <f t="shared" si="11"/>
        <v>0</v>
      </c>
      <c r="AY35" s="12"/>
      <c r="AZ35" s="12">
        <f t="shared" si="3"/>
        <v>37.4</v>
      </c>
      <c r="BA35" s="12">
        <f t="shared" si="4"/>
        <v>100</v>
      </c>
      <c r="BB35" s="12"/>
      <c r="BC35" s="12">
        <f t="shared" si="5"/>
        <v>0</v>
      </c>
      <c r="BD35" s="12">
        <f t="shared" si="6"/>
        <v>0</v>
      </c>
      <c r="BE35" s="12">
        <f t="shared" si="7"/>
        <v>50.7</v>
      </c>
    </row>
    <row r="36" spans="1:57" ht="15.75" customHeight="1">
      <c r="A36" s="1" t="s">
        <v>129</v>
      </c>
      <c r="B36" s="3" t="s">
        <v>98</v>
      </c>
      <c r="C36" s="4" t="s">
        <v>99</v>
      </c>
      <c r="D36" s="4">
        <v>28</v>
      </c>
      <c r="E36" s="4">
        <v>663</v>
      </c>
      <c r="F36" s="4">
        <v>28</v>
      </c>
      <c r="G36" s="4">
        <v>663</v>
      </c>
      <c r="H36" s="4">
        <v>0.47399999999999998</v>
      </c>
      <c r="I36" s="4">
        <v>5.4</v>
      </c>
      <c r="J36" s="4"/>
      <c r="K36" s="4">
        <v>0.995</v>
      </c>
      <c r="L36" s="4">
        <v>0.41199999999999998</v>
      </c>
      <c r="M36" s="4">
        <v>0.34100000000000003</v>
      </c>
      <c r="N36" s="4">
        <v>0.161</v>
      </c>
      <c r="O36" s="4">
        <v>4.2999999999999997E-2</v>
      </c>
      <c r="P36" s="4">
        <v>5.0000000000000001E-3</v>
      </c>
      <c r="Q36" s="4"/>
      <c r="R36" s="4">
        <v>0.47599999999999998</v>
      </c>
      <c r="S36" s="4">
        <v>0.60899999999999999</v>
      </c>
      <c r="T36" s="4">
        <v>0.38900000000000001</v>
      </c>
      <c r="U36" s="4">
        <v>0.32400000000000001</v>
      </c>
      <c r="V36" s="4">
        <v>0.44400000000000001</v>
      </c>
      <c r="W36" s="4">
        <v>0</v>
      </c>
      <c r="X36" s="4"/>
      <c r="Y36" s="4">
        <v>0.75</v>
      </c>
      <c r="Z36" s="4">
        <v>0</v>
      </c>
      <c r="AA36" s="4"/>
      <c r="AB36" s="4">
        <v>0</v>
      </c>
      <c r="AC36" s="4">
        <v>0</v>
      </c>
      <c r="AD36" s="10">
        <f t="shared" si="1"/>
        <v>0.74624999999999997</v>
      </c>
      <c r="AE36" s="9"/>
      <c r="AF36" s="9"/>
      <c r="AG36" s="12">
        <f t="shared" si="2"/>
        <v>40</v>
      </c>
      <c r="AH36" s="12">
        <f t="shared" si="2"/>
        <v>57.3</v>
      </c>
      <c r="AI36" s="12">
        <f t="shared" si="2"/>
        <v>89.3</v>
      </c>
      <c r="AJ36" s="12">
        <f t="shared" si="2"/>
        <v>13.3</v>
      </c>
      <c r="AK36" s="12"/>
      <c r="AL36" s="12">
        <f t="shared" si="8"/>
        <v>92</v>
      </c>
      <c r="AM36" s="12">
        <f t="shared" si="8"/>
        <v>77.3</v>
      </c>
      <c r="AN36" s="12">
        <f t="shared" si="8"/>
        <v>84</v>
      </c>
      <c r="AO36" s="12">
        <f t="shared" si="8"/>
        <v>34.599999999999994</v>
      </c>
      <c r="AP36" s="12">
        <f t="shared" si="9"/>
        <v>48</v>
      </c>
      <c r="AQ36" s="12">
        <f t="shared" si="9"/>
        <v>8</v>
      </c>
      <c r="AR36" s="12"/>
      <c r="AS36" s="12">
        <f t="shared" si="10"/>
        <v>76</v>
      </c>
      <c r="AT36" s="12">
        <f t="shared" si="10"/>
        <v>78.600000000000009</v>
      </c>
      <c r="AU36" s="12">
        <f t="shared" si="10"/>
        <v>62.6</v>
      </c>
      <c r="AV36" s="12">
        <f t="shared" si="10"/>
        <v>53.300000000000004</v>
      </c>
      <c r="AW36" s="12">
        <f t="shared" si="11"/>
        <v>61.3</v>
      </c>
      <c r="AX36" s="12">
        <f t="shared" si="11"/>
        <v>0</v>
      </c>
      <c r="AY36" s="12"/>
      <c r="AZ36" s="12">
        <f t="shared" si="3"/>
        <v>13.400000000000006</v>
      </c>
      <c r="BA36" s="12">
        <f t="shared" si="4"/>
        <v>100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24</v>
      </c>
    </row>
    <row r="37" spans="1:57" ht="15.75" customHeight="1">
      <c r="A37" s="1" t="s">
        <v>130</v>
      </c>
      <c r="B37" s="3" t="s">
        <v>88</v>
      </c>
      <c r="C37" s="4" t="s">
        <v>110</v>
      </c>
      <c r="D37" s="4">
        <v>28</v>
      </c>
      <c r="E37" s="4">
        <v>658</v>
      </c>
      <c r="F37" s="4">
        <v>28</v>
      </c>
      <c r="G37" s="4">
        <v>658</v>
      </c>
      <c r="H37" s="4">
        <v>0.5</v>
      </c>
      <c r="I37" s="4">
        <v>10.5</v>
      </c>
      <c r="J37" s="4"/>
      <c r="K37" s="4">
        <v>0.65100000000000002</v>
      </c>
      <c r="L37" s="4">
        <v>0.40500000000000003</v>
      </c>
      <c r="M37" s="4">
        <v>0.10299999999999999</v>
      </c>
      <c r="N37" s="4">
        <v>7.0999999999999994E-2</v>
      </c>
      <c r="O37" s="4">
        <v>7.0999999999999994E-2</v>
      </c>
      <c r="P37" s="4">
        <v>0.34899999999999998</v>
      </c>
      <c r="Q37" s="4"/>
      <c r="R37" s="4">
        <v>0.54900000000000004</v>
      </c>
      <c r="S37" s="4">
        <v>0.64700000000000002</v>
      </c>
      <c r="T37" s="4">
        <v>0.53800000000000003</v>
      </c>
      <c r="U37" s="4">
        <v>0.222</v>
      </c>
      <c r="V37" s="4">
        <v>0.33300000000000002</v>
      </c>
      <c r="W37" s="4">
        <v>0.40899999999999997</v>
      </c>
      <c r="X37" s="4"/>
      <c r="Y37" s="4">
        <v>0.57799999999999996</v>
      </c>
      <c r="Z37" s="4">
        <v>1</v>
      </c>
      <c r="AA37" s="4"/>
      <c r="AB37" s="4">
        <v>6.8000000000000005E-2</v>
      </c>
      <c r="AC37" s="4">
        <v>0.33300000000000002</v>
      </c>
      <c r="AD37" s="10">
        <f t="shared" si="1"/>
        <v>0.72527799999999998</v>
      </c>
      <c r="AE37" s="9"/>
      <c r="AF37" s="9"/>
      <c r="AG37" s="12">
        <f t="shared" si="2"/>
        <v>40</v>
      </c>
      <c r="AH37" s="12">
        <f t="shared" si="2"/>
        <v>56.000000000000007</v>
      </c>
      <c r="AI37" s="12">
        <f t="shared" si="2"/>
        <v>92</v>
      </c>
      <c r="AJ37" s="12">
        <f t="shared" si="2"/>
        <v>62.6</v>
      </c>
      <c r="AK37" s="12"/>
      <c r="AL37" s="12">
        <f t="shared" si="8"/>
        <v>20</v>
      </c>
      <c r="AM37" s="12">
        <f t="shared" si="8"/>
        <v>76</v>
      </c>
      <c r="AN37" s="12">
        <f t="shared" si="8"/>
        <v>16</v>
      </c>
      <c r="AO37" s="12">
        <f t="shared" si="8"/>
        <v>6.6000000000000005</v>
      </c>
      <c r="AP37" s="12">
        <f t="shared" si="9"/>
        <v>77.3</v>
      </c>
      <c r="AQ37" s="12">
        <f t="shared" si="9"/>
        <v>80</v>
      </c>
      <c r="AR37" s="12"/>
      <c r="AS37" s="12">
        <f t="shared" si="10"/>
        <v>93.300000000000011</v>
      </c>
      <c r="AT37" s="12">
        <f t="shared" si="10"/>
        <v>90.600000000000009</v>
      </c>
      <c r="AU37" s="12">
        <f t="shared" si="10"/>
        <v>96</v>
      </c>
      <c r="AV37" s="12">
        <f t="shared" si="10"/>
        <v>20</v>
      </c>
      <c r="AW37" s="12">
        <f t="shared" si="11"/>
        <v>33.300000000000004</v>
      </c>
      <c r="AX37" s="12">
        <f t="shared" si="11"/>
        <v>88</v>
      </c>
      <c r="AY37" s="12"/>
      <c r="AZ37" s="12">
        <f t="shared" si="3"/>
        <v>56</v>
      </c>
      <c r="BA37" s="12">
        <f t="shared" si="4"/>
        <v>32</v>
      </c>
      <c r="BB37" s="12"/>
      <c r="BC37" s="12">
        <f t="shared" si="5"/>
        <v>92</v>
      </c>
      <c r="BD37" s="12">
        <f t="shared" si="6"/>
        <v>86.6</v>
      </c>
      <c r="BE37" s="12">
        <f t="shared" si="7"/>
        <v>28</v>
      </c>
    </row>
    <row r="38" spans="1:57" ht="15.75" customHeight="1">
      <c r="A38" s="1" t="s">
        <v>131</v>
      </c>
      <c r="B38" s="3" t="s">
        <v>86</v>
      </c>
      <c r="C38" s="4" t="s">
        <v>118</v>
      </c>
      <c r="D38" s="4">
        <v>28</v>
      </c>
      <c r="E38" s="4">
        <v>656</v>
      </c>
      <c r="F38" s="4">
        <v>28</v>
      </c>
      <c r="G38" s="4">
        <v>656</v>
      </c>
      <c r="H38" s="4">
        <v>0.45900000000000002</v>
      </c>
      <c r="I38" s="4">
        <v>5.3</v>
      </c>
      <c r="J38" s="4"/>
      <c r="K38" s="4">
        <v>0.97599999999999998</v>
      </c>
      <c r="L38" s="4">
        <v>0.44</v>
      </c>
      <c r="M38" s="4">
        <v>0.35399999999999998</v>
      </c>
      <c r="N38" s="4">
        <v>0.17699999999999999</v>
      </c>
      <c r="O38" s="4">
        <v>5.0000000000000001E-3</v>
      </c>
      <c r="P38" s="4">
        <v>2.4E-2</v>
      </c>
      <c r="Q38" s="4"/>
      <c r="R38" s="4">
        <v>0.46600000000000003</v>
      </c>
      <c r="S38" s="4">
        <v>0.57599999999999996</v>
      </c>
      <c r="T38" s="4">
        <v>0.432</v>
      </c>
      <c r="U38" s="4">
        <v>0.29699999999999999</v>
      </c>
      <c r="V38" s="4">
        <v>0</v>
      </c>
      <c r="W38" s="4">
        <v>0.2</v>
      </c>
      <c r="X38" s="4"/>
      <c r="Y38" s="4">
        <v>0.52600000000000002</v>
      </c>
      <c r="Z38" s="4">
        <v>1</v>
      </c>
      <c r="AA38" s="4"/>
      <c r="AB38" s="4">
        <v>0</v>
      </c>
      <c r="AC38" s="4">
        <v>0</v>
      </c>
      <c r="AD38" s="10">
        <f t="shared" si="1"/>
        <v>0.53737600000000008</v>
      </c>
      <c r="AE38" s="9"/>
      <c r="AF38" s="9"/>
      <c r="AG38" s="12">
        <f t="shared" si="2"/>
        <v>40</v>
      </c>
      <c r="AH38" s="12">
        <f t="shared" si="2"/>
        <v>54.6</v>
      </c>
      <c r="AI38" s="12">
        <f t="shared" si="2"/>
        <v>74.599999999999994</v>
      </c>
      <c r="AJ38" s="12">
        <f t="shared" si="2"/>
        <v>12</v>
      </c>
      <c r="AK38" s="12"/>
      <c r="AL38" s="12">
        <f t="shared" si="8"/>
        <v>81.3</v>
      </c>
      <c r="AM38" s="12">
        <f t="shared" si="8"/>
        <v>78.600000000000009</v>
      </c>
      <c r="AN38" s="12">
        <f t="shared" si="8"/>
        <v>88</v>
      </c>
      <c r="AO38" s="12">
        <f t="shared" si="8"/>
        <v>44</v>
      </c>
      <c r="AP38" s="12">
        <f t="shared" si="9"/>
        <v>4</v>
      </c>
      <c r="AQ38" s="12">
        <f t="shared" si="9"/>
        <v>18.600000000000001</v>
      </c>
      <c r="AR38" s="12"/>
      <c r="AS38" s="12">
        <f t="shared" si="10"/>
        <v>69.3</v>
      </c>
      <c r="AT38" s="12">
        <f t="shared" si="10"/>
        <v>64</v>
      </c>
      <c r="AU38" s="12">
        <f t="shared" si="10"/>
        <v>78.600000000000009</v>
      </c>
      <c r="AV38" s="12">
        <f t="shared" si="10"/>
        <v>41.3</v>
      </c>
      <c r="AW38" s="12">
        <f t="shared" si="11"/>
        <v>0</v>
      </c>
      <c r="AX38" s="12">
        <f t="shared" si="11"/>
        <v>37.299999999999997</v>
      </c>
      <c r="AY38" s="12"/>
      <c r="AZ38" s="12">
        <f t="shared" si="3"/>
        <v>68</v>
      </c>
      <c r="BA38" s="12">
        <f t="shared" si="4"/>
        <v>32</v>
      </c>
      <c r="BB38" s="12"/>
      <c r="BC38" s="12">
        <f t="shared" si="5"/>
        <v>0</v>
      </c>
      <c r="BD38" s="12">
        <f t="shared" si="6"/>
        <v>0</v>
      </c>
      <c r="BE38" s="12">
        <f t="shared" si="7"/>
        <v>78.7</v>
      </c>
    </row>
    <row r="39" spans="1:57" ht="15.75" customHeight="1">
      <c r="A39" s="1" t="s">
        <v>132</v>
      </c>
      <c r="B39" s="3" t="s">
        <v>105</v>
      </c>
      <c r="C39" s="4" t="s">
        <v>8</v>
      </c>
      <c r="D39" s="4">
        <v>28</v>
      </c>
      <c r="E39" s="4">
        <v>633</v>
      </c>
      <c r="F39" s="4">
        <v>28</v>
      </c>
      <c r="G39" s="4">
        <v>633</v>
      </c>
      <c r="H39" s="4">
        <v>0.23599999999999999</v>
      </c>
      <c r="I39" s="4">
        <v>11</v>
      </c>
      <c r="J39" s="4"/>
      <c r="K39" s="4">
        <v>0.66</v>
      </c>
      <c r="L39" s="4">
        <v>0.311</v>
      </c>
      <c r="M39" s="4">
        <v>0.104</v>
      </c>
      <c r="N39" s="4">
        <v>0.189</v>
      </c>
      <c r="O39" s="4">
        <v>3.7999999999999999E-2</v>
      </c>
      <c r="P39" s="4">
        <v>0.34</v>
      </c>
      <c r="Q39" s="4"/>
      <c r="R39" s="4">
        <v>0.25700000000000001</v>
      </c>
      <c r="S39" s="4">
        <v>0.36399999999999999</v>
      </c>
      <c r="T39" s="4">
        <v>9.0999999999999998E-2</v>
      </c>
      <c r="U39" s="4">
        <v>0.2</v>
      </c>
      <c r="V39" s="4">
        <v>0</v>
      </c>
      <c r="W39" s="4">
        <v>0.19400000000000001</v>
      </c>
      <c r="X39" s="4"/>
      <c r="Y39" s="4">
        <v>0.16700000000000001</v>
      </c>
      <c r="Z39" s="4">
        <v>0.85699999999999998</v>
      </c>
      <c r="AA39" s="4"/>
      <c r="AB39" s="4">
        <v>0</v>
      </c>
      <c r="AC39" s="4">
        <v>0</v>
      </c>
      <c r="AD39" s="10">
        <f t="shared" si="1"/>
        <v>0.40160000000000007</v>
      </c>
      <c r="AE39" s="9"/>
      <c r="AF39" s="9"/>
      <c r="AG39" s="12">
        <f t="shared" si="2"/>
        <v>40</v>
      </c>
      <c r="AH39" s="12">
        <f t="shared" si="2"/>
        <v>53.300000000000004</v>
      </c>
      <c r="AI39" s="12">
        <f t="shared" si="2"/>
        <v>0</v>
      </c>
      <c r="AJ39" s="12">
        <f t="shared" si="2"/>
        <v>68</v>
      </c>
      <c r="AK39" s="12"/>
      <c r="AL39" s="12">
        <f t="shared" si="8"/>
        <v>21.3</v>
      </c>
      <c r="AM39" s="12">
        <f t="shared" si="8"/>
        <v>45.300000000000004</v>
      </c>
      <c r="AN39" s="12">
        <f t="shared" si="8"/>
        <v>18.600000000000001</v>
      </c>
      <c r="AO39" s="12">
        <f t="shared" si="8"/>
        <v>53.300000000000004</v>
      </c>
      <c r="AP39" s="12">
        <f t="shared" si="9"/>
        <v>40</v>
      </c>
      <c r="AQ39" s="12">
        <f t="shared" si="9"/>
        <v>78.600000000000009</v>
      </c>
      <c r="AR39" s="12"/>
      <c r="AS39" s="12">
        <f t="shared" si="10"/>
        <v>0</v>
      </c>
      <c r="AT39" s="12">
        <f t="shared" si="10"/>
        <v>6.6000000000000005</v>
      </c>
      <c r="AU39" s="12">
        <f t="shared" si="10"/>
        <v>6.6000000000000005</v>
      </c>
      <c r="AV39" s="12">
        <f t="shared" si="10"/>
        <v>13.3</v>
      </c>
      <c r="AW39" s="12">
        <f t="shared" si="11"/>
        <v>0</v>
      </c>
      <c r="AX39" s="12">
        <f t="shared" si="11"/>
        <v>36</v>
      </c>
      <c r="AY39" s="12"/>
      <c r="AZ39" s="12">
        <f t="shared" si="3"/>
        <v>97.4</v>
      </c>
      <c r="BA39" s="12">
        <f t="shared" si="4"/>
        <v>42.7</v>
      </c>
      <c r="BB39" s="12"/>
      <c r="BC39" s="12">
        <f t="shared" si="5"/>
        <v>0</v>
      </c>
      <c r="BD39" s="12">
        <f t="shared" si="6"/>
        <v>0</v>
      </c>
      <c r="BE39" s="12">
        <f t="shared" si="7"/>
        <v>93.4</v>
      </c>
    </row>
    <row r="40" spans="1:57" ht="15.75" customHeight="1">
      <c r="A40" s="1" t="s">
        <v>134</v>
      </c>
      <c r="B40" s="3" t="s">
        <v>96</v>
      </c>
      <c r="C40" s="4" t="s">
        <v>8</v>
      </c>
      <c r="D40" s="4">
        <v>20</v>
      </c>
      <c r="E40" s="4">
        <v>622</v>
      </c>
      <c r="F40" s="4">
        <v>20</v>
      </c>
      <c r="G40" s="4">
        <v>622</v>
      </c>
      <c r="H40" s="4">
        <v>0.44700000000000001</v>
      </c>
      <c r="I40" s="4">
        <v>10.4</v>
      </c>
      <c r="J40" s="4"/>
      <c r="K40" s="4">
        <v>0.85299999999999998</v>
      </c>
      <c r="L40" s="4">
        <v>0.247</v>
      </c>
      <c r="M40" s="4">
        <v>0.247</v>
      </c>
      <c r="N40" s="4">
        <v>0.25900000000000001</v>
      </c>
      <c r="O40" s="4">
        <v>0.1</v>
      </c>
      <c r="P40" s="4">
        <v>0.14699999999999999</v>
      </c>
      <c r="Q40" s="4"/>
      <c r="R40" s="4">
        <v>0.48299999999999998</v>
      </c>
      <c r="S40" s="4">
        <v>0.59499999999999997</v>
      </c>
      <c r="T40" s="4">
        <v>0.52400000000000002</v>
      </c>
      <c r="U40" s="4">
        <v>0.38600000000000001</v>
      </c>
      <c r="V40" s="4">
        <v>0.35299999999999998</v>
      </c>
      <c r="W40" s="4">
        <v>0.24</v>
      </c>
      <c r="X40" s="4"/>
      <c r="Y40" s="4">
        <v>0.28599999999999998</v>
      </c>
      <c r="Z40" s="4">
        <v>0.66700000000000004</v>
      </c>
      <c r="AA40" s="4"/>
      <c r="AB40" s="4">
        <v>0.04</v>
      </c>
      <c r="AC40" s="4">
        <v>0</v>
      </c>
      <c r="AD40" s="10">
        <f t="shared" si="1"/>
        <v>0.34200699999999995</v>
      </c>
      <c r="AE40" s="9"/>
      <c r="AF40" s="9"/>
      <c r="AG40" s="12">
        <f t="shared" si="2"/>
        <v>10.6</v>
      </c>
      <c r="AH40" s="12">
        <f t="shared" si="2"/>
        <v>50.6</v>
      </c>
      <c r="AI40" s="12">
        <f t="shared" si="2"/>
        <v>69.3</v>
      </c>
      <c r="AJ40" s="12">
        <f t="shared" si="2"/>
        <v>61.3</v>
      </c>
      <c r="AK40" s="12"/>
      <c r="AL40" s="12">
        <f t="shared" si="8"/>
        <v>48</v>
      </c>
      <c r="AM40" s="12">
        <f t="shared" si="8"/>
        <v>29.299999999999997</v>
      </c>
      <c r="AN40" s="12">
        <f t="shared" si="8"/>
        <v>65.3</v>
      </c>
      <c r="AO40" s="12">
        <f t="shared" si="8"/>
        <v>78.600000000000009</v>
      </c>
      <c r="AP40" s="12">
        <f t="shared" si="9"/>
        <v>85.3</v>
      </c>
      <c r="AQ40" s="12">
        <f t="shared" si="9"/>
        <v>52</v>
      </c>
      <c r="AR40" s="12"/>
      <c r="AS40" s="12">
        <f t="shared" si="10"/>
        <v>80</v>
      </c>
      <c r="AT40" s="12">
        <f t="shared" si="10"/>
        <v>70.599999999999994</v>
      </c>
      <c r="AU40" s="12">
        <f t="shared" si="10"/>
        <v>93.300000000000011</v>
      </c>
      <c r="AV40" s="12">
        <f t="shared" si="10"/>
        <v>74.599999999999994</v>
      </c>
      <c r="AW40" s="12">
        <f t="shared" si="11"/>
        <v>42.6</v>
      </c>
      <c r="AX40" s="12">
        <f t="shared" si="11"/>
        <v>44</v>
      </c>
      <c r="AY40" s="12"/>
      <c r="AZ40" s="12">
        <f t="shared" si="3"/>
        <v>92</v>
      </c>
      <c r="BA40" s="12">
        <f t="shared" si="4"/>
        <v>72</v>
      </c>
      <c r="BB40" s="12"/>
      <c r="BC40" s="12">
        <f t="shared" si="5"/>
        <v>84</v>
      </c>
      <c r="BD40" s="12">
        <f t="shared" si="6"/>
        <v>0</v>
      </c>
      <c r="BE40" s="12">
        <f t="shared" si="7"/>
        <v>98.7</v>
      </c>
    </row>
    <row r="41" spans="1:57" ht="15.75" customHeight="1">
      <c r="A41" s="1" t="s">
        <v>133</v>
      </c>
      <c r="B41" s="3" t="s">
        <v>88</v>
      </c>
      <c r="C41" s="4" t="s">
        <v>8</v>
      </c>
      <c r="D41" s="4">
        <v>27</v>
      </c>
      <c r="E41" s="4">
        <v>622</v>
      </c>
      <c r="F41" s="4">
        <v>27</v>
      </c>
      <c r="G41" s="4">
        <v>622</v>
      </c>
      <c r="H41" s="4">
        <v>0.36699999999999999</v>
      </c>
      <c r="I41" s="4">
        <v>18.100000000000001</v>
      </c>
      <c r="J41" s="4"/>
      <c r="K41" s="4">
        <v>0.32700000000000001</v>
      </c>
      <c r="L41" s="4">
        <v>7.0999999999999994E-2</v>
      </c>
      <c r="M41" s="4">
        <v>0.02</v>
      </c>
      <c r="N41" s="4">
        <v>0.10199999999999999</v>
      </c>
      <c r="O41" s="4">
        <v>0.13300000000000001</v>
      </c>
      <c r="P41" s="4">
        <v>0.67300000000000004</v>
      </c>
      <c r="Q41" s="4"/>
      <c r="R41" s="4">
        <v>0.40600000000000003</v>
      </c>
      <c r="S41" s="4">
        <v>0.28599999999999998</v>
      </c>
      <c r="T41" s="4">
        <v>0.5</v>
      </c>
      <c r="U41" s="4">
        <v>0.2</v>
      </c>
      <c r="V41" s="4">
        <v>0.61499999999999999</v>
      </c>
      <c r="W41" s="4">
        <v>0.34799999999999998</v>
      </c>
      <c r="X41" s="4"/>
      <c r="Y41" s="4">
        <v>0.53800000000000003</v>
      </c>
      <c r="Z41" s="4">
        <v>0.82599999999999996</v>
      </c>
      <c r="AA41" s="4"/>
      <c r="AB41" s="4">
        <v>4.4999999999999998E-2</v>
      </c>
      <c r="AC41" s="4">
        <v>0.66700000000000004</v>
      </c>
      <c r="AD41" s="10">
        <f t="shared" si="1"/>
        <v>0.73182400000000003</v>
      </c>
      <c r="AE41" s="9"/>
      <c r="AF41" s="9"/>
      <c r="AG41" s="12">
        <f t="shared" si="2"/>
        <v>33.300000000000004</v>
      </c>
      <c r="AH41" s="12">
        <f t="shared" si="2"/>
        <v>50.6</v>
      </c>
      <c r="AI41" s="12">
        <f t="shared" si="2"/>
        <v>26.6</v>
      </c>
      <c r="AJ41" s="12">
        <f t="shared" si="2"/>
        <v>98.6</v>
      </c>
      <c r="AK41" s="12"/>
      <c r="AL41" s="12">
        <f t="shared" si="8"/>
        <v>2.6</v>
      </c>
      <c r="AM41" s="12">
        <f t="shared" si="8"/>
        <v>1.3</v>
      </c>
      <c r="AN41" s="12">
        <f t="shared" si="8"/>
        <v>1.3</v>
      </c>
      <c r="AO41" s="12">
        <f t="shared" si="8"/>
        <v>13.3</v>
      </c>
      <c r="AP41" s="12">
        <f t="shared" si="9"/>
        <v>93.300000000000011</v>
      </c>
      <c r="AQ41" s="12">
        <f t="shared" si="9"/>
        <v>97.3</v>
      </c>
      <c r="AR41" s="12"/>
      <c r="AS41" s="12">
        <f t="shared" si="10"/>
        <v>36</v>
      </c>
      <c r="AT41" s="12">
        <f t="shared" si="10"/>
        <v>0</v>
      </c>
      <c r="AU41" s="12">
        <f t="shared" si="10"/>
        <v>86.6</v>
      </c>
      <c r="AV41" s="12">
        <f t="shared" si="10"/>
        <v>13.3</v>
      </c>
      <c r="AW41" s="12">
        <f t="shared" si="11"/>
        <v>81.3</v>
      </c>
      <c r="AX41" s="12">
        <f t="shared" si="11"/>
        <v>77.3</v>
      </c>
      <c r="AY41" s="12"/>
      <c r="AZ41" s="12">
        <f t="shared" si="3"/>
        <v>66.699999999999989</v>
      </c>
      <c r="BA41" s="12">
        <f t="shared" si="4"/>
        <v>46.699999999999996</v>
      </c>
      <c r="BB41" s="12"/>
      <c r="BC41" s="12">
        <f t="shared" si="5"/>
        <v>86.6</v>
      </c>
      <c r="BD41" s="12">
        <f t="shared" si="6"/>
        <v>92</v>
      </c>
      <c r="BE41" s="12">
        <f t="shared" si="7"/>
        <v>25.400000000000006</v>
      </c>
    </row>
    <row r="42" spans="1:57" ht="15.75" customHeight="1">
      <c r="A42" s="1" t="s">
        <v>135</v>
      </c>
      <c r="B42" s="3" t="s">
        <v>105</v>
      </c>
      <c r="C42" s="4" t="s">
        <v>92</v>
      </c>
      <c r="D42" s="4">
        <v>28</v>
      </c>
      <c r="E42" s="4">
        <v>613</v>
      </c>
      <c r="F42" s="4">
        <v>28</v>
      </c>
      <c r="G42" s="4">
        <v>613</v>
      </c>
      <c r="H42" s="4">
        <v>0.437</v>
      </c>
      <c r="I42" s="4">
        <v>9.5</v>
      </c>
      <c r="J42" s="4"/>
      <c r="K42" s="4">
        <v>0.80200000000000005</v>
      </c>
      <c r="L42" s="4">
        <v>0.317</v>
      </c>
      <c r="M42" s="4">
        <v>0.214</v>
      </c>
      <c r="N42" s="4">
        <v>0.23</v>
      </c>
      <c r="O42" s="4">
        <v>3.2000000000000001E-2</v>
      </c>
      <c r="P42" s="4">
        <v>0.19800000000000001</v>
      </c>
      <c r="Q42" s="4"/>
      <c r="R42" s="4">
        <v>0.45500000000000002</v>
      </c>
      <c r="S42" s="4">
        <v>0.52500000000000002</v>
      </c>
      <c r="T42" s="4">
        <v>0.222</v>
      </c>
      <c r="U42" s="4">
        <v>0.58599999999999997</v>
      </c>
      <c r="V42" s="4">
        <v>0.5</v>
      </c>
      <c r="W42" s="4">
        <v>0.36</v>
      </c>
      <c r="X42" s="4"/>
      <c r="Y42" s="4">
        <v>0.58699999999999997</v>
      </c>
      <c r="Z42" s="4">
        <v>0.88900000000000001</v>
      </c>
      <c r="AA42" s="4"/>
      <c r="AB42" s="4">
        <v>0</v>
      </c>
      <c r="AC42" s="4">
        <v>0</v>
      </c>
      <c r="AD42" s="10">
        <f t="shared" si="1"/>
        <v>0.64679600000000004</v>
      </c>
      <c r="AE42" s="9"/>
      <c r="AF42" s="9"/>
      <c r="AG42" s="12">
        <f t="shared" si="2"/>
        <v>40</v>
      </c>
      <c r="AH42" s="12">
        <f t="shared" si="2"/>
        <v>49.3</v>
      </c>
      <c r="AI42" s="12">
        <f t="shared" si="2"/>
        <v>64</v>
      </c>
      <c r="AJ42" s="12">
        <f t="shared" si="2"/>
        <v>53.300000000000004</v>
      </c>
      <c r="AK42" s="12"/>
      <c r="AL42" s="12">
        <f t="shared" si="8"/>
        <v>37.299999999999997</v>
      </c>
      <c r="AM42" s="12">
        <f t="shared" si="8"/>
        <v>49.3</v>
      </c>
      <c r="AN42" s="12">
        <f t="shared" si="8"/>
        <v>56.000000000000007</v>
      </c>
      <c r="AO42" s="12">
        <f t="shared" si="8"/>
        <v>70.599999999999994</v>
      </c>
      <c r="AP42" s="12">
        <f t="shared" si="9"/>
        <v>32</v>
      </c>
      <c r="AQ42" s="12">
        <f t="shared" si="9"/>
        <v>62.6</v>
      </c>
      <c r="AR42" s="12"/>
      <c r="AS42" s="12">
        <f t="shared" si="10"/>
        <v>56.000000000000007</v>
      </c>
      <c r="AT42" s="12">
        <f t="shared" si="10"/>
        <v>45.300000000000004</v>
      </c>
      <c r="AU42" s="12">
        <f t="shared" si="10"/>
        <v>17.299999999999997</v>
      </c>
      <c r="AV42" s="12">
        <f t="shared" si="10"/>
        <v>97.3</v>
      </c>
      <c r="AW42" s="12">
        <f t="shared" si="11"/>
        <v>68</v>
      </c>
      <c r="AX42" s="12">
        <f t="shared" si="11"/>
        <v>80</v>
      </c>
      <c r="AY42" s="12"/>
      <c r="AZ42" s="12">
        <f t="shared" si="3"/>
        <v>53.4</v>
      </c>
      <c r="BA42" s="12">
        <f t="shared" si="4"/>
        <v>38.700000000000003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54.699999999999996</v>
      </c>
    </row>
    <row r="43" spans="1:57" ht="15.75" customHeight="1">
      <c r="A43" s="1" t="s">
        <v>136</v>
      </c>
      <c r="B43" s="3" t="s">
        <v>101</v>
      </c>
      <c r="C43" s="4" t="s">
        <v>8</v>
      </c>
      <c r="D43" s="4">
        <v>28</v>
      </c>
      <c r="E43" s="4">
        <v>608</v>
      </c>
      <c r="F43" s="4">
        <v>28</v>
      </c>
      <c r="G43" s="4">
        <v>608</v>
      </c>
      <c r="H43" s="4">
        <v>0.38400000000000001</v>
      </c>
      <c r="I43" s="4">
        <v>8.4</v>
      </c>
      <c r="J43" s="4"/>
      <c r="K43" s="4">
        <v>0.85199999999999998</v>
      </c>
      <c r="L43" s="4">
        <v>0.40200000000000002</v>
      </c>
      <c r="M43" s="4">
        <v>0.157</v>
      </c>
      <c r="N43" s="4">
        <v>0.24</v>
      </c>
      <c r="O43" s="4">
        <v>5.1999999999999998E-2</v>
      </c>
      <c r="P43" s="4">
        <v>0.14799999999999999</v>
      </c>
      <c r="Q43" s="4"/>
      <c r="R43" s="4">
        <v>0.40500000000000003</v>
      </c>
      <c r="S43" s="4">
        <v>0.48899999999999999</v>
      </c>
      <c r="T43" s="4">
        <v>0.36099999999999999</v>
      </c>
      <c r="U43" s="4">
        <v>0.29099999999999998</v>
      </c>
      <c r="V43" s="4">
        <v>0.41699999999999998</v>
      </c>
      <c r="W43" s="4">
        <v>0.26500000000000001</v>
      </c>
      <c r="X43" s="4"/>
      <c r="Y43" s="4">
        <v>0.55700000000000005</v>
      </c>
      <c r="Z43" s="4">
        <v>0.66700000000000004</v>
      </c>
      <c r="AA43" s="4"/>
      <c r="AB43" s="4">
        <v>0</v>
      </c>
      <c r="AC43" s="4">
        <v>0</v>
      </c>
      <c r="AD43" s="10">
        <f t="shared" si="1"/>
        <v>0.57328000000000001</v>
      </c>
      <c r="AE43" s="9"/>
      <c r="AF43" s="9"/>
      <c r="AG43" s="12">
        <f t="shared" si="2"/>
        <v>40</v>
      </c>
      <c r="AH43" s="12">
        <f t="shared" si="2"/>
        <v>48</v>
      </c>
      <c r="AI43" s="12">
        <f t="shared" si="2"/>
        <v>36</v>
      </c>
      <c r="AJ43" s="12">
        <f t="shared" si="2"/>
        <v>40</v>
      </c>
      <c r="AK43" s="12"/>
      <c r="AL43" s="12">
        <f t="shared" si="8"/>
        <v>46.6</v>
      </c>
      <c r="AM43" s="12">
        <f t="shared" si="8"/>
        <v>73.3</v>
      </c>
      <c r="AN43" s="12">
        <f t="shared" si="8"/>
        <v>37.299999999999997</v>
      </c>
      <c r="AO43" s="12">
        <f t="shared" si="8"/>
        <v>74.599999999999994</v>
      </c>
      <c r="AP43" s="12">
        <f t="shared" si="9"/>
        <v>58.599999999999994</v>
      </c>
      <c r="AQ43" s="12">
        <f t="shared" si="9"/>
        <v>53.300000000000004</v>
      </c>
      <c r="AR43" s="12"/>
      <c r="AS43" s="12">
        <f t="shared" si="10"/>
        <v>34.599999999999994</v>
      </c>
      <c r="AT43" s="12">
        <f t="shared" si="10"/>
        <v>25.3</v>
      </c>
      <c r="AU43" s="12">
        <f t="shared" si="10"/>
        <v>46.6</v>
      </c>
      <c r="AV43" s="12">
        <f t="shared" si="10"/>
        <v>40</v>
      </c>
      <c r="AW43" s="12">
        <f t="shared" si="11"/>
        <v>54.6</v>
      </c>
      <c r="AX43" s="12">
        <f t="shared" si="11"/>
        <v>52</v>
      </c>
      <c r="AY43" s="12"/>
      <c r="AZ43" s="12">
        <f t="shared" si="3"/>
        <v>61.4</v>
      </c>
      <c r="BA43" s="12">
        <f t="shared" si="4"/>
        <v>72</v>
      </c>
      <c r="BB43" s="12"/>
      <c r="BC43" s="12">
        <f t="shared" si="5"/>
        <v>0</v>
      </c>
      <c r="BD43" s="12">
        <f t="shared" si="6"/>
        <v>0</v>
      </c>
      <c r="BE43" s="12">
        <f t="shared" si="7"/>
        <v>69.400000000000006</v>
      </c>
    </row>
    <row r="44" spans="1:57" ht="15.75" customHeight="1">
      <c r="A44" s="1" t="s">
        <v>137</v>
      </c>
      <c r="B44" s="3" t="s">
        <v>96</v>
      </c>
      <c r="C44" s="4" t="s">
        <v>8</v>
      </c>
      <c r="D44" s="4">
        <v>28</v>
      </c>
      <c r="E44" s="4">
        <v>589</v>
      </c>
      <c r="F44" s="4">
        <v>28</v>
      </c>
      <c r="G44" s="4">
        <v>589</v>
      </c>
      <c r="H44" s="4">
        <v>0.40200000000000002</v>
      </c>
      <c r="I44" s="4">
        <v>11</v>
      </c>
      <c r="J44" s="4"/>
      <c r="K44" s="4">
        <v>0.94799999999999995</v>
      </c>
      <c r="L44" s="4">
        <v>0.122</v>
      </c>
      <c r="M44" s="4">
        <v>0.218</v>
      </c>
      <c r="N44" s="4">
        <v>0.53300000000000003</v>
      </c>
      <c r="O44" s="4">
        <v>7.3999999999999996E-2</v>
      </c>
      <c r="P44" s="4">
        <v>5.1999999999999998E-2</v>
      </c>
      <c r="Q44" s="4"/>
      <c r="R44" s="4">
        <v>0.40100000000000002</v>
      </c>
      <c r="S44" s="4">
        <v>0.60699999999999998</v>
      </c>
      <c r="T44" s="4">
        <v>0.38</v>
      </c>
      <c r="U44" s="4">
        <v>0.377</v>
      </c>
      <c r="V44" s="4">
        <v>0.29399999999999998</v>
      </c>
      <c r="W44" s="4">
        <v>0.41699999999999998</v>
      </c>
      <c r="X44" s="4"/>
      <c r="Y44" s="4">
        <v>0.54</v>
      </c>
      <c r="Z44" s="4">
        <v>0.6</v>
      </c>
      <c r="AA44" s="4"/>
      <c r="AB44" s="4">
        <v>8.3000000000000004E-2</v>
      </c>
      <c r="AC44" s="4">
        <v>0</v>
      </c>
      <c r="AD44" s="10">
        <f t="shared" si="1"/>
        <v>0.54312000000000005</v>
      </c>
      <c r="AE44" s="9"/>
      <c r="AF44" s="9"/>
      <c r="AG44" s="12">
        <f t="shared" si="2"/>
        <v>40</v>
      </c>
      <c r="AH44" s="12">
        <f t="shared" si="2"/>
        <v>46.6</v>
      </c>
      <c r="AI44" s="12">
        <f t="shared" si="2"/>
        <v>45.300000000000004</v>
      </c>
      <c r="AJ44" s="12">
        <f t="shared" si="2"/>
        <v>68</v>
      </c>
      <c r="AK44" s="12"/>
      <c r="AL44" s="12">
        <f t="shared" si="8"/>
        <v>72</v>
      </c>
      <c r="AM44" s="12">
        <f t="shared" si="8"/>
        <v>4</v>
      </c>
      <c r="AN44" s="12">
        <f t="shared" si="8"/>
        <v>57.3</v>
      </c>
      <c r="AO44" s="12">
        <f t="shared" si="8"/>
        <v>100</v>
      </c>
      <c r="AP44" s="12">
        <f t="shared" si="9"/>
        <v>78.600000000000009</v>
      </c>
      <c r="AQ44" s="12">
        <f t="shared" si="9"/>
        <v>28.000000000000004</v>
      </c>
      <c r="AR44" s="12"/>
      <c r="AS44" s="12">
        <f t="shared" si="10"/>
        <v>33.300000000000004</v>
      </c>
      <c r="AT44" s="12">
        <f t="shared" si="10"/>
        <v>76</v>
      </c>
      <c r="AU44" s="12">
        <f t="shared" si="10"/>
        <v>53.300000000000004</v>
      </c>
      <c r="AV44" s="12">
        <f t="shared" si="10"/>
        <v>69.3</v>
      </c>
      <c r="AW44" s="12">
        <f t="shared" si="11"/>
        <v>32</v>
      </c>
      <c r="AX44" s="12">
        <f t="shared" si="11"/>
        <v>90.600000000000009</v>
      </c>
      <c r="AY44" s="12"/>
      <c r="AZ44" s="12">
        <f t="shared" si="3"/>
        <v>65.400000000000006</v>
      </c>
      <c r="BA44" s="12">
        <f t="shared" si="4"/>
        <v>73.400000000000006</v>
      </c>
      <c r="BB44" s="12"/>
      <c r="BC44" s="12">
        <f t="shared" si="5"/>
        <v>94.6</v>
      </c>
      <c r="BD44" s="12">
        <f t="shared" si="6"/>
        <v>0</v>
      </c>
      <c r="BE44" s="12">
        <f t="shared" si="7"/>
        <v>76</v>
      </c>
    </row>
    <row r="45" spans="1:57" ht="15.75" customHeight="1">
      <c r="A45" s="1" t="s">
        <v>138</v>
      </c>
      <c r="B45" s="3" t="s">
        <v>105</v>
      </c>
      <c r="C45" s="4" t="s">
        <v>99</v>
      </c>
      <c r="D45" s="4">
        <v>28</v>
      </c>
      <c r="E45" s="4">
        <v>557</v>
      </c>
      <c r="F45" s="4">
        <v>28</v>
      </c>
      <c r="G45" s="4">
        <v>557</v>
      </c>
      <c r="H45" s="4">
        <v>0.61799999999999999</v>
      </c>
      <c r="I45" s="4">
        <v>5.2</v>
      </c>
      <c r="J45" s="4"/>
      <c r="K45" s="4">
        <v>1</v>
      </c>
      <c r="L45" s="4">
        <v>0.38800000000000001</v>
      </c>
      <c r="M45" s="4">
        <v>0.48299999999999998</v>
      </c>
      <c r="N45" s="4">
        <v>0.10100000000000001</v>
      </c>
      <c r="O45" s="4">
        <v>1.0999999999999999E-2</v>
      </c>
      <c r="P45" s="4">
        <v>0</v>
      </c>
      <c r="Q45" s="4"/>
      <c r="R45" s="4">
        <v>0.61799999999999999</v>
      </c>
      <c r="S45" s="4">
        <v>0.63800000000000001</v>
      </c>
      <c r="T45" s="4">
        <v>0.628</v>
      </c>
      <c r="U45" s="4">
        <v>0.55600000000000005</v>
      </c>
      <c r="V45" s="4">
        <v>0.5</v>
      </c>
      <c r="W45" s="4">
        <v>0</v>
      </c>
      <c r="X45" s="4"/>
      <c r="Y45" s="4">
        <v>0.80900000000000005</v>
      </c>
      <c r="Z45" s="4">
        <v>0</v>
      </c>
      <c r="AA45" s="4"/>
      <c r="AB45" s="4">
        <v>0</v>
      </c>
      <c r="AC45" s="4">
        <v>0</v>
      </c>
      <c r="AD45" s="10">
        <f t="shared" si="1"/>
        <v>0.80900000000000005</v>
      </c>
      <c r="AE45" s="9"/>
      <c r="AF45" s="9"/>
      <c r="AG45" s="12">
        <f t="shared" si="2"/>
        <v>40</v>
      </c>
      <c r="AH45" s="12">
        <f t="shared" si="2"/>
        <v>45.300000000000004</v>
      </c>
      <c r="AI45" s="12">
        <f t="shared" si="2"/>
        <v>100</v>
      </c>
      <c r="AJ45" s="12">
        <f t="shared" si="2"/>
        <v>10.6</v>
      </c>
      <c r="AK45" s="12"/>
      <c r="AL45" s="12">
        <f t="shared" si="8"/>
        <v>93.300000000000011</v>
      </c>
      <c r="AM45" s="12">
        <f t="shared" si="8"/>
        <v>69.3</v>
      </c>
      <c r="AN45" s="12">
        <f t="shared" si="8"/>
        <v>97.3</v>
      </c>
      <c r="AO45" s="12">
        <f t="shared" si="8"/>
        <v>10.6</v>
      </c>
      <c r="AP45" s="12">
        <f t="shared" si="9"/>
        <v>10.6</v>
      </c>
      <c r="AQ45" s="12">
        <f t="shared" si="9"/>
        <v>0</v>
      </c>
      <c r="AR45" s="12"/>
      <c r="AS45" s="12">
        <f t="shared" si="10"/>
        <v>100</v>
      </c>
      <c r="AT45" s="12">
        <f t="shared" si="10"/>
        <v>85.3</v>
      </c>
      <c r="AU45" s="12">
        <f t="shared" si="10"/>
        <v>98.6</v>
      </c>
      <c r="AV45" s="12">
        <f t="shared" si="10"/>
        <v>96</v>
      </c>
      <c r="AW45" s="12">
        <f t="shared" si="11"/>
        <v>68</v>
      </c>
      <c r="AX45" s="12">
        <f t="shared" si="11"/>
        <v>0</v>
      </c>
      <c r="AY45" s="12"/>
      <c r="AZ45" s="12">
        <f t="shared" si="3"/>
        <v>2.7000000000000028</v>
      </c>
      <c r="BA45" s="12">
        <f t="shared" si="4"/>
        <v>100</v>
      </c>
      <c r="BB45" s="12"/>
      <c r="BC45" s="12">
        <f t="shared" si="5"/>
        <v>0</v>
      </c>
      <c r="BD45" s="12">
        <f t="shared" si="6"/>
        <v>0</v>
      </c>
      <c r="BE45" s="12">
        <f t="shared" si="7"/>
        <v>5.4000000000000057</v>
      </c>
    </row>
    <row r="46" spans="1:57" ht="15.75" customHeight="1">
      <c r="A46" s="1" t="s">
        <v>139</v>
      </c>
      <c r="B46" s="3" t="s">
        <v>90</v>
      </c>
      <c r="C46" s="4" t="s">
        <v>110</v>
      </c>
      <c r="D46" s="4">
        <v>28</v>
      </c>
      <c r="E46" s="4">
        <v>545</v>
      </c>
      <c r="F46" s="4">
        <v>28</v>
      </c>
      <c r="G46" s="4">
        <v>545</v>
      </c>
      <c r="H46" s="4">
        <v>0.40899999999999997</v>
      </c>
      <c r="I46" s="4">
        <v>4.3</v>
      </c>
      <c r="J46" s="4"/>
      <c r="K46" s="4">
        <v>0.99099999999999999</v>
      </c>
      <c r="L46" s="4">
        <v>0.52700000000000002</v>
      </c>
      <c r="M46" s="4">
        <v>0.3</v>
      </c>
      <c r="N46" s="4">
        <v>0.1</v>
      </c>
      <c r="O46" s="4">
        <v>4.4999999999999998E-2</v>
      </c>
      <c r="P46" s="4">
        <v>8.9999999999999993E-3</v>
      </c>
      <c r="Q46" s="4"/>
      <c r="R46" s="4">
        <v>0.41299999999999998</v>
      </c>
      <c r="S46" s="4">
        <v>0.55200000000000005</v>
      </c>
      <c r="T46" s="4">
        <v>0.33300000000000002</v>
      </c>
      <c r="U46" s="4">
        <v>0.182</v>
      </c>
      <c r="V46" s="4">
        <v>0</v>
      </c>
      <c r="W46" s="4">
        <v>0</v>
      </c>
      <c r="X46" s="4"/>
      <c r="Y46" s="4">
        <v>0.622</v>
      </c>
      <c r="Z46" s="4">
        <v>0</v>
      </c>
      <c r="AA46" s="4"/>
      <c r="AB46" s="4">
        <v>0</v>
      </c>
      <c r="AC46" s="4">
        <v>0</v>
      </c>
      <c r="AD46" s="10">
        <f t="shared" si="1"/>
        <v>0.61640200000000001</v>
      </c>
      <c r="AE46" s="9"/>
      <c r="AF46" s="9"/>
      <c r="AG46" s="12">
        <f t="shared" si="2"/>
        <v>40</v>
      </c>
      <c r="AH46" s="12">
        <f t="shared" si="2"/>
        <v>44</v>
      </c>
      <c r="AI46" s="12">
        <f t="shared" si="2"/>
        <v>53.300000000000004</v>
      </c>
      <c r="AJ46" s="12">
        <f t="shared" si="2"/>
        <v>4</v>
      </c>
      <c r="AK46" s="12"/>
      <c r="AL46" s="12">
        <f t="shared" si="8"/>
        <v>89.3</v>
      </c>
      <c r="AM46" s="12">
        <f t="shared" si="8"/>
        <v>89.3</v>
      </c>
      <c r="AN46" s="12">
        <f t="shared" si="8"/>
        <v>78.600000000000009</v>
      </c>
      <c r="AO46" s="12">
        <f t="shared" si="8"/>
        <v>9.3000000000000007</v>
      </c>
      <c r="AP46" s="12">
        <f t="shared" si="9"/>
        <v>53.300000000000004</v>
      </c>
      <c r="AQ46" s="12">
        <f t="shared" si="9"/>
        <v>10.6</v>
      </c>
      <c r="AR46" s="12"/>
      <c r="AS46" s="12">
        <f t="shared" si="10"/>
        <v>41.3</v>
      </c>
      <c r="AT46" s="12">
        <f t="shared" si="10"/>
        <v>56.000000000000007</v>
      </c>
      <c r="AU46" s="12">
        <f t="shared" si="10"/>
        <v>40</v>
      </c>
      <c r="AV46" s="12">
        <f t="shared" si="10"/>
        <v>10.6</v>
      </c>
      <c r="AW46" s="12">
        <f t="shared" si="11"/>
        <v>0</v>
      </c>
      <c r="AX46" s="12">
        <f t="shared" si="11"/>
        <v>0</v>
      </c>
      <c r="AY46" s="12"/>
      <c r="AZ46" s="12">
        <f t="shared" si="3"/>
        <v>43.999999999999993</v>
      </c>
      <c r="BA46" s="12">
        <f t="shared" si="4"/>
        <v>100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64</v>
      </c>
    </row>
    <row r="47" spans="1:57" ht="15.75" customHeight="1">
      <c r="A47" s="1" t="s">
        <v>140</v>
      </c>
      <c r="B47" s="3" t="s">
        <v>88</v>
      </c>
      <c r="C47" s="4" t="s">
        <v>92</v>
      </c>
      <c r="D47" s="4">
        <v>28</v>
      </c>
      <c r="E47" s="4">
        <v>539</v>
      </c>
      <c r="F47" s="4">
        <v>28</v>
      </c>
      <c r="G47" s="4">
        <v>539</v>
      </c>
      <c r="H47" s="4">
        <v>0.35799999999999998</v>
      </c>
      <c r="I47" s="4">
        <v>10.5</v>
      </c>
      <c r="J47" s="4"/>
      <c r="K47" s="4">
        <v>0.84299999999999997</v>
      </c>
      <c r="L47" s="4">
        <v>0.26400000000000001</v>
      </c>
      <c r="M47" s="4">
        <v>0.157</v>
      </c>
      <c r="N47" s="4">
        <v>0.32100000000000001</v>
      </c>
      <c r="O47" s="4">
        <v>0.10100000000000001</v>
      </c>
      <c r="P47" s="4">
        <v>0.157</v>
      </c>
      <c r="Q47" s="4"/>
      <c r="R47" s="4">
        <v>0.38800000000000001</v>
      </c>
      <c r="S47" s="4">
        <v>0.59499999999999997</v>
      </c>
      <c r="T47" s="4">
        <v>0.24</v>
      </c>
      <c r="U47" s="4">
        <v>0.19600000000000001</v>
      </c>
      <c r="V47" s="4">
        <v>0.68799999999999994</v>
      </c>
      <c r="W47" s="4">
        <v>0.2</v>
      </c>
      <c r="X47" s="4"/>
      <c r="Y47" s="4">
        <v>0.75</v>
      </c>
      <c r="Z47" s="4">
        <v>1</v>
      </c>
      <c r="AA47" s="4"/>
      <c r="AB47" s="4">
        <v>0</v>
      </c>
      <c r="AC47" s="4">
        <v>0</v>
      </c>
      <c r="AD47" s="10">
        <f t="shared" si="1"/>
        <v>0.78925000000000001</v>
      </c>
      <c r="AE47" s="9"/>
      <c r="AF47" s="9"/>
      <c r="AG47" s="12">
        <f t="shared" si="2"/>
        <v>40</v>
      </c>
      <c r="AH47" s="12">
        <f t="shared" si="2"/>
        <v>42.6</v>
      </c>
      <c r="AI47" s="12">
        <f t="shared" si="2"/>
        <v>24</v>
      </c>
      <c r="AJ47" s="12">
        <f t="shared" si="2"/>
        <v>62.6</v>
      </c>
      <c r="AK47" s="12"/>
      <c r="AL47" s="12">
        <f t="shared" si="8"/>
        <v>45.300000000000004</v>
      </c>
      <c r="AM47" s="12">
        <f t="shared" si="8"/>
        <v>33.300000000000004</v>
      </c>
      <c r="AN47" s="12">
        <f t="shared" si="8"/>
        <v>37.299999999999997</v>
      </c>
      <c r="AO47" s="12">
        <f t="shared" si="8"/>
        <v>88</v>
      </c>
      <c r="AP47" s="12">
        <f t="shared" si="9"/>
        <v>86.6</v>
      </c>
      <c r="AQ47" s="12">
        <f t="shared" si="9"/>
        <v>54.6</v>
      </c>
      <c r="AR47" s="12"/>
      <c r="AS47" s="12">
        <f t="shared" si="10"/>
        <v>25.3</v>
      </c>
      <c r="AT47" s="12">
        <f t="shared" si="10"/>
        <v>70.599999999999994</v>
      </c>
      <c r="AU47" s="12">
        <f t="shared" si="10"/>
        <v>18.600000000000001</v>
      </c>
      <c r="AV47" s="12">
        <f t="shared" si="10"/>
        <v>12</v>
      </c>
      <c r="AW47" s="12">
        <f t="shared" si="11"/>
        <v>89.3</v>
      </c>
      <c r="AX47" s="12">
        <f t="shared" si="11"/>
        <v>37.299999999999997</v>
      </c>
      <c r="AY47" s="12"/>
      <c r="AZ47" s="12">
        <f t="shared" si="3"/>
        <v>13.400000000000006</v>
      </c>
      <c r="BA47" s="12">
        <f t="shared" si="4"/>
        <v>32</v>
      </c>
      <c r="BB47" s="12"/>
      <c r="BC47" s="12">
        <f t="shared" si="5"/>
        <v>0</v>
      </c>
      <c r="BD47" s="12">
        <f t="shared" si="6"/>
        <v>0</v>
      </c>
      <c r="BE47" s="12">
        <f t="shared" si="7"/>
        <v>8</v>
      </c>
    </row>
    <row r="48" spans="1:57" ht="15.75" customHeight="1">
      <c r="A48" s="1" t="s">
        <v>141</v>
      </c>
      <c r="B48" s="3" t="s">
        <v>94</v>
      </c>
      <c r="C48" s="4" t="s">
        <v>99</v>
      </c>
      <c r="D48" s="4">
        <v>28</v>
      </c>
      <c r="E48" s="4">
        <v>517</v>
      </c>
      <c r="F48" s="4">
        <v>28</v>
      </c>
      <c r="G48" s="4">
        <v>517</v>
      </c>
      <c r="H48" s="4">
        <v>0.39300000000000002</v>
      </c>
      <c r="I48" s="4">
        <v>4.0999999999999996</v>
      </c>
      <c r="J48" s="4"/>
      <c r="K48" s="4">
        <v>0.99399999999999999</v>
      </c>
      <c r="L48" s="4">
        <v>0.56699999999999995</v>
      </c>
      <c r="M48" s="4">
        <v>0.26400000000000001</v>
      </c>
      <c r="N48" s="4">
        <v>0.157</v>
      </c>
      <c r="O48" s="4">
        <v>6.0000000000000001E-3</v>
      </c>
      <c r="P48" s="4">
        <v>6.0000000000000001E-3</v>
      </c>
      <c r="Q48" s="4"/>
      <c r="R48" s="4">
        <v>0.39500000000000002</v>
      </c>
      <c r="S48" s="4">
        <v>0.53500000000000003</v>
      </c>
      <c r="T48" s="4">
        <v>0.14899999999999999</v>
      </c>
      <c r="U48" s="4">
        <v>0.32100000000000001</v>
      </c>
      <c r="V48" s="4">
        <v>0</v>
      </c>
      <c r="W48" s="4">
        <v>0</v>
      </c>
      <c r="X48" s="4"/>
      <c r="Y48" s="4">
        <v>0.7</v>
      </c>
      <c r="Z48" s="4">
        <v>0</v>
      </c>
      <c r="AA48" s="4"/>
      <c r="AB48" s="4">
        <v>0</v>
      </c>
      <c r="AC48" s="4">
        <v>0</v>
      </c>
      <c r="AD48" s="10">
        <f t="shared" si="1"/>
        <v>0.69579999999999997</v>
      </c>
      <c r="AE48" s="9"/>
      <c r="AF48" s="9"/>
      <c r="AG48" s="12">
        <f t="shared" si="2"/>
        <v>40</v>
      </c>
      <c r="AH48" s="12">
        <f t="shared" si="2"/>
        <v>41.3</v>
      </c>
      <c r="AI48" s="12">
        <f t="shared" si="2"/>
        <v>42.6</v>
      </c>
      <c r="AJ48" s="12">
        <f t="shared" si="2"/>
        <v>2.6</v>
      </c>
      <c r="AK48" s="12"/>
      <c r="AL48" s="12">
        <f t="shared" si="8"/>
        <v>90.600000000000009</v>
      </c>
      <c r="AM48" s="12">
        <f t="shared" si="8"/>
        <v>92</v>
      </c>
      <c r="AN48" s="12">
        <f t="shared" si="8"/>
        <v>69.3</v>
      </c>
      <c r="AO48" s="12">
        <f t="shared" si="8"/>
        <v>33.300000000000004</v>
      </c>
      <c r="AP48" s="12">
        <f t="shared" si="9"/>
        <v>6.6000000000000005</v>
      </c>
      <c r="AQ48" s="12">
        <f t="shared" si="9"/>
        <v>9.3000000000000007</v>
      </c>
      <c r="AR48" s="12"/>
      <c r="AS48" s="12">
        <f t="shared" si="10"/>
        <v>29.299999999999997</v>
      </c>
      <c r="AT48" s="12">
        <f t="shared" si="10"/>
        <v>49.3</v>
      </c>
      <c r="AU48" s="12">
        <f t="shared" si="10"/>
        <v>12</v>
      </c>
      <c r="AV48" s="12">
        <f t="shared" si="10"/>
        <v>49.3</v>
      </c>
      <c r="AW48" s="12">
        <f t="shared" si="11"/>
        <v>0</v>
      </c>
      <c r="AX48" s="12">
        <f t="shared" si="11"/>
        <v>0</v>
      </c>
      <c r="AY48" s="12"/>
      <c r="AZ48" s="12">
        <f t="shared" si="3"/>
        <v>25.400000000000006</v>
      </c>
      <c r="BA48" s="12">
        <f t="shared" si="4"/>
        <v>100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40</v>
      </c>
    </row>
    <row r="49" spans="1:57" ht="15.75" customHeight="1">
      <c r="A49" s="1" t="s">
        <v>142</v>
      </c>
      <c r="B49" s="3" t="s">
        <v>96</v>
      </c>
      <c r="C49" s="4" t="s">
        <v>92</v>
      </c>
      <c r="D49" s="4">
        <v>28</v>
      </c>
      <c r="E49" s="4">
        <v>511</v>
      </c>
      <c r="F49" s="4">
        <v>28</v>
      </c>
      <c r="G49" s="4">
        <v>511</v>
      </c>
      <c r="H49" s="4">
        <v>0.52</v>
      </c>
      <c r="I49" s="4">
        <v>5.7</v>
      </c>
      <c r="J49" s="4"/>
      <c r="K49" s="4">
        <v>1</v>
      </c>
      <c r="L49" s="4">
        <v>0.36599999999999999</v>
      </c>
      <c r="M49" s="4">
        <v>0.39800000000000002</v>
      </c>
      <c r="N49" s="4">
        <v>0.22</v>
      </c>
      <c r="O49" s="4">
        <v>1.6E-2</v>
      </c>
      <c r="P49" s="4">
        <v>0</v>
      </c>
      <c r="Q49" s="4"/>
      <c r="R49" s="4">
        <v>0.52</v>
      </c>
      <c r="S49" s="4">
        <v>0.64400000000000002</v>
      </c>
      <c r="T49" s="4">
        <v>0.46899999999999997</v>
      </c>
      <c r="U49" s="4">
        <v>0.40699999999999997</v>
      </c>
      <c r="V49" s="4">
        <v>0.5</v>
      </c>
      <c r="W49" s="4">
        <v>0</v>
      </c>
      <c r="X49" s="4"/>
      <c r="Y49" s="4">
        <v>0.68799999999999994</v>
      </c>
      <c r="Z49" s="4">
        <v>0</v>
      </c>
      <c r="AA49" s="4"/>
      <c r="AB49" s="4">
        <v>0</v>
      </c>
      <c r="AC49" s="4">
        <v>0</v>
      </c>
      <c r="AD49" s="10">
        <f t="shared" si="1"/>
        <v>0.68799999999999994</v>
      </c>
      <c r="AE49" s="9"/>
      <c r="AF49" s="9"/>
      <c r="AG49" s="12">
        <f t="shared" si="2"/>
        <v>40</v>
      </c>
      <c r="AH49" s="12">
        <f t="shared" si="2"/>
        <v>40</v>
      </c>
      <c r="AI49" s="12">
        <f t="shared" si="2"/>
        <v>96</v>
      </c>
      <c r="AJ49" s="12">
        <f t="shared" si="2"/>
        <v>14.6</v>
      </c>
      <c r="AK49" s="12"/>
      <c r="AL49" s="12">
        <f t="shared" si="8"/>
        <v>93.300000000000011</v>
      </c>
      <c r="AM49" s="12">
        <f t="shared" si="8"/>
        <v>65.3</v>
      </c>
      <c r="AN49" s="12">
        <f t="shared" si="8"/>
        <v>92</v>
      </c>
      <c r="AO49" s="12">
        <f t="shared" si="8"/>
        <v>64</v>
      </c>
      <c r="AP49" s="12">
        <f t="shared" si="9"/>
        <v>14.6</v>
      </c>
      <c r="AQ49" s="12">
        <f t="shared" si="9"/>
        <v>0</v>
      </c>
      <c r="AR49" s="12"/>
      <c r="AS49" s="12">
        <f t="shared" si="10"/>
        <v>90.600000000000009</v>
      </c>
      <c r="AT49" s="12">
        <f t="shared" si="10"/>
        <v>89.3</v>
      </c>
      <c r="AU49" s="12">
        <f t="shared" si="10"/>
        <v>84</v>
      </c>
      <c r="AV49" s="12">
        <f t="shared" si="10"/>
        <v>78.600000000000009</v>
      </c>
      <c r="AW49" s="12">
        <f t="shared" si="11"/>
        <v>68</v>
      </c>
      <c r="AX49" s="12">
        <f t="shared" si="11"/>
        <v>0</v>
      </c>
      <c r="AY49" s="12"/>
      <c r="AZ49" s="12">
        <f t="shared" si="3"/>
        <v>30.700000000000003</v>
      </c>
      <c r="BA49" s="12">
        <f t="shared" si="4"/>
        <v>100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43.999999999999993</v>
      </c>
    </row>
    <row r="50" spans="1:57" ht="15.75" customHeight="1">
      <c r="A50" s="1" t="s">
        <v>143</v>
      </c>
      <c r="B50" s="3" t="s">
        <v>105</v>
      </c>
      <c r="C50" s="4" t="s">
        <v>92</v>
      </c>
      <c r="D50" s="4">
        <v>28</v>
      </c>
      <c r="E50" s="4">
        <v>492</v>
      </c>
      <c r="F50" s="4">
        <v>28</v>
      </c>
      <c r="G50" s="4">
        <v>492</v>
      </c>
      <c r="H50" s="4">
        <v>0.54100000000000004</v>
      </c>
      <c r="I50" s="4">
        <v>4.8</v>
      </c>
      <c r="J50" s="4"/>
      <c r="K50" s="4">
        <v>0.98499999999999999</v>
      </c>
      <c r="L50" s="4">
        <v>0.52600000000000002</v>
      </c>
      <c r="M50" s="4">
        <v>0.34100000000000003</v>
      </c>
      <c r="N50" s="4">
        <v>0.16300000000000001</v>
      </c>
      <c r="O50" s="4">
        <v>0</v>
      </c>
      <c r="P50" s="4">
        <v>1.4999999999999999E-2</v>
      </c>
      <c r="Q50" s="4"/>
      <c r="R50" s="4">
        <v>0.54100000000000004</v>
      </c>
      <c r="S50" s="4">
        <v>0.64800000000000002</v>
      </c>
      <c r="T50" s="4">
        <v>0.435</v>
      </c>
      <c r="U50" s="4">
        <v>0.318</v>
      </c>
      <c r="V50" s="4">
        <v>0</v>
      </c>
      <c r="W50" s="4">
        <v>0.5</v>
      </c>
      <c r="X50" s="4"/>
      <c r="Y50" s="4">
        <v>0.70799999999999996</v>
      </c>
      <c r="Z50" s="4">
        <v>2</v>
      </c>
      <c r="AA50" s="4"/>
      <c r="AB50" s="4">
        <v>0.5</v>
      </c>
      <c r="AC50" s="4">
        <v>1</v>
      </c>
      <c r="AD50" s="10">
        <f t="shared" si="1"/>
        <v>0.72738000000000003</v>
      </c>
      <c r="AE50" s="9"/>
      <c r="AF50" s="9"/>
      <c r="AG50" s="12">
        <f t="shared" si="2"/>
        <v>40</v>
      </c>
      <c r="AH50" s="12">
        <f t="shared" si="2"/>
        <v>38.6</v>
      </c>
      <c r="AI50" s="12">
        <f t="shared" si="2"/>
        <v>97.3</v>
      </c>
      <c r="AJ50" s="12">
        <f t="shared" si="2"/>
        <v>8</v>
      </c>
      <c r="AK50" s="12"/>
      <c r="AL50" s="12">
        <f t="shared" si="8"/>
        <v>85.3</v>
      </c>
      <c r="AM50" s="12">
        <f t="shared" si="8"/>
        <v>88</v>
      </c>
      <c r="AN50" s="12">
        <f t="shared" si="8"/>
        <v>84</v>
      </c>
      <c r="AO50" s="12">
        <f t="shared" si="8"/>
        <v>36</v>
      </c>
      <c r="AP50" s="12">
        <f t="shared" si="9"/>
        <v>0</v>
      </c>
      <c r="AQ50" s="12">
        <f t="shared" si="9"/>
        <v>13.3</v>
      </c>
      <c r="AR50" s="12"/>
      <c r="AS50" s="12">
        <f t="shared" si="10"/>
        <v>92</v>
      </c>
      <c r="AT50" s="12">
        <f t="shared" si="10"/>
        <v>92</v>
      </c>
      <c r="AU50" s="12">
        <f t="shared" si="10"/>
        <v>80</v>
      </c>
      <c r="AV50" s="12">
        <f t="shared" si="10"/>
        <v>46.6</v>
      </c>
      <c r="AW50" s="12">
        <f t="shared" si="11"/>
        <v>0</v>
      </c>
      <c r="AX50" s="12">
        <f t="shared" si="11"/>
        <v>94.6</v>
      </c>
      <c r="AY50" s="12"/>
      <c r="AZ50" s="12">
        <f t="shared" si="3"/>
        <v>21.399999999999991</v>
      </c>
      <c r="BA50" s="12">
        <f t="shared" si="4"/>
        <v>0</v>
      </c>
      <c r="BB50" s="12"/>
      <c r="BC50" s="12">
        <f t="shared" si="5"/>
        <v>98.6</v>
      </c>
      <c r="BD50" s="12">
        <f t="shared" si="6"/>
        <v>94.6</v>
      </c>
      <c r="BE50" s="12">
        <f t="shared" si="7"/>
        <v>26.700000000000003</v>
      </c>
    </row>
    <row r="51" spans="1:57" ht="15.75" customHeight="1">
      <c r="A51" s="1" t="s">
        <v>144</v>
      </c>
      <c r="B51" s="3" t="s">
        <v>88</v>
      </c>
      <c r="C51" s="4" t="s">
        <v>8</v>
      </c>
      <c r="D51" s="4">
        <v>28</v>
      </c>
      <c r="E51" s="4">
        <v>475</v>
      </c>
      <c r="F51" s="4">
        <v>28</v>
      </c>
      <c r="G51" s="4">
        <v>475</v>
      </c>
      <c r="H51" s="4">
        <v>0.37</v>
      </c>
      <c r="I51" s="4">
        <v>14.5</v>
      </c>
      <c r="J51" s="4"/>
      <c r="K51" s="4">
        <v>0.46300000000000002</v>
      </c>
      <c r="L51" s="4">
        <v>0.19400000000000001</v>
      </c>
      <c r="M51" s="4">
        <v>0.13</v>
      </c>
      <c r="N51" s="4">
        <v>0.12</v>
      </c>
      <c r="O51" s="4">
        <v>1.9E-2</v>
      </c>
      <c r="P51" s="4">
        <v>0.53700000000000003</v>
      </c>
      <c r="Q51" s="4"/>
      <c r="R51" s="4">
        <v>0.34</v>
      </c>
      <c r="S51" s="4">
        <v>0.52400000000000002</v>
      </c>
      <c r="T51" s="4">
        <v>0.14299999999999999</v>
      </c>
      <c r="U51" s="4">
        <v>0.23100000000000001</v>
      </c>
      <c r="V51" s="4">
        <v>0.5</v>
      </c>
      <c r="W51" s="4">
        <v>0.39700000000000002</v>
      </c>
      <c r="X51" s="4"/>
      <c r="Y51" s="4">
        <v>0.35299999999999998</v>
      </c>
      <c r="Z51" s="4">
        <v>0.73899999999999999</v>
      </c>
      <c r="AA51" s="4"/>
      <c r="AB51" s="4">
        <v>0</v>
      </c>
      <c r="AC51" s="4">
        <v>0</v>
      </c>
      <c r="AD51" s="10">
        <f t="shared" si="1"/>
        <v>0.56028199999999995</v>
      </c>
      <c r="AE51" s="9"/>
      <c r="AF51" s="9"/>
      <c r="AG51" s="12">
        <f t="shared" si="2"/>
        <v>40</v>
      </c>
      <c r="AH51" s="12">
        <f t="shared" si="2"/>
        <v>37.299999999999997</v>
      </c>
      <c r="AI51" s="12">
        <f t="shared" si="2"/>
        <v>28.000000000000004</v>
      </c>
      <c r="AJ51" s="12">
        <f t="shared" si="2"/>
        <v>88</v>
      </c>
      <c r="AK51" s="12"/>
      <c r="AL51" s="12">
        <f t="shared" si="8"/>
        <v>8</v>
      </c>
      <c r="AM51" s="12">
        <f t="shared" si="8"/>
        <v>14.6</v>
      </c>
      <c r="AN51" s="12">
        <f t="shared" si="8"/>
        <v>25.3</v>
      </c>
      <c r="AO51" s="12">
        <f t="shared" si="8"/>
        <v>20</v>
      </c>
      <c r="AP51" s="12">
        <f t="shared" si="9"/>
        <v>17.299999999999997</v>
      </c>
      <c r="AQ51" s="12">
        <f t="shared" si="9"/>
        <v>92</v>
      </c>
      <c r="AR51" s="12"/>
      <c r="AS51" s="12">
        <f t="shared" si="10"/>
        <v>12</v>
      </c>
      <c r="AT51" s="12">
        <f t="shared" si="10"/>
        <v>44</v>
      </c>
      <c r="AU51" s="12">
        <f t="shared" si="10"/>
        <v>9.3000000000000007</v>
      </c>
      <c r="AV51" s="12">
        <f t="shared" si="10"/>
        <v>21.3</v>
      </c>
      <c r="AW51" s="12">
        <f t="shared" si="11"/>
        <v>68</v>
      </c>
      <c r="AX51" s="12">
        <f t="shared" si="11"/>
        <v>86.6</v>
      </c>
      <c r="AY51" s="12"/>
      <c r="AZ51" s="12">
        <f t="shared" si="3"/>
        <v>88</v>
      </c>
      <c r="BA51" s="12">
        <f t="shared" si="4"/>
        <v>60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72</v>
      </c>
    </row>
    <row r="52" spans="1:57" ht="15.75" customHeight="1">
      <c r="A52" s="1" t="s">
        <v>145</v>
      </c>
      <c r="B52" s="3" t="s">
        <v>98</v>
      </c>
      <c r="C52" s="4" t="s">
        <v>118</v>
      </c>
      <c r="D52" s="4">
        <v>28</v>
      </c>
      <c r="E52" s="4">
        <v>473</v>
      </c>
      <c r="F52" s="4">
        <v>28</v>
      </c>
      <c r="G52" s="4">
        <v>473</v>
      </c>
      <c r="H52" s="4">
        <v>0.377</v>
      </c>
      <c r="I52" s="4">
        <v>9</v>
      </c>
      <c r="J52" s="4"/>
      <c r="K52" s="4">
        <v>0.82499999999999996</v>
      </c>
      <c r="L52" s="4">
        <v>0.35099999999999998</v>
      </c>
      <c r="M52" s="4">
        <v>0.17499999999999999</v>
      </c>
      <c r="N52" s="4">
        <v>0.22800000000000001</v>
      </c>
      <c r="O52" s="4">
        <v>4.3999999999999997E-2</v>
      </c>
      <c r="P52" s="4">
        <v>0.17499999999999999</v>
      </c>
      <c r="Q52" s="4"/>
      <c r="R52" s="4">
        <v>0.42599999999999999</v>
      </c>
      <c r="S52" s="4">
        <v>0.5</v>
      </c>
      <c r="T52" s="4">
        <v>0.2</v>
      </c>
      <c r="U52" s="4">
        <v>0.34599999999999997</v>
      </c>
      <c r="V52" s="4">
        <v>0.8</v>
      </c>
      <c r="W52" s="4">
        <v>0.15</v>
      </c>
      <c r="X52" s="4"/>
      <c r="Y52" s="4">
        <v>0.65</v>
      </c>
      <c r="Z52" s="4">
        <v>1</v>
      </c>
      <c r="AA52" s="4"/>
      <c r="AB52" s="4">
        <v>0</v>
      </c>
      <c r="AC52" s="4">
        <v>0</v>
      </c>
      <c r="AD52" s="10">
        <f t="shared" si="1"/>
        <v>0.71124999999999994</v>
      </c>
      <c r="AE52" s="9"/>
      <c r="AF52" s="9"/>
      <c r="AG52" s="12">
        <f t="shared" si="2"/>
        <v>40</v>
      </c>
      <c r="AH52" s="12">
        <f t="shared" si="2"/>
        <v>36</v>
      </c>
      <c r="AI52" s="12">
        <f t="shared" si="2"/>
        <v>32</v>
      </c>
      <c r="AJ52" s="12">
        <f t="shared" si="2"/>
        <v>45.300000000000004</v>
      </c>
      <c r="AK52" s="12"/>
      <c r="AL52" s="12">
        <f t="shared" si="8"/>
        <v>42.6</v>
      </c>
      <c r="AM52" s="12">
        <f t="shared" si="8"/>
        <v>60</v>
      </c>
      <c r="AN52" s="12">
        <f t="shared" si="8"/>
        <v>42.6</v>
      </c>
      <c r="AO52" s="12">
        <f t="shared" si="8"/>
        <v>69.3</v>
      </c>
      <c r="AP52" s="12">
        <f t="shared" si="9"/>
        <v>50.6</v>
      </c>
      <c r="AQ52" s="12">
        <f t="shared" si="9"/>
        <v>57.3</v>
      </c>
      <c r="AR52" s="12"/>
      <c r="AS52" s="12">
        <f t="shared" si="10"/>
        <v>48</v>
      </c>
      <c r="AT52" s="12">
        <f t="shared" si="10"/>
        <v>29.299999999999997</v>
      </c>
      <c r="AU52" s="12">
        <f t="shared" si="10"/>
        <v>16</v>
      </c>
      <c r="AV52" s="12">
        <f t="shared" si="10"/>
        <v>62.6</v>
      </c>
      <c r="AW52" s="12">
        <f t="shared" si="11"/>
        <v>92</v>
      </c>
      <c r="AX52" s="12">
        <f t="shared" si="11"/>
        <v>28.000000000000004</v>
      </c>
      <c r="AY52" s="12"/>
      <c r="AZ52" s="12">
        <f t="shared" si="3"/>
        <v>38.700000000000003</v>
      </c>
      <c r="BA52" s="12">
        <f t="shared" si="4"/>
        <v>32</v>
      </c>
      <c r="BB52" s="12"/>
      <c r="BC52" s="12">
        <f t="shared" si="5"/>
        <v>0</v>
      </c>
      <c r="BD52" s="12">
        <f t="shared" si="6"/>
        <v>0</v>
      </c>
      <c r="BE52" s="12">
        <f t="shared" si="7"/>
        <v>33.399999999999991</v>
      </c>
    </row>
    <row r="53" spans="1:57" ht="15.75" customHeight="1">
      <c r="A53" s="1" t="s">
        <v>146</v>
      </c>
      <c r="B53" s="3" t="s">
        <v>101</v>
      </c>
      <c r="C53" s="4" t="s">
        <v>8</v>
      </c>
      <c r="D53" s="4">
        <v>27</v>
      </c>
      <c r="E53" s="4">
        <v>471</v>
      </c>
      <c r="F53" s="4">
        <v>27</v>
      </c>
      <c r="G53" s="4">
        <v>471</v>
      </c>
      <c r="H53" s="4">
        <v>0.39</v>
      </c>
      <c r="I53" s="4">
        <v>10.199999999999999</v>
      </c>
      <c r="J53" s="4"/>
      <c r="K53" s="4">
        <v>0.76500000000000001</v>
      </c>
      <c r="L53" s="4">
        <v>0.40400000000000003</v>
      </c>
      <c r="M53" s="4">
        <v>5.0999999999999997E-2</v>
      </c>
      <c r="N53" s="4">
        <v>0.14000000000000001</v>
      </c>
      <c r="O53" s="4">
        <v>0.16900000000000001</v>
      </c>
      <c r="P53" s="4">
        <v>0.23499999999999999</v>
      </c>
      <c r="Q53" s="4"/>
      <c r="R53" s="4">
        <v>0.41299999999999998</v>
      </c>
      <c r="S53" s="4">
        <v>0.52700000000000002</v>
      </c>
      <c r="T53" s="4">
        <v>0.14299999999999999</v>
      </c>
      <c r="U53" s="4">
        <v>0.26300000000000001</v>
      </c>
      <c r="V53" s="4">
        <v>0.34799999999999998</v>
      </c>
      <c r="W53" s="4">
        <v>0.313</v>
      </c>
      <c r="X53" s="4"/>
      <c r="Y53" s="4">
        <v>0.67400000000000004</v>
      </c>
      <c r="Z53" s="4">
        <v>0.8</v>
      </c>
      <c r="AA53" s="4"/>
      <c r="AB53" s="4">
        <v>0</v>
      </c>
      <c r="AC53" s="4">
        <v>0</v>
      </c>
      <c r="AD53" s="10">
        <f t="shared" si="1"/>
        <v>0.70361000000000007</v>
      </c>
      <c r="AE53" s="9"/>
      <c r="AF53" s="9"/>
      <c r="AG53" s="12">
        <f t="shared" si="2"/>
        <v>33.300000000000004</v>
      </c>
      <c r="AH53" s="12">
        <f t="shared" si="2"/>
        <v>34.599999999999994</v>
      </c>
      <c r="AI53" s="12">
        <f t="shared" si="2"/>
        <v>38.6</v>
      </c>
      <c r="AJ53" s="12">
        <f t="shared" si="2"/>
        <v>58.599999999999994</v>
      </c>
      <c r="AK53" s="12"/>
      <c r="AL53" s="12">
        <f t="shared" si="8"/>
        <v>32</v>
      </c>
      <c r="AM53" s="12">
        <f t="shared" si="8"/>
        <v>74.599999999999994</v>
      </c>
      <c r="AN53" s="12">
        <f t="shared" si="8"/>
        <v>6.6000000000000005</v>
      </c>
      <c r="AO53" s="12">
        <f t="shared" si="8"/>
        <v>30.599999999999998</v>
      </c>
      <c r="AP53" s="12">
        <f t="shared" si="9"/>
        <v>97.3</v>
      </c>
      <c r="AQ53" s="12">
        <f t="shared" si="9"/>
        <v>68</v>
      </c>
      <c r="AR53" s="12"/>
      <c r="AS53" s="12">
        <f t="shared" si="10"/>
        <v>41.3</v>
      </c>
      <c r="AT53" s="12">
        <f t="shared" si="10"/>
        <v>46.6</v>
      </c>
      <c r="AU53" s="12">
        <f t="shared" si="10"/>
        <v>9.3000000000000007</v>
      </c>
      <c r="AV53" s="12">
        <f t="shared" si="10"/>
        <v>30.599999999999998</v>
      </c>
      <c r="AW53" s="12">
        <f t="shared" si="11"/>
        <v>41.3</v>
      </c>
      <c r="AX53" s="12">
        <f t="shared" si="11"/>
        <v>66.600000000000009</v>
      </c>
      <c r="AY53" s="12"/>
      <c r="AZ53" s="12">
        <f t="shared" si="3"/>
        <v>36</v>
      </c>
      <c r="BA53" s="12">
        <f t="shared" si="4"/>
        <v>50.7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36</v>
      </c>
    </row>
    <row r="54" spans="1:57" ht="15.75" customHeight="1">
      <c r="A54" s="1" t="s">
        <v>147</v>
      </c>
      <c r="B54" s="4" t="s">
        <v>88</v>
      </c>
      <c r="C54" s="4" t="s">
        <v>110</v>
      </c>
      <c r="D54" s="4">
        <v>28</v>
      </c>
      <c r="E54" s="4">
        <v>438</v>
      </c>
      <c r="F54" s="4">
        <v>28</v>
      </c>
      <c r="G54" s="4">
        <v>438</v>
      </c>
      <c r="H54" s="4">
        <v>0.46400000000000002</v>
      </c>
      <c r="I54" s="4">
        <v>3.4</v>
      </c>
      <c r="J54" s="4"/>
      <c r="K54" s="4">
        <v>1</v>
      </c>
      <c r="L54" s="4">
        <v>0.61599999999999999</v>
      </c>
      <c r="M54" s="4">
        <v>0.28000000000000003</v>
      </c>
      <c r="N54" s="4">
        <v>6.4000000000000001E-2</v>
      </c>
      <c r="O54" s="4">
        <v>0.04</v>
      </c>
      <c r="P54" s="4">
        <v>0</v>
      </c>
      <c r="Q54" s="4"/>
      <c r="R54" s="4">
        <v>0.46400000000000002</v>
      </c>
      <c r="S54" s="4">
        <v>0.55800000000000005</v>
      </c>
      <c r="T54" s="4">
        <v>0.25700000000000001</v>
      </c>
      <c r="U54" s="4">
        <v>0.25</v>
      </c>
      <c r="V54" s="4">
        <v>0.8</v>
      </c>
      <c r="W54" s="4">
        <v>0</v>
      </c>
      <c r="X54" s="4"/>
      <c r="Y54" s="4">
        <v>0.70699999999999996</v>
      </c>
      <c r="Z54" s="4">
        <v>0</v>
      </c>
      <c r="AA54" s="4"/>
      <c r="AB54" s="4">
        <v>0</v>
      </c>
      <c r="AC54" s="4">
        <v>0</v>
      </c>
      <c r="AD54" s="10">
        <f t="shared" si="1"/>
        <v>0.70699999999999996</v>
      </c>
      <c r="AE54" s="9"/>
      <c r="AF54" s="9"/>
      <c r="AG54" s="12">
        <f t="shared" si="2"/>
        <v>40</v>
      </c>
      <c r="AH54" s="12">
        <f t="shared" si="2"/>
        <v>33.300000000000004</v>
      </c>
      <c r="AI54" s="12">
        <f t="shared" si="2"/>
        <v>78.600000000000009</v>
      </c>
      <c r="AJ54" s="12">
        <f t="shared" si="2"/>
        <v>1.3</v>
      </c>
      <c r="AK54" s="12"/>
      <c r="AL54" s="12">
        <f t="shared" si="8"/>
        <v>93.300000000000011</v>
      </c>
      <c r="AM54" s="12">
        <f t="shared" si="8"/>
        <v>96</v>
      </c>
      <c r="AN54" s="12">
        <f t="shared" si="8"/>
        <v>74.599999999999994</v>
      </c>
      <c r="AO54" s="12">
        <f t="shared" si="8"/>
        <v>5.3</v>
      </c>
      <c r="AP54" s="12">
        <f t="shared" si="9"/>
        <v>44</v>
      </c>
      <c r="AQ54" s="12">
        <f t="shared" si="9"/>
        <v>0</v>
      </c>
      <c r="AR54" s="12"/>
      <c r="AS54" s="12">
        <f t="shared" si="10"/>
        <v>64</v>
      </c>
      <c r="AT54" s="12">
        <f t="shared" si="10"/>
        <v>57.3</v>
      </c>
      <c r="AU54" s="12">
        <f t="shared" si="10"/>
        <v>24</v>
      </c>
      <c r="AV54" s="12">
        <f t="shared" si="10"/>
        <v>28.000000000000004</v>
      </c>
      <c r="AW54" s="12">
        <f t="shared" si="11"/>
        <v>92</v>
      </c>
      <c r="AX54" s="12">
        <f t="shared" si="11"/>
        <v>0</v>
      </c>
      <c r="AY54" s="12"/>
      <c r="AZ54" s="12">
        <f t="shared" si="3"/>
        <v>22.700000000000003</v>
      </c>
      <c r="BA54" s="12">
        <f t="shared" si="4"/>
        <v>100</v>
      </c>
      <c r="BB54" s="12"/>
      <c r="BC54" s="12">
        <f t="shared" si="5"/>
        <v>0</v>
      </c>
      <c r="BD54" s="12">
        <f t="shared" si="6"/>
        <v>0</v>
      </c>
      <c r="BE54" s="12">
        <f t="shared" si="7"/>
        <v>34.700000000000003</v>
      </c>
    </row>
    <row r="55" spans="1:57" ht="15.75" customHeight="1">
      <c r="A55" s="1" t="s">
        <v>148</v>
      </c>
      <c r="B55" s="3" t="s">
        <v>86</v>
      </c>
      <c r="C55" s="4" t="s">
        <v>99</v>
      </c>
      <c r="D55" s="4">
        <v>28</v>
      </c>
      <c r="E55" s="4">
        <v>422</v>
      </c>
      <c r="F55" s="4">
        <v>28</v>
      </c>
      <c r="G55" s="4">
        <v>422</v>
      </c>
      <c r="H55" s="4">
        <v>0.38100000000000001</v>
      </c>
      <c r="I55" s="4">
        <v>6.6</v>
      </c>
      <c r="J55" s="4"/>
      <c r="K55" s="4">
        <v>1</v>
      </c>
      <c r="L55" s="4">
        <v>0.32500000000000001</v>
      </c>
      <c r="M55" s="4">
        <v>0.41299999999999998</v>
      </c>
      <c r="N55" s="4">
        <v>0.222</v>
      </c>
      <c r="O55" s="4">
        <v>2.4E-2</v>
      </c>
      <c r="P55" s="4">
        <v>0</v>
      </c>
      <c r="Q55" s="4"/>
      <c r="R55" s="4">
        <v>0.38100000000000001</v>
      </c>
      <c r="S55" s="4">
        <v>0.51200000000000001</v>
      </c>
      <c r="T55" s="4">
        <v>0.38500000000000001</v>
      </c>
      <c r="U55" s="4">
        <v>0.32100000000000001</v>
      </c>
      <c r="V55" s="4">
        <v>0.33300000000000002</v>
      </c>
      <c r="W55" s="4">
        <v>0</v>
      </c>
      <c r="X55" s="4"/>
      <c r="Y55" s="4">
        <v>0.79200000000000004</v>
      </c>
      <c r="Z55" s="4">
        <v>0</v>
      </c>
      <c r="AA55" s="4"/>
      <c r="AB55" s="4">
        <v>0</v>
      </c>
      <c r="AC55" s="4">
        <v>0</v>
      </c>
      <c r="AD55" s="10">
        <f t="shared" si="1"/>
        <v>0.79200000000000004</v>
      </c>
      <c r="AE55" s="9"/>
      <c r="AF55" s="9"/>
      <c r="AG55" s="12">
        <f t="shared" si="2"/>
        <v>40</v>
      </c>
      <c r="AH55" s="12">
        <f t="shared" si="2"/>
        <v>32</v>
      </c>
      <c r="AI55" s="12">
        <f t="shared" si="2"/>
        <v>34.599999999999994</v>
      </c>
      <c r="AJ55" s="12">
        <f t="shared" si="2"/>
        <v>28.000000000000004</v>
      </c>
      <c r="AK55" s="12"/>
      <c r="AL55" s="12">
        <f t="shared" si="8"/>
        <v>93.300000000000011</v>
      </c>
      <c r="AM55" s="12">
        <f t="shared" si="8"/>
        <v>54.6</v>
      </c>
      <c r="AN55" s="12">
        <f t="shared" si="8"/>
        <v>94.6</v>
      </c>
      <c r="AO55" s="12">
        <f t="shared" si="8"/>
        <v>65.3</v>
      </c>
      <c r="AP55" s="12">
        <f t="shared" si="9"/>
        <v>24</v>
      </c>
      <c r="AQ55" s="12">
        <f t="shared" si="9"/>
        <v>0</v>
      </c>
      <c r="AR55" s="12"/>
      <c r="AS55" s="12">
        <f t="shared" si="10"/>
        <v>24</v>
      </c>
      <c r="AT55" s="12">
        <f t="shared" si="10"/>
        <v>37.299999999999997</v>
      </c>
      <c r="AU55" s="12">
        <f t="shared" si="10"/>
        <v>60</v>
      </c>
      <c r="AV55" s="12">
        <f t="shared" si="10"/>
        <v>49.3</v>
      </c>
      <c r="AW55" s="12">
        <f t="shared" si="11"/>
        <v>33.300000000000004</v>
      </c>
      <c r="AX55" s="12">
        <f t="shared" si="11"/>
        <v>0</v>
      </c>
      <c r="AY55" s="12"/>
      <c r="AZ55" s="12">
        <f t="shared" si="3"/>
        <v>4</v>
      </c>
      <c r="BA55" s="12">
        <f t="shared" si="4"/>
        <v>100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6.6999999999999886</v>
      </c>
    </row>
    <row r="56" spans="1:57" ht="15.75" customHeight="1">
      <c r="A56" s="1" t="s">
        <v>149</v>
      </c>
      <c r="B56" s="3" t="s">
        <v>90</v>
      </c>
      <c r="C56" s="4" t="s">
        <v>8</v>
      </c>
      <c r="D56" s="4">
        <v>26</v>
      </c>
      <c r="E56" s="4">
        <v>397</v>
      </c>
      <c r="F56" s="4">
        <v>26</v>
      </c>
      <c r="G56" s="4">
        <v>397</v>
      </c>
      <c r="H56" s="4">
        <v>0.33</v>
      </c>
      <c r="I56" s="4">
        <v>16</v>
      </c>
      <c r="J56" s="4"/>
      <c r="K56" s="4">
        <v>0.432</v>
      </c>
      <c r="L56" s="4">
        <v>0.13600000000000001</v>
      </c>
      <c r="M56" s="4">
        <v>0.125</v>
      </c>
      <c r="N56" s="4">
        <v>0.13600000000000001</v>
      </c>
      <c r="O56" s="4">
        <v>2.3E-2</v>
      </c>
      <c r="P56" s="4">
        <v>0.56799999999999995</v>
      </c>
      <c r="Q56" s="4"/>
      <c r="R56" s="4">
        <v>0.34200000000000003</v>
      </c>
      <c r="S56" s="4">
        <v>0.33300000000000002</v>
      </c>
      <c r="T56" s="4">
        <v>0.45500000000000002</v>
      </c>
      <c r="U56" s="4">
        <v>0.16700000000000001</v>
      </c>
      <c r="V56" s="4">
        <v>1</v>
      </c>
      <c r="W56" s="4">
        <v>0.32</v>
      </c>
      <c r="X56" s="4"/>
      <c r="Y56" s="4">
        <v>0.23100000000000001</v>
      </c>
      <c r="Z56" s="4">
        <v>1</v>
      </c>
      <c r="AA56" s="4"/>
      <c r="AB56" s="4">
        <v>0.04</v>
      </c>
      <c r="AC56" s="4">
        <v>0</v>
      </c>
      <c r="AD56" s="10">
        <f t="shared" si="1"/>
        <v>0.66779199999999994</v>
      </c>
      <c r="AE56" s="9"/>
      <c r="AF56" s="9"/>
      <c r="AG56" s="12">
        <f t="shared" si="2"/>
        <v>25.3</v>
      </c>
      <c r="AH56" s="12">
        <f t="shared" si="2"/>
        <v>30.599999999999998</v>
      </c>
      <c r="AI56" s="12">
        <f t="shared" si="2"/>
        <v>10.6</v>
      </c>
      <c r="AJ56" s="12">
        <f t="shared" si="2"/>
        <v>96</v>
      </c>
      <c r="AK56" s="12"/>
      <c r="AL56" s="12">
        <f t="shared" si="8"/>
        <v>5.3</v>
      </c>
      <c r="AM56" s="12">
        <f t="shared" si="8"/>
        <v>5.3</v>
      </c>
      <c r="AN56" s="12">
        <f t="shared" si="8"/>
        <v>22.6</v>
      </c>
      <c r="AO56" s="12">
        <f t="shared" si="8"/>
        <v>25.3</v>
      </c>
      <c r="AP56" s="12">
        <f t="shared" si="9"/>
        <v>20</v>
      </c>
      <c r="AQ56" s="12">
        <f t="shared" si="9"/>
        <v>94.6</v>
      </c>
      <c r="AR56" s="12"/>
      <c r="AS56" s="12">
        <f t="shared" si="10"/>
        <v>13.3</v>
      </c>
      <c r="AT56" s="12">
        <f t="shared" si="10"/>
        <v>2.6</v>
      </c>
      <c r="AU56" s="12">
        <f t="shared" si="10"/>
        <v>82.6</v>
      </c>
      <c r="AV56" s="12">
        <f t="shared" si="10"/>
        <v>6.6000000000000005</v>
      </c>
      <c r="AW56" s="12">
        <f t="shared" si="11"/>
        <v>96</v>
      </c>
      <c r="AX56" s="12">
        <f t="shared" si="11"/>
        <v>70.599999999999994</v>
      </c>
      <c r="AY56" s="12"/>
      <c r="AZ56" s="12">
        <f t="shared" si="3"/>
        <v>94.7</v>
      </c>
      <c r="BA56" s="12">
        <f t="shared" si="4"/>
        <v>32</v>
      </c>
      <c r="BB56" s="12"/>
      <c r="BC56" s="12">
        <f t="shared" si="5"/>
        <v>84</v>
      </c>
      <c r="BD56" s="12">
        <f t="shared" si="6"/>
        <v>0</v>
      </c>
      <c r="BE56" s="12">
        <f t="shared" si="7"/>
        <v>49.4</v>
      </c>
    </row>
    <row r="57" spans="1:57" ht="15.75" customHeight="1">
      <c r="A57" s="1" t="s">
        <v>150</v>
      </c>
      <c r="B57" s="3" t="s">
        <v>90</v>
      </c>
      <c r="C57" s="4" t="s">
        <v>118</v>
      </c>
      <c r="D57" s="4">
        <v>25</v>
      </c>
      <c r="E57" s="4">
        <v>369</v>
      </c>
      <c r="F57" s="4">
        <v>25</v>
      </c>
      <c r="G57" s="4">
        <v>369</v>
      </c>
      <c r="H57" s="4">
        <v>0.34599999999999997</v>
      </c>
      <c r="I57" s="4">
        <v>11.2</v>
      </c>
      <c r="J57" s="4"/>
      <c r="K57" s="4">
        <v>0.77600000000000002</v>
      </c>
      <c r="L57" s="4">
        <v>0.24299999999999999</v>
      </c>
      <c r="M57" s="4">
        <v>0.14000000000000001</v>
      </c>
      <c r="N57" s="4">
        <v>0.28000000000000003</v>
      </c>
      <c r="O57" s="4">
        <v>8.4000000000000005E-2</v>
      </c>
      <c r="P57" s="4">
        <v>0.224</v>
      </c>
      <c r="Q57" s="4"/>
      <c r="R57" s="4">
        <v>0.34899999999999998</v>
      </c>
      <c r="S57" s="4">
        <v>0.308</v>
      </c>
      <c r="T57" s="4">
        <v>0.4</v>
      </c>
      <c r="U57" s="4">
        <v>0.26700000000000002</v>
      </c>
      <c r="V57" s="4">
        <v>0.44400000000000001</v>
      </c>
      <c r="W57" s="4">
        <v>0.33300000000000002</v>
      </c>
      <c r="X57" s="4"/>
      <c r="Y57" s="4">
        <v>0.69</v>
      </c>
      <c r="Z57" s="4">
        <v>0.75</v>
      </c>
      <c r="AA57" s="4"/>
      <c r="AB57" s="4">
        <v>0</v>
      </c>
      <c r="AC57" s="4">
        <v>0</v>
      </c>
      <c r="AD57" s="10">
        <f t="shared" si="1"/>
        <v>0.70344000000000007</v>
      </c>
      <c r="AE57" s="9"/>
      <c r="AF57" s="9"/>
      <c r="AG57" s="12">
        <f t="shared" si="2"/>
        <v>18.600000000000001</v>
      </c>
      <c r="AH57" s="12">
        <f t="shared" si="2"/>
        <v>29.299999999999997</v>
      </c>
      <c r="AI57" s="12">
        <f t="shared" si="2"/>
        <v>17.299999999999997</v>
      </c>
      <c r="AJ57" s="12">
        <f t="shared" si="2"/>
        <v>70.599999999999994</v>
      </c>
      <c r="AK57" s="12"/>
      <c r="AL57" s="12">
        <f t="shared" si="8"/>
        <v>33.300000000000004</v>
      </c>
      <c r="AM57" s="12">
        <f t="shared" si="8"/>
        <v>28.000000000000004</v>
      </c>
      <c r="AN57" s="12">
        <f t="shared" si="8"/>
        <v>32</v>
      </c>
      <c r="AO57" s="12">
        <f t="shared" si="8"/>
        <v>84</v>
      </c>
      <c r="AP57" s="12">
        <f t="shared" si="9"/>
        <v>84</v>
      </c>
      <c r="AQ57" s="12">
        <f t="shared" si="9"/>
        <v>66.600000000000009</v>
      </c>
      <c r="AR57" s="12"/>
      <c r="AS57" s="12">
        <f t="shared" si="10"/>
        <v>14.6</v>
      </c>
      <c r="AT57" s="12">
        <f t="shared" si="10"/>
        <v>1.3</v>
      </c>
      <c r="AU57" s="12">
        <f t="shared" si="10"/>
        <v>69.3</v>
      </c>
      <c r="AV57" s="12">
        <f t="shared" si="10"/>
        <v>32</v>
      </c>
      <c r="AW57" s="12">
        <f t="shared" si="11"/>
        <v>61.3</v>
      </c>
      <c r="AX57" s="12">
        <f t="shared" si="11"/>
        <v>73.3</v>
      </c>
      <c r="AY57" s="12"/>
      <c r="AZ57" s="12">
        <f t="shared" si="3"/>
        <v>29.400000000000006</v>
      </c>
      <c r="BA57" s="12">
        <f t="shared" si="4"/>
        <v>58.7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37.4</v>
      </c>
    </row>
    <row r="58" spans="1:57" ht="15.75" customHeight="1">
      <c r="A58" s="1" t="s">
        <v>151</v>
      </c>
      <c r="B58" s="3" t="s">
        <v>152</v>
      </c>
      <c r="C58" s="4" t="s">
        <v>8</v>
      </c>
      <c r="D58" s="4">
        <v>26</v>
      </c>
      <c r="E58" s="4">
        <v>360</v>
      </c>
      <c r="F58" s="4">
        <v>26</v>
      </c>
      <c r="G58" s="4">
        <v>360</v>
      </c>
      <c r="H58" s="4">
        <v>0.29099999999999998</v>
      </c>
      <c r="I58" s="4">
        <v>17.8</v>
      </c>
      <c r="J58" s="4"/>
      <c r="K58" s="4">
        <v>0.29099999999999998</v>
      </c>
      <c r="L58" s="4">
        <v>8.1000000000000003E-2</v>
      </c>
      <c r="M58" s="4">
        <v>4.7E-2</v>
      </c>
      <c r="N58" s="4">
        <v>0.16300000000000001</v>
      </c>
      <c r="O58" s="4">
        <v>3.5000000000000003E-2</v>
      </c>
      <c r="P58" s="4">
        <v>0.70899999999999996</v>
      </c>
      <c r="Q58" s="4"/>
      <c r="R58" s="4">
        <v>0.32</v>
      </c>
      <c r="S58" s="4">
        <v>0.42899999999999999</v>
      </c>
      <c r="T58" s="4">
        <v>0</v>
      </c>
      <c r="U58" s="4">
        <v>0.5</v>
      </c>
      <c r="V58" s="4">
        <v>0</v>
      </c>
      <c r="W58" s="4">
        <v>0.27900000000000003</v>
      </c>
      <c r="X58" s="4"/>
      <c r="Y58" s="4">
        <v>0.25</v>
      </c>
      <c r="Z58" s="4">
        <v>0.88200000000000001</v>
      </c>
      <c r="AA58" s="4"/>
      <c r="AB58" s="4">
        <v>1.6E-2</v>
      </c>
      <c r="AC58" s="4">
        <v>1</v>
      </c>
      <c r="AD58" s="10">
        <f t="shared" si="1"/>
        <v>0.69808799999999993</v>
      </c>
      <c r="AE58" s="9"/>
      <c r="AF58" s="9"/>
      <c r="AG58" s="12">
        <f t="shared" si="2"/>
        <v>25.3</v>
      </c>
      <c r="AH58" s="12">
        <f t="shared" si="2"/>
        <v>28.000000000000004</v>
      </c>
      <c r="AI58" s="12">
        <f t="shared" si="2"/>
        <v>5.3</v>
      </c>
      <c r="AJ58" s="12">
        <f t="shared" si="2"/>
        <v>97.3</v>
      </c>
      <c r="AK58" s="12"/>
      <c r="AL58" s="12">
        <f t="shared" si="8"/>
        <v>1.3</v>
      </c>
      <c r="AM58" s="12">
        <f t="shared" si="8"/>
        <v>2.6</v>
      </c>
      <c r="AN58" s="12">
        <f t="shared" si="8"/>
        <v>5.3</v>
      </c>
      <c r="AO58" s="12">
        <f t="shared" si="8"/>
        <v>36</v>
      </c>
      <c r="AP58" s="12">
        <f t="shared" si="9"/>
        <v>36</v>
      </c>
      <c r="AQ58" s="12">
        <f t="shared" si="9"/>
        <v>98.6</v>
      </c>
      <c r="AR58" s="12"/>
      <c r="AS58" s="12">
        <f t="shared" si="10"/>
        <v>5.3</v>
      </c>
      <c r="AT58" s="12">
        <f t="shared" si="10"/>
        <v>14.6</v>
      </c>
      <c r="AU58" s="12">
        <f t="shared" si="10"/>
        <v>0</v>
      </c>
      <c r="AV58" s="12">
        <f t="shared" si="10"/>
        <v>90.600000000000009</v>
      </c>
      <c r="AW58" s="12">
        <f t="shared" si="11"/>
        <v>0</v>
      </c>
      <c r="AX58" s="12">
        <f t="shared" si="11"/>
        <v>56.000000000000007</v>
      </c>
      <c r="AY58" s="12"/>
      <c r="AZ58" s="12">
        <f t="shared" si="3"/>
        <v>93.4</v>
      </c>
      <c r="BA58" s="12">
        <f t="shared" si="4"/>
        <v>41.400000000000006</v>
      </c>
      <c r="BB58" s="12"/>
      <c r="BC58" s="12">
        <f t="shared" si="5"/>
        <v>73.3</v>
      </c>
      <c r="BD58" s="12">
        <f t="shared" si="6"/>
        <v>94.6</v>
      </c>
      <c r="BE58" s="12">
        <f t="shared" si="7"/>
        <v>38.700000000000003</v>
      </c>
    </row>
    <row r="59" spans="1:57" ht="15.75" customHeight="1">
      <c r="A59" s="1" t="s">
        <v>153</v>
      </c>
      <c r="B59" s="3" t="s">
        <v>98</v>
      </c>
      <c r="C59" s="4" t="s">
        <v>110</v>
      </c>
      <c r="D59" s="4">
        <v>28</v>
      </c>
      <c r="E59" s="4">
        <v>340</v>
      </c>
      <c r="F59" s="4">
        <v>28</v>
      </c>
      <c r="G59" s="4">
        <v>340</v>
      </c>
      <c r="H59" s="4">
        <v>0.55400000000000005</v>
      </c>
      <c r="I59" s="4">
        <v>4.4000000000000004</v>
      </c>
      <c r="J59" s="4"/>
      <c r="K59" s="4">
        <v>0.91300000000000003</v>
      </c>
      <c r="L59" s="4">
        <v>0.63</v>
      </c>
      <c r="M59" s="4">
        <v>0.19600000000000001</v>
      </c>
      <c r="N59" s="4">
        <v>4.2999999999999997E-2</v>
      </c>
      <c r="O59" s="4">
        <v>1.0999999999999999E-2</v>
      </c>
      <c r="P59" s="4">
        <v>8.6999999999999994E-2</v>
      </c>
      <c r="Q59" s="4"/>
      <c r="R59" s="4">
        <v>0.58299999999999996</v>
      </c>
      <c r="S59" s="4">
        <v>0.65500000000000003</v>
      </c>
      <c r="T59" s="4">
        <v>0.5</v>
      </c>
      <c r="U59" s="4">
        <v>0</v>
      </c>
      <c r="V59" s="4">
        <v>1</v>
      </c>
      <c r="W59" s="4">
        <v>0.25</v>
      </c>
      <c r="X59" s="4"/>
      <c r="Y59" s="4">
        <v>0.73499999999999999</v>
      </c>
      <c r="Z59" s="4">
        <v>0.5</v>
      </c>
      <c r="AA59" s="4"/>
      <c r="AB59" s="4">
        <v>0</v>
      </c>
      <c r="AC59" s="4">
        <v>0</v>
      </c>
      <c r="AD59" s="10">
        <f t="shared" si="1"/>
        <v>0.71455500000000005</v>
      </c>
      <c r="AE59" s="9"/>
      <c r="AF59" s="9"/>
      <c r="AG59" s="12">
        <f t="shared" si="2"/>
        <v>40</v>
      </c>
      <c r="AH59" s="12">
        <f t="shared" si="2"/>
        <v>26.6</v>
      </c>
      <c r="AI59" s="12">
        <f t="shared" si="2"/>
        <v>98.6</v>
      </c>
      <c r="AJ59" s="12">
        <f t="shared" si="2"/>
        <v>5.3</v>
      </c>
      <c r="AK59" s="12"/>
      <c r="AL59" s="12">
        <f t="shared" si="8"/>
        <v>61.3</v>
      </c>
      <c r="AM59" s="12">
        <f t="shared" si="8"/>
        <v>97.3</v>
      </c>
      <c r="AN59" s="12">
        <f t="shared" si="8"/>
        <v>52</v>
      </c>
      <c r="AO59" s="12">
        <f t="shared" si="8"/>
        <v>4</v>
      </c>
      <c r="AP59" s="12">
        <f t="shared" si="9"/>
        <v>10.6</v>
      </c>
      <c r="AQ59" s="12">
        <f t="shared" si="9"/>
        <v>38.6</v>
      </c>
      <c r="AR59" s="12"/>
      <c r="AS59" s="12">
        <f t="shared" si="10"/>
        <v>96</v>
      </c>
      <c r="AT59" s="12">
        <f t="shared" si="10"/>
        <v>93.300000000000011</v>
      </c>
      <c r="AU59" s="12">
        <f t="shared" si="10"/>
        <v>86.6</v>
      </c>
      <c r="AV59" s="12">
        <f t="shared" si="10"/>
        <v>0</v>
      </c>
      <c r="AW59" s="12">
        <f t="shared" si="11"/>
        <v>96</v>
      </c>
      <c r="AX59" s="12">
        <f t="shared" si="11"/>
        <v>45.300000000000004</v>
      </c>
      <c r="AY59" s="12"/>
      <c r="AZ59" s="12">
        <f t="shared" si="3"/>
        <v>16</v>
      </c>
      <c r="BA59" s="12">
        <f t="shared" si="4"/>
        <v>76</v>
      </c>
      <c r="BB59" s="12"/>
      <c r="BC59" s="12">
        <f t="shared" si="5"/>
        <v>0</v>
      </c>
      <c r="BD59" s="12">
        <f t="shared" si="6"/>
        <v>0</v>
      </c>
      <c r="BE59" s="12">
        <f t="shared" si="7"/>
        <v>30.700000000000003</v>
      </c>
    </row>
    <row r="60" spans="1:57" ht="15.75" customHeight="1">
      <c r="A60" s="1" t="s">
        <v>154</v>
      </c>
      <c r="B60" s="4" t="s">
        <v>98</v>
      </c>
      <c r="C60" s="4" t="s">
        <v>92</v>
      </c>
      <c r="D60" s="4">
        <v>28</v>
      </c>
      <c r="E60" s="4">
        <v>332</v>
      </c>
      <c r="F60" s="4">
        <v>28</v>
      </c>
      <c r="G60" s="4">
        <v>332</v>
      </c>
      <c r="H60" s="4">
        <v>0.35499999999999998</v>
      </c>
      <c r="I60" s="4">
        <v>6</v>
      </c>
      <c r="J60" s="4"/>
      <c r="K60" s="4">
        <v>0.93500000000000005</v>
      </c>
      <c r="L60" s="4">
        <v>0.44900000000000001</v>
      </c>
      <c r="M60" s="4">
        <v>0.24299999999999999</v>
      </c>
      <c r="N60" s="4">
        <v>0.19600000000000001</v>
      </c>
      <c r="O60" s="4">
        <v>2.8000000000000001E-2</v>
      </c>
      <c r="P60" s="4">
        <v>6.5000000000000002E-2</v>
      </c>
      <c r="Q60" s="4"/>
      <c r="R60" s="4">
        <v>0.36</v>
      </c>
      <c r="S60" s="4">
        <v>0.35399999999999998</v>
      </c>
      <c r="T60" s="4">
        <v>0.38500000000000001</v>
      </c>
      <c r="U60" s="4">
        <v>0.28599999999999998</v>
      </c>
      <c r="V60" s="4">
        <v>0.33300000000000002</v>
      </c>
      <c r="W60" s="4">
        <v>0.28599999999999998</v>
      </c>
      <c r="X60" s="4"/>
      <c r="Y60" s="4">
        <v>0.5</v>
      </c>
      <c r="Z60" s="4">
        <v>0.5</v>
      </c>
      <c r="AA60" s="4"/>
      <c r="AB60" s="4">
        <v>0</v>
      </c>
      <c r="AC60" s="4">
        <v>0</v>
      </c>
      <c r="AD60" s="10">
        <f t="shared" si="1"/>
        <v>0.5</v>
      </c>
      <c r="AE60" s="9"/>
      <c r="AF60" s="9"/>
      <c r="AG60" s="12">
        <f t="shared" si="2"/>
        <v>40</v>
      </c>
      <c r="AH60" s="12">
        <f t="shared" si="2"/>
        <v>25.3</v>
      </c>
      <c r="AI60" s="12">
        <f t="shared" si="2"/>
        <v>21.3</v>
      </c>
      <c r="AJ60" s="12">
        <f t="shared" si="2"/>
        <v>20</v>
      </c>
      <c r="AK60" s="12"/>
      <c r="AL60" s="12">
        <f t="shared" si="8"/>
        <v>66.600000000000009</v>
      </c>
      <c r="AM60" s="12">
        <f t="shared" si="8"/>
        <v>80</v>
      </c>
      <c r="AN60" s="12">
        <f t="shared" si="8"/>
        <v>64</v>
      </c>
      <c r="AO60" s="12">
        <f t="shared" si="8"/>
        <v>56.000000000000007</v>
      </c>
      <c r="AP60" s="12">
        <f t="shared" si="9"/>
        <v>28.000000000000004</v>
      </c>
      <c r="AQ60" s="12">
        <f t="shared" si="9"/>
        <v>33.300000000000004</v>
      </c>
      <c r="AR60" s="12"/>
      <c r="AS60" s="12">
        <f t="shared" si="10"/>
        <v>18.600000000000001</v>
      </c>
      <c r="AT60" s="12">
        <f t="shared" si="10"/>
        <v>5.3</v>
      </c>
      <c r="AU60" s="12">
        <f t="shared" si="10"/>
        <v>60</v>
      </c>
      <c r="AV60" s="12">
        <f t="shared" si="10"/>
        <v>33.300000000000004</v>
      </c>
      <c r="AW60" s="12">
        <f t="shared" si="11"/>
        <v>33.300000000000004</v>
      </c>
      <c r="AX60" s="12">
        <f t="shared" si="11"/>
        <v>58.599999999999994</v>
      </c>
      <c r="AY60" s="12"/>
      <c r="AZ60" s="12">
        <f t="shared" si="3"/>
        <v>74.7</v>
      </c>
      <c r="BA60" s="12">
        <f t="shared" si="4"/>
        <v>76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85.4</v>
      </c>
    </row>
    <row r="61" spans="1:57" ht="15.75" customHeight="1">
      <c r="A61" s="1" t="s">
        <v>155</v>
      </c>
      <c r="B61" s="3" t="s">
        <v>105</v>
      </c>
      <c r="C61" s="4" t="s">
        <v>8</v>
      </c>
      <c r="D61" s="4">
        <v>21</v>
      </c>
      <c r="E61" s="4">
        <v>325</v>
      </c>
      <c r="F61" s="4">
        <v>21</v>
      </c>
      <c r="G61" s="4">
        <v>325</v>
      </c>
      <c r="H61" s="4">
        <v>0.39</v>
      </c>
      <c r="I61" s="4">
        <v>10.9</v>
      </c>
      <c r="J61" s="4"/>
      <c r="K61" s="4">
        <v>0.72099999999999997</v>
      </c>
      <c r="L61" s="4">
        <v>0.309</v>
      </c>
      <c r="M61" s="4">
        <v>0.154</v>
      </c>
      <c r="N61" s="4">
        <v>0.191</v>
      </c>
      <c r="O61" s="4">
        <v>6.6000000000000003E-2</v>
      </c>
      <c r="P61" s="4">
        <v>0.27900000000000003</v>
      </c>
      <c r="Q61" s="4"/>
      <c r="R61" s="4">
        <v>0.46899999999999997</v>
      </c>
      <c r="S61" s="4">
        <v>0.64300000000000002</v>
      </c>
      <c r="T61" s="4">
        <v>0.38100000000000001</v>
      </c>
      <c r="U61" s="4">
        <v>0.23100000000000001</v>
      </c>
      <c r="V61" s="4">
        <v>0.77800000000000002</v>
      </c>
      <c r="W61" s="4">
        <v>0.184</v>
      </c>
      <c r="X61" s="4"/>
      <c r="Y61" s="4">
        <v>0.58699999999999997</v>
      </c>
      <c r="Z61" s="4">
        <v>0.71399999999999997</v>
      </c>
      <c r="AA61" s="4"/>
      <c r="AB61" s="4">
        <v>2.5999999999999999E-2</v>
      </c>
      <c r="AC61" s="4">
        <v>0</v>
      </c>
      <c r="AD61" s="10">
        <f t="shared" si="1"/>
        <v>0.62243300000000001</v>
      </c>
      <c r="AE61" s="9"/>
      <c r="AF61" s="9"/>
      <c r="AG61" s="12">
        <f t="shared" si="2"/>
        <v>13.3</v>
      </c>
      <c r="AH61" s="12">
        <f t="shared" si="2"/>
        <v>24</v>
      </c>
      <c r="AI61" s="12">
        <f t="shared" si="2"/>
        <v>38.6</v>
      </c>
      <c r="AJ61" s="12">
        <f t="shared" si="2"/>
        <v>66.600000000000009</v>
      </c>
      <c r="AK61" s="12"/>
      <c r="AL61" s="12">
        <f t="shared" si="8"/>
        <v>29.299999999999997</v>
      </c>
      <c r="AM61" s="12">
        <f t="shared" si="8"/>
        <v>44</v>
      </c>
      <c r="AN61" s="12">
        <f t="shared" si="8"/>
        <v>36</v>
      </c>
      <c r="AO61" s="12">
        <f t="shared" si="8"/>
        <v>54.6</v>
      </c>
      <c r="AP61" s="12">
        <f t="shared" si="9"/>
        <v>70.599999999999994</v>
      </c>
      <c r="AQ61" s="12">
        <f t="shared" si="9"/>
        <v>70.599999999999994</v>
      </c>
      <c r="AR61" s="12"/>
      <c r="AS61" s="12">
        <f t="shared" si="10"/>
        <v>73.3</v>
      </c>
      <c r="AT61" s="12">
        <f t="shared" si="10"/>
        <v>88</v>
      </c>
      <c r="AU61" s="12">
        <f t="shared" si="10"/>
        <v>54.6</v>
      </c>
      <c r="AV61" s="12">
        <f t="shared" si="10"/>
        <v>21.3</v>
      </c>
      <c r="AW61" s="12">
        <f t="shared" si="11"/>
        <v>90.600000000000009</v>
      </c>
      <c r="AX61" s="12">
        <f t="shared" si="11"/>
        <v>30.599999999999998</v>
      </c>
      <c r="AY61" s="12"/>
      <c r="AZ61" s="12">
        <f t="shared" si="3"/>
        <v>53.4</v>
      </c>
      <c r="BA61" s="12">
        <f t="shared" si="4"/>
        <v>66.699999999999989</v>
      </c>
      <c r="BB61" s="12"/>
      <c r="BC61" s="12">
        <f t="shared" si="5"/>
        <v>80</v>
      </c>
      <c r="BD61" s="12">
        <f t="shared" si="6"/>
        <v>0</v>
      </c>
      <c r="BE61" s="12">
        <f t="shared" si="7"/>
        <v>62.7</v>
      </c>
    </row>
    <row r="62" spans="1:57" ht="15.75" customHeight="1">
      <c r="A62" s="1" t="s">
        <v>156</v>
      </c>
      <c r="B62" s="3" t="s">
        <v>101</v>
      </c>
      <c r="C62" s="4" t="s">
        <v>99</v>
      </c>
      <c r="D62" s="4">
        <v>26</v>
      </c>
      <c r="E62" s="4">
        <v>321</v>
      </c>
      <c r="F62" s="4">
        <v>26</v>
      </c>
      <c r="G62" s="4">
        <v>321</v>
      </c>
      <c r="H62" s="4">
        <v>0.33300000000000002</v>
      </c>
      <c r="I62" s="4">
        <v>5.9</v>
      </c>
      <c r="J62" s="4"/>
      <c r="K62" s="4">
        <v>0.95</v>
      </c>
      <c r="L62" s="4">
        <v>0.6</v>
      </c>
      <c r="M62" s="4">
        <v>0.15</v>
      </c>
      <c r="N62" s="4">
        <v>0.11700000000000001</v>
      </c>
      <c r="O62" s="4">
        <v>8.3000000000000004E-2</v>
      </c>
      <c r="P62" s="4">
        <v>0.05</v>
      </c>
      <c r="Q62" s="4"/>
      <c r="R62" s="4">
        <v>0.35099999999999998</v>
      </c>
      <c r="S62" s="4">
        <v>0.44400000000000001</v>
      </c>
      <c r="T62" s="4">
        <v>0.111</v>
      </c>
      <c r="U62" s="4">
        <v>0.28599999999999998</v>
      </c>
      <c r="V62" s="4">
        <v>0.2</v>
      </c>
      <c r="W62" s="4">
        <v>0</v>
      </c>
      <c r="X62" s="4"/>
      <c r="Y62" s="4">
        <v>0.6</v>
      </c>
      <c r="Z62" s="4">
        <v>0</v>
      </c>
      <c r="AA62" s="4"/>
      <c r="AB62" s="4">
        <v>0</v>
      </c>
      <c r="AC62" s="4">
        <v>0</v>
      </c>
      <c r="AD62" s="10">
        <f t="shared" si="1"/>
        <v>0.56999999999999995</v>
      </c>
      <c r="AE62" s="9"/>
      <c r="AF62" s="9"/>
      <c r="AG62" s="12">
        <f t="shared" si="2"/>
        <v>25.3</v>
      </c>
      <c r="AH62" s="12">
        <f t="shared" si="2"/>
        <v>22.6</v>
      </c>
      <c r="AI62" s="12">
        <f t="shared" si="2"/>
        <v>12</v>
      </c>
      <c r="AJ62" s="12">
        <f t="shared" si="2"/>
        <v>18.600000000000001</v>
      </c>
      <c r="AK62" s="12"/>
      <c r="AL62" s="12">
        <f t="shared" si="8"/>
        <v>73.3</v>
      </c>
      <c r="AM62" s="12">
        <f t="shared" si="8"/>
        <v>94.6</v>
      </c>
      <c r="AN62" s="12">
        <f t="shared" si="8"/>
        <v>33.300000000000004</v>
      </c>
      <c r="AO62" s="12">
        <f t="shared" si="8"/>
        <v>16</v>
      </c>
      <c r="AP62" s="12">
        <f t="shared" si="9"/>
        <v>82.6</v>
      </c>
      <c r="AQ62" s="12">
        <f t="shared" si="9"/>
        <v>26.6</v>
      </c>
      <c r="AR62" s="12"/>
      <c r="AS62" s="12">
        <f t="shared" si="10"/>
        <v>16</v>
      </c>
      <c r="AT62" s="12">
        <f t="shared" si="10"/>
        <v>18.600000000000001</v>
      </c>
      <c r="AU62" s="12">
        <f t="shared" si="10"/>
        <v>8</v>
      </c>
      <c r="AV62" s="12">
        <f t="shared" si="10"/>
        <v>33.300000000000004</v>
      </c>
      <c r="AW62" s="12">
        <f t="shared" si="11"/>
        <v>22.6</v>
      </c>
      <c r="AX62" s="12">
        <f t="shared" si="11"/>
        <v>0</v>
      </c>
      <c r="AY62" s="12"/>
      <c r="AZ62" s="12">
        <f t="shared" si="3"/>
        <v>48</v>
      </c>
      <c r="BA62" s="12">
        <f t="shared" si="4"/>
        <v>100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70.7</v>
      </c>
    </row>
    <row r="63" spans="1:57" ht="15.75" customHeight="1">
      <c r="A63" s="1" t="s">
        <v>157</v>
      </c>
      <c r="B63" s="3" t="s">
        <v>94</v>
      </c>
      <c r="C63" s="4" t="s">
        <v>92</v>
      </c>
      <c r="D63" s="4">
        <v>26</v>
      </c>
      <c r="E63" s="4">
        <v>320</v>
      </c>
      <c r="F63" s="4">
        <v>26</v>
      </c>
      <c r="G63" s="4">
        <v>320</v>
      </c>
      <c r="H63" s="4">
        <v>0.34200000000000003</v>
      </c>
      <c r="I63" s="4">
        <v>9.1999999999999993</v>
      </c>
      <c r="J63" s="4"/>
      <c r="K63" s="4">
        <v>0.89</v>
      </c>
      <c r="L63" s="4">
        <v>0.315</v>
      </c>
      <c r="M63" s="4">
        <v>0.151</v>
      </c>
      <c r="N63" s="4">
        <v>0.34200000000000003</v>
      </c>
      <c r="O63" s="4">
        <v>8.2000000000000003E-2</v>
      </c>
      <c r="P63" s="4">
        <v>0.11</v>
      </c>
      <c r="Q63" s="4"/>
      <c r="R63" s="4">
        <v>0.33800000000000002</v>
      </c>
      <c r="S63" s="4">
        <v>0.435</v>
      </c>
      <c r="T63" s="4">
        <v>0.27300000000000002</v>
      </c>
      <c r="U63" s="4">
        <v>0.32</v>
      </c>
      <c r="V63" s="4">
        <v>0.16700000000000001</v>
      </c>
      <c r="W63" s="4">
        <v>0.375</v>
      </c>
      <c r="X63" s="4"/>
      <c r="Y63" s="4">
        <v>0.77300000000000002</v>
      </c>
      <c r="Z63" s="4">
        <v>0.66700000000000004</v>
      </c>
      <c r="AA63" s="4"/>
      <c r="AB63" s="4">
        <v>0</v>
      </c>
      <c r="AC63" s="4">
        <v>0</v>
      </c>
      <c r="AD63" s="10">
        <f t="shared" si="1"/>
        <v>0.76134000000000013</v>
      </c>
      <c r="AE63" s="9"/>
      <c r="AF63" s="9"/>
      <c r="AG63" s="12">
        <f t="shared" si="2"/>
        <v>25.3</v>
      </c>
      <c r="AH63" s="12">
        <f t="shared" si="2"/>
        <v>21.3</v>
      </c>
      <c r="AI63" s="12">
        <f t="shared" si="2"/>
        <v>16</v>
      </c>
      <c r="AJ63" s="12">
        <f t="shared" si="2"/>
        <v>48</v>
      </c>
      <c r="AK63" s="12"/>
      <c r="AL63" s="12">
        <f t="shared" si="8"/>
        <v>56.000000000000007</v>
      </c>
      <c r="AM63" s="12">
        <f t="shared" si="8"/>
        <v>46.6</v>
      </c>
      <c r="AN63" s="12">
        <f t="shared" si="8"/>
        <v>34.599999999999994</v>
      </c>
      <c r="AO63" s="12">
        <f t="shared" si="8"/>
        <v>90.600000000000009</v>
      </c>
      <c r="AP63" s="12">
        <f t="shared" si="9"/>
        <v>81.3</v>
      </c>
      <c r="AQ63" s="12">
        <f t="shared" si="9"/>
        <v>44</v>
      </c>
      <c r="AR63" s="12"/>
      <c r="AS63" s="12">
        <f t="shared" si="10"/>
        <v>10.6</v>
      </c>
      <c r="AT63" s="12">
        <f t="shared" si="10"/>
        <v>17.299999999999997</v>
      </c>
      <c r="AU63" s="12">
        <f t="shared" si="10"/>
        <v>26.6</v>
      </c>
      <c r="AV63" s="12">
        <f t="shared" si="10"/>
        <v>48</v>
      </c>
      <c r="AW63" s="12">
        <f t="shared" si="11"/>
        <v>20</v>
      </c>
      <c r="AX63" s="12">
        <f t="shared" si="11"/>
        <v>82.6</v>
      </c>
      <c r="AY63" s="12"/>
      <c r="AZ63" s="12">
        <f t="shared" si="3"/>
        <v>6.6999999999999886</v>
      </c>
      <c r="BA63" s="12">
        <f t="shared" si="4"/>
        <v>72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17.400000000000006</v>
      </c>
    </row>
    <row r="64" spans="1:57" ht="15.75" customHeight="1">
      <c r="A64" s="1" t="s">
        <v>158</v>
      </c>
      <c r="B64" s="3" t="s">
        <v>98</v>
      </c>
      <c r="C64" s="4" t="s">
        <v>8</v>
      </c>
      <c r="D64" s="4">
        <v>28</v>
      </c>
      <c r="E64" s="4">
        <v>290</v>
      </c>
      <c r="F64" s="4">
        <v>28</v>
      </c>
      <c r="G64" s="4">
        <v>290</v>
      </c>
      <c r="H64" s="4">
        <v>0.35699999999999998</v>
      </c>
      <c r="I64" s="4">
        <v>18.100000000000001</v>
      </c>
      <c r="J64" s="4"/>
      <c r="K64" s="4">
        <v>0.22900000000000001</v>
      </c>
      <c r="L64" s="4">
        <v>0.157</v>
      </c>
      <c r="M64" s="4">
        <v>2.9000000000000001E-2</v>
      </c>
      <c r="N64" s="4">
        <v>1.4E-2</v>
      </c>
      <c r="O64" s="4">
        <v>2.9000000000000001E-2</v>
      </c>
      <c r="P64" s="4">
        <v>0.77100000000000002</v>
      </c>
      <c r="Q64" s="4"/>
      <c r="R64" s="4">
        <v>0.5</v>
      </c>
      <c r="S64" s="4">
        <v>0.45500000000000002</v>
      </c>
      <c r="T64" s="4">
        <v>0.5</v>
      </c>
      <c r="U64" s="4">
        <v>0</v>
      </c>
      <c r="V64" s="4">
        <v>1</v>
      </c>
      <c r="W64" s="4">
        <v>0.315</v>
      </c>
      <c r="X64" s="4"/>
      <c r="Y64" s="4">
        <v>0.625</v>
      </c>
      <c r="Z64" s="4">
        <v>0.94099999999999995</v>
      </c>
      <c r="AA64" s="4"/>
      <c r="AB64" s="4">
        <v>0</v>
      </c>
      <c r="AC64" s="4">
        <v>0</v>
      </c>
      <c r="AD64" s="10">
        <f t="shared" si="1"/>
        <v>0.86863599999999996</v>
      </c>
      <c r="AE64" s="9"/>
      <c r="AF64" s="9"/>
      <c r="AG64" s="12">
        <f t="shared" si="2"/>
        <v>40</v>
      </c>
      <c r="AH64" s="12">
        <f t="shared" si="2"/>
        <v>20</v>
      </c>
      <c r="AI64" s="12">
        <f t="shared" si="2"/>
        <v>22.6</v>
      </c>
      <c r="AJ64" s="12">
        <f t="shared" si="2"/>
        <v>98.6</v>
      </c>
      <c r="AK64" s="12"/>
      <c r="AL64" s="12">
        <f t="shared" si="8"/>
        <v>0</v>
      </c>
      <c r="AM64" s="12">
        <f t="shared" si="8"/>
        <v>8</v>
      </c>
      <c r="AN64" s="12">
        <f t="shared" si="8"/>
        <v>4</v>
      </c>
      <c r="AO64" s="12">
        <f t="shared" si="8"/>
        <v>0</v>
      </c>
      <c r="AP64" s="12">
        <f t="shared" si="9"/>
        <v>30.599999999999998</v>
      </c>
      <c r="AQ64" s="12">
        <f t="shared" si="9"/>
        <v>100</v>
      </c>
      <c r="AR64" s="12"/>
      <c r="AS64" s="12">
        <f t="shared" si="10"/>
        <v>85.3</v>
      </c>
      <c r="AT64" s="12">
        <f t="shared" si="10"/>
        <v>21.3</v>
      </c>
      <c r="AU64" s="12">
        <f t="shared" si="10"/>
        <v>86.6</v>
      </c>
      <c r="AV64" s="12">
        <f t="shared" si="10"/>
        <v>0</v>
      </c>
      <c r="AW64" s="12">
        <f t="shared" si="11"/>
        <v>96</v>
      </c>
      <c r="AX64" s="12">
        <f t="shared" si="11"/>
        <v>69.3</v>
      </c>
      <c r="AY64" s="12"/>
      <c r="AZ64" s="12">
        <f t="shared" si="3"/>
        <v>42.7</v>
      </c>
      <c r="BA64" s="12">
        <f t="shared" si="4"/>
        <v>34.700000000000003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0</v>
      </c>
    </row>
    <row r="65" spans="1:57" ht="15.75" customHeight="1">
      <c r="A65" s="1" t="s">
        <v>159</v>
      </c>
      <c r="B65" s="3" t="s">
        <v>101</v>
      </c>
      <c r="C65" s="4" t="s">
        <v>118</v>
      </c>
      <c r="D65" s="4">
        <v>18</v>
      </c>
      <c r="E65" s="4">
        <v>286</v>
      </c>
      <c r="F65" s="4">
        <v>18</v>
      </c>
      <c r="G65" s="4">
        <v>286</v>
      </c>
      <c r="H65" s="4">
        <v>0.38500000000000001</v>
      </c>
      <c r="I65" s="4">
        <v>9.5</v>
      </c>
      <c r="J65" s="4"/>
      <c r="K65" s="4">
        <v>0.91</v>
      </c>
      <c r="L65" s="4">
        <v>0.32100000000000001</v>
      </c>
      <c r="M65" s="4">
        <v>0.10299999999999999</v>
      </c>
      <c r="N65" s="4">
        <v>0.38500000000000001</v>
      </c>
      <c r="O65" s="4">
        <v>0.10299999999999999</v>
      </c>
      <c r="P65" s="4">
        <v>0.09</v>
      </c>
      <c r="Q65" s="4"/>
      <c r="R65" s="4">
        <v>0.40799999999999997</v>
      </c>
      <c r="S65" s="4">
        <v>0.52</v>
      </c>
      <c r="T65" s="4">
        <v>0.25</v>
      </c>
      <c r="U65" s="4">
        <v>0.4</v>
      </c>
      <c r="V65" s="4">
        <v>0.25</v>
      </c>
      <c r="W65" s="4">
        <v>0.14299999999999999</v>
      </c>
      <c r="X65" s="4"/>
      <c r="Y65" s="4">
        <v>0.72399999999999998</v>
      </c>
      <c r="Z65" s="4">
        <v>1</v>
      </c>
      <c r="AA65" s="4"/>
      <c r="AB65" s="4">
        <v>0</v>
      </c>
      <c r="AC65" s="4">
        <v>0</v>
      </c>
      <c r="AD65" s="10">
        <f t="shared" si="1"/>
        <v>0.74883999999999995</v>
      </c>
      <c r="AE65" s="9"/>
      <c r="AF65" s="9"/>
      <c r="AG65" s="12">
        <f t="shared" si="2"/>
        <v>8</v>
      </c>
      <c r="AH65" s="12">
        <f t="shared" si="2"/>
        <v>18.600000000000001</v>
      </c>
      <c r="AI65" s="12">
        <f t="shared" si="2"/>
        <v>37.299999999999997</v>
      </c>
      <c r="AJ65" s="12">
        <f t="shared" si="2"/>
        <v>53.300000000000004</v>
      </c>
      <c r="AK65" s="12"/>
      <c r="AL65" s="12">
        <f t="shared" si="8"/>
        <v>60</v>
      </c>
      <c r="AM65" s="12">
        <f t="shared" si="8"/>
        <v>52</v>
      </c>
      <c r="AN65" s="12">
        <f t="shared" si="8"/>
        <v>16</v>
      </c>
      <c r="AO65" s="12">
        <f t="shared" si="8"/>
        <v>97.3</v>
      </c>
      <c r="AP65" s="12">
        <f t="shared" si="9"/>
        <v>88</v>
      </c>
      <c r="AQ65" s="12">
        <f t="shared" si="9"/>
        <v>40</v>
      </c>
      <c r="AR65" s="12"/>
      <c r="AS65" s="12">
        <f t="shared" si="10"/>
        <v>37.299999999999997</v>
      </c>
      <c r="AT65" s="12">
        <f t="shared" si="10"/>
        <v>40</v>
      </c>
      <c r="AU65" s="12">
        <f t="shared" si="10"/>
        <v>20</v>
      </c>
      <c r="AV65" s="12">
        <f t="shared" si="10"/>
        <v>76</v>
      </c>
      <c r="AW65" s="12">
        <f t="shared" si="11"/>
        <v>26.6</v>
      </c>
      <c r="AX65" s="12">
        <f t="shared" si="11"/>
        <v>26.6</v>
      </c>
      <c r="AY65" s="12"/>
      <c r="AZ65" s="12">
        <f t="shared" si="3"/>
        <v>17.400000000000006</v>
      </c>
      <c r="BA65" s="12">
        <f t="shared" si="4"/>
        <v>32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22.700000000000003</v>
      </c>
    </row>
    <row r="66" spans="1:57" ht="15.75" customHeight="1">
      <c r="A66" s="1" t="s">
        <v>160</v>
      </c>
      <c r="B66" s="3" t="s">
        <v>105</v>
      </c>
      <c r="C66" s="4" t="s">
        <v>110</v>
      </c>
      <c r="D66" s="4">
        <v>28</v>
      </c>
      <c r="E66" s="4">
        <v>282</v>
      </c>
      <c r="F66" s="4">
        <v>28</v>
      </c>
      <c r="G66" s="4">
        <v>282</v>
      </c>
      <c r="H66" s="4">
        <v>0.40300000000000002</v>
      </c>
      <c r="I66" s="4">
        <v>4.7</v>
      </c>
      <c r="J66" s="4"/>
      <c r="K66" s="4">
        <v>0.98499999999999999</v>
      </c>
      <c r="L66" s="4">
        <v>0.58199999999999996</v>
      </c>
      <c r="M66" s="4">
        <v>0.23899999999999999</v>
      </c>
      <c r="N66" s="4">
        <v>0.17899999999999999</v>
      </c>
      <c r="O66" s="4">
        <v>1.4999999999999999E-2</v>
      </c>
      <c r="P66" s="4">
        <v>1.4999999999999999E-2</v>
      </c>
      <c r="Q66" s="4"/>
      <c r="R66" s="4">
        <v>0.40899999999999997</v>
      </c>
      <c r="S66" s="4">
        <v>0.53800000000000003</v>
      </c>
      <c r="T66" s="4">
        <v>0.313</v>
      </c>
      <c r="U66" s="4">
        <v>0.16700000000000001</v>
      </c>
      <c r="V66" s="4">
        <v>0</v>
      </c>
      <c r="W66" s="4">
        <v>0</v>
      </c>
      <c r="X66" s="4"/>
      <c r="Y66" s="4">
        <v>0.77800000000000002</v>
      </c>
      <c r="Z66" s="4">
        <v>0</v>
      </c>
      <c r="AA66" s="4"/>
      <c r="AB66" s="4">
        <v>1</v>
      </c>
      <c r="AC66" s="4">
        <v>0</v>
      </c>
      <c r="AD66" s="10">
        <f t="shared" si="1"/>
        <v>0.76633000000000007</v>
      </c>
      <c r="AE66" s="9"/>
      <c r="AF66" s="9"/>
      <c r="AG66" s="12">
        <f t="shared" si="2"/>
        <v>40</v>
      </c>
      <c r="AH66" s="12">
        <f t="shared" si="2"/>
        <v>16</v>
      </c>
      <c r="AI66" s="12">
        <f t="shared" si="2"/>
        <v>48</v>
      </c>
      <c r="AJ66" s="12">
        <f t="shared" si="2"/>
        <v>6.6000000000000005</v>
      </c>
      <c r="AK66" s="12"/>
      <c r="AL66" s="12">
        <f t="shared" si="8"/>
        <v>85.3</v>
      </c>
      <c r="AM66" s="12">
        <f t="shared" si="8"/>
        <v>93.300000000000011</v>
      </c>
      <c r="AN66" s="12">
        <f t="shared" si="8"/>
        <v>61.3</v>
      </c>
      <c r="AO66" s="12">
        <f t="shared" si="8"/>
        <v>45.300000000000004</v>
      </c>
      <c r="AP66" s="12">
        <f t="shared" si="9"/>
        <v>13.3</v>
      </c>
      <c r="AQ66" s="12">
        <f t="shared" si="9"/>
        <v>13.3</v>
      </c>
      <c r="AR66" s="12"/>
      <c r="AS66" s="12">
        <f t="shared" si="10"/>
        <v>38.6</v>
      </c>
      <c r="AT66" s="12">
        <f t="shared" si="10"/>
        <v>52</v>
      </c>
      <c r="AU66" s="12">
        <f t="shared" si="10"/>
        <v>33.300000000000004</v>
      </c>
      <c r="AV66" s="12">
        <f t="shared" si="10"/>
        <v>6.6000000000000005</v>
      </c>
      <c r="AW66" s="12">
        <f t="shared" si="11"/>
        <v>0</v>
      </c>
      <c r="AX66" s="12">
        <f t="shared" si="11"/>
        <v>0</v>
      </c>
      <c r="AY66" s="12"/>
      <c r="AZ66" s="12">
        <f t="shared" si="3"/>
        <v>5.4000000000000057</v>
      </c>
      <c r="BA66" s="12">
        <f t="shared" si="4"/>
        <v>100</v>
      </c>
      <c r="BB66" s="12"/>
      <c r="BC66" s="12">
        <f t="shared" si="5"/>
        <v>100</v>
      </c>
      <c r="BD66" s="12">
        <f t="shared" si="6"/>
        <v>0</v>
      </c>
      <c r="BE66" s="12">
        <f t="shared" si="7"/>
        <v>12</v>
      </c>
    </row>
    <row r="67" spans="1:57" ht="15.75" customHeight="1">
      <c r="A67" s="1" t="s">
        <v>161</v>
      </c>
      <c r="B67" s="3" t="s">
        <v>105</v>
      </c>
      <c r="C67" s="4" t="s">
        <v>110</v>
      </c>
      <c r="D67" s="4">
        <v>22</v>
      </c>
      <c r="E67" s="4">
        <v>282</v>
      </c>
      <c r="F67" s="4">
        <v>22</v>
      </c>
      <c r="G67" s="4">
        <v>282</v>
      </c>
      <c r="H67" s="4">
        <v>0.44400000000000001</v>
      </c>
      <c r="I67" s="4">
        <v>5.7</v>
      </c>
      <c r="J67" s="4"/>
      <c r="K67" s="4">
        <v>0.94399999999999995</v>
      </c>
      <c r="L67" s="4">
        <v>0.38900000000000001</v>
      </c>
      <c r="M67" s="4">
        <v>0.40300000000000002</v>
      </c>
      <c r="N67" s="4">
        <v>9.7000000000000003E-2</v>
      </c>
      <c r="O67" s="4">
        <v>2.8000000000000001E-2</v>
      </c>
      <c r="P67" s="4">
        <v>5.6000000000000001E-2</v>
      </c>
      <c r="Q67" s="4"/>
      <c r="R67" s="4">
        <v>0.47099999999999997</v>
      </c>
      <c r="S67" s="4">
        <v>0.60699999999999998</v>
      </c>
      <c r="T67" s="4">
        <v>0.379</v>
      </c>
      <c r="U67" s="4">
        <v>0.28599999999999998</v>
      </c>
      <c r="V67" s="4">
        <v>0</v>
      </c>
      <c r="W67" s="4">
        <v>0</v>
      </c>
      <c r="X67" s="4"/>
      <c r="Y67" s="4">
        <v>0.625</v>
      </c>
      <c r="Z67" s="4">
        <v>0</v>
      </c>
      <c r="AA67" s="4"/>
      <c r="AB67" s="4">
        <v>0</v>
      </c>
      <c r="AC67" s="4">
        <v>0</v>
      </c>
      <c r="AD67" s="10">
        <f t="shared" si="1"/>
        <v>0.59</v>
      </c>
      <c r="AE67" s="9"/>
      <c r="AF67" s="9"/>
      <c r="AG67" s="12">
        <f t="shared" si="2"/>
        <v>14.6</v>
      </c>
      <c r="AH67" s="12">
        <f t="shared" si="2"/>
        <v>16</v>
      </c>
      <c r="AI67" s="12">
        <f t="shared" si="2"/>
        <v>68</v>
      </c>
      <c r="AJ67" s="12">
        <f t="shared" si="2"/>
        <v>14.6</v>
      </c>
      <c r="AK67" s="12"/>
      <c r="AL67" s="12">
        <f t="shared" si="8"/>
        <v>70.599999999999994</v>
      </c>
      <c r="AM67" s="12">
        <f t="shared" si="8"/>
        <v>70.599999999999994</v>
      </c>
      <c r="AN67" s="12">
        <f t="shared" si="8"/>
        <v>93.300000000000011</v>
      </c>
      <c r="AO67" s="12">
        <f t="shared" si="8"/>
        <v>8</v>
      </c>
      <c r="AP67" s="12">
        <f t="shared" si="9"/>
        <v>28.000000000000004</v>
      </c>
      <c r="AQ67" s="12">
        <f t="shared" si="9"/>
        <v>29.299999999999997</v>
      </c>
      <c r="AR67" s="12"/>
      <c r="AS67" s="12">
        <f t="shared" si="10"/>
        <v>74.599999999999994</v>
      </c>
      <c r="AT67" s="12">
        <f t="shared" si="10"/>
        <v>76</v>
      </c>
      <c r="AU67" s="12">
        <f t="shared" si="10"/>
        <v>52</v>
      </c>
      <c r="AV67" s="12">
        <f t="shared" si="10"/>
        <v>33.300000000000004</v>
      </c>
      <c r="AW67" s="12">
        <f t="shared" si="11"/>
        <v>0</v>
      </c>
      <c r="AX67" s="12">
        <f t="shared" si="11"/>
        <v>0</v>
      </c>
      <c r="AY67" s="12"/>
      <c r="AZ67" s="12">
        <f t="shared" si="3"/>
        <v>42.7</v>
      </c>
      <c r="BA67" s="12">
        <f t="shared" si="4"/>
        <v>100</v>
      </c>
      <c r="BB67" s="12"/>
      <c r="BC67" s="12">
        <f t="shared" si="5"/>
        <v>0</v>
      </c>
      <c r="BD67" s="12">
        <f t="shared" si="6"/>
        <v>0</v>
      </c>
      <c r="BE67" s="12">
        <f t="shared" si="7"/>
        <v>68</v>
      </c>
    </row>
    <row r="68" spans="1:57" ht="15.75" customHeight="1">
      <c r="A68" s="1" t="s">
        <v>162</v>
      </c>
      <c r="B68" s="4" t="s">
        <v>94</v>
      </c>
      <c r="C68" s="4" t="s">
        <v>8</v>
      </c>
      <c r="D68" s="4">
        <v>25</v>
      </c>
      <c r="E68" s="4">
        <v>279</v>
      </c>
      <c r="F68" s="4">
        <v>25</v>
      </c>
      <c r="G68" s="4">
        <v>279</v>
      </c>
      <c r="H68" s="4">
        <v>0.32500000000000001</v>
      </c>
      <c r="I68" s="4">
        <v>13.2</v>
      </c>
      <c r="J68" s="4"/>
      <c r="K68" s="4">
        <v>0.66200000000000003</v>
      </c>
      <c r="L68" s="4">
        <v>0.221</v>
      </c>
      <c r="M68" s="4">
        <v>9.0999999999999998E-2</v>
      </c>
      <c r="N68" s="4">
        <v>0.20799999999999999</v>
      </c>
      <c r="O68" s="4">
        <v>0.14299999999999999</v>
      </c>
      <c r="P68" s="4">
        <v>0.33800000000000002</v>
      </c>
      <c r="Q68" s="4"/>
      <c r="R68" s="4">
        <v>0.373</v>
      </c>
      <c r="S68" s="4">
        <v>0.58799999999999997</v>
      </c>
      <c r="T68" s="4">
        <v>0.28599999999999998</v>
      </c>
      <c r="U68" s="4">
        <v>6.3E-2</v>
      </c>
      <c r="V68" s="4">
        <v>0.54500000000000004</v>
      </c>
      <c r="W68" s="4">
        <v>0.23100000000000001</v>
      </c>
      <c r="X68" s="4"/>
      <c r="Y68" s="4">
        <v>0.47399999999999998</v>
      </c>
      <c r="Z68" s="4">
        <v>1</v>
      </c>
      <c r="AA68" s="4"/>
      <c r="AB68" s="4">
        <v>0</v>
      </c>
      <c r="AC68" s="4">
        <v>0</v>
      </c>
      <c r="AD68" s="10">
        <f t="shared" si="1"/>
        <v>0.65178800000000003</v>
      </c>
      <c r="AE68" s="9"/>
      <c r="AF68" s="9"/>
      <c r="AG68" s="12">
        <f t="shared" si="2"/>
        <v>18.600000000000001</v>
      </c>
      <c r="AH68" s="12">
        <f t="shared" si="2"/>
        <v>14.6</v>
      </c>
      <c r="AI68" s="12">
        <f t="shared" si="2"/>
        <v>9.3000000000000007</v>
      </c>
      <c r="AJ68" s="12">
        <f t="shared" si="2"/>
        <v>85.3</v>
      </c>
      <c r="AK68" s="12"/>
      <c r="AL68" s="12">
        <f t="shared" si="8"/>
        <v>22.6</v>
      </c>
      <c r="AM68" s="12">
        <f t="shared" si="8"/>
        <v>21.3</v>
      </c>
      <c r="AN68" s="12">
        <f t="shared" si="8"/>
        <v>14.6</v>
      </c>
      <c r="AO68" s="12">
        <f t="shared" si="8"/>
        <v>58.599999999999994</v>
      </c>
      <c r="AP68" s="12">
        <f t="shared" si="9"/>
        <v>96</v>
      </c>
      <c r="AQ68" s="12">
        <f t="shared" si="9"/>
        <v>77.3</v>
      </c>
      <c r="AR68" s="12"/>
      <c r="AS68" s="12">
        <f t="shared" si="10"/>
        <v>22.6</v>
      </c>
      <c r="AT68" s="12">
        <f t="shared" si="10"/>
        <v>69.3</v>
      </c>
      <c r="AU68" s="12">
        <f t="shared" si="10"/>
        <v>29.299999999999997</v>
      </c>
      <c r="AV68" s="12">
        <f t="shared" si="10"/>
        <v>2.6</v>
      </c>
      <c r="AW68" s="12">
        <f t="shared" si="11"/>
        <v>80</v>
      </c>
      <c r="AX68" s="12">
        <f t="shared" si="11"/>
        <v>42.6</v>
      </c>
      <c r="AY68" s="12"/>
      <c r="AZ68" s="12">
        <f t="shared" si="3"/>
        <v>77.400000000000006</v>
      </c>
      <c r="BA68" s="12">
        <f t="shared" si="4"/>
        <v>32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53.4</v>
      </c>
    </row>
    <row r="69" spans="1:57" ht="15.75" customHeight="1">
      <c r="A69" s="1" t="s">
        <v>163</v>
      </c>
      <c r="B69" s="3" t="s">
        <v>96</v>
      </c>
      <c r="C69" s="4" t="s">
        <v>8</v>
      </c>
      <c r="D69" s="4">
        <v>24</v>
      </c>
      <c r="E69" s="4">
        <v>273</v>
      </c>
      <c r="F69" s="4">
        <v>24</v>
      </c>
      <c r="G69" s="4">
        <v>273</v>
      </c>
      <c r="H69" s="4">
        <v>0.40899999999999997</v>
      </c>
      <c r="I69" s="4">
        <v>15.2</v>
      </c>
      <c r="J69" s="4"/>
      <c r="K69" s="4">
        <v>0.45500000000000002</v>
      </c>
      <c r="L69" s="4">
        <v>0.22700000000000001</v>
      </c>
      <c r="M69" s="4">
        <v>2.3E-2</v>
      </c>
      <c r="N69" s="4">
        <v>0.13600000000000001</v>
      </c>
      <c r="O69" s="4">
        <v>6.8000000000000005E-2</v>
      </c>
      <c r="P69" s="4">
        <v>0.54500000000000004</v>
      </c>
      <c r="Q69" s="4"/>
      <c r="R69" s="4">
        <v>0.45</v>
      </c>
      <c r="S69" s="4">
        <v>0.6</v>
      </c>
      <c r="T69" s="4">
        <v>1</v>
      </c>
      <c r="U69" s="4">
        <v>0.16700000000000001</v>
      </c>
      <c r="V69" s="4">
        <v>0.33300000000000002</v>
      </c>
      <c r="W69" s="4">
        <v>0.375</v>
      </c>
      <c r="X69" s="4"/>
      <c r="Y69" s="4">
        <v>0.88900000000000001</v>
      </c>
      <c r="Z69" s="4">
        <v>0.77800000000000002</v>
      </c>
      <c r="AA69" s="4"/>
      <c r="AB69" s="4">
        <v>0</v>
      </c>
      <c r="AC69" s="4">
        <v>0</v>
      </c>
      <c r="AD69" s="10">
        <f t="shared" ref="AD69:AD132" si="12">(K69*Y69+P69*Z69)</f>
        <v>0.82850500000000005</v>
      </c>
      <c r="AE69" s="9"/>
      <c r="AF69" s="9"/>
      <c r="AG69" s="12">
        <f t="shared" ref="AG69:AJ132" si="13">(PERCENTRANK(F$4:F$298,F69))*100</f>
        <v>17.299999999999997</v>
      </c>
      <c r="AH69" s="12">
        <f t="shared" si="13"/>
        <v>13.3</v>
      </c>
      <c r="AI69" s="12">
        <f t="shared" si="13"/>
        <v>53.300000000000004</v>
      </c>
      <c r="AJ69" s="12">
        <f t="shared" si="13"/>
        <v>94.6</v>
      </c>
      <c r="AK69" s="12"/>
      <c r="AL69" s="12">
        <f t="shared" si="8"/>
        <v>6.6000000000000005</v>
      </c>
      <c r="AM69" s="12">
        <f t="shared" si="8"/>
        <v>24</v>
      </c>
      <c r="AN69" s="12">
        <f t="shared" si="8"/>
        <v>2.6</v>
      </c>
      <c r="AO69" s="12">
        <f t="shared" si="8"/>
        <v>25.3</v>
      </c>
      <c r="AP69" s="12">
        <f t="shared" si="9"/>
        <v>73.3</v>
      </c>
      <c r="AQ69" s="12">
        <f t="shared" si="9"/>
        <v>93.300000000000011</v>
      </c>
      <c r="AR69" s="12"/>
      <c r="AS69" s="12">
        <f t="shared" si="10"/>
        <v>53.300000000000004</v>
      </c>
      <c r="AT69" s="12">
        <f t="shared" si="10"/>
        <v>73.3</v>
      </c>
      <c r="AU69" s="12">
        <f t="shared" si="10"/>
        <v>100</v>
      </c>
      <c r="AV69" s="12">
        <f t="shared" si="10"/>
        <v>6.6000000000000005</v>
      </c>
      <c r="AW69" s="12">
        <f t="shared" si="11"/>
        <v>33.300000000000004</v>
      </c>
      <c r="AX69" s="12">
        <f t="shared" si="11"/>
        <v>82.6</v>
      </c>
      <c r="AY69" s="12"/>
      <c r="AZ69" s="12">
        <f t="shared" ref="AZ69:AZ132" si="14">100-(PERCENTRANK(Y$4:Y$298,Y69))*100</f>
        <v>0</v>
      </c>
      <c r="BA69" s="12">
        <f t="shared" ref="BA69:BA132" si="15">100-(PERCENTRANK(Z$4:Z$298,Z69))*100</f>
        <v>53.4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4</v>
      </c>
    </row>
    <row r="70" spans="1:57" ht="15.75" customHeight="1">
      <c r="A70" s="1" t="s">
        <v>164</v>
      </c>
      <c r="B70" s="3" t="s">
        <v>101</v>
      </c>
      <c r="C70" s="4" t="s">
        <v>92</v>
      </c>
      <c r="D70" s="4">
        <v>13</v>
      </c>
      <c r="E70" s="4">
        <v>268</v>
      </c>
      <c r="F70" s="4">
        <v>13</v>
      </c>
      <c r="G70" s="4">
        <v>268</v>
      </c>
      <c r="H70" s="4">
        <v>0.51700000000000002</v>
      </c>
      <c r="I70" s="4">
        <v>7.4</v>
      </c>
      <c r="J70" s="4"/>
      <c r="K70" s="4">
        <v>0.89700000000000002</v>
      </c>
      <c r="L70" s="4">
        <v>0.48299999999999998</v>
      </c>
      <c r="M70" s="4">
        <v>0.13800000000000001</v>
      </c>
      <c r="N70" s="4">
        <v>0.13800000000000001</v>
      </c>
      <c r="O70" s="4">
        <v>0.13800000000000001</v>
      </c>
      <c r="P70" s="4">
        <v>0.10299999999999999</v>
      </c>
      <c r="Q70" s="4"/>
      <c r="R70" s="4">
        <v>0.5</v>
      </c>
      <c r="S70" s="4">
        <v>0.57099999999999995</v>
      </c>
      <c r="T70" s="4">
        <v>0.25</v>
      </c>
      <c r="U70" s="4">
        <v>0.5</v>
      </c>
      <c r="V70" s="4">
        <v>0.5</v>
      </c>
      <c r="W70" s="4">
        <v>0.66700000000000004</v>
      </c>
      <c r="X70" s="4"/>
      <c r="Y70" s="4">
        <v>0.84599999999999997</v>
      </c>
      <c r="Z70" s="4">
        <v>1</v>
      </c>
      <c r="AA70" s="4"/>
      <c r="AB70" s="4">
        <v>0</v>
      </c>
      <c r="AC70" s="4">
        <v>0</v>
      </c>
      <c r="AD70" s="10">
        <f t="shared" si="12"/>
        <v>0.86186200000000002</v>
      </c>
      <c r="AE70" s="9"/>
      <c r="AF70" s="9"/>
      <c r="AG70" s="12">
        <f t="shared" si="13"/>
        <v>4</v>
      </c>
      <c r="AH70" s="12">
        <f t="shared" si="13"/>
        <v>12</v>
      </c>
      <c r="AI70" s="12">
        <f t="shared" si="13"/>
        <v>94.6</v>
      </c>
      <c r="AJ70" s="12">
        <f t="shared" si="13"/>
        <v>34.599999999999994</v>
      </c>
      <c r="AK70" s="12"/>
      <c r="AL70" s="12">
        <f t="shared" si="8"/>
        <v>57.3</v>
      </c>
      <c r="AM70" s="12">
        <f t="shared" si="8"/>
        <v>85.3</v>
      </c>
      <c r="AN70" s="12">
        <f t="shared" si="8"/>
        <v>29.299999999999997</v>
      </c>
      <c r="AO70" s="12">
        <f t="shared" si="8"/>
        <v>28.000000000000004</v>
      </c>
      <c r="AP70" s="12">
        <f t="shared" si="9"/>
        <v>94.6</v>
      </c>
      <c r="AQ70" s="12">
        <f t="shared" si="9"/>
        <v>42.6</v>
      </c>
      <c r="AR70" s="12"/>
      <c r="AS70" s="12">
        <f t="shared" si="10"/>
        <v>85.3</v>
      </c>
      <c r="AT70" s="12">
        <f t="shared" si="10"/>
        <v>61.3</v>
      </c>
      <c r="AU70" s="12">
        <f t="shared" si="10"/>
        <v>20</v>
      </c>
      <c r="AV70" s="12">
        <f t="shared" si="10"/>
        <v>90.600000000000009</v>
      </c>
      <c r="AW70" s="12">
        <f t="shared" si="11"/>
        <v>68</v>
      </c>
      <c r="AX70" s="12">
        <f t="shared" si="11"/>
        <v>100</v>
      </c>
      <c r="AY70" s="12"/>
      <c r="AZ70" s="12">
        <f t="shared" si="14"/>
        <v>1.4000000000000057</v>
      </c>
      <c r="BA70" s="12">
        <f t="shared" si="15"/>
        <v>32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1.4000000000000057</v>
      </c>
    </row>
    <row r="71" spans="1:57" ht="15.75" customHeight="1">
      <c r="A71" s="1" t="s">
        <v>165</v>
      </c>
      <c r="B71" s="3" t="s">
        <v>86</v>
      </c>
      <c r="C71" s="4" t="s">
        <v>92</v>
      </c>
      <c r="D71" s="4">
        <v>13</v>
      </c>
      <c r="E71" s="4">
        <v>265</v>
      </c>
      <c r="F71" s="4">
        <v>13</v>
      </c>
      <c r="G71" s="4">
        <v>265</v>
      </c>
      <c r="H71" s="4">
        <v>0.44</v>
      </c>
      <c r="I71" s="4">
        <v>6</v>
      </c>
      <c r="J71" s="4"/>
      <c r="K71" s="4">
        <v>1</v>
      </c>
      <c r="L71" s="4">
        <v>0.66</v>
      </c>
      <c r="M71" s="4">
        <v>0.3</v>
      </c>
      <c r="N71" s="4">
        <v>0.34</v>
      </c>
      <c r="O71" s="4">
        <v>0</v>
      </c>
      <c r="P71" s="4">
        <v>0</v>
      </c>
      <c r="Q71" s="4"/>
      <c r="R71" s="4">
        <v>0.44</v>
      </c>
      <c r="S71" s="4">
        <v>0.48499999999999999</v>
      </c>
      <c r="T71" s="4">
        <v>0.26700000000000002</v>
      </c>
      <c r="U71" s="4">
        <v>0.52900000000000003</v>
      </c>
      <c r="V71" s="4">
        <v>0</v>
      </c>
      <c r="W71" s="4">
        <v>0</v>
      </c>
      <c r="X71" s="4"/>
      <c r="Y71" s="4">
        <v>0.54500000000000004</v>
      </c>
      <c r="Z71" s="4">
        <v>0</v>
      </c>
      <c r="AA71" s="4"/>
      <c r="AB71" s="4">
        <v>0</v>
      </c>
      <c r="AC71" s="4">
        <v>0</v>
      </c>
      <c r="AD71" s="10">
        <f t="shared" si="12"/>
        <v>0.54500000000000004</v>
      </c>
      <c r="AE71" s="9"/>
      <c r="AF71" s="9"/>
      <c r="AG71" s="12">
        <f t="shared" si="13"/>
        <v>4</v>
      </c>
      <c r="AH71" s="12">
        <f t="shared" si="13"/>
        <v>10.6</v>
      </c>
      <c r="AI71" s="12">
        <f t="shared" si="13"/>
        <v>65.3</v>
      </c>
      <c r="AJ71" s="12">
        <f t="shared" si="13"/>
        <v>20</v>
      </c>
      <c r="AK71" s="12"/>
      <c r="AL71" s="12">
        <f t="shared" si="8"/>
        <v>93.300000000000011</v>
      </c>
      <c r="AM71" s="12">
        <f t="shared" si="8"/>
        <v>98.6</v>
      </c>
      <c r="AN71" s="12">
        <f t="shared" si="8"/>
        <v>78.600000000000009</v>
      </c>
      <c r="AO71" s="12">
        <f t="shared" si="8"/>
        <v>89.3</v>
      </c>
      <c r="AP71" s="12">
        <f t="shared" si="9"/>
        <v>0</v>
      </c>
      <c r="AQ71" s="12">
        <f t="shared" si="9"/>
        <v>0</v>
      </c>
      <c r="AR71" s="12"/>
      <c r="AS71" s="12">
        <f t="shared" si="10"/>
        <v>50.6</v>
      </c>
      <c r="AT71" s="12">
        <f t="shared" si="10"/>
        <v>24</v>
      </c>
      <c r="AU71" s="12">
        <f t="shared" si="10"/>
        <v>25.3</v>
      </c>
      <c r="AV71" s="12">
        <f t="shared" si="10"/>
        <v>94.6</v>
      </c>
      <c r="AW71" s="12">
        <f t="shared" si="11"/>
        <v>0</v>
      </c>
      <c r="AX71" s="12">
        <f t="shared" si="11"/>
        <v>0</v>
      </c>
      <c r="AY71" s="12"/>
      <c r="AZ71" s="12">
        <f t="shared" si="14"/>
        <v>64</v>
      </c>
      <c r="BA71" s="12">
        <f t="shared" si="15"/>
        <v>100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74.7</v>
      </c>
    </row>
    <row r="72" spans="1:57" ht="15.75" customHeight="1">
      <c r="A72" s="1" t="s">
        <v>166</v>
      </c>
      <c r="B72" s="3" t="s">
        <v>101</v>
      </c>
      <c r="C72" s="4" t="s">
        <v>167</v>
      </c>
      <c r="D72" s="4">
        <v>26</v>
      </c>
      <c r="E72" s="4">
        <v>263</v>
      </c>
      <c r="F72" s="4">
        <v>26</v>
      </c>
      <c r="G72" s="4">
        <v>263</v>
      </c>
      <c r="H72" s="4">
        <v>0.46300000000000002</v>
      </c>
      <c r="I72" s="4">
        <v>6.6</v>
      </c>
      <c r="J72" s="4"/>
      <c r="K72" s="4">
        <v>0.98799999999999999</v>
      </c>
      <c r="L72" s="4">
        <v>0.35</v>
      </c>
      <c r="M72" s="4">
        <v>0.33800000000000002</v>
      </c>
      <c r="N72" s="4">
        <v>0.23799999999999999</v>
      </c>
      <c r="O72" s="4">
        <v>6.3E-2</v>
      </c>
      <c r="P72" s="4">
        <v>1.2999999999999999E-2</v>
      </c>
      <c r="Q72" s="4"/>
      <c r="R72" s="4">
        <v>0.46800000000000003</v>
      </c>
      <c r="S72" s="4">
        <v>0.75</v>
      </c>
      <c r="T72" s="4">
        <v>0.29599999999999999</v>
      </c>
      <c r="U72" s="4">
        <v>0.21099999999999999</v>
      </c>
      <c r="V72" s="4">
        <v>0.8</v>
      </c>
      <c r="W72" s="4">
        <v>0</v>
      </c>
      <c r="X72" s="4"/>
      <c r="Y72" s="4">
        <v>0.70299999999999996</v>
      </c>
      <c r="Z72" s="4">
        <v>0</v>
      </c>
      <c r="AA72" s="4"/>
      <c r="AB72" s="4">
        <v>0</v>
      </c>
      <c r="AC72" s="4">
        <v>0</v>
      </c>
      <c r="AD72" s="10">
        <f t="shared" si="12"/>
        <v>0.69456399999999996</v>
      </c>
      <c r="AE72" s="9"/>
      <c r="AF72" s="9"/>
      <c r="AG72" s="12">
        <f t="shared" si="13"/>
        <v>25.3</v>
      </c>
      <c r="AH72" s="12">
        <f t="shared" si="13"/>
        <v>9.3000000000000007</v>
      </c>
      <c r="AI72" s="12">
        <f t="shared" si="13"/>
        <v>77.3</v>
      </c>
      <c r="AJ72" s="12">
        <f t="shared" si="13"/>
        <v>28.000000000000004</v>
      </c>
      <c r="AK72" s="12"/>
      <c r="AL72" s="12">
        <f t="shared" si="8"/>
        <v>88</v>
      </c>
      <c r="AM72" s="12">
        <f t="shared" si="8"/>
        <v>58.599999999999994</v>
      </c>
      <c r="AN72" s="12">
        <f t="shared" si="8"/>
        <v>82.6</v>
      </c>
      <c r="AO72" s="12">
        <f t="shared" si="8"/>
        <v>73.3</v>
      </c>
      <c r="AP72" s="12">
        <f t="shared" si="9"/>
        <v>68</v>
      </c>
      <c r="AQ72" s="12">
        <f t="shared" si="9"/>
        <v>12</v>
      </c>
      <c r="AR72" s="12"/>
      <c r="AS72" s="12">
        <f t="shared" si="10"/>
        <v>72</v>
      </c>
      <c r="AT72" s="12">
        <f t="shared" si="10"/>
        <v>97.3</v>
      </c>
      <c r="AU72" s="12">
        <f t="shared" si="10"/>
        <v>32</v>
      </c>
      <c r="AV72" s="12">
        <f t="shared" si="10"/>
        <v>17.299999999999997</v>
      </c>
      <c r="AW72" s="12">
        <f t="shared" si="11"/>
        <v>92</v>
      </c>
      <c r="AX72" s="12">
        <f t="shared" si="11"/>
        <v>0</v>
      </c>
      <c r="AY72" s="12"/>
      <c r="AZ72" s="12">
        <f t="shared" si="14"/>
        <v>24</v>
      </c>
      <c r="BA72" s="12">
        <f t="shared" si="15"/>
        <v>100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41.400000000000006</v>
      </c>
    </row>
    <row r="73" spans="1:57" ht="15.75" customHeight="1">
      <c r="A73" s="1" t="s">
        <v>168</v>
      </c>
      <c r="B73" s="3" t="s">
        <v>96</v>
      </c>
      <c r="C73" s="4" t="s">
        <v>8</v>
      </c>
      <c r="D73" s="4">
        <v>25</v>
      </c>
      <c r="E73" s="4">
        <v>194</v>
      </c>
      <c r="F73" s="4">
        <v>25</v>
      </c>
      <c r="G73" s="4">
        <v>194</v>
      </c>
      <c r="H73" s="4">
        <v>0.379</v>
      </c>
      <c r="I73" s="4">
        <v>11.7</v>
      </c>
      <c r="J73" s="4"/>
      <c r="K73" s="4">
        <v>0.93100000000000005</v>
      </c>
      <c r="L73" s="4">
        <v>6.9000000000000006E-2</v>
      </c>
      <c r="M73" s="4">
        <v>0.25900000000000001</v>
      </c>
      <c r="N73" s="4">
        <v>0.48299999999999998</v>
      </c>
      <c r="O73" s="4">
        <v>0.121</v>
      </c>
      <c r="P73" s="4">
        <v>6.9000000000000006E-2</v>
      </c>
      <c r="Q73" s="4"/>
      <c r="R73" s="4">
        <v>0.37</v>
      </c>
      <c r="S73" s="4">
        <v>0.75</v>
      </c>
      <c r="T73" s="4">
        <v>0.4</v>
      </c>
      <c r="U73" s="4">
        <v>0.28599999999999998</v>
      </c>
      <c r="V73" s="4">
        <v>0.42899999999999999</v>
      </c>
      <c r="W73" s="4">
        <v>0.5</v>
      </c>
      <c r="X73" s="4"/>
      <c r="Y73" s="4">
        <v>0.75</v>
      </c>
      <c r="Z73" s="4">
        <v>1</v>
      </c>
      <c r="AA73" s="4"/>
      <c r="AB73" s="4">
        <v>0.25</v>
      </c>
      <c r="AC73" s="4">
        <v>0</v>
      </c>
      <c r="AD73" s="10">
        <f t="shared" si="12"/>
        <v>0.76724999999999999</v>
      </c>
      <c r="AE73" s="9"/>
      <c r="AF73" s="9"/>
      <c r="AG73" s="12">
        <f t="shared" si="13"/>
        <v>18.600000000000001</v>
      </c>
      <c r="AH73" s="12">
        <f t="shared" si="13"/>
        <v>8</v>
      </c>
      <c r="AI73" s="12">
        <f t="shared" si="13"/>
        <v>33.300000000000004</v>
      </c>
      <c r="AJ73" s="12">
        <f t="shared" si="13"/>
        <v>76</v>
      </c>
      <c r="AK73" s="12"/>
      <c r="AL73" s="12">
        <f t="shared" si="8"/>
        <v>65.3</v>
      </c>
      <c r="AM73" s="12">
        <f t="shared" si="8"/>
        <v>0</v>
      </c>
      <c r="AN73" s="12">
        <f t="shared" si="8"/>
        <v>68</v>
      </c>
      <c r="AO73" s="12">
        <f t="shared" si="8"/>
        <v>98.6</v>
      </c>
      <c r="AP73" s="12">
        <f t="shared" si="9"/>
        <v>90.600000000000009</v>
      </c>
      <c r="AQ73" s="12">
        <f t="shared" si="9"/>
        <v>34.599999999999994</v>
      </c>
      <c r="AR73" s="12"/>
      <c r="AS73" s="12">
        <f t="shared" si="10"/>
        <v>21.3</v>
      </c>
      <c r="AT73" s="12">
        <f t="shared" si="10"/>
        <v>97.3</v>
      </c>
      <c r="AU73" s="12">
        <f t="shared" si="10"/>
        <v>69.3</v>
      </c>
      <c r="AV73" s="12">
        <f t="shared" si="10"/>
        <v>33.300000000000004</v>
      </c>
      <c r="AW73" s="12">
        <f t="shared" si="11"/>
        <v>57.3</v>
      </c>
      <c r="AX73" s="12">
        <f t="shared" si="11"/>
        <v>94.6</v>
      </c>
      <c r="AY73" s="12"/>
      <c r="AZ73" s="12">
        <f t="shared" si="14"/>
        <v>13.400000000000006</v>
      </c>
      <c r="BA73" s="12">
        <f t="shared" si="15"/>
        <v>32</v>
      </c>
      <c r="BB73" s="12"/>
      <c r="BC73" s="12">
        <f t="shared" si="16"/>
        <v>96</v>
      </c>
      <c r="BD73" s="12">
        <f t="shared" si="17"/>
        <v>0</v>
      </c>
      <c r="BE73" s="12">
        <f t="shared" si="18"/>
        <v>10.700000000000003</v>
      </c>
    </row>
    <row r="74" spans="1:57" ht="15.75" customHeight="1">
      <c r="A74" s="1" t="s">
        <v>169</v>
      </c>
      <c r="B74" s="3" t="s">
        <v>86</v>
      </c>
      <c r="C74" s="4" t="s">
        <v>8</v>
      </c>
      <c r="D74" s="4">
        <v>19</v>
      </c>
      <c r="E74" s="4">
        <v>188</v>
      </c>
      <c r="F74" s="4">
        <v>19</v>
      </c>
      <c r="G74" s="4">
        <v>188</v>
      </c>
      <c r="H74" s="4">
        <v>0.40400000000000003</v>
      </c>
      <c r="I74" s="4">
        <v>8.3000000000000007</v>
      </c>
      <c r="J74" s="4"/>
      <c r="K74" s="4">
        <v>0.98199999999999998</v>
      </c>
      <c r="L74" s="4">
        <v>0.193</v>
      </c>
      <c r="M74" s="4">
        <v>0.28100000000000003</v>
      </c>
      <c r="N74" s="4">
        <v>0.36799999999999999</v>
      </c>
      <c r="O74" s="4">
        <v>1.7999999999999999E-2</v>
      </c>
      <c r="P74" s="4">
        <v>1.7999999999999999E-2</v>
      </c>
      <c r="Q74" s="4"/>
      <c r="R74" s="4">
        <v>0.41099999999999998</v>
      </c>
      <c r="S74" s="4">
        <v>0.54500000000000004</v>
      </c>
      <c r="T74" s="4">
        <v>0.5</v>
      </c>
      <c r="U74" s="4">
        <v>0.28599999999999998</v>
      </c>
      <c r="V74" s="4">
        <v>1</v>
      </c>
      <c r="W74" s="4">
        <v>0</v>
      </c>
      <c r="X74" s="4"/>
      <c r="Y74" s="4">
        <v>0.52200000000000002</v>
      </c>
      <c r="Z74" s="4">
        <v>0</v>
      </c>
      <c r="AA74" s="4"/>
      <c r="AB74" s="4">
        <v>0</v>
      </c>
      <c r="AC74" s="4">
        <v>0</v>
      </c>
      <c r="AD74" s="10">
        <f t="shared" si="12"/>
        <v>0.51260400000000006</v>
      </c>
      <c r="AE74" s="9"/>
      <c r="AF74" s="9"/>
      <c r="AG74" s="12">
        <f t="shared" si="13"/>
        <v>9.3000000000000007</v>
      </c>
      <c r="AH74" s="12">
        <f t="shared" si="13"/>
        <v>6.6000000000000005</v>
      </c>
      <c r="AI74" s="12">
        <f t="shared" si="13"/>
        <v>49.3</v>
      </c>
      <c r="AJ74" s="12">
        <f t="shared" si="13"/>
        <v>38.6</v>
      </c>
      <c r="AK74" s="12"/>
      <c r="AL74" s="12">
        <f t="shared" si="8"/>
        <v>82.6</v>
      </c>
      <c r="AM74" s="12">
        <f t="shared" si="8"/>
        <v>13.3</v>
      </c>
      <c r="AN74" s="12">
        <f t="shared" si="8"/>
        <v>76</v>
      </c>
      <c r="AO74" s="12">
        <f t="shared" si="8"/>
        <v>96</v>
      </c>
      <c r="AP74" s="12">
        <f t="shared" si="9"/>
        <v>16</v>
      </c>
      <c r="AQ74" s="12">
        <f t="shared" si="9"/>
        <v>17.299999999999997</v>
      </c>
      <c r="AR74" s="12"/>
      <c r="AS74" s="12">
        <f t="shared" si="10"/>
        <v>40</v>
      </c>
      <c r="AT74" s="12">
        <f t="shared" si="10"/>
        <v>53.300000000000004</v>
      </c>
      <c r="AU74" s="12">
        <f t="shared" si="10"/>
        <v>86.6</v>
      </c>
      <c r="AV74" s="12">
        <f t="shared" si="10"/>
        <v>33.300000000000004</v>
      </c>
      <c r="AW74" s="12">
        <f t="shared" si="11"/>
        <v>96</v>
      </c>
      <c r="AX74" s="12">
        <f t="shared" si="11"/>
        <v>0</v>
      </c>
      <c r="AY74" s="12"/>
      <c r="AZ74" s="12">
        <f t="shared" si="14"/>
        <v>69.400000000000006</v>
      </c>
      <c r="BA74" s="12">
        <f t="shared" si="15"/>
        <v>100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82.7</v>
      </c>
    </row>
    <row r="75" spans="1:57" ht="15.75" customHeight="1">
      <c r="A75" s="1" t="s">
        <v>170</v>
      </c>
      <c r="B75" s="3" t="s">
        <v>86</v>
      </c>
      <c r="C75" s="4" t="s">
        <v>8</v>
      </c>
      <c r="D75" s="4">
        <v>14</v>
      </c>
      <c r="E75" s="4">
        <v>157</v>
      </c>
      <c r="F75" s="4">
        <v>14</v>
      </c>
      <c r="G75" s="4">
        <v>157</v>
      </c>
      <c r="H75" s="4">
        <v>0.24399999999999999</v>
      </c>
      <c r="I75" s="4">
        <v>14.5</v>
      </c>
      <c r="J75" s="4"/>
      <c r="K75" s="4">
        <v>0.55600000000000005</v>
      </c>
      <c r="L75" s="4">
        <v>0.2</v>
      </c>
      <c r="M75" s="4">
        <v>6.7000000000000004E-2</v>
      </c>
      <c r="N75" s="4">
        <v>0.222</v>
      </c>
      <c r="O75" s="4">
        <v>6.7000000000000004E-2</v>
      </c>
      <c r="P75" s="4">
        <v>0.44400000000000001</v>
      </c>
      <c r="Q75" s="4"/>
      <c r="R75" s="4">
        <v>0.28000000000000003</v>
      </c>
      <c r="S75" s="4">
        <v>0.44400000000000001</v>
      </c>
      <c r="T75" s="4">
        <v>0</v>
      </c>
      <c r="U75" s="4">
        <v>0.1</v>
      </c>
      <c r="V75" s="4">
        <v>0.66700000000000004</v>
      </c>
      <c r="W75" s="4">
        <v>0.2</v>
      </c>
      <c r="X75" s="4"/>
      <c r="Y75" s="4">
        <v>0.71399999999999997</v>
      </c>
      <c r="Z75" s="4">
        <v>1</v>
      </c>
      <c r="AA75" s="4"/>
      <c r="AB75" s="4">
        <v>0.05</v>
      </c>
      <c r="AC75" s="4">
        <v>0</v>
      </c>
      <c r="AD75" s="10">
        <f t="shared" si="12"/>
        <v>0.84098399999999995</v>
      </c>
      <c r="AE75" s="9"/>
      <c r="AF75" s="9"/>
      <c r="AG75" s="12">
        <f t="shared" si="13"/>
        <v>6.6000000000000005</v>
      </c>
      <c r="AH75" s="12">
        <f t="shared" si="13"/>
        <v>5.3</v>
      </c>
      <c r="AI75" s="12">
        <f t="shared" si="13"/>
        <v>1.3</v>
      </c>
      <c r="AJ75" s="12">
        <f t="shared" si="13"/>
        <v>88</v>
      </c>
      <c r="AK75" s="12"/>
      <c r="AL75" s="12">
        <f t="shared" si="8"/>
        <v>12</v>
      </c>
      <c r="AM75" s="12">
        <f t="shared" si="8"/>
        <v>16</v>
      </c>
      <c r="AN75" s="12">
        <f t="shared" si="8"/>
        <v>8</v>
      </c>
      <c r="AO75" s="12">
        <f t="shared" si="8"/>
        <v>65.3</v>
      </c>
      <c r="AP75" s="12">
        <f t="shared" si="9"/>
        <v>72</v>
      </c>
      <c r="AQ75" s="12">
        <f t="shared" si="9"/>
        <v>88</v>
      </c>
      <c r="AR75" s="12"/>
      <c r="AS75" s="12">
        <f t="shared" si="10"/>
        <v>2.6</v>
      </c>
      <c r="AT75" s="12">
        <f t="shared" si="10"/>
        <v>18.600000000000001</v>
      </c>
      <c r="AU75" s="12">
        <f t="shared" si="10"/>
        <v>0</v>
      </c>
      <c r="AV75" s="12">
        <f t="shared" si="10"/>
        <v>4</v>
      </c>
      <c r="AW75" s="12">
        <f t="shared" si="11"/>
        <v>82.6</v>
      </c>
      <c r="AX75" s="12">
        <f t="shared" si="11"/>
        <v>37.299999999999997</v>
      </c>
      <c r="AY75" s="12"/>
      <c r="AZ75" s="12">
        <f t="shared" si="14"/>
        <v>18.700000000000003</v>
      </c>
      <c r="BA75" s="12">
        <f t="shared" si="15"/>
        <v>32</v>
      </c>
      <c r="BB75" s="12"/>
      <c r="BC75" s="12">
        <f t="shared" si="16"/>
        <v>88</v>
      </c>
      <c r="BD75" s="12">
        <f t="shared" si="17"/>
        <v>0</v>
      </c>
      <c r="BE75" s="12">
        <f t="shared" si="18"/>
        <v>2.7000000000000028</v>
      </c>
    </row>
    <row r="76" spans="1:57" ht="15.75" customHeight="1">
      <c r="A76" s="1" t="s">
        <v>171</v>
      </c>
      <c r="B76" s="3" t="s">
        <v>90</v>
      </c>
      <c r="C76" s="4" t="s">
        <v>172</v>
      </c>
      <c r="D76" s="4">
        <v>9</v>
      </c>
      <c r="E76" s="4">
        <v>129</v>
      </c>
      <c r="F76" s="4">
        <v>9</v>
      </c>
      <c r="G76" s="4">
        <v>129</v>
      </c>
      <c r="H76" s="4">
        <v>0.47199999999999998</v>
      </c>
      <c r="I76" s="4">
        <v>11.9</v>
      </c>
      <c r="J76" s="4"/>
      <c r="K76" s="4">
        <v>0.69799999999999995</v>
      </c>
      <c r="L76" s="4">
        <v>0.20799999999999999</v>
      </c>
      <c r="M76" s="4">
        <v>0.189</v>
      </c>
      <c r="N76" s="4">
        <v>0.245</v>
      </c>
      <c r="O76" s="4">
        <v>5.7000000000000002E-2</v>
      </c>
      <c r="P76" s="4">
        <v>0.30199999999999999</v>
      </c>
      <c r="Q76" s="4"/>
      <c r="R76" s="4">
        <v>0.56799999999999995</v>
      </c>
      <c r="S76" s="4">
        <v>0.90900000000000003</v>
      </c>
      <c r="T76" s="4">
        <v>0.4</v>
      </c>
      <c r="U76" s="4">
        <v>0.38500000000000001</v>
      </c>
      <c r="V76" s="4">
        <v>0.66700000000000004</v>
      </c>
      <c r="W76" s="4">
        <v>0.25</v>
      </c>
      <c r="X76" s="4"/>
      <c r="Y76" s="4">
        <v>0.47599999999999998</v>
      </c>
      <c r="Z76" s="4">
        <v>1</v>
      </c>
      <c r="AA76" s="4"/>
      <c r="AB76" s="4">
        <v>0</v>
      </c>
      <c r="AC76" s="4">
        <v>0</v>
      </c>
      <c r="AD76" s="10">
        <f t="shared" si="12"/>
        <v>0.63424799999999992</v>
      </c>
      <c r="AE76" s="9"/>
      <c r="AF76" s="9"/>
      <c r="AG76" s="12">
        <f t="shared" si="13"/>
        <v>0</v>
      </c>
      <c r="AH76" s="12">
        <f t="shared" si="13"/>
        <v>4</v>
      </c>
      <c r="AI76" s="12">
        <f t="shared" si="13"/>
        <v>86.6</v>
      </c>
      <c r="AJ76" s="12">
        <f t="shared" si="13"/>
        <v>78.600000000000009</v>
      </c>
      <c r="AK76" s="12"/>
      <c r="AL76" s="12">
        <f t="shared" si="8"/>
        <v>26.6</v>
      </c>
      <c r="AM76" s="12">
        <f t="shared" si="8"/>
        <v>17.299999999999997</v>
      </c>
      <c r="AN76" s="12">
        <f t="shared" si="8"/>
        <v>48</v>
      </c>
      <c r="AO76" s="12">
        <f t="shared" si="8"/>
        <v>76</v>
      </c>
      <c r="AP76" s="12">
        <f t="shared" si="9"/>
        <v>60</v>
      </c>
      <c r="AQ76" s="12">
        <f t="shared" si="9"/>
        <v>73.3</v>
      </c>
      <c r="AR76" s="12"/>
      <c r="AS76" s="12">
        <f t="shared" si="10"/>
        <v>94.6</v>
      </c>
      <c r="AT76" s="12">
        <f t="shared" si="10"/>
        <v>100</v>
      </c>
      <c r="AU76" s="12">
        <f t="shared" si="10"/>
        <v>69.3</v>
      </c>
      <c r="AV76" s="12">
        <f t="shared" si="10"/>
        <v>72</v>
      </c>
      <c r="AW76" s="12">
        <f t="shared" si="11"/>
        <v>82.6</v>
      </c>
      <c r="AX76" s="12">
        <f t="shared" si="11"/>
        <v>45.300000000000004</v>
      </c>
      <c r="AY76" s="12"/>
      <c r="AZ76" s="12">
        <f t="shared" si="14"/>
        <v>76</v>
      </c>
      <c r="BA76" s="12">
        <f t="shared" si="15"/>
        <v>32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58.7</v>
      </c>
    </row>
    <row r="77" spans="1:57" ht="15.75" customHeight="1">
      <c r="A77" s="1" t="s">
        <v>173</v>
      </c>
      <c r="B77" s="3" t="s">
        <v>88</v>
      </c>
      <c r="C77" s="4" t="s">
        <v>8</v>
      </c>
      <c r="D77" s="4">
        <v>10</v>
      </c>
      <c r="E77" s="4">
        <v>116</v>
      </c>
      <c r="F77" s="4">
        <v>10</v>
      </c>
      <c r="G77" s="4">
        <v>116</v>
      </c>
      <c r="H77" s="4">
        <v>0.25600000000000001</v>
      </c>
      <c r="I77" s="4">
        <v>13.3</v>
      </c>
      <c r="J77" s="4"/>
      <c r="K77" s="4">
        <v>0.58099999999999996</v>
      </c>
      <c r="L77" s="4">
        <v>0.16300000000000001</v>
      </c>
      <c r="M77" s="4">
        <v>0.186</v>
      </c>
      <c r="N77" s="4">
        <v>0.20899999999999999</v>
      </c>
      <c r="O77" s="4">
        <v>2.3E-2</v>
      </c>
      <c r="P77" s="4">
        <v>0.41899999999999998</v>
      </c>
      <c r="Q77" s="4"/>
      <c r="R77" s="4">
        <v>0.28000000000000003</v>
      </c>
      <c r="S77" s="4">
        <v>0.57099999999999995</v>
      </c>
      <c r="T77" s="4">
        <v>0.25</v>
      </c>
      <c r="U77" s="4">
        <v>0.111</v>
      </c>
      <c r="V77" s="4">
        <v>0</v>
      </c>
      <c r="W77" s="4">
        <v>0.222</v>
      </c>
      <c r="X77" s="4"/>
      <c r="Y77" s="4">
        <v>0.57099999999999995</v>
      </c>
      <c r="Z77" s="4">
        <v>1</v>
      </c>
      <c r="AA77" s="4"/>
      <c r="AB77" s="4">
        <v>0</v>
      </c>
      <c r="AC77" s="4">
        <v>0</v>
      </c>
      <c r="AD77" s="10">
        <f t="shared" si="12"/>
        <v>0.75075099999999995</v>
      </c>
      <c r="AE77" s="9"/>
      <c r="AF77" s="9"/>
      <c r="AG77" s="12">
        <f t="shared" si="13"/>
        <v>1.3</v>
      </c>
      <c r="AH77" s="12">
        <f t="shared" si="13"/>
        <v>2.6</v>
      </c>
      <c r="AI77" s="12">
        <f t="shared" si="13"/>
        <v>4</v>
      </c>
      <c r="AJ77" s="12">
        <f t="shared" si="13"/>
        <v>86.6</v>
      </c>
      <c r="AK77" s="12"/>
      <c r="AL77" s="12">
        <f t="shared" si="8"/>
        <v>14.6</v>
      </c>
      <c r="AM77" s="12">
        <f t="shared" si="8"/>
        <v>9.3000000000000007</v>
      </c>
      <c r="AN77" s="12">
        <f t="shared" si="8"/>
        <v>45.300000000000004</v>
      </c>
      <c r="AO77" s="12">
        <f t="shared" si="8"/>
        <v>60</v>
      </c>
      <c r="AP77" s="12">
        <f t="shared" si="9"/>
        <v>20</v>
      </c>
      <c r="AQ77" s="12">
        <f t="shared" si="9"/>
        <v>84</v>
      </c>
      <c r="AR77" s="12"/>
      <c r="AS77" s="12">
        <f t="shared" si="10"/>
        <v>2.6</v>
      </c>
      <c r="AT77" s="12">
        <f t="shared" si="10"/>
        <v>61.3</v>
      </c>
      <c r="AU77" s="12">
        <f t="shared" si="10"/>
        <v>20</v>
      </c>
      <c r="AV77" s="12">
        <f t="shared" si="10"/>
        <v>5.3</v>
      </c>
      <c r="AW77" s="12">
        <f t="shared" si="11"/>
        <v>0</v>
      </c>
      <c r="AX77" s="12">
        <f t="shared" si="11"/>
        <v>41.3</v>
      </c>
      <c r="AY77" s="12"/>
      <c r="AZ77" s="12">
        <f t="shared" si="14"/>
        <v>60</v>
      </c>
      <c r="BA77" s="12">
        <f t="shared" si="15"/>
        <v>32</v>
      </c>
      <c r="BB77" s="12"/>
      <c r="BC77" s="12">
        <f t="shared" si="16"/>
        <v>0</v>
      </c>
      <c r="BD77" s="12">
        <f t="shared" si="17"/>
        <v>0</v>
      </c>
      <c r="BE77" s="12">
        <f t="shared" si="18"/>
        <v>20</v>
      </c>
    </row>
    <row r="78" spans="1:57" ht="15.75" customHeight="1">
      <c r="A78" s="1" t="s">
        <v>174</v>
      </c>
      <c r="B78" s="3" t="s">
        <v>88</v>
      </c>
      <c r="C78" s="4" t="s">
        <v>92</v>
      </c>
      <c r="D78" s="4">
        <v>20</v>
      </c>
      <c r="E78" s="4">
        <v>113</v>
      </c>
      <c r="F78" s="4">
        <v>20</v>
      </c>
      <c r="G78" s="4">
        <v>113</v>
      </c>
      <c r="H78" s="4">
        <v>0.25</v>
      </c>
      <c r="I78" s="4">
        <v>7.3</v>
      </c>
      <c r="J78" s="4"/>
      <c r="K78" s="4">
        <v>0.93799999999999994</v>
      </c>
      <c r="L78" s="4">
        <v>0.375</v>
      </c>
      <c r="M78" s="4">
        <v>0.25</v>
      </c>
      <c r="N78" s="4">
        <v>0.313</v>
      </c>
      <c r="O78" s="4">
        <v>0</v>
      </c>
      <c r="P78" s="4">
        <v>6.3E-2</v>
      </c>
      <c r="Q78" s="4"/>
      <c r="R78" s="4">
        <v>0.26700000000000002</v>
      </c>
      <c r="S78" s="4">
        <v>0.5</v>
      </c>
      <c r="T78" s="4">
        <v>0</v>
      </c>
      <c r="U78" s="4">
        <v>0.2</v>
      </c>
      <c r="V78" s="4">
        <v>0</v>
      </c>
      <c r="W78" s="4">
        <v>0</v>
      </c>
      <c r="X78" s="4"/>
      <c r="Y78" s="4">
        <v>0.5</v>
      </c>
      <c r="Z78" s="4">
        <v>0</v>
      </c>
      <c r="AA78" s="4"/>
      <c r="AB78" s="4">
        <v>0</v>
      </c>
      <c r="AC78" s="4">
        <v>0</v>
      </c>
      <c r="AD78" s="10">
        <f t="shared" si="12"/>
        <v>0.46899999999999997</v>
      </c>
      <c r="AE78" s="9"/>
      <c r="AF78" s="9"/>
      <c r="AG78" s="12">
        <f t="shared" si="13"/>
        <v>10.6</v>
      </c>
      <c r="AH78" s="12">
        <f t="shared" si="13"/>
        <v>1.3</v>
      </c>
      <c r="AI78" s="12">
        <f t="shared" si="13"/>
        <v>2.6</v>
      </c>
      <c r="AJ78" s="12">
        <f t="shared" si="13"/>
        <v>32</v>
      </c>
      <c r="AK78" s="12"/>
      <c r="AL78" s="12">
        <f t="shared" si="8"/>
        <v>68</v>
      </c>
      <c r="AM78" s="12">
        <f t="shared" si="8"/>
        <v>66.600000000000009</v>
      </c>
      <c r="AN78" s="12">
        <f t="shared" si="8"/>
        <v>66.600000000000009</v>
      </c>
      <c r="AO78" s="12">
        <f t="shared" si="8"/>
        <v>86.6</v>
      </c>
      <c r="AP78" s="12">
        <f t="shared" si="9"/>
        <v>0</v>
      </c>
      <c r="AQ78" s="12">
        <f t="shared" si="9"/>
        <v>32</v>
      </c>
      <c r="AR78" s="12"/>
      <c r="AS78" s="12">
        <f t="shared" si="10"/>
        <v>1.3</v>
      </c>
      <c r="AT78" s="12">
        <f t="shared" si="10"/>
        <v>29.299999999999997</v>
      </c>
      <c r="AU78" s="12">
        <f t="shared" si="10"/>
        <v>0</v>
      </c>
      <c r="AV78" s="12">
        <f t="shared" si="10"/>
        <v>13.3</v>
      </c>
      <c r="AW78" s="12">
        <f t="shared" si="11"/>
        <v>0</v>
      </c>
      <c r="AX78" s="12">
        <f t="shared" si="11"/>
        <v>0</v>
      </c>
      <c r="AY78" s="12"/>
      <c r="AZ78" s="12">
        <f t="shared" si="14"/>
        <v>74.7</v>
      </c>
      <c r="BA78" s="12">
        <f t="shared" si="15"/>
        <v>100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88</v>
      </c>
    </row>
    <row r="79" spans="1:57" ht="15.75" customHeight="1">
      <c r="A79" s="1" t="s">
        <v>175</v>
      </c>
      <c r="B79" s="3" t="s">
        <v>96</v>
      </c>
      <c r="C79" s="4" t="s">
        <v>8</v>
      </c>
      <c r="D79" s="4">
        <v>10</v>
      </c>
      <c r="E79" s="4">
        <v>112</v>
      </c>
      <c r="F79" s="4">
        <v>10</v>
      </c>
      <c r="G79" s="4">
        <v>112</v>
      </c>
      <c r="H79" s="4">
        <v>0.46700000000000003</v>
      </c>
      <c r="I79" s="4">
        <v>11.6</v>
      </c>
      <c r="J79" s="4"/>
      <c r="K79" s="4">
        <v>0.8</v>
      </c>
      <c r="L79" s="4">
        <v>0.33300000000000002</v>
      </c>
      <c r="M79" s="4">
        <v>0</v>
      </c>
      <c r="N79" s="4">
        <v>0.26700000000000002</v>
      </c>
      <c r="O79" s="4">
        <v>0.2</v>
      </c>
      <c r="P79" s="4">
        <v>0.2</v>
      </c>
      <c r="Q79" s="4"/>
      <c r="R79" s="4">
        <v>0.58299999999999996</v>
      </c>
      <c r="S79" s="4">
        <v>0.4</v>
      </c>
      <c r="T79" s="4">
        <v>0</v>
      </c>
      <c r="U79" s="4">
        <v>0.75</v>
      </c>
      <c r="V79" s="4">
        <v>0.66700000000000004</v>
      </c>
      <c r="W79" s="4">
        <v>0</v>
      </c>
      <c r="X79" s="4"/>
      <c r="Y79" s="4">
        <v>0.57099999999999995</v>
      </c>
      <c r="Z79" s="4">
        <v>0</v>
      </c>
      <c r="AA79" s="4"/>
      <c r="AB79" s="4">
        <v>0</v>
      </c>
      <c r="AC79" s="4">
        <v>0</v>
      </c>
      <c r="AD79" s="10">
        <f t="shared" si="12"/>
        <v>0.45679999999999998</v>
      </c>
      <c r="AE79" s="9"/>
      <c r="AF79" s="9"/>
      <c r="AG79" s="12">
        <f t="shared" si="13"/>
        <v>1.3</v>
      </c>
      <c r="AH79" s="12">
        <f t="shared" si="13"/>
        <v>0</v>
      </c>
      <c r="AI79" s="12">
        <f t="shared" si="13"/>
        <v>80</v>
      </c>
      <c r="AJ79" s="12">
        <f t="shared" si="13"/>
        <v>73.3</v>
      </c>
      <c r="AK79" s="12"/>
      <c r="AL79" s="12">
        <f t="shared" si="8"/>
        <v>36</v>
      </c>
      <c r="AM79" s="12">
        <f t="shared" si="8"/>
        <v>56.000000000000007</v>
      </c>
      <c r="AN79" s="12">
        <f t="shared" si="8"/>
        <v>0</v>
      </c>
      <c r="AO79" s="12">
        <f t="shared" si="8"/>
        <v>80</v>
      </c>
      <c r="AP79" s="12">
        <f t="shared" si="9"/>
        <v>100</v>
      </c>
      <c r="AQ79" s="12">
        <f t="shared" si="9"/>
        <v>64</v>
      </c>
      <c r="AR79" s="12"/>
      <c r="AS79" s="12">
        <f t="shared" si="10"/>
        <v>96</v>
      </c>
      <c r="AT79" s="12">
        <f t="shared" si="10"/>
        <v>10.6</v>
      </c>
      <c r="AU79" s="12">
        <f t="shared" si="10"/>
        <v>0</v>
      </c>
      <c r="AV79" s="12">
        <f t="shared" si="10"/>
        <v>98.6</v>
      </c>
      <c r="AW79" s="12">
        <f t="shared" si="11"/>
        <v>82.6</v>
      </c>
      <c r="AX79" s="12">
        <f t="shared" si="11"/>
        <v>0</v>
      </c>
      <c r="AY79" s="12"/>
      <c r="AZ79" s="12">
        <f t="shared" si="14"/>
        <v>60</v>
      </c>
      <c r="BA79" s="12">
        <f t="shared" si="15"/>
        <v>100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89.4</v>
      </c>
    </row>
    <row r="80" spans="1:57" ht="15.75" customHeight="1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10"/>
      <c r="AE80" s="9"/>
      <c r="AF80" s="9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 spans="1:57" ht="15.75" customHeight="1">
      <c r="A81" s="1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10"/>
      <c r="AE81" s="9"/>
      <c r="AF81" s="9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 spans="1:57" ht="15.75" customHeight="1">
      <c r="A82" s="1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10"/>
      <c r="AE82" s="9"/>
      <c r="AF82" s="9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 spans="1:57" ht="15.75" customHeight="1">
      <c r="A83" s="1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10"/>
      <c r="AE83" s="9"/>
      <c r="AF83" s="9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 spans="1:57" ht="15.75" customHeight="1">
      <c r="A84" s="1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10"/>
      <c r="AE84" s="9"/>
      <c r="AF84" s="9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r="85" spans="1:57" ht="15.75" customHeight="1">
      <c r="A85" s="1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10"/>
      <c r="AE85" s="9"/>
      <c r="AF85" s="9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r="86" spans="1:57" ht="15.75" customHeight="1">
      <c r="A86" s="1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10"/>
      <c r="AE86" s="9"/>
      <c r="AF86" s="9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 spans="1:57" ht="15.75" customHeight="1">
      <c r="A87" s="1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10"/>
      <c r="AE87" s="9"/>
      <c r="AF87" s="9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r="88" spans="1:57" ht="15.75" customHeight="1">
      <c r="A88" s="1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10"/>
      <c r="AE88" s="9"/>
      <c r="AF88" s="9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r="89" spans="1:57" ht="15.75" customHeight="1">
      <c r="A89" s="1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10"/>
      <c r="AE89" s="9"/>
      <c r="AF89" s="9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r="90" spans="1:57" ht="15.75" customHeight="1">
      <c r="A90" s="1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10"/>
      <c r="AE90" s="9"/>
      <c r="AF90" s="9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r="91" spans="1:57" ht="15.75" customHeight="1">
      <c r="A91" s="1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10"/>
      <c r="AE91" s="9"/>
      <c r="AF91" s="9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r="92" spans="1:57" ht="15.75" customHeight="1">
      <c r="A92" s="1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10"/>
      <c r="AE92" s="9"/>
      <c r="AF92" s="9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r="93" spans="1:57" ht="15.75" customHeight="1">
      <c r="A93" s="1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10"/>
      <c r="AE93" s="9"/>
      <c r="AF93" s="9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r="94" spans="1:57" ht="15.75" customHeight="1">
      <c r="A94" s="1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10"/>
      <c r="AE94" s="9"/>
      <c r="AF94" s="9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r="95" spans="1:57" ht="15.75" customHeight="1">
      <c r="A95" s="1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10"/>
      <c r="AE95" s="9"/>
      <c r="AF95" s="9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r="96" spans="1:57" ht="15.75" customHeight="1">
      <c r="A96" s="1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10"/>
      <c r="AE96" s="9"/>
      <c r="AF96" s="9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r="97" spans="1:57" ht="15.75" customHeight="1">
      <c r="A97" s="1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10"/>
      <c r="AE97" s="9"/>
      <c r="AF97" s="9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r="98" spans="1:57" ht="15.75" customHeight="1">
      <c r="A98" s="1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10"/>
      <c r="AE98" s="9"/>
      <c r="AF98" s="9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r="99" spans="1:57" ht="15.75" customHeight="1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10"/>
      <c r="AE99" s="9"/>
      <c r="AF99" s="9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 spans="1:57" ht="15.75" customHeight="1">
      <c r="A100" s="1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10"/>
      <c r="AE100" s="9"/>
      <c r="AF100" s="9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r="101" spans="1:57" ht="15.75" customHeight="1">
      <c r="A101" s="1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10"/>
      <c r="AE101" s="9"/>
      <c r="AF101" s="9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r="102" spans="1:57" ht="15.75" customHeight="1">
      <c r="A102" s="1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10"/>
      <c r="AE102" s="9"/>
      <c r="AF102" s="9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r="103" spans="1:57" ht="15.75" customHeight="1">
      <c r="A103" s="1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10"/>
      <c r="AE103" s="9"/>
      <c r="AF103" s="9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r="104" spans="1:57" ht="15.75" customHeight="1">
      <c r="A104" s="1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10"/>
      <c r="AE104" s="9"/>
      <c r="AF104" s="9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r="105" spans="1:57" ht="15.75" customHeight="1">
      <c r="A105" s="1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10"/>
      <c r="AE105" s="9"/>
      <c r="AF105" s="9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r="106" spans="1:57" ht="15.75" customHeight="1">
      <c r="A106" s="1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10"/>
      <c r="AE106" s="9"/>
      <c r="AF106" s="9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 spans="1:57" ht="15.75" customHeight="1">
      <c r="A107" s="1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10"/>
      <c r="AE107" s="9"/>
      <c r="AF107" s="9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 spans="1:57" ht="15.75" customHeight="1">
      <c r="A108" s="1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10"/>
      <c r="AE108" s="9"/>
      <c r="AF108" s="9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 spans="1:57" ht="15.75" customHeight="1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10"/>
      <c r="AE109" s="9"/>
      <c r="AF109" s="9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 spans="1:57" ht="15.75" customHeight="1">
      <c r="A110" s="1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10"/>
      <c r="AE110" s="9"/>
      <c r="AF110" s="9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 spans="1:57" ht="15.75" customHeight="1">
      <c r="A111" s="1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10"/>
      <c r="AE111" s="9"/>
      <c r="AF111" s="9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 spans="1:57" ht="15.75" customHeight="1">
      <c r="A112" s="1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10"/>
      <c r="AE112" s="9"/>
      <c r="AF112" s="9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 spans="1:57" ht="15.75" customHeight="1">
      <c r="A113" s="1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10"/>
      <c r="AE113" s="9"/>
      <c r="AF113" s="9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 spans="1:57" ht="15.75" customHeight="1">
      <c r="A114" s="1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10"/>
      <c r="AE114" s="9"/>
      <c r="AF114" s="9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 spans="1:57" ht="15.75" customHeight="1">
      <c r="A115" s="1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10"/>
      <c r="AE115" s="9"/>
      <c r="AF115" s="9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 spans="1:57" ht="15.75" customHeight="1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10"/>
      <c r="AE116" s="9"/>
      <c r="AF116" s="9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 spans="1:57" ht="15.75" customHeight="1">
      <c r="A117" s="1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10"/>
      <c r="AE117" s="9"/>
      <c r="AF117" s="9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 spans="1:57" ht="15.75" customHeight="1">
      <c r="A118" s="1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10"/>
      <c r="AE118" s="9"/>
      <c r="AF118" s="9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 spans="1:57" ht="15.75" customHeight="1">
      <c r="A119" s="1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10"/>
      <c r="AE119" s="9"/>
      <c r="AF119" s="9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 spans="1:57" ht="15.75" customHeight="1">
      <c r="A120" s="1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10"/>
      <c r="AE120" s="9"/>
      <c r="AF120" s="9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 spans="1:57" ht="15.75" customHeight="1">
      <c r="A121" s="1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10"/>
      <c r="AE121" s="9"/>
      <c r="AF121" s="9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r="122" spans="1:57" ht="15.75" customHeight="1">
      <c r="A122" s="1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10"/>
      <c r="AE122" s="9"/>
      <c r="AF122" s="9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 spans="1:57" ht="15.75" customHeight="1">
      <c r="A123" s="1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10"/>
      <c r="AE123" s="9"/>
      <c r="AF123" s="9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 spans="1:57" ht="15.75" customHeight="1">
      <c r="A124" s="1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10"/>
      <c r="AE124" s="9"/>
      <c r="AF124" s="9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 spans="1:57" ht="15.75" customHeight="1">
      <c r="A125" s="1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10"/>
      <c r="AE125" s="9"/>
      <c r="AF125" s="9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 spans="1:57" ht="15.75" customHeight="1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10"/>
      <c r="AE126" s="9"/>
      <c r="AF126" s="9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 spans="1:57" ht="15.75" customHeight="1">
      <c r="A127" s="1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10"/>
      <c r="AE127" s="9"/>
      <c r="AF127" s="9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 spans="1:57" ht="15.75" customHeight="1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10"/>
      <c r="AE128" s="9"/>
      <c r="AF128" s="9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 spans="1:57" ht="15.75" customHeight="1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10"/>
      <c r="AE129" s="9"/>
      <c r="AF129" s="9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 spans="1:57" ht="15.75" customHeight="1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10"/>
      <c r="AE130" s="9"/>
      <c r="AF130" s="9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 spans="1:57" ht="15.75" customHeight="1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10"/>
      <c r="AE131" s="9"/>
      <c r="AF131" s="9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1:57" ht="15.75" customHeight="1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10"/>
      <c r="AE132" s="9"/>
      <c r="AF132" s="9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 spans="1:57" ht="15.75" customHeight="1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10"/>
      <c r="AE133" s="9"/>
      <c r="AF133" s="9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 spans="1:57" ht="15.75" customHeight="1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10"/>
      <c r="AE134" s="9"/>
      <c r="AF134" s="9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1:57" ht="15.75" customHeight="1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2026-01-29T09:27:19Z</dcterms:modified>
</cp:coreProperties>
</file>