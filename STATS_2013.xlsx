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Swish Swish\"/>
    </mc:Choice>
  </mc:AlternateContent>
  <xr:revisionPtr revIDLastSave="0" documentId="13_ncr:1_{E7A07360-2544-4FDB-BC1C-E664A8CDC62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L134" i="3" l="1"/>
  <c r="AK134" i="3"/>
  <c r="AJ134" i="3"/>
  <c r="AL133" i="3"/>
  <c r="AK133" i="3"/>
  <c r="AJ133" i="3"/>
  <c r="AL132" i="3"/>
  <c r="AK132" i="3"/>
  <c r="AJ132" i="3"/>
  <c r="AL131" i="3"/>
  <c r="AK131" i="3"/>
  <c r="AJ131" i="3"/>
  <c r="AL130" i="3"/>
  <c r="AK130" i="3"/>
  <c r="AJ130" i="3"/>
  <c r="AL129" i="3"/>
  <c r="AK129" i="3"/>
  <c r="AJ129" i="3"/>
  <c r="AL128" i="3"/>
  <c r="AK128" i="3"/>
  <c r="AJ128" i="3"/>
  <c r="AL127" i="3"/>
  <c r="AK127" i="3"/>
  <c r="AJ127" i="3"/>
  <c r="AL126" i="3"/>
  <c r="AK126" i="3"/>
  <c r="AJ126" i="3"/>
  <c r="AL125" i="3"/>
  <c r="AK125" i="3"/>
  <c r="AJ125" i="3"/>
  <c r="AL124" i="3"/>
  <c r="AK124" i="3"/>
  <c r="AJ124" i="3"/>
  <c r="AL123" i="3"/>
  <c r="AK123" i="3"/>
  <c r="AJ123" i="3"/>
  <c r="AL122" i="3"/>
  <c r="AK122" i="3"/>
  <c r="AJ122" i="3"/>
  <c r="AL121" i="3"/>
  <c r="AK121" i="3"/>
  <c r="AJ121" i="3"/>
  <c r="AL120" i="3"/>
  <c r="AK120" i="3"/>
  <c r="AJ120" i="3"/>
  <c r="AL119" i="3"/>
  <c r="AK119" i="3"/>
  <c r="AJ119" i="3"/>
  <c r="AL118" i="3"/>
  <c r="AK118" i="3"/>
  <c r="AJ118" i="3"/>
  <c r="AL117" i="3"/>
  <c r="AK117" i="3"/>
  <c r="AJ117" i="3"/>
  <c r="AL116" i="3"/>
  <c r="AK116" i="3"/>
  <c r="AJ116" i="3"/>
  <c r="AL115" i="3"/>
  <c r="AK115" i="3"/>
  <c r="AJ115" i="3"/>
  <c r="AL114" i="3"/>
  <c r="AK114" i="3"/>
  <c r="AJ114" i="3"/>
  <c r="AL113" i="3"/>
  <c r="AK113" i="3"/>
  <c r="AJ113" i="3"/>
  <c r="AL112" i="3"/>
  <c r="AK112" i="3"/>
  <c r="AJ112" i="3"/>
  <c r="AL111" i="3"/>
  <c r="AK111" i="3"/>
  <c r="AJ111" i="3"/>
  <c r="AL110" i="3"/>
  <c r="AK110" i="3"/>
  <c r="AJ110" i="3"/>
  <c r="AL109" i="3"/>
  <c r="AK109" i="3"/>
  <c r="AJ109" i="3"/>
  <c r="AL108" i="3"/>
  <c r="AK108" i="3"/>
  <c r="AJ108" i="3"/>
  <c r="AL107" i="3"/>
  <c r="AK107" i="3"/>
  <c r="AJ107" i="3"/>
  <c r="AL106" i="3"/>
  <c r="AK106" i="3"/>
  <c r="AJ106" i="3"/>
  <c r="AL105" i="3"/>
  <c r="AK105" i="3"/>
  <c r="AJ105" i="3"/>
  <c r="AL104" i="3"/>
  <c r="AK104" i="3"/>
  <c r="AJ104" i="3"/>
  <c r="AL103" i="3"/>
  <c r="AK103" i="3"/>
  <c r="AJ103" i="3"/>
  <c r="AL102" i="3"/>
  <c r="AK102" i="3"/>
  <c r="AJ102" i="3"/>
  <c r="AL101" i="3"/>
  <c r="AK101" i="3"/>
  <c r="AJ101" i="3"/>
  <c r="AL100" i="3"/>
  <c r="AK100" i="3"/>
  <c r="AJ100" i="3"/>
  <c r="AL99" i="3"/>
  <c r="AK99" i="3"/>
  <c r="AJ99" i="3"/>
  <c r="AL98" i="3"/>
  <c r="AK98" i="3"/>
  <c r="AJ98" i="3"/>
  <c r="AL97" i="3"/>
  <c r="AK97" i="3"/>
  <c r="AJ97" i="3"/>
  <c r="AL96" i="3"/>
  <c r="AK96" i="3"/>
  <c r="AJ96" i="3"/>
  <c r="AL95" i="3"/>
  <c r="AK95" i="3"/>
  <c r="AJ95" i="3"/>
  <c r="AL94" i="3"/>
  <c r="AK94" i="3"/>
  <c r="AJ94" i="3"/>
  <c r="AL93" i="3"/>
  <c r="AK93" i="3"/>
  <c r="AJ93" i="3"/>
  <c r="AL92" i="3"/>
  <c r="AK92" i="3"/>
  <c r="AJ92" i="3"/>
  <c r="AL91" i="3"/>
  <c r="AK91" i="3"/>
  <c r="AJ91" i="3"/>
  <c r="AL90" i="3"/>
  <c r="AK90" i="3"/>
  <c r="AJ90" i="3"/>
  <c r="AL89" i="3"/>
  <c r="AK89" i="3"/>
  <c r="AJ89" i="3"/>
  <c r="AL88" i="3"/>
  <c r="AK88" i="3"/>
  <c r="AJ88" i="3"/>
  <c r="AL87" i="3"/>
  <c r="AK87" i="3"/>
  <c r="AJ87" i="3"/>
  <c r="AL86" i="3"/>
  <c r="AK86" i="3"/>
  <c r="AJ86" i="3"/>
  <c r="AL85" i="3"/>
  <c r="AK85" i="3"/>
  <c r="AJ85" i="3"/>
  <c r="AL84" i="3"/>
  <c r="AK84" i="3"/>
  <c r="AJ84" i="3"/>
  <c r="AL83" i="3"/>
  <c r="AK83" i="3"/>
  <c r="AJ83" i="3"/>
  <c r="AL82" i="3"/>
  <c r="AK82" i="3"/>
  <c r="AJ82" i="3"/>
  <c r="AL81" i="3"/>
  <c r="AK81" i="3"/>
  <c r="AJ81" i="3"/>
  <c r="AL80" i="3"/>
  <c r="AK80" i="3"/>
  <c r="AJ80" i="3"/>
  <c r="AL79" i="3"/>
  <c r="AK79" i="3"/>
  <c r="AJ79" i="3"/>
  <c r="AL78" i="3"/>
  <c r="AK78" i="3"/>
  <c r="AJ78" i="3"/>
  <c r="AL77" i="3"/>
  <c r="AK77" i="3"/>
  <c r="AJ77" i="3"/>
  <c r="AL76" i="3"/>
  <c r="AK76" i="3"/>
  <c r="AJ76" i="3"/>
  <c r="AL75" i="3"/>
  <c r="AK75" i="3"/>
  <c r="AJ75" i="3"/>
  <c r="AL74" i="3"/>
  <c r="AK74" i="3"/>
  <c r="AJ74" i="3"/>
  <c r="AL73" i="3"/>
  <c r="AK73" i="3"/>
  <c r="AJ73" i="3"/>
  <c r="AL72" i="3"/>
  <c r="AK72" i="3"/>
  <c r="AJ72" i="3"/>
  <c r="AL71" i="3"/>
  <c r="AK71" i="3"/>
  <c r="AJ71" i="3"/>
  <c r="AL70" i="3"/>
  <c r="AK70" i="3"/>
  <c r="AJ70" i="3"/>
  <c r="AL69" i="3"/>
  <c r="AK69" i="3"/>
  <c r="AJ69" i="3"/>
  <c r="AL68" i="3"/>
  <c r="AK68" i="3"/>
  <c r="AJ68" i="3"/>
  <c r="AL67" i="3"/>
  <c r="AK67" i="3"/>
  <c r="AJ67" i="3"/>
  <c r="AL66" i="3"/>
  <c r="AK66" i="3"/>
  <c r="AJ66" i="3"/>
  <c r="AL65" i="3"/>
  <c r="AK65" i="3"/>
  <c r="AJ65" i="3"/>
  <c r="AL64" i="3"/>
  <c r="AK64" i="3"/>
  <c r="AJ64" i="3"/>
  <c r="AL63" i="3"/>
  <c r="AK63" i="3"/>
  <c r="AJ63" i="3"/>
  <c r="AL62" i="3"/>
  <c r="AK62" i="3"/>
  <c r="AJ62" i="3"/>
  <c r="AL61" i="3"/>
  <c r="AK61" i="3"/>
  <c r="AJ61" i="3"/>
  <c r="AL60" i="3"/>
  <c r="AK60" i="3"/>
  <c r="AJ60" i="3"/>
  <c r="AL59" i="3"/>
  <c r="AK59" i="3"/>
  <c r="AJ59" i="3"/>
  <c r="AL58" i="3"/>
  <c r="AK58" i="3"/>
  <c r="AJ58" i="3"/>
  <c r="AL57" i="3"/>
  <c r="AK57" i="3"/>
  <c r="AJ57" i="3"/>
  <c r="AL56" i="3"/>
  <c r="AK56" i="3"/>
  <c r="AJ56" i="3"/>
  <c r="AL55" i="3"/>
  <c r="AK55" i="3"/>
  <c r="AJ55" i="3"/>
  <c r="AL54" i="3"/>
  <c r="AK54" i="3"/>
  <c r="AJ54" i="3"/>
  <c r="AL53" i="3"/>
  <c r="AK53" i="3"/>
  <c r="AJ53" i="3"/>
  <c r="AL52" i="3"/>
  <c r="AK52" i="3"/>
  <c r="AJ52" i="3"/>
  <c r="AL51" i="3"/>
  <c r="AK51" i="3"/>
  <c r="AJ51" i="3"/>
  <c r="AL50" i="3"/>
  <c r="AK50" i="3"/>
  <c r="AJ50" i="3"/>
  <c r="AL49" i="3"/>
  <c r="AK49" i="3"/>
  <c r="AJ49" i="3"/>
  <c r="AL48" i="3"/>
  <c r="AK48" i="3"/>
  <c r="AJ48" i="3"/>
  <c r="AL47" i="3"/>
  <c r="AK47" i="3"/>
  <c r="AJ47" i="3"/>
  <c r="AL46" i="3"/>
  <c r="AK46" i="3"/>
  <c r="AJ46" i="3"/>
  <c r="AL45" i="3"/>
  <c r="AK45" i="3"/>
  <c r="AJ45" i="3"/>
  <c r="AL44" i="3"/>
  <c r="AK44" i="3"/>
  <c r="AJ44" i="3"/>
  <c r="AL43" i="3"/>
  <c r="AK43" i="3"/>
  <c r="AJ43" i="3"/>
  <c r="AL42" i="3"/>
  <c r="AK42" i="3"/>
  <c r="AJ42" i="3"/>
  <c r="AL41" i="3"/>
  <c r="AK41" i="3"/>
  <c r="AJ41" i="3"/>
  <c r="AL40" i="3"/>
  <c r="AK40" i="3"/>
  <c r="AJ40" i="3"/>
  <c r="AL39" i="3"/>
  <c r="AK39" i="3"/>
  <c r="AJ39" i="3"/>
  <c r="AL38" i="3"/>
  <c r="AK38" i="3"/>
  <c r="AJ38" i="3"/>
  <c r="AL37" i="3"/>
  <c r="AK37" i="3"/>
  <c r="AJ37" i="3"/>
  <c r="AL36" i="3"/>
  <c r="AK36" i="3"/>
  <c r="AJ36" i="3"/>
  <c r="AL35" i="3"/>
  <c r="AK35" i="3"/>
  <c r="AJ35" i="3"/>
  <c r="AL34" i="3"/>
  <c r="AK34" i="3"/>
  <c r="AJ34" i="3"/>
  <c r="AL33" i="3"/>
  <c r="AK33" i="3"/>
  <c r="AJ33" i="3"/>
  <c r="AL32" i="3"/>
  <c r="AK32" i="3"/>
  <c r="AJ32" i="3"/>
  <c r="AL31" i="3"/>
  <c r="AK31" i="3"/>
  <c r="AJ31" i="3"/>
  <c r="AL30" i="3"/>
  <c r="AK30" i="3"/>
  <c r="AJ30" i="3"/>
  <c r="AL29" i="3"/>
  <c r="AK29" i="3"/>
  <c r="AJ29" i="3"/>
  <c r="AL28" i="3"/>
  <c r="AK28" i="3"/>
  <c r="AJ28" i="3"/>
  <c r="AL27" i="3"/>
  <c r="AK27" i="3"/>
  <c r="AJ27" i="3"/>
  <c r="AL26" i="3"/>
  <c r="AK26" i="3"/>
  <c r="AJ26" i="3"/>
  <c r="AL25" i="3"/>
  <c r="AK25" i="3"/>
  <c r="AJ25" i="3"/>
  <c r="AL24" i="3"/>
  <c r="AK24" i="3"/>
  <c r="AJ24" i="3"/>
  <c r="AL23" i="3"/>
  <c r="AK23" i="3"/>
  <c r="AJ23" i="3"/>
  <c r="AL22" i="3"/>
  <c r="AK22" i="3"/>
  <c r="AJ22" i="3"/>
  <c r="AL21" i="3"/>
  <c r="AK21" i="3"/>
  <c r="AJ21" i="3"/>
  <c r="AL20" i="3"/>
  <c r="AK20" i="3"/>
  <c r="AJ20" i="3"/>
  <c r="AL19" i="3"/>
  <c r="AK19" i="3"/>
  <c r="AJ19" i="3"/>
  <c r="AL18" i="3"/>
  <c r="AK18" i="3"/>
  <c r="AJ18" i="3"/>
  <c r="AL17" i="3"/>
  <c r="AK17" i="3"/>
  <c r="AJ17" i="3"/>
  <c r="AL16" i="3"/>
  <c r="AK16" i="3"/>
  <c r="AJ16" i="3"/>
  <c r="AL15" i="3"/>
  <c r="AK15" i="3"/>
  <c r="AJ15" i="3"/>
  <c r="AL14" i="3"/>
  <c r="AK14" i="3"/>
  <c r="AJ14" i="3"/>
  <c r="AL13" i="3"/>
  <c r="AK13" i="3"/>
  <c r="AJ13" i="3"/>
  <c r="AL12" i="3"/>
  <c r="AK12" i="3"/>
  <c r="AJ12" i="3"/>
  <c r="AL11" i="3"/>
  <c r="AK11" i="3"/>
  <c r="AJ11" i="3"/>
  <c r="AL10" i="3"/>
  <c r="AK10" i="3"/>
  <c r="AJ10" i="3"/>
  <c r="AL9" i="3"/>
  <c r="AK9" i="3"/>
  <c r="AJ9" i="3"/>
  <c r="AL8" i="3"/>
  <c r="AK8" i="3"/>
  <c r="AJ8" i="3"/>
  <c r="AL7" i="3"/>
  <c r="AK7" i="3"/>
  <c r="AJ7" i="3"/>
  <c r="AL6" i="3"/>
  <c r="AK6" i="3"/>
  <c r="AJ6" i="3"/>
  <c r="AL5" i="3"/>
  <c r="AK5" i="3"/>
  <c r="AJ5" i="3"/>
  <c r="AL4" i="3"/>
  <c r="AK4" i="3"/>
  <c r="AJ4" i="3"/>
  <c r="AL3" i="3"/>
  <c r="AK3" i="3"/>
  <c r="AJ3" i="3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D307" i="2" s="1"/>
  <c r="S300" i="2"/>
  <c r="T300" i="2"/>
  <c r="U300" i="2"/>
  <c r="V300" i="2"/>
  <c r="W300" i="2"/>
  <c r="X300" i="2"/>
  <c r="Y300" i="2"/>
  <c r="Z300" i="2"/>
  <c r="AA300" i="2"/>
  <c r="AB300" i="2"/>
  <c r="D301" i="2" s="1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D129" i="6"/>
  <c r="BD130" i="6"/>
  <c r="BD131" i="6"/>
  <c r="BD132" i="6"/>
  <c r="BD133" i="6"/>
  <c r="BD134" i="6"/>
  <c r="BD135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C135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BA129" i="6"/>
  <c r="BA130" i="6"/>
  <c r="BA131" i="6"/>
  <c r="BA132" i="6"/>
  <c r="BA133" i="6"/>
  <c r="BA134" i="6"/>
  <c r="BA135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Z129" i="6"/>
  <c r="AZ130" i="6"/>
  <c r="AZ131" i="6"/>
  <c r="AZ132" i="6"/>
  <c r="AZ133" i="6"/>
  <c r="AZ134" i="6"/>
  <c r="AZ135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X129" i="6"/>
  <c r="AX130" i="6"/>
  <c r="AX131" i="6"/>
  <c r="AX132" i="6"/>
  <c r="AX133" i="6"/>
  <c r="AX134" i="6"/>
  <c r="AX135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W129" i="6"/>
  <c r="AW130" i="6"/>
  <c r="AW131" i="6"/>
  <c r="AW132" i="6"/>
  <c r="AW133" i="6"/>
  <c r="AW134" i="6"/>
  <c r="AW135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V129" i="6"/>
  <c r="AV130" i="6"/>
  <c r="AV131" i="6"/>
  <c r="AV132" i="6"/>
  <c r="AV133" i="6"/>
  <c r="AV134" i="6"/>
  <c r="AV135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U135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T135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S129" i="6"/>
  <c r="AS130" i="6"/>
  <c r="AS131" i="6"/>
  <c r="AS132" i="6"/>
  <c r="AS133" i="6"/>
  <c r="AS134" i="6"/>
  <c r="AS135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P135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H39" i="3" s="1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H95" i="3" s="1"/>
  <c r="AD96" i="3"/>
  <c r="AD97" i="3"/>
  <c r="AD98" i="3"/>
  <c r="AD99" i="3"/>
  <c r="AD100" i="3"/>
  <c r="AD101" i="3"/>
  <c r="AD102" i="3"/>
  <c r="AD103" i="3"/>
  <c r="AH103" i="3" s="1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H115" i="3" s="1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H127" i="3" s="1"/>
  <c r="AD128" i="3"/>
  <c r="AD129" i="3"/>
  <c r="AD130" i="3"/>
  <c r="AD131" i="3"/>
  <c r="AD132" i="3"/>
  <c r="AD133" i="3"/>
  <c r="AD134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3" i="2"/>
  <c r="AD3" i="3"/>
  <c r="AC3" i="3"/>
  <c r="AD4" i="6"/>
  <c r="AE3" i="4"/>
  <c r="AF3" i="4"/>
  <c r="AD3" i="4"/>
  <c r="AC3" i="4"/>
  <c r="AB3" i="4"/>
  <c r="AH134" i="3" l="1"/>
  <c r="AH94" i="3"/>
  <c r="AH70" i="3"/>
  <c r="AH6" i="3"/>
  <c r="AH38" i="3"/>
  <c r="AH63" i="3"/>
  <c r="AH126" i="3"/>
  <c r="AH102" i="3"/>
  <c r="AH62" i="3"/>
  <c r="AH30" i="3"/>
  <c r="AH71" i="3"/>
  <c r="AH31" i="3"/>
  <c r="AH107" i="3"/>
  <c r="AH83" i="3"/>
  <c r="AH51" i="3"/>
  <c r="AH19" i="3"/>
  <c r="AH130" i="3"/>
  <c r="AH90" i="3"/>
  <c r="AH41" i="3"/>
  <c r="AH131" i="3"/>
  <c r="AH99" i="3"/>
  <c r="AH59" i="3"/>
  <c r="AH35" i="3"/>
  <c r="AH11" i="3"/>
  <c r="BE3" i="4"/>
  <c r="AH122" i="3"/>
  <c r="AH98" i="3"/>
  <c r="AH74" i="3"/>
  <c r="AH50" i="3"/>
  <c r="AH26" i="3"/>
  <c r="AH9" i="3"/>
  <c r="AH123" i="3"/>
  <c r="AH91" i="3"/>
  <c r="AH67" i="3"/>
  <c r="AH43" i="3"/>
  <c r="AH27" i="3"/>
  <c r="AH114" i="3"/>
  <c r="AH106" i="3"/>
  <c r="AH82" i="3"/>
  <c r="AH66" i="3"/>
  <c r="AH58" i="3"/>
  <c r="AH42" i="3"/>
  <c r="AH34" i="3"/>
  <c r="AH10" i="3"/>
  <c r="AH105" i="3"/>
  <c r="AH73" i="3"/>
  <c r="AH104" i="3"/>
  <c r="AH72" i="3"/>
  <c r="AH40" i="3"/>
  <c r="AH8" i="3"/>
  <c r="BE125" i="6"/>
  <c r="BE109" i="6"/>
  <c r="BE93" i="6"/>
  <c r="BE77" i="6"/>
  <c r="BE61" i="6"/>
  <c r="BE45" i="6"/>
  <c r="BE29" i="6"/>
  <c r="BE13" i="6"/>
  <c r="BE133" i="6"/>
  <c r="BE117" i="6"/>
  <c r="BE101" i="6"/>
  <c r="BE85" i="6"/>
  <c r="BE69" i="6"/>
  <c r="BE53" i="6"/>
  <c r="BE37" i="6"/>
  <c r="BE21" i="6"/>
  <c r="BE5" i="6"/>
  <c r="BI11" i="4"/>
  <c r="AH132" i="3"/>
  <c r="AH116" i="3"/>
  <c r="AH100" i="3"/>
  <c r="AH84" i="3"/>
  <c r="AH68" i="3"/>
  <c r="AH52" i="3"/>
  <c r="AH36" i="3"/>
  <c r="AH20" i="3"/>
  <c r="AH4" i="3"/>
  <c r="AH133" i="3"/>
  <c r="AH117" i="3"/>
  <c r="AH101" i="3"/>
  <c r="AH85" i="3"/>
  <c r="AH69" i="3"/>
  <c r="AH53" i="3"/>
  <c r="AH37" i="3"/>
  <c r="AH21" i="3"/>
  <c r="AH5" i="3"/>
  <c r="AH118" i="3"/>
  <c r="AH86" i="3"/>
  <c r="AH54" i="3"/>
  <c r="AH22" i="3"/>
  <c r="AH119" i="3"/>
  <c r="AH87" i="3"/>
  <c r="AH55" i="3"/>
  <c r="AH23" i="3"/>
  <c r="AH18" i="3"/>
  <c r="AH120" i="3"/>
  <c r="AH88" i="3"/>
  <c r="AH56" i="3"/>
  <c r="AH24" i="3"/>
  <c r="AH7" i="3"/>
  <c r="AH121" i="3"/>
  <c r="AH89" i="3"/>
  <c r="AH57" i="3"/>
  <c r="AH25" i="3"/>
  <c r="AH75" i="3"/>
  <c r="AH124" i="3"/>
  <c r="AH108" i="3"/>
  <c r="AH92" i="3"/>
  <c r="AH76" i="3"/>
  <c r="AH60" i="3"/>
  <c r="AH44" i="3"/>
  <c r="AH28" i="3"/>
  <c r="AH12" i="3"/>
  <c r="AH125" i="3"/>
  <c r="AH109" i="3"/>
  <c r="AH93" i="3"/>
  <c r="AH77" i="3"/>
  <c r="AH61" i="3"/>
  <c r="AH45" i="3"/>
  <c r="AH29" i="3"/>
  <c r="AH13" i="3"/>
  <c r="AH110" i="3"/>
  <c r="AH78" i="3"/>
  <c r="AH46" i="3"/>
  <c r="AH14" i="3"/>
  <c r="AH111" i="3"/>
  <c r="AH79" i="3"/>
  <c r="AH47" i="3"/>
  <c r="AH15" i="3"/>
  <c r="AH128" i="3"/>
  <c r="AH112" i="3"/>
  <c r="AH96" i="3"/>
  <c r="AH80" i="3"/>
  <c r="AH64" i="3"/>
  <c r="AH48" i="3"/>
  <c r="AH32" i="3"/>
  <c r="AH16" i="3"/>
  <c r="AH129" i="3"/>
  <c r="AH113" i="3"/>
  <c r="AH97" i="3"/>
  <c r="AH81" i="3"/>
  <c r="AH65" i="3"/>
  <c r="AH49" i="3"/>
  <c r="AH33" i="3"/>
  <c r="AH17" i="3"/>
  <c r="D302" i="2"/>
  <c r="AE5" i="3" s="1"/>
  <c r="D304" i="2"/>
  <c r="AA5" i="4"/>
  <c r="AA19" i="4"/>
  <c r="AA35" i="4"/>
  <c r="AA51" i="4"/>
  <c r="AA67" i="4"/>
  <c r="AA83" i="4"/>
  <c r="AA99" i="4"/>
  <c r="AA115" i="4"/>
  <c r="AA131" i="4"/>
  <c r="AA18" i="4"/>
  <c r="AA34" i="4"/>
  <c r="AA50" i="4"/>
  <c r="AA66" i="4"/>
  <c r="AA82" i="4"/>
  <c r="AA98" i="4"/>
  <c r="AA114" i="4"/>
  <c r="AA130" i="4"/>
  <c r="AA17" i="4"/>
  <c r="AA33" i="4"/>
  <c r="AA49" i="4"/>
  <c r="AA65" i="4"/>
  <c r="AA81" i="4"/>
  <c r="AA97" i="4"/>
  <c r="AA113" i="4"/>
  <c r="AA129" i="4"/>
  <c r="AA36" i="4"/>
  <c r="AA16" i="4"/>
  <c r="AA32" i="4"/>
  <c r="AA48" i="4"/>
  <c r="AA64" i="4"/>
  <c r="AA80" i="4"/>
  <c r="AA96" i="4"/>
  <c r="AA112" i="4"/>
  <c r="AA128" i="4"/>
  <c r="AA52" i="4"/>
  <c r="AA15" i="4"/>
  <c r="AA31" i="4"/>
  <c r="AA47" i="4"/>
  <c r="AA63" i="4"/>
  <c r="AA79" i="4"/>
  <c r="AA95" i="4"/>
  <c r="AA111" i="4"/>
  <c r="AA127" i="4"/>
  <c r="AA14" i="4"/>
  <c r="AA30" i="4"/>
  <c r="AA46" i="4"/>
  <c r="AA62" i="4"/>
  <c r="AA78" i="4"/>
  <c r="AA94" i="4"/>
  <c r="AA110" i="4"/>
  <c r="AA126" i="4"/>
  <c r="AA13" i="4"/>
  <c r="AA29" i="4"/>
  <c r="AA45" i="4"/>
  <c r="AA61" i="4"/>
  <c r="AA77" i="4"/>
  <c r="AA93" i="4"/>
  <c r="AA109" i="4"/>
  <c r="AA125" i="4"/>
  <c r="AA12" i="4"/>
  <c r="AA28" i="4"/>
  <c r="AA44" i="4"/>
  <c r="AA60" i="4"/>
  <c r="AA76" i="4"/>
  <c r="AA92" i="4"/>
  <c r="AA108" i="4"/>
  <c r="AA124" i="4"/>
  <c r="AA100" i="4"/>
  <c r="AA11" i="4"/>
  <c r="AA27" i="4"/>
  <c r="AA43" i="4"/>
  <c r="AA59" i="4"/>
  <c r="AA75" i="4"/>
  <c r="AA91" i="4"/>
  <c r="AA107" i="4"/>
  <c r="AA123" i="4"/>
  <c r="AA3" i="4"/>
  <c r="AA20" i="4"/>
  <c r="AA10" i="4"/>
  <c r="AA26" i="4"/>
  <c r="AA42" i="4"/>
  <c r="AA58" i="4"/>
  <c r="AA74" i="4"/>
  <c r="AA90" i="4"/>
  <c r="AA106" i="4"/>
  <c r="AA122" i="4"/>
  <c r="AA9" i="4"/>
  <c r="AA25" i="4"/>
  <c r="AA41" i="4"/>
  <c r="AA57" i="4"/>
  <c r="AA73" i="4"/>
  <c r="AA89" i="4"/>
  <c r="AA105" i="4"/>
  <c r="AA121" i="4"/>
  <c r="AA84" i="4"/>
  <c r="AA7" i="4"/>
  <c r="AA24" i="4"/>
  <c r="AA40" i="4"/>
  <c r="AA56" i="4"/>
  <c r="AA72" i="4"/>
  <c r="AA88" i="4"/>
  <c r="AA104" i="4"/>
  <c r="AA120" i="4"/>
  <c r="AA116" i="4"/>
  <c r="AA6" i="4"/>
  <c r="AA23" i="4"/>
  <c r="AA39" i="4"/>
  <c r="AA55" i="4"/>
  <c r="AA71" i="4"/>
  <c r="AA87" i="4"/>
  <c r="AA103" i="4"/>
  <c r="AA119" i="4"/>
  <c r="AA4" i="4"/>
  <c r="AA22" i="4"/>
  <c r="AA38" i="4"/>
  <c r="AA54" i="4"/>
  <c r="AA70" i="4"/>
  <c r="AA86" i="4"/>
  <c r="AA102" i="4"/>
  <c r="AA118" i="4"/>
  <c r="AA134" i="4"/>
  <c r="AA68" i="4"/>
  <c r="AA21" i="4"/>
  <c r="AA37" i="4"/>
  <c r="AA53" i="4"/>
  <c r="AA69" i="4"/>
  <c r="AA85" i="4"/>
  <c r="AA101" i="4"/>
  <c r="AA117" i="4"/>
  <c r="AA133" i="4"/>
  <c r="AA132" i="4"/>
  <c r="AE35" i="3"/>
  <c r="AE115" i="3"/>
  <c r="AA8" i="4"/>
  <c r="D303" i="2"/>
  <c r="D306" i="2"/>
  <c r="D305" i="2"/>
  <c r="BH125" i="4"/>
  <c r="BG3" i="4"/>
  <c r="BI3" i="4"/>
  <c r="BH3" i="4"/>
  <c r="BH71" i="4"/>
  <c r="BF127" i="4"/>
  <c r="BF95" i="4"/>
  <c r="BF63" i="4"/>
  <c r="BF31" i="4"/>
  <c r="BG118" i="4"/>
  <c r="BG102" i="4"/>
  <c r="BG78" i="4"/>
  <c r="BG62" i="4"/>
  <c r="BG38" i="4"/>
  <c r="BE109" i="4"/>
  <c r="BE77" i="4"/>
  <c r="BE45" i="4"/>
  <c r="BE21" i="4"/>
  <c r="BH132" i="4"/>
  <c r="BH100" i="4"/>
  <c r="BH68" i="4"/>
  <c r="BH44" i="4"/>
  <c r="BH12" i="4"/>
  <c r="BI115" i="4"/>
  <c r="BI67" i="4"/>
  <c r="BI43" i="4"/>
  <c r="BI19" i="4"/>
  <c r="BF134" i="4"/>
  <c r="BF126" i="4"/>
  <c r="BF118" i="4"/>
  <c r="BF110" i="4"/>
  <c r="BF102" i="4"/>
  <c r="BG53" i="4"/>
  <c r="BF103" i="4"/>
  <c r="BF71" i="4"/>
  <c r="BF39" i="4"/>
  <c r="BF15" i="4"/>
  <c r="BG126" i="4"/>
  <c r="BG110" i="4"/>
  <c r="BG86" i="4"/>
  <c r="BG70" i="4"/>
  <c r="BG54" i="4"/>
  <c r="BG46" i="4"/>
  <c r="BG30" i="4"/>
  <c r="BG22" i="4"/>
  <c r="BG14" i="4"/>
  <c r="BG6" i="4"/>
  <c r="BE117" i="4"/>
  <c r="BE93" i="4"/>
  <c r="BE53" i="4"/>
  <c r="BE13" i="4"/>
  <c r="BH108" i="4"/>
  <c r="BH84" i="4"/>
  <c r="BH52" i="4"/>
  <c r="BH20" i="4"/>
  <c r="BI131" i="4"/>
  <c r="BI99" i="4"/>
  <c r="BI75" i="4"/>
  <c r="BI51" i="4"/>
  <c r="BI35" i="4"/>
  <c r="BE4" i="6"/>
  <c r="BE26" i="6"/>
  <c r="BE34" i="6"/>
  <c r="BE58" i="6"/>
  <c r="BE66" i="6"/>
  <c r="BE122" i="6"/>
  <c r="BE130" i="6"/>
  <c r="BE90" i="6"/>
  <c r="BE98" i="6"/>
  <c r="BF111" i="4"/>
  <c r="BF79" i="4"/>
  <c r="BF55" i="4"/>
  <c r="BF23" i="4"/>
  <c r="BE133" i="4"/>
  <c r="BE101" i="4"/>
  <c r="BE69" i="4"/>
  <c r="BE61" i="4"/>
  <c r="BE29" i="4"/>
  <c r="BH124" i="4"/>
  <c r="BH92" i="4"/>
  <c r="BH60" i="4"/>
  <c r="BH28" i="4"/>
  <c r="BH4" i="4"/>
  <c r="BI123" i="4"/>
  <c r="BI107" i="4"/>
  <c r="BI83" i="4"/>
  <c r="BI59" i="4"/>
  <c r="BI27" i="4"/>
  <c r="AH3" i="3"/>
  <c r="BF119" i="4"/>
  <c r="BF87" i="4"/>
  <c r="BF47" i="4"/>
  <c r="BF7" i="4"/>
  <c r="BG134" i="4"/>
  <c r="BG94" i="4"/>
  <c r="BE125" i="4"/>
  <c r="BE85" i="4"/>
  <c r="BE37" i="4"/>
  <c r="BE5" i="4"/>
  <c r="BH116" i="4"/>
  <c r="BH76" i="4"/>
  <c r="BH36" i="4"/>
  <c r="BI91" i="4"/>
  <c r="BF3" i="4"/>
  <c r="BE65" i="4"/>
  <c r="BF133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32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31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30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29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32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31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30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F131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30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29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28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F129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33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32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31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30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3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29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28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2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34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33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28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34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33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32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29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28" i="4"/>
  <c r="BI120" i="4"/>
  <c r="BI112" i="4"/>
  <c r="BI104" i="4"/>
  <c r="BI96" i="4"/>
  <c r="BI88" i="4"/>
  <c r="BI80" i="4"/>
  <c r="BI72" i="4"/>
  <c r="BI64" i="4"/>
  <c r="BI56" i="4"/>
  <c r="BI48" i="4"/>
  <c r="BI40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34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32" i="6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29" i="6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31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14" i="6"/>
  <c r="BE106" i="6"/>
  <c r="BE82" i="6"/>
  <c r="BE74" i="6"/>
  <c r="BE50" i="6"/>
  <c r="BE42" i="6"/>
  <c r="BE18" i="6"/>
  <c r="BE10" i="6"/>
  <c r="BE135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34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AE122" i="3" l="1"/>
  <c r="AE25" i="3"/>
  <c r="AE95" i="3"/>
  <c r="AE134" i="3"/>
  <c r="AE64" i="3"/>
  <c r="AE6" i="3"/>
  <c r="AE131" i="3"/>
  <c r="AE53" i="3"/>
  <c r="AE108" i="3"/>
  <c r="AE10" i="3"/>
  <c r="BD75" i="4"/>
  <c r="BD35" i="4"/>
  <c r="AE45" i="3"/>
  <c r="AE126" i="3"/>
  <c r="AE87" i="3"/>
  <c r="AE17" i="3"/>
  <c r="AE90" i="3"/>
  <c r="AE83" i="3"/>
  <c r="AE76" i="3"/>
  <c r="AE27" i="3"/>
  <c r="AE99" i="3"/>
  <c r="AE28" i="3"/>
  <c r="BD120" i="4"/>
  <c r="BD31" i="4"/>
  <c r="AE37" i="3"/>
  <c r="AE118" i="3"/>
  <c r="AE79" i="3"/>
  <c r="AE9" i="3"/>
  <c r="AE58" i="3"/>
  <c r="AE51" i="3"/>
  <c r="AE44" i="3"/>
  <c r="AE3" i="3"/>
  <c r="AE67" i="3"/>
  <c r="AE29" i="3"/>
  <c r="AE110" i="3"/>
  <c r="AE71" i="3"/>
  <c r="AE32" i="3"/>
  <c r="AE129" i="3"/>
  <c r="AE20" i="3"/>
  <c r="AE12" i="3"/>
  <c r="AE4" i="3"/>
  <c r="AE104" i="3"/>
  <c r="AE21" i="3"/>
  <c r="AE102" i="3"/>
  <c r="AE63" i="3"/>
  <c r="AE24" i="3"/>
  <c r="AE121" i="3"/>
  <c r="AE124" i="3"/>
  <c r="AE72" i="3"/>
  <c r="AE13" i="3"/>
  <c r="AE94" i="3"/>
  <c r="AE55" i="3"/>
  <c r="AE16" i="3"/>
  <c r="AE113" i="3"/>
  <c r="AE40" i="3"/>
  <c r="AE133" i="3"/>
  <c r="AE86" i="3"/>
  <c r="AE47" i="3"/>
  <c r="AE8" i="3"/>
  <c r="AE105" i="3"/>
  <c r="AE120" i="3"/>
  <c r="AE60" i="3"/>
  <c r="AE125" i="3"/>
  <c r="AE78" i="3"/>
  <c r="AE39" i="3"/>
  <c r="AE97" i="3"/>
  <c r="AE88" i="3"/>
  <c r="AE114" i="3"/>
  <c r="AE130" i="3"/>
  <c r="AE117" i="3"/>
  <c r="AE70" i="3"/>
  <c r="AE31" i="3"/>
  <c r="AE89" i="3"/>
  <c r="AE56" i="3"/>
  <c r="AE82" i="3"/>
  <c r="AE107" i="3"/>
  <c r="AE98" i="3"/>
  <c r="BD41" i="4"/>
  <c r="AE109" i="3"/>
  <c r="AE62" i="3"/>
  <c r="AE23" i="3"/>
  <c r="AE81" i="3"/>
  <c r="AE123" i="3"/>
  <c r="AE19" i="3"/>
  <c r="AE50" i="3"/>
  <c r="AE75" i="3"/>
  <c r="AE132" i="3"/>
  <c r="AE66" i="3"/>
  <c r="AE101" i="3"/>
  <c r="AE54" i="3"/>
  <c r="AE15" i="3"/>
  <c r="AE73" i="3"/>
  <c r="AE91" i="3"/>
  <c r="AE92" i="3"/>
  <c r="AE11" i="3"/>
  <c r="AE43" i="3"/>
  <c r="AE100" i="3"/>
  <c r="AE34" i="3"/>
  <c r="AE93" i="3"/>
  <c r="AE46" i="3"/>
  <c r="AE7" i="3"/>
  <c r="AE65" i="3"/>
  <c r="AE59" i="3"/>
  <c r="AE68" i="3"/>
  <c r="AE85" i="3"/>
  <c r="AE38" i="3"/>
  <c r="AE127" i="3"/>
  <c r="AE57" i="3"/>
  <c r="AE26" i="3"/>
  <c r="AE116" i="3"/>
  <c r="AE106" i="3"/>
  <c r="AE36" i="3"/>
  <c r="BD130" i="4"/>
  <c r="AE77" i="3"/>
  <c r="AE30" i="3"/>
  <c r="AE119" i="3"/>
  <c r="AE49" i="3"/>
  <c r="AE84" i="3"/>
  <c r="AE112" i="3"/>
  <c r="AE74" i="3"/>
  <c r="BD44" i="4"/>
  <c r="AE69" i="3"/>
  <c r="AE22" i="3"/>
  <c r="AE111" i="3"/>
  <c r="AE41" i="3"/>
  <c r="AE52" i="3"/>
  <c r="AE80" i="3"/>
  <c r="AE42" i="3"/>
  <c r="AE128" i="3"/>
  <c r="AE61" i="3"/>
  <c r="AE14" i="3"/>
  <c r="AE103" i="3"/>
  <c r="AE33" i="3"/>
  <c r="AE18" i="3"/>
  <c r="AE48" i="3"/>
  <c r="AE96" i="3"/>
  <c r="BD85" i="4"/>
  <c r="BD111" i="4"/>
  <c r="BD124" i="4"/>
  <c r="BD107" i="4"/>
  <c r="BD47" i="4"/>
  <c r="BD5" i="4"/>
  <c r="BD98" i="4"/>
  <c r="BD57" i="4"/>
  <c r="BD69" i="4"/>
  <c r="BD95" i="4"/>
  <c r="BD89" i="4"/>
  <c r="BD79" i="4"/>
  <c r="BD37" i="4"/>
  <c r="BD18" i="4"/>
  <c r="BD63" i="4"/>
  <c r="BD92" i="4"/>
  <c r="BD9" i="4"/>
  <c r="BD12" i="4"/>
  <c r="BD25" i="4"/>
  <c r="BD127" i="4"/>
  <c r="BD50" i="4"/>
  <c r="BD83" i="4"/>
  <c r="BD123" i="4"/>
  <c r="BD131" i="4"/>
  <c r="BD113" i="4"/>
  <c r="BD125" i="4"/>
  <c r="BD88" i="4"/>
  <c r="BD91" i="4"/>
  <c r="BD45" i="4"/>
  <c r="BD117" i="4"/>
  <c r="BD105" i="4"/>
  <c r="BD60" i="4"/>
  <c r="BD81" i="4"/>
  <c r="BD97" i="4"/>
  <c r="BD40" i="4"/>
  <c r="BD27" i="4"/>
  <c r="BD77" i="4"/>
  <c r="BD65" i="4"/>
  <c r="BD43" i="4"/>
  <c r="BD8" i="4"/>
  <c r="BD29" i="4"/>
  <c r="BD133" i="4"/>
  <c r="BD56" i="4"/>
  <c r="BD51" i="4"/>
  <c r="BD59" i="4"/>
  <c r="BD108" i="4"/>
  <c r="BD129" i="4"/>
  <c r="BD4" i="4"/>
  <c r="BD71" i="4"/>
  <c r="BD10" i="4"/>
  <c r="BD128" i="4"/>
  <c r="BD73" i="4"/>
  <c r="BD24" i="4"/>
  <c r="BD61" i="4"/>
  <c r="BD28" i="4"/>
  <c r="BD22" i="4"/>
  <c r="BD87" i="4"/>
  <c r="BD26" i="4"/>
  <c r="BD14" i="4"/>
  <c r="BD38" i="4"/>
  <c r="BD103" i="4"/>
  <c r="BD42" i="4"/>
  <c r="BD30" i="4"/>
  <c r="BD54" i="4"/>
  <c r="BD119" i="4"/>
  <c r="BD58" i="4"/>
  <c r="BD46" i="4"/>
  <c r="BD68" i="4"/>
  <c r="BD114" i="4"/>
  <c r="BD13" i="4"/>
  <c r="BD70" i="4"/>
  <c r="BD74" i="4"/>
  <c r="BD62" i="4"/>
  <c r="BD78" i="4"/>
  <c r="BD132" i="4"/>
  <c r="BD102" i="4"/>
  <c r="BD106" i="4"/>
  <c r="BD94" i="4"/>
  <c r="BD90" i="4"/>
  <c r="BD82" i="4"/>
  <c r="BD15" i="4"/>
  <c r="BD99" i="4"/>
  <c r="BD66" i="4"/>
  <c r="BD33" i="4"/>
  <c r="BD118" i="4"/>
  <c r="BD84" i="4"/>
  <c r="BD122" i="4"/>
  <c r="BD110" i="4"/>
  <c r="BD86" i="4"/>
  <c r="BD115" i="4"/>
  <c r="BD49" i="4"/>
  <c r="BD17" i="4"/>
  <c r="BD134" i="4"/>
  <c r="BD7" i="4"/>
  <c r="BD126" i="4"/>
  <c r="BD36" i="4"/>
  <c r="BD101" i="4"/>
  <c r="BD67" i="4"/>
  <c r="BD34" i="4"/>
  <c r="BD100" i="4"/>
  <c r="BD16" i="4"/>
  <c r="BD11" i="4"/>
  <c r="BD32" i="4"/>
  <c r="BD52" i="4"/>
  <c r="BD116" i="4"/>
  <c r="BD48" i="4"/>
  <c r="BD104" i="4"/>
  <c r="BD53" i="4"/>
  <c r="BD19" i="4"/>
  <c r="BD6" i="4"/>
  <c r="BD3" i="4"/>
  <c r="BD64" i="4"/>
  <c r="BD23" i="4"/>
  <c r="BD20" i="4"/>
  <c r="BD80" i="4"/>
  <c r="BD72" i="4"/>
  <c r="BD109" i="4"/>
  <c r="BD39" i="4"/>
  <c r="BD96" i="4"/>
  <c r="BD121" i="4"/>
  <c r="BD21" i="4"/>
  <c r="BD76" i="4"/>
  <c r="BD93" i="4"/>
  <c r="BD55" i="4"/>
  <c r="BD112" i="4"/>
  <c r="AI3" i="3" l="1"/>
  <c r="AI106" i="3"/>
  <c r="AI46" i="3"/>
  <c r="AI127" i="3"/>
  <c r="AI77" i="3"/>
  <c r="AI59" i="3"/>
  <c r="AI11" i="3"/>
  <c r="AI31" i="3"/>
  <c r="AI8" i="3"/>
  <c r="AI5" i="3"/>
  <c r="AI18" i="3"/>
  <c r="AI57" i="3"/>
  <c r="AI132" i="3"/>
  <c r="AI109" i="3"/>
  <c r="AI105" i="3"/>
  <c r="AI72" i="3"/>
  <c r="AI21" i="3"/>
  <c r="AI79" i="3"/>
  <c r="AI90" i="3"/>
  <c r="AI108" i="3"/>
  <c r="AI35" i="3"/>
  <c r="AI75" i="3"/>
  <c r="AI80" i="3"/>
  <c r="AI110" i="3"/>
  <c r="AI115" i="3"/>
  <c r="AI48" i="3"/>
  <c r="AI62" i="3"/>
  <c r="AI89" i="3"/>
  <c r="AI9" i="3"/>
  <c r="AI83" i="3"/>
  <c r="AI100" i="3"/>
  <c r="AI101" i="3"/>
  <c r="AI120" i="3"/>
  <c r="AI102" i="3"/>
  <c r="AI71" i="3"/>
  <c r="AI76" i="3"/>
  <c r="AI122" i="3"/>
  <c r="AI42" i="3"/>
  <c r="AI43" i="3"/>
  <c r="AI26" i="3"/>
  <c r="AI128" i="3"/>
  <c r="AI22" i="3"/>
  <c r="AI119" i="3"/>
  <c r="AI116" i="3"/>
  <c r="AI34" i="3"/>
  <c r="AI23" i="3"/>
  <c r="AI88" i="3"/>
  <c r="AI60" i="3"/>
  <c r="AI27" i="3"/>
  <c r="AI39" i="3"/>
  <c r="AI113" i="3"/>
  <c r="AI97" i="3"/>
  <c r="AI69" i="3"/>
  <c r="AI61" i="3"/>
  <c r="AI56" i="3"/>
  <c r="AI40" i="3"/>
  <c r="AI63" i="3"/>
  <c r="AI32" i="3"/>
  <c r="AI58" i="3"/>
  <c r="AI25" i="3"/>
  <c r="AI49" i="3"/>
  <c r="AI68" i="3"/>
  <c r="AI93" i="3"/>
  <c r="AI114" i="3"/>
  <c r="AI13" i="3"/>
  <c r="AI129" i="3"/>
  <c r="AI99" i="3"/>
  <c r="AI30" i="3"/>
  <c r="AI66" i="3"/>
  <c r="AI10" i="3"/>
  <c r="AI54" i="3"/>
  <c r="AI96" i="3"/>
  <c r="AI14" i="3"/>
  <c r="AI111" i="3"/>
  <c r="AI15" i="3"/>
  <c r="AI81" i="3"/>
  <c r="AI82" i="3"/>
  <c r="AI24" i="3"/>
  <c r="AI51" i="3"/>
  <c r="AI28" i="3"/>
  <c r="AI45" i="3"/>
  <c r="AI95" i="3"/>
  <c r="AI20" i="3"/>
  <c r="AI41" i="3"/>
  <c r="AI36" i="3"/>
  <c r="AI123" i="3"/>
  <c r="AI133" i="3"/>
  <c r="AI44" i="3"/>
  <c r="AI134" i="3"/>
  <c r="AI7" i="3"/>
  <c r="AI19" i="3"/>
  <c r="AI130" i="3"/>
  <c r="AI112" i="3"/>
  <c r="AI38" i="3"/>
  <c r="AI55" i="3"/>
  <c r="AI37" i="3"/>
  <c r="AI87" i="3"/>
  <c r="AI33" i="3"/>
  <c r="AI91" i="3"/>
  <c r="AI50" i="3"/>
  <c r="AI98" i="3"/>
  <c r="AI78" i="3"/>
  <c r="AI4" i="3"/>
  <c r="AI67" i="3"/>
  <c r="AI131" i="3"/>
  <c r="AI121" i="3"/>
  <c r="AI84" i="3"/>
  <c r="AI85" i="3"/>
  <c r="AI107" i="3"/>
  <c r="AI94" i="3"/>
  <c r="AI126" i="3"/>
  <c r="AI103" i="3"/>
  <c r="AI73" i="3"/>
  <c r="AI125" i="3"/>
  <c r="AI12" i="3"/>
  <c r="AI64" i="3"/>
  <c r="AI117" i="3"/>
  <c r="AI86" i="3"/>
  <c r="AI6" i="3"/>
  <c r="AI52" i="3"/>
  <c r="AI74" i="3"/>
  <c r="AI65" i="3"/>
  <c r="AI92" i="3"/>
  <c r="AI70" i="3"/>
  <c r="AI47" i="3"/>
  <c r="AI16" i="3"/>
  <c r="AI17" i="3"/>
  <c r="AI53" i="3"/>
  <c r="AI124" i="3"/>
  <c r="AI104" i="3"/>
  <c r="AI29" i="3"/>
  <c r="AI118" i="3"/>
</calcChain>
</file>

<file path=xl/sharedStrings.xml><?xml version="1.0" encoding="utf-8"?>
<sst xmlns="http://schemas.openxmlformats.org/spreadsheetml/2006/main" count="1787" uniqueCount="236">
  <si>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</si>
  <si>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</si>
  <si>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</si>
  <si>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</si>
  <si>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</si>
  <si>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</si>
  <si>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</si>
  <si>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</si>
  <si>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</si>
  <si>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</si>
  <si>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</si>
  <si>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</si>
  <si>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</si>
  <si>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</si>
  <si>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</si>
  <si>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</si>
  <si>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</si>
  <si>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</si>
  <si>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</si>
  <si>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</si>
  <si>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</si>
  <si>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</si>
  <si>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</si>
  <si>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</si>
  <si>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</si>
  <si>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</si>
  <si>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</si>
  <si>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</si>
  <si>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</si>
  <si>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</si>
  <si>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</si>
  <si>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</si>
  <si>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</si>
  <si>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</si>
  <si>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</si>
  <si>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</si>
  <si>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</si>
  <si>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</si>
  <si>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</si>
  <si>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</si>
  <si>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</si>
  <si>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</si>
  <si>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</si>
  <si>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</si>
  <si>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</si>
  <si>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</si>
  <si>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</si>
  <si>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</si>
  <si>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</si>
  <si>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</si>
  <si>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</si>
  <si>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</si>
  <si>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</si>
  <si>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</si>
  <si>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</si>
  <si>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</si>
  <si>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</si>
  <si>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</si>
  <si>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</si>
  <si>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</si>
  <si>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</si>
  <si>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</si>
  <si>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</si>
  <si>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</si>
  <si>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</si>
  <si>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</si>
  <si>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</si>
  <si>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</si>
  <si>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</si>
  <si>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</si>
  <si>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</si>
  <si>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</si>
  <si>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</si>
  <si>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</si>
  <si>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</si>
  <si>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</si>
  <si>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</si>
  <si>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</si>
  <si>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</si>
  <si>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</si>
  <si>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</si>
  <si>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</si>
  <si>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</si>
  <si>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</si>
  <si>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</si>
  <si>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DeWanna Bonner</t>
  </si>
  <si>
    <t>PHO</t>
  </si>
  <si>
    <t>G-F</t>
  </si>
  <si>
    <t>Ivory Latta</t>
  </si>
  <si>
    <t>WAS</t>
  </si>
  <si>
    <t>Maya Moore*</t>
  </si>
  <si>
    <t>MIN</t>
  </si>
  <si>
    <t>F</t>
  </si>
  <si>
    <t>Candice Dupree</t>
  </si>
  <si>
    <t>Tanisha Wright</t>
  </si>
  <si>
    <t>SEA</t>
  </si>
  <si>
    <t>Jia Perkins</t>
  </si>
  <si>
    <t>SAS</t>
  </si>
  <si>
    <t>Angel McCoughtry</t>
  </si>
  <si>
    <t>ATL</t>
  </si>
  <si>
    <t>F-G</t>
  </si>
  <si>
    <t>Diana Taurasi</t>
  </si>
  <si>
    <t>Camille Smith</t>
  </si>
  <si>
    <t>Cappie Pondexter</t>
  </si>
  <si>
    <t>NYL</t>
  </si>
  <si>
    <t>Erlana Larkins</t>
  </si>
  <si>
    <t>IND</t>
  </si>
  <si>
    <t>Kristi Toliver</t>
  </si>
  <si>
    <t>LAS</t>
  </si>
  <si>
    <t>Erika de Souza</t>
  </si>
  <si>
    <t>F-C</t>
  </si>
  <si>
    <t>Lindsey Harding</t>
  </si>
  <si>
    <t>Lindsay Whalen*</t>
  </si>
  <si>
    <t>Sylvia Fowles*</t>
  </si>
  <si>
    <t>CHI</t>
  </si>
  <si>
    <t>C</t>
  </si>
  <si>
    <t>Courtney Vandersloot</t>
  </si>
  <si>
    <t>Tina Thompson*</t>
  </si>
  <si>
    <t>Crystal Langhorne</t>
  </si>
  <si>
    <t>Rebekkah Brunson</t>
  </si>
  <si>
    <t>Swin Cash*</t>
  </si>
  <si>
    <t>Tina Charles</t>
  </si>
  <si>
    <t>CON</t>
  </si>
  <si>
    <t>Briann January</t>
  </si>
  <si>
    <t>Tamika Catchings*</t>
  </si>
  <si>
    <t>Elena Delle Donne</t>
  </si>
  <si>
    <t>Jasmine Thomas</t>
  </si>
  <si>
    <t>Epiphanny Prince</t>
  </si>
  <si>
    <t>Seimone Augustus*</t>
  </si>
  <si>
    <t>Karima Christmas-Kelly</t>
  </si>
  <si>
    <t>Shavonte Zellous</t>
  </si>
  <si>
    <t>Katie Smith*</t>
  </si>
  <si>
    <t>Shenise Johnson</t>
  </si>
  <si>
    <t>Danielle Adams</t>
  </si>
  <si>
    <t>Candace Parker</t>
  </si>
  <si>
    <t>Kalana Greene</t>
  </si>
  <si>
    <t>Plenette Pierson</t>
  </si>
  <si>
    <t>Monique Currie</t>
  </si>
  <si>
    <t>Nneka Ogwumike</t>
  </si>
  <si>
    <t>Temeka Johnson</t>
  </si>
  <si>
    <t>Candice Wiggins</t>
  </si>
  <si>
    <t>TUL</t>
  </si>
  <si>
    <t>Glory Johnson</t>
  </si>
  <si>
    <t>Noelle Quinn</t>
  </si>
  <si>
    <t>Kelsey Griffin</t>
  </si>
  <si>
    <t>Skylar Diggins</t>
  </si>
  <si>
    <t>Armintie Herrington</t>
  </si>
  <si>
    <t>Danielle Robinson</t>
  </si>
  <si>
    <t>Shekinna Stricklen</t>
  </si>
  <si>
    <t>Alex Montgomery</t>
  </si>
  <si>
    <t>Matee Ajavon</t>
  </si>
  <si>
    <t>Jayne Appel-Marinelli</t>
  </si>
  <si>
    <t>Briana Gilbreath-Butler</t>
  </si>
  <si>
    <t>Le'coe Willingham</t>
  </si>
  <si>
    <t>Alex Bentley</t>
  </si>
  <si>
    <t>Monica Wright</t>
  </si>
  <si>
    <t>Kara Braxton</t>
  </si>
  <si>
    <t>C-F</t>
  </si>
  <si>
    <t>Shameka Christon</t>
  </si>
  <si>
    <t>Nicole Powell</t>
  </si>
  <si>
    <t>Alana Beard</t>
  </si>
  <si>
    <t>Janel McCarville</t>
  </si>
  <si>
    <t>Brittney Griner</t>
  </si>
  <si>
    <t>Angel Goodrich</t>
  </si>
  <si>
    <t>Kia Vaughn</t>
  </si>
  <si>
    <t>Allison Hightower</t>
  </si>
  <si>
    <t>Kelsey Bone</t>
  </si>
  <si>
    <t>Leilani Mitchell</t>
  </si>
  <si>
    <t>Devereaux Peters</t>
  </si>
  <si>
    <t>Renee Montgomery</t>
  </si>
  <si>
    <t>DeLisha Milton-Jones</t>
  </si>
  <si>
    <t>TOT</t>
  </si>
  <si>
    <t>Riquna Williams</t>
  </si>
  <si>
    <t>Tamera Young</t>
  </si>
  <si>
    <t>Marissa Coleman</t>
  </si>
  <si>
    <t>Mistie Bass</t>
  </si>
  <si>
    <t>Tayler Hill</t>
  </si>
  <si>
    <t>Charde Houston</t>
  </si>
  <si>
    <t>Layshia Clarendon</t>
  </si>
  <si>
    <t>Jantel Lavender</t>
  </si>
  <si>
    <t>Michelle Snow</t>
  </si>
  <si>
    <t>Roneeka Hodges</t>
  </si>
  <si>
    <t>Tan White</t>
  </si>
  <si>
    <t>Tiffany Hayes</t>
  </si>
  <si>
    <t>Alysha Clark</t>
  </si>
  <si>
    <t>Tierra Ruffin-Pratt</t>
  </si>
  <si>
    <t>Liz Cambage</t>
  </si>
  <si>
    <t>Emma Meesseman</t>
  </si>
  <si>
    <t>Krystal Thomas</t>
  </si>
  <si>
    <t>Kamiko Williams</t>
  </si>
  <si>
    <t>Jennifer Lacy</t>
  </si>
  <si>
    <t>Iziane Castro Marques</t>
  </si>
  <si>
    <t>Jessica Breland</t>
  </si>
  <si>
    <t>Aneika Henry-Morello</t>
  </si>
  <si>
    <t>Davellyn Whyte</t>
  </si>
  <si>
    <t>Kayla Pedersen</t>
  </si>
  <si>
    <t>Ebony Hoffman</t>
  </si>
  <si>
    <t>Jenna O'Hea</t>
  </si>
  <si>
    <t>Tiffany Jackson-Jones</t>
  </si>
  <si>
    <t>Erin Phillips</t>
  </si>
  <si>
    <t>Shay Murphy</t>
  </si>
  <si>
    <t>Alexis Hornbuckle</t>
  </si>
  <si>
    <t>Kayla Alexander</t>
  </si>
  <si>
    <t>Toni Young</t>
  </si>
  <si>
    <t>Kelly Faris</t>
  </si>
  <si>
    <t>Tianna Hawkins</t>
  </si>
  <si>
    <t>Allie Quigley</t>
  </si>
  <si>
    <t>Cathrine Kraayeveld</t>
  </si>
  <si>
    <t>Nadirah McKenith</t>
  </si>
  <si>
    <t>A'dia Mathies</t>
  </si>
  <si>
    <t>Courtney Paris</t>
  </si>
  <si>
    <t>Kara Lawson</t>
  </si>
  <si>
    <t>Lynetta Kizer</t>
  </si>
  <si>
    <t>Amber Harris</t>
  </si>
  <si>
    <t>Sydney Carter</t>
  </si>
  <si>
    <t>Courtney Clements</t>
  </si>
  <si>
    <t>Michelle Campbell</t>
  </si>
  <si>
    <t>Avery Warley-Talbert</t>
  </si>
  <si>
    <t>Sugar Rodgers</t>
  </si>
  <si>
    <t>Ashley Robinson</t>
  </si>
  <si>
    <t>Jeanette Pohlen-Mavunga</t>
  </si>
  <si>
    <t>Jasmine James</t>
  </si>
  <si>
    <t>Sasha Goodlett</t>
  </si>
  <si>
    <t>Rachel Jarry</t>
  </si>
  <si>
    <t>Sharnee Zoll</t>
  </si>
  <si>
    <t>Carolyn Swords</t>
  </si>
  <si>
    <t>Sancho Lyttle</t>
  </si>
  <si>
    <t>Jasmine Hassell</t>
  </si>
  <si>
    <t>Penny Taylor</t>
  </si>
  <si>
    <t>Nakia Sanford</t>
  </si>
  <si>
    <t>Katie Douglas</t>
  </si>
  <si>
    <t>Lindsey Moore</t>
  </si>
  <si>
    <t>Farhiya Abdi</t>
  </si>
  <si>
    <t>Ruth Riley</t>
  </si>
  <si>
    <t>Essence Carson</t>
  </si>
  <si>
    <t>Samantha Prahalis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</si>
</sst>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B6" sqref="B6"/>
    </sheetView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71</v>
      </c>
    </row>
    <row r="2" spans="1:2" x14ac:dyDescent="0.25">
      <c r="A2" s="1" t="s">
        <v>1</v>
      </c>
      <c r="B2" t="s">
        <v>72</v>
      </c>
    </row>
    <row r="3" spans="1:2" x14ac:dyDescent="0.25">
      <c r="A3" s="1" t="s">
        <v>2</v>
      </c>
      <c r="B3" t="s">
        <v>73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76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 t="s">
        <v>85</v>
      </c>
      <c r="B3" s="3" t="s">
        <v>86</v>
      </c>
      <c r="C3" s="4" t="s">
        <v>87</v>
      </c>
      <c r="D3" s="4">
        <v>34</v>
      </c>
      <c r="E3" s="4">
        <v>1119</v>
      </c>
      <c r="F3" s="4">
        <v>34</v>
      </c>
      <c r="G3" s="4">
        <v>33</v>
      </c>
      <c r="H3" s="4">
        <v>1119</v>
      </c>
      <c r="I3" s="4">
        <v>160</v>
      </c>
      <c r="J3" s="4">
        <v>390</v>
      </c>
      <c r="K3" s="4">
        <v>0.41</v>
      </c>
      <c r="L3" s="4">
        <v>54</v>
      </c>
      <c r="M3" s="4">
        <v>166</v>
      </c>
      <c r="N3" s="4">
        <v>0.32500000000000001</v>
      </c>
      <c r="O3" s="4">
        <v>106</v>
      </c>
      <c r="P3" s="4">
        <v>224</v>
      </c>
      <c r="Q3" s="4">
        <v>0.47299999999999998</v>
      </c>
      <c r="R3" s="4">
        <v>118</v>
      </c>
      <c r="S3" s="4">
        <v>131</v>
      </c>
      <c r="T3" s="4">
        <v>0.90100000000000002</v>
      </c>
      <c r="U3" s="4">
        <v>35</v>
      </c>
      <c r="V3" s="4">
        <v>198</v>
      </c>
      <c r="W3" s="4">
        <v>82</v>
      </c>
      <c r="X3" s="4">
        <v>39</v>
      </c>
      <c r="Y3" s="4">
        <v>11</v>
      </c>
      <c r="Z3" s="4">
        <v>56</v>
      </c>
      <c r="AA3" s="4">
        <v>45</v>
      </c>
      <c r="AB3" s="4">
        <v>492</v>
      </c>
      <c r="AC3" s="5">
        <f>IF(Z3=0,"",W3/Z3)</f>
        <v>1.4642857142857142</v>
      </c>
    </row>
    <row r="4" spans="1:29" x14ac:dyDescent="0.25">
      <c r="A4" s="1" t="s">
        <v>88</v>
      </c>
      <c r="B4" s="3" t="s">
        <v>89</v>
      </c>
      <c r="C4" s="4" t="s">
        <v>8</v>
      </c>
      <c r="D4" s="4">
        <v>34</v>
      </c>
      <c r="E4" s="4">
        <v>1072</v>
      </c>
      <c r="F4" s="4">
        <v>34</v>
      </c>
      <c r="G4" s="4">
        <v>34</v>
      </c>
      <c r="H4" s="4">
        <v>1072</v>
      </c>
      <c r="I4" s="4">
        <v>158</v>
      </c>
      <c r="J4" s="4">
        <v>403</v>
      </c>
      <c r="K4" s="4">
        <v>0.39200000000000002</v>
      </c>
      <c r="L4" s="4">
        <v>72</v>
      </c>
      <c r="M4" s="4">
        <v>182</v>
      </c>
      <c r="N4" s="4">
        <v>0.39600000000000002</v>
      </c>
      <c r="O4" s="4">
        <v>86</v>
      </c>
      <c r="P4" s="4">
        <v>221</v>
      </c>
      <c r="Q4" s="4">
        <v>0.38900000000000001</v>
      </c>
      <c r="R4" s="4">
        <v>83</v>
      </c>
      <c r="S4" s="4">
        <v>92</v>
      </c>
      <c r="T4" s="4">
        <v>0.90200000000000002</v>
      </c>
      <c r="U4" s="4">
        <v>12</v>
      </c>
      <c r="V4" s="4">
        <v>88</v>
      </c>
      <c r="W4" s="4">
        <v>150</v>
      </c>
      <c r="X4" s="4">
        <v>29</v>
      </c>
      <c r="Y4" s="4">
        <v>1</v>
      </c>
      <c r="Z4" s="4">
        <v>64</v>
      </c>
      <c r="AA4" s="4">
        <v>67</v>
      </c>
      <c r="AB4" s="4">
        <v>471</v>
      </c>
      <c r="AC4" s="5">
        <f t="shared" ref="AC4:AC67" si="0">IF(Z4=0,"",W4/Z4)</f>
        <v>2.34375</v>
      </c>
    </row>
    <row r="5" spans="1:29" x14ac:dyDescent="0.25">
      <c r="A5" s="1" t="s">
        <v>90</v>
      </c>
      <c r="B5" s="3" t="s">
        <v>91</v>
      </c>
      <c r="C5" s="4" t="s">
        <v>92</v>
      </c>
      <c r="D5" s="4">
        <v>34</v>
      </c>
      <c r="E5" s="4">
        <v>1068</v>
      </c>
      <c r="F5" s="4">
        <v>34</v>
      </c>
      <c r="G5" s="4">
        <v>34</v>
      </c>
      <c r="H5" s="4">
        <v>1068</v>
      </c>
      <c r="I5" s="4">
        <v>233</v>
      </c>
      <c r="J5" s="4">
        <v>458</v>
      </c>
      <c r="K5" s="4">
        <v>0.50900000000000001</v>
      </c>
      <c r="L5" s="4">
        <v>72</v>
      </c>
      <c r="M5" s="4">
        <v>159</v>
      </c>
      <c r="N5" s="4">
        <v>0.45300000000000001</v>
      </c>
      <c r="O5" s="4">
        <v>161</v>
      </c>
      <c r="P5" s="4">
        <v>299</v>
      </c>
      <c r="Q5" s="4">
        <v>0.53800000000000003</v>
      </c>
      <c r="R5" s="4">
        <v>90</v>
      </c>
      <c r="S5" s="4">
        <v>102</v>
      </c>
      <c r="T5" s="4">
        <v>0.88200000000000001</v>
      </c>
      <c r="U5" s="4">
        <v>59</v>
      </c>
      <c r="V5" s="4">
        <v>210</v>
      </c>
      <c r="W5" s="4">
        <v>101</v>
      </c>
      <c r="X5" s="4">
        <v>59</v>
      </c>
      <c r="Y5" s="4">
        <v>33</v>
      </c>
      <c r="Z5" s="4">
        <v>57</v>
      </c>
      <c r="AA5" s="4">
        <v>97</v>
      </c>
      <c r="AB5" s="4">
        <v>628</v>
      </c>
      <c r="AC5" s="5">
        <f t="shared" si="0"/>
        <v>1.7719298245614035</v>
      </c>
    </row>
    <row r="6" spans="1:29" x14ac:dyDescent="0.25">
      <c r="A6" s="1" t="s">
        <v>93</v>
      </c>
      <c r="B6" s="3" t="s">
        <v>86</v>
      </c>
      <c r="C6" s="4" t="s">
        <v>92</v>
      </c>
      <c r="D6" s="4">
        <v>32</v>
      </c>
      <c r="E6" s="4">
        <v>1057</v>
      </c>
      <c r="F6" s="4">
        <v>32</v>
      </c>
      <c r="G6" s="4">
        <v>32</v>
      </c>
      <c r="H6" s="4">
        <v>1057</v>
      </c>
      <c r="I6" s="4">
        <v>204</v>
      </c>
      <c r="J6" s="4">
        <v>396</v>
      </c>
      <c r="K6" s="4">
        <v>0.51500000000000001</v>
      </c>
      <c r="L6" s="4">
        <v>0</v>
      </c>
      <c r="M6" s="4">
        <v>3</v>
      </c>
      <c r="N6" s="4">
        <v>0</v>
      </c>
      <c r="O6" s="4">
        <v>204</v>
      </c>
      <c r="P6" s="4">
        <v>393</v>
      </c>
      <c r="Q6" s="4">
        <v>0.51900000000000002</v>
      </c>
      <c r="R6" s="4">
        <v>78</v>
      </c>
      <c r="S6" s="4">
        <v>87</v>
      </c>
      <c r="T6" s="4">
        <v>0.89700000000000002</v>
      </c>
      <c r="U6" s="4">
        <v>48</v>
      </c>
      <c r="V6" s="4">
        <v>204</v>
      </c>
      <c r="W6" s="4">
        <v>61</v>
      </c>
      <c r="X6" s="4">
        <v>34</v>
      </c>
      <c r="Y6" s="4">
        <v>13</v>
      </c>
      <c r="Z6" s="4">
        <v>65</v>
      </c>
      <c r="AA6" s="4">
        <v>58</v>
      </c>
      <c r="AB6" s="4">
        <v>486</v>
      </c>
      <c r="AC6" s="5">
        <f t="shared" si="0"/>
        <v>0.93846153846153846</v>
      </c>
    </row>
    <row r="7" spans="1:29" x14ac:dyDescent="0.25">
      <c r="A7" s="1" t="s">
        <v>94</v>
      </c>
      <c r="B7" s="3" t="s">
        <v>95</v>
      </c>
      <c r="C7" s="4" t="s">
        <v>8</v>
      </c>
      <c r="D7" s="4">
        <v>34</v>
      </c>
      <c r="E7" s="4">
        <v>1050</v>
      </c>
      <c r="F7" s="4">
        <v>34</v>
      </c>
      <c r="G7" s="4">
        <v>34</v>
      </c>
      <c r="H7" s="4">
        <v>1050</v>
      </c>
      <c r="I7" s="4">
        <v>146</v>
      </c>
      <c r="J7" s="4">
        <v>332</v>
      </c>
      <c r="K7" s="4">
        <v>0.44</v>
      </c>
      <c r="L7" s="4">
        <v>13</v>
      </c>
      <c r="M7" s="4">
        <v>46</v>
      </c>
      <c r="N7" s="4">
        <v>0.28299999999999997</v>
      </c>
      <c r="O7" s="4">
        <v>133</v>
      </c>
      <c r="P7" s="4">
        <v>286</v>
      </c>
      <c r="Q7" s="4">
        <v>0.46500000000000002</v>
      </c>
      <c r="R7" s="4">
        <v>100</v>
      </c>
      <c r="S7" s="4">
        <v>117</v>
      </c>
      <c r="T7" s="4">
        <v>0.85499999999999998</v>
      </c>
      <c r="U7" s="4">
        <v>29</v>
      </c>
      <c r="V7" s="4">
        <v>127</v>
      </c>
      <c r="W7" s="4">
        <v>138</v>
      </c>
      <c r="X7" s="4">
        <v>38</v>
      </c>
      <c r="Y7" s="4">
        <v>7</v>
      </c>
      <c r="Z7" s="4">
        <v>98</v>
      </c>
      <c r="AA7" s="4">
        <v>90</v>
      </c>
      <c r="AB7" s="4">
        <v>405</v>
      </c>
      <c r="AC7" s="5">
        <f t="shared" si="0"/>
        <v>1.4081632653061225</v>
      </c>
    </row>
    <row r="8" spans="1:29" x14ac:dyDescent="0.25">
      <c r="A8" s="1" t="s">
        <v>96</v>
      </c>
      <c r="B8" s="3" t="s">
        <v>97</v>
      </c>
      <c r="C8" s="4" t="s">
        <v>8</v>
      </c>
      <c r="D8" s="4">
        <v>34</v>
      </c>
      <c r="E8" s="4">
        <v>1037</v>
      </c>
      <c r="F8" s="4">
        <v>34</v>
      </c>
      <c r="G8" s="4">
        <v>33</v>
      </c>
      <c r="H8" s="4">
        <v>1037</v>
      </c>
      <c r="I8" s="4">
        <v>181</v>
      </c>
      <c r="J8" s="4">
        <v>452</v>
      </c>
      <c r="K8" s="4">
        <v>0.4</v>
      </c>
      <c r="L8" s="4">
        <v>45</v>
      </c>
      <c r="M8" s="4">
        <v>116</v>
      </c>
      <c r="N8" s="4">
        <v>0.38800000000000001</v>
      </c>
      <c r="O8" s="4">
        <v>136</v>
      </c>
      <c r="P8" s="4">
        <v>336</v>
      </c>
      <c r="Q8" s="4">
        <v>0.40500000000000003</v>
      </c>
      <c r="R8" s="4">
        <v>64</v>
      </c>
      <c r="S8" s="4">
        <v>74</v>
      </c>
      <c r="T8" s="4">
        <v>0.86499999999999999</v>
      </c>
      <c r="U8" s="4">
        <v>26</v>
      </c>
      <c r="V8" s="4">
        <v>107</v>
      </c>
      <c r="W8" s="4">
        <v>69</v>
      </c>
      <c r="X8" s="4">
        <v>80</v>
      </c>
      <c r="Y8" s="4">
        <v>10</v>
      </c>
      <c r="Z8" s="4">
        <v>49</v>
      </c>
      <c r="AA8" s="4">
        <v>58</v>
      </c>
      <c r="AB8" s="4">
        <v>471</v>
      </c>
      <c r="AC8" s="5">
        <f t="shared" si="0"/>
        <v>1.4081632653061225</v>
      </c>
    </row>
    <row r="9" spans="1:29" x14ac:dyDescent="0.25">
      <c r="A9" s="1" t="s">
        <v>98</v>
      </c>
      <c r="B9" s="3" t="s">
        <v>99</v>
      </c>
      <c r="C9" s="4" t="s">
        <v>100</v>
      </c>
      <c r="D9" s="4">
        <v>33</v>
      </c>
      <c r="E9" s="4">
        <v>1036</v>
      </c>
      <c r="F9" s="4">
        <v>33</v>
      </c>
      <c r="G9" s="4">
        <v>32</v>
      </c>
      <c r="H9" s="4">
        <v>1036</v>
      </c>
      <c r="I9" s="4">
        <v>246</v>
      </c>
      <c r="J9" s="4">
        <v>596</v>
      </c>
      <c r="K9" s="4">
        <v>0.41299999999999998</v>
      </c>
      <c r="L9" s="4">
        <v>23</v>
      </c>
      <c r="M9" s="4">
        <v>113</v>
      </c>
      <c r="N9" s="4">
        <v>0.20399999999999999</v>
      </c>
      <c r="O9" s="4">
        <v>223</v>
      </c>
      <c r="P9" s="4">
        <v>483</v>
      </c>
      <c r="Q9" s="4">
        <v>0.46200000000000002</v>
      </c>
      <c r="R9" s="4">
        <v>196</v>
      </c>
      <c r="S9" s="4">
        <v>238</v>
      </c>
      <c r="T9" s="4">
        <v>0.82399999999999995</v>
      </c>
      <c r="U9" s="4">
        <v>58</v>
      </c>
      <c r="V9" s="4">
        <v>176</v>
      </c>
      <c r="W9" s="4">
        <v>146</v>
      </c>
      <c r="X9" s="4">
        <v>89</v>
      </c>
      <c r="Y9" s="4">
        <v>24</v>
      </c>
      <c r="Z9" s="4">
        <v>134</v>
      </c>
      <c r="AA9" s="4">
        <v>90</v>
      </c>
      <c r="AB9" s="4">
        <v>711</v>
      </c>
      <c r="AC9" s="5">
        <f t="shared" si="0"/>
        <v>1.0895522388059702</v>
      </c>
    </row>
    <row r="10" spans="1:29" x14ac:dyDescent="0.25">
      <c r="A10" s="1" t="s">
        <v>101</v>
      </c>
      <c r="B10" s="3" t="s">
        <v>86</v>
      </c>
      <c r="C10" s="4" t="s">
        <v>8</v>
      </c>
      <c r="D10" s="4">
        <v>32</v>
      </c>
      <c r="E10" s="4">
        <v>1032</v>
      </c>
      <c r="F10" s="4">
        <v>32</v>
      </c>
      <c r="G10" s="4">
        <v>32</v>
      </c>
      <c r="H10" s="4">
        <v>1032</v>
      </c>
      <c r="I10" s="4">
        <v>200</v>
      </c>
      <c r="J10" s="4">
        <v>439</v>
      </c>
      <c r="K10" s="4">
        <v>0.45600000000000002</v>
      </c>
      <c r="L10" s="4">
        <v>69</v>
      </c>
      <c r="M10" s="4">
        <v>199</v>
      </c>
      <c r="N10" s="4">
        <v>0.34699999999999998</v>
      </c>
      <c r="O10" s="4">
        <v>131</v>
      </c>
      <c r="P10" s="4">
        <v>240</v>
      </c>
      <c r="Q10" s="4">
        <v>0.54600000000000004</v>
      </c>
      <c r="R10" s="4">
        <v>182</v>
      </c>
      <c r="S10" s="4">
        <v>213</v>
      </c>
      <c r="T10" s="4">
        <v>0.85399999999999998</v>
      </c>
      <c r="U10" s="4">
        <v>18</v>
      </c>
      <c r="V10" s="4">
        <v>134</v>
      </c>
      <c r="W10" s="4">
        <v>197</v>
      </c>
      <c r="X10" s="4">
        <v>22</v>
      </c>
      <c r="Y10" s="4">
        <v>15</v>
      </c>
      <c r="Z10" s="4">
        <v>116</v>
      </c>
      <c r="AA10" s="4">
        <v>103</v>
      </c>
      <c r="AB10" s="4">
        <v>651</v>
      </c>
      <c r="AC10" s="5">
        <f t="shared" si="0"/>
        <v>1.6982758620689655</v>
      </c>
    </row>
    <row r="11" spans="1:29" x14ac:dyDescent="0.25">
      <c r="A11" s="1" t="s">
        <v>102</v>
      </c>
      <c r="B11" s="3" t="s">
        <v>95</v>
      </c>
      <c r="C11" s="4" t="s">
        <v>92</v>
      </c>
      <c r="D11" s="4">
        <v>34</v>
      </c>
      <c r="E11" s="4">
        <v>1030</v>
      </c>
      <c r="F11" s="4">
        <v>34</v>
      </c>
      <c r="G11" s="4">
        <v>34</v>
      </c>
      <c r="H11" s="4">
        <v>1030</v>
      </c>
      <c r="I11" s="4">
        <v>121</v>
      </c>
      <c r="J11" s="4">
        <v>277</v>
      </c>
      <c r="K11" s="4">
        <v>0.437</v>
      </c>
      <c r="L11" s="4">
        <v>13</v>
      </c>
      <c r="M11" s="4">
        <v>46</v>
      </c>
      <c r="N11" s="4">
        <v>0.28299999999999997</v>
      </c>
      <c r="O11" s="4">
        <v>108</v>
      </c>
      <c r="P11" s="4">
        <v>231</v>
      </c>
      <c r="Q11" s="4">
        <v>0.46800000000000003</v>
      </c>
      <c r="R11" s="4">
        <v>114</v>
      </c>
      <c r="S11" s="4">
        <v>142</v>
      </c>
      <c r="T11" s="4">
        <v>0.80300000000000005</v>
      </c>
      <c r="U11" s="4">
        <v>65</v>
      </c>
      <c r="V11" s="4">
        <v>161</v>
      </c>
      <c r="W11" s="4">
        <v>47</v>
      </c>
      <c r="X11" s="4">
        <v>42</v>
      </c>
      <c r="Y11" s="4">
        <v>9</v>
      </c>
      <c r="Z11" s="4">
        <v>81</v>
      </c>
      <c r="AA11" s="4">
        <v>89</v>
      </c>
      <c r="AB11" s="4">
        <v>369</v>
      </c>
      <c r="AC11" s="5">
        <f t="shared" si="0"/>
        <v>0.58024691358024694</v>
      </c>
    </row>
    <row r="12" spans="1:29" x14ac:dyDescent="0.25">
      <c r="A12" s="1" t="s">
        <v>103</v>
      </c>
      <c r="B12" s="3" t="s">
        <v>104</v>
      </c>
      <c r="C12" s="4" t="s">
        <v>8</v>
      </c>
      <c r="D12" s="4">
        <v>30</v>
      </c>
      <c r="E12" s="4">
        <v>1027</v>
      </c>
      <c r="F12" s="4">
        <v>30</v>
      </c>
      <c r="G12" s="4">
        <v>30</v>
      </c>
      <c r="H12" s="4">
        <v>1027</v>
      </c>
      <c r="I12" s="4">
        <v>171</v>
      </c>
      <c r="J12" s="4">
        <v>475</v>
      </c>
      <c r="K12" s="4">
        <v>0.36</v>
      </c>
      <c r="L12" s="4">
        <v>38</v>
      </c>
      <c r="M12" s="4">
        <v>103</v>
      </c>
      <c r="N12" s="4">
        <v>0.36899999999999999</v>
      </c>
      <c r="O12" s="4">
        <v>133</v>
      </c>
      <c r="P12" s="4">
        <v>372</v>
      </c>
      <c r="Q12" s="4">
        <v>0.35799999999999998</v>
      </c>
      <c r="R12" s="4">
        <v>127</v>
      </c>
      <c r="S12" s="4">
        <v>156</v>
      </c>
      <c r="T12" s="4">
        <v>0.81399999999999995</v>
      </c>
      <c r="U12" s="4">
        <v>15</v>
      </c>
      <c r="V12" s="4">
        <v>135</v>
      </c>
      <c r="W12" s="4">
        <v>119</v>
      </c>
      <c r="X12" s="4">
        <v>31</v>
      </c>
      <c r="Y12" s="4">
        <v>4</v>
      </c>
      <c r="Z12" s="4">
        <v>104</v>
      </c>
      <c r="AA12" s="4">
        <v>50</v>
      </c>
      <c r="AB12" s="4">
        <v>507</v>
      </c>
      <c r="AC12" s="5">
        <f t="shared" si="0"/>
        <v>1.1442307692307692</v>
      </c>
    </row>
    <row r="13" spans="1:29" x14ac:dyDescent="0.25">
      <c r="A13" s="1" t="s">
        <v>105</v>
      </c>
      <c r="B13" s="3" t="s">
        <v>106</v>
      </c>
      <c r="C13" s="4" t="s">
        <v>92</v>
      </c>
      <c r="D13" s="4">
        <v>34</v>
      </c>
      <c r="E13" s="4">
        <v>1022</v>
      </c>
      <c r="F13" s="4">
        <v>34</v>
      </c>
      <c r="G13" s="4">
        <v>34</v>
      </c>
      <c r="H13" s="4">
        <v>1022</v>
      </c>
      <c r="I13" s="4">
        <v>103</v>
      </c>
      <c r="J13" s="4">
        <v>189</v>
      </c>
      <c r="K13" s="4">
        <v>0.54500000000000004</v>
      </c>
      <c r="L13" s="4">
        <v>0</v>
      </c>
      <c r="M13" s="4">
        <v>0</v>
      </c>
      <c r="N13" s="4">
        <v>0</v>
      </c>
      <c r="O13" s="4">
        <v>103</v>
      </c>
      <c r="P13" s="4">
        <v>189</v>
      </c>
      <c r="Q13" s="4">
        <v>0.54500000000000004</v>
      </c>
      <c r="R13" s="4">
        <v>63</v>
      </c>
      <c r="S13" s="4">
        <v>89</v>
      </c>
      <c r="T13" s="4">
        <v>0.70799999999999996</v>
      </c>
      <c r="U13" s="4">
        <v>104</v>
      </c>
      <c r="V13" s="4">
        <v>265</v>
      </c>
      <c r="W13" s="4">
        <v>64</v>
      </c>
      <c r="X13" s="4">
        <v>48</v>
      </c>
      <c r="Y13" s="4">
        <v>11</v>
      </c>
      <c r="Z13" s="4">
        <v>47</v>
      </c>
      <c r="AA13" s="4">
        <v>100</v>
      </c>
      <c r="AB13" s="4">
        <v>269</v>
      </c>
      <c r="AC13" s="5">
        <f t="shared" si="0"/>
        <v>1.3617021276595744</v>
      </c>
    </row>
    <row r="14" spans="1:29" x14ac:dyDescent="0.25">
      <c r="A14" s="1" t="s">
        <v>107</v>
      </c>
      <c r="B14" s="3" t="s">
        <v>108</v>
      </c>
      <c r="C14" s="4" t="s">
        <v>8</v>
      </c>
      <c r="D14" s="4">
        <v>34</v>
      </c>
      <c r="E14" s="4">
        <v>1019</v>
      </c>
      <c r="F14" s="4">
        <v>34</v>
      </c>
      <c r="G14" s="4">
        <v>34</v>
      </c>
      <c r="H14" s="4">
        <v>1019</v>
      </c>
      <c r="I14" s="4">
        <v>181</v>
      </c>
      <c r="J14" s="4">
        <v>396</v>
      </c>
      <c r="K14" s="4">
        <v>0.45700000000000002</v>
      </c>
      <c r="L14" s="4">
        <v>49</v>
      </c>
      <c r="M14" s="4">
        <v>128</v>
      </c>
      <c r="N14" s="4">
        <v>0.38300000000000001</v>
      </c>
      <c r="O14" s="4">
        <v>132</v>
      </c>
      <c r="P14" s="4">
        <v>268</v>
      </c>
      <c r="Q14" s="4">
        <v>0.49299999999999999</v>
      </c>
      <c r="R14" s="4">
        <v>69</v>
      </c>
      <c r="S14" s="4">
        <v>83</v>
      </c>
      <c r="T14" s="4">
        <v>0.83099999999999996</v>
      </c>
      <c r="U14" s="4">
        <v>18</v>
      </c>
      <c r="V14" s="4">
        <v>87</v>
      </c>
      <c r="W14" s="4">
        <v>114</v>
      </c>
      <c r="X14" s="4">
        <v>43</v>
      </c>
      <c r="Y14" s="4">
        <v>6</v>
      </c>
      <c r="Z14" s="4">
        <v>65</v>
      </c>
      <c r="AA14" s="4">
        <v>86</v>
      </c>
      <c r="AB14" s="4">
        <v>480</v>
      </c>
      <c r="AC14" s="5">
        <f t="shared" si="0"/>
        <v>1.7538461538461538</v>
      </c>
    </row>
    <row r="15" spans="1:29" x14ac:dyDescent="0.25">
      <c r="A15" s="1" t="s">
        <v>109</v>
      </c>
      <c r="B15" s="3" t="s">
        <v>99</v>
      </c>
      <c r="C15" s="4" t="s">
        <v>110</v>
      </c>
      <c r="D15" s="4">
        <v>34</v>
      </c>
      <c r="E15" s="4">
        <v>1016</v>
      </c>
      <c r="F15" s="4">
        <v>34</v>
      </c>
      <c r="G15" s="4">
        <v>34</v>
      </c>
      <c r="H15" s="4">
        <v>1016</v>
      </c>
      <c r="I15" s="4">
        <v>187</v>
      </c>
      <c r="J15" s="4">
        <v>338</v>
      </c>
      <c r="K15" s="4">
        <v>0.55300000000000005</v>
      </c>
      <c r="L15" s="4">
        <v>0</v>
      </c>
      <c r="M15" s="4">
        <v>0</v>
      </c>
      <c r="N15" s="4">
        <v>0</v>
      </c>
      <c r="O15" s="4">
        <v>187</v>
      </c>
      <c r="P15" s="4">
        <v>338</v>
      </c>
      <c r="Q15" s="4">
        <v>0.55300000000000005</v>
      </c>
      <c r="R15" s="4">
        <v>63</v>
      </c>
      <c r="S15" s="4">
        <v>93</v>
      </c>
      <c r="T15" s="4">
        <v>0.67700000000000005</v>
      </c>
      <c r="U15" s="4">
        <v>90</v>
      </c>
      <c r="V15" s="4">
        <v>337</v>
      </c>
      <c r="W15" s="4">
        <v>43</v>
      </c>
      <c r="X15" s="4">
        <v>45</v>
      </c>
      <c r="Y15" s="4">
        <v>61</v>
      </c>
      <c r="Z15" s="4">
        <v>55</v>
      </c>
      <c r="AA15" s="4">
        <v>90</v>
      </c>
      <c r="AB15" s="4">
        <v>437</v>
      </c>
      <c r="AC15" s="5">
        <f t="shared" si="0"/>
        <v>0.78181818181818186</v>
      </c>
    </row>
    <row r="16" spans="1:29" x14ac:dyDescent="0.25">
      <c r="A16" s="1" t="s">
        <v>111</v>
      </c>
      <c r="B16" s="3" t="s">
        <v>108</v>
      </c>
      <c r="C16" s="4" t="s">
        <v>8</v>
      </c>
      <c r="D16" s="4">
        <v>33</v>
      </c>
      <c r="E16" s="4">
        <v>1011</v>
      </c>
      <c r="F16" s="4">
        <v>33</v>
      </c>
      <c r="G16" s="4">
        <v>33</v>
      </c>
      <c r="H16" s="4">
        <v>1011</v>
      </c>
      <c r="I16" s="4">
        <v>134</v>
      </c>
      <c r="J16" s="4">
        <v>304</v>
      </c>
      <c r="K16" s="4">
        <v>0.441</v>
      </c>
      <c r="L16" s="4">
        <v>4</v>
      </c>
      <c r="M16" s="4">
        <v>22</v>
      </c>
      <c r="N16" s="4">
        <v>0.182</v>
      </c>
      <c r="O16" s="4">
        <v>130</v>
      </c>
      <c r="P16" s="4">
        <v>282</v>
      </c>
      <c r="Q16" s="4">
        <v>0.46100000000000002</v>
      </c>
      <c r="R16" s="4">
        <v>88</v>
      </c>
      <c r="S16" s="4">
        <v>116</v>
      </c>
      <c r="T16" s="4">
        <v>0.75900000000000001</v>
      </c>
      <c r="U16" s="4">
        <v>17</v>
      </c>
      <c r="V16" s="4">
        <v>89</v>
      </c>
      <c r="W16" s="4">
        <v>170</v>
      </c>
      <c r="X16" s="4">
        <v>34</v>
      </c>
      <c r="Y16" s="4">
        <v>13</v>
      </c>
      <c r="Z16" s="4">
        <v>82</v>
      </c>
      <c r="AA16" s="4">
        <v>60</v>
      </c>
      <c r="AB16" s="4">
        <v>360</v>
      </c>
      <c r="AC16" s="5">
        <f t="shared" si="0"/>
        <v>2.0731707317073171</v>
      </c>
    </row>
    <row r="17" spans="1:29" x14ac:dyDescent="0.25">
      <c r="A17" s="1" t="s">
        <v>112</v>
      </c>
      <c r="B17" s="3" t="s">
        <v>91</v>
      </c>
      <c r="C17" s="4" t="s">
        <v>8</v>
      </c>
      <c r="D17" s="4">
        <v>34</v>
      </c>
      <c r="E17" s="4">
        <v>1005</v>
      </c>
      <c r="F17" s="4">
        <v>34</v>
      </c>
      <c r="G17" s="4">
        <v>34</v>
      </c>
      <c r="H17" s="4">
        <v>1005</v>
      </c>
      <c r="I17" s="4">
        <v>198</v>
      </c>
      <c r="J17" s="4">
        <v>407</v>
      </c>
      <c r="K17" s="4">
        <v>0.48599999999999999</v>
      </c>
      <c r="L17" s="4">
        <v>1</v>
      </c>
      <c r="M17" s="4">
        <v>9</v>
      </c>
      <c r="N17" s="4">
        <v>0.111</v>
      </c>
      <c r="O17" s="4">
        <v>197</v>
      </c>
      <c r="P17" s="4">
        <v>398</v>
      </c>
      <c r="Q17" s="4">
        <v>0.495</v>
      </c>
      <c r="R17" s="4">
        <v>108</v>
      </c>
      <c r="S17" s="4">
        <v>138</v>
      </c>
      <c r="T17" s="4">
        <v>0.78300000000000003</v>
      </c>
      <c r="U17" s="4">
        <v>22</v>
      </c>
      <c r="V17" s="4">
        <v>148</v>
      </c>
      <c r="W17" s="4">
        <v>197</v>
      </c>
      <c r="X17" s="4">
        <v>26</v>
      </c>
      <c r="Y17" s="4">
        <v>2</v>
      </c>
      <c r="Z17" s="4">
        <v>74</v>
      </c>
      <c r="AA17" s="4">
        <v>67</v>
      </c>
      <c r="AB17" s="4">
        <v>505</v>
      </c>
      <c r="AC17" s="5">
        <f t="shared" si="0"/>
        <v>2.6621621621621623</v>
      </c>
    </row>
    <row r="18" spans="1:29" x14ac:dyDescent="0.25">
      <c r="A18" s="1" t="s">
        <v>113</v>
      </c>
      <c r="B18" s="3" t="s">
        <v>114</v>
      </c>
      <c r="C18" s="4" t="s">
        <v>115</v>
      </c>
      <c r="D18" s="4">
        <v>32</v>
      </c>
      <c r="E18" s="4">
        <v>1001</v>
      </c>
      <c r="F18" s="4">
        <v>32</v>
      </c>
      <c r="G18" s="4">
        <v>32</v>
      </c>
      <c r="H18" s="4">
        <v>1001</v>
      </c>
      <c r="I18" s="4">
        <v>198</v>
      </c>
      <c r="J18" s="4">
        <v>338</v>
      </c>
      <c r="K18" s="4">
        <v>0.58599999999999997</v>
      </c>
      <c r="L18" s="4">
        <v>0</v>
      </c>
      <c r="M18" s="4">
        <v>0</v>
      </c>
      <c r="N18" s="4">
        <v>0</v>
      </c>
      <c r="O18" s="4">
        <v>198</v>
      </c>
      <c r="P18" s="4">
        <v>338</v>
      </c>
      <c r="Q18" s="4">
        <v>0.58599999999999997</v>
      </c>
      <c r="R18" s="4">
        <v>124</v>
      </c>
      <c r="S18" s="4">
        <v>181</v>
      </c>
      <c r="T18" s="4">
        <v>0.68500000000000005</v>
      </c>
      <c r="U18" s="4">
        <v>117</v>
      </c>
      <c r="V18" s="4">
        <v>369</v>
      </c>
      <c r="W18" s="4">
        <v>12</v>
      </c>
      <c r="X18" s="4">
        <v>29</v>
      </c>
      <c r="Y18" s="4">
        <v>78</v>
      </c>
      <c r="Z18" s="4">
        <v>66</v>
      </c>
      <c r="AA18" s="4">
        <v>66</v>
      </c>
      <c r="AB18" s="4">
        <v>520</v>
      </c>
      <c r="AC18" s="5">
        <f t="shared" si="0"/>
        <v>0.18181818181818182</v>
      </c>
    </row>
    <row r="19" spans="1:29" x14ac:dyDescent="0.25">
      <c r="A19" s="1" t="s">
        <v>116</v>
      </c>
      <c r="B19" s="3" t="s">
        <v>114</v>
      </c>
      <c r="C19" s="4" t="s">
        <v>8</v>
      </c>
      <c r="D19" s="4">
        <v>33</v>
      </c>
      <c r="E19" s="4">
        <v>985</v>
      </c>
      <c r="F19" s="4">
        <v>33</v>
      </c>
      <c r="G19" s="4">
        <v>33</v>
      </c>
      <c r="H19" s="4">
        <v>985</v>
      </c>
      <c r="I19" s="4">
        <v>106</v>
      </c>
      <c r="J19" s="4">
        <v>268</v>
      </c>
      <c r="K19" s="4">
        <v>0.39600000000000002</v>
      </c>
      <c r="L19" s="4">
        <v>17</v>
      </c>
      <c r="M19" s="4">
        <v>56</v>
      </c>
      <c r="N19" s="4">
        <v>0.30399999999999999</v>
      </c>
      <c r="O19" s="4">
        <v>89</v>
      </c>
      <c r="P19" s="4">
        <v>212</v>
      </c>
      <c r="Q19" s="4">
        <v>0.42</v>
      </c>
      <c r="R19" s="4">
        <v>60</v>
      </c>
      <c r="S19" s="4">
        <v>72</v>
      </c>
      <c r="T19" s="4">
        <v>0.83299999999999996</v>
      </c>
      <c r="U19" s="4">
        <v>10</v>
      </c>
      <c r="V19" s="4">
        <v>106</v>
      </c>
      <c r="W19" s="4">
        <v>184</v>
      </c>
      <c r="X19" s="4">
        <v>46</v>
      </c>
      <c r="Y19" s="4">
        <v>28</v>
      </c>
      <c r="Z19" s="4">
        <v>82</v>
      </c>
      <c r="AA19" s="4">
        <v>86</v>
      </c>
      <c r="AB19" s="4">
        <v>289</v>
      </c>
      <c r="AC19" s="5">
        <f t="shared" si="0"/>
        <v>2.2439024390243905</v>
      </c>
    </row>
    <row r="20" spans="1:29" x14ac:dyDescent="0.25">
      <c r="A20" s="1" t="s">
        <v>117</v>
      </c>
      <c r="B20" s="3" t="s">
        <v>95</v>
      </c>
      <c r="C20" s="4" t="s">
        <v>92</v>
      </c>
      <c r="D20" s="4">
        <v>34</v>
      </c>
      <c r="E20" s="4">
        <v>976</v>
      </c>
      <c r="F20" s="4">
        <v>34</v>
      </c>
      <c r="G20" s="4">
        <v>34</v>
      </c>
      <c r="H20" s="4">
        <v>976</v>
      </c>
      <c r="I20" s="4">
        <v>154</v>
      </c>
      <c r="J20" s="4">
        <v>376</v>
      </c>
      <c r="K20" s="4">
        <v>0.41</v>
      </c>
      <c r="L20" s="4">
        <v>60</v>
      </c>
      <c r="M20" s="4">
        <v>162</v>
      </c>
      <c r="N20" s="4">
        <v>0.37</v>
      </c>
      <c r="O20" s="4">
        <v>94</v>
      </c>
      <c r="P20" s="4">
        <v>214</v>
      </c>
      <c r="Q20" s="4">
        <v>0.439</v>
      </c>
      <c r="R20" s="4">
        <v>111</v>
      </c>
      <c r="S20" s="4">
        <v>127</v>
      </c>
      <c r="T20" s="4">
        <v>0.874</v>
      </c>
      <c r="U20" s="4">
        <v>40</v>
      </c>
      <c r="V20" s="4">
        <v>198</v>
      </c>
      <c r="W20" s="4">
        <v>39</v>
      </c>
      <c r="X20" s="4">
        <v>18</v>
      </c>
      <c r="Y20" s="4">
        <v>22</v>
      </c>
      <c r="Z20" s="4">
        <v>50</v>
      </c>
      <c r="AA20" s="4">
        <v>79</v>
      </c>
      <c r="AB20" s="4">
        <v>479</v>
      </c>
      <c r="AC20" s="5">
        <f t="shared" si="0"/>
        <v>0.78</v>
      </c>
    </row>
    <row r="21" spans="1:29" ht="15.75" customHeight="1" x14ac:dyDescent="0.25">
      <c r="A21" s="1" t="s">
        <v>118</v>
      </c>
      <c r="B21" s="3" t="s">
        <v>89</v>
      </c>
      <c r="C21" s="4" t="s">
        <v>110</v>
      </c>
      <c r="D21" s="4">
        <v>34</v>
      </c>
      <c r="E21" s="4">
        <v>973</v>
      </c>
      <c r="F21" s="4">
        <v>34</v>
      </c>
      <c r="G21" s="4">
        <v>34</v>
      </c>
      <c r="H21" s="4">
        <v>973</v>
      </c>
      <c r="I21" s="4">
        <v>169</v>
      </c>
      <c r="J21" s="4">
        <v>328</v>
      </c>
      <c r="K21" s="4">
        <v>0.51500000000000001</v>
      </c>
      <c r="L21" s="4">
        <v>1</v>
      </c>
      <c r="M21" s="4">
        <v>8</v>
      </c>
      <c r="N21" s="4">
        <v>0.125</v>
      </c>
      <c r="O21" s="4">
        <v>168</v>
      </c>
      <c r="P21" s="4">
        <v>320</v>
      </c>
      <c r="Q21" s="4">
        <v>0.52500000000000002</v>
      </c>
      <c r="R21" s="4">
        <v>69</v>
      </c>
      <c r="S21" s="4">
        <v>106</v>
      </c>
      <c r="T21" s="4">
        <v>0.65100000000000002</v>
      </c>
      <c r="U21" s="4">
        <v>81</v>
      </c>
      <c r="V21" s="4">
        <v>245</v>
      </c>
      <c r="W21" s="4">
        <v>45</v>
      </c>
      <c r="X21" s="4">
        <v>31</v>
      </c>
      <c r="Y21" s="4">
        <v>10</v>
      </c>
      <c r="Z21" s="4">
        <v>79</v>
      </c>
      <c r="AA21" s="4">
        <v>65</v>
      </c>
      <c r="AB21" s="4">
        <v>408</v>
      </c>
      <c r="AC21" s="5">
        <f t="shared" si="0"/>
        <v>0.569620253164557</v>
      </c>
    </row>
    <row r="22" spans="1:29" ht="15.75" customHeight="1" x14ac:dyDescent="0.25">
      <c r="A22" s="1" t="s">
        <v>119</v>
      </c>
      <c r="B22" s="3" t="s">
        <v>91</v>
      </c>
      <c r="C22" s="4" t="s">
        <v>92</v>
      </c>
      <c r="D22" s="4">
        <v>33</v>
      </c>
      <c r="E22" s="4">
        <v>965</v>
      </c>
      <c r="F22" s="4">
        <v>33</v>
      </c>
      <c r="G22" s="4">
        <v>33</v>
      </c>
      <c r="H22" s="4">
        <v>965</v>
      </c>
      <c r="I22" s="4">
        <v>147</v>
      </c>
      <c r="J22" s="4">
        <v>296</v>
      </c>
      <c r="K22" s="4">
        <v>0.497</v>
      </c>
      <c r="L22" s="4">
        <v>1</v>
      </c>
      <c r="M22" s="4">
        <v>1</v>
      </c>
      <c r="N22" s="4">
        <v>1</v>
      </c>
      <c r="O22" s="4">
        <v>146</v>
      </c>
      <c r="P22" s="4">
        <v>295</v>
      </c>
      <c r="Q22" s="4">
        <v>0.495</v>
      </c>
      <c r="R22" s="4">
        <v>56</v>
      </c>
      <c r="S22" s="4">
        <v>88</v>
      </c>
      <c r="T22" s="4">
        <v>0.63600000000000001</v>
      </c>
      <c r="U22" s="4">
        <v>89</v>
      </c>
      <c r="V22" s="4">
        <v>294</v>
      </c>
      <c r="W22" s="4">
        <v>50</v>
      </c>
      <c r="X22" s="4">
        <v>42</v>
      </c>
      <c r="Y22" s="4">
        <v>29</v>
      </c>
      <c r="Z22" s="4">
        <v>39</v>
      </c>
      <c r="AA22" s="4">
        <v>70</v>
      </c>
      <c r="AB22" s="4">
        <v>351</v>
      </c>
      <c r="AC22" s="5">
        <f t="shared" si="0"/>
        <v>1.2820512820512822</v>
      </c>
    </row>
    <row r="23" spans="1:29" ht="15.75" customHeight="1" x14ac:dyDescent="0.25">
      <c r="A23" s="1" t="s">
        <v>120</v>
      </c>
      <c r="B23" s="4" t="s">
        <v>114</v>
      </c>
      <c r="C23" s="4" t="s">
        <v>92</v>
      </c>
      <c r="D23" s="4">
        <v>34</v>
      </c>
      <c r="E23" s="4">
        <v>961</v>
      </c>
      <c r="F23" s="4">
        <v>34</v>
      </c>
      <c r="G23" s="4">
        <v>34</v>
      </c>
      <c r="H23" s="4">
        <v>961</v>
      </c>
      <c r="I23" s="4">
        <v>118</v>
      </c>
      <c r="J23" s="4">
        <v>284</v>
      </c>
      <c r="K23" s="4">
        <v>0.41499999999999998</v>
      </c>
      <c r="L23" s="4">
        <v>17</v>
      </c>
      <c r="M23" s="4">
        <v>63</v>
      </c>
      <c r="N23" s="4">
        <v>0.27</v>
      </c>
      <c r="O23" s="4">
        <v>101</v>
      </c>
      <c r="P23" s="4">
        <v>221</v>
      </c>
      <c r="Q23" s="4">
        <v>0.45700000000000002</v>
      </c>
      <c r="R23" s="4">
        <v>64</v>
      </c>
      <c r="S23" s="4">
        <v>75</v>
      </c>
      <c r="T23" s="4">
        <v>0.85299999999999998</v>
      </c>
      <c r="U23" s="4">
        <v>43</v>
      </c>
      <c r="V23" s="4">
        <v>191</v>
      </c>
      <c r="W23" s="4">
        <v>74</v>
      </c>
      <c r="X23" s="4">
        <v>31</v>
      </c>
      <c r="Y23" s="4">
        <v>20</v>
      </c>
      <c r="Z23" s="4">
        <v>64</v>
      </c>
      <c r="AA23" s="4">
        <v>101</v>
      </c>
      <c r="AB23" s="4">
        <v>317</v>
      </c>
      <c r="AC23" s="5">
        <f t="shared" si="0"/>
        <v>1.15625</v>
      </c>
    </row>
    <row r="24" spans="1:29" ht="15.75" customHeight="1" x14ac:dyDescent="0.25">
      <c r="A24" s="1" t="s">
        <v>121</v>
      </c>
      <c r="B24" s="3" t="s">
        <v>122</v>
      </c>
      <c r="C24" s="4" t="s">
        <v>115</v>
      </c>
      <c r="D24" s="4">
        <v>29</v>
      </c>
      <c r="E24" s="4">
        <v>951</v>
      </c>
      <c r="F24" s="4">
        <v>29</v>
      </c>
      <c r="G24" s="4">
        <v>29</v>
      </c>
      <c r="H24" s="4">
        <v>951</v>
      </c>
      <c r="I24" s="4">
        <v>218</v>
      </c>
      <c r="J24" s="4">
        <v>545</v>
      </c>
      <c r="K24" s="4">
        <v>0.4</v>
      </c>
      <c r="L24" s="4">
        <v>0</v>
      </c>
      <c r="M24" s="4">
        <v>3</v>
      </c>
      <c r="N24" s="4">
        <v>0</v>
      </c>
      <c r="O24" s="4">
        <v>218</v>
      </c>
      <c r="P24" s="4">
        <v>542</v>
      </c>
      <c r="Q24" s="4">
        <v>0.40200000000000002</v>
      </c>
      <c r="R24" s="4">
        <v>85</v>
      </c>
      <c r="S24" s="4">
        <v>113</v>
      </c>
      <c r="T24" s="4">
        <v>0.752</v>
      </c>
      <c r="U24" s="4">
        <v>98</v>
      </c>
      <c r="V24" s="4">
        <v>293</v>
      </c>
      <c r="W24" s="4">
        <v>42</v>
      </c>
      <c r="X24" s="4">
        <v>27</v>
      </c>
      <c r="Y24" s="4">
        <v>28</v>
      </c>
      <c r="Z24" s="4">
        <v>64</v>
      </c>
      <c r="AA24" s="4">
        <v>57</v>
      </c>
      <c r="AB24" s="4">
        <v>521</v>
      </c>
      <c r="AC24" s="5">
        <f t="shared" si="0"/>
        <v>0.65625</v>
      </c>
    </row>
    <row r="25" spans="1:29" ht="15.75" customHeight="1" x14ac:dyDescent="0.25">
      <c r="A25" s="1" t="s">
        <v>123</v>
      </c>
      <c r="B25" s="3" t="s">
        <v>106</v>
      </c>
      <c r="C25" s="4" t="s">
        <v>8</v>
      </c>
      <c r="D25" s="4">
        <v>32</v>
      </c>
      <c r="E25" s="4">
        <v>946</v>
      </c>
      <c r="F25" s="4">
        <v>32</v>
      </c>
      <c r="G25" s="4">
        <v>32</v>
      </c>
      <c r="H25" s="4">
        <v>946</v>
      </c>
      <c r="I25" s="4">
        <v>110</v>
      </c>
      <c r="J25" s="4">
        <v>316</v>
      </c>
      <c r="K25" s="4">
        <v>0.34799999999999998</v>
      </c>
      <c r="L25" s="4">
        <v>35</v>
      </c>
      <c r="M25" s="4">
        <v>98</v>
      </c>
      <c r="N25" s="4">
        <v>0.35699999999999998</v>
      </c>
      <c r="O25" s="4">
        <v>75</v>
      </c>
      <c r="P25" s="4">
        <v>218</v>
      </c>
      <c r="Q25" s="4">
        <v>0.34399999999999997</v>
      </c>
      <c r="R25" s="4">
        <v>60</v>
      </c>
      <c r="S25" s="4">
        <v>74</v>
      </c>
      <c r="T25" s="4">
        <v>0.81100000000000005</v>
      </c>
      <c r="U25" s="4">
        <v>12</v>
      </c>
      <c r="V25" s="4">
        <v>77</v>
      </c>
      <c r="W25" s="4">
        <v>118</v>
      </c>
      <c r="X25" s="4">
        <v>34</v>
      </c>
      <c r="Y25" s="4">
        <v>6</v>
      </c>
      <c r="Z25" s="4">
        <v>79</v>
      </c>
      <c r="AA25" s="4">
        <v>84</v>
      </c>
      <c r="AB25" s="4">
        <v>315</v>
      </c>
      <c r="AC25" s="5">
        <f t="shared" si="0"/>
        <v>1.4936708860759493</v>
      </c>
    </row>
    <row r="26" spans="1:29" ht="15.75" customHeight="1" x14ac:dyDescent="0.25">
      <c r="A26" s="1" t="s">
        <v>124</v>
      </c>
      <c r="B26" s="3" t="s">
        <v>106</v>
      </c>
      <c r="C26" s="4" t="s">
        <v>92</v>
      </c>
      <c r="D26" s="4">
        <v>30</v>
      </c>
      <c r="E26" s="4">
        <v>942</v>
      </c>
      <c r="F26" s="4">
        <v>30</v>
      </c>
      <c r="G26" s="4">
        <v>30</v>
      </c>
      <c r="H26" s="4">
        <v>942</v>
      </c>
      <c r="I26" s="4">
        <v>179</v>
      </c>
      <c r="J26" s="4">
        <v>452</v>
      </c>
      <c r="K26" s="4">
        <v>0.39600000000000002</v>
      </c>
      <c r="L26" s="4">
        <v>36</v>
      </c>
      <c r="M26" s="4">
        <v>112</v>
      </c>
      <c r="N26" s="4">
        <v>0.32100000000000001</v>
      </c>
      <c r="O26" s="4">
        <v>143</v>
      </c>
      <c r="P26" s="4">
        <v>340</v>
      </c>
      <c r="Q26" s="4">
        <v>0.42099999999999999</v>
      </c>
      <c r="R26" s="4">
        <v>136</v>
      </c>
      <c r="S26" s="4">
        <v>158</v>
      </c>
      <c r="T26" s="4">
        <v>0.86099999999999999</v>
      </c>
      <c r="U26" s="4">
        <v>45</v>
      </c>
      <c r="V26" s="4">
        <v>213</v>
      </c>
      <c r="W26" s="4">
        <v>71</v>
      </c>
      <c r="X26" s="4">
        <v>85</v>
      </c>
      <c r="Y26" s="4">
        <v>31</v>
      </c>
      <c r="Z26" s="4">
        <v>51</v>
      </c>
      <c r="AA26" s="4">
        <v>74</v>
      </c>
      <c r="AB26" s="4">
        <v>530</v>
      </c>
      <c r="AC26" s="5">
        <f t="shared" si="0"/>
        <v>1.392156862745098</v>
      </c>
    </row>
    <row r="27" spans="1:29" ht="15.75" customHeight="1" x14ac:dyDescent="0.25">
      <c r="A27" s="1" t="s">
        <v>125</v>
      </c>
      <c r="B27" s="3" t="s">
        <v>114</v>
      </c>
      <c r="C27" s="4" t="s">
        <v>100</v>
      </c>
      <c r="D27" s="4">
        <v>30</v>
      </c>
      <c r="E27" s="4">
        <v>941</v>
      </c>
      <c r="F27" s="4">
        <v>30</v>
      </c>
      <c r="G27" s="4">
        <v>30</v>
      </c>
      <c r="H27" s="4">
        <v>941</v>
      </c>
      <c r="I27" s="4">
        <v>172</v>
      </c>
      <c r="J27" s="4">
        <v>404</v>
      </c>
      <c r="K27" s="4">
        <v>0.42599999999999999</v>
      </c>
      <c r="L27" s="4">
        <v>42</v>
      </c>
      <c r="M27" s="4">
        <v>96</v>
      </c>
      <c r="N27" s="4">
        <v>0.438</v>
      </c>
      <c r="O27" s="4">
        <v>130</v>
      </c>
      <c r="P27" s="4">
        <v>308</v>
      </c>
      <c r="Q27" s="4">
        <v>0.42199999999999999</v>
      </c>
      <c r="R27" s="4">
        <v>157</v>
      </c>
      <c r="S27" s="4">
        <v>169</v>
      </c>
      <c r="T27" s="4">
        <v>0.92900000000000005</v>
      </c>
      <c r="U27" s="4">
        <v>42</v>
      </c>
      <c r="V27" s="4">
        <v>167</v>
      </c>
      <c r="W27" s="4">
        <v>53</v>
      </c>
      <c r="X27" s="4">
        <v>20</v>
      </c>
      <c r="Y27" s="4">
        <v>54</v>
      </c>
      <c r="Z27" s="4">
        <v>39</v>
      </c>
      <c r="AA27" s="4">
        <v>47</v>
      </c>
      <c r="AB27" s="4">
        <v>543</v>
      </c>
      <c r="AC27" s="5">
        <f t="shared" si="0"/>
        <v>1.358974358974359</v>
      </c>
    </row>
    <row r="28" spans="1:29" ht="15.75" customHeight="1" x14ac:dyDescent="0.25">
      <c r="A28" s="1" t="s">
        <v>126</v>
      </c>
      <c r="B28" s="3" t="s">
        <v>99</v>
      </c>
      <c r="C28" s="4" t="s">
        <v>8</v>
      </c>
      <c r="D28" s="4">
        <v>34</v>
      </c>
      <c r="E28" s="4">
        <v>935</v>
      </c>
      <c r="F28" s="4">
        <v>34</v>
      </c>
      <c r="G28" s="4">
        <v>29</v>
      </c>
      <c r="H28" s="4">
        <v>935</v>
      </c>
      <c r="I28" s="4">
        <v>120</v>
      </c>
      <c r="J28" s="4">
        <v>334</v>
      </c>
      <c r="K28" s="4">
        <v>0.35899999999999999</v>
      </c>
      <c r="L28" s="4">
        <v>16</v>
      </c>
      <c r="M28" s="4">
        <v>74</v>
      </c>
      <c r="N28" s="4">
        <v>0.216</v>
      </c>
      <c r="O28" s="4">
        <v>104</v>
      </c>
      <c r="P28" s="4">
        <v>260</v>
      </c>
      <c r="Q28" s="4">
        <v>0.4</v>
      </c>
      <c r="R28" s="4">
        <v>32</v>
      </c>
      <c r="S28" s="4">
        <v>46</v>
      </c>
      <c r="T28" s="4">
        <v>0.69599999999999995</v>
      </c>
      <c r="U28" s="4">
        <v>24</v>
      </c>
      <c r="V28" s="4">
        <v>103</v>
      </c>
      <c r="W28" s="4">
        <v>106</v>
      </c>
      <c r="X28" s="4">
        <v>29</v>
      </c>
      <c r="Y28" s="4">
        <v>9</v>
      </c>
      <c r="Z28" s="4">
        <v>71</v>
      </c>
      <c r="AA28" s="4">
        <v>63</v>
      </c>
      <c r="AB28" s="4">
        <v>288</v>
      </c>
      <c r="AC28" s="5">
        <f t="shared" si="0"/>
        <v>1.4929577464788732</v>
      </c>
    </row>
    <row r="29" spans="1:29" ht="15.75" customHeight="1" x14ac:dyDescent="0.25">
      <c r="A29" s="1" t="s">
        <v>127</v>
      </c>
      <c r="B29" s="3" t="s">
        <v>114</v>
      </c>
      <c r="C29" s="4" t="s">
        <v>8</v>
      </c>
      <c r="D29" s="4">
        <v>31</v>
      </c>
      <c r="E29" s="4">
        <v>930</v>
      </c>
      <c r="F29" s="4">
        <v>31</v>
      </c>
      <c r="G29" s="4">
        <v>31</v>
      </c>
      <c r="H29" s="4">
        <v>930</v>
      </c>
      <c r="I29" s="4">
        <v>148</v>
      </c>
      <c r="J29" s="4">
        <v>394</v>
      </c>
      <c r="K29" s="4">
        <v>0.376</v>
      </c>
      <c r="L29" s="4">
        <v>61</v>
      </c>
      <c r="M29" s="4">
        <v>154</v>
      </c>
      <c r="N29" s="4">
        <v>0.39600000000000002</v>
      </c>
      <c r="O29" s="4">
        <v>87</v>
      </c>
      <c r="P29" s="4">
        <v>240</v>
      </c>
      <c r="Q29" s="4">
        <v>0.36299999999999999</v>
      </c>
      <c r="R29" s="4">
        <v>108</v>
      </c>
      <c r="S29" s="4">
        <v>120</v>
      </c>
      <c r="T29" s="4">
        <v>0.9</v>
      </c>
      <c r="U29" s="4">
        <v>18</v>
      </c>
      <c r="V29" s="4">
        <v>84</v>
      </c>
      <c r="W29" s="4">
        <v>93</v>
      </c>
      <c r="X29" s="4">
        <v>51</v>
      </c>
      <c r="Y29" s="4">
        <v>12</v>
      </c>
      <c r="Z29" s="4">
        <v>43</v>
      </c>
      <c r="AA29" s="4">
        <v>45</v>
      </c>
      <c r="AB29" s="4">
        <v>465</v>
      </c>
      <c r="AC29" s="5">
        <f t="shared" si="0"/>
        <v>2.1627906976744184</v>
      </c>
    </row>
    <row r="30" spans="1:29" ht="15.75" customHeight="1" x14ac:dyDescent="0.25">
      <c r="A30" s="1" t="s">
        <v>128</v>
      </c>
      <c r="B30" s="3" t="s">
        <v>91</v>
      </c>
      <c r="C30" s="4" t="s">
        <v>87</v>
      </c>
      <c r="D30" s="4">
        <v>31</v>
      </c>
      <c r="E30" s="4">
        <v>922</v>
      </c>
      <c r="F30" s="4">
        <v>31</v>
      </c>
      <c r="G30" s="4">
        <v>31</v>
      </c>
      <c r="H30" s="4">
        <v>922</v>
      </c>
      <c r="I30" s="4">
        <v>213</v>
      </c>
      <c r="J30" s="4">
        <v>413</v>
      </c>
      <c r="K30" s="4">
        <v>0.51600000000000001</v>
      </c>
      <c r="L30" s="4">
        <v>20</v>
      </c>
      <c r="M30" s="4">
        <v>69</v>
      </c>
      <c r="N30" s="4">
        <v>0.28999999999999998</v>
      </c>
      <c r="O30" s="4">
        <v>193</v>
      </c>
      <c r="P30" s="4">
        <v>344</v>
      </c>
      <c r="Q30" s="4">
        <v>0.56100000000000005</v>
      </c>
      <c r="R30" s="4">
        <v>58</v>
      </c>
      <c r="S30" s="4">
        <v>66</v>
      </c>
      <c r="T30" s="4">
        <v>0.879</v>
      </c>
      <c r="U30" s="4">
        <v>24</v>
      </c>
      <c r="V30" s="4">
        <v>98</v>
      </c>
      <c r="W30" s="4">
        <v>76</v>
      </c>
      <c r="X30" s="4">
        <v>18</v>
      </c>
      <c r="Y30" s="4">
        <v>18</v>
      </c>
      <c r="Z30" s="4">
        <v>45</v>
      </c>
      <c r="AA30" s="4">
        <v>33</v>
      </c>
      <c r="AB30" s="4">
        <v>504</v>
      </c>
      <c r="AC30" s="5">
        <f t="shared" si="0"/>
        <v>1.6888888888888889</v>
      </c>
    </row>
    <row r="31" spans="1:29" ht="15.75" customHeight="1" x14ac:dyDescent="0.25">
      <c r="A31" s="1" t="s">
        <v>129</v>
      </c>
      <c r="B31" s="3" t="s">
        <v>106</v>
      </c>
      <c r="C31" s="4" t="s">
        <v>100</v>
      </c>
      <c r="D31" s="4">
        <v>34</v>
      </c>
      <c r="E31" s="4">
        <v>913</v>
      </c>
      <c r="F31" s="4">
        <v>34</v>
      </c>
      <c r="G31" s="4">
        <v>28</v>
      </c>
      <c r="H31" s="4">
        <v>913</v>
      </c>
      <c r="I31" s="4">
        <v>101</v>
      </c>
      <c r="J31" s="4">
        <v>271</v>
      </c>
      <c r="K31" s="4">
        <v>0.373</v>
      </c>
      <c r="L31" s="4">
        <v>30</v>
      </c>
      <c r="M31" s="4">
        <v>100</v>
      </c>
      <c r="N31" s="4">
        <v>0.3</v>
      </c>
      <c r="O31" s="4">
        <v>71</v>
      </c>
      <c r="P31" s="4">
        <v>171</v>
      </c>
      <c r="Q31" s="4">
        <v>0.41499999999999998</v>
      </c>
      <c r="R31" s="4">
        <v>60</v>
      </c>
      <c r="S31" s="4">
        <v>74</v>
      </c>
      <c r="T31" s="4">
        <v>0.81100000000000005</v>
      </c>
      <c r="U31" s="4">
        <v>64</v>
      </c>
      <c r="V31" s="4">
        <v>141</v>
      </c>
      <c r="W31" s="4">
        <v>37</v>
      </c>
      <c r="X31" s="4">
        <v>63</v>
      </c>
      <c r="Y31" s="4">
        <v>11</v>
      </c>
      <c r="Z31" s="4">
        <v>42</v>
      </c>
      <c r="AA31" s="4">
        <v>81</v>
      </c>
      <c r="AB31" s="4">
        <v>292</v>
      </c>
      <c r="AC31" s="5">
        <f t="shared" si="0"/>
        <v>0.88095238095238093</v>
      </c>
    </row>
    <row r="32" spans="1:29" ht="15.75" customHeight="1" x14ac:dyDescent="0.25">
      <c r="A32" s="1" t="s">
        <v>130</v>
      </c>
      <c r="B32" s="3" t="s">
        <v>106</v>
      </c>
      <c r="C32" s="4" t="s">
        <v>8</v>
      </c>
      <c r="D32" s="4">
        <v>29</v>
      </c>
      <c r="E32" s="4">
        <v>908</v>
      </c>
      <c r="F32" s="4">
        <v>29</v>
      </c>
      <c r="G32" s="4">
        <v>29</v>
      </c>
      <c r="H32" s="4">
        <v>908</v>
      </c>
      <c r="I32" s="4">
        <v>146</v>
      </c>
      <c r="J32" s="4">
        <v>352</v>
      </c>
      <c r="K32" s="4">
        <v>0.41499999999999998</v>
      </c>
      <c r="L32" s="4">
        <v>39</v>
      </c>
      <c r="M32" s="4">
        <v>112</v>
      </c>
      <c r="N32" s="4">
        <v>0.34799999999999998</v>
      </c>
      <c r="O32" s="4">
        <v>107</v>
      </c>
      <c r="P32" s="4">
        <v>240</v>
      </c>
      <c r="Q32" s="4">
        <v>0.44600000000000001</v>
      </c>
      <c r="R32" s="4">
        <v>96</v>
      </c>
      <c r="S32" s="4">
        <v>123</v>
      </c>
      <c r="T32" s="4">
        <v>0.78</v>
      </c>
      <c r="U32" s="4">
        <v>27</v>
      </c>
      <c r="V32" s="4">
        <v>100</v>
      </c>
      <c r="W32" s="4">
        <v>48</v>
      </c>
      <c r="X32" s="4">
        <v>27</v>
      </c>
      <c r="Y32" s="4">
        <v>21</v>
      </c>
      <c r="Z32" s="4">
        <v>54</v>
      </c>
      <c r="AA32" s="4">
        <v>93</v>
      </c>
      <c r="AB32" s="4">
        <v>427</v>
      </c>
      <c r="AC32" s="5">
        <f t="shared" si="0"/>
        <v>0.88888888888888884</v>
      </c>
    </row>
    <row r="33" spans="1:29" ht="15.75" customHeight="1" x14ac:dyDescent="0.25">
      <c r="A33" s="1" t="s">
        <v>131</v>
      </c>
      <c r="B33" s="3" t="s">
        <v>104</v>
      </c>
      <c r="C33" s="4" t="s">
        <v>8</v>
      </c>
      <c r="D33" s="4">
        <v>34</v>
      </c>
      <c r="E33" s="4">
        <v>904</v>
      </c>
      <c r="F33" s="4">
        <v>34</v>
      </c>
      <c r="G33" s="4">
        <v>30</v>
      </c>
      <c r="H33" s="4">
        <v>904</v>
      </c>
      <c r="I33" s="4">
        <v>76</v>
      </c>
      <c r="J33" s="4">
        <v>203</v>
      </c>
      <c r="K33" s="4">
        <v>0.374</v>
      </c>
      <c r="L33" s="4">
        <v>28</v>
      </c>
      <c r="M33" s="4">
        <v>89</v>
      </c>
      <c r="N33" s="4">
        <v>0.315</v>
      </c>
      <c r="O33" s="4">
        <v>48</v>
      </c>
      <c r="P33" s="4">
        <v>114</v>
      </c>
      <c r="Q33" s="4">
        <v>0.42099999999999999</v>
      </c>
      <c r="R33" s="4">
        <v>28</v>
      </c>
      <c r="S33" s="4">
        <v>33</v>
      </c>
      <c r="T33" s="4">
        <v>0.84799999999999998</v>
      </c>
      <c r="U33" s="4">
        <v>9</v>
      </c>
      <c r="V33" s="4">
        <v>64</v>
      </c>
      <c r="W33" s="4">
        <v>61</v>
      </c>
      <c r="X33" s="4">
        <v>24</v>
      </c>
      <c r="Y33" s="4">
        <v>6</v>
      </c>
      <c r="Z33" s="4">
        <v>43</v>
      </c>
      <c r="AA33" s="4">
        <v>53</v>
      </c>
      <c r="AB33" s="4">
        <v>208</v>
      </c>
      <c r="AC33" s="5">
        <f t="shared" si="0"/>
        <v>1.4186046511627908</v>
      </c>
    </row>
    <row r="34" spans="1:29" ht="15.75" customHeight="1" x14ac:dyDescent="0.25">
      <c r="A34" s="1" t="s">
        <v>132</v>
      </c>
      <c r="B34" s="3" t="s">
        <v>97</v>
      </c>
      <c r="C34" s="4" t="s">
        <v>8</v>
      </c>
      <c r="D34" s="4">
        <v>33</v>
      </c>
      <c r="E34" s="4">
        <v>901</v>
      </c>
      <c r="F34" s="4">
        <v>33</v>
      </c>
      <c r="G34" s="4">
        <v>24</v>
      </c>
      <c r="H34" s="4">
        <v>901</v>
      </c>
      <c r="I34" s="4">
        <v>144</v>
      </c>
      <c r="J34" s="4">
        <v>365</v>
      </c>
      <c r="K34" s="4">
        <v>0.39500000000000002</v>
      </c>
      <c r="L34" s="4">
        <v>23</v>
      </c>
      <c r="M34" s="4">
        <v>84</v>
      </c>
      <c r="N34" s="4">
        <v>0.27400000000000002</v>
      </c>
      <c r="O34" s="4">
        <v>121</v>
      </c>
      <c r="P34" s="4">
        <v>281</v>
      </c>
      <c r="Q34" s="4">
        <v>0.43099999999999999</v>
      </c>
      <c r="R34" s="4">
        <v>53</v>
      </c>
      <c r="S34" s="4">
        <v>67</v>
      </c>
      <c r="T34" s="4">
        <v>0.79100000000000004</v>
      </c>
      <c r="U34" s="4">
        <v>40</v>
      </c>
      <c r="V34" s="4">
        <v>128</v>
      </c>
      <c r="W34" s="4">
        <v>79</v>
      </c>
      <c r="X34" s="4">
        <v>42</v>
      </c>
      <c r="Y34" s="4">
        <v>6</v>
      </c>
      <c r="Z34" s="4">
        <v>60</v>
      </c>
      <c r="AA34" s="4">
        <v>55</v>
      </c>
      <c r="AB34" s="4">
        <v>364</v>
      </c>
      <c r="AC34" s="5">
        <f t="shared" si="0"/>
        <v>1.3166666666666667</v>
      </c>
    </row>
    <row r="35" spans="1:29" ht="15.75" customHeight="1" x14ac:dyDescent="0.25">
      <c r="A35" s="1" t="s">
        <v>133</v>
      </c>
      <c r="B35" s="3" t="s">
        <v>97</v>
      </c>
      <c r="C35" s="4" t="s">
        <v>110</v>
      </c>
      <c r="D35" s="4">
        <v>34</v>
      </c>
      <c r="E35" s="4">
        <v>899</v>
      </c>
      <c r="F35" s="4">
        <v>34</v>
      </c>
      <c r="G35" s="4">
        <v>24</v>
      </c>
      <c r="H35" s="4">
        <v>899</v>
      </c>
      <c r="I35" s="4">
        <v>170</v>
      </c>
      <c r="J35" s="4">
        <v>399</v>
      </c>
      <c r="K35" s="4">
        <v>0.42599999999999999</v>
      </c>
      <c r="L35" s="4">
        <v>42</v>
      </c>
      <c r="M35" s="4">
        <v>129</v>
      </c>
      <c r="N35" s="4">
        <v>0.32600000000000001</v>
      </c>
      <c r="O35" s="4">
        <v>128</v>
      </c>
      <c r="P35" s="4">
        <v>270</v>
      </c>
      <c r="Q35" s="4">
        <v>0.47399999999999998</v>
      </c>
      <c r="R35" s="4">
        <v>106</v>
      </c>
      <c r="S35" s="4">
        <v>150</v>
      </c>
      <c r="T35" s="4">
        <v>0.70699999999999996</v>
      </c>
      <c r="U35" s="4">
        <v>53</v>
      </c>
      <c r="V35" s="4">
        <v>161</v>
      </c>
      <c r="W35" s="4">
        <v>42</v>
      </c>
      <c r="X35" s="4">
        <v>29</v>
      </c>
      <c r="Y35" s="4">
        <v>25</v>
      </c>
      <c r="Z35" s="4">
        <v>61</v>
      </c>
      <c r="AA35" s="4">
        <v>95</v>
      </c>
      <c r="AB35" s="4">
        <v>488</v>
      </c>
      <c r="AC35" s="5">
        <f t="shared" si="0"/>
        <v>0.68852459016393441</v>
      </c>
    </row>
    <row r="36" spans="1:29" ht="15.75" customHeight="1" x14ac:dyDescent="0.25">
      <c r="A36" s="1" t="s">
        <v>134</v>
      </c>
      <c r="B36" s="3" t="s">
        <v>108</v>
      </c>
      <c r="C36" s="4" t="s">
        <v>110</v>
      </c>
      <c r="D36" s="4">
        <v>31</v>
      </c>
      <c r="E36" s="4">
        <v>889</v>
      </c>
      <c r="F36" s="4">
        <v>31</v>
      </c>
      <c r="G36" s="4">
        <v>31</v>
      </c>
      <c r="H36" s="4">
        <v>889</v>
      </c>
      <c r="I36" s="4">
        <v>208</v>
      </c>
      <c r="J36" s="4">
        <v>422</v>
      </c>
      <c r="K36" s="4">
        <v>0.49299999999999999</v>
      </c>
      <c r="L36" s="4">
        <v>9</v>
      </c>
      <c r="M36" s="4">
        <v>35</v>
      </c>
      <c r="N36" s="4">
        <v>0.25700000000000001</v>
      </c>
      <c r="O36" s="4">
        <v>199</v>
      </c>
      <c r="P36" s="4">
        <v>387</v>
      </c>
      <c r="Q36" s="4">
        <v>0.51400000000000001</v>
      </c>
      <c r="R36" s="4">
        <v>131</v>
      </c>
      <c r="S36" s="4">
        <v>172</v>
      </c>
      <c r="T36" s="4">
        <v>0.76200000000000001</v>
      </c>
      <c r="U36" s="4">
        <v>44</v>
      </c>
      <c r="V36" s="4">
        <v>269</v>
      </c>
      <c r="W36" s="4">
        <v>117</v>
      </c>
      <c r="X36" s="4">
        <v>40</v>
      </c>
      <c r="Y36" s="4">
        <v>57</v>
      </c>
      <c r="Z36" s="4">
        <v>71</v>
      </c>
      <c r="AA36" s="4">
        <v>42</v>
      </c>
      <c r="AB36" s="4">
        <v>556</v>
      </c>
      <c r="AC36" s="5">
        <f t="shared" si="0"/>
        <v>1.647887323943662</v>
      </c>
    </row>
    <row r="37" spans="1:29" ht="15.75" customHeight="1" x14ac:dyDescent="0.25">
      <c r="A37" s="1" t="s">
        <v>135</v>
      </c>
      <c r="B37" s="3" t="s">
        <v>122</v>
      </c>
      <c r="C37" s="4" t="s">
        <v>8</v>
      </c>
      <c r="D37" s="4">
        <v>34</v>
      </c>
      <c r="E37" s="4">
        <v>888</v>
      </c>
      <c r="F37" s="4">
        <v>34</v>
      </c>
      <c r="G37" s="4">
        <v>31</v>
      </c>
      <c r="H37" s="4">
        <v>888</v>
      </c>
      <c r="I37" s="4">
        <v>70</v>
      </c>
      <c r="J37" s="4">
        <v>172</v>
      </c>
      <c r="K37" s="4">
        <v>0.40699999999999997</v>
      </c>
      <c r="L37" s="4">
        <v>4</v>
      </c>
      <c r="M37" s="4">
        <v>26</v>
      </c>
      <c r="N37" s="4">
        <v>0.154</v>
      </c>
      <c r="O37" s="4">
        <v>66</v>
      </c>
      <c r="P37" s="4">
        <v>146</v>
      </c>
      <c r="Q37" s="4">
        <v>0.45200000000000001</v>
      </c>
      <c r="R37" s="4">
        <v>30</v>
      </c>
      <c r="S37" s="4">
        <v>41</v>
      </c>
      <c r="T37" s="4">
        <v>0.73199999999999998</v>
      </c>
      <c r="U37" s="4">
        <v>38</v>
      </c>
      <c r="V37" s="4">
        <v>126</v>
      </c>
      <c r="W37" s="4">
        <v>50</v>
      </c>
      <c r="X37" s="4">
        <v>38</v>
      </c>
      <c r="Y37" s="4">
        <v>13</v>
      </c>
      <c r="Z37" s="4">
        <v>36</v>
      </c>
      <c r="AA37" s="4">
        <v>56</v>
      </c>
      <c r="AB37" s="4">
        <v>174</v>
      </c>
      <c r="AC37" s="5">
        <f t="shared" si="0"/>
        <v>1.3888888888888888</v>
      </c>
    </row>
    <row r="38" spans="1:29" ht="15.75" customHeight="1" x14ac:dyDescent="0.25">
      <c r="A38" s="1" t="s">
        <v>136</v>
      </c>
      <c r="B38" s="3" t="s">
        <v>104</v>
      </c>
      <c r="C38" s="4" t="s">
        <v>92</v>
      </c>
      <c r="D38" s="4">
        <v>32</v>
      </c>
      <c r="E38" s="4">
        <v>883</v>
      </c>
      <c r="F38" s="4">
        <v>32</v>
      </c>
      <c r="G38" s="4">
        <v>27</v>
      </c>
      <c r="H38" s="4">
        <v>883</v>
      </c>
      <c r="I38" s="4">
        <v>147</v>
      </c>
      <c r="J38" s="4">
        <v>367</v>
      </c>
      <c r="K38" s="4">
        <v>0.40100000000000002</v>
      </c>
      <c r="L38" s="4">
        <v>0</v>
      </c>
      <c r="M38" s="4">
        <v>7</v>
      </c>
      <c r="N38" s="4">
        <v>0</v>
      </c>
      <c r="O38" s="4">
        <v>147</v>
      </c>
      <c r="P38" s="4">
        <v>360</v>
      </c>
      <c r="Q38" s="4">
        <v>0.40799999999999997</v>
      </c>
      <c r="R38" s="4">
        <v>77</v>
      </c>
      <c r="S38" s="4">
        <v>107</v>
      </c>
      <c r="T38" s="4">
        <v>0.72</v>
      </c>
      <c r="U38" s="4">
        <v>63</v>
      </c>
      <c r="V38" s="4">
        <v>186</v>
      </c>
      <c r="W38" s="4">
        <v>80</v>
      </c>
      <c r="X38" s="4">
        <v>16</v>
      </c>
      <c r="Y38" s="4">
        <v>20</v>
      </c>
      <c r="Z38" s="4">
        <v>79</v>
      </c>
      <c r="AA38" s="4">
        <v>68</v>
      </c>
      <c r="AB38" s="4">
        <v>371</v>
      </c>
      <c r="AC38" s="5">
        <f t="shared" si="0"/>
        <v>1.0126582278481013</v>
      </c>
    </row>
    <row r="39" spans="1:29" ht="15.75" customHeight="1" x14ac:dyDescent="0.25">
      <c r="A39" s="1" t="s">
        <v>137</v>
      </c>
      <c r="B39" s="3" t="s">
        <v>89</v>
      </c>
      <c r="C39" s="4" t="s">
        <v>92</v>
      </c>
      <c r="D39" s="4">
        <v>34</v>
      </c>
      <c r="E39" s="4">
        <v>881</v>
      </c>
      <c r="F39" s="4">
        <v>34</v>
      </c>
      <c r="G39" s="4">
        <v>34</v>
      </c>
      <c r="H39" s="4">
        <v>881</v>
      </c>
      <c r="I39" s="4">
        <v>121</v>
      </c>
      <c r="J39" s="4">
        <v>302</v>
      </c>
      <c r="K39" s="4">
        <v>0.40100000000000002</v>
      </c>
      <c r="L39" s="4">
        <v>22</v>
      </c>
      <c r="M39" s="4">
        <v>64</v>
      </c>
      <c r="N39" s="4">
        <v>0.34399999999999997</v>
      </c>
      <c r="O39" s="4">
        <v>99</v>
      </c>
      <c r="P39" s="4">
        <v>238</v>
      </c>
      <c r="Q39" s="4">
        <v>0.41599999999999998</v>
      </c>
      <c r="R39" s="4">
        <v>92</v>
      </c>
      <c r="S39" s="4">
        <v>113</v>
      </c>
      <c r="T39" s="4">
        <v>0.81399999999999995</v>
      </c>
      <c r="U39" s="4">
        <v>33</v>
      </c>
      <c r="V39" s="4">
        <v>169</v>
      </c>
      <c r="W39" s="4">
        <v>51</v>
      </c>
      <c r="X39" s="4">
        <v>39</v>
      </c>
      <c r="Y39" s="4">
        <v>8</v>
      </c>
      <c r="Z39" s="4">
        <v>62</v>
      </c>
      <c r="AA39" s="4">
        <v>100</v>
      </c>
      <c r="AB39" s="4">
        <v>356</v>
      </c>
      <c r="AC39" s="5">
        <f t="shared" si="0"/>
        <v>0.82258064516129037</v>
      </c>
    </row>
    <row r="40" spans="1:29" ht="15.75" customHeight="1" x14ac:dyDescent="0.25">
      <c r="A40" s="1" t="s">
        <v>138</v>
      </c>
      <c r="B40" s="3" t="s">
        <v>108</v>
      </c>
      <c r="C40" s="4" t="s">
        <v>92</v>
      </c>
      <c r="D40" s="4">
        <v>34</v>
      </c>
      <c r="E40" s="4">
        <v>878</v>
      </c>
      <c r="F40" s="4">
        <v>34</v>
      </c>
      <c r="G40" s="4">
        <v>34</v>
      </c>
      <c r="H40" s="4">
        <v>878</v>
      </c>
      <c r="I40" s="4">
        <v>192</v>
      </c>
      <c r="J40" s="4">
        <v>339</v>
      </c>
      <c r="K40" s="4">
        <v>0.56599999999999995</v>
      </c>
      <c r="L40" s="4">
        <v>2</v>
      </c>
      <c r="M40" s="4">
        <v>5</v>
      </c>
      <c r="N40" s="4">
        <v>0.4</v>
      </c>
      <c r="O40" s="4">
        <v>190</v>
      </c>
      <c r="P40" s="4">
        <v>334</v>
      </c>
      <c r="Q40" s="4">
        <v>0.56899999999999995</v>
      </c>
      <c r="R40" s="4">
        <v>109</v>
      </c>
      <c r="S40" s="4">
        <v>132</v>
      </c>
      <c r="T40" s="4">
        <v>0.82599999999999996</v>
      </c>
      <c r="U40" s="4">
        <v>95</v>
      </c>
      <c r="V40" s="4">
        <v>258</v>
      </c>
      <c r="W40" s="4">
        <v>45</v>
      </c>
      <c r="X40" s="4">
        <v>50</v>
      </c>
      <c r="Y40" s="4">
        <v>33</v>
      </c>
      <c r="Z40" s="4">
        <v>66</v>
      </c>
      <c r="AA40" s="4">
        <v>101</v>
      </c>
      <c r="AB40" s="4">
        <v>495</v>
      </c>
      <c r="AC40" s="5">
        <f t="shared" si="0"/>
        <v>0.68181818181818177</v>
      </c>
    </row>
    <row r="41" spans="1:29" ht="15.75" customHeight="1" x14ac:dyDescent="0.25">
      <c r="A41" s="1" t="s">
        <v>139</v>
      </c>
      <c r="B41" s="3" t="s">
        <v>95</v>
      </c>
      <c r="C41" s="4" t="s">
        <v>8</v>
      </c>
      <c r="D41" s="4">
        <v>32</v>
      </c>
      <c r="E41" s="4">
        <v>877</v>
      </c>
      <c r="F41" s="4">
        <v>32</v>
      </c>
      <c r="G41" s="4">
        <v>32</v>
      </c>
      <c r="H41" s="4">
        <v>877</v>
      </c>
      <c r="I41" s="4">
        <v>114</v>
      </c>
      <c r="J41" s="4">
        <v>266</v>
      </c>
      <c r="K41" s="4">
        <v>0.42899999999999999</v>
      </c>
      <c r="L41" s="4">
        <v>21</v>
      </c>
      <c r="M41" s="4">
        <v>57</v>
      </c>
      <c r="N41" s="4">
        <v>0.36799999999999999</v>
      </c>
      <c r="O41" s="4">
        <v>93</v>
      </c>
      <c r="P41" s="4">
        <v>209</v>
      </c>
      <c r="Q41" s="4">
        <v>0.44500000000000001</v>
      </c>
      <c r="R41" s="4">
        <v>77</v>
      </c>
      <c r="S41" s="4">
        <v>88</v>
      </c>
      <c r="T41" s="4">
        <v>0.875</v>
      </c>
      <c r="U41" s="4">
        <v>13</v>
      </c>
      <c r="V41" s="4">
        <v>82</v>
      </c>
      <c r="W41" s="4">
        <v>127</v>
      </c>
      <c r="X41" s="4">
        <v>28</v>
      </c>
      <c r="Y41" s="4">
        <v>3</v>
      </c>
      <c r="Z41" s="4">
        <v>85</v>
      </c>
      <c r="AA41" s="4">
        <v>68</v>
      </c>
      <c r="AB41" s="4">
        <v>326</v>
      </c>
      <c r="AC41" s="5">
        <f t="shared" si="0"/>
        <v>1.4941176470588236</v>
      </c>
    </row>
    <row r="42" spans="1:29" ht="15.75" customHeight="1" x14ac:dyDescent="0.25">
      <c r="A42" s="1" t="s">
        <v>140</v>
      </c>
      <c r="B42" s="3" t="s">
        <v>141</v>
      </c>
      <c r="C42" s="4" t="s">
        <v>8</v>
      </c>
      <c r="D42" s="4">
        <v>32</v>
      </c>
      <c r="E42" s="4">
        <v>876</v>
      </c>
      <c r="F42" s="4">
        <v>32</v>
      </c>
      <c r="G42" s="4">
        <v>31</v>
      </c>
      <c r="H42" s="4">
        <v>876</v>
      </c>
      <c r="I42" s="4">
        <v>103</v>
      </c>
      <c r="J42" s="4">
        <v>284</v>
      </c>
      <c r="K42" s="4">
        <v>0.36299999999999999</v>
      </c>
      <c r="L42" s="4">
        <v>57</v>
      </c>
      <c r="M42" s="4">
        <v>157</v>
      </c>
      <c r="N42" s="4">
        <v>0.36299999999999999</v>
      </c>
      <c r="O42" s="4">
        <v>46</v>
      </c>
      <c r="P42" s="4">
        <v>127</v>
      </c>
      <c r="Q42" s="4">
        <v>0.36199999999999999</v>
      </c>
      <c r="R42" s="4">
        <v>61</v>
      </c>
      <c r="S42" s="4">
        <v>77</v>
      </c>
      <c r="T42" s="4">
        <v>0.79200000000000004</v>
      </c>
      <c r="U42" s="4">
        <v>27</v>
      </c>
      <c r="V42" s="4">
        <v>92</v>
      </c>
      <c r="W42" s="4">
        <v>63</v>
      </c>
      <c r="X42" s="4">
        <v>39</v>
      </c>
      <c r="Y42" s="4">
        <v>7</v>
      </c>
      <c r="Z42" s="4">
        <v>59</v>
      </c>
      <c r="AA42" s="4">
        <v>93</v>
      </c>
      <c r="AB42" s="4">
        <v>324</v>
      </c>
      <c r="AC42" s="5">
        <f t="shared" si="0"/>
        <v>1.0677966101694916</v>
      </c>
    </row>
    <row r="43" spans="1:29" ht="15.75" customHeight="1" x14ac:dyDescent="0.25">
      <c r="A43" s="1" t="s">
        <v>142</v>
      </c>
      <c r="B43" s="3" t="s">
        <v>141</v>
      </c>
      <c r="C43" s="4" t="s">
        <v>92</v>
      </c>
      <c r="D43" s="4">
        <v>29</v>
      </c>
      <c r="E43" s="4">
        <v>875</v>
      </c>
      <c r="F43" s="4">
        <v>29</v>
      </c>
      <c r="G43" s="4">
        <v>28</v>
      </c>
      <c r="H43" s="4">
        <v>875</v>
      </c>
      <c r="I43" s="4">
        <v>152</v>
      </c>
      <c r="J43" s="4">
        <v>341</v>
      </c>
      <c r="K43" s="4">
        <v>0.44600000000000001</v>
      </c>
      <c r="L43" s="4">
        <v>1</v>
      </c>
      <c r="M43" s="4">
        <v>3</v>
      </c>
      <c r="N43" s="4">
        <v>0.33300000000000002</v>
      </c>
      <c r="O43" s="4">
        <v>151</v>
      </c>
      <c r="P43" s="4">
        <v>338</v>
      </c>
      <c r="Q43" s="4">
        <v>0.44700000000000001</v>
      </c>
      <c r="R43" s="4">
        <v>130</v>
      </c>
      <c r="S43" s="4">
        <v>174</v>
      </c>
      <c r="T43" s="4">
        <v>0.747</v>
      </c>
      <c r="U43" s="4">
        <v>95</v>
      </c>
      <c r="V43" s="4">
        <v>258</v>
      </c>
      <c r="W43" s="4">
        <v>33</v>
      </c>
      <c r="X43" s="4">
        <v>30</v>
      </c>
      <c r="Y43" s="4">
        <v>12</v>
      </c>
      <c r="Z43" s="4">
        <v>60</v>
      </c>
      <c r="AA43" s="4">
        <v>71</v>
      </c>
      <c r="AB43" s="4">
        <v>435</v>
      </c>
      <c r="AC43" s="5">
        <f t="shared" si="0"/>
        <v>0.55000000000000004</v>
      </c>
    </row>
    <row r="44" spans="1:29" ht="15.75" customHeight="1" x14ac:dyDescent="0.25">
      <c r="A44" s="1" t="s">
        <v>143</v>
      </c>
      <c r="B44" s="3" t="s">
        <v>95</v>
      </c>
      <c r="C44" s="4" t="s">
        <v>8</v>
      </c>
      <c r="D44" s="4">
        <v>34</v>
      </c>
      <c r="E44" s="4">
        <v>870</v>
      </c>
      <c r="F44" s="4">
        <v>34</v>
      </c>
      <c r="G44" s="4">
        <v>15</v>
      </c>
      <c r="H44" s="4">
        <v>870</v>
      </c>
      <c r="I44" s="4">
        <v>70</v>
      </c>
      <c r="J44" s="4">
        <v>198</v>
      </c>
      <c r="K44" s="4">
        <v>0.35399999999999998</v>
      </c>
      <c r="L44" s="4">
        <v>13</v>
      </c>
      <c r="M44" s="4">
        <v>56</v>
      </c>
      <c r="N44" s="4">
        <v>0.23200000000000001</v>
      </c>
      <c r="O44" s="4">
        <v>57</v>
      </c>
      <c r="P44" s="4">
        <v>142</v>
      </c>
      <c r="Q44" s="4">
        <v>0.40100000000000002</v>
      </c>
      <c r="R44" s="4">
        <v>32</v>
      </c>
      <c r="S44" s="4">
        <v>38</v>
      </c>
      <c r="T44" s="4">
        <v>0.84199999999999997</v>
      </c>
      <c r="U44" s="4">
        <v>21</v>
      </c>
      <c r="V44" s="4">
        <v>165</v>
      </c>
      <c r="W44" s="4">
        <v>56</v>
      </c>
      <c r="X44" s="4">
        <v>28</v>
      </c>
      <c r="Y44" s="4">
        <v>8</v>
      </c>
      <c r="Z44" s="4">
        <v>42</v>
      </c>
      <c r="AA44" s="4">
        <v>39</v>
      </c>
      <c r="AB44" s="4">
        <v>185</v>
      </c>
      <c r="AC44" s="5">
        <f t="shared" si="0"/>
        <v>1.3333333333333333</v>
      </c>
    </row>
    <row r="45" spans="1:29" ht="15.75" customHeight="1" x14ac:dyDescent="0.25">
      <c r="A45" s="1" t="s">
        <v>144</v>
      </c>
      <c r="B45" s="3" t="s">
        <v>122</v>
      </c>
      <c r="C45" s="4" t="s">
        <v>92</v>
      </c>
      <c r="D45" s="4">
        <v>34</v>
      </c>
      <c r="E45" s="4">
        <v>864</v>
      </c>
      <c r="F45" s="4">
        <v>34</v>
      </c>
      <c r="G45" s="4">
        <v>34</v>
      </c>
      <c r="H45" s="4">
        <v>864</v>
      </c>
      <c r="I45" s="4">
        <v>109</v>
      </c>
      <c r="J45" s="4">
        <v>246</v>
      </c>
      <c r="K45" s="4">
        <v>0.443</v>
      </c>
      <c r="L45" s="4">
        <v>12</v>
      </c>
      <c r="M45" s="4">
        <v>39</v>
      </c>
      <c r="N45" s="4">
        <v>0.308</v>
      </c>
      <c r="O45" s="4">
        <v>97</v>
      </c>
      <c r="P45" s="4">
        <v>207</v>
      </c>
      <c r="Q45" s="4">
        <v>0.46899999999999997</v>
      </c>
      <c r="R45" s="4">
        <v>66</v>
      </c>
      <c r="S45" s="4">
        <v>90</v>
      </c>
      <c r="T45" s="4">
        <v>0.73299999999999998</v>
      </c>
      <c r="U45" s="4">
        <v>61</v>
      </c>
      <c r="V45" s="4">
        <v>170</v>
      </c>
      <c r="W45" s="4">
        <v>32</v>
      </c>
      <c r="X45" s="4">
        <v>42</v>
      </c>
      <c r="Y45" s="4">
        <v>23</v>
      </c>
      <c r="Z45" s="4">
        <v>34</v>
      </c>
      <c r="AA45" s="4">
        <v>93</v>
      </c>
      <c r="AB45" s="4">
        <v>296</v>
      </c>
      <c r="AC45" s="5">
        <f t="shared" si="0"/>
        <v>0.94117647058823528</v>
      </c>
    </row>
    <row r="46" spans="1:29" ht="15.75" customHeight="1" x14ac:dyDescent="0.25">
      <c r="A46" s="1" t="s">
        <v>145</v>
      </c>
      <c r="B46" s="3" t="s">
        <v>141</v>
      </c>
      <c r="C46" s="4" t="s">
        <v>8</v>
      </c>
      <c r="D46" s="4">
        <v>32</v>
      </c>
      <c r="E46" s="4">
        <v>845</v>
      </c>
      <c r="F46" s="4">
        <v>32</v>
      </c>
      <c r="G46" s="4">
        <v>21</v>
      </c>
      <c r="H46" s="4">
        <v>845</v>
      </c>
      <c r="I46" s="4">
        <v>89</v>
      </c>
      <c r="J46" s="4">
        <v>271</v>
      </c>
      <c r="K46" s="4">
        <v>0.32800000000000001</v>
      </c>
      <c r="L46" s="4">
        <v>19</v>
      </c>
      <c r="M46" s="4">
        <v>78</v>
      </c>
      <c r="N46" s="4">
        <v>0.24399999999999999</v>
      </c>
      <c r="O46" s="4">
        <v>70</v>
      </c>
      <c r="P46" s="4">
        <v>193</v>
      </c>
      <c r="Q46" s="4">
        <v>0.36299999999999999</v>
      </c>
      <c r="R46" s="4">
        <v>75</v>
      </c>
      <c r="S46" s="4">
        <v>90</v>
      </c>
      <c r="T46" s="4">
        <v>0.83299999999999996</v>
      </c>
      <c r="U46" s="4">
        <v>15</v>
      </c>
      <c r="V46" s="4">
        <v>61</v>
      </c>
      <c r="W46" s="4">
        <v>123</v>
      </c>
      <c r="X46" s="4">
        <v>41</v>
      </c>
      <c r="Y46" s="4">
        <v>8</v>
      </c>
      <c r="Z46" s="4">
        <v>92</v>
      </c>
      <c r="AA46" s="4">
        <v>65</v>
      </c>
      <c r="AB46" s="4">
        <v>272</v>
      </c>
      <c r="AC46" s="5">
        <f t="shared" si="0"/>
        <v>1.3369565217391304</v>
      </c>
    </row>
    <row r="47" spans="1:29" ht="15.75" customHeight="1" x14ac:dyDescent="0.25">
      <c r="A47" s="1" t="s">
        <v>146</v>
      </c>
      <c r="B47" s="3" t="s">
        <v>99</v>
      </c>
      <c r="C47" s="4" t="s">
        <v>8</v>
      </c>
      <c r="D47" s="4">
        <v>28</v>
      </c>
      <c r="E47" s="4">
        <v>838</v>
      </c>
      <c r="F47" s="4">
        <v>28</v>
      </c>
      <c r="G47" s="4">
        <v>26</v>
      </c>
      <c r="H47" s="4">
        <v>838</v>
      </c>
      <c r="I47" s="4">
        <v>78</v>
      </c>
      <c r="J47" s="4">
        <v>167</v>
      </c>
      <c r="K47" s="4">
        <v>0.46700000000000003</v>
      </c>
      <c r="L47" s="4">
        <v>0</v>
      </c>
      <c r="M47" s="4">
        <v>0</v>
      </c>
      <c r="N47" s="4">
        <v>0</v>
      </c>
      <c r="O47" s="4">
        <v>78</v>
      </c>
      <c r="P47" s="4">
        <v>167</v>
      </c>
      <c r="Q47" s="4">
        <v>0.46700000000000003</v>
      </c>
      <c r="R47" s="4">
        <v>39</v>
      </c>
      <c r="S47" s="4">
        <v>66</v>
      </c>
      <c r="T47" s="4">
        <v>0.59099999999999997</v>
      </c>
      <c r="U47" s="4">
        <v>43</v>
      </c>
      <c r="V47" s="4">
        <v>95</v>
      </c>
      <c r="W47" s="4">
        <v>67</v>
      </c>
      <c r="X47" s="4">
        <v>65</v>
      </c>
      <c r="Y47" s="4">
        <v>3</v>
      </c>
      <c r="Z47" s="4">
        <v>52</v>
      </c>
      <c r="AA47" s="4">
        <v>55</v>
      </c>
      <c r="AB47" s="4">
        <v>195</v>
      </c>
      <c r="AC47" s="5">
        <f t="shared" si="0"/>
        <v>1.2884615384615385</v>
      </c>
    </row>
    <row r="48" spans="1:29" ht="15.75" customHeight="1" x14ac:dyDescent="0.25">
      <c r="A48" s="1" t="s">
        <v>147</v>
      </c>
      <c r="B48" s="4" t="s">
        <v>97</v>
      </c>
      <c r="C48" s="4" t="s">
        <v>8</v>
      </c>
      <c r="D48" s="4">
        <v>25</v>
      </c>
      <c r="E48" s="4">
        <v>812</v>
      </c>
      <c r="F48" s="4">
        <v>25</v>
      </c>
      <c r="G48" s="4">
        <v>25</v>
      </c>
      <c r="H48" s="4">
        <v>812</v>
      </c>
      <c r="I48" s="4">
        <v>115</v>
      </c>
      <c r="J48" s="4">
        <v>259</v>
      </c>
      <c r="K48" s="4">
        <v>0.44400000000000001</v>
      </c>
      <c r="L48" s="4">
        <v>0</v>
      </c>
      <c r="M48" s="4">
        <v>6</v>
      </c>
      <c r="N48" s="4">
        <v>0</v>
      </c>
      <c r="O48" s="4">
        <v>115</v>
      </c>
      <c r="P48" s="4">
        <v>253</v>
      </c>
      <c r="Q48" s="4">
        <v>0.45500000000000002</v>
      </c>
      <c r="R48" s="4">
        <v>51</v>
      </c>
      <c r="S48" s="4">
        <v>64</v>
      </c>
      <c r="T48" s="4">
        <v>0.79700000000000004</v>
      </c>
      <c r="U48" s="4">
        <v>19</v>
      </c>
      <c r="V48" s="4">
        <v>78</v>
      </c>
      <c r="W48" s="4">
        <v>168</v>
      </c>
      <c r="X48" s="4">
        <v>34</v>
      </c>
      <c r="Y48" s="4">
        <v>4</v>
      </c>
      <c r="Z48" s="4">
        <v>64</v>
      </c>
      <c r="AA48" s="4">
        <v>49</v>
      </c>
      <c r="AB48" s="4">
        <v>281</v>
      </c>
      <c r="AC48" s="5">
        <f t="shared" si="0"/>
        <v>2.625</v>
      </c>
    </row>
    <row r="49" spans="1:29" ht="15.75" customHeight="1" x14ac:dyDescent="0.25">
      <c r="A49" s="1" t="s">
        <v>148</v>
      </c>
      <c r="B49" s="3" t="s">
        <v>95</v>
      </c>
      <c r="C49" s="4" t="s">
        <v>92</v>
      </c>
      <c r="D49" s="4">
        <v>34</v>
      </c>
      <c r="E49" s="4">
        <v>797</v>
      </c>
      <c r="F49" s="4">
        <v>34</v>
      </c>
      <c r="G49" s="4">
        <v>21</v>
      </c>
      <c r="H49" s="4">
        <v>797</v>
      </c>
      <c r="I49" s="4">
        <v>131</v>
      </c>
      <c r="J49" s="4">
        <v>319</v>
      </c>
      <c r="K49" s="4">
        <v>0.41099999999999998</v>
      </c>
      <c r="L49" s="4">
        <v>54</v>
      </c>
      <c r="M49" s="4">
        <v>157</v>
      </c>
      <c r="N49" s="4">
        <v>0.34399999999999997</v>
      </c>
      <c r="O49" s="4">
        <v>77</v>
      </c>
      <c r="P49" s="4">
        <v>162</v>
      </c>
      <c r="Q49" s="4">
        <v>0.47499999999999998</v>
      </c>
      <c r="R49" s="4">
        <v>25</v>
      </c>
      <c r="S49" s="4">
        <v>39</v>
      </c>
      <c r="T49" s="4">
        <v>0.64100000000000001</v>
      </c>
      <c r="U49" s="4">
        <v>28</v>
      </c>
      <c r="V49" s="4">
        <v>96</v>
      </c>
      <c r="W49" s="4">
        <v>28</v>
      </c>
      <c r="X49" s="4">
        <v>25</v>
      </c>
      <c r="Y49" s="4">
        <v>13</v>
      </c>
      <c r="Z49" s="4">
        <v>40</v>
      </c>
      <c r="AA49" s="4">
        <v>54</v>
      </c>
      <c r="AB49" s="4">
        <v>341</v>
      </c>
      <c r="AC49" s="5">
        <f t="shared" si="0"/>
        <v>0.7</v>
      </c>
    </row>
    <row r="50" spans="1:29" ht="15.75" customHeight="1" x14ac:dyDescent="0.25">
      <c r="A50" s="1" t="s">
        <v>149</v>
      </c>
      <c r="B50" s="4" t="s">
        <v>104</v>
      </c>
      <c r="C50" s="4" t="s">
        <v>87</v>
      </c>
      <c r="D50" s="4">
        <v>34</v>
      </c>
      <c r="E50" s="4">
        <v>782</v>
      </c>
      <c r="F50" s="4">
        <v>34</v>
      </c>
      <c r="G50" s="4">
        <v>0</v>
      </c>
      <c r="H50" s="4">
        <v>782</v>
      </c>
      <c r="I50" s="4">
        <v>86</v>
      </c>
      <c r="J50" s="4">
        <v>224</v>
      </c>
      <c r="K50" s="4">
        <v>0.38400000000000001</v>
      </c>
      <c r="L50" s="4">
        <v>13</v>
      </c>
      <c r="M50" s="4">
        <v>43</v>
      </c>
      <c r="N50" s="4">
        <v>0.30199999999999999</v>
      </c>
      <c r="O50" s="4">
        <v>73</v>
      </c>
      <c r="P50" s="4">
        <v>181</v>
      </c>
      <c r="Q50" s="4">
        <v>0.40300000000000002</v>
      </c>
      <c r="R50" s="4">
        <v>22</v>
      </c>
      <c r="S50" s="4">
        <v>26</v>
      </c>
      <c r="T50" s="4">
        <v>0.84599999999999997</v>
      </c>
      <c r="U50" s="4">
        <v>36</v>
      </c>
      <c r="V50" s="4">
        <v>177</v>
      </c>
      <c r="W50" s="4">
        <v>57</v>
      </c>
      <c r="X50" s="4">
        <v>22</v>
      </c>
      <c r="Y50" s="4">
        <v>8</v>
      </c>
      <c r="Z50" s="4">
        <v>57</v>
      </c>
      <c r="AA50" s="4">
        <v>75</v>
      </c>
      <c r="AB50" s="4">
        <v>207</v>
      </c>
      <c r="AC50" s="5">
        <f t="shared" si="0"/>
        <v>1</v>
      </c>
    </row>
    <row r="51" spans="1:29" ht="15.75" customHeight="1" x14ac:dyDescent="0.25">
      <c r="A51" s="1" t="s">
        <v>150</v>
      </c>
      <c r="B51" s="3" t="s">
        <v>89</v>
      </c>
      <c r="C51" s="4" t="s">
        <v>8</v>
      </c>
      <c r="D51" s="4">
        <v>34</v>
      </c>
      <c r="E51" s="4">
        <v>772</v>
      </c>
      <c r="F51" s="4">
        <v>34</v>
      </c>
      <c r="G51" s="4">
        <v>27</v>
      </c>
      <c r="H51" s="4">
        <v>772</v>
      </c>
      <c r="I51" s="4">
        <v>95</v>
      </c>
      <c r="J51" s="4">
        <v>261</v>
      </c>
      <c r="K51" s="4">
        <v>0.36399999999999999</v>
      </c>
      <c r="L51" s="4">
        <v>19</v>
      </c>
      <c r="M51" s="4">
        <v>62</v>
      </c>
      <c r="N51" s="4">
        <v>0.30599999999999999</v>
      </c>
      <c r="O51" s="4">
        <v>76</v>
      </c>
      <c r="P51" s="4">
        <v>199</v>
      </c>
      <c r="Q51" s="4">
        <v>0.38200000000000001</v>
      </c>
      <c r="R51" s="4">
        <v>94</v>
      </c>
      <c r="S51" s="4">
        <v>119</v>
      </c>
      <c r="T51" s="4">
        <v>0.79</v>
      </c>
      <c r="U51" s="4">
        <v>24</v>
      </c>
      <c r="V51" s="4">
        <v>59</v>
      </c>
      <c r="W51" s="4">
        <v>99</v>
      </c>
      <c r="X51" s="4">
        <v>32</v>
      </c>
      <c r="Y51" s="4">
        <v>3</v>
      </c>
      <c r="Z51" s="4">
        <v>75</v>
      </c>
      <c r="AA51" s="4">
        <v>74</v>
      </c>
      <c r="AB51" s="4">
        <v>303</v>
      </c>
      <c r="AC51" s="5">
        <f t="shared" si="0"/>
        <v>1.32</v>
      </c>
    </row>
    <row r="52" spans="1:29" ht="15.75" customHeight="1" x14ac:dyDescent="0.25">
      <c r="A52" s="1" t="s">
        <v>151</v>
      </c>
      <c r="B52" s="3" t="s">
        <v>97</v>
      </c>
      <c r="C52" s="4" t="s">
        <v>115</v>
      </c>
      <c r="D52" s="4">
        <v>29</v>
      </c>
      <c r="E52" s="4">
        <v>768</v>
      </c>
      <c r="F52" s="4">
        <v>29</v>
      </c>
      <c r="G52" s="4">
        <v>29</v>
      </c>
      <c r="H52" s="4">
        <v>768</v>
      </c>
      <c r="I52" s="4">
        <v>70</v>
      </c>
      <c r="J52" s="4">
        <v>121</v>
      </c>
      <c r="K52" s="4">
        <v>0.57899999999999996</v>
      </c>
      <c r="L52" s="4">
        <v>1</v>
      </c>
      <c r="M52" s="4">
        <v>3</v>
      </c>
      <c r="N52" s="4">
        <v>0.33300000000000002</v>
      </c>
      <c r="O52" s="4">
        <v>69</v>
      </c>
      <c r="P52" s="4">
        <v>118</v>
      </c>
      <c r="Q52" s="4">
        <v>0.58499999999999996</v>
      </c>
      <c r="R52" s="4">
        <v>29</v>
      </c>
      <c r="S52" s="4">
        <v>49</v>
      </c>
      <c r="T52" s="4">
        <v>0.59199999999999997</v>
      </c>
      <c r="U52" s="4">
        <v>75</v>
      </c>
      <c r="V52" s="4">
        <v>259</v>
      </c>
      <c r="W52" s="4">
        <v>57</v>
      </c>
      <c r="X52" s="4">
        <v>26</v>
      </c>
      <c r="Y52" s="4">
        <v>37</v>
      </c>
      <c r="Z52" s="4">
        <v>44</v>
      </c>
      <c r="AA52" s="4">
        <v>85</v>
      </c>
      <c r="AB52" s="4">
        <v>170</v>
      </c>
      <c r="AC52" s="5">
        <f t="shared" si="0"/>
        <v>1.2954545454545454</v>
      </c>
    </row>
    <row r="53" spans="1:29" ht="15.75" customHeight="1" x14ac:dyDescent="0.25">
      <c r="A53" s="1" t="s">
        <v>152</v>
      </c>
      <c r="B53" s="3" t="s">
        <v>86</v>
      </c>
      <c r="C53" s="4" t="s">
        <v>8</v>
      </c>
      <c r="D53" s="4">
        <v>34</v>
      </c>
      <c r="E53" s="4">
        <v>763</v>
      </c>
      <c r="F53" s="4">
        <v>34</v>
      </c>
      <c r="G53" s="4">
        <v>30</v>
      </c>
      <c r="H53" s="4">
        <v>763</v>
      </c>
      <c r="I53" s="4">
        <v>60</v>
      </c>
      <c r="J53" s="4">
        <v>152</v>
      </c>
      <c r="K53" s="4">
        <v>0.39500000000000002</v>
      </c>
      <c r="L53" s="4">
        <v>13</v>
      </c>
      <c r="M53" s="4">
        <v>51</v>
      </c>
      <c r="N53" s="4">
        <v>0.255</v>
      </c>
      <c r="O53" s="4">
        <v>47</v>
      </c>
      <c r="P53" s="4">
        <v>101</v>
      </c>
      <c r="Q53" s="4">
        <v>0.46500000000000002</v>
      </c>
      <c r="R53" s="4">
        <v>15</v>
      </c>
      <c r="S53" s="4">
        <v>24</v>
      </c>
      <c r="T53" s="4">
        <v>0.625</v>
      </c>
      <c r="U53" s="4">
        <v>26</v>
      </c>
      <c r="V53" s="4">
        <v>109</v>
      </c>
      <c r="W53" s="4">
        <v>50</v>
      </c>
      <c r="X53" s="4">
        <v>23</v>
      </c>
      <c r="Y53" s="4">
        <v>15</v>
      </c>
      <c r="Z53" s="4">
        <v>25</v>
      </c>
      <c r="AA53" s="4">
        <v>61</v>
      </c>
      <c r="AB53" s="4">
        <v>148</v>
      </c>
      <c r="AC53" s="5">
        <f t="shared" si="0"/>
        <v>2</v>
      </c>
    </row>
    <row r="54" spans="1:29" ht="15.75" customHeight="1" x14ac:dyDescent="0.25">
      <c r="A54" s="1" t="s">
        <v>153</v>
      </c>
      <c r="B54" s="4" t="s">
        <v>99</v>
      </c>
      <c r="C54" s="4" t="s">
        <v>92</v>
      </c>
      <c r="D54" s="4">
        <v>34</v>
      </c>
      <c r="E54" s="4">
        <v>755</v>
      </c>
      <c r="F54" s="4">
        <v>34</v>
      </c>
      <c r="G54" s="4">
        <v>28</v>
      </c>
      <c r="H54" s="4">
        <v>755</v>
      </c>
      <c r="I54" s="4">
        <v>56</v>
      </c>
      <c r="J54" s="4">
        <v>132</v>
      </c>
      <c r="K54" s="4">
        <v>0.42399999999999999</v>
      </c>
      <c r="L54" s="4">
        <v>14</v>
      </c>
      <c r="M54" s="4">
        <v>46</v>
      </c>
      <c r="N54" s="4">
        <v>0.30399999999999999</v>
      </c>
      <c r="O54" s="4">
        <v>42</v>
      </c>
      <c r="P54" s="4">
        <v>86</v>
      </c>
      <c r="Q54" s="4">
        <v>0.48799999999999999</v>
      </c>
      <c r="R54" s="4">
        <v>15</v>
      </c>
      <c r="S54" s="4">
        <v>21</v>
      </c>
      <c r="T54" s="4">
        <v>0.71399999999999997</v>
      </c>
      <c r="U54" s="4">
        <v>45</v>
      </c>
      <c r="V54" s="4">
        <v>142</v>
      </c>
      <c r="W54" s="4">
        <v>27</v>
      </c>
      <c r="X54" s="4">
        <v>27</v>
      </c>
      <c r="Y54" s="4">
        <v>11</v>
      </c>
      <c r="Z54" s="4">
        <v>42</v>
      </c>
      <c r="AA54" s="4">
        <v>83</v>
      </c>
      <c r="AB54" s="4">
        <v>141</v>
      </c>
      <c r="AC54" s="5">
        <f t="shared" si="0"/>
        <v>0.6428571428571429</v>
      </c>
    </row>
    <row r="55" spans="1:29" ht="15.75" customHeight="1" x14ac:dyDescent="0.25">
      <c r="A55" s="1" t="s">
        <v>154</v>
      </c>
      <c r="B55" s="3" t="s">
        <v>99</v>
      </c>
      <c r="C55" s="4" t="s">
        <v>8</v>
      </c>
      <c r="D55" s="4">
        <v>34</v>
      </c>
      <c r="E55" s="4">
        <v>753</v>
      </c>
      <c r="F55" s="4">
        <v>34</v>
      </c>
      <c r="G55" s="4">
        <v>10</v>
      </c>
      <c r="H55" s="4">
        <v>753</v>
      </c>
      <c r="I55" s="4">
        <v>113</v>
      </c>
      <c r="J55" s="4">
        <v>284</v>
      </c>
      <c r="K55" s="4">
        <v>0.39800000000000002</v>
      </c>
      <c r="L55" s="4">
        <v>28</v>
      </c>
      <c r="M55" s="4">
        <v>85</v>
      </c>
      <c r="N55" s="4">
        <v>0.32900000000000001</v>
      </c>
      <c r="O55" s="4">
        <v>85</v>
      </c>
      <c r="P55" s="4">
        <v>199</v>
      </c>
      <c r="Q55" s="4">
        <v>0.42699999999999999</v>
      </c>
      <c r="R55" s="4">
        <v>27</v>
      </c>
      <c r="S55" s="4">
        <v>38</v>
      </c>
      <c r="T55" s="4">
        <v>0.71099999999999997</v>
      </c>
      <c r="U55" s="4">
        <v>11</v>
      </c>
      <c r="V55" s="4">
        <v>48</v>
      </c>
      <c r="W55" s="4">
        <v>95</v>
      </c>
      <c r="X55" s="4">
        <v>34</v>
      </c>
      <c r="Y55" s="4">
        <v>3</v>
      </c>
      <c r="Z55" s="4">
        <v>39</v>
      </c>
      <c r="AA55" s="4">
        <v>77</v>
      </c>
      <c r="AB55" s="4">
        <v>281</v>
      </c>
      <c r="AC55" s="5">
        <f t="shared" si="0"/>
        <v>2.4358974358974357</v>
      </c>
    </row>
    <row r="56" spans="1:29" ht="15.75" customHeight="1" x14ac:dyDescent="0.25">
      <c r="A56" s="1" t="s">
        <v>155</v>
      </c>
      <c r="B56" s="3" t="s">
        <v>91</v>
      </c>
      <c r="C56" s="4" t="s">
        <v>8</v>
      </c>
      <c r="D56" s="4">
        <v>33</v>
      </c>
      <c r="E56" s="4">
        <v>743</v>
      </c>
      <c r="F56" s="4">
        <v>33</v>
      </c>
      <c r="G56" s="4">
        <v>3</v>
      </c>
      <c r="H56" s="4">
        <v>743</v>
      </c>
      <c r="I56" s="4">
        <v>110</v>
      </c>
      <c r="J56" s="4">
        <v>257</v>
      </c>
      <c r="K56" s="4">
        <v>0.42799999999999999</v>
      </c>
      <c r="L56" s="4">
        <v>10</v>
      </c>
      <c r="M56" s="4">
        <v>39</v>
      </c>
      <c r="N56" s="4">
        <v>0.25600000000000001</v>
      </c>
      <c r="O56" s="4">
        <v>100</v>
      </c>
      <c r="P56" s="4">
        <v>218</v>
      </c>
      <c r="Q56" s="4">
        <v>0.45900000000000002</v>
      </c>
      <c r="R56" s="4">
        <v>68</v>
      </c>
      <c r="S56" s="4">
        <v>86</v>
      </c>
      <c r="T56" s="4">
        <v>0.79100000000000004</v>
      </c>
      <c r="U56" s="4">
        <v>20</v>
      </c>
      <c r="V56" s="4">
        <v>96</v>
      </c>
      <c r="W56" s="4">
        <v>76</v>
      </c>
      <c r="X56" s="4">
        <v>34</v>
      </c>
      <c r="Y56" s="4">
        <v>6</v>
      </c>
      <c r="Z56" s="4">
        <v>58</v>
      </c>
      <c r="AA56" s="4">
        <v>90</v>
      </c>
      <c r="AB56" s="4">
        <v>298</v>
      </c>
      <c r="AC56" s="5">
        <f t="shared" si="0"/>
        <v>1.3103448275862069</v>
      </c>
    </row>
    <row r="57" spans="1:29" ht="15.75" customHeight="1" x14ac:dyDescent="0.25">
      <c r="A57" s="1" t="s">
        <v>156</v>
      </c>
      <c r="B57" s="3" t="s">
        <v>104</v>
      </c>
      <c r="C57" s="4" t="s">
        <v>157</v>
      </c>
      <c r="D57" s="4">
        <v>34</v>
      </c>
      <c r="E57" s="4">
        <v>740</v>
      </c>
      <c r="F57" s="4">
        <v>34</v>
      </c>
      <c r="G57" s="4">
        <v>33</v>
      </c>
      <c r="H57" s="4">
        <v>740</v>
      </c>
      <c r="I57" s="4">
        <v>130</v>
      </c>
      <c r="J57" s="4">
        <v>270</v>
      </c>
      <c r="K57" s="4">
        <v>0.48099999999999998</v>
      </c>
      <c r="L57" s="4">
        <v>0</v>
      </c>
      <c r="M57" s="4">
        <v>0</v>
      </c>
      <c r="N57" s="4">
        <v>0</v>
      </c>
      <c r="O57" s="4">
        <v>130</v>
      </c>
      <c r="P57" s="4">
        <v>270</v>
      </c>
      <c r="Q57" s="4">
        <v>0.48099999999999998</v>
      </c>
      <c r="R57" s="4">
        <v>37</v>
      </c>
      <c r="S57" s="4">
        <v>56</v>
      </c>
      <c r="T57" s="4">
        <v>0.66100000000000003</v>
      </c>
      <c r="U57" s="4">
        <v>86</v>
      </c>
      <c r="V57" s="4">
        <v>226</v>
      </c>
      <c r="W57" s="4">
        <v>40</v>
      </c>
      <c r="X57" s="4">
        <v>22</v>
      </c>
      <c r="Y57" s="4">
        <v>14</v>
      </c>
      <c r="Z57" s="4">
        <v>77</v>
      </c>
      <c r="AA57" s="4">
        <v>100</v>
      </c>
      <c r="AB57" s="4">
        <v>297</v>
      </c>
      <c r="AC57" s="5">
        <f t="shared" si="0"/>
        <v>0.51948051948051943</v>
      </c>
    </row>
    <row r="58" spans="1:29" ht="15.75" customHeight="1" x14ac:dyDescent="0.25">
      <c r="A58" s="1" t="s">
        <v>158</v>
      </c>
      <c r="B58" s="3" t="s">
        <v>97</v>
      </c>
      <c r="C58" s="4" t="s">
        <v>8</v>
      </c>
      <c r="D58" s="4">
        <v>33</v>
      </c>
      <c r="E58" s="4">
        <v>740</v>
      </c>
      <c r="F58" s="4">
        <v>33</v>
      </c>
      <c r="G58" s="4">
        <v>14</v>
      </c>
      <c r="H58" s="4">
        <v>740</v>
      </c>
      <c r="I58" s="4">
        <v>82</v>
      </c>
      <c r="J58" s="4">
        <v>267</v>
      </c>
      <c r="K58" s="4">
        <v>0.307</v>
      </c>
      <c r="L58" s="4">
        <v>50</v>
      </c>
      <c r="M58" s="4">
        <v>156</v>
      </c>
      <c r="N58" s="4">
        <v>0.32100000000000001</v>
      </c>
      <c r="O58" s="4">
        <v>32</v>
      </c>
      <c r="P58" s="4">
        <v>111</v>
      </c>
      <c r="Q58" s="4">
        <v>0.28799999999999998</v>
      </c>
      <c r="R58" s="4">
        <v>33</v>
      </c>
      <c r="S58" s="4">
        <v>38</v>
      </c>
      <c r="T58" s="4">
        <v>0.86799999999999999</v>
      </c>
      <c r="U58" s="4">
        <v>10</v>
      </c>
      <c r="V58" s="4">
        <v>55</v>
      </c>
      <c r="W58" s="4">
        <v>24</v>
      </c>
      <c r="X58" s="4">
        <v>16</v>
      </c>
      <c r="Y58" s="4">
        <v>11</v>
      </c>
      <c r="Z58" s="4">
        <v>24</v>
      </c>
      <c r="AA58" s="4">
        <v>55</v>
      </c>
      <c r="AB58" s="4">
        <v>247</v>
      </c>
      <c r="AC58" s="5">
        <f t="shared" si="0"/>
        <v>1</v>
      </c>
    </row>
    <row r="59" spans="1:29" ht="15.75" customHeight="1" x14ac:dyDescent="0.25">
      <c r="A59" s="1" t="s">
        <v>159</v>
      </c>
      <c r="B59" s="3" t="s">
        <v>141</v>
      </c>
      <c r="C59" s="4" t="s">
        <v>92</v>
      </c>
      <c r="D59" s="4">
        <v>32</v>
      </c>
      <c r="E59" s="4">
        <v>715</v>
      </c>
      <c r="F59" s="4">
        <v>32</v>
      </c>
      <c r="G59" s="4">
        <v>20</v>
      </c>
      <c r="H59" s="4">
        <v>715</v>
      </c>
      <c r="I59" s="4">
        <v>73</v>
      </c>
      <c r="J59" s="4">
        <v>180</v>
      </c>
      <c r="K59" s="4">
        <v>0.40600000000000003</v>
      </c>
      <c r="L59" s="4">
        <v>38</v>
      </c>
      <c r="M59" s="4">
        <v>105</v>
      </c>
      <c r="N59" s="4">
        <v>0.36199999999999999</v>
      </c>
      <c r="O59" s="4">
        <v>35</v>
      </c>
      <c r="P59" s="4">
        <v>75</v>
      </c>
      <c r="Q59" s="4">
        <v>0.46700000000000003</v>
      </c>
      <c r="R59" s="4">
        <v>22</v>
      </c>
      <c r="S59" s="4">
        <v>27</v>
      </c>
      <c r="T59" s="4">
        <v>0.81499999999999995</v>
      </c>
      <c r="U59" s="4">
        <v>31</v>
      </c>
      <c r="V59" s="4">
        <v>119</v>
      </c>
      <c r="W59" s="4">
        <v>41</v>
      </c>
      <c r="X59" s="4">
        <v>24</v>
      </c>
      <c r="Y59" s="4">
        <v>6</v>
      </c>
      <c r="Z59" s="4">
        <v>29</v>
      </c>
      <c r="AA59" s="4">
        <v>54</v>
      </c>
      <c r="AB59" s="4">
        <v>206</v>
      </c>
      <c r="AC59" s="5">
        <f t="shared" si="0"/>
        <v>1.4137931034482758</v>
      </c>
    </row>
    <row r="60" spans="1:29" ht="15.75" customHeight="1" x14ac:dyDescent="0.25">
      <c r="A60" s="1" t="s">
        <v>160</v>
      </c>
      <c r="B60" s="3" t="s">
        <v>108</v>
      </c>
      <c r="C60" s="4" t="s">
        <v>87</v>
      </c>
      <c r="D60" s="4">
        <v>32</v>
      </c>
      <c r="E60" s="4">
        <v>703</v>
      </c>
      <c r="F60" s="4">
        <v>32</v>
      </c>
      <c r="G60" s="4">
        <v>32</v>
      </c>
      <c r="H60" s="4">
        <v>703</v>
      </c>
      <c r="I60" s="4">
        <v>85</v>
      </c>
      <c r="J60" s="4">
        <v>185</v>
      </c>
      <c r="K60" s="4">
        <v>0.45900000000000002</v>
      </c>
      <c r="L60" s="4">
        <v>1</v>
      </c>
      <c r="M60" s="4">
        <v>8</v>
      </c>
      <c r="N60" s="4">
        <v>0.125</v>
      </c>
      <c r="O60" s="4">
        <v>84</v>
      </c>
      <c r="P60" s="4">
        <v>177</v>
      </c>
      <c r="Q60" s="4">
        <v>0.47499999999999998</v>
      </c>
      <c r="R60" s="4">
        <v>28</v>
      </c>
      <c r="S60" s="4">
        <v>34</v>
      </c>
      <c r="T60" s="4">
        <v>0.82399999999999995</v>
      </c>
      <c r="U60" s="4">
        <v>13</v>
      </c>
      <c r="V60" s="4">
        <v>72</v>
      </c>
      <c r="W60" s="4">
        <v>45</v>
      </c>
      <c r="X60" s="4">
        <v>40</v>
      </c>
      <c r="Y60" s="4">
        <v>10</v>
      </c>
      <c r="Z60" s="4">
        <v>42</v>
      </c>
      <c r="AA60" s="4">
        <v>72</v>
      </c>
      <c r="AB60" s="4">
        <v>199</v>
      </c>
      <c r="AC60" s="5">
        <f t="shared" si="0"/>
        <v>1.0714285714285714</v>
      </c>
    </row>
    <row r="61" spans="1:29" ht="15.75" customHeight="1" x14ac:dyDescent="0.25">
      <c r="A61" s="1" t="s">
        <v>161</v>
      </c>
      <c r="B61" s="3" t="s">
        <v>91</v>
      </c>
      <c r="C61" s="4" t="s">
        <v>110</v>
      </c>
      <c r="D61" s="4">
        <v>32</v>
      </c>
      <c r="E61" s="4">
        <v>700</v>
      </c>
      <c r="F61" s="4">
        <v>32</v>
      </c>
      <c r="G61" s="4">
        <v>32</v>
      </c>
      <c r="H61" s="4">
        <v>700</v>
      </c>
      <c r="I61" s="4">
        <v>79</v>
      </c>
      <c r="J61" s="4">
        <v>162</v>
      </c>
      <c r="K61" s="4">
        <v>0.48799999999999999</v>
      </c>
      <c r="L61" s="4">
        <v>6</v>
      </c>
      <c r="M61" s="4">
        <v>14</v>
      </c>
      <c r="N61" s="4">
        <v>0.42899999999999999</v>
      </c>
      <c r="O61" s="4">
        <v>73</v>
      </c>
      <c r="P61" s="4">
        <v>148</v>
      </c>
      <c r="Q61" s="4">
        <v>0.49299999999999999</v>
      </c>
      <c r="R61" s="4">
        <v>37</v>
      </c>
      <c r="S61" s="4">
        <v>46</v>
      </c>
      <c r="T61" s="4">
        <v>0.80400000000000005</v>
      </c>
      <c r="U61" s="4">
        <v>38</v>
      </c>
      <c r="V61" s="4">
        <v>137</v>
      </c>
      <c r="W61" s="4">
        <v>92</v>
      </c>
      <c r="X61" s="4">
        <v>32</v>
      </c>
      <c r="Y61" s="4">
        <v>21</v>
      </c>
      <c r="Z61" s="4">
        <v>42</v>
      </c>
      <c r="AA61" s="4">
        <v>59</v>
      </c>
      <c r="AB61" s="4">
        <v>201</v>
      </c>
      <c r="AC61" s="5">
        <f t="shared" si="0"/>
        <v>2.1904761904761907</v>
      </c>
    </row>
    <row r="62" spans="1:29" ht="15.75" customHeight="1" x14ac:dyDescent="0.25">
      <c r="A62" s="1" t="s">
        <v>162</v>
      </c>
      <c r="B62" s="3" t="s">
        <v>86</v>
      </c>
      <c r="C62" s="4" t="s">
        <v>115</v>
      </c>
      <c r="D62" s="4">
        <v>27</v>
      </c>
      <c r="E62" s="4">
        <v>699</v>
      </c>
      <c r="F62" s="4">
        <v>27</v>
      </c>
      <c r="G62" s="4">
        <v>27</v>
      </c>
      <c r="H62" s="4">
        <v>699</v>
      </c>
      <c r="I62" s="4">
        <v>139</v>
      </c>
      <c r="J62" s="4">
        <v>250</v>
      </c>
      <c r="K62" s="4">
        <v>0.55600000000000005</v>
      </c>
      <c r="L62" s="4">
        <v>0</v>
      </c>
      <c r="M62" s="4">
        <v>0</v>
      </c>
      <c r="N62" s="4">
        <v>0</v>
      </c>
      <c r="O62" s="4">
        <v>139</v>
      </c>
      <c r="P62" s="4">
        <v>250</v>
      </c>
      <c r="Q62" s="4">
        <v>0.55600000000000005</v>
      </c>
      <c r="R62" s="4">
        <v>63</v>
      </c>
      <c r="S62" s="4">
        <v>87</v>
      </c>
      <c r="T62" s="4">
        <v>0.72399999999999998</v>
      </c>
      <c r="U62" s="4">
        <v>37</v>
      </c>
      <c r="V62" s="4">
        <v>171</v>
      </c>
      <c r="W62" s="4">
        <v>28</v>
      </c>
      <c r="X62" s="4">
        <v>13</v>
      </c>
      <c r="Y62" s="4">
        <v>81</v>
      </c>
      <c r="Z62" s="4">
        <v>47</v>
      </c>
      <c r="AA62" s="4">
        <v>80</v>
      </c>
      <c r="AB62" s="4">
        <v>341</v>
      </c>
      <c r="AC62" s="5">
        <f t="shared" si="0"/>
        <v>0.5957446808510638</v>
      </c>
    </row>
    <row r="63" spans="1:29" ht="15.75" customHeight="1" x14ac:dyDescent="0.25">
      <c r="A63" s="1" t="s">
        <v>163</v>
      </c>
      <c r="B63" s="3" t="s">
        <v>141</v>
      </c>
      <c r="C63" s="4" t="s">
        <v>8</v>
      </c>
      <c r="D63" s="4">
        <v>31</v>
      </c>
      <c r="E63" s="4">
        <v>680</v>
      </c>
      <c r="F63" s="4">
        <v>31</v>
      </c>
      <c r="G63" s="4">
        <v>16</v>
      </c>
      <c r="H63" s="4">
        <v>680</v>
      </c>
      <c r="I63" s="4">
        <v>58</v>
      </c>
      <c r="J63" s="4">
        <v>137</v>
      </c>
      <c r="K63" s="4">
        <v>0.42299999999999999</v>
      </c>
      <c r="L63" s="4">
        <v>8</v>
      </c>
      <c r="M63" s="4">
        <v>32</v>
      </c>
      <c r="N63" s="4">
        <v>0.25</v>
      </c>
      <c r="O63" s="4">
        <v>50</v>
      </c>
      <c r="P63" s="4">
        <v>105</v>
      </c>
      <c r="Q63" s="4">
        <v>0.47599999999999998</v>
      </c>
      <c r="R63" s="4">
        <v>12</v>
      </c>
      <c r="S63" s="4">
        <v>22</v>
      </c>
      <c r="T63" s="4">
        <v>0.54500000000000004</v>
      </c>
      <c r="U63" s="4">
        <v>14</v>
      </c>
      <c r="V63" s="4">
        <v>57</v>
      </c>
      <c r="W63" s="4">
        <v>91</v>
      </c>
      <c r="X63" s="4">
        <v>38</v>
      </c>
      <c r="Y63" s="4">
        <v>2</v>
      </c>
      <c r="Z63" s="4">
        <v>52</v>
      </c>
      <c r="AA63" s="4">
        <v>35</v>
      </c>
      <c r="AB63" s="4">
        <v>136</v>
      </c>
      <c r="AC63" s="5">
        <f t="shared" si="0"/>
        <v>1.75</v>
      </c>
    </row>
    <row r="64" spans="1:29" ht="15.75" customHeight="1" x14ac:dyDescent="0.25">
      <c r="A64" s="1" t="s">
        <v>164</v>
      </c>
      <c r="B64" s="3" t="s">
        <v>89</v>
      </c>
      <c r="C64" s="4" t="s">
        <v>115</v>
      </c>
      <c r="D64" s="4">
        <v>34</v>
      </c>
      <c r="E64" s="4">
        <v>680</v>
      </c>
      <c r="F64" s="4">
        <v>34</v>
      </c>
      <c r="G64" s="4">
        <v>15</v>
      </c>
      <c r="H64" s="4">
        <v>680</v>
      </c>
      <c r="I64" s="4">
        <v>99</v>
      </c>
      <c r="J64" s="4">
        <v>233</v>
      </c>
      <c r="K64" s="4">
        <v>0.42499999999999999</v>
      </c>
      <c r="L64" s="4">
        <v>0</v>
      </c>
      <c r="M64" s="4">
        <v>1</v>
      </c>
      <c r="N64" s="4">
        <v>0</v>
      </c>
      <c r="O64" s="4">
        <v>99</v>
      </c>
      <c r="P64" s="4">
        <v>232</v>
      </c>
      <c r="Q64" s="4">
        <v>0.42699999999999999</v>
      </c>
      <c r="R64" s="4">
        <v>35</v>
      </c>
      <c r="S64" s="4">
        <v>46</v>
      </c>
      <c r="T64" s="4">
        <v>0.76100000000000001</v>
      </c>
      <c r="U64" s="4">
        <v>50</v>
      </c>
      <c r="V64" s="4">
        <v>176</v>
      </c>
      <c r="W64" s="4">
        <v>22</v>
      </c>
      <c r="X64" s="4">
        <v>24</v>
      </c>
      <c r="Y64" s="4">
        <v>37</v>
      </c>
      <c r="Z64" s="4">
        <v>52</v>
      </c>
      <c r="AA64" s="4">
        <v>78</v>
      </c>
      <c r="AB64" s="4">
        <v>233</v>
      </c>
      <c r="AC64" s="5">
        <f t="shared" si="0"/>
        <v>0.42307692307692307</v>
      </c>
    </row>
    <row r="65" spans="1:29" ht="15.75" customHeight="1" x14ac:dyDescent="0.25">
      <c r="A65" s="1" t="s">
        <v>165</v>
      </c>
      <c r="B65" s="3" t="s">
        <v>122</v>
      </c>
      <c r="C65" s="4" t="s">
        <v>8</v>
      </c>
      <c r="D65" s="4">
        <v>21</v>
      </c>
      <c r="E65" s="4">
        <v>672</v>
      </c>
      <c r="F65" s="4">
        <v>21</v>
      </c>
      <c r="G65" s="4">
        <v>21</v>
      </c>
      <c r="H65" s="4">
        <v>672</v>
      </c>
      <c r="I65" s="4">
        <v>108</v>
      </c>
      <c r="J65" s="4">
        <v>255</v>
      </c>
      <c r="K65" s="4">
        <v>0.42399999999999999</v>
      </c>
      <c r="L65" s="4">
        <v>24</v>
      </c>
      <c r="M65" s="4">
        <v>66</v>
      </c>
      <c r="N65" s="4">
        <v>0.36399999999999999</v>
      </c>
      <c r="O65" s="4">
        <v>84</v>
      </c>
      <c r="P65" s="4">
        <v>189</v>
      </c>
      <c r="Q65" s="4">
        <v>0.44400000000000001</v>
      </c>
      <c r="R65" s="4">
        <v>28</v>
      </c>
      <c r="S65" s="4">
        <v>40</v>
      </c>
      <c r="T65" s="4">
        <v>0.7</v>
      </c>
      <c r="U65" s="4">
        <v>9</v>
      </c>
      <c r="V65" s="4">
        <v>65</v>
      </c>
      <c r="W65" s="4">
        <v>63</v>
      </c>
      <c r="X65" s="4">
        <v>24</v>
      </c>
      <c r="Y65" s="4">
        <v>7</v>
      </c>
      <c r="Z65" s="4">
        <v>31</v>
      </c>
      <c r="AA65" s="4">
        <v>56</v>
      </c>
      <c r="AB65" s="4">
        <v>268</v>
      </c>
      <c r="AC65" s="5">
        <f t="shared" si="0"/>
        <v>2.032258064516129</v>
      </c>
    </row>
    <row r="66" spans="1:29" ht="15.75" customHeight="1" x14ac:dyDescent="0.25">
      <c r="A66" s="1" t="s">
        <v>166</v>
      </c>
      <c r="B66" s="3" t="s">
        <v>104</v>
      </c>
      <c r="C66" s="4" t="s">
        <v>115</v>
      </c>
      <c r="D66" s="4">
        <v>34</v>
      </c>
      <c r="E66" s="4">
        <v>663</v>
      </c>
      <c r="F66" s="4">
        <v>34</v>
      </c>
      <c r="G66" s="4">
        <v>2</v>
      </c>
      <c r="H66" s="4">
        <v>663</v>
      </c>
      <c r="I66" s="4">
        <v>99</v>
      </c>
      <c r="J66" s="4">
        <v>215</v>
      </c>
      <c r="K66" s="4">
        <v>0.46</v>
      </c>
      <c r="L66" s="4">
        <v>0</v>
      </c>
      <c r="M66" s="4">
        <v>1</v>
      </c>
      <c r="N66" s="4">
        <v>0</v>
      </c>
      <c r="O66" s="4">
        <v>99</v>
      </c>
      <c r="P66" s="4">
        <v>214</v>
      </c>
      <c r="Q66" s="4">
        <v>0.46300000000000002</v>
      </c>
      <c r="R66" s="4">
        <v>36</v>
      </c>
      <c r="S66" s="4">
        <v>57</v>
      </c>
      <c r="T66" s="4">
        <v>0.63200000000000001</v>
      </c>
      <c r="U66" s="4">
        <v>73</v>
      </c>
      <c r="V66" s="4">
        <v>185</v>
      </c>
      <c r="W66" s="4">
        <v>25</v>
      </c>
      <c r="X66" s="4">
        <v>12</v>
      </c>
      <c r="Y66" s="4">
        <v>12</v>
      </c>
      <c r="Z66" s="4">
        <v>52</v>
      </c>
      <c r="AA66" s="4">
        <v>87</v>
      </c>
      <c r="AB66" s="4">
        <v>234</v>
      </c>
      <c r="AC66" s="5">
        <f t="shared" si="0"/>
        <v>0.48076923076923078</v>
      </c>
    </row>
    <row r="67" spans="1:29" ht="15.75" customHeight="1" x14ac:dyDescent="0.25">
      <c r="A67" s="1" t="s">
        <v>167</v>
      </c>
      <c r="B67" s="3" t="s">
        <v>104</v>
      </c>
      <c r="C67" s="4" t="s">
        <v>8</v>
      </c>
      <c r="D67" s="4">
        <v>34</v>
      </c>
      <c r="E67" s="4">
        <v>633</v>
      </c>
      <c r="F67" s="4">
        <v>34</v>
      </c>
      <c r="G67" s="4">
        <v>9</v>
      </c>
      <c r="H67" s="4">
        <v>633</v>
      </c>
      <c r="I67" s="4">
        <v>54</v>
      </c>
      <c r="J67" s="4">
        <v>133</v>
      </c>
      <c r="K67" s="4">
        <v>0.40600000000000003</v>
      </c>
      <c r="L67" s="4">
        <v>32</v>
      </c>
      <c r="M67" s="4">
        <v>85</v>
      </c>
      <c r="N67" s="4">
        <v>0.376</v>
      </c>
      <c r="O67" s="4">
        <v>22</v>
      </c>
      <c r="P67" s="4">
        <v>48</v>
      </c>
      <c r="Q67" s="4">
        <v>0.45800000000000002</v>
      </c>
      <c r="R67" s="4">
        <v>30</v>
      </c>
      <c r="S67" s="4">
        <v>35</v>
      </c>
      <c r="T67" s="4">
        <v>0.85699999999999998</v>
      </c>
      <c r="U67" s="4">
        <v>18</v>
      </c>
      <c r="V67" s="4">
        <v>71</v>
      </c>
      <c r="W67" s="4">
        <v>66</v>
      </c>
      <c r="X67" s="4">
        <v>26</v>
      </c>
      <c r="Y67" s="4">
        <v>4</v>
      </c>
      <c r="Z67" s="4">
        <v>34</v>
      </c>
      <c r="AA67" s="4">
        <v>37</v>
      </c>
      <c r="AB67" s="4">
        <v>170</v>
      </c>
      <c r="AC67" s="5">
        <f t="shared" si="0"/>
        <v>1.9411764705882353</v>
      </c>
    </row>
    <row r="68" spans="1:29" ht="15.75" customHeight="1" x14ac:dyDescent="0.25">
      <c r="A68" s="1" t="s">
        <v>168</v>
      </c>
      <c r="B68" s="3" t="s">
        <v>91</v>
      </c>
      <c r="C68" s="4" t="s">
        <v>92</v>
      </c>
      <c r="D68" s="4">
        <v>34</v>
      </c>
      <c r="E68" s="4">
        <v>631</v>
      </c>
      <c r="F68" s="4">
        <v>34</v>
      </c>
      <c r="G68" s="4">
        <v>2</v>
      </c>
      <c r="H68" s="4">
        <v>631</v>
      </c>
      <c r="I68" s="4">
        <v>59</v>
      </c>
      <c r="J68" s="4">
        <v>149</v>
      </c>
      <c r="K68" s="4">
        <v>0.39600000000000002</v>
      </c>
      <c r="L68" s="4">
        <v>0</v>
      </c>
      <c r="M68" s="4">
        <v>0</v>
      </c>
      <c r="N68" s="4">
        <v>0</v>
      </c>
      <c r="O68" s="4">
        <v>59</v>
      </c>
      <c r="P68" s="4">
        <v>149</v>
      </c>
      <c r="Q68" s="4">
        <v>0.39600000000000002</v>
      </c>
      <c r="R68" s="4">
        <v>23</v>
      </c>
      <c r="S68" s="4">
        <v>27</v>
      </c>
      <c r="T68" s="4">
        <v>0.85199999999999998</v>
      </c>
      <c r="U68" s="4">
        <v>52</v>
      </c>
      <c r="V68" s="4">
        <v>156</v>
      </c>
      <c r="W68" s="4">
        <v>37</v>
      </c>
      <c r="X68" s="4">
        <v>24</v>
      </c>
      <c r="Y68" s="4">
        <v>34</v>
      </c>
      <c r="Z68" s="4">
        <v>30</v>
      </c>
      <c r="AA68" s="4">
        <v>56</v>
      </c>
      <c r="AB68" s="4">
        <v>141</v>
      </c>
      <c r="AC68" s="5">
        <f t="shared" ref="AC68:AC131" si="1">IF(Z68=0,"",W68/Z68)</f>
        <v>1.2333333333333334</v>
      </c>
    </row>
    <row r="69" spans="1:29" ht="15.75" customHeight="1" x14ac:dyDescent="0.25">
      <c r="A69" s="1" t="s">
        <v>169</v>
      </c>
      <c r="B69" s="3" t="s">
        <v>122</v>
      </c>
      <c r="C69" s="4" t="s">
        <v>8</v>
      </c>
      <c r="D69" s="4">
        <v>23</v>
      </c>
      <c r="E69" s="4">
        <v>625</v>
      </c>
      <c r="F69" s="4">
        <v>23</v>
      </c>
      <c r="G69" s="4">
        <v>18</v>
      </c>
      <c r="H69" s="4">
        <v>625</v>
      </c>
      <c r="I69" s="4">
        <v>81</v>
      </c>
      <c r="J69" s="4">
        <v>222</v>
      </c>
      <c r="K69" s="4">
        <v>0.36499999999999999</v>
      </c>
      <c r="L69" s="4">
        <v>36</v>
      </c>
      <c r="M69" s="4">
        <v>110</v>
      </c>
      <c r="N69" s="4">
        <v>0.32700000000000001</v>
      </c>
      <c r="O69" s="4">
        <v>45</v>
      </c>
      <c r="P69" s="4">
        <v>112</v>
      </c>
      <c r="Q69" s="4">
        <v>0.40200000000000002</v>
      </c>
      <c r="R69" s="4">
        <v>35</v>
      </c>
      <c r="S69" s="4">
        <v>39</v>
      </c>
      <c r="T69" s="4">
        <v>0.89700000000000002</v>
      </c>
      <c r="U69" s="4">
        <v>7</v>
      </c>
      <c r="V69" s="4">
        <v>41</v>
      </c>
      <c r="W69" s="4">
        <v>71</v>
      </c>
      <c r="X69" s="4">
        <v>18</v>
      </c>
      <c r="Y69" s="4">
        <v>1</v>
      </c>
      <c r="Z69" s="4">
        <v>56</v>
      </c>
      <c r="AA69" s="4">
        <v>39</v>
      </c>
      <c r="AB69" s="4">
        <v>233</v>
      </c>
      <c r="AC69" s="5">
        <f t="shared" si="1"/>
        <v>1.2678571428571428</v>
      </c>
    </row>
    <row r="70" spans="1:29" ht="15.75" customHeight="1" x14ac:dyDescent="0.25">
      <c r="A70" s="1" t="s">
        <v>170</v>
      </c>
      <c r="B70" s="3" t="s">
        <v>171</v>
      </c>
      <c r="C70" s="4" t="s">
        <v>92</v>
      </c>
      <c r="D70" s="4">
        <v>26</v>
      </c>
      <c r="E70" s="4">
        <v>622</v>
      </c>
      <c r="F70" s="4">
        <v>26</v>
      </c>
      <c r="G70" s="4">
        <v>17</v>
      </c>
      <c r="H70" s="4">
        <v>622</v>
      </c>
      <c r="I70" s="4">
        <v>82</v>
      </c>
      <c r="J70" s="4">
        <v>206</v>
      </c>
      <c r="K70" s="4">
        <v>0.39800000000000002</v>
      </c>
      <c r="L70" s="4">
        <v>5</v>
      </c>
      <c r="M70" s="4">
        <v>24</v>
      </c>
      <c r="N70" s="4">
        <v>0.20799999999999999</v>
      </c>
      <c r="O70" s="4">
        <v>77</v>
      </c>
      <c r="P70" s="4">
        <v>182</v>
      </c>
      <c r="Q70" s="4">
        <v>0.42299999999999999</v>
      </c>
      <c r="R70" s="4">
        <v>43</v>
      </c>
      <c r="S70" s="4">
        <v>61</v>
      </c>
      <c r="T70" s="4">
        <v>0.70499999999999996</v>
      </c>
      <c r="U70" s="4">
        <v>37</v>
      </c>
      <c r="V70" s="4">
        <v>109</v>
      </c>
      <c r="W70" s="4">
        <v>49</v>
      </c>
      <c r="X70" s="4">
        <v>19</v>
      </c>
      <c r="Y70" s="4">
        <v>10</v>
      </c>
      <c r="Z70" s="4">
        <v>42</v>
      </c>
      <c r="AA70" s="4">
        <v>67</v>
      </c>
      <c r="AB70" s="4">
        <v>212</v>
      </c>
      <c r="AC70" s="5">
        <f t="shared" si="1"/>
        <v>1.1666666666666667</v>
      </c>
    </row>
    <row r="71" spans="1:29" ht="15.75" customHeight="1" x14ac:dyDescent="0.25">
      <c r="A71" s="1" t="s">
        <v>172</v>
      </c>
      <c r="B71" s="3" t="s">
        <v>141</v>
      </c>
      <c r="C71" s="4" t="s">
        <v>8</v>
      </c>
      <c r="D71" s="4">
        <v>27</v>
      </c>
      <c r="E71" s="4">
        <v>612</v>
      </c>
      <c r="F71" s="4">
        <v>27</v>
      </c>
      <c r="G71" s="4">
        <v>6</v>
      </c>
      <c r="H71" s="4">
        <v>612</v>
      </c>
      <c r="I71" s="4">
        <v>139</v>
      </c>
      <c r="J71" s="4">
        <v>350</v>
      </c>
      <c r="K71" s="4">
        <v>0.39700000000000002</v>
      </c>
      <c r="L71" s="4">
        <v>45</v>
      </c>
      <c r="M71" s="4">
        <v>118</v>
      </c>
      <c r="N71" s="4">
        <v>0.38100000000000001</v>
      </c>
      <c r="O71" s="4">
        <v>94</v>
      </c>
      <c r="P71" s="4">
        <v>232</v>
      </c>
      <c r="Q71" s="4">
        <v>0.40500000000000003</v>
      </c>
      <c r="R71" s="4">
        <v>99</v>
      </c>
      <c r="S71" s="4">
        <v>110</v>
      </c>
      <c r="T71" s="4">
        <v>0.9</v>
      </c>
      <c r="U71" s="4">
        <v>14</v>
      </c>
      <c r="V71" s="4">
        <v>64</v>
      </c>
      <c r="W71" s="4">
        <v>49</v>
      </c>
      <c r="X71" s="4">
        <v>27</v>
      </c>
      <c r="Y71" s="4">
        <v>7</v>
      </c>
      <c r="Z71" s="4">
        <v>40</v>
      </c>
      <c r="AA71" s="4">
        <v>59</v>
      </c>
      <c r="AB71" s="4">
        <v>422</v>
      </c>
      <c r="AC71" s="5">
        <f t="shared" si="1"/>
        <v>1.2250000000000001</v>
      </c>
    </row>
    <row r="72" spans="1:29" ht="15.75" customHeight="1" x14ac:dyDescent="0.25">
      <c r="A72" s="1" t="s">
        <v>173</v>
      </c>
      <c r="B72" s="3" t="s">
        <v>114</v>
      </c>
      <c r="C72" s="4" t="s">
        <v>92</v>
      </c>
      <c r="D72" s="4">
        <v>33</v>
      </c>
      <c r="E72" s="4">
        <v>596</v>
      </c>
      <c r="F72" s="4">
        <v>33</v>
      </c>
      <c r="G72" s="4">
        <v>8</v>
      </c>
      <c r="H72" s="4">
        <v>596</v>
      </c>
      <c r="I72" s="4">
        <v>81</v>
      </c>
      <c r="J72" s="4">
        <v>190</v>
      </c>
      <c r="K72" s="4">
        <v>0.42599999999999999</v>
      </c>
      <c r="L72" s="4">
        <v>0</v>
      </c>
      <c r="M72" s="4">
        <v>1</v>
      </c>
      <c r="N72" s="4">
        <v>0</v>
      </c>
      <c r="O72" s="4">
        <v>81</v>
      </c>
      <c r="P72" s="4">
        <v>189</v>
      </c>
      <c r="Q72" s="4">
        <v>0.42899999999999999</v>
      </c>
      <c r="R72" s="4">
        <v>23</v>
      </c>
      <c r="S72" s="4">
        <v>38</v>
      </c>
      <c r="T72" s="4">
        <v>0.60499999999999998</v>
      </c>
      <c r="U72" s="4">
        <v>43</v>
      </c>
      <c r="V72" s="4">
        <v>125</v>
      </c>
      <c r="W72" s="4">
        <v>21</v>
      </c>
      <c r="X72" s="4">
        <v>17</v>
      </c>
      <c r="Y72" s="4">
        <v>5</v>
      </c>
      <c r="Z72" s="4">
        <v>22</v>
      </c>
      <c r="AA72" s="4">
        <v>61</v>
      </c>
      <c r="AB72" s="4">
        <v>185</v>
      </c>
      <c r="AC72" s="5">
        <f t="shared" si="1"/>
        <v>0.95454545454545459</v>
      </c>
    </row>
    <row r="73" spans="1:29" ht="15.75" customHeight="1" x14ac:dyDescent="0.25">
      <c r="A73" s="1" t="s">
        <v>174</v>
      </c>
      <c r="B73" s="3" t="s">
        <v>108</v>
      </c>
      <c r="C73" s="4" t="s">
        <v>87</v>
      </c>
      <c r="D73" s="4">
        <v>34</v>
      </c>
      <c r="E73" s="4">
        <v>595</v>
      </c>
      <c r="F73" s="4">
        <v>34</v>
      </c>
      <c r="G73" s="4">
        <v>3</v>
      </c>
      <c r="H73" s="4">
        <v>595</v>
      </c>
      <c r="I73" s="4">
        <v>58</v>
      </c>
      <c r="J73" s="4">
        <v>135</v>
      </c>
      <c r="K73" s="4">
        <v>0.43</v>
      </c>
      <c r="L73" s="4">
        <v>20</v>
      </c>
      <c r="M73" s="4">
        <v>50</v>
      </c>
      <c r="N73" s="4">
        <v>0.4</v>
      </c>
      <c r="O73" s="4">
        <v>38</v>
      </c>
      <c r="P73" s="4">
        <v>85</v>
      </c>
      <c r="Q73" s="4">
        <v>0.44700000000000001</v>
      </c>
      <c r="R73" s="4">
        <v>21</v>
      </c>
      <c r="S73" s="4">
        <v>33</v>
      </c>
      <c r="T73" s="4">
        <v>0.63600000000000001</v>
      </c>
      <c r="U73" s="4">
        <v>32</v>
      </c>
      <c r="V73" s="4">
        <v>100</v>
      </c>
      <c r="W73" s="4">
        <v>34</v>
      </c>
      <c r="X73" s="4">
        <v>24</v>
      </c>
      <c r="Y73" s="4">
        <v>5</v>
      </c>
      <c r="Z73" s="4">
        <v>31</v>
      </c>
      <c r="AA73" s="4">
        <v>43</v>
      </c>
      <c r="AB73" s="4">
        <v>157</v>
      </c>
      <c r="AC73" s="5">
        <f t="shared" si="1"/>
        <v>1.096774193548387</v>
      </c>
    </row>
    <row r="74" spans="1:29" ht="15.75" customHeight="1" x14ac:dyDescent="0.25">
      <c r="A74" s="1" t="s">
        <v>175</v>
      </c>
      <c r="B74" s="3" t="s">
        <v>122</v>
      </c>
      <c r="C74" s="4" t="s">
        <v>92</v>
      </c>
      <c r="D74" s="4">
        <v>33</v>
      </c>
      <c r="E74" s="4">
        <v>593</v>
      </c>
      <c r="F74" s="4">
        <v>33</v>
      </c>
      <c r="G74" s="4">
        <v>5</v>
      </c>
      <c r="H74" s="4">
        <v>593</v>
      </c>
      <c r="I74" s="4">
        <v>94</v>
      </c>
      <c r="J74" s="4">
        <v>171</v>
      </c>
      <c r="K74" s="4">
        <v>0.55000000000000004</v>
      </c>
      <c r="L74" s="4">
        <v>0</v>
      </c>
      <c r="M74" s="4">
        <v>0</v>
      </c>
      <c r="N74" s="4">
        <v>0</v>
      </c>
      <c r="O74" s="4">
        <v>94</v>
      </c>
      <c r="P74" s="4">
        <v>171</v>
      </c>
      <c r="Q74" s="4">
        <v>0.55000000000000004</v>
      </c>
      <c r="R74" s="4">
        <v>42</v>
      </c>
      <c r="S74" s="4">
        <v>69</v>
      </c>
      <c r="T74" s="4">
        <v>0.60899999999999999</v>
      </c>
      <c r="U74" s="4">
        <v>48</v>
      </c>
      <c r="V74" s="4">
        <v>144</v>
      </c>
      <c r="W74" s="4">
        <v>32</v>
      </c>
      <c r="X74" s="4">
        <v>22</v>
      </c>
      <c r="Y74" s="4">
        <v>29</v>
      </c>
      <c r="Z74" s="4">
        <v>48</v>
      </c>
      <c r="AA74" s="4">
        <v>60</v>
      </c>
      <c r="AB74" s="4">
        <v>230</v>
      </c>
      <c r="AC74" s="5">
        <f t="shared" si="1"/>
        <v>0.66666666666666663</v>
      </c>
    </row>
    <row r="75" spans="1:29" ht="15.75" customHeight="1" x14ac:dyDescent="0.25">
      <c r="A75" s="1" t="s">
        <v>176</v>
      </c>
      <c r="B75" s="4" t="s">
        <v>89</v>
      </c>
      <c r="C75" s="4" t="s">
        <v>8</v>
      </c>
      <c r="D75" s="4">
        <v>34</v>
      </c>
      <c r="E75" s="4">
        <v>593</v>
      </c>
      <c r="F75" s="4">
        <v>34</v>
      </c>
      <c r="G75" s="4">
        <v>7</v>
      </c>
      <c r="H75" s="4">
        <v>593</v>
      </c>
      <c r="I75" s="4">
        <v>63</v>
      </c>
      <c r="J75" s="4">
        <v>192</v>
      </c>
      <c r="K75" s="4">
        <v>0.32800000000000001</v>
      </c>
      <c r="L75" s="4">
        <v>35</v>
      </c>
      <c r="M75" s="4">
        <v>105</v>
      </c>
      <c r="N75" s="4">
        <v>0.33300000000000002</v>
      </c>
      <c r="O75" s="4">
        <v>28</v>
      </c>
      <c r="P75" s="4">
        <v>87</v>
      </c>
      <c r="Q75" s="4">
        <v>0.32200000000000001</v>
      </c>
      <c r="R75" s="4">
        <v>59</v>
      </c>
      <c r="S75" s="4">
        <v>70</v>
      </c>
      <c r="T75" s="4">
        <v>0.84299999999999997</v>
      </c>
      <c r="U75" s="4">
        <v>8</v>
      </c>
      <c r="V75" s="4">
        <v>58</v>
      </c>
      <c r="W75" s="4">
        <v>51</v>
      </c>
      <c r="X75" s="4">
        <v>23</v>
      </c>
      <c r="Y75" s="4">
        <v>3</v>
      </c>
      <c r="Z75" s="4">
        <v>38</v>
      </c>
      <c r="AA75" s="4">
        <v>30</v>
      </c>
      <c r="AB75" s="4">
        <v>220</v>
      </c>
      <c r="AC75" s="5">
        <f t="shared" si="1"/>
        <v>1.3421052631578947</v>
      </c>
    </row>
    <row r="76" spans="1:29" ht="15.75" customHeight="1" x14ac:dyDescent="0.25">
      <c r="A76" s="1" t="s">
        <v>177</v>
      </c>
      <c r="B76" s="3" t="s">
        <v>86</v>
      </c>
      <c r="C76" s="4" t="s">
        <v>92</v>
      </c>
      <c r="D76" s="4">
        <v>34</v>
      </c>
      <c r="E76" s="4">
        <v>586</v>
      </c>
      <c r="F76" s="4">
        <v>34</v>
      </c>
      <c r="G76" s="4">
        <v>6</v>
      </c>
      <c r="H76" s="4">
        <v>586</v>
      </c>
      <c r="I76" s="4">
        <v>78</v>
      </c>
      <c r="J76" s="4">
        <v>195</v>
      </c>
      <c r="K76" s="4">
        <v>0.4</v>
      </c>
      <c r="L76" s="4">
        <v>9</v>
      </c>
      <c r="M76" s="4">
        <v>50</v>
      </c>
      <c r="N76" s="4">
        <v>0.18</v>
      </c>
      <c r="O76" s="4">
        <v>69</v>
      </c>
      <c r="P76" s="4">
        <v>145</v>
      </c>
      <c r="Q76" s="4">
        <v>0.47599999999999998</v>
      </c>
      <c r="R76" s="4">
        <v>35</v>
      </c>
      <c r="S76" s="4">
        <v>45</v>
      </c>
      <c r="T76" s="4">
        <v>0.77800000000000002</v>
      </c>
      <c r="U76" s="4">
        <v>20</v>
      </c>
      <c r="V76" s="4">
        <v>77</v>
      </c>
      <c r="W76" s="4">
        <v>44</v>
      </c>
      <c r="X76" s="4">
        <v>17</v>
      </c>
      <c r="Y76" s="4">
        <v>12</v>
      </c>
      <c r="Z76" s="4">
        <v>56</v>
      </c>
      <c r="AA76" s="4">
        <v>101</v>
      </c>
      <c r="AB76" s="4">
        <v>200</v>
      </c>
      <c r="AC76" s="5">
        <f t="shared" si="1"/>
        <v>0.7857142857142857</v>
      </c>
    </row>
    <row r="77" spans="1:29" ht="15.75" customHeight="1" x14ac:dyDescent="0.25">
      <c r="A77" s="1" t="s">
        <v>178</v>
      </c>
      <c r="B77" s="3" t="s">
        <v>106</v>
      </c>
      <c r="C77" s="4" t="s">
        <v>8</v>
      </c>
      <c r="D77" s="4">
        <v>30</v>
      </c>
      <c r="E77" s="4">
        <v>582</v>
      </c>
      <c r="F77" s="4">
        <v>30</v>
      </c>
      <c r="G77" s="4">
        <v>4</v>
      </c>
      <c r="H77" s="4">
        <v>582</v>
      </c>
      <c r="I77" s="4">
        <v>55</v>
      </c>
      <c r="J77" s="4">
        <v>166</v>
      </c>
      <c r="K77" s="4">
        <v>0.33100000000000002</v>
      </c>
      <c r="L77" s="4">
        <v>7</v>
      </c>
      <c r="M77" s="4">
        <v>27</v>
      </c>
      <c r="N77" s="4">
        <v>0.25900000000000001</v>
      </c>
      <c r="O77" s="4">
        <v>48</v>
      </c>
      <c r="P77" s="4">
        <v>139</v>
      </c>
      <c r="Q77" s="4">
        <v>0.34499999999999997</v>
      </c>
      <c r="R77" s="4">
        <v>9</v>
      </c>
      <c r="S77" s="4">
        <v>22</v>
      </c>
      <c r="T77" s="4">
        <v>0.40899999999999997</v>
      </c>
      <c r="U77" s="4">
        <v>18</v>
      </c>
      <c r="V77" s="4">
        <v>54</v>
      </c>
      <c r="W77" s="4">
        <v>55</v>
      </c>
      <c r="X77" s="4">
        <v>16</v>
      </c>
      <c r="Y77" s="4">
        <v>1</v>
      </c>
      <c r="Z77" s="4">
        <v>40</v>
      </c>
      <c r="AA77" s="4">
        <v>66</v>
      </c>
      <c r="AB77" s="4">
        <v>126</v>
      </c>
      <c r="AC77" s="5">
        <f t="shared" si="1"/>
        <v>1.375</v>
      </c>
    </row>
    <row r="78" spans="1:29" ht="15.75" customHeight="1" x14ac:dyDescent="0.25">
      <c r="A78" s="1" t="s">
        <v>179</v>
      </c>
      <c r="B78" s="3" t="s">
        <v>108</v>
      </c>
      <c r="C78" s="4" t="s">
        <v>92</v>
      </c>
      <c r="D78" s="4">
        <v>34</v>
      </c>
      <c r="E78" s="4">
        <v>571</v>
      </c>
      <c r="F78" s="4">
        <v>34</v>
      </c>
      <c r="G78" s="4">
        <v>3</v>
      </c>
      <c r="H78" s="4">
        <v>571</v>
      </c>
      <c r="I78" s="4">
        <v>107</v>
      </c>
      <c r="J78" s="4">
        <v>211</v>
      </c>
      <c r="K78" s="4">
        <v>0.50700000000000001</v>
      </c>
      <c r="L78" s="4">
        <v>0</v>
      </c>
      <c r="M78" s="4">
        <v>0</v>
      </c>
      <c r="N78" s="4">
        <v>0</v>
      </c>
      <c r="O78" s="4">
        <v>107</v>
      </c>
      <c r="P78" s="4">
        <v>211</v>
      </c>
      <c r="Q78" s="4">
        <v>0.50700000000000001</v>
      </c>
      <c r="R78" s="4">
        <v>32</v>
      </c>
      <c r="S78" s="4">
        <v>37</v>
      </c>
      <c r="T78" s="4">
        <v>0.86499999999999999</v>
      </c>
      <c r="U78" s="4">
        <v>49</v>
      </c>
      <c r="V78" s="4">
        <v>154</v>
      </c>
      <c r="W78" s="4">
        <v>18</v>
      </c>
      <c r="X78" s="4">
        <v>19</v>
      </c>
      <c r="Y78" s="4">
        <v>22</v>
      </c>
      <c r="Z78" s="4">
        <v>37</v>
      </c>
      <c r="AA78" s="4">
        <v>52</v>
      </c>
      <c r="AB78" s="4">
        <v>246</v>
      </c>
      <c r="AC78" s="5">
        <f t="shared" si="1"/>
        <v>0.48648648648648651</v>
      </c>
    </row>
    <row r="79" spans="1:29" ht="15.75" customHeight="1" x14ac:dyDescent="0.25">
      <c r="A79" s="1" t="s">
        <v>180</v>
      </c>
      <c r="B79" s="3" t="s">
        <v>89</v>
      </c>
      <c r="C79" s="4" t="s">
        <v>115</v>
      </c>
      <c r="D79" s="4">
        <v>34</v>
      </c>
      <c r="E79" s="4">
        <v>571</v>
      </c>
      <c r="F79" s="4">
        <v>34</v>
      </c>
      <c r="G79" s="4">
        <v>18</v>
      </c>
      <c r="H79" s="4">
        <v>571</v>
      </c>
      <c r="I79" s="4">
        <v>73</v>
      </c>
      <c r="J79" s="4">
        <v>154</v>
      </c>
      <c r="K79" s="4">
        <v>0.47399999999999998</v>
      </c>
      <c r="L79" s="4">
        <v>0</v>
      </c>
      <c r="M79" s="4">
        <v>0</v>
      </c>
      <c r="N79" s="4">
        <v>0</v>
      </c>
      <c r="O79" s="4">
        <v>73</v>
      </c>
      <c r="P79" s="4">
        <v>154</v>
      </c>
      <c r="Q79" s="4">
        <v>0.47399999999999998</v>
      </c>
      <c r="R79" s="4">
        <v>28</v>
      </c>
      <c r="S79" s="4">
        <v>34</v>
      </c>
      <c r="T79" s="4">
        <v>0.82399999999999995</v>
      </c>
      <c r="U79" s="4">
        <v>50</v>
      </c>
      <c r="V79" s="4">
        <v>163</v>
      </c>
      <c r="W79" s="4">
        <v>20</v>
      </c>
      <c r="X79" s="4">
        <v>16</v>
      </c>
      <c r="Y79" s="4">
        <v>25</v>
      </c>
      <c r="Z79" s="4">
        <v>34</v>
      </c>
      <c r="AA79" s="4">
        <v>78</v>
      </c>
      <c r="AB79" s="4">
        <v>174</v>
      </c>
      <c r="AC79" s="5">
        <f t="shared" si="1"/>
        <v>0.58823529411764708</v>
      </c>
    </row>
    <row r="80" spans="1:29" ht="15.75" customHeight="1" x14ac:dyDescent="0.25">
      <c r="A80" s="1" t="s">
        <v>181</v>
      </c>
      <c r="B80" s="3" t="s">
        <v>141</v>
      </c>
      <c r="C80" s="4" t="s">
        <v>8</v>
      </c>
      <c r="D80" s="4">
        <v>33</v>
      </c>
      <c r="E80" s="4">
        <v>567</v>
      </c>
      <c r="F80" s="4">
        <v>33</v>
      </c>
      <c r="G80" s="4">
        <v>8</v>
      </c>
      <c r="H80" s="4">
        <v>567</v>
      </c>
      <c r="I80" s="4">
        <v>58</v>
      </c>
      <c r="J80" s="4">
        <v>150</v>
      </c>
      <c r="K80" s="4">
        <v>0.38700000000000001</v>
      </c>
      <c r="L80" s="4">
        <v>41</v>
      </c>
      <c r="M80" s="4">
        <v>114</v>
      </c>
      <c r="N80" s="4">
        <v>0.36</v>
      </c>
      <c r="O80" s="4">
        <v>17</v>
      </c>
      <c r="P80" s="4">
        <v>36</v>
      </c>
      <c r="Q80" s="4">
        <v>0.47199999999999998</v>
      </c>
      <c r="R80" s="4">
        <v>7</v>
      </c>
      <c r="S80" s="4">
        <v>8</v>
      </c>
      <c r="T80" s="4">
        <v>0.875</v>
      </c>
      <c r="U80" s="4">
        <v>2</v>
      </c>
      <c r="V80" s="4">
        <v>40</v>
      </c>
      <c r="W80" s="4">
        <v>33</v>
      </c>
      <c r="X80" s="4">
        <v>17</v>
      </c>
      <c r="Y80" s="4">
        <v>2</v>
      </c>
      <c r="Z80" s="4">
        <v>17</v>
      </c>
      <c r="AA80" s="4">
        <v>30</v>
      </c>
      <c r="AB80" s="4">
        <v>164</v>
      </c>
      <c r="AC80" s="5">
        <f t="shared" si="1"/>
        <v>1.9411764705882353</v>
      </c>
    </row>
    <row r="81" spans="1:29" ht="15.75" customHeight="1" x14ac:dyDescent="0.25">
      <c r="A81" s="1" t="s">
        <v>182</v>
      </c>
      <c r="B81" s="3" t="s">
        <v>122</v>
      </c>
      <c r="C81" s="4" t="s">
        <v>8</v>
      </c>
      <c r="D81" s="4">
        <v>22</v>
      </c>
      <c r="E81" s="4">
        <v>549</v>
      </c>
      <c r="F81" s="4">
        <v>22</v>
      </c>
      <c r="G81" s="4">
        <v>12</v>
      </c>
      <c r="H81" s="4">
        <v>549</v>
      </c>
      <c r="I81" s="4">
        <v>84</v>
      </c>
      <c r="J81" s="4">
        <v>255</v>
      </c>
      <c r="K81" s="4">
        <v>0.32900000000000001</v>
      </c>
      <c r="L81" s="4">
        <v>15</v>
      </c>
      <c r="M81" s="4">
        <v>76</v>
      </c>
      <c r="N81" s="4">
        <v>0.19700000000000001</v>
      </c>
      <c r="O81" s="4">
        <v>69</v>
      </c>
      <c r="P81" s="4">
        <v>179</v>
      </c>
      <c r="Q81" s="4">
        <v>0.38500000000000001</v>
      </c>
      <c r="R81" s="4">
        <v>20</v>
      </c>
      <c r="S81" s="4">
        <v>27</v>
      </c>
      <c r="T81" s="4">
        <v>0.74099999999999999</v>
      </c>
      <c r="U81" s="4">
        <v>17</v>
      </c>
      <c r="V81" s="4">
        <v>61</v>
      </c>
      <c r="W81" s="4">
        <v>44</v>
      </c>
      <c r="X81" s="4">
        <v>34</v>
      </c>
      <c r="Y81" s="4">
        <v>6</v>
      </c>
      <c r="Z81" s="4">
        <v>52</v>
      </c>
      <c r="AA81" s="4">
        <v>59</v>
      </c>
      <c r="AB81" s="4">
        <v>203</v>
      </c>
      <c r="AC81" s="5">
        <f t="shared" si="1"/>
        <v>0.84615384615384615</v>
      </c>
    </row>
    <row r="82" spans="1:29" ht="15.75" customHeight="1" x14ac:dyDescent="0.25">
      <c r="A82" s="1" t="s">
        <v>183</v>
      </c>
      <c r="B82" s="3" t="s">
        <v>99</v>
      </c>
      <c r="C82" s="4" t="s">
        <v>8</v>
      </c>
      <c r="D82" s="4">
        <v>23</v>
      </c>
      <c r="E82" s="4">
        <v>513</v>
      </c>
      <c r="F82" s="4">
        <v>23</v>
      </c>
      <c r="G82" s="4">
        <v>4</v>
      </c>
      <c r="H82" s="4">
        <v>513</v>
      </c>
      <c r="I82" s="4">
        <v>80</v>
      </c>
      <c r="J82" s="4">
        <v>197</v>
      </c>
      <c r="K82" s="4">
        <v>0.40600000000000003</v>
      </c>
      <c r="L82" s="4">
        <v>23</v>
      </c>
      <c r="M82" s="4">
        <v>61</v>
      </c>
      <c r="N82" s="4">
        <v>0.377</v>
      </c>
      <c r="O82" s="4">
        <v>57</v>
      </c>
      <c r="P82" s="4">
        <v>136</v>
      </c>
      <c r="Q82" s="4">
        <v>0.41899999999999998</v>
      </c>
      <c r="R82" s="4">
        <v>76</v>
      </c>
      <c r="S82" s="4">
        <v>102</v>
      </c>
      <c r="T82" s="4">
        <v>0.745</v>
      </c>
      <c r="U82" s="4">
        <v>20</v>
      </c>
      <c r="V82" s="4">
        <v>86</v>
      </c>
      <c r="W82" s="4">
        <v>39</v>
      </c>
      <c r="X82" s="4">
        <v>27</v>
      </c>
      <c r="Y82" s="4">
        <v>3</v>
      </c>
      <c r="Z82" s="4">
        <v>40</v>
      </c>
      <c r="AA82" s="4">
        <v>52</v>
      </c>
      <c r="AB82" s="4">
        <v>259</v>
      </c>
      <c r="AC82" s="5">
        <f t="shared" si="1"/>
        <v>0.97499999999999998</v>
      </c>
    </row>
    <row r="83" spans="1:29" ht="15.75" customHeight="1" x14ac:dyDescent="0.25">
      <c r="A83" s="1" t="s">
        <v>184</v>
      </c>
      <c r="B83" s="3" t="s">
        <v>95</v>
      </c>
      <c r="C83" s="4" t="s">
        <v>92</v>
      </c>
      <c r="D83" s="4">
        <v>33</v>
      </c>
      <c r="E83" s="4">
        <v>505</v>
      </c>
      <c r="F83" s="4">
        <v>33</v>
      </c>
      <c r="G83" s="4">
        <v>0</v>
      </c>
      <c r="H83" s="4">
        <v>505</v>
      </c>
      <c r="I83" s="4">
        <v>48</v>
      </c>
      <c r="J83" s="4">
        <v>106</v>
      </c>
      <c r="K83" s="4">
        <v>0.45300000000000001</v>
      </c>
      <c r="L83" s="4">
        <v>16</v>
      </c>
      <c r="M83" s="4">
        <v>41</v>
      </c>
      <c r="N83" s="4">
        <v>0.39</v>
      </c>
      <c r="O83" s="4">
        <v>32</v>
      </c>
      <c r="P83" s="4">
        <v>65</v>
      </c>
      <c r="Q83" s="4">
        <v>0.49199999999999999</v>
      </c>
      <c r="R83" s="4">
        <v>19</v>
      </c>
      <c r="S83" s="4">
        <v>25</v>
      </c>
      <c r="T83" s="4">
        <v>0.76</v>
      </c>
      <c r="U83" s="4">
        <v>32</v>
      </c>
      <c r="V83" s="4">
        <v>82</v>
      </c>
      <c r="W83" s="4">
        <v>12</v>
      </c>
      <c r="X83" s="4">
        <v>14</v>
      </c>
      <c r="Y83" s="4">
        <v>5</v>
      </c>
      <c r="Z83" s="4">
        <v>35</v>
      </c>
      <c r="AA83" s="4">
        <v>50</v>
      </c>
      <c r="AB83" s="4">
        <v>131</v>
      </c>
      <c r="AC83" s="5">
        <f t="shared" si="1"/>
        <v>0.34285714285714286</v>
      </c>
    </row>
    <row r="84" spans="1:29" ht="15.75" customHeight="1" x14ac:dyDescent="0.25">
      <c r="A84" s="1" t="s">
        <v>185</v>
      </c>
      <c r="B84" s="3" t="s">
        <v>89</v>
      </c>
      <c r="C84" s="4" t="s">
        <v>8</v>
      </c>
      <c r="D84" s="4">
        <v>34</v>
      </c>
      <c r="E84" s="4">
        <v>503</v>
      </c>
      <c r="F84" s="4">
        <v>34</v>
      </c>
      <c r="G84" s="4">
        <v>0</v>
      </c>
      <c r="H84" s="4">
        <v>503</v>
      </c>
      <c r="I84" s="4">
        <v>51</v>
      </c>
      <c r="J84" s="4">
        <v>142</v>
      </c>
      <c r="K84" s="4">
        <v>0.35899999999999999</v>
      </c>
      <c r="L84" s="4">
        <v>1</v>
      </c>
      <c r="M84" s="4">
        <v>7</v>
      </c>
      <c r="N84" s="4">
        <v>0.14299999999999999</v>
      </c>
      <c r="O84" s="4">
        <v>50</v>
      </c>
      <c r="P84" s="4">
        <v>135</v>
      </c>
      <c r="Q84" s="4">
        <v>0.37</v>
      </c>
      <c r="R84" s="4">
        <v>47</v>
      </c>
      <c r="S84" s="4">
        <v>60</v>
      </c>
      <c r="T84" s="4">
        <v>0.78300000000000003</v>
      </c>
      <c r="U84" s="4">
        <v>33</v>
      </c>
      <c r="V84" s="4">
        <v>95</v>
      </c>
      <c r="W84" s="4">
        <v>26</v>
      </c>
      <c r="X84" s="4">
        <v>22</v>
      </c>
      <c r="Y84" s="4">
        <v>8</v>
      </c>
      <c r="Z84" s="4">
        <v>22</v>
      </c>
      <c r="AA84" s="4">
        <v>57</v>
      </c>
      <c r="AB84" s="4">
        <v>150</v>
      </c>
      <c r="AC84" s="5">
        <f t="shared" si="1"/>
        <v>1.1818181818181819</v>
      </c>
    </row>
    <row r="85" spans="1:29" ht="15.75" customHeight="1" x14ac:dyDescent="0.25">
      <c r="A85" s="1" t="s">
        <v>186</v>
      </c>
      <c r="B85" s="3" t="s">
        <v>141</v>
      </c>
      <c r="C85" s="4" t="s">
        <v>115</v>
      </c>
      <c r="D85" s="4">
        <v>20</v>
      </c>
      <c r="E85" s="4">
        <v>499</v>
      </c>
      <c r="F85" s="4">
        <v>20</v>
      </c>
      <c r="G85" s="4">
        <v>16</v>
      </c>
      <c r="H85" s="4">
        <v>499</v>
      </c>
      <c r="I85" s="4">
        <v>106</v>
      </c>
      <c r="J85" s="4">
        <v>189</v>
      </c>
      <c r="K85" s="4">
        <v>0.56100000000000005</v>
      </c>
      <c r="L85" s="4">
        <v>0</v>
      </c>
      <c r="M85" s="4">
        <v>0</v>
      </c>
      <c r="N85" s="4">
        <v>0</v>
      </c>
      <c r="O85" s="4">
        <v>106</v>
      </c>
      <c r="P85" s="4">
        <v>189</v>
      </c>
      <c r="Q85" s="4">
        <v>0.56100000000000005</v>
      </c>
      <c r="R85" s="4">
        <v>114</v>
      </c>
      <c r="S85" s="4">
        <v>147</v>
      </c>
      <c r="T85" s="4">
        <v>0.77600000000000002</v>
      </c>
      <c r="U85" s="4">
        <v>50</v>
      </c>
      <c r="V85" s="4">
        <v>166</v>
      </c>
      <c r="W85" s="4">
        <v>22</v>
      </c>
      <c r="X85" s="4">
        <v>10</v>
      </c>
      <c r="Y85" s="4">
        <v>48</v>
      </c>
      <c r="Z85" s="4">
        <v>62</v>
      </c>
      <c r="AA85" s="4">
        <v>58</v>
      </c>
      <c r="AB85" s="4">
        <v>326</v>
      </c>
      <c r="AC85" s="5">
        <f t="shared" si="1"/>
        <v>0.35483870967741937</v>
      </c>
    </row>
    <row r="86" spans="1:29" ht="15.75" customHeight="1" x14ac:dyDescent="0.25">
      <c r="A86" s="1" t="s">
        <v>187</v>
      </c>
      <c r="B86" s="3" t="s">
        <v>89</v>
      </c>
      <c r="C86" s="4" t="s">
        <v>92</v>
      </c>
      <c r="D86" s="4">
        <v>34</v>
      </c>
      <c r="E86" s="4">
        <v>498</v>
      </c>
      <c r="F86" s="4">
        <v>34</v>
      </c>
      <c r="G86" s="4">
        <v>1</v>
      </c>
      <c r="H86" s="4">
        <v>498</v>
      </c>
      <c r="I86" s="4">
        <v>66</v>
      </c>
      <c r="J86" s="4">
        <v>148</v>
      </c>
      <c r="K86" s="4">
        <v>0.44600000000000001</v>
      </c>
      <c r="L86" s="4">
        <v>0</v>
      </c>
      <c r="M86" s="4">
        <v>2</v>
      </c>
      <c r="N86" s="4">
        <v>0</v>
      </c>
      <c r="O86" s="4">
        <v>66</v>
      </c>
      <c r="P86" s="4">
        <v>146</v>
      </c>
      <c r="Q86" s="4">
        <v>0.45200000000000001</v>
      </c>
      <c r="R86" s="4">
        <v>17</v>
      </c>
      <c r="S86" s="4">
        <v>21</v>
      </c>
      <c r="T86" s="4">
        <v>0.81</v>
      </c>
      <c r="U86" s="4">
        <v>40</v>
      </c>
      <c r="V86" s="4">
        <v>106</v>
      </c>
      <c r="W86" s="4">
        <v>42</v>
      </c>
      <c r="X86" s="4">
        <v>19</v>
      </c>
      <c r="Y86" s="4">
        <v>24</v>
      </c>
      <c r="Z86" s="4">
        <v>29</v>
      </c>
      <c r="AA86" s="4">
        <v>54</v>
      </c>
      <c r="AB86" s="4">
        <v>149</v>
      </c>
      <c r="AC86" s="5">
        <f t="shared" si="1"/>
        <v>1.4482758620689655</v>
      </c>
    </row>
    <row r="87" spans="1:29" ht="15.75" customHeight="1" x14ac:dyDescent="0.25">
      <c r="A87" s="1" t="s">
        <v>188</v>
      </c>
      <c r="B87" s="3" t="s">
        <v>86</v>
      </c>
      <c r="C87" s="4" t="s">
        <v>115</v>
      </c>
      <c r="D87" s="4">
        <v>34</v>
      </c>
      <c r="E87" s="4">
        <v>477</v>
      </c>
      <c r="F87" s="4">
        <v>34</v>
      </c>
      <c r="G87" s="4">
        <v>3</v>
      </c>
      <c r="H87" s="4">
        <v>477</v>
      </c>
      <c r="I87" s="4">
        <v>33</v>
      </c>
      <c r="J87" s="4">
        <v>64</v>
      </c>
      <c r="K87" s="4">
        <v>0.51600000000000001</v>
      </c>
      <c r="L87" s="4">
        <v>0</v>
      </c>
      <c r="M87" s="4">
        <v>0</v>
      </c>
      <c r="N87" s="4">
        <v>0</v>
      </c>
      <c r="O87" s="4">
        <v>33</v>
      </c>
      <c r="P87" s="4">
        <v>64</v>
      </c>
      <c r="Q87" s="4">
        <v>0.51600000000000001</v>
      </c>
      <c r="R87" s="4">
        <v>13</v>
      </c>
      <c r="S87" s="4">
        <v>31</v>
      </c>
      <c r="T87" s="4">
        <v>0.41899999999999998</v>
      </c>
      <c r="U87" s="4">
        <v>39</v>
      </c>
      <c r="V87" s="4">
        <v>140</v>
      </c>
      <c r="W87" s="4">
        <v>7</v>
      </c>
      <c r="X87" s="4">
        <v>8</v>
      </c>
      <c r="Y87" s="4">
        <v>17</v>
      </c>
      <c r="Z87" s="4">
        <v>32</v>
      </c>
      <c r="AA87" s="4">
        <v>90</v>
      </c>
      <c r="AB87" s="4">
        <v>79</v>
      </c>
      <c r="AC87" s="5">
        <f t="shared" si="1"/>
        <v>0.21875</v>
      </c>
    </row>
    <row r="88" spans="1:29" ht="15.75" customHeight="1" x14ac:dyDescent="0.25">
      <c r="A88" s="1" t="s">
        <v>189</v>
      </c>
      <c r="B88" s="3" t="s">
        <v>104</v>
      </c>
      <c r="C88" s="4" t="s">
        <v>8</v>
      </c>
      <c r="D88" s="4">
        <v>34</v>
      </c>
      <c r="E88" s="4">
        <v>453</v>
      </c>
      <c r="F88" s="4">
        <v>34</v>
      </c>
      <c r="G88" s="4">
        <v>18</v>
      </c>
      <c r="H88" s="4">
        <v>453</v>
      </c>
      <c r="I88" s="4">
        <v>39</v>
      </c>
      <c r="J88" s="4">
        <v>121</v>
      </c>
      <c r="K88" s="4">
        <v>0.32200000000000001</v>
      </c>
      <c r="L88" s="4">
        <v>6</v>
      </c>
      <c r="M88" s="4">
        <v>23</v>
      </c>
      <c r="N88" s="4">
        <v>0.26100000000000001</v>
      </c>
      <c r="O88" s="4">
        <v>33</v>
      </c>
      <c r="P88" s="4">
        <v>98</v>
      </c>
      <c r="Q88" s="4">
        <v>0.33700000000000002</v>
      </c>
      <c r="R88" s="4">
        <v>4</v>
      </c>
      <c r="S88" s="4">
        <v>7</v>
      </c>
      <c r="T88" s="4">
        <v>0.57099999999999995</v>
      </c>
      <c r="U88" s="4">
        <v>16</v>
      </c>
      <c r="V88" s="4">
        <v>73</v>
      </c>
      <c r="W88" s="4">
        <v>32</v>
      </c>
      <c r="X88" s="4">
        <v>24</v>
      </c>
      <c r="Y88" s="4">
        <v>8</v>
      </c>
      <c r="Z88" s="4">
        <v>30</v>
      </c>
      <c r="AA88" s="4">
        <v>38</v>
      </c>
      <c r="AB88" s="4">
        <v>88</v>
      </c>
      <c r="AC88" s="5">
        <f t="shared" si="1"/>
        <v>1.0666666666666667</v>
      </c>
    </row>
    <row r="89" spans="1:29" ht="15.75" customHeight="1" x14ac:dyDescent="0.25">
      <c r="A89" s="1" t="s">
        <v>190</v>
      </c>
      <c r="B89" s="3" t="s">
        <v>141</v>
      </c>
      <c r="C89" s="4" t="s">
        <v>92</v>
      </c>
      <c r="D89" s="4">
        <v>32</v>
      </c>
      <c r="E89" s="4">
        <v>450</v>
      </c>
      <c r="F89" s="4">
        <v>32</v>
      </c>
      <c r="G89" s="4">
        <v>7</v>
      </c>
      <c r="H89" s="4">
        <v>450</v>
      </c>
      <c r="I89" s="4">
        <v>45</v>
      </c>
      <c r="J89" s="4">
        <v>139</v>
      </c>
      <c r="K89" s="4">
        <v>0.32400000000000001</v>
      </c>
      <c r="L89" s="4">
        <v>18</v>
      </c>
      <c r="M89" s="4">
        <v>71</v>
      </c>
      <c r="N89" s="4">
        <v>0.254</v>
      </c>
      <c r="O89" s="4">
        <v>27</v>
      </c>
      <c r="P89" s="4">
        <v>68</v>
      </c>
      <c r="Q89" s="4">
        <v>0.39700000000000002</v>
      </c>
      <c r="R89" s="4">
        <v>18</v>
      </c>
      <c r="S89" s="4">
        <v>22</v>
      </c>
      <c r="T89" s="4">
        <v>0.81799999999999995</v>
      </c>
      <c r="U89" s="4">
        <v>12</v>
      </c>
      <c r="V89" s="4">
        <v>43</v>
      </c>
      <c r="W89" s="4">
        <v>21</v>
      </c>
      <c r="X89" s="4">
        <v>7</v>
      </c>
      <c r="Y89" s="4">
        <v>6</v>
      </c>
      <c r="Z89" s="4">
        <v>23</v>
      </c>
      <c r="AA89" s="4">
        <v>60</v>
      </c>
      <c r="AB89" s="4">
        <v>126</v>
      </c>
      <c r="AC89" s="5">
        <f t="shared" si="1"/>
        <v>0.91304347826086951</v>
      </c>
    </row>
    <row r="90" spans="1:29" ht="15.75" customHeight="1" x14ac:dyDescent="0.25">
      <c r="A90" s="1" t="s">
        <v>191</v>
      </c>
      <c r="B90" s="3" t="s">
        <v>122</v>
      </c>
      <c r="C90" s="4" t="s">
        <v>100</v>
      </c>
      <c r="D90" s="4">
        <v>28</v>
      </c>
      <c r="E90" s="4">
        <v>441</v>
      </c>
      <c r="F90" s="4">
        <v>28</v>
      </c>
      <c r="G90" s="4">
        <v>9</v>
      </c>
      <c r="H90" s="4">
        <v>441</v>
      </c>
      <c r="I90" s="4">
        <v>58</v>
      </c>
      <c r="J90" s="4">
        <v>165</v>
      </c>
      <c r="K90" s="4">
        <v>0.35199999999999998</v>
      </c>
      <c r="L90" s="4">
        <v>15</v>
      </c>
      <c r="M90" s="4">
        <v>46</v>
      </c>
      <c r="N90" s="4">
        <v>0.32600000000000001</v>
      </c>
      <c r="O90" s="4">
        <v>43</v>
      </c>
      <c r="P90" s="4">
        <v>119</v>
      </c>
      <c r="Q90" s="4">
        <v>0.36099999999999999</v>
      </c>
      <c r="R90" s="4">
        <v>37</v>
      </c>
      <c r="S90" s="4">
        <v>51</v>
      </c>
      <c r="T90" s="4">
        <v>0.72499999999999998</v>
      </c>
      <c r="U90" s="4">
        <v>13</v>
      </c>
      <c r="V90" s="4">
        <v>47</v>
      </c>
      <c r="W90" s="4">
        <v>29</v>
      </c>
      <c r="X90" s="4">
        <v>13</v>
      </c>
      <c r="Y90" s="4">
        <v>4</v>
      </c>
      <c r="Z90" s="4">
        <v>37</v>
      </c>
      <c r="AA90" s="4">
        <v>35</v>
      </c>
      <c r="AB90" s="4">
        <v>168</v>
      </c>
      <c r="AC90" s="5">
        <f t="shared" si="1"/>
        <v>0.78378378378378377</v>
      </c>
    </row>
    <row r="91" spans="1:29" ht="15.75" customHeight="1" x14ac:dyDescent="0.25">
      <c r="A91" s="1" t="s">
        <v>192</v>
      </c>
      <c r="B91" s="3" t="s">
        <v>106</v>
      </c>
      <c r="C91" s="4" t="s">
        <v>92</v>
      </c>
      <c r="D91" s="4">
        <v>30</v>
      </c>
      <c r="E91" s="4">
        <v>439</v>
      </c>
      <c r="F91" s="4">
        <v>30</v>
      </c>
      <c r="G91" s="4">
        <v>2</v>
      </c>
      <c r="H91" s="4">
        <v>439</v>
      </c>
      <c r="I91" s="4">
        <v>69</v>
      </c>
      <c r="J91" s="4">
        <v>157</v>
      </c>
      <c r="K91" s="4">
        <v>0.439</v>
      </c>
      <c r="L91" s="4">
        <v>0</v>
      </c>
      <c r="M91" s="4">
        <v>0</v>
      </c>
      <c r="N91" s="4">
        <v>0</v>
      </c>
      <c r="O91" s="4">
        <v>69</v>
      </c>
      <c r="P91" s="4">
        <v>157</v>
      </c>
      <c r="Q91" s="4">
        <v>0.439</v>
      </c>
      <c r="R91" s="4">
        <v>20</v>
      </c>
      <c r="S91" s="4">
        <v>27</v>
      </c>
      <c r="T91" s="4">
        <v>0.74099999999999999</v>
      </c>
      <c r="U91" s="4">
        <v>50</v>
      </c>
      <c r="V91" s="4">
        <v>121</v>
      </c>
      <c r="W91" s="4">
        <v>17</v>
      </c>
      <c r="X91" s="4">
        <v>17</v>
      </c>
      <c r="Y91" s="4">
        <v>31</v>
      </c>
      <c r="Z91" s="4">
        <v>34</v>
      </c>
      <c r="AA91" s="4">
        <v>38</v>
      </c>
      <c r="AB91" s="4">
        <v>158</v>
      </c>
      <c r="AC91" s="5">
        <f t="shared" si="1"/>
        <v>0.5</v>
      </c>
    </row>
    <row r="92" spans="1:29" ht="15.75" customHeight="1" x14ac:dyDescent="0.25">
      <c r="A92" s="1" t="s">
        <v>193</v>
      </c>
      <c r="B92" s="3" t="s">
        <v>99</v>
      </c>
      <c r="C92" s="4" t="s">
        <v>110</v>
      </c>
      <c r="D92" s="4">
        <v>34</v>
      </c>
      <c r="E92" s="4">
        <v>434</v>
      </c>
      <c r="F92" s="4">
        <v>34</v>
      </c>
      <c r="G92" s="4">
        <v>1</v>
      </c>
      <c r="H92" s="4">
        <v>434</v>
      </c>
      <c r="I92" s="4">
        <v>54</v>
      </c>
      <c r="J92" s="4">
        <v>120</v>
      </c>
      <c r="K92" s="4">
        <v>0.45</v>
      </c>
      <c r="L92" s="4">
        <v>0</v>
      </c>
      <c r="M92" s="4">
        <v>0</v>
      </c>
      <c r="N92" s="4">
        <v>0</v>
      </c>
      <c r="O92" s="4">
        <v>54</v>
      </c>
      <c r="P92" s="4">
        <v>120</v>
      </c>
      <c r="Q92" s="4">
        <v>0.45</v>
      </c>
      <c r="R92" s="4">
        <v>26</v>
      </c>
      <c r="S92" s="4">
        <v>34</v>
      </c>
      <c r="T92" s="4">
        <v>0.76500000000000001</v>
      </c>
      <c r="U92" s="4">
        <v>44</v>
      </c>
      <c r="V92" s="4">
        <v>134</v>
      </c>
      <c r="W92" s="4">
        <v>16</v>
      </c>
      <c r="X92" s="4">
        <v>9</v>
      </c>
      <c r="Y92" s="4">
        <v>17</v>
      </c>
      <c r="Z92" s="4">
        <v>26</v>
      </c>
      <c r="AA92" s="4">
        <v>41</v>
      </c>
      <c r="AB92" s="4">
        <v>134</v>
      </c>
      <c r="AC92" s="5">
        <f t="shared" si="1"/>
        <v>0.61538461538461542</v>
      </c>
    </row>
    <row r="93" spans="1:29" ht="15.75" customHeight="1" x14ac:dyDescent="0.25">
      <c r="A93" s="1" t="s">
        <v>194</v>
      </c>
      <c r="B93" s="3" t="s">
        <v>97</v>
      </c>
      <c r="C93" s="4" t="s">
        <v>8</v>
      </c>
      <c r="D93" s="4">
        <v>29</v>
      </c>
      <c r="E93" s="4">
        <v>433</v>
      </c>
      <c r="F93" s="4">
        <v>29</v>
      </c>
      <c r="G93" s="4">
        <v>4</v>
      </c>
      <c r="H93" s="4">
        <v>433</v>
      </c>
      <c r="I93" s="4">
        <v>42</v>
      </c>
      <c r="J93" s="4">
        <v>130</v>
      </c>
      <c r="K93" s="4">
        <v>0.32300000000000001</v>
      </c>
      <c r="L93" s="4">
        <v>18</v>
      </c>
      <c r="M93" s="4">
        <v>60</v>
      </c>
      <c r="N93" s="4">
        <v>0.3</v>
      </c>
      <c r="O93" s="4">
        <v>24</v>
      </c>
      <c r="P93" s="4">
        <v>70</v>
      </c>
      <c r="Q93" s="4">
        <v>0.34300000000000003</v>
      </c>
      <c r="R93" s="4">
        <v>28</v>
      </c>
      <c r="S93" s="4">
        <v>37</v>
      </c>
      <c r="T93" s="4">
        <v>0.75700000000000001</v>
      </c>
      <c r="U93" s="4">
        <v>18</v>
      </c>
      <c r="V93" s="4">
        <v>55</v>
      </c>
      <c r="W93" s="4">
        <v>52</v>
      </c>
      <c r="X93" s="4">
        <v>20</v>
      </c>
      <c r="Y93" s="4">
        <v>7</v>
      </c>
      <c r="Z93" s="4">
        <v>42</v>
      </c>
      <c r="AA93" s="4">
        <v>36</v>
      </c>
      <c r="AB93" s="4">
        <v>130</v>
      </c>
      <c r="AC93" s="5">
        <f t="shared" si="1"/>
        <v>1.2380952380952381</v>
      </c>
    </row>
    <row r="94" spans="1:29" ht="15.75" customHeight="1" x14ac:dyDescent="0.25">
      <c r="A94" s="1" t="s">
        <v>195</v>
      </c>
      <c r="B94" s="3" t="s">
        <v>171</v>
      </c>
      <c r="C94" s="4" t="s">
        <v>92</v>
      </c>
      <c r="D94" s="4">
        <v>34</v>
      </c>
      <c r="E94" s="4">
        <v>431</v>
      </c>
      <c r="F94" s="4">
        <v>34</v>
      </c>
      <c r="G94" s="4">
        <v>5</v>
      </c>
      <c r="H94" s="4">
        <v>431</v>
      </c>
      <c r="I94" s="4">
        <v>39</v>
      </c>
      <c r="J94" s="4">
        <v>101</v>
      </c>
      <c r="K94" s="4">
        <v>0.38600000000000001</v>
      </c>
      <c r="L94" s="4">
        <v>0</v>
      </c>
      <c r="M94" s="4">
        <v>1</v>
      </c>
      <c r="N94" s="4">
        <v>0</v>
      </c>
      <c r="O94" s="4">
        <v>39</v>
      </c>
      <c r="P94" s="4">
        <v>100</v>
      </c>
      <c r="Q94" s="4">
        <v>0.39</v>
      </c>
      <c r="R94" s="4">
        <v>23</v>
      </c>
      <c r="S94" s="4">
        <v>34</v>
      </c>
      <c r="T94" s="4">
        <v>0.67600000000000005</v>
      </c>
      <c r="U94" s="4">
        <v>32</v>
      </c>
      <c r="V94" s="4">
        <v>100</v>
      </c>
      <c r="W94" s="4">
        <v>31</v>
      </c>
      <c r="X94" s="4">
        <v>21</v>
      </c>
      <c r="Y94" s="4">
        <v>14</v>
      </c>
      <c r="Z94" s="4">
        <v>28</v>
      </c>
      <c r="AA94" s="4">
        <v>52</v>
      </c>
      <c r="AB94" s="4">
        <v>101</v>
      </c>
      <c r="AC94" s="5">
        <f t="shared" si="1"/>
        <v>1.1071428571428572</v>
      </c>
    </row>
    <row r="95" spans="1:29" ht="15.75" customHeight="1" x14ac:dyDescent="0.25">
      <c r="A95" s="1" t="s">
        <v>196</v>
      </c>
      <c r="B95" s="3" t="s">
        <v>108</v>
      </c>
      <c r="C95" s="4" t="s">
        <v>92</v>
      </c>
      <c r="D95" s="4">
        <v>33</v>
      </c>
      <c r="E95" s="4">
        <v>412</v>
      </c>
      <c r="F95" s="4">
        <v>33</v>
      </c>
      <c r="G95" s="4">
        <v>0</v>
      </c>
      <c r="H95" s="4">
        <v>412</v>
      </c>
      <c r="I95" s="4">
        <v>46</v>
      </c>
      <c r="J95" s="4">
        <v>108</v>
      </c>
      <c r="K95" s="4">
        <v>0.42599999999999999</v>
      </c>
      <c r="L95" s="4">
        <v>1</v>
      </c>
      <c r="M95" s="4">
        <v>14</v>
      </c>
      <c r="N95" s="4">
        <v>7.0999999999999994E-2</v>
      </c>
      <c r="O95" s="4">
        <v>45</v>
      </c>
      <c r="P95" s="4">
        <v>94</v>
      </c>
      <c r="Q95" s="4">
        <v>0.47899999999999998</v>
      </c>
      <c r="R95" s="4">
        <v>8</v>
      </c>
      <c r="S95" s="4">
        <v>9</v>
      </c>
      <c r="T95" s="4">
        <v>0.88900000000000001</v>
      </c>
      <c r="U95" s="4">
        <v>14</v>
      </c>
      <c r="V95" s="4">
        <v>64</v>
      </c>
      <c r="W95" s="4">
        <v>33</v>
      </c>
      <c r="X95" s="4">
        <v>16</v>
      </c>
      <c r="Y95" s="4">
        <v>11</v>
      </c>
      <c r="Z95" s="4">
        <v>22</v>
      </c>
      <c r="AA95" s="4">
        <v>73</v>
      </c>
      <c r="AB95" s="4">
        <v>101</v>
      </c>
      <c r="AC95" s="5">
        <f t="shared" si="1"/>
        <v>1.5</v>
      </c>
    </row>
    <row r="96" spans="1:29" ht="15.75" customHeight="1" x14ac:dyDescent="0.25">
      <c r="A96" s="1" t="s">
        <v>197</v>
      </c>
      <c r="B96" s="3" t="s">
        <v>108</v>
      </c>
      <c r="C96" s="4" t="s">
        <v>92</v>
      </c>
      <c r="D96" s="4">
        <v>29</v>
      </c>
      <c r="E96" s="4">
        <v>398</v>
      </c>
      <c r="F96" s="4">
        <v>29</v>
      </c>
      <c r="G96" s="4">
        <v>0</v>
      </c>
      <c r="H96" s="4">
        <v>398</v>
      </c>
      <c r="I96" s="4">
        <v>28</v>
      </c>
      <c r="J96" s="4">
        <v>64</v>
      </c>
      <c r="K96" s="4">
        <v>0.438</v>
      </c>
      <c r="L96" s="4">
        <v>20</v>
      </c>
      <c r="M96" s="4">
        <v>40</v>
      </c>
      <c r="N96" s="4">
        <v>0.5</v>
      </c>
      <c r="O96" s="4">
        <v>8</v>
      </c>
      <c r="P96" s="4">
        <v>24</v>
      </c>
      <c r="Q96" s="4">
        <v>0.33300000000000002</v>
      </c>
      <c r="R96" s="4">
        <v>10</v>
      </c>
      <c r="S96" s="4">
        <v>15</v>
      </c>
      <c r="T96" s="4">
        <v>0.66700000000000004</v>
      </c>
      <c r="U96" s="4">
        <v>12</v>
      </c>
      <c r="V96" s="4">
        <v>50</v>
      </c>
      <c r="W96" s="4">
        <v>31</v>
      </c>
      <c r="X96" s="4">
        <v>10</v>
      </c>
      <c r="Y96" s="4">
        <v>6</v>
      </c>
      <c r="Z96" s="4">
        <v>17</v>
      </c>
      <c r="AA96" s="4">
        <v>38</v>
      </c>
      <c r="AB96" s="4">
        <v>86</v>
      </c>
      <c r="AC96" s="5">
        <f t="shared" si="1"/>
        <v>1.8235294117647058</v>
      </c>
    </row>
    <row r="97" spans="1:29" ht="15.75" customHeight="1" x14ac:dyDescent="0.25">
      <c r="A97" s="1" t="s">
        <v>198</v>
      </c>
      <c r="B97" s="3" t="s">
        <v>141</v>
      </c>
      <c r="C97" s="4" t="s">
        <v>92</v>
      </c>
      <c r="D97" s="4">
        <v>19</v>
      </c>
      <c r="E97" s="4">
        <v>393</v>
      </c>
      <c r="F97" s="4">
        <v>19</v>
      </c>
      <c r="G97" s="4">
        <v>10</v>
      </c>
      <c r="H97" s="4">
        <v>393</v>
      </c>
      <c r="I97" s="4">
        <v>33</v>
      </c>
      <c r="J97" s="4">
        <v>84</v>
      </c>
      <c r="K97" s="4">
        <v>0.39300000000000002</v>
      </c>
      <c r="L97" s="4">
        <v>0</v>
      </c>
      <c r="M97" s="4">
        <v>0</v>
      </c>
      <c r="N97" s="4">
        <v>0</v>
      </c>
      <c r="O97" s="4">
        <v>33</v>
      </c>
      <c r="P97" s="4">
        <v>84</v>
      </c>
      <c r="Q97" s="4">
        <v>0.39300000000000002</v>
      </c>
      <c r="R97" s="4">
        <v>17</v>
      </c>
      <c r="S97" s="4">
        <v>26</v>
      </c>
      <c r="T97" s="4">
        <v>0.65400000000000003</v>
      </c>
      <c r="U97" s="4">
        <v>37</v>
      </c>
      <c r="V97" s="4">
        <v>86</v>
      </c>
      <c r="W97" s="4">
        <v>13</v>
      </c>
      <c r="X97" s="4">
        <v>25</v>
      </c>
      <c r="Y97" s="4">
        <v>4</v>
      </c>
      <c r="Z97" s="4">
        <v>27</v>
      </c>
      <c r="AA97" s="4">
        <v>41</v>
      </c>
      <c r="AB97" s="4">
        <v>83</v>
      </c>
      <c r="AC97" s="5">
        <f t="shared" si="1"/>
        <v>0.48148148148148145</v>
      </c>
    </row>
    <row r="98" spans="1:29" ht="15.75" customHeight="1" x14ac:dyDescent="0.25">
      <c r="A98" s="1" t="s">
        <v>199</v>
      </c>
      <c r="B98" s="3" t="s">
        <v>106</v>
      </c>
      <c r="C98" s="4" t="s">
        <v>8</v>
      </c>
      <c r="D98" s="4">
        <v>18</v>
      </c>
      <c r="E98" s="4">
        <v>383</v>
      </c>
      <c r="F98" s="4">
        <v>18</v>
      </c>
      <c r="G98" s="4">
        <v>6</v>
      </c>
      <c r="H98" s="4">
        <v>383</v>
      </c>
      <c r="I98" s="4">
        <v>36</v>
      </c>
      <c r="J98" s="4">
        <v>98</v>
      </c>
      <c r="K98" s="4">
        <v>0.36699999999999999</v>
      </c>
      <c r="L98" s="4">
        <v>23</v>
      </c>
      <c r="M98" s="4">
        <v>48</v>
      </c>
      <c r="N98" s="4">
        <v>0.47899999999999998</v>
      </c>
      <c r="O98" s="4">
        <v>13</v>
      </c>
      <c r="P98" s="4">
        <v>50</v>
      </c>
      <c r="Q98" s="4">
        <v>0.26</v>
      </c>
      <c r="R98" s="4">
        <v>12</v>
      </c>
      <c r="S98" s="4">
        <v>16</v>
      </c>
      <c r="T98" s="4">
        <v>0.75</v>
      </c>
      <c r="U98" s="4">
        <v>4</v>
      </c>
      <c r="V98" s="4">
        <v>19</v>
      </c>
      <c r="W98" s="4">
        <v>29</v>
      </c>
      <c r="X98" s="4">
        <v>15</v>
      </c>
      <c r="Y98" s="4">
        <v>1</v>
      </c>
      <c r="Z98" s="4">
        <v>14</v>
      </c>
      <c r="AA98" s="4">
        <v>22</v>
      </c>
      <c r="AB98" s="4">
        <v>107</v>
      </c>
      <c r="AC98" s="5">
        <f t="shared" si="1"/>
        <v>2.0714285714285716</v>
      </c>
    </row>
    <row r="99" spans="1:29" ht="15.75" customHeight="1" x14ac:dyDescent="0.25">
      <c r="A99" s="1" t="s">
        <v>200</v>
      </c>
      <c r="B99" s="3" t="s">
        <v>114</v>
      </c>
      <c r="C99" s="4" t="s">
        <v>8</v>
      </c>
      <c r="D99" s="4">
        <v>34</v>
      </c>
      <c r="E99" s="4">
        <v>379</v>
      </c>
      <c r="F99" s="4">
        <v>34</v>
      </c>
      <c r="G99" s="4">
        <v>0</v>
      </c>
      <c r="H99" s="4">
        <v>379</v>
      </c>
      <c r="I99" s="4">
        <v>38</v>
      </c>
      <c r="J99" s="4">
        <v>130</v>
      </c>
      <c r="K99" s="4">
        <v>0.29199999999999998</v>
      </c>
      <c r="L99" s="4">
        <v>10</v>
      </c>
      <c r="M99" s="4">
        <v>58</v>
      </c>
      <c r="N99" s="4">
        <v>0.17199999999999999</v>
      </c>
      <c r="O99" s="4">
        <v>28</v>
      </c>
      <c r="P99" s="4">
        <v>72</v>
      </c>
      <c r="Q99" s="4">
        <v>0.38900000000000001</v>
      </c>
      <c r="R99" s="4">
        <v>19</v>
      </c>
      <c r="S99" s="4">
        <v>24</v>
      </c>
      <c r="T99" s="4">
        <v>0.79200000000000004</v>
      </c>
      <c r="U99" s="4">
        <v>29</v>
      </c>
      <c r="V99" s="4">
        <v>64</v>
      </c>
      <c r="W99" s="4">
        <v>10</v>
      </c>
      <c r="X99" s="4">
        <v>21</v>
      </c>
      <c r="Y99" s="4">
        <v>0</v>
      </c>
      <c r="Z99" s="4">
        <v>13</v>
      </c>
      <c r="AA99" s="4">
        <v>32</v>
      </c>
      <c r="AB99" s="4">
        <v>105</v>
      </c>
      <c r="AC99" s="5">
        <f t="shared" si="1"/>
        <v>0.76923076923076927</v>
      </c>
    </row>
    <row r="100" spans="1:29" ht="15.75" customHeight="1" x14ac:dyDescent="0.25">
      <c r="A100" s="1" t="s">
        <v>201</v>
      </c>
      <c r="B100" s="3" t="s">
        <v>86</v>
      </c>
      <c r="C100" s="4" t="s">
        <v>8</v>
      </c>
      <c r="D100" s="4">
        <v>30</v>
      </c>
      <c r="E100" s="4">
        <v>373</v>
      </c>
      <c r="F100" s="4">
        <v>30</v>
      </c>
      <c r="G100" s="4">
        <v>1</v>
      </c>
      <c r="H100" s="4">
        <v>373</v>
      </c>
      <c r="I100" s="4">
        <v>30</v>
      </c>
      <c r="J100" s="4">
        <v>92</v>
      </c>
      <c r="K100" s="4">
        <v>0.32600000000000001</v>
      </c>
      <c r="L100" s="4">
        <v>10</v>
      </c>
      <c r="M100" s="4">
        <v>36</v>
      </c>
      <c r="N100" s="4">
        <v>0.27800000000000002</v>
      </c>
      <c r="O100" s="4">
        <v>20</v>
      </c>
      <c r="P100" s="4">
        <v>56</v>
      </c>
      <c r="Q100" s="4">
        <v>0.35699999999999998</v>
      </c>
      <c r="R100" s="4">
        <v>21</v>
      </c>
      <c r="S100" s="4">
        <v>30</v>
      </c>
      <c r="T100" s="4">
        <v>0.7</v>
      </c>
      <c r="U100" s="4">
        <v>9</v>
      </c>
      <c r="V100" s="4">
        <v>51</v>
      </c>
      <c r="W100" s="4">
        <v>38</v>
      </c>
      <c r="X100" s="4">
        <v>11</v>
      </c>
      <c r="Y100" s="4">
        <v>3</v>
      </c>
      <c r="Z100" s="4">
        <v>38</v>
      </c>
      <c r="AA100" s="4">
        <v>61</v>
      </c>
      <c r="AB100" s="4">
        <v>91</v>
      </c>
      <c r="AC100" s="5">
        <f t="shared" si="1"/>
        <v>1</v>
      </c>
    </row>
    <row r="101" spans="1:29" ht="15.75" customHeight="1" x14ac:dyDescent="0.25">
      <c r="A101" s="1" t="s">
        <v>202</v>
      </c>
      <c r="B101" s="3" t="s">
        <v>97</v>
      </c>
      <c r="C101" s="4" t="s">
        <v>115</v>
      </c>
      <c r="D101" s="4">
        <v>33</v>
      </c>
      <c r="E101" s="4">
        <v>371</v>
      </c>
      <c r="F101" s="4">
        <v>33</v>
      </c>
      <c r="G101" s="4">
        <v>1</v>
      </c>
      <c r="H101" s="4">
        <v>371</v>
      </c>
      <c r="I101" s="4">
        <v>35</v>
      </c>
      <c r="J101" s="4">
        <v>84</v>
      </c>
      <c r="K101" s="4">
        <v>0.41699999999999998</v>
      </c>
      <c r="L101" s="4">
        <v>0</v>
      </c>
      <c r="M101" s="4">
        <v>0</v>
      </c>
      <c r="N101" s="4">
        <v>0</v>
      </c>
      <c r="O101" s="4">
        <v>35</v>
      </c>
      <c r="P101" s="4">
        <v>84</v>
      </c>
      <c r="Q101" s="4">
        <v>0.41699999999999998</v>
      </c>
      <c r="R101" s="4">
        <v>22</v>
      </c>
      <c r="S101" s="4">
        <v>30</v>
      </c>
      <c r="T101" s="4">
        <v>0.73299999999999998</v>
      </c>
      <c r="U101" s="4">
        <v>43</v>
      </c>
      <c r="V101" s="4">
        <v>99</v>
      </c>
      <c r="W101" s="4">
        <v>10</v>
      </c>
      <c r="X101" s="4">
        <v>4</v>
      </c>
      <c r="Y101" s="4">
        <v>14</v>
      </c>
      <c r="Z101" s="4">
        <v>35</v>
      </c>
      <c r="AA101" s="4">
        <v>46</v>
      </c>
      <c r="AB101" s="4">
        <v>92</v>
      </c>
      <c r="AC101" s="5">
        <f t="shared" si="1"/>
        <v>0.2857142857142857</v>
      </c>
    </row>
    <row r="102" spans="1:29" ht="15.75" customHeight="1" x14ac:dyDescent="0.25">
      <c r="A102" s="1" t="s">
        <v>203</v>
      </c>
      <c r="B102" s="3" t="s">
        <v>104</v>
      </c>
      <c r="C102" s="4" t="s">
        <v>92</v>
      </c>
      <c r="D102" s="4">
        <v>31</v>
      </c>
      <c r="E102" s="4">
        <v>344</v>
      </c>
      <c r="F102" s="4">
        <v>31</v>
      </c>
      <c r="G102" s="4">
        <v>10</v>
      </c>
      <c r="H102" s="4">
        <v>344</v>
      </c>
      <c r="I102" s="4">
        <v>58</v>
      </c>
      <c r="J102" s="4">
        <v>122</v>
      </c>
      <c r="K102" s="4">
        <v>0.47499999999999998</v>
      </c>
      <c r="L102" s="4">
        <v>0</v>
      </c>
      <c r="M102" s="4">
        <v>1</v>
      </c>
      <c r="N102" s="4">
        <v>0</v>
      </c>
      <c r="O102" s="4">
        <v>58</v>
      </c>
      <c r="P102" s="4">
        <v>121</v>
      </c>
      <c r="Q102" s="4">
        <v>0.47899999999999998</v>
      </c>
      <c r="R102" s="4">
        <v>12</v>
      </c>
      <c r="S102" s="4">
        <v>18</v>
      </c>
      <c r="T102" s="4">
        <v>0.66700000000000004</v>
      </c>
      <c r="U102" s="4">
        <v>24</v>
      </c>
      <c r="V102" s="4">
        <v>58</v>
      </c>
      <c r="W102" s="4">
        <v>14</v>
      </c>
      <c r="X102" s="4">
        <v>9</v>
      </c>
      <c r="Y102" s="4">
        <v>10</v>
      </c>
      <c r="Z102" s="4">
        <v>26</v>
      </c>
      <c r="AA102" s="4">
        <v>57</v>
      </c>
      <c r="AB102" s="4">
        <v>128</v>
      </c>
      <c r="AC102" s="5">
        <f t="shared" si="1"/>
        <v>0.53846153846153844</v>
      </c>
    </row>
    <row r="103" spans="1:29" ht="15.75" customHeight="1" x14ac:dyDescent="0.25">
      <c r="A103" s="1" t="s">
        <v>204</v>
      </c>
      <c r="B103" s="3" t="s">
        <v>122</v>
      </c>
      <c r="C103" s="4" t="s">
        <v>8</v>
      </c>
      <c r="D103" s="4">
        <v>24</v>
      </c>
      <c r="E103" s="4">
        <v>338</v>
      </c>
      <c r="F103" s="4">
        <v>24</v>
      </c>
      <c r="G103" s="4">
        <v>3</v>
      </c>
      <c r="H103" s="4">
        <v>338</v>
      </c>
      <c r="I103" s="4">
        <v>18</v>
      </c>
      <c r="J103" s="4">
        <v>49</v>
      </c>
      <c r="K103" s="4">
        <v>0.36699999999999999</v>
      </c>
      <c r="L103" s="4">
        <v>7</v>
      </c>
      <c r="M103" s="4">
        <v>25</v>
      </c>
      <c r="N103" s="4">
        <v>0.28000000000000003</v>
      </c>
      <c r="O103" s="4">
        <v>11</v>
      </c>
      <c r="P103" s="4">
        <v>24</v>
      </c>
      <c r="Q103" s="4">
        <v>0.45800000000000002</v>
      </c>
      <c r="R103" s="4">
        <v>7</v>
      </c>
      <c r="S103" s="4">
        <v>9</v>
      </c>
      <c r="T103" s="4">
        <v>0.77800000000000002</v>
      </c>
      <c r="U103" s="4">
        <v>12</v>
      </c>
      <c r="V103" s="4">
        <v>53</v>
      </c>
      <c r="W103" s="4">
        <v>16</v>
      </c>
      <c r="X103" s="4">
        <v>7</v>
      </c>
      <c r="Y103" s="4">
        <v>5</v>
      </c>
      <c r="Z103" s="4">
        <v>15</v>
      </c>
      <c r="AA103" s="4">
        <v>32</v>
      </c>
      <c r="AB103" s="4">
        <v>50</v>
      </c>
      <c r="AC103" s="5">
        <f t="shared" si="1"/>
        <v>1.0666666666666667</v>
      </c>
    </row>
    <row r="104" spans="1:29" ht="15.75" customHeight="1" x14ac:dyDescent="0.25">
      <c r="A104" s="1" t="s">
        <v>205</v>
      </c>
      <c r="B104" s="3" t="s">
        <v>95</v>
      </c>
      <c r="C104" s="4" t="s">
        <v>92</v>
      </c>
      <c r="D104" s="4">
        <v>33</v>
      </c>
      <c r="E104" s="4">
        <v>321</v>
      </c>
      <c r="F104" s="4">
        <v>33</v>
      </c>
      <c r="G104" s="4">
        <v>0</v>
      </c>
      <c r="H104" s="4">
        <v>321</v>
      </c>
      <c r="I104" s="4">
        <v>48</v>
      </c>
      <c r="J104" s="4">
        <v>91</v>
      </c>
      <c r="K104" s="4">
        <v>0.52700000000000002</v>
      </c>
      <c r="L104" s="4">
        <v>5</v>
      </c>
      <c r="M104" s="4">
        <v>21</v>
      </c>
      <c r="N104" s="4">
        <v>0.23799999999999999</v>
      </c>
      <c r="O104" s="4">
        <v>43</v>
      </c>
      <c r="P104" s="4">
        <v>70</v>
      </c>
      <c r="Q104" s="4">
        <v>0.61399999999999999</v>
      </c>
      <c r="R104" s="4">
        <v>11</v>
      </c>
      <c r="S104" s="4">
        <v>13</v>
      </c>
      <c r="T104" s="4">
        <v>0.84599999999999997</v>
      </c>
      <c r="U104" s="4">
        <v>17</v>
      </c>
      <c r="V104" s="4">
        <v>52</v>
      </c>
      <c r="W104" s="4">
        <v>6</v>
      </c>
      <c r="X104" s="4">
        <v>9</v>
      </c>
      <c r="Y104" s="4">
        <v>4</v>
      </c>
      <c r="Z104" s="4">
        <v>22</v>
      </c>
      <c r="AA104" s="4">
        <v>59</v>
      </c>
      <c r="AB104" s="4">
        <v>112</v>
      </c>
      <c r="AC104" s="5">
        <f t="shared" si="1"/>
        <v>0.27272727272727271</v>
      </c>
    </row>
    <row r="105" spans="1:29" ht="15.75" customHeight="1" x14ac:dyDescent="0.25">
      <c r="A105" s="1" t="s">
        <v>206</v>
      </c>
      <c r="B105" s="3" t="s">
        <v>114</v>
      </c>
      <c r="C105" s="4" t="s">
        <v>8</v>
      </c>
      <c r="D105" s="4">
        <v>34</v>
      </c>
      <c r="E105" s="4">
        <v>318</v>
      </c>
      <c r="F105" s="4">
        <v>34</v>
      </c>
      <c r="G105" s="4">
        <v>0</v>
      </c>
      <c r="H105" s="4">
        <v>318</v>
      </c>
      <c r="I105" s="4">
        <v>48</v>
      </c>
      <c r="J105" s="4">
        <v>152</v>
      </c>
      <c r="K105" s="4">
        <v>0.316</v>
      </c>
      <c r="L105" s="4">
        <v>17</v>
      </c>
      <c r="M105" s="4">
        <v>54</v>
      </c>
      <c r="N105" s="4">
        <v>0.315</v>
      </c>
      <c r="O105" s="4">
        <v>31</v>
      </c>
      <c r="P105" s="4">
        <v>98</v>
      </c>
      <c r="Q105" s="4">
        <v>0.316</v>
      </c>
      <c r="R105" s="4">
        <v>16</v>
      </c>
      <c r="S105" s="4">
        <v>18</v>
      </c>
      <c r="T105" s="4">
        <v>0.88900000000000001</v>
      </c>
      <c r="U105" s="4">
        <v>7</v>
      </c>
      <c r="V105" s="4">
        <v>24</v>
      </c>
      <c r="W105" s="4">
        <v>22</v>
      </c>
      <c r="X105" s="4">
        <v>12</v>
      </c>
      <c r="Y105" s="4">
        <v>4</v>
      </c>
      <c r="Z105" s="4">
        <v>20</v>
      </c>
      <c r="AA105" s="4">
        <v>23</v>
      </c>
      <c r="AB105" s="4">
        <v>129</v>
      </c>
      <c r="AC105" s="5">
        <f t="shared" si="1"/>
        <v>1.1000000000000001</v>
      </c>
    </row>
    <row r="106" spans="1:29" ht="15.75" customHeight="1" x14ac:dyDescent="0.25">
      <c r="A106" s="1" t="s">
        <v>207</v>
      </c>
      <c r="B106" s="3" t="s">
        <v>97</v>
      </c>
      <c r="C106" s="4" t="s">
        <v>92</v>
      </c>
      <c r="D106" s="4">
        <v>22</v>
      </c>
      <c r="E106" s="4">
        <v>285</v>
      </c>
      <c r="F106" s="4">
        <v>22</v>
      </c>
      <c r="G106" s="4">
        <v>0</v>
      </c>
      <c r="H106" s="4">
        <v>285</v>
      </c>
      <c r="I106" s="4">
        <v>16</v>
      </c>
      <c r="J106" s="4">
        <v>55</v>
      </c>
      <c r="K106" s="4">
        <v>0.29099999999999998</v>
      </c>
      <c r="L106" s="4">
        <v>11</v>
      </c>
      <c r="M106" s="4">
        <v>40</v>
      </c>
      <c r="N106" s="4">
        <v>0.27500000000000002</v>
      </c>
      <c r="O106" s="4">
        <v>5</v>
      </c>
      <c r="P106" s="4">
        <v>15</v>
      </c>
      <c r="Q106" s="4">
        <v>0.33300000000000002</v>
      </c>
      <c r="R106" s="4">
        <v>3</v>
      </c>
      <c r="S106" s="4">
        <v>4</v>
      </c>
      <c r="T106" s="4">
        <v>0.75</v>
      </c>
      <c r="U106" s="4">
        <v>9</v>
      </c>
      <c r="V106" s="4">
        <v>42</v>
      </c>
      <c r="W106" s="4">
        <v>12</v>
      </c>
      <c r="X106" s="4">
        <v>9</v>
      </c>
      <c r="Y106" s="4">
        <v>4</v>
      </c>
      <c r="Z106" s="4">
        <v>10</v>
      </c>
      <c r="AA106" s="4">
        <v>20</v>
      </c>
      <c r="AB106" s="4">
        <v>46</v>
      </c>
      <c r="AC106" s="5">
        <f t="shared" si="1"/>
        <v>1.2</v>
      </c>
    </row>
    <row r="107" spans="1:29" ht="15.75" customHeight="1" x14ac:dyDescent="0.25">
      <c r="A107" s="1" t="s">
        <v>208</v>
      </c>
      <c r="B107" s="3" t="s">
        <v>89</v>
      </c>
      <c r="C107" s="4" t="s">
        <v>8</v>
      </c>
      <c r="D107" s="4">
        <v>32</v>
      </c>
      <c r="E107" s="4">
        <v>282</v>
      </c>
      <c r="F107" s="4">
        <v>32</v>
      </c>
      <c r="G107" s="4">
        <v>0</v>
      </c>
      <c r="H107" s="4">
        <v>282</v>
      </c>
      <c r="I107" s="4">
        <v>29</v>
      </c>
      <c r="J107" s="4">
        <v>78</v>
      </c>
      <c r="K107" s="4">
        <v>0.372</v>
      </c>
      <c r="L107" s="4">
        <v>7</v>
      </c>
      <c r="M107" s="4">
        <v>22</v>
      </c>
      <c r="N107" s="4">
        <v>0.318</v>
      </c>
      <c r="O107" s="4">
        <v>22</v>
      </c>
      <c r="P107" s="4">
        <v>56</v>
      </c>
      <c r="Q107" s="4">
        <v>0.39300000000000002</v>
      </c>
      <c r="R107" s="4">
        <v>25</v>
      </c>
      <c r="S107" s="4">
        <v>34</v>
      </c>
      <c r="T107" s="4">
        <v>0.73499999999999999</v>
      </c>
      <c r="U107" s="4">
        <v>4</v>
      </c>
      <c r="V107" s="4">
        <v>36</v>
      </c>
      <c r="W107" s="4">
        <v>33</v>
      </c>
      <c r="X107" s="4">
        <v>19</v>
      </c>
      <c r="Y107" s="4">
        <v>2</v>
      </c>
      <c r="Z107" s="4">
        <v>22</v>
      </c>
      <c r="AA107" s="4">
        <v>21</v>
      </c>
      <c r="AB107" s="4">
        <v>90</v>
      </c>
      <c r="AC107" s="5">
        <f t="shared" si="1"/>
        <v>1.5</v>
      </c>
    </row>
    <row r="108" spans="1:29" ht="15.75" customHeight="1" x14ac:dyDescent="0.25">
      <c r="A108" s="1" t="s">
        <v>209</v>
      </c>
      <c r="B108" s="3" t="s">
        <v>108</v>
      </c>
      <c r="C108" s="4" t="s">
        <v>8</v>
      </c>
      <c r="D108" s="4">
        <v>30</v>
      </c>
      <c r="E108" s="4">
        <v>276</v>
      </c>
      <c r="F108" s="4">
        <v>30</v>
      </c>
      <c r="G108" s="4">
        <v>0</v>
      </c>
      <c r="H108" s="4">
        <v>276</v>
      </c>
      <c r="I108" s="4">
        <v>24</v>
      </c>
      <c r="J108" s="4">
        <v>68</v>
      </c>
      <c r="K108" s="4">
        <v>0.35299999999999998</v>
      </c>
      <c r="L108" s="4">
        <v>4</v>
      </c>
      <c r="M108" s="4">
        <v>16</v>
      </c>
      <c r="N108" s="4">
        <v>0.25</v>
      </c>
      <c r="O108" s="4">
        <v>20</v>
      </c>
      <c r="P108" s="4">
        <v>52</v>
      </c>
      <c r="Q108" s="4">
        <v>0.38500000000000001</v>
      </c>
      <c r="R108" s="4">
        <v>16</v>
      </c>
      <c r="S108" s="4">
        <v>25</v>
      </c>
      <c r="T108" s="4">
        <v>0.64</v>
      </c>
      <c r="U108" s="4">
        <v>7</v>
      </c>
      <c r="V108" s="4">
        <v>20</v>
      </c>
      <c r="W108" s="4">
        <v>23</v>
      </c>
      <c r="X108" s="4">
        <v>9</v>
      </c>
      <c r="Y108" s="4">
        <v>2</v>
      </c>
      <c r="Z108" s="4">
        <v>17</v>
      </c>
      <c r="AA108" s="4">
        <v>35</v>
      </c>
      <c r="AB108" s="4">
        <v>68</v>
      </c>
      <c r="AC108" s="5">
        <f t="shared" si="1"/>
        <v>1.3529411764705883</v>
      </c>
    </row>
    <row r="109" spans="1:29" ht="15.75" customHeight="1" x14ac:dyDescent="0.25">
      <c r="A109" s="1" t="s">
        <v>210</v>
      </c>
      <c r="B109" s="3" t="s">
        <v>141</v>
      </c>
      <c r="C109" s="4" t="s">
        <v>115</v>
      </c>
      <c r="D109" s="4">
        <v>23</v>
      </c>
      <c r="E109" s="4">
        <v>276</v>
      </c>
      <c r="F109" s="4">
        <v>23</v>
      </c>
      <c r="G109" s="4">
        <v>2</v>
      </c>
      <c r="H109" s="4">
        <v>276</v>
      </c>
      <c r="I109" s="4">
        <v>41</v>
      </c>
      <c r="J109" s="4">
        <v>89</v>
      </c>
      <c r="K109" s="4">
        <v>0.46100000000000002</v>
      </c>
      <c r="L109" s="4">
        <v>0</v>
      </c>
      <c r="M109" s="4">
        <v>1</v>
      </c>
      <c r="N109" s="4">
        <v>0</v>
      </c>
      <c r="O109" s="4">
        <v>41</v>
      </c>
      <c r="P109" s="4">
        <v>88</v>
      </c>
      <c r="Q109" s="4">
        <v>0.46600000000000003</v>
      </c>
      <c r="R109" s="4">
        <v>6</v>
      </c>
      <c r="S109" s="4">
        <v>9</v>
      </c>
      <c r="T109" s="4">
        <v>0.66700000000000004</v>
      </c>
      <c r="U109" s="4">
        <v>41</v>
      </c>
      <c r="V109" s="4">
        <v>95</v>
      </c>
      <c r="W109" s="4">
        <v>11</v>
      </c>
      <c r="X109" s="4">
        <v>7</v>
      </c>
      <c r="Y109" s="4">
        <v>16</v>
      </c>
      <c r="Z109" s="4">
        <v>12</v>
      </c>
      <c r="AA109" s="4">
        <v>36</v>
      </c>
      <c r="AB109" s="4">
        <v>88</v>
      </c>
      <c r="AC109" s="5">
        <f t="shared" si="1"/>
        <v>0.91666666666666663</v>
      </c>
    </row>
    <row r="110" spans="1:29" ht="15.75" customHeight="1" x14ac:dyDescent="0.25">
      <c r="A110" s="1" t="s">
        <v>211</v>
      </c>
      <c r="B110" s="4" t="s">
        <v>122</v>
      </c>
      <c r="C110" s="4" t="s">
        <v>8</v>
      </c>
      <c r="D110" s="4">
        <v>9</v>
      </c>
      <c r="E110" s="4">
        <v>271</v>
      </c>
      <c r="F110" s="4">
        <v>9</v>
      </c>
      <c r="G110" s="4">
        <v>6</v>
      </c>
      <c r="H110" s="4">
        <v>271</v>
      </c>
      <c r="I110" s="4">
        <v>45</v>
      </c>
      <c r="J110" s="4">
        <v>103</v>
      </c>
      <c r="K110" s="4">
        <v>0.437</v>
      </c>
      <c r="L110" s="4">
        <v>22</v>
      </c>
      <c r="M110" s="4">
        <v>48</v>
      </c>
      <c r="N110" s="4">
        <v>0.45800000000000002</v>
      </c>
      <c r="O110" s="4">
        <v>23</v>
      </c>
      <c r="P110" s="4">
        <v>55</v>
      </c>
      <c r="Q110" s="4">
        <v>0.41799999999999998</v>
      </c>
      <c r="R110" s="4">
        <v>12</v>
      </c>
      <c r="S110" s="4">
        <v>14</v>
      </c>
      <c r="T110" s="4">
        <v>0.85699999999999998</v>
      </c>
      <c r="U110" s="4">
        <v>8</v>
      </c>
      <c r="V110" s="4">
        <v>33</v>
      </c>
      <c r="W110" s="4">
        <v>38</v>
      </c>
      <c r="X110" s="4">
        <v>5</v>
      </c>
      <c r="Y110" s="4">
        <v>1</v>
      </c>
      <c r="Z110" s="4">
        <v>22</v>
      </c>
      <c r="AA110" s="4">
        <v>14</v>
      </c>
      <c r="AB110" s="4">
        <v>124</v>
      </c>
      <c r="AC110" s="5">
        <f t="shared" si="1"/>
        <v>1.7272727272727273</v>
      </c>
    </row>
    <row r="111" spans="1:29" ht="15.75" customHeight="1" x14ac:dyDescent="0.25">
      <c r="A111" s="1" t="s">
        <v>212</v>
      </c>
      <c r="B111" s="4" t="s">
        <v>86</v>
      </c>
      <c r="C111" s="4" t="s">
        <v>92</v>
      </c>
      <c r="D111" s="4">
        <v>27</v>
      </c>
      <c r="E111" s="4">
        <v>266</v>
      </c>
      <c r="F111" s="4">
        <v>27</v>
      </c>
      <c r="G111" s="4">
        <v>0</v>
      </c>
      <c r="H111" s="4">
        <v>266</v>
      </c>
      <c r="I111" s="4">
        <v>31</v>
      </c>
      <c r="J111" s="4">
        <v>69</v>
      </c>
      <c r="K111" s="4">
        <v>0.44900000000000001</v>
      </c>
      <c r="L111" s="4">
        <v>0</v>
      </c>
      <c r="M111" s="4">
        <v>1</v>
      </c>
      <c r="N111" s="4">
        <v>0</v>
      </c>
      <c r="O111" s="4">
        <v>31</v>
      </c>
      <c r="P111" s="4">
        <v>68</v>
      </c>
      <c r="Q111" s="4">
        <v>0.45600000000000002</v>
      </c>
      <c r="R111" s="4">
        <v>9</v>
      </c>
      <c r="S111" s="4">
        <v>14</v>
      </c>
      <c r="T111" s="4">
        <v>0.64300000000000002</v>
      </c>
      <c r="U111" s="4">
        <v>21</v>
      </c>
      <c r="V111" s="4">
        <v>57</v>
      </c>
      <c r="W111" s="4">
        <v>6</v>
      </c>
      <c r="X111" s="4">
        <v>11</v>
      </c>
      <c r="Y111" s="4">
        <v>5</v>
      </c>
      <c r="Z111" s="4">
        <v>21</v>
      </c>
      <c r="AA111" s="4">
        <v>55</v>
      </c>
      <c r="AB111" s="4">
        <v>71</v>
      </c>
      <c r="AC111" s="5">
        <f t="shared" si="1"/>
        <v>0.2857142857142857</v>
      </c>
    </row>
    <row r="112" spans="1:29" ht="15.75" customHeight="1" x14ac:dyDescent="0.25">
      <c r="A112" s="1" t="s">
        <v>213</v>
      </c>
      <c r="B112" s="3" t="s">
        <v>91</v>
      </c>
      <c r="C112" s="4" t="s">
        <v>92</v>
      </c>
      <c r="D112" s="4">
        <v>30</v>
      </c>
      <c r="E112" s="4">
        <v>263</v>
      </c>
      <c r="F112" s="4">
        <v>30</v>
      </c>
      <c r="G112" s="4">
        <v>1</v>
      </c>
      <c r="H112" s="4">
        <v>263</v>
      </c>
      <c r="I112" s="4">
        <v>27</v>
      </c>
      <c r="J112" s="4">
        <v>72</v>
      </c>
      <c r="K112" s="4">
        <v>0.375</v>
      </c>
      <c r="L112" s="4">
        <v>2</v>
      </c>
      <c r="M112" s="4">
        <v>14</v>
      </c>
      <c r="N112" s="4">
        <v>0.14299999999999999</v>
      </c>
      <c r="O112" s="4">
        <v>25</v>
      </c>
      <c r="P112" s="4">
        <v>58</v>
      </c>
      <c r="Q112" s="4">
        <v>0.43099999999999999</v>
      </c>
      <c r="R112" s="4">
        <v>15</v>
      </c>
      <c r="S112" s="4">
        <v>21</v>
      </c>
      <c r="T112" s="4">
        <v>0.71399999999999997</v>
      </c>
      <c r="U112" s="4">
        <v>11</v>
      </c>
      <c r="V112" s="4">
        <v>44</v>
      </c>
      <c r="W112" s="4">
        <v>20</v>
      </c>
      <c r="X112" s="4">
        <v>4</v>
      </c>
      <c r="Y112" s="4">
        <v>6</v>
      </c>
      <c r="Z112" s="4">
        <v>15</v>
      </c>
      <c r="AA112" s="4">
        <v>26</v>
      </c>
      <c r="AB112" s="4">
        <v>71</v>
      </c>
      <c r="AC112" s="5">
        <f t="shared" si="1"/>
        <v>1.3333333333333333</v>
      </c>
    </row>
    <row r="113" spans="1:29" ht="15.75" customHeight="1" x14ac:dyDescent="0.25">
      <c r="A113" s="1" t="s">
        <v>214</v>
      </c>
      <c r="B113" s="3" t="s">
        <v>122</v>
      </c>
      <c r="C113" s="4" t="s">
        <v>8</v>
      </c>
      <c r="D113" s="4">
        <v>15</v>
      </c>
      <c r="E113" s="4">
        <v>259</v>
      </c>
      <c r="F113" s="4">
        <v>15</v>
      </c>
      <c r="G113" s="4">
        <v>1</v>
      </c>
      <c r="H113" s="4">
        <v>259</v>
      </c>
      <c r="I113" s="4">
        <v>21</v>
      </c>
      <c r="J113" s="4">
        <v>60</v>
      </c>
      <c r="K113" s="4">
        <v>0.35</v>
      </c>
      <c r="L113" s="4">
        <v>4</v>
      </c>
      <c r="M113" s="4">
        <v>19</v>
      </c>
      <c r="N113" s="4">
        <v>0.21099999999999999</v>
      </c>
      <c r="O113" s="4">
        <v>17</v>
      </c>
      <c r="P113" s="4">
        <v>41</v>
      </c>
      <c r="Q113" s="4">
        <v>0.41499999999999998</v>
      </c>
      <c r="R113" s="4">
        <v>16</v>
      </c>
      <c r="S113" s="4">
        <v>20</v>
      </c>
      <c r="T113" s="4">
        <v>0.8</v>
      </c>
      <c r="U113" s="4">
        <v>5</v>
      </c>
      <c r="V113" s="4">
        <v>22</v>
      </c>
      <c r="W113" s="4">
        <v>27</v>
      </c>
      <c r="X113" s="4">
        <v>7</v>
      </c>
      <c r="Y113" s="4">
        <v>4</v>
      </c>
      <c r="Z113" s="4">
        <v>25</v>
      </c>
      <c r="AA113" s="4">
        <v>17</v>
      </c>
      <c r="AB113" s="4">
        <v>62</v>
      </c>
      <c r="AC113" s="5">
        <f t="shared" si="1"/>
        <v>1.08</v>
      </c>
    </row>
    <row r="114" spans="1:29" ht="15.75" customHeight="1" x14ac:dyDescent="0.25">
      <c r="A114" s="1" t="s">
        <v>215</v>
      </c>
      <c r="B114" s="3" t="s">
        <v>99</v>
      </c>
      <c r="C114" s="4" t="s">
        <v>8</v>
      </c>
      <c r="D114" s="4">
        <v>26</v>
      </c>
      <c r="E114" s="4">
        <v>244</v>
      </c>
      <c r="F114" s="4">
        <v>26</v>
      </c>
      <c r="G114" s="4">
        <v>0</v>
      </c>
      <c r="H114" s="4">
        <v>244</v>
      </c>
      <c r="I114" s="4">
        <v>20</v>
      </c>
      <c r="J114" s="4">
        <v>99</v>
      </c>
      <c r="K114" s="4">
        <v>0.20200000000000001</v>
      </c>
      <c r="L114" s="4">
        <v>9</v>
      </c>
      <c r="M114" s="4">
        <v>39</v>
      </c>
      <c r="N114" s="4">
        <v>0.23100000000000001</v>
      </c>
      <c r="O114" s="4">
        <v>11</v>
      </c>
      <c r="P114" s="4">
        <v>60</v>
      </c>
      <c r="Q114" s="4">
        <v>0.183</v>
      </c>
      <c r="R114" s="4">
        <v>9</v>
      </c>
      <c r="S114" s="4">
        <v>12</v>
      </c>
      <c r="T114" s="4">
        <v>0.75</v>
      </c>
      <c r="U114" s="4">
        <v>11</v>
      </c>
      <c r="V114" s="4">
        <v>24</v>
      </c>
      <c r="W114" s="4">
        <v>8</v>
      </c>
      <c r="X114" s="4">
        <v>4</v>
      </c>
      <c r="Y114" s="4">
        <v>2</v>
      </c>
      <c r="Z114" s="4">
        <v>7</v>
      </c>
      <c r="AA114" s="4">
        <v>25</v>
      </c>
      <c r="AB114" s="4">
        <v>58</v>
      </c>
      <c r="AC114" s="5">
        <f t="shared" si="1"/>
        <v>1.1428571428571428</v>
      </c>
    </row>
    <row r="115" spans="1:29" ht="15.75" customHeight="1" x14ac:dyDescent="0.25">
      <c r="A115" s="1" t="s">
        <v>216</v>
      </c>
      <c r="B115" s="3" t="s">
        <v>114</v>
      </c>
      <c r="C115" s="4" t="s">
        <v>92</v>
      </c>
      <c r="D115" s="4">
        <v>31</v>
      </c>
      <c r="E115" s="4">
        <v>238</v>
      </c>
      <c r="F115" s="4">
        <v>31</v>
      </c>
      <c r="G115" s="4">
        <v>0</v>
      </c>
      <c r="H115" s="4">
        <v>238</v>
      </c>
      <c r="I115" s="4">
        <v>16</v>
      </c>
      <c r="J115" s="4">
        <v>51</v>
      </c>
      <c r="K115" s="4">
        <v>0.314</v>
      </c>
      <c r="L115" s="4">
        <v>0</v>
      </c>
      <c r="M115" s="4">
        <v>0</v>
      </c>
      <c r="N115" s="4">
        <v>0</v>
      </c>
      <c r="O115" s="4">
        <v>16</v>
      </c>
      <c r="P115" s="4">
        <v>51</v>
      </c>
      <c r="Q115" s="4">
        <v>0.314</v>
      </c>
      <c r="R115" s="4">
        <v>22</v>
      </c>
      <c r="S115" s="4">
        <v>30</v>
      </c>
      <c r="T115" s="4">
        <v>0.73299999999999998</v>
      </c>
      <c r="U115" s="4">
        <v>21</v>
      </c>
      <c r="V115" s="4">
        <v>48</v>
      </c>
      <c r="W115" s="4">
        <v>5</v>
      </c>
      <c r="X115" s="4">
        <v>5</v>
      </c>
      <c r="Y115" s="4">
        <v>6</v>
      </c>
      <c r="Z115" s="4">
        <v>16</v>
      </c>
      <c r="AA115" s="4">
        <v>41</v>
      </c>
      <c r="AB115" s="4">
        <v>54</v>
      </c>
      <c r="AC115" s="5">
        <f t="shared" si="1"/>
        <v>0.3125</v>
      </c>
    </row>
    <row r="116" spans="1:29" ht="15.75" customHeight="1" x14ac:dyDescent="0.25">
      <c r="A116" s="1" t="s">
        <v>217</v>
      </c>
      <c r="B116" s="3" t="s">
        <v>171</v>
      </c>
      <c r="C116" s="4" t="s">
        <v>115</v>
      </c>
      <c r="D116" s="4">
        <v>22</v>
      </c>
      <c r="E116" s="4">
        <v>215</v>
      </c>
      <c r="F116" s="4">
        <v>22</v>
      </c>
      <c r="G116" s="4">
        <v>5</v>
      </c>
      <c r="H116" s="4">
        <v>215</v>
      </c>
      <c r="I116" s="4">
        <v>17</v>
      </c>
      <c r="J116" s="4">
        <v>41</v>
      </c>
      <c r="K116" s="4">
        <v>0.41499999999999998</v>
      </c>
      <c r="L116" s="4">
        <v>0</v>
      </c>
      <c r="M116" s="4">
        <v>0</v>
      </c>
      <c r="N116" s="4">
        <v>0</v>
      </c>
      <c r="O116" s="4">
        <v>17</v>
      </c>
      <c r="P116" s="4">
        <v>41</v>
      </c>
      <c r="Q116" s="4">
        <v>0.41499999999999998</v>
      </c>
      <c r="R116" s="4">
        <v>8</v>
      </c>
      <c r="S116" s="4">
        <v>10</v>
      </c>
      <c r="T116" s="4">
        <v>0.8</v>
      </c>
      <c r="U116" s="4">
        <v>25</v>
      </c>
      <c r="V116" s="4">
        <v>69</v>
      </c>
      <c r="W116" s="4">
        <v>2</v>
      </c>
      <c r="X116" s="4">
        <v>8</v>
      </c>
      <c r="Y116" s="4">
        <v>7</v>
      </c>
      <c r="Z116" s="4">
        <v>11</v>
      </c>
      <c r="AA116" s="4">
        <v>33</v>
      </c>
      <c r="AB116" s="4">
        <v>42</v>
      </c>
      <c r="AC116" s="5">
        <f t="shared" si="1"/>
        <v>0.18181818181818182</v>
      </c>
    </row>
    <row r="117" spans="1:29" ht="15.75" customHeight="1" x14ac:dyDescent="0.25">
      <c r="A117" s="1" t="s">
        <v>218</v>
      </c>
      <c r="B117" s="3" t="s">
        <v>91</v>
      </c>
      <c r="C117" s="4" t="s">
        <v>8</v>
      </c>
      <c r="D117" s="4">
        <v>28</v>
      </c>
      <c r="E117" s="4">
        <v>212</v>
      </c>
      <c r="F117" s="4">
        <v>28</v>
      </c>
      <c r="G117" s="4">
        <v>0</v>
      </c>
      <c r="H117" s="4">
        <v>212</v>
      </c>
      <c r="I117" s="4">
        <v>19</v>
      </c>
      <c r="J117" s="4">
        <v>60</v>
      </c>
      <c r="K117" s="4">
        <v>0.317</v>
      </c>
      <c r="L117" s="4">
        <v>10</v>
      </c>
      <c r="M117" s="4">
        <v>32</v>
      </c>
      <c r="N117" s="4">
        <v>0.313</v>
      </c>
      <c r="O117" s="4">
        <v>9</v>
      </c>
      <c r="P117" s="4">
        <v>28</v>
      </c>
      <c r="Q117" s="4">
        <v>0.32100000000000001</v>
      </c>
      <c r="R117" s="4">
        <v>4</v>
      </c>
      <c r="S117" s="4">
        <v>7</v>
      </c>
      <c r="T117" s="4">
        <v>0.57099999999999995</v>
      </c>
      <c r="U117" s="4">
        <v>11</v>
      </c>
      <c r="V117" s="4">
        <v>40</v>
      </c>
      <c r="W117" s="4">
        <v>14</v>
      </c>
      <c r="X117" s="4">
        <v>15</v>
      </c>
      <c r="Y117" s="4">
        <v>9</v>
      </c>
      <c r="Z117" s="4">
        <v>12</v>
      </c>
      <c r="AA117" s="4">
        <v>32</v>
      </c>
      <c r="AB117" s="4">
        <v>52</v>
      </c>
      <c r="AC117" s="5">
        <f t="shared" si="1"/>
        <v>1.1666666666666667</v>
      </c>
    </row>
    <row r="118" spans="1:29" ht="15.75" customHeight="1" x14ac:dyDescent="0.25">
      <c r="A118" s="1" t="s">
        <v>219</v>
      </c>
      <c r="B118" s="3" t="s">
        <v>95</v>
      </c>
      <c r="C118" s="4" t="s">
        <v>115</v>
      </c>
      <c r="D118" s="4">
        <v>21</v>
      </c>
      <c r="E118" s="4">
        <v>200</v>
      </c>
      <c r="F118" s="4">
        <v>21</v>
      </c>
      <c r="G118" s="4">
        <v>0</v>
      </c>
      <c r="H118" s="4">
        <v>200</v>
      </c>
      <c r="I118" s="4">
        <v>13</v>
      </c>
      <c r="J118" s="4">
        <v>29</v>
      </c>
      <c r="K118" s="4">
        <v>0.44800000000000001</v>
      </c>
      <c r="L118" s="4">
        <v>0</v>
      </c>
      <c r="M118" s="4">
        <v>0</v>
      </c>
      <c r="N118" s="4">
        <v>0</v>
      </c>
      <c r="O118" s="4">
        <v>13</v>
      </c>
      <c r="P118" s="4">
        <v>29</v>
      </c>
      <c r="Q118" s="4">
        <v>0.44800000000000001</v>
      </c>
      <c r="R118" s="4">
        <v>6</v>
      </c>
      <c r="S118" s="4">
        <v>10</v>
      </c>
      <c r="T118" s="4">
        <v>0.6</v>
      </c>
      <c r="U118" s="4">
        <v>11</v>
      </c>
      <c r="V118" s="4">
        <v>29</v>
      </c>
      <c r="W118" s="4">
        <v>7</v>
      </c>
      <c r="X118" s="4">
        <v>1</v>
      </c>
      <c r="Y118" s="4">
        <v>8</v>
      </c>
      <c r="Z118" s="4">
        <v>23</v>
      </c>
      <c r="AA118" s="4">
        <v>32</v>
      </c>
      <c r="AB118" s="4">
        <v>32</v>
      </c>
      <c r="AC118" s="5">
        <f t="shared" si="1"/>
        <v>0.30434782608695654</v>
      </c>
    </row>
    <row r="119" spans="1:29" ht="15.75" customHeight="1" x14ac:dyDescent="0.25">
      <c r="A119" s="1" t="s">
        <v>220</v>
      </c>
      <c r="B119" s="3" t="s">
        <v>106</v>
      </c>
      <c r="C119" s="4" t="s">
        <v>8</v>
      </c>
      <c r="D119" s="4">
        <v>13</v>
      </c>
      <c r="E119" s="4">
        <v>191</v>
      </c>
      <c r="F119" s="4">
        <v>13</v>
      </c>
      <c r="G119" s="4">
        <v>0</v>
      </c>
      <c r="H119" s="4">
        <v>191</v>
      </c>
      <c r="I119" s="4">
        <v>13</v>
      </c>
      <c r="J119" s="4">
        <v>38</v>
      </c>
      <c r="K119" s="4">
        <v>0.34200000000000003</v>
      </c>
      <c r="L119" s="4">
        <v>9</v>
      </c>
      <c r="M119" s="4">
        <v>24</v>
      </c>
      <c r="N119" s="4">
        <v>0.375</v>
      </c>
      <c r="O119" s="4">
        <v>4</v>
      </c>
      <c r="P119" s="4">
        <v>14</v>
      </c>
      <c r="Q119" s="4">
        <v>0.28599999999999998</v>
      </c>
      <c r="R119" s="4">
        <v>6</v>
      </c>
      <c r="S119" s="4">
        <v>6</v>
      </c>
      <c r="T119" s="4">
        <v>1</v>
      </c>
      <c r="U119" s="4">
        <v>6</v>
      </c>
      <c r="V119" s="4">
        <v>25</v>
      </c>
      <c r="W119" s="4">
        <v>4</v>
      </c>
      <c r="X119" s="4">
        <v>6</v>
      </c>
      <c r="Y119" s="4">
        <v>1</v>
      </c>
      <c r="Z119" s="4">
        <v>10</v>
      </c>
      <c r="AA119" s="4">
        <v>11</v>
      </c>
      <c r="AB119" s="4">
        <v>41</v>
      </c>
      <c r="AC119" s="5">
        <f t="shared" si="1"/>
        <v>0.4</v>
      </c>
    </row>
    <row r="120" spans="1:29" ht="15.75" customHeight="1" x14ac:dyDescent="0.25">
      <c r="A120" s="1" t="s">
        <v>221</v>
      </c>
      <c r="B120" s="3" t="s">
        <v>86</v>
      </c>
      <c r="C120" s="4" t="s">
        <v>8</v>
      </c>
      <c r="D120" s="4">
        <v>16</v>
      </c>
      <c r="E120" s="4">
        <v>190</v>
      </c>
      <c r="F120" s="4">
        <v>16</v>
      </c>
      <c r="G120" s="4">
        <v>1</v>
      </c>
      <c r="H120" s="4">
        <v>190</v>
      </c>
      <c r="I120" s="4">
        <v>18</v>
      </c>
      <c r="J120" s="4">
        <v>54</v>
      </c>
      <c r="K120" s="4">
        <v>0.33300000000000002</v>
      </c>
      <c r="L120" s="4">
        <v>0</v>
      </c>
      <c r="M120" s="4">
        <v>8</v>
      </c>
      <c r="N120" s="4">
        <v>0</v>
      </c>
      <c r="O120" s="4">
        <v>18</v>
      </c>
      <c r="P120" s="4">
        <v>46</v>
      </c>
      <c r="Q120" s="4">
        <v>0.39100000000000001</v>
      </c>
      <c r="R120" s="4">
        <v>13</v>
      </c>
      <c r="S120" s="4">
        <v>18</v>
      </c>
      <c r="T120" s="4">
        <v>0.72199999999999998</v>
      </c>
      <c r="U120" s="4">
        <v>5</v>
      </c>
      <c r="V120" s="4">
        <v>23</v>
      </c>
      <c r="W120" s="4">
        <v>28</v>
      </c>
      <c r="X120" s="4">
        <v>14</v>
      </c>
      <c r="Y120" s="4">
        <v>1</v>
      </c>
      <c r="Z120" s="4">
        <v>19</v>
      </c>
      <c r="AA120" s="4">
        <v>18</v>
      </c>
      <c r="AB120" s="4">
        <v>49</v>
      </c>
      <c r="AC120" s="5">
        <f t="shared" si="1"/>
        <v>1.4736842105263157</v>
      </c>
    </row>
    <row r="121" spans="1:29" ht="15.75" customHeight="1" x14ac:dyDescent="0.25">
      <c r="A121" s="1" t="s">
        <v>222</v>
      </c>
      <c r="B121" s="3" t="s">
        <v>106</v>
      </c>
      <c r="C121" s="4" t="s">
        <v>115</v>
      </c>
      <c r="D121" s="4">
        <v>25</v>
      </c>
      <c r="E121" s="4">
        <v>187</v>
      </c>
      <c r="F121" s="4">
        <v>25</v>
      </c>
      <c r="G121" s="4">
        <v>1</v>
      </c>
      <c r="H121" s="4">
        <v>187</v>
      </c>
      <c r="I121" s="4">
        <v>19</v>
      </c>
      <c r="J121" s="4">
        <v>53</v>
      </c>
      <c r="K121" s="4">
        <v>0.35799999999999998</v>
      </c>
      <c r="L121" s="4">
        <v>0</v>
      </c>
      <c r="M121" s="4">
        <v>0</v>
      </c>
      <c r="N121" s="4">
        <v>0</v>
      </c>
      <c r="O121" s="4">
        <v>19</v>
      </c>
      <c r="P121" s="4">
        <v>53</v>
      </c>
      <c r="Q121" s="4">
        <v>0.35799999999999998</v>
      </c>
      <c r="R121" s="4">
        <v>6</v>
      </c>
      <c r="S121" s="4">
        <v>7</v>
      </c>
      <c r="T121" s="4">
        <v>0.85699999999999998</v>
      </c>
      <c r="U121" s="4">
        <v>16</v>
      </c>
      <c r="V121" s="4">
        <v>40</v>
      </c>
      <c r="W121" s="4">
        <v>4</v>
      </c>
      <c r="X121" s="4">
        <v>2</v>
      </c>
      <c r="Y121" s="4">
        <v>2</v>
      </c>
      <c r="Z121" s="4">
        <v>10</v>
      </c>
      <c r="AA121" s="4">
        <v>17</v>
      </c>
      <c r="AB121" s="4">
        <v>44</v>
      </c>
      <c r="AC121" s="5">
        <f t="shared" si="1"/>
        <v>0.4</v>
      </c>
    </row>
    <row r="122" spans="1:29" ht="15.75" customHeight="1" x14ac:dyDescent="0.25">
      <c r="A122" s="1" t="s">
        <v>223</v>
      </c>
      <c r="B122" s="4" t="s">
        <v>91</v>
      </c>
      <c r="C122" s="4" t="s">
        <v>92</v>
      </c>
      <c r="D122" s="4">
        <v>27</v>
      </c>
      <c r="E122" s="4">
        <v>184</v>
      </c>
      <c r="F122" s="4">
        <v>27</v>
      </c>
      <c r="G122" s="4">
        <v>0</v>
      </c>
      <c r="H122" s="4">
        <v>184</v>
      </c>
      <c r="I122" s="4">
        <v>16</v>
      </c>
      <c r="J122" s="4">
        <v>36</v>
      </c>
      <c r="K122" s="4">
        <v>0.44400000000000001</v>
      </c>
      <c r="L122" s="4">
        <v>6</v>
      </c>
      <c r="M122" s="4">
        <v>10</v>
      </c>
      <c r="N122" s="4">
        <v>0.6</v>
      </c>
      <c r="O122" s="4">
        <v>10</v>
      </c>
      <c r="P122" s="4">
        <v>26</v>
      </c>
      <c r="Q122" s="4">
        <v>0.38500000000000001</v>
      </c>
      <c r="R122" s="4">
        <v>7</v>
      </c>
      <c r="S122" s="4">
        <v>9</v>
      </c>
      <c r="T122" s="4">
        <v>0.77800000000000002</v>
      </c>
      <c r="U122" s="4">
        <v>7</v>
      </c>
      <c r="V122" s="4">
        <v>19</v>
      </c>
      <c r="W122" s="4">
        <v>11</v>
      </c>
      <c r="X122" s="4">
        <v>5</v>
      </c>
      <c r="Y122" s="4">
        <v>4</v>
      </c>
      <c r="Z122" s="4">
        <v>13</v>
      </c>
      <c r="AA122" s="4">
        <v>27</v>
      </c>
      <c r="AB122" s="4">
        <v>45</v>
      </c>
      <c r="AC122" s="5">
        <f t="shared" si="1"/>
        <v>0.84615384615384615</v>
      </c>
    </row>
    <row r="123" spans="1:29" ht="15.75" customHeight="1" x14ac:dyDescent="0.25">
      <c r="A123" s="1" t="s">
        <v>224</v>
      </c>
      <c r="B123" s="3" t="s">
        <v>114</v>
      </c>
      <c r="C123" s="4" t="s">
        <v>8</v>
      </c>
      <c r="D123" s="4">
        <v>19</v>
      </c>
      <c r="E123" s="4">
        <v>184</v>
      </c>
      <c r="F123" s="4">
        <v>19</v>
      </c>
      <c r="G123" s="4">
        <v>0</v>
      </c>
      <c r="H123" s="4">
        <v>184</v>
      </c>
      <c r="I123" s="4">
        <v>6</v>
      </c>
      <c r="J123" s="4">
        <v>28</v>
      </c>
      <c r="K123" s="4">
        <v>0.214</v>
      </c>
      <c r="L123" s="4">
        <v>0</v>
      </c>
      <c r="M123" s="4">
        <v>6</v>
      </c>
      <c r="N123" s="4">
        <v>0</v>
      </c>
      <c r="O123" s="4">
        <v>6</v>
      </c>
      <c r="P123" s="4">
        <v>22</v>
      </c>
      <c r="Q123" s="4">
        <v>0.27300000000000002</v>
      </c>
      <c r="R123" s="4">
        <v>5</v>
      </c>
      <c r="S123" s="4">
        <v>8</v>
      </c>
      <c r="T123" s="4">
        <v>0.625</v>
      </c>
      <c r="U123" s="4">
        <v>0</v>
      </c>
      <c r="V123" s="4">
        <v>14</v>
      </c>
      <c r="W123" s="4">
        <v>33</v>
      </c>
      <c r="X123" s="4">
        <v>3</v>
      </c>
      <c r="Y123" s="4">
        <v>0</v>
      </c>
      <c r="Z123" s="4">
        <v>16</v>
      </c>
      <c r="AA123" s="4">
        <v>15</v>
      </c>
      <c r="AB123" s="4">
        <v>17</v>
      </c>
      <c r="AC123" s="5">
        <f t="shared" si="1"/>
        <v>2.0625</v>
      </c>
    </row>
    <row r="124" spans="1:29" ht="15.75" customHeight="1" x14ac:dyDescent="0.25">
      <c r="A124" s="1" t="s">
        <v>225</v>
      </c>
      <c r="B124" s="4" t="s">
        <v>114</v>
      </c>
      <c r="C124" s="4" t="s">
        <v>115</v>
      </c>
      <c r="D124" s="4">
        <v>16</v>
      </c>
      <c r="E124" s="4">
        <v>181</v>
      </c>
      <c r="F124" s="4">
        <v>16</v>
      </c>
      <c r="G124" s="4">
        <v>2</v>
      </c>
      <c r="H124" s="4">
        <v>181</v>
      </c>
      <c r="I124" s="4">
        <v>26</v>
      </c>
      <c r="J124" s="4">
        <v>42</v>
      </c>
      <c r="K124" s="4">
        <v>0.61899999999999999</v>
      </c>
      <c r="L124" s="4">
        <v>0</v>
      </c>
      <c r="M124" s="4">
        <v>0</v>
      </c>
      <c r="N124" s="4">
        <v>0</v>
      </c>
      <c r="O124" s="4">
        <v>26</v>
      </c>
      <c r="P124" s="4">
        <v>42</v>
      </c>
      <c r="Q124" s="4">
        <v>0.61899999999999999</v>
      </c>
      <c r="R124" s="4">
        <v>7</v>
      </c>
      <c r="S124" s="4">
        <v>9</v>
      </c>
      <c r="T124" s="4">
        <v>0.77800000000000002</v>
      </c>
      <c r="U124" s="4">
        <v>16</v>
      </c>
      <c r="V124" s="4">
        <v>41</v>
      </c>
      <c r="W124" s="4">
        <v>10</v>
      </c>
      <c r="X124" s="4">
        <v>8</v>
      </c>
      <c r="Y124" s="4">
        <v>12</v>
      </c>
      <c r="Z124" s="4">
        <v>14</v>
      </c>
      <c r="AA124" s="4">
        <v>33</v>
      </c>
      <c r="AB124" s="4">
        <v>59</v>
      </c>
      <c r="AC124" s="5">
        <f t="shared" si="1"/>
        <v>0.7142857142857143</v>
      </c>
    </row>
    <row r="125" spans="1:29" ht="15.75" customHeight="1" x14ac:dyDescent="0.25">
      <c r="A125" s="1" t="s">
        <v>226</v>
      </c>
      <c r="B125" s="3" t="s">
        <v>99</v>
      </c>
      <c r="C125" s="4" t="s">
        <v>92</v>
      </c>
      <c r="D125" s="4">
        <v>6</v>
      </c>
      <c r="E125" s="4">
        <v>180</v>
      </c>
      <c r="F125" s="4">
        <v>6</v>
      </c>
      <c r="G125" s="4">
        <v>6</v>
      </c>
      <c r="H125" s="4">
        <v>180</v>
      </c>
      <c r="I125" s="4">
        <v>37</v>
      </c>
      <c r="J125" s="4">
        <v>70</v>
      </c>
      <c r="K125" s="4">
        <v>0.52900000000000003</v>
      </c>
      <c r="L125" s="4">
        <v>2</v>
      </c>
      <c r="M125" s="4">
        <v>5</v>
      </c>
      <c r="N125" s="4">
        <v>0.4</v>
      </c>
      <c r="O125" s="4">
        <v>35</v>
      </c>
      <c r="P125" s="4">
        <v>65</v>
      </c>
      <c r="Q125" s="4">
        <v>0.53800000000000003</v>
      </c>
      <c r="R125" s="4">
        <v>10</v>
      </c>
      <c r="S125" s="4">
        <v>15</v>
      </c>
      <c r="T125" s="4">
        <v>0.66700000000000004</v>
      </c>
      <c r="U125" s="4">
        <v>14</v>
      </c>
      <c r="V125" s="4">
        <v>51</v>
      </c>
      <c r="W125" s="4">
        <v>15</v>
      </c>
      <c r="X125" s="4">
        <v>14</v>
      </c>
      <c r="Y125" s="4">
        <v>8</v>
      </c>
      <c r="Z125" s="4">
        <v>13</v>
      </c>
      <c r="AA125" s="4">
        <v>17</v>
      </c>
      <c r="AB125" s="4">
        <v>86</v>
      </c>
      <c r="AC125" s="5">
        <f t="shared" si="1"/>
        <v>1.1538461538461537</v>
      </c>
    </row>
    <row r="126" spans="1:29" ht="15.75" customHeight="1" x14ac:dyDescent="0.25">
      <c r="A126" s="1" t="s">
        <v>227</v>
      </c>
      <c r="B126" s="3" t="s">
        <v>171</v>
      </c>
      <c r="C126" s="4" t="s">
        <v>92</v>
      </c>
      <c r="D126" s="4">
        <v>22</v>
      </c>
      <c r="E126" s="4">
        <v>162</v>
      </c>
      <c r="F126" s="4">
        <v>22</v>
      </c>
      <c r="G126" s="4">
        <v>0</v>
      </c>
      <c r="H126" s="4">
        <v>162</v>
      </c>
      <c r="I126" s="4">
        <v>13</v>
      </c>
      <c r="J126" s="4">
        <v>47</v>
      </c>
      <c r="K126" s="4">
        <v>0.27700000000000002</v>
      </c>
      <c r="L126" s="4">
        <v>0</v>
      </c>
      <c r="M126" s="4">
        <v>1</v>
      </c>
      <c r="N126" s="4">
        <v>0</v>
      </c>
      <c r="O126" s="4">
        <v>13</v>
      </c>
      <c r="P126" s="4">
        <v>46</v>
      </c>
      <c r="Q126" s="4">
        <v>0.28299999999999997</v>
      </c>
      <c r="R126" s="4">
        <v>8</v>
      </c>
      <c r="S126" s="4">
        <v>17</v>
      </c>
      <c r="T126" s="4">
        <v>0.47099999999999997</v>
      </c>
      <c r="U126" s="4">
        <v>10</v>
      </c>
      <c r="V126" s="4">
        <v>19</v>
      </c>
      <c r="W126" s="4">
        <v>8</v>
      </c>
      <c r="X126" s="4">
        <v>4</v>
      </c>
      <c r="Y126" s="4">
        <v>1</v>
      </c>
      <c r="Z126" s="4">
        <v>7</v>
      </c>
      <c r="AA126" s="4">
        <v>22</v>
      </c>
      <c r="AB126" s="4">
        <v>34</v>
      </c>
      <c r="AC126" s="5">
        <f t="shared" si="1"/>
        <v>1.1428571428571428</v>
      </c>
    </row>
    <row r="127" spans="1:29" ht="15.75" customHeight="1" x14ac:dyDescent="0.25">
      <c r="A127" s="1" t="s">
        <v>228</v>
      </c>
      <c r="B127" s="3" t="s">
        <v>86</v>
      </c>
      <c r="C127" s="4" t="s">
        <v>92</v>
      </c>
      <c r="D127" s="4">
        <v>10</v>
      </c>
      <c r="E127" s="4">
        <v>161</v>
      </c>
      <c r="F127" s="4">
        <v>10</v>
      </c>
      <c r="G127" s="4">
        <v>3</v>
      </c>
      <c r="H127" s="4">
        <v>161</v>
      </c>
      <c r="I127" s="4">
        <v>25</v>
      </c>
      <c r="J127" s="4">
        <v>53</v>
      </c>
      <c r="K127" s="4">
        <v>0.47199999999999998</v>
      </c>
      <c r="L127" s="4">
        <v>8</v>
      </c>
      <c r="M127" s="4">
        <v>19</v>
      </c>
      <c r="N127" s="4">
        <v>0.42099999999999999</v>
      </c>
      <c r="O127" s="4">
        <v>17</v>
      </c>
      <c r="P127" s="4">
        <v>34</v>
      </c>
      <c r="Q127" s="4">
        <v>0.5</v>
      </c>
      <c r="R127" s="4">
        <v>26</v>
      </c>
      <c r="S127" s="4">
        <v>27</v>
      </c>
      <c r="T127" s="4">
        <v>0.96299999999999997</v>
      </c>
      <c r="U127" s="4">
        <v>6</v>
      </c>
      <c r="V127" s="4">
        <v>21</v>
      </c>
      <c r="W127" s="4">
        <v>17</v>
      </c>
      <c r="X127" s="4">
        <v>8</v>
      </c>
      <c r="Y127" s="4">
        <v>1</v>
      </c>
      <c r="Z127" s="4">
        <v>6</v>
      </c>
      <c r="AA127" s="4">
        <v>7</v>
      </c>
      <c r="AB127" s="4">
        <v>84</v>
      </c>
      <c r="AC127" s="5">
        <f t="shared" si="1"/>
        <v>2.8333333333333335</v>
      </c>
    </row>
    <row r="128" spans="1:29" ht="15.75" customHeight="1" x14ac:dyDescent="0.25">
      <c r="A128" s="1" t="s">
        <v>229</v>
      </c>
      <c r="B128" s="3" t="s">
        <v>95</v>
      </c>
      <c r="C128" s="4" t="s">
        <v>157</v>
      </c>
      <c r="D128" s="4">
        <v>15</v>
      </c>
      <c r="E128" s="4">
        <v>153</v>
      </c>
      <c r="F128" s="4">
        <v>15</v>
      </c>
      <c r="G128" s="4">
        <v>0</v>
      </c>
      <c r="H128" s="4">
        <v>153</v>
      </c>
      <c r="I128" s="4">
        <v>8</v>
      </c>
      <c r="J128" s="4">
        <v>27</v>
      </c>
      <c r="K128" s="4">
        <v>0.29599999999999999</v>
      </c>
      <c r="L128" s="4">
        <v>0</v>
      </c>
      <c r="M128" s="4">
        <v>0</v>
      </c>
      <c r="N128" s="4">
        <v>0</v>
      </c>
      <c r="O128" s="4">
        <v>8</v>
      </c>
      <c r="P128" s="4">
        <v>27</v>
      </c>
      <c r="Q128" s="4">
        <v>0.29599999999999999</v>
      </c>
      <c r="R128" s="4">
        <v>9</v>
      </c>
      <c r="S128" s="4">
        <v>16</v>
      </c>
      <c r="T128" s="4">
        <v>0.56299999999999994</v>
      </c>
      <c r="U128" s="4">
        <v>12</v>
      </c>
      <c r="V128" s="4">
        <v>30</v>
      </c>
      <c r="W128" s="4">
        <v>8</v>
      </c>
      <c r="X128" s="4">
        <v>1</v>
      </c>
      <c r="Y128" s="4">
        <v>4</v>
      </c>
      <c r="Z128" s="4">
        <v>12</v>
      </c>
      <c r="AA128" s="4">
        <v>28</v>
      </c>
      <c r="AB128" s="4">
        <v>25</v>
      </c>
      <c r="AC128" s="5">
        <f t="shared" si="1"/>
        <v>0.66666666666666663</v>
      </c>
    </row>
    <row r="129" spans="1:29" ht="15.75" customHeight="1" x14ac:dyDescent="0.25">
      <c r="A129" s="1" t="s">
        <v>230</v>
      </c>
      <c r="B129" s="3" t="s">
        <v>106</v>
      </c>
      <c r="C129" s="4" t="s">
        <v>87</v>
      </c>
      <c r="D129" s="4">
        <v>4</v>
      </c>
      <c r="E129" s="4">
        <v>143</v>
      </c>
      <c r="F129" s="4">
        <v>4</v>
      </c>
      <c r="G129" s="4">
        <v>4</v>
      </c>
      <c r="H129" s="4">
        <v>143</v>
      </c>
      <c r="I129" s="4">
        <v>21</v>
      </c>
      <c r="J129" s="4">
        <v>54</v>
      </c>
      <c r="K129" s="4">
        <v>0.38900000000000001</v>
      </c>
      <c r="L129" s="4">
        <v>7</v>
      </c>
      <c r="M129" s="4">
        <v>27</v>
      </c>
      <c r="N129" s="4">
        <v>0.25900000000000001</v>
      </c>
      <c r="O129" s="4">
        <v>14</v>
      </c>
      <c r="P129" s="4">
        <v>27</v>
      </c>
      <c r="Q129" s="4">
        <v>0.51900000000000002</v>
      </c>
      <c r="R129" s="4">
        <v>11</v>
      </c>
      <c r="S129" s="4">
        <v>11</v>
      </c>
      <c r="T129" s="4">
        <v>1</v>
      </c>
      <c r="U129" s="4">
        <v>5</v>
      </c>
      <c r="V129" s="4">
        <v>11</v>
      </c>
      <c r="W129" s="4">
        <v>6</v>
      </c>
      <c r="X129" s="4">
        <v>7</v>
      </c>
      <c r="Y129" s="4">
        <v>2</v>
      </c>
      <c r="Z129" s="4">
        <v>11</v>
      </c>
      <c r="AA129" s="4">
        <v>3</v>
      </c>
      <c r="AB129" s="4">
        <v>60</v>
      </c>
      <c r="AC129" s="5">
        <f t="shared" si="1"/>
        <v>0.54545454545454541</v>
      </c>
    </row>
    <row r="130" spans="1:29" ht="15.75" customHeight="1" x14ac:dyDescent="0.25">
      <c r="A130" s="1" t="s">
        <v>231</v>
      </c>
      <c r="B130" s="3" t="s">
        <v>91</v>
      </c>
      <c r="C130" s="4" t="s">
        <v>8</v>
      </c>
      <c r="D130" s="4">
        <v>23</v>
      </c>
      <c r="E130" s="4">
        <v>130</v>
      </c>
      <c r="F130" s="4">
        <v>23</v>
      </c>
      <c r="G130" s="4">
        <v>0</v>
      </c>
      <c r="H130" s="4">
        <v>130</v>
      </c>
      <c r="I130" s="4">
        <v>8</v>
      </c>
      <c r="J130" s="4">
        <v>31</v>
      </c>
      <c r="K130" s="4">
        <v>0.25800000000000001</v>
      </c>
      <c r="L130" s="4">
        <v>3</v>
      </c>
      <c r="M130" s="4">
        <v>12</v>
      </c>
      <c r="N130" s="4">
        <v>0.25</v>
      </c>
      <c r="O130" s="4">
        <v>5</v>
      </c>
      <c r="P130" s="4">
        <v>19</v>
      </c>
      <c r="Q130" s="4">
        <v>0.26300000000000001</v>
      </c>
      <c r="R130" s="4">
        <v>3</v>
      </c>
      <c r="S130" s="4">
        <v>4</v>
      </c>
      <c r="T130" s="4">
        <v>0.75</v>
      </c>
      <c r="U130" s="4">
        <v>0</v>
      </c>
      <c r="V130" s="4">
        <v>13</v>
      </c>
      <c r="W130" s="4">
        <v>24</v>
      </c>
      <c r="X130" s="4">
        <v>3</v>
      </c>
      <c r="Y130" s="4">
        <v>0</v>
      </c>
      <c r="Z130" s="4">
        <v>12</v>
      </c>
      <c r="AA130" s="4">
        <v>5</v>
      </c>
      <c r="AB130" s="4">
        <v>22</v>
      </c>
      <c r="AC130" s="5">
        <f t="shared" si="1"/>
        <v>2</v>
      </c>
    </row>
    <row r="131" spans="1:29" ht="15.75" customHeight="1" x14ac:dyDescent="0.25">
      <c r="A131" s="1" t="s">
        <v>232</v>
      </c>
      <c r="B131" s="3" t="s">
        <v>108</v>
      </c>
      <c r="C131" s="4" t="s">
        <v>92</v>
      </c>
      <c r="D131" s="4">
        <v>17</v>
      </c>
      <c r="E131" s="4">
        <v>122</v>
      </c>
      <c r="F131" s="4">
        <v>17</v>
      </c>
      <c r="G131" s="4">
        <v>0</v>
      </c>
      <c r="H131" s="4">
        <v>122</v>
      </c>
      <c r="I131" s="4">
        <v>15</v>
      </c>
      <c r="J131" s="4">
        <v>39</v>
      </c>
      <c r="K131" s="4">
        <v>0.38500000000000001</v>
      </c>
      <c r="L131" s="4">
        <v>0</v>
      </c>
      <c r="M131" s="4">
        <v>0</v>
      </c>
      <c r="N131" s="4">
        <v>0</v>
      </c>
      <c r="O131" s="4">
        <v>15</v>
      </c>
      <c r="P131" s="4">
        <v>39</v>
      </c>
      <c r="Q131" s="4">
        <v>0.38500000000000001</v>
      </c>
      <c r="R131" s="4">
        <v>8</v>
      </c>
      <c r="S131" s="4">
        <v>12</v>
      </c>
      <c r="T131" s="4">
        <v>0.66700000000000004</v>
      </c>
      <c r="U131" s="4">
        <v>4</v>
      </c>
      <c r="V131" s="4">
        <v>12</v>
      </c>
      <c r="W131" s="4">
        <v>9</v>
      </c>
      <c r="X131" s="4">
        <v>2</v>
      </c>
      <c r="Y131" s="4">
        <v>1</v>
      </c>
      <c r="Z131" s="4">
        <v>4</v>
      </c>
      <c r="AA131" s="4">
        <v>15</v>
      </c>
      <c r="AB131" s="4">
        <v>38</v>
      </c>
      <c r="AC131" s="5">
        <f t="shared" si="1"/>
        <v>2.25</v>
      </c>
    </row>
    <row r="132" spans="1:29" ht="15.75" customHeight="1" x14ac:dyDescent="0.25">
      <c r="A132" s="1" t="s">
        <v>233</v>
      </c>
      <c r="B132" s="4" t="s">
        <v>99</v>
      </c>
      <c r="C132" s="4" t="s">
        <v>115</v>
      </c>
      <c r="D132" s="4">
        <v>16</v>
      </c>
      <c r="E132" s="4">
        <v>121</v>
      </c>
      <c r="F132" s="4">
        <v>16</v>
      </c>
      <c r="G132" s="4">
        <v>0</v>
      </c>
      <c r="H132" s="4">
        <v>121</v>
      </c>
      <c r="I132" s="4">
        <v>6</v>
      </c>
      <c r="J132" s="4">
        <v>19</v>
      </c>
      <c r="K132" s="4">
        <v>0.316</v>
      </c>
      <c r="L132" s="4">
        <v>2</v>
      </c>
      <c r="M132" s="4">
        <v>5</v>
      </c>
      <c r="N132" s="4">
        <v>0.4</v>
      </c>
      <c r="O132" s="4">
        <v>4</v>
      </c>
      <c r="P132" s="4">
        <v>14</v>
      </c>
      <c r="Q132" s="4">
        <v>0.28599999999999998</v>
      </c>
      <c r="R132" s="4">
        <v>4</v>
      </c>
      <c r="S132" s="4">
        <v>6</v>
      </c>
      <c r="T132" s="4">
        <v>0.66700000000000004</v>
      </c>
      <c r="U132" s="4">
        <v>3</v>
      </c>
      <c r="V132" s="4">
        <v>12</v>
      </c>
      <c r="W132" s="4">
        <v>3</v>
      </c>
      <c r="X132" s="4">
        <v>3</v>
      </c>
      <c r="Y132" s="4">
        <v>4</v>
      </c>
      <c r="Z132" s="4">
        <v>8</v>
      </c>
      <c r="AA132" s="4">
        <v>25</v>
      </c>
      <c r="AB132" s="4">
        <v>18</v>
      </c>
      <c r="AC132" s="5">
        <f t="shared" ref="AC132:AC195" si="2">IF(Z132=0,"",W132/Z132)</f>
        <v>0.375</v>
      </c>
    </row>
    <row r="133" spans="1:29" ht="15.75" customHeight="1" x14ac:dyDescent="0.25">
      <c r="A133" s="1" t="s">
        <v>234</v>
      </c>
      <c r="B133" s="3" t="s">
        <v>104</v>
      </c>
      <c r="C133" s="4" t="s">
        <v>8</v>
      </c>
      <c r="D133" s="4">
        <v>4</v>
      </c>
      <c r="E133" s="4">
        <v>118</v>
      </c>
      <c r="F133" s="4">
        <v>4</v>
      </c>
      <c r="G133" s="4">
        <v>4</v>
      </c>
      <c r="H133" s="4">
        <v>118</v>
      </c>
      <c r="I133" s="4">
        <v>22</v>
      </c>
      <c r="J133" s="4">
        <v>40</v>
      </c>
      <c r="K133" s="4">
        <v>0.55000000000000004</v>
      </c>
      <c r="L133" s="4">
        <v>1</v>
      </c>
      <c r="M133" s="4">
        <v>3</v>
      </c>
      <c r="N133" s="4">
        <v>0.33300000000000002</v>
      </c>
      <c r="O133" s="4">
        <v>21</v>
      </c>
      <c r="P133" s="4">
        <v>37</v>
      </c>
      <c r="Q133" s="4">
        <v>0.56799999999999995</v>
      </c>
      <c r="R133" s="4">
        <v>12</v>
      </c>
      <c r="S133" s="4">
        <v>14</v>
      </c>
      <c r="T133" s="4">
        <v>0.85699999999999998</v>
      </c>
      <c r="U133" s="4">
        <v>4</v>
      </c>
      <c r="V133" s="4">
        <v>22</v>
      </c>
      <c r="W133" s="4">
        <v>7</v>
      </c>
      <c r="X133" s="4">
        <v>2</v>
      </c>
      <c r="Y133" s="4">
        <v>2</v>
      </c>
      <c r="Z133" s="4">
        <v>10</v>
      </c>
      <c r="AA133" s="4">
        <v>6</v>
      </c>
      <c r="AB133" s="4">
        <v>57</v>
      </c>
      <c r="AC133" s="5">
        <f t="shared" si="2"/>
        <v>0.7</v>
      </c>
    </row>
    <row r="134" spans="1:29" ht="15.75" customHeight="1" x14ac:dyDescent="0.25">
      <c r="A134" s="1" t="s">
        <v>235</v>
      </c>
      <c r="B134" s="3" t="s">
        <v>171</v>
      </c>
      <c r="C134" s="4" t="s">
        <v>8</v>
      </c>
      <c r="D134" s="4">
        <v>11</v>
      </c>
      <c r="E134" s="4">
        <v>109</v>
      </c>
      <c r="F134" s="4">
        <v>11</v>
      </c>
      <c r="G134" s="4">
        <v>2</v>
      </c>
      <c r="H134" s="4">
        <v>109</v>
      </c>
      <c r="I134" s="4">
        <v>8</v>
      </c>
      <c r="J134" s="4">
        <v>25</v>
      </c>
      <c r="K134" s="4">
        <v>0.32</v>
      </c>
      <c r="L134" s="4">
        <v>0</v>
      </c>
      <c r="M134" s="4">
        <v>5</v>
      </c>
      <c r="N134" s="4">
        <v>0</v>
      </c>
      <c r="O134" s="4">
        <v>8</v>
      </c>
      <c r="P134" s="4">
        <v>20</v>
      </c>
      <c r="Q134" s="4">
        <v>0.4</v>
      </c>
      <c r="R134" s="4">
        <v>2</v>
      </c>
      <c r="S134" s="4">
        <v>2</v>
      </c>
      <c r="T134" s="4">
        <v>1</v>
      </c>
      <c r="U134" s="4">
        <v>1</v>
      </c>
      <c r="V134" s="4">
        <v>10</v>
      </c>
      <c r="W134" s="4">
        <v>17</v>
      </c>
      <c r="X134" s="4">
        <v>4</v>
      </c>
      <c r="Y134" s="4">
        <v>1</v>
      </c>
      <c r="Z134" s="4">
        <v>13</v>
      </c>
      <c r="AA134" s="4">
        <v>18</v>
      </c>
      <c r="AB134" s="4">
        <v>18</v>
      </c>
      <c r="AC134" s="5">
        <f t="shared" si="2"/>
        <v>1.3076923076923077</v>
      </c>
    </row>
    <row r="135" spans="1:29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</row>
    <row r="136" spans="1:29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</row>
    <row r="137" spans="1:29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</row>
    <row r="138" spans="1:29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</row>
    <row r="139" spans="1:29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</row>
    <row r="140" spans="1:29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</row>
    <row r="141" spans="1:29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</row>
    <row r="149" spans="1:29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 t="str">
        <f t="shared" si="2"/>
        <v/>
      </c>
    </row>
    <row r="150" spans="1:29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 t="str">
        <f t="shared" si="2"/>
        <v/>
      </c>
    </row>
    <row r="151" spans="1:29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 t="str">
        <f t="shared" si="2"/>
        <v/>
      </c>
    </row>
    <row r="152" spans="1:29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 t="str">
        <f t="shared" si="2"/>
        <v/>
      </c>
    </row>
    <row r="153" spans="1:29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 t="str">
        <f t="shared" si="2"/>
        <v/>
      </c>
    </row>
    <row r="154" spans="1:29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 t="str">
        <f t="shared" si="2"/>
        <v/>
      </c>
    </row>
    <row r="155" spans="1:29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 t="str">
        <f t="shared" si="2"/>
        <v/>
      </c>
    </row>
    <row r="156" spans="1:29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 t="str">
        <f t="shared" si="2"/>
        <v/>
      </c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 t="str">
        <f t="shared" si="2"/>
        <v/>
      </c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 t="str">
        <f t="shared" si="2"/>
        <v/>
      </c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 t="str">
        <f t="shared" si="2"/>
        <v/>
      </c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77</v>
      </c>
      <c r="D300" s="19">
        <f>SUM(D3:D298)</f>
        <v>3810</v>
      </c>
      <c r="E300" s="19">
        <f t="shared" ref="E300:AB300" si="5">SUM(E3:E298)</f>
        <v>81790</v>
      </c>
      <c r="F300" s="19">
        <f t="shared" si="5"/>
        <v>3810</v>
      </c>
      <c r="G300" s="19">
        <f t="shared" si="5"/>
        <v>2038</v>
      </c>
      <c r="H300" s="19">
        <f t="shared" si="5"/>
        <v>81790</v>
      </c>
      <c r="I300" s="19">
        <f t="shared" si="5"/>
        <v>11447</v>
      </c>
      <c r="J300" s="19">
        <f t="shared" si="5"/>
        <v>26990</v>
      </c>
      <c r="K300" s="19">
        <f t="shared" si="5"/>
        <v>54.481999999999992</v>
      </c>
      <c r="L300" s="19">
        <f t="shared" si="5"/>
        <v>1902</v>
      </c>
      <c r="M300" s="19">
        <f t="shared" si="5"/>
        <v>5830</v>
      </c>
      <c r="N300" s="19">
        <f t="shared" si="5"/>
        <v>29.298999999999996</v>
      </c>
      <c r="O300" s="19">
        <f t="shared" si="5"/>
        <v>9545</v>
      </c>
      <c r="P300" s="19">
        <f t="shared" si="5"/>
        <v>21160</v>
      </c>
      <c r="Q300" s="19">
        <f t="shared" si="5"/>
        <v>57.054999999999957</v>
      </c>
      <c r="R300" s="19">
        <f t="shared" si="5"/>
        <v>5993</v>
      </c>
      <c r="S300" s="19">
        <f t="shared" si="5"/>
        <v>7672</v>
      </c>
      <c r="T300" s="19">
        <f t="shared" si="5"/>
        <v>100.49199999999998</v>
      </c>
      <c r="U300" s="19">
        <f t="shared" si="5"/>
        <v>3961</v>
      </c>
      <c r="V300" s="19">
        <f t="shared" si="5"/>
        <v>13963</v>
      </c>
      <c r="W300" s="19">
        <f t="shared" si="5"/>
        <v>6502</v>
      </c>
      <c r="X300" s="19">
        <f t="shared" si="5"/>
        <v>3122</v>
      </c>
      <c r="Y300" s="19">
        <f t="shared" si="5"/>
        <v>1666</v>
      </c>
      <c r="Z300" s="19">
        <f t="shared" si="5"/>
        <v>5466</v>
      </c>
      <c r="AA300" s="19">
        <f t="shared" si="5"/>
        <v>7209</v>
      </c>
      <c r="AB300" s="19">
        <f t="shared" si="5"/>
        <v>30789</v>
      </c>
      <c r="AC300" s="6"/>
    </row>
    <row r="301" spans="1:29" ht="15.75" customHeight="1" x14ac:dyDescent="0.25">
      <c r="A301" t="s">
        <v>78</v>
      </c>
      <c r="D301" s="18">
        <f>AB300/(2*(J300+0.44*S300))</f>
        <v>0.50697036917994265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79</v>
      </c>
      <c r="D302" s="18">
        <f>AB300/((J300+0.44*S300+Z300))</f>
        <v>0.85926755318198866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80</v>
      </c>
      <c r="D303" s="10">
        <f>L300/M300</f>
        <v>0.32624356775300173</v>
      </c>
    </row>
    <row r="304" spans="1:29" ht="15.75" customHeight="1" x14ac:dyDescent="0.25">
      <c r="A304" t="s">
        <v>81</v>
      </c>
      <c r="D304" s="10">
        <f>O300/P300</f>
        <v>0.45108695652173914</v>
      </c>
    </row>
    <row r="305" spans="1:4" ht="15.75" customHeight="1" x14ac:dyDescent="0.25">
      <c r="A305" t="s">
        <v>82</v>
      </c>
      <c r="D305" s="10">
        <f>I300/J300</f>
        <v>0.42412004446091145</v>
      </c>
    </row>
    <row r="306" spans="1:4" ht="15.75" customHeight="1" x14ac:dyDescent="0.25">
      <c r="A306" t="s">
        <v>83</v>
      </c>
      <c r="D306" s="10">
        <f>(I300+0.5*L300)/(J300)</f>
        <v>0.45935531678399405</v>
      </c>
    </row>
    <row r="307" spans="1:4" ht="15.75" customHeight="1" x14ac:dyDescent="0.25">
      <c r="A307" t="s">
        <v>84</v>
      </c>
      <c r="D307" s="10">
        <f>R300/S300</f>
        <v>0.78115224191866528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8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8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  <c r="AJ2" s="2" t="s">
        <v>30</v>
      </c>
      <c r="AK2" s="2" t="s">
        <v>9</v>
      </c>
      <c r="AL2" s="2" t="s">
        <v>22</v>
      </c>
    </row>
    <row r="3" spans="1:38" x14ac:dyDescent="0.25">
      <c r="A3" s="1" t="s">
        <v>85</v>
      </c>
      <c r="B3" s="7" t="s">
        <v>86</v>
      </c>
      <c r="C3" s="4" t="s">
        <v>87</v>
      </c>
      <c r="D3" s="4">
        <v>34</v>
      </c>
      <c r="E3" s="4">
        <v>1119</v>
      </c>
      <c r="F3" s="4">
        <v>34</v>
      </c>
      <c r="G3" s="4">
        <v>33</v>
      </c>
      <c r="H3" s="4">
        <v>32.9</v>
      </c>
      <c r="I3" s="4">
        <v>4.7</v>
      </c>
      <c r="J3" s="4">
        <v>11.5</v>
      </c>
      <c r="K3" s="4">
        <v>0.41</v>
      </c>
      <c r="L3" s="4">
        <v>1.6</v>
      </c>
      <c r="M3" s="4">
        <v>4.9000000000000004</v>
      </c>
      <c r="N3" s="4">
        <v>0.32500000000000001</v>
      </c>
      <c r="O3" s="4">
        <v>3.1</v>
      </c>
      <c r="P3" s="4">
        <v>6.6</v>
      </c>
      <c r="Q3" s="4">
        <v>0.47299999999999998</v>
      </c>
      <c r="R3" s="4">
        <v>3.5</v>
      </c>
      <c r="S3" s="4">
        <v>3.9</v>
      </c>
      <c r="T3" s="4">
        <v>0.90100000000000002</v>
      </c>
      <c r="U3" s="4">
        <v>1</v>
      </c>
      <c r="V3" s="4">
        <v>5.8</v>
      </c>
      <c r="W3" s="4">
        <v>2.4</v>
      </c>
      <c r="X3" s="4">
        <v>1.1000000000000001</v>
      </c>
      <c r="Y3" s="4">
        <v>0.3</v>
      </c>
      <c r="Z3" s="4">
        <v>1.6</v>
      </c>
      <c r="AA3" s="4">
        <v>1.3</v>
      </c>
      <c r="AB3" s="4">
        <v>14.5</v>
      </c>
      <c r="AC3" s="10">
        <f>(AB3)/(J3+(0.44*S3)+Z3)</f>
        <v>0.97867170626349897</v>
      </c>
      <c r="AD3" s="10">
        <f>Y3/AA3</f>
        <v>0.23076923076923075</v>
      </c>
      <c r="AE3" s="12">
        <f>100*(AC3/TOTAL_BASIC!$D$302)</f>
        <v>113.89603885766894</v>
      </c>
      <c r="AF3" s="9"/>
      <c r="AG3" s="9"/>
      <c r="AH3" s="12">
        <f>(PERCENTRANK(AD$3:AD$298,AD3))*100</f>
        <v>68.7</v>
      </c>
      <c r="AI3" s="12">
        <f>(PERCENTRANK(AE$3:AE$298,AE3))*100</f>
        <v>88.5</v>
      </c>
      <c r="AJ3" s="12">
        <f>(PERCENTRANK(AB$3:AB$298,AB3))*100</f>
        <v>85.399999999999991</v>
      </c>
      <c r="AK3" s="12">
        <f>(PERCENTRANK(H$3:H$298,H3))*100</f>
        <v>97.7</v>
      </c>
      <c r="AL3" s="12">
        <f>(PERCENTRANK(T$3:T$298,T3))*100</f>
        <v>95.399999999999991</v>
      </c>
    </row>
    <row r="4" spans="1:38" x14ac:dyDescent="0.25">
      <c r="A4" s="1" t="s">
        <v>88</v>
      </c>
      <c r="B4" s="7" t="s">
        <v>89</v>
      </c>
      <c r="C4" s="4" t="s">
        <v>8</v>
      </c>
      <c r="D4" s="4">
        <v>34</v>
      </c>
      <c r="E4" s="4">
        <v>1072</v>
      </c>
      <c r="F4" s="4">
        <v>34</v>
      </c>
      <c r="G4" s="4">
        <v>34</v>
      </c>
      <c r="H4" s="4">
        <v>31.5</v>
      </c>
      <c r="I4" s="4">
        <v>4.5999999999999996</v>
      </c>
      <c r="J4" s="4">
        <v>11.9</v>
      </c>
      <c r="K4" s="4">
        <v>0.39200000000000002</v>
      </c>
      <c r="L4" s="4">
        <v>2.1</v>
      </c>
      <c r="M4" s="4">
        <v>5.4</v>
      </c>
      <c r="N4" s="4">
        <v>0.39600000000000002</v>
      </c>
      <c r="O4" s="4">
        <v>2.5</v>
      </c>
      <c r="P4" s="4">
        <v>6.5</v>
      </c>
      <c r="Q4" s="4">
        <v>0.38900000000000001</v>
      </c>
      <c r="R4" s="4">
        <v>2.4</v>
      </c>
      <c r="S4" s="4">
        <v>2.7</v>
      </c>
      <c r="T4" s="4">
        <v>0.90200000000000002</v>
      </c>
      <c r="U4" s="4">
        <v>0.4</v>
      </c>
      <c r="V4" s="4">
        <v>2.6</v>
      </c>
      <c r="W4" s="4">
        <v>4.4000000000000004</v>
      </c>
      <c r="X4" s="4">
        <v>0.9</v>
      </c>
      <c r="Y4" s="4">
        <v>0</v>
      </c>
      <c r="Z4" s="4">
        <v>1.9</v>
      </c>
      <c r="AA4" s="4">
        <v>2</v>
      </c>
      <c r="AB4" s="4">
        <v>13.9</v>
      </c>
      <c r="AC4" s="10">
        <f t="shared" ref="AC4:AC67" si="0">(AB4)/(J4+(0.44*S4)+Z4)</f>
        <v>0.92740859354149985</v>
      </c>
      <c r="AD4" s="10">
        <f t="shared" ref="AD4:AD67" si="1">Y4/AA4</f>
        <v>0</v>
      </c>
      <c r="AE4" s="12">
        <f>100*(AC4/TOTAL_BASIC!$D$302)</f>
        <v>107.93013073834517</v>
      </c>
      <c r="AF4" s="9"/>
      <c r="AG4" s="9"/>
      <c r="AH4" s="12">
        <f t="shared" ref="AH4:AH67" si="2">(PERCENTRANK(AD$3:AD$298,AD4))*100</f>
        <v>0</v>
      </c>
      <c r="AI4" s="12">
        <f t="shared" ref="AI4:AI67" si="3">(PERCENTRANK(AE$3:AE$298,AE4))*100</f>
        <v>76.3</v>
      </c>
      <c r="AJ4" s="12">
        <f t="shared" ref="AJ4:AJ67" si="4">(PERCENTRANK(AB$3:AB$298,AB4))*100</f>
        <v>80.100000000000009</v>
      </c>
      <c r="AK4" s="12">
        <f t="shared" ref="AK4:AK67" si="5">(PERCENTRANK(H$3:H$298,H4))*100</f>
        <v>93.8</v>
      </c>
      <c r="AL4" s="12">
        <f t="shared" ref="AL4:AL67" si="6">(PERCENTRANK(T$3:T$298,T4))*100</f>
        <v>96.1</v>
      </c>
    </row>
    <row r="5" spans="1:38" x14ac:dyDescent="0.25">
      <c r="A5" s="1" t="s">
        <v>90</v>
      </c>
      <c r="B5" s="7" t="s">
        <v>91</v>
      </c>
      <c r="C5" s="4" t="s">
        <v>92</v>
      </c>
      <c r="D5" s="4">
        <v>34</v>
      </c>
      <c r="E5" s="4">
        <v>1068</v>
      </c>
      <c r="F5" s="4">
        <v>34</v>
      </c>
      <c r="G5" s="4">
        <v>34</v>
      </c>
      <c r="H5" s="4">
        <v>31.4</v>
      </c>
      <c r="I5" s="4">
        <v>6.9</v>
      </c>
      <c r="J5" s="4">
        <v>13.5</v>
      </c>
      <c r="K5" s="4">
        <v>0.50900000000000001</v>
      </c>
      <c r="L5" s="4">
        <v>2.1</v>
      </c>
      <c r="M5" s="4">
        <v>4.7</v>
      </c>
      <c r="N5" s="4">
        <v>0.45300000000000001</v>
      </c>
      <c r="O5" s="4">
        <v>4.7</v>
      </c>
      <c r="P5" s="4">
        <v>8.8000000000000007</v>
      </c>
      <c r="Q5" s="4">
        <v>0.53800000000000003</v>
      </c>
      <c r="R5" s="4">
        <v>2.6</v>
      </c>
      <c r="S5" s="4">
        <v>3</v>
      </c>
      <c r="T5" s="4">
        <v>0.88200000000000001</v>
      </c>
      <c r="U5" s="4">
        <v>1.7</v>
      </c>
      <c r="V5" s="4">
        <v>6.2</v>
      </c>
      <c r="W5" s="4">
        <v>3</v>
      </c>
      <c r="X5" s="4">
        <v>1.7</v>
      </c>
      <c r="Y5" s="4">
        <v>1</v>
      </c>
      <c r="Z5" s="4">
        <v>1.7</v>
      </c>
      <c r="AA5" s="4">
        <v>2.9</v>
      </c>
      <c r="AB5" s="4">
        <v>18.5</v>
      </c>
      <c r="AC5" s="10">
        <f t="shared" si="0"/>
        <v>1.1198547215496368</v>
      </c>
      <c r="AD5" s="10">
        <f t="shared" si="1"/>
        <v>0.34482758620689657</v>
      </c>
      <c r="AE5" s="12">
        <f>100*(AC5/TOTAL_BASIC!$D$302)</f>
        <v>130.32666221395851</v>
      </c>
      <c r="AF5" s="9"/>
      <c r="AG5" s="9"/>
      <c r="AH5" s="12">
        <f t="shared" si="2"/>
        <v>82.399999999999991</v>
      </c>
      <c r="AI5" s="12">
        <f t="shared" si="3"/>
        <v>99.2</v>
      </c>
      <c r="AJ5" s="12">
        <f t="shared" si="4"/>
        <v>98.4</v>
      </c>
      <c r="AK5" s="12">
        <f t="shared" si="5"/>
        <v>90.8</v>
      </c>
      <c r="AL5" s="12">
        <f t="shared" si="6"/>
        <v>90</v>
      </c>
    </row>
    <row r="6" spans="1:38" x14ac:dyDescent="0.25">
      <c r="A6" s="1" t="s">
        <v>93</v>
      </c>
      <c r="B6" s="7" t="s">
        <v>86</v>
      </c>
      <c r="C6" s="4" t="s">
        <v>92</v>
      </c>
      <c r="D6" s="4">
        <v>32</v>
      </c>
      <c r="E6" s="4">
        <v>1057</v>
      </c>
      <c r="F6" s="4">
        <v>32</v>
      </c>
      <c r="G6" s="4">
        <v>32</v>
      </c>
      <c r="H6" s="4">
        <v>33</v>
      </c>
      <c r="I6" s="4">
        <v>6.4</v>
      </c>
      <c r="J6" s="4">
        <v>12.4</v>
      </c>
      <c r="K6" s="4">
        <v>0.51500000000000001</v>
      </c>
      <c r="L6" s="4">
        <v>0</v>
      </c>
      <c r="M6" s="4">
        <v>0.1</v>
      </c>
      <c r="N6" s="4">
        <v>0</v>
      </c>
      <c r="O6" s="4">
        <v>6.4</v>
      </c>
      <c r="P6" s="4">
        <v>12.3</v>
      </c>
      <c r="Q6" s="4">
        <v>0.51900000000000002</v>
      </c>
      <c r="R6" s="4">
        <v>2.4</v>
      </c>
      <c r="S6" s="4">
        <v>2.7</v>
      </c>
      <c r="T6" s="4">
        <v>0.89700000000000002</v>
      </c>
      <c r="U6" s="4">
        <v>1.5</v>
      </c>
      <c r="V6" s="4">
        <v>6.4</v>
      </c>
      <c r="W6" s="4">
        <v>1.9</v>
      </c>
      <c r="X6" s="4">
        <v>1.1000000000000001</v>
      </c>
      <c r="Y6" s="4">
        <v>0.4</v>
      </c>
      <c r="Z6" s="4">
        <v>2</v>
      </c>
      <c r="AA6" s="4">
        <v>1.8</v>
      </c>
      <c r="AB6" s="4">
        <v>15.2</v>
      </c>
      <c r="AC6" s="10">
        <f t="shared" si="0"/>
        <v>0.97510905824993577</v>
      </c>
      <c r="AD6" s="10">
        <f t="shared" si="1"/>
        <v>0.22222222222222224</v>
      </c>
      <c r="AE6" s="12">
        <f>100*(AC6/TOTAL_BASIC!$D$302)</f>
        <v>113.48142434087842</v>
      </c>
      <c r="AF6" s="9"/>
      <c r="AG6" s="9"/>
      <c r="AH6" s="12">
        <f t="shared" si="2"/>
        <v>64.8</v>
      </c>
      <c r="AI6" s="12">
        <f t="shared" si="3"/>
        <v>87</v>
      </c>
      <c r="AJ6" s="12">
        <f t="shared" si="4"/>
        <v>90.8</v>
      </c>
      <c r="AK6" s="12">
        <f t="shared" si="5"/>
        <v>98.4</v>
      </c>
      <c r="AL6" s="12">
        <f t="shared" si="6"/>
        <v>92.300000000000011</v>
      </c>
    </row>
    <row r="7" spans="1:38" x14ac:dyDescent="0.25">
      <c r="A7" s="1" t="s">
        <v>94</v>
      </c>
      <c r="B7" s="7" t="s">
        <v>95</v>
      </c>
      <c r="C7" s="4" t="s">
        <v>8</v>
      </c>
      <c r="D7" s="4">
        <v>34</v>
      </c>
      <c r="E7" s="4">
        <v>1050</v>
      </c>
      <c r="F7" s="4">
        <v>34</v>
      </c>
      <c r="G7" s="4">
        <v>34</v>
      </c>
      <c r="H7" s="4">
        <v>30.9</v>
      </c>
      <c r="I7" s="4">
        <v>4.3</v>
      </c>
      <c r="J7" s="4">
        <v>9.8000000000000007</v>
      </c>
      <c r="K7" s="4">
        <v>0.44</v>
      </c>
      <c r="L7" s="4">
        <v>0.4</v>
      </c>
      <c r="M7" s="4">
        <v>1.4</v>
      </c>
      <c r="N7" s="4">
        <v>0.28299999999999997</v>
      </c>
      <c r="O7" s="4">
        <v>3.9</v>
      </c>
      <c r="P7" s="4">
        <v>8.4</v>
      </c>
      <c r="Q7" s="4">
        <v>0.46500000000000002</v>
      </c>
      <c r="R7" s="4">
        <v>2.9</v>
      </c>
      <c r="S7" s="4">
        <v>3.4</v>
      </c>
      <c r="T7" s="4">
        <v>0.85499999999999998</v>
      </c>
      <c r="U7" s="4">
        <v>0.9</v>
      </c>
      <c r="V7" s="4">
        <v>3.7</v>
      </c>
      <c r="W7" s="4">
        <v>4.0999999999999996</v>
      </c>
      <c r="X7" s="4">
        <v>1.1000000000000001</v>
      </c>
      <c r="Y7" s="4">
        <v>0.2</v>
      </c>
      <c r="Z7" s="4">
        <v>2.9</v>
      </c>
      <c r="AA7" s="4">
        <v>2.6</v>
      </c>
      <c r="AB7" s="4">
        <v>11.9</v>
      </c>
      <c r="AC7" s="10">
        <f t="shared" si="0"/>
        <v>0.83826429980276129</v>
      </c>
      <c r="AD7" s="10">
        <f t="shared" si="1"/>
        <v>7.6923076923076927E-2</v>
      </c>
      <c r="AE7" s="12">
        <f>100*(AC7/TOTAL_BASIC!$D$302)</f>
        <v>97.555679450312155</v>
      </c>
      <c r="AF7" s="9"/>
      <c r="AG7" s="9"/>
      <c r="AH7" s="12">
        <f t="shared" si="2"/>
        <v>16</v>
      </c>
      <c r="AI7" s="12">
        <f t="shared" si="3"/>
        <v>57.199999999999996</v>
      </c>
      <c r="AJ7" s="12">
        <f t="shared" si="4"/>
        <v>75.5</v>
      </c>
      <c r="AK7" s="12">
        <f t="shared" si="5"/>
        <v>88.5</v>
      </c>
      <c r="AL7" s="12">
        <f t="shared" si="6"/>
        <v>80.100000000000009</v>
      </c>
    </row>
    <row r="8" spans="1:38" x14ac:dyDescent="0.25">
      <c r="A8" s="1" t="s">
        <v>96</v>
      </c>
      <c r="B8" s="7" t="s">
        <v>97</v>
      </c>
      <c r="C8" s="4" t="s">
        <v>8</v>
      </c>
      <c r="D8" s="4">
        <v>34</v>
      </c>
      <c r="E8" s="4">
        <v>1037</v>
      </c>
      <c r="F8" s="4">
        <v>34</v>
      </c>
      <c r="G8" s="4">
        <v>33</v>
      </c>
      <c r="H8" s="4">
        <v>30.5</v>
      </c>
      <c r="I8" s="4">
        <v>5.3</v>
      </c>
      <c r="J8" s="4">
        <v>13.3</v>
      </c>
      <c r="K8" s="4">
        <v>0.4</v>
      </c>
      <c r="L8" s="4">
        <v>1.3</v>
      </c>
      <c r="M8" s="4">
        <v>3.4</v>
      </c>
      <c r="N8" s="4">
        <v>0.38800000000000001</v>
      </c>
      <c r="O8" s="4">
        <v>4</v>
      </c>
      <c r="P8" s="4">
        <v>9.9</v>
      </c>
      <c r="Q8" s="4">
        <v>0.40500000000000003</v>
      </c>
      <c r="R8" s="4">
        <v>1.9</v>
      </c>
      <c r="S8" s="4">
        <v>2.2000000000000002</v>
      </c>
      <c r="T8" s="4">
        <v>0.86499999999999999</v>
      </c>
      <c r="U8" s="4">
        <v>0.8</v>
      </c>
      <c r="V8" s="4">
        <v>3.1</v>
      </c>
      <c r="W8" s="4">
        <v>2</v>
      </c>
      <c r="X8" s="4">
        <v>2.4</v>
      </c>
      <c r="Y8" s="4">
        <v>0.3</v>
      </c>
      <c r="Z8" s="4">
        <v>1.4</v>
      </c>
      <c r="AA8" s="4">
        <v>1.7</v>
      </c>
      <c r="AB8" s="4">
        <v>13.9</v>
      </c>
      <c r="AC8" s="10">
        <f t="shared" si="0"/>
        <v>0.88715853969874903</v>
      </c>
      <c r="AD8" s="10">
        <f t="shared" si="1"/>
        <v>0.17647058823529413</v>
      </c>
      <c r="AE8" s="12">
        <f>100*(AC8/TOTAL_BASIC!$D$302)</f>
        <v>103.24590244487599</v>
      </c>
      <c r="AF8" s="9"/>
      <c r="AG8" s="9"/>
      <c r="AH8" s="12">
        <f t="shared" si="2"/>
        <v>57.999999999999993</v>
      </c>
      <c r="AI8" s="12">
        <f t="shared" si="3"/>
        <v>67.100000000000009</v>
      </c>
      <c r="AJ8" s="12">
        <f t="shared" si="4"/>
        <v>80.100000000000009</v>
      </c>
      <c r="AK8" s="12">
        <f t="shared" si="5"/>
        <v>87</v>
      </c>
      <c r="AL8" s="12">
        <f t="shared" si="6"/>
        <v>84.7</v>
      </c>
    </row>
    <row r="9" spans="1:38" x14ac:dyDescent="0.25">
      <c r="A9" s="1" t="s">
        <v>98</v>
      </c>
      <c r="B9" s="7" t="s">
        <v>99</v>
      </c>
      <c r="C9" s="4" t="s">
        <v>100</v>
      </c>
      <c r="D9" s="4">
        <v>33</v>
      </c>
      <c r="E9" s="4">
        <v>1036</v>
      </c>
      <c r="F9" s="4">
        <v>33</v>
      </c>
      <c r="G9" s="4">
        <v>32</v>
      </c>
      <c r="H9" s="4">
        <v>31.4</v>
      </c>
      <c r="I9" s="4">
        <v>7.5</v>
      </c>
      <c r="J9" s="4">
        <v>18.100000000000001</v>
      </c>
      <c r="K9" s="4">
        <v>0.41299999999999998</v>
      </c>
      <c r="L9" s="4">
        <v>0.7</v>
      </c>
      <c r="M9" s="4">
        <v>3.4</v>
      </c>
      <c r="N9" s="4">
        <v>0.20399999999999999</v>
      </c>
      <c r="O9" s="4">
        <v>6.8</v>
      </c>
      <c r="P9" s="4">
        <v>14.6</v>
      </c>
      <c r="Q9" s="4">
        <v>0.46200000000000002</v>
      </c>
      <c r="R9" s="4">
        <v>5.9</v>
      </c>
      <c r="S9" s="4">
        <v>7.2</v>
      </c>
      <c r="T9" s="4">
        <v>0.82399999999999995</v>
      </c>
      <c r="U9" s="4">
        <v>1.8</v>
      </c>
      <c r="V9" s="4">
        <v>5.3</v>
      </c>
      <c r="W9" s="4">
        <v>4.4000000000000004</v>
      </c>
      <c r="X9" s="4">
        <v>2.7</v>
      </c>
      <c r="Y9" s="4">
        <v>0.7</v>
      </c>
      <c r="Z9" s="4">
        <v>4.0999999999999996</v>
      </c>
      <c r="AA9" s="4">
        <v>2.7</v>
      </c>
      <c r="AB9" s="4">
        <v>21.5</v>
      </c>
      <c r="AC9" s="10">
        <f t="shared" si="0"/>
        <v>0.84752444023967199</v>
      </c>
      <c r="AD9" s="10">
        <f t="shared" si="1"/>
        <v>0.25925925925925924</v>
      </c>
      <c r="AE9" s="12">
        <f>100*(AC9/TOTAL_BASIC!$D$302)</f>
        <v>98.633357805862644</v>
      </c>
      <c r="AF9" s="9"/>
      <c r="AG9" s="9"/>
      <c r="AH9" s="12">
        <f t="shared" si="2"/>
        <v>71.7</v>
      </c>
      <c r="AI9" s="12">
        <f t="shared" si="3"/>
        <v>58.699999999999996</v>
      </c>
      <c r="AJ9" s="12">
        <f t="shared" si="4"/>
        <v>100</v>
      </c>
      <c r="AK9" s="12">
        <f t="shared" si="5"/>
        <v>90.8</v>
      </c>
      <c r="AL9" s="12">
        <f t="shared" si="6"/>
        <v>68.7</v>
      </c>
    </row>
    <row r="10" spans="1:38" x14ac:dyDescent="0.25">
      <c r="A10" s="1" t="s">
        <v>101</v>
      </c>
      <c r="B10" s="7" t="s">
        <v>86</v>
      </c>
      <c r="C10" s="4" t="s">
        <v>8</v>
      </c>
      <c r="D10" s="4">
        <v>32</v>
      </c>
      <c r="E10" s="4">
        <v>1032</v>
      </c>
      <c r="F10" s="4">
        <v>32</v>
      </c>
      <c r="G10" s="4">
        <v>32</v>
      </c>
      <c r="H10" s="4">
        <v>32.299999999999997</v>
      </c>
      <c r="I10" s="4">
        <v>6.3</v>
      </c>
      <c r="J10" s="4">
        <v>13.7</v>
      </c>
      <c r="K10" s="4">
        <v>0.45600000000000002</v>
      </c>
      <c r="L10" s="4">
        <v>2.2000000000000002</v>
      </c>
      <c r="M10" s="4">
        <v>6.2</v>
      </c>
      <c r="N10" s="4">
        <v>0.34699999999999998</v>
      </c>
      <c r="O10" s="4">
        <v>4.0999999999999996</v>
      </c>
      <c r="P10" s="4">
        <v>7.5</v>
      </c>
      <c r="Q10" s="4">
        <v>0.54600000000000004</v>
      </c>
      <c r="R10" s="4">
        <v>5.7</v>
      </c>
      <c r="S10" s="4">
        <v>6.7</v>
      </c>
      <c r="T10" s="4">
        <v>0.85399999999999998</v>
      </c>
      <c r="U10" s="4">
        <v>0.6</v>
      </c>
      <c r="V10" s="4">
        <v>4.2</v>
      </c>
      <c r="W10" s="4">
        <v>6.2</v>
      </c>
      <c r="X10" s="4">
        <v>0.7</v>
      </c>
      <c r="Y10" s="4">
        <v>0.5</v>
      </c>
      <c r="Z10" s="4">
        <v>3.6</v>
      </c>
      <c r="AA10" s="4">
        <v>3.2</v>
      </c>
      <c r="AB10" s="4">
        <v>20.3</v>
      </c>
      <c r="AC10" s="10">
        <f t="shared" si="0"/>
        <v>1.0025681548794942</v>
      </c>
      <c r="AD10" s="10">
        <f t="shared" si="1"/>
        <v>0.15625</v>
      </c>
      <c r="AE10" s="12">
        <f>100*(AC10/TOTAL_BASIC!$D$302)</f>
        <v>116.67706422369181</v>
      </c>
      <c r="AF10" s="9"/>
      <c r="AG10" s="9"/>
      <c r="AH10" s="12">
        <f t="shared" si="2"/>
        <v>52.6</v>
      </c>
      <c r="AI10" s="12">
        <f t="shared" si="3"/>
        <v>92.300000000000011</v>
      </c>
      <c r="AJ10" s="12">
        <f t="shared" si="4"/>
        <v>99.2</v>
      </c>
      <c r="AK10" s="12">
        <f t="shared" si="5"/>
        <v>95.399999999999991</v>
      </c>
      <c r="AL10" s="12">
        <f t="shared" si="6"/>
        <v>79.3</v>
      </c>
    </row>
    <row r="11" spans="1:38" x14ac:dyDescent="0.25">
      <c r="A11" s="1" t="s">
        <v>102</v>
      </c>
      <c r="B11" s="7" t="s">
        <v>95</v>
      </c>
      <c r="C11" s="4" t="s">
        <v>92</v>
      </c>
      <c r="D11" s="4">
        <v>34</v>
      </c>
      <c r="E11" s="4">
        <v>1030</v>
      </c>
      <c r="F11" s="4">
        <v>34</v>
      </c>
      <c r="G11" s="4">
        <v>34</v>
      </c>
      <c r="H11" s="4">
        <v>30.3</v>
      </c>
      <c r="I11" s="4">
        <v>3.6</v>
      </c>
      <c r="J11" s="4">
        <v>8.1</v>
      </c>
      <c r="K11" s="4">
        <v>0.437</v>
      </c>
      <c r="L11" s="4">
        <v>0.4</v>
      </c>
      <c r="M11" s="4">
        <v>1.4</v>
      </c>
      <c r="N11" s="4">
        <v>0.28299999999999997</v>
      </c>
      <c r="O11" s="4">
        <v>3.2</v>
      </c>
      <c r="P11" s="4">
        <v>6.8</v>
      </c>
      <c r="Q11" s="4">
        <v>0.46800000000000003</v>
      </c>
      <c r="R11" s="4">
        <v>3.4</v>
      </c>
      <c r="S11" s="4">
        <v>4.2</v>
      </c>
      <c r="T11" s="4">
        <v>0.80300000000000005</v>
      </c>
      <c r="U11" s="4">
        <v>1.9</v>
      </c>
      <c r="V11" s="4">
        <v>4.7</v>
      </c>
      <c r="W11" s="4">
        <v>1.4</v>
      </c>
      <c r="X11" s="4">
        <v>1.2</v>
      </c>
      <c r="Y11" s="4">
        <v>0.3</v>
      </c>
      <c r="Z11" s="4">
        <v>2.4</v>
      </c>
      <c r="AA11" s="4">
        <v>2.6</v>
      </c>
      <c r="AB11" s="4">
        <v>10.9</v>
      </c>
      <c r="AC11" s="10">
        <f t="shared" si="0"/>
        <v>0.88273404599935212</v>
      </c>
      <c r="AD11" s="10">
        <f t="shared" si="1"/>
        <v>0.11538461538461538</v>
      </c>
      <c r="AE11" s="12">
        <f>100*(AC11/TOTAL_BASIC!$D$302)</f>
        <v>102.7309878896816</v>
      </c>
      <c r="AF11" s="9"/>
      <c r="AG11" s="9"/>
      <c r="AH11" s="12">
        <f t="shared" si="2"/>
        <v>34.300000000000004</v>
      </c>
      <c r="AI11" s="12">
        <f t="shared" si="3"/>
        <v>65.600000000000009</v>
      </c>
      <c r="AJ11" s="12">
        <f t="shared" si="4"/>
        <v>70.899999999999991</v>
      </c>
      <c r="AK11" s="12">
        <f t="shared" si="5"/>
        <v>86.2</v>
      </c>
      <c r="AL11" s="12">
        <f t="shared" si="6"/>
        <v>61.8</v>
      </c>
    </row>
    <row r="12" spans="1:38" x14ac:dyDescent="0.25">
      <c r="A12" s="1" t="s">
        <v>103</v>
      </c>
      <c r="B12" s="7" t="s">
        <v>104</v>
      </c>
      <c r="C12" s="4" t="s">
        <v>8</v>
      </c>
      <c r="D12" s="4">
        <v>30</v>
      </c>
      <c r="E12" s="4">
        <v>1027</v>
      </c>
      <c r="F12" s="4">
        <v>30</v>
      </c>
      <c r="G12" s="4">
        <v>30</v>
      </c>
      <c r="H12" s="4">
        <v>34.200000000000003</v>
      </c>
      <c r="I12" s="4">
        <v>5.7</v>
      </c>
      <c r="J12" s="4">
        <v>15.8</v>
      </c>
      <c r="K12" s="4">
        <v>0.36</v>
      </c>
      <c r="L12" s="4">
        <v>1.3</v>
      </c>
      <c r="M12" s="4">
        <v>3.4</v>
      </c>
      <c r="N12" s="4">
        <v>0.36899999999999999</v>
      </c>
      <c r="O12" s="4">
        <v>4.4000000000000004</v>
      </c>
      <c r="P12" s="4">
        <v>12.4</v>
      </c>
      <c r="Q12" s="4">
        <v>0.35799999999999998</v>
      </c>
      <c r="R12" s="4">
        <v>4.2</v>
      </c>
      <c r="S12" s="4">
        <v>5.2</v>
      </c>
      <c r="T12" s="4">
        <v>0.81399999999999995</v>
      </c>
      <c r="U12" s="4">
        <v>0.5</v>
      </c>
      <c r="V12" s="4">
        <v>4.5</v>
      </c>
      <c r="W12" s="4">
        <v>4</v>
      </c>
      <c r="X12" s="4">
        <v>1</v>
      </c>
      <c r="Y12" s="4">
        <v>0.1</v>
      </c>
      <c r="Z12" s="4">
        <v>3.5</v>
      </c>
      <c r="AA12" s="4">
        <v>1.7</v>
      </c>
      <c r="AB12" s="4">
        <v>16.899999999999999</v>
      </c>
      <c r="AC12" s="10">
        <f t="shared" si="0"/>
        <v>0.78284231980730024</v>
      </c>
      <c r="AD12" s="10">
        <f t="shared" si="1"/>
        <v>5.8823529411764712E-2</v>
      </c>
      <c r="AE12" s="12">
        <f>100*(AC12/TOTAL_BASIC!$D$302)</f>
        <v>91.105769897667486</v>
      </c>
      <c r="AF12" s="9"/>
      <c r="AG12" s="9"/>
      <c r="AH12" s="12">
        <f t="shared" si="2"/>
        <v>11.4</v>
      </c>
      <c r="AI12" s="12">
        <f t="shared" si="3"/>
        <v>38.1</v>
      </c>
      <c r="AJ12" s="12">
        <f t="shared" si="4"/>
        <v>94.6</v>
      </c>
      <c r="AK12" s="12">
        <f t="shared" si="5"/>
        <v>99.2</v>
      </c>
      <c r="AL12" s="12">
        <f t="shared" si="6"/>
        <v>65.600000000000009</v>
      </c>
    </row>
    <row r="13" spans="1:38" x14ac:dyDescent="0.25">
      <c r="A13" s="1" t="s">
        <v>105</v>
      </c>
      <c r="B13" s="7" t="s">
        <v>106</v>
      </c>
      <c r="C13" s="4" t="s">
        <v>92</v>
      </c>
      <c r="D13" s="4">
        <v>34</v>
      </c>
      <c r="E13" s="4">
        <v>1022</v>
      </c>
      <c r="F13" s="4">
        <v>34</v>
      </c>
      <c r="G13" s="4">
        <v>34</v>
      </c>
      <c r="H13" s="4">
        <v>30.1</v>
      </c>
      <c r="I13" s="4">
        <v>3</v>
      </c>
      <c r="J13" s="4">
        <v>5.6</v>
      </c>
      <c r="K13" s="4">
        <v>0.54500000000000004</v>
      </c>
      <c r="L13" s="4">
        <v>0</v>
      </c>
      <c r="M13" s="4">
        <v>0</v>
      </c>
      <c r="N13" s="4">
        <v>0</v>
      </c>
      <c r="O13" s="4">
        <v>3</v>
      </c>
      <c r="P13" s="4">
        <v>5.6</v>
      </c>
      <c r="Q13" s="4">
        <v>0.54500000000000004</v>
      </c>
      <c r="R13" s="4">
        <v>1.9</v>
      </c>
      <c r="S13" s="4">
        <v>2.6</v>
      </c>
      <c r="T13" s="4">
        <v>0.70799999999999996</v>
      </c>
      <c r="U13" s="4">
        <v>3.1</v>
      </c>
      <c r="V13" s="4">
        <v>7.8</v>
      </c>
      <c r="W13" s="4">
        <v>1.9</v>
      </c>
      <c r="X13" s="4">
        <v>1.4</v>
      </c>
      <c r="Y13" s="4">
        <v>0.3</v>
      </c>
      <c r="Z13" s="4">
        <v>1.4</v>
      </c>
      <c r="AA13" s="4">
        <v>2.9</v>
      </c>
      <c r="AB13" s="4">
        <v>7.9</v>
      </c>
      <c r="AC13" s="10">
        <f t="shared" si="0"/>
        <v>0.97003929273084477</v>
      </c>
      <c r="AD13" s="10">
        <f t="shared" si="1"/>
        <v>0.10344827586206896</v>
      </c>
      <c r="AE13" s="12">
        <f>100*(AC13/TOTAL_BASIC!$D$302)</f>
        <v>112.89141422117626</v>
      </c>
      <c r="AF13" s="9"/>
      <c r="AG13" s="9"/>
      <c r="AH13" s="12">
        <f t="shared" si="2"/>
        <v>28.199999999999996</v>
      </c>
      <c r="AI13" s="12">
        <f t="shared" si="3"/>
        <v>86.2</v>
      </c>
      <c r="AJ13" s="12">
        <f t="shared" si="4"/>
        <v>54.900000000000006</v>
      </c>
      <c r="AK13" s="12">
        <f t="shared" si="5"/>
        <v>83.899999999999991</v>
      </c>
      <c r="AL13" s="12">
        <f t="shared" si="6"/>
        <v>28.199999999999996</v>
      </c>
    </row>
    <row r="14" spans="1:38" x14ac:dyDescent="0.25">
      <c r="A14" s="1" t="s">
        <v>107</v>
      </c>
      <c r="B14" s="7" t="s">
        <v>108</v>
      </c>
      <c r="C14" s="4" t="s">
        <v>8</v>
      </c>
      <c r="D14" s="4">
        <v>34</v>
      </c>
      <c r="E14" s="4">
        <v>1019</v>
      </c>
      <c r="F14" s="4">
        <v>34</v>
      </c>
      <c r="G14" s="4">
        <v>34</v>
      </c>
      <c r="H14" s="4">
        <v>30</v>
      </c>
      <c r="I14" s="4">
        <v>5.3</v>
      </c>
      <c r="J14" s="4">
        <v>11.6</v>
      </c>
      <c r="K14" s="4">
        <v>0.45700000000000002</v>
      </c>
      <c r="L14" s="4">
        <v>1.4</v>
      </c>
      <c r="M14" s="4">
        <v>3.8</v>
      </c>
      <c r="N14" s="4">
        <v>0.38300000000000001</v>
      </c>
      <c r="O14" s="4">
        <v>3.9</v>
      </c>
      <c r="P14" s="4">
        <v>7.9</v>
      </c>
      <c r="Q14" s="4">
        <v>0.49299999999999999</v>
      </c>
      <c r="R14" s="4">
        <v>2</v>
      </c>
      <c r="S14" s="4">
        <v>2.4</v>
      </c>
      <c r="T14" s="4">
        <v>0.83099999999999996</v>
      </c>
      <c r="U14" s="4">
        <v>0.5</v>
      </c>
      <c r="V14" s="4">
        <v>2.6</v>
      </c>
      <c r="W14" s="4">
        <v>3.4</v>
      </c>
      <c r="X14" s="4">
        <v>1.3</v>
      </c>
      <c r="Y14" s="4">
        <v>0.2</v>
      </c>
      <c r="Z14" s="4">
        <v>1.9</v>
      </c>
      <c r="AA14" s="4">
        <v>2.5</v>
      </c>
      <c r="AB14" s="4">
        <v>14.1</v>
      </c>
      <c r="AC14" s="10">
        <f t="shared" si="0"/>
        <v>0.96867271228359442</v>
      </c>
      <c r="AD14" s="10">
        <f t="shared" si="1"/>
        <v>0.08</v>
      </c>
      <c r="AE14" s="12">
        <f>100*(AC14/TOTAL_BASIC!$D$302)</f>
        <v>112.73237406631533</v>
      </c>
      <c r="AF14" s="9"/>
      <c r="AG14" s="9"/>
      <c r="AH14" s="12">
        <f t="shared" si="2"/>
        <v>19</v>
      </c>
      <c r="AI14" s="12">
        <f t="shared" si="3"/>
        <v>85.399999999999991</v>
      </c>
      <c r="AJ14" s="12">
        <f t="shared" si="4"/>
        <v>81.599999999999994</v>
      </c>
      <c r="AK14" s="12">
        <f t="shared" si="5"/>
        <v>81.599999999999994</v>
      </c>
      <c r="AL14" s="12">
        <f t="shared" si="6"/>
        <v>71.7</v>
      </c>
    </row>
    <row r="15" spans="1:38" x14ac:dyDescent="0.25">
      <c r="A15" s="1" t="s">
        <v>109</v>
      </c>
      <c r="B15" s="7" t="s">
        <v>99</v>
      </c>
      <c r="C15" s="4" t="s">
        <v>110</v>
      </c>
      <c r="D15" s="4">
        <v>34</v>
      </c>
      <c r="E15" s="4">
        <v>1016</v>
      </c>
      <c r="F15" s="4">
        <v>34</v>
      </c>
      <c r="G15" s="4">
        <v>34</v>
      </c>
      <c r="H15" s="4">
        <v>29.9</v>
      </c>
      <c r="I15" s="4">
        <v>5.5</v>
      </c>
      <c r="J15" s="4">
        <v>9.9</v>
      </c>
      <c r="K15" s="4">
        <v>0.55300000000000005</v>
      </c>
      <c r="L15" s="4">
        <v>0</v>
      </c>
      <c r="M15" s="4">
        <v>0</v>
      </c>
      <c r="N15" s="4">
        <v>0</v>
      </c>
      <c r="O15" s="4">
        <v>5.5</v>
      </c>
      <c r="P15" s="4">
        <v>9.9</v>
      </c>
      <c r="Q15" s="4">
        <v>0.55300000000000005</v>
      </c>
      <c r="R15" s="4">
        <v>1.9</v>
      </c>
      <c r="S15" s="4">
        <v>2.7</v>
      </c>
      <c r="T15" s="4">
        <v>0.67700000000000005</v>
      </c>
      <c r="U15" s="4">
        <v>2.6</v>
      </c>
      <c r="V15" s="4">
        <v>9.9</v>
      </c>
      <c r="W15" s="4">
        <v>1.3</v>
      </c>
      <c r="X15" s="4">
        <v>1.3</v>
      </c>
      <c r="Y15" s="4">
        <v>1.8</v>
      </c>
      <c r="Z15" s="4">
        <v>1.6</v>
      </c>
      <c r="AA15" s="4">
        <v>2.6</v>
      </c>
      <c r="AB15" s="4">
        <v>12.9</v>
      </c>
      <c r="AC15" s="10">
        <f t="shared" si="0"/>
        <v>1.0167087011349307</v>
      </c>
      <c r="AD15" s="10">
        <f t="shared" si="1"/>
        <v>0.69230769230769229</v>
      </c>
      <c r="AE15" s="12">
        <f>100*(AC15/TOTAL_BASIC!$D$302)</f>
        <v>118.32271536029906</v>
      </c>
      <c r="AF15" s="9"/>
      <c r="AG15" s="9"/>
      <c r="AH15" s="12">
        <f t="shared" si="2"/>
        <v>95.399999999999991</v>
      </c>
      <c r="AI15" s="12">
        <f t="shared" si="3"/>
        <v>93.8</v>
      </c>
      <c r="AJ15" s="12">
        <f t="shared" si="4"/>
        <v>78.600000000000009</v>
      </c>
      <c r="AK15" s="12">
        <f t="shared" si="5"/>
        <v>80.100000000000009</v>
      </c>
      <c r="AL15" s="12">
        <f t="shared" si="6"/>
        <v>22.900000000000002</v>
      </c>
    </row>
    <row r="16" spans="1:38" x14ac:dyDescent="0.25">
      <c r="A16" s="1" t="s">
        <v>111</v>
      </c>
      <c r="B16" s="7" t="s">
        <v>108</v>
      </c>
      <c r="C16" s="4" t="s">
        <v>8</v>
      </c>
      <c r="D16" s="4">
        <v>33</v>
      </c>
      <c r="E16" s="4">
        <v>1011</v>
      </c>
      <c r="F16" s="4">
        <v>33</v>
      </c>
      <c r="G16" s="4">
        <v>33</v>
      </c>
      <c r="H16" s="4">
        <v>30.6</v>
      </c>
      <c r="I16" s="4">
        <v>4.0999999999999996</v>
      </c>
      <c r="J16" s="4">
        <v>9.1999999999999993</v>
      </c>
      <c r="K16" s="4">
        <v>0.441</v>
      </c>
      <c r="L16" s="4">
        <v>0.1</v>
      </c>
      <c r="M16" s="4">
        <v>0.7</v>
      </c>
      <c r="N16" s="4">
        <v>0.182</v>
      </c>
      <c r="O16" s="4">
        <v>3.9</v>
      </c>
      <c r="P16" s="4">
        <v>8.5</v>
      </c>
      <c r="Q16" s="4">
        <v>0.46100000000000002</v>
      </c>
      <c r="R16" s="4">
        <v>2.7</v>
      </c>
      <c r="S16" s="4">
        <v>3.5</v>
      </c>
      <c r="T16" s="4">
        <v>0.75900000000000001</v>
      </c>
      <c r="U16" s="4">
        <v>0.5</v>
      </c>
      <c r="V16" s="4">
        <v>2.7</v>
      </c>
      <c r="W16" s="4">
        <v>5.2</v>
      </c>
      <c r="X16" s="4">
        <v>1</v>
      </c>
      <c r="Y16" s="4">
        <v>0.4</v>
      </c>
      <c r="Z16" s="4">
        <v>2.5</v>
      </c>
      <c r="AA16" s="4">
        <v>1.8</v>
      </c>
      <c r="AB16" s="4">
        <v>10.9</v>
      </c>
      <c r="AC16" s="10">
        <f t="shared" si="0"/>
        <v>0.82326283987915416</v>
      </c>
      <c r="AD16" s="10">
        <f t="shared" si="1"/>
        <v>0.22222222222222224</v>
      </c>
      <c r="AE16" s="12">
        <f>100*(AC16/TOTAL_BASIC!$D$302)</f>
        <v>95.809836741826928</v>
      </c>
      <c r="AF16" s="9"/>
      <c r="AG16" s="9"/>
      <c r="AH16" s="12">
        <f t="shared" si="2"/>
        <v>64.8</v>
      </c>
      <c r="AI16" s="12">
        <f t="shared" si="3"/>
        <v>51.9</v>
      </c>
      <c r="AJ16" s="12">
        <f t="shared" si="4"/>
        <v>70.899999999999991</v>
      </c>
      <c r="AK16" s="12">
        <f t="shared" si="5"/>
        <v>87.7</v>
      </c>
      <c r="AL16" s="12">
        <f t="shared" si="6"/>
        <v>45.800000000000004</v>
      </c>
    </row>
    <row r="17" spans="1:38" x14ac:dyDescent="0.25">
      <c r="A17" s="1" t="s">
        <v>112</v>
      </c>
      <c r="B17" s="7" t="s">
        <v>91</v>
      </c>
      <c r="C17" s="4" t="s">
        <v>8</v>
      </c>
      <c r="D17" s="4">
        <v>34</v>
      </c>
      <c r="E17" s="4">
        <v>1005</v>
      </c>
      <c r="F17" s="4">
        <v>34</v>
      </c>
      <c r="G17" s="4">
        <v>34</v>
      </c>
      <c r="H17" s="4">
        <v>29.6</v>
      </c>
      <c r="I17" s="4">
        <v>5.8</v>
      </c>
      <c r="J17" s="4">
        <v>12</v>
      </c>
      <c r="K17" s="4">
        <v>0.48599999999999999</v>
      </c>
      <c r="L17" s="4">
        <v>0</v>
      </c>
      <c r="M17" s="4">
        <v>0.3</v>
      </c>
      <c r="N17" s="4">
        <v>0.111</v>
      </c>
      <c r="O17" s="4">
        <v>5.8</v>
      </c>
      <c r="P17" s="4">
        <v>11.7</v>
      </c>
      <c r="Q17" s="4">
        <v>0.495</v>
      </c>
      <c r="R17" s="4">
        <v>3.2</v>
      </c>
      <c r="S17" s="4">
        <v>4.0999999999999996</v>
      </c>
      <c r="T17" s="4">
        <v>0.78300000000000003</v>
      </c>
      <c r="U17" s="4">
        <v>0.6</v>
      </c>
      <c r="V17" s="4">
        <v>4.4000000000000004</v>
      </c>
      <c r="W17" s="4">
        <v>5.8</v>
      </c>
      <c r="X17" s="4">
        <v>0.8</v>
      </c>
      <c r="Y17" s="4">
        <v>0.1</v>
      </c>
      <c r="Z17" s="4">
        <v>2.2000000000000002</v>
      </c>
      <c r="AA17" s="4">
        <v>2</v>
      </c>
      <c r="AB17" s="4">
        <v>14.9</v>
      </c>
      <c r="AC17" s="10">
        <f t="shared" si="0"/>
        <v>0.9310172456885778</v>
      </c>
      <c r="AD17" s="10">
        <f t="shared" si="1"/>
        <v>0.05</v>
      </c>
      <c r="AE17" s="12">
        <f>100*(AC17/TOTAL_BASIC!$D$302)</f>
        <v>108.3500991327893</v>
      </c>
      <c r="AF17" s="9"/>
      <c r="AG17" s="9"/>
      <c r="AH17" s="12">
        <f t="shared" si="2"/>
        <v>8.3000000000000007</v>
      </c>
      <c r="AI17" s="12">
        <f t="shared" si="3"/>
        <v>78.600000000000009</v>
      </c>
      <c r="AJ17" s="12">
        <f t="shared" si="4"/>
        <v>87.7</v>
      </c>
      <c r="AK17" s="12">
        <f t="shared" si="5"/>
        <v>77</v>
      </c>
      <c r="AL17" s="12">
        <f t="shared" si="6"/>
        <v>54.1</v>
      </c>
    </row>
    <row r="18" spans="1:38" x14ac:dyDescent="0.25">
      <c r="A18" s="1" t="s">
        <v>113</v>
      </c>
      <c r="B18" s="7" t="s">
        <v>114</v>
      </c>
      <c r="C18" s="4" t="s">
        <v>115</v>
      </c>
      <c r="D18" s="4">
        <v>32</v>
      </c>
      <c r="E18" s="4">
        <v>1001</v>
      </c>
      <c r="F18" s="4">
        <v>32</v>
      </c>
      <c r="G18" s="4">
        <v>32</v>
      </c>
      <c r="H18" s="4">
        <v>31.3</v>
      </c>
      <c r="I18" s="4">
        <v>6.2</v>
      </c>
      <c r="J18" s="4">
        <v>10.6</v>
      </c>
      <c r="K18" s="4">
        <v>0.58599999999999997</v>
      </c>
      <c r="L18" s="4">
        <v>0</v>
      </c>
      <c r="M18" s="4">
        <v>0</v>
      </c>
      <c r="N18" s="4">
        <v>0</v>
      </c>
      <c r="O18" s="4">
        <v>6.2</v>
      </c>
      <c r="P18" s="4">
        <v>10.6</v>
      </c>
      <c r="Q18" s="4">
        <v>0.58599999999999997</v>
      </c>
      <c r="R18" s="4">
        <v>3.9</v>
      </c>
      <c r="S18" s="4">
        <v>5.7</v>
      </c>
      <c r="T18" s="4">
        <v>0.68500000000000005</v>
      </c>
      <c r="U18" s="4">
        <v>3.7</v>
      </c>
      <c r="V18" s="4">
        <v>11.5</v>
      </c>
      <c r="W18" s="4">
        <v>0.4</v>
      </c>
      <c r="X18" s="4">
        <v>0.9</v>
      </c>
      <c r="Y18" s="4">
        <v>2.4</v>
      </c>
      <c r="Z18" s="4">
        <v>2.1</v>
      </c>
      <c r="AA18" s="4">
        <v>2.1</v>
      </c>
      <c r="AB18" s="4">
        <v>16.3</v>
      </c>
      <c r="AC18" s="10">
        <f t="shared" si="0"/>
        <v>1.0718043135192004</v>
      </c>
      <c r="AD18" s="10">
        <f t="shared" si="1"/>
        <v>1.1428571428571428</v>
      </c>
      <c r="AE18" s="12">
        <f>100*(AC18/TOTAL_BASIC!$D$302)</f>
        <v>124.73464284205289</v>
      </c>
      <c r="AF18" s="9"/>
      <c r="AG18" s="9"/>
      <c r="AH18" s="12">
        <f t="shared" si="2"/>
        <v>99.2</v>
      </c>
      <c r="AI18" s="12">
        <f t="shared" si="3"/>
        <v>97.7</v>
      </c>
      <c r="AJ18" s="12">
        <f t="shared" si="4"/>
        <v>92.300000000000011</v>
      </c>
      <c r="AK18" s="12">
        <f t="shared" si="5"/>
        <v>89.3</v>
      </c>
      <c r="AL18" s="12">
        <f t="shared" si="6"/>
        <v>23.599999999999998</v>
      </c>
    </row>
    <row r="19" spans="1:38" x14ac:dyDescent="0.25">
      <c r="A19" s="1" t="s">
        <v>116</v>
      </c>
      <c r="B19" s="7" t="s">
        <v>114</v>
      </c>
      <c r="C19" s="4" t="s">
        <v>8</v>
      </c>
      <c r="D19" s="4">
        <v>33</v>
      </c>
      <c r="E19" s="4">
        <v>985</v>
      </c>
      <c r="F19" s="4">
        <v>33</v>
      </c>
      <c r="G19" s="4">
        <v>33</v>
      </c>
      <c r="H19" s="4">
        <v>29.8</v>
      </c>
      <c r="I19" s="4">
        <v>3.2</v>
      </c>
      <c r="J19" s="4">
        <v>8.1</v>
      </c>
      <c r="K19" s="4">
        <v>0.39600000000000002</v>
      </c>
      <c r="L19" s="4">
        <v>0.5</v>
      </c>
      <c r="M19" s="4">
        <v>1.7</v>
      </c>
      <c r="N19" s="4">
        <v>0.30399999999999999</v>
      </c>
      <c r="O19" s="4">
        <v>2.7</v>
      </c>
      <c r="P19" s="4">
        <v>6.4</v>
      </c>
      <c r="Q19" s="4">
        <v>0.42</v>
      </c>
      <c r="R19" s="4">
        <v>1.8</v>
      </c>
      <c r="S19" s="4">
        <v>2.2000000000000002</v>
      </c>
      <c r="T19" s="4">
        <v>0.83299999999999996</v>
      </c>
      <c r="U19" s="4">
        <v>0.3</v>
      </c>
      <c r="V19" s="4">
        <v>3.2</v>
      </c>
      <c r="W19" s="4">
        <v>5.6</v>
      </c>
      <c r="X19" s="4">
        <v>1.4</v>
      </c>
      <c r="Y19" s="4">
        <v>0.8</v>
      </c>
      <c r="Z19" s="4">
        <v>2.5</v>
      </c>
      <c r="AA19" s="4">
        <v>2.6</v>
      </c>
      <c r="AB19" s="4">
        <v>8.8000000000000007</v>
      </c>
      <c r="AC19" s="10">
        <f t="shared" si="0"/>
        <v>0.76071922544951598</v>
      </c>
      <c r="AD19" s="10">
        <f t="shared" si="1"/>
        <v>0.30769230769230771</v>
      </c>
      <c r="AE19" s="12">
        <f>100*(AC19/TOTAL_BASIC!$D$302)</f>
        <v>88.531124285150256</v>
      </c>
      <c r="AF19" s="9"/>
      <c r="AG19" s="9"/>
      <c r="AH19" s="12">
        <f t="shared" si="2"/>
        <v>80.100000000000009</v>
      </c>
      <c r="AI19" s="12">
        <f t="shared" si="3"/>
        <v>32.800000000000004</v>
      </c>
      <c r="AJ19" s="12">
        <f t="shared" si="4"/>
        <v>61.8</v>
      </c>
      <c r="AK19" s="12">
        <f t="shared" si="5"/>
        <v>79.3</v>
      </c>
      <c r="AL19" s="12">
        <f t="shared" si="6"/>
        <v>72.5</v>
      </c>
    </row>
    <row r="20" spans="1:38" x14ac:dyDescent="0.25">
      <c r="A20" s="1" t="s">
        <v>117</v>
      </c>
      <c r="B20" s="7" t="s">
        <v>95</v>
      </c>
      <c r="C20" s="4" t="s">
        <v>92</v>
      </c>
      <c r="D20" s="4">
        <v>34</v>
      </c>
      <c r="E20" s="4">
        <v>976</v>
      </c>
      <c r="F20" s="4">
        <v>34</v>
      </c>
      <c r="G20" s="4">
        <v>34</v>
      </c>
      <c r="H20" s="4">
        <v>28.7</v>
      </c>
      <c r="I20" s="4">
        <v>4.5</v>
      </c>
      <c r="J20" s="4">
        <v>11.1</v>
      </c>
      <c r="K20" s="4">
        <v>0.41</v>
      </c>
      <c r="L20" s="4">
        <v>1.8</v>
      </c>
      <c r="M20" s="4">
        <v>4.8</v>
      </c>
      <c r="N20" s="4">
        <v>0.37</v>
      </c>
      <c r="O20" s="4">
        <v>2.8</v>
      </c>
      <c r="P20" s="4">
        <v>6.3</v>
      </c>
      <c r="Q20" s="4">
        <v>0.439</v>
      </c>
      <c r="R20" s="4">
        <v>3.3</v>
      </c>
      <c r="S20" s="4">
        <v>3.7</v>
      </c>
      <c r="T20" s="4">
        <v>0.874</v>
      </c>
      <c r="U20" s="4">
        <v>1.2</v>
      </c>
      <c r="V20" s="4">
        <v>5.8</v>
      </c>
      <c r="W20" s="4">
        <v>1.1000000000000001</v>
      </c>
      <c r="X20" s="4">
        <v>0.5</v>
      </c>
      <c r="Y20" s="4">
        <v>0.6</v>
      </c>
      <c r="Z20" s="4">
        <v>1.5</v>
      </c>
      <c r="AA20" s="4">
        <v>2.2999999999999998</v>
      </c>
      <c r="AB20" s="4">
        <v>14.1</v>
      </c>
      <c r="AC20" s="10">
        <f t="shared" si="0"/>
        <v>0.99100365476525165</v>
      </c>
      <c r="AD20" s="10">
        <f t="shared" si="1"/>
        <v>0.2608695652173913</v>
      </c>
      <c r="AE20" s="12">
        <f>100*(AC20/TOTAL_BASIC!$D$302)</f>
        <v>115.33120866666333</v>
      </c>
      <c r="AF20" s="9"/>
      <c r="AG20" s="9"/>
      <c r="AH20" s="12">
        <f t="shared" si="2"/>
        <v>73.2</v>
      </c>
      <c r="AI20" s="12">
        <f t="shared" si="3"/>
        <v>90.8</v>
      </c>
      <c r="AJ20" s="12">
        <f t="shared" si="4"/>
        <v>81.599999999999994</v>
      </c>
      <c r="AK20" s="12">
        <f t="shared" si="5"/>
        <v>74</v>
      </c>
      <c r="AL20" s="12">
        <f t="shared" si="6"/>
        <v>87</v>
      </c>
    </row>
    <row r="21" spans="1:38" ht="15.75" customHeight="1" x14ac:dyDescent="0.25">
      <c r="A21" s="1" t="s">
        <v>118</v>
      </c>
      <c r="B21" s="7" t="s">
        <v>89</v>
      </c>
      <c r="C21" s="4" t="s">
        <v>110</v>
      </c>
      <c r="D21" s="4">
        <v>34</v>
      </c>
      <c r="E21" s="4">
        <v>973</v>
      </c>
      <c r="F21" s="4">
        <v>34</v>
      </c>
      <c r="G21" s="4">
        <v>34</v>
      </c>
      <c r="H21" s="4">
        <v>28.6</v>
      </c>
      <c r="I21" s="4">
        <v>5</v>
      </c>
      <c r="J21" s="4">
        <v>9.6</v>
      </c>
      <c r="K21" s="4">
        <v>0.51500000000000001</v>
      </c>
      <c r="L21" s="4">
        <v>0</v>
      </c>
      <c r="M21" s="4">
        <v>0.2</v>
      </c>
      <c r="N21" s="4">
        <v>0.125</v>
      </c>
      <c r="O21" s="4">
        <v>4.9000000000000004</v>
      </c>
      <c r="P21" s="4">
        <v>9.4</v>
      </c>
      <c r="Q21" s="4">
        <v>0.52500000000000002</v>
      </c>
      <c r="R21" s="4">
        <v>2</v>
      </c>
      <c r="S21" s="4">
        <v>3.1</v>
      </c>
      <c r="T21" s="4">
        <v>0.65100000000000002</v>
      </c>
      <c r="U21" s="4">
        <v>2.4</v>
      </c>
      <c r="V21" s="4">
        <v>7.2</v>
      </c>
      <c r="W21" s="4">
        <v>1.3</v>
      </c>
      <c r="X21" s="4">
        <v>0.9</v>
      </c>
      <c r="Y21" s="4">
        <v>0.3</v>
      </c>
      <c r="Z21" s="4">
        <v>2.2999999999999998</v>
      </c>
      <c r="AA21" s="4">
        <v>1.9</v>
      </c>
      <c r="AB21" s="4">
        <v>12</v>
      </c>
      <c r="AC21" s="10">
        <f t="shared" si="0"/>
        <v>0.90470446320868525</v>
      </c>
      <c r="AD21" s="10">
        <f t="shared" si="1"/>
        <v>0.15789473684210525</v>
      </c>
      <c r="AE21" s="12">
        <f>100*(AC21/TOTAL_BASIC!$D$302)</f>
        <v>105.28786521246349</v>
      </c>
      <c r="AF21" s="9"/>
      <c r="AG21" s="9"/>
      <c r="AH21" s="12">
        <f t="shared" si="2"/>
        <v>53.400000000000006</v>
      </c>
      <c r="AI21" s="12">
        <f t="shared" si="3"/>
        <v>70.199999999999989</v>
      </c>
      <c r="AJ21" s="12">
        <f t="shared" si="4"/>
        <v>76.3</v>
      </c>
      <c r="AK21" s="12">
        <f t="shared" si="5"/>
        <v>73.2</v>
      </c>
      <c r="AL21" s="12">
        <f t="shared" si="6"/>
        <v>15.2</v>
      </c>
    </row>
    <row r="22" spans="1:38" ht="15.75" customHeight="1" x14ac:dyDescent="0.25">
      <c r="A22" s="1" t="s">
        <v>119</v>
      </c>
      <c r="B22" s="7" t="s">
        <v>91</v>
      </c>
      <c r="C22" s="4" t="s">
        <v>92</v>
      </c>
      <c r="D22" s="4">
        <v>33</v>
      </c>
      <c r="E22" s="4">
        <v>965</v>
      </c>
      <c r="F22" s="4">
        <v>33</v>
      </c>
      <c r="G22" s="4">
        <v>33</v>
      </c>
      <c r="H22" s="4">
        <v>29.2</v>
      </c>
      <c r="I22" s="4">
        <v>4.5</v>
      </c>
      <c r="J22" s="4">
        <v>9</v>
      </c>
      <c r="K22" s="4">
        <v>0.497</v>
      </c>
      <c r="L22" s="4">
        <v>0</v>
      </c>
      <c r="M22" s="4">
        <v>0</v>
      </c>
      <c r="N22" s="4">
        <v>1</v>
      </c>
      <c r="O22" s="4">
        <v>4.4000000000000004</v>
      </c>
      <c r="P22" s="4">
        <v>8.9</v>
      </c>
      <c r="Q22" s="4">
        <v>0.495</v>
      </c>
      <c r="R22" s="4">
        <v>1.7</v>
      </c>
      <c r="S22" s="4">
        <v>2.7</v>
      </c>
      <c r="T22" s="4">
        <v>0.63600000000000001</v>
      </c>
      <c r="U22" s="4">
        <v>2.7</v>
      </c>
      <c r="V22" s="4">
        <v>8.9</v>
      </c>
      <c r="W22" s="4">
        <v>1.5</v>
      </c>
      <c r="X22" s="4">
        <v>1.3</v>
      </c>
      <c r="Y22" s="4">
        <v>0.9</v>
      </c>
      <c r="Z22" s="4">
        <v>1.2</v>
      </c>
      <c r="AA22" s="4">
        <v>2.1</v>
      </c>
      <c r="AB22" s="4">
        <v>10.6</v>
      </c>
      <c r="AC22" s="10">
        <f t="shared" si="0"/>
        <v>0.93080435546188967</v>
      </c>
      <c r="AD22" s="10">
        <f t="shared" si="1"/>
        <v>0.42857142857142855</v>
      </c>
      <c r="AE22" s="12">
        <f>100*(AC22/TOTAL_BASIC!$D$302)</f>
        <v>108.32532335417417</v>
      </c>
      <c r="AF22" s="9"/>
      <c r="AG22" s="9"/>
      <c r="AH22" s="12">
        <f t="shared" si="2"/>
        <v>87</v>
      </c>
      <c r="AI22" s="12">
        <f t="shared" si="3"/>
        <v>77.8</v>
      </c>
      <c r="AJ22" s="12">
        <f t="shared" si="4"/>
        <v>70.199999999999989</v>
      </c>
      <c r="AK22" s="12">
        <f t="shared" si="5"/>
        <v>75.5</v>
      </c>
      <c r="AL22" s="12">
        <f t="shared" si="6"/>
        <v>11.4</v>
      </c>
    </row>
    <row r="23" spans="1:38" ht="15.75" customHeight="1" x14ac:dyDescent="0.25">
      <c r="A23" s="1" t="s">
        <v>120</v>
      </c>
      <c r="B23" s="7" t="s">
        <v>114</v>
      </c>
      <c r="C23" s="4" t="s">
        <v>92</v>
      </c>
      <c r="D23" s="4">
        <v>34</v>
      </c>
      <c r="E23" s="4">
        <v>961</v>
      </c>
      <c r="F23" s="4">
        <v>34</v>
      </c>
      <c r="G23" s="4">
        <v>34</v>
      </c>
      <c r="H23" s="4">
        <v>28.3</v>
      </c>
      <c r="I23" s="4">
        <v>3.5</v>
      </c>
      <c r="J23" s="4">
        <v>8.4</v>
      </c>
      <c r="K23" s="4">
        <v>0.41499999999999998</v>
      </c>
      <c r="L23" s="4">
        <v>0.5</v>
      </c>
      <c r="M23" s="4">
        <v>1.9</v>
      </c>
      <c r="N23" s="4">
        <v>0.27</v>
      </c>
      <c r="O23" s="4">
        <v>3</v>
      </c>
      <c r="P23" s="4">
        <v>6.5</v>
      </c>
      <c r="Q23" s="4">
        <v>0.45700000000000002</v>
      </c>
      <c r="R23" s="4">
        <v>1.9</v>
      </c>
      <c r="S23" s="4">
        <v>2.2000000000000002</v>
      </c>
      <c r="T23" s="4">
        <v>0.85299999999999998</v>
      </c>
      <c r="U23" s="4">
        <v>1.3</v>
      </c>
      <c r="V23" s="4">
        <v>5.6</v>
      </c>
      <c r="W23" s="4">
        <v>2.2000000000000002</v>
      </c>
      <c r="X23" s="4">
        <v>0.9</v>
      </c>
      <c r="Y23" s="4">
        <v>0.6</v>
      </c>
      <c r="Z23" s="4">
        <v>1.9</v>
      </c>
      <c r="AA23" s="4">
        <v>3</v>
      </c>
      <c r="AB23" s="4">
        <v>9.3000000000000007</v>
      </c>
      <c r="AC23" s="10">
        <f t="shared" si="0"/>
        <v>0.82534611288604898</v>
      </c>
      <c r="AD23" s="10">
        <f t="shared" si="1"/>
        <v>0.19999999999999998</v>
      </c>
      <c r="AE23" s="12">
        <f>100*(AC23/TOTAL_BASIC!$D$302)</f>
        <v>96.05228427742631</v>
      </c>
      <c r="AF23" s="9"/>
      <c r="AG23" s="9"/>
      <c r="AH23" s="12">
        <f t="shared" si="2"/>
        <v>62.5</v>
      </c>
      <c r="AI23" s="12">
        <f t="shared" si="3"/>
        <v>52.6</v>
      </c>
      <c r="AJ23" s="12">
        <f t="shared" si="4"/>
        <v>64.8</v>
      </c>
      <c r="AK23" s="12">
        <f t="shared" si="5"/>
        <v>72.5</v>
      </c>
      <c r="AL23" s="12">
        <f t="shared" si="6"/>
        <v>78.600000000000009</v>
      </c>
    </row>
    <row r="24" spans="1:38" ht="15.75" customHeight="1" x14ac:dyDescent="0.25">
      <c r="A24" s="1" t="s">
        <v>121</v>
      </c>
      <c r="B24" s="7" t="s">
        <v>122</v>
      </c>
      <c r="C24" s="4" t="s">
        <v>115</v>
      </c>
      <c r="D24" s="4">
        <v>29</v>
      </c>
      <c r="E24" s="4">
        <v>951</v>
      </c>
      <c r="F24" s="4">
        <v>29</v>
      </c>
      <c r="G24" s="4">
        <v>29</v>
      </c>
      <c r="H24" s="4">
        <v>32.799999999999997</v>
      </c>
      <c r="I24" s="4">
        <v>7.5</v>
      </c>
      <c r="J24" s="4">
        <v>18.8</v>
      </c>
      <c r="K24" s="4">
        <v>0.4</v>
      </c>
      <c r="L24" s="4">
        <v>0</v>
      </c>
      <c r="M24" s="4">
        <v>0.1</v>
      </c>
      <c r="N24" s="4">
        <v>0</v>
      </c>
      <c r="O24" s="4">
        <v>7.5</v>
      </c>
      <c r="P24" s="4">
        <v>18.7</v>
      </c>
      <c r="Q24" s="4">
        <v>0.40200000000000002</v>
      </c>
      <c r="R24" s="4">
        <v>2.9</v>
      </c>
      <c r="S24" s="4">
        <v>3.9</v>
      </c>
      <c r="T24" s="4">
        <v>0.752</v>
      </c>
      <c r="U24" s="4">
        <v>3.4</v>
      </c>
      <c r="V24" s="4">
        <v>10.1</v>
      </c>
      <c r="W24" s="4">
        <v>1.4</v>
      </c>
      <c r="X24" s="4">
        <v>0.9</v>
      </c>
      <c r="Y24" s="4">
        <v>1</v>
      </c>
      <c r="Z24" s="4">
        <v>2.2000000000000002</v>
      </c>
      <c r="AA24" s="4">
        <v>2</v>
      </c>
      <c r="AB24" s="4">
        <v>18</v>
      </c>
      <c r="AC24" s="10">
        <f t="shared" si="0"/>
        <v>0.79239302694136293</v>
      </c>
      <c r="AD24" s="10">
        <f t="shared" si="1"/>
        <v>0.5</v>
      </c>
      <c r="AE24" s="12">
        <f>100*(AC24/TOTAL_BASIC!$D$302)</f>
        <v>92.217263878639429</v>
      </c>
      <c r="AF24" s="9"/>
      <c r="AG24" s="9"/>
      <c r="AH24" s="12">
        <f t="shared" si="2"/>
        <v>91.600000000000009</v>
      </c>
      <c r="AI24" s="12">
        <f t="shared" si="3"/>
        <v>44.2</v>
      </c>
      <c r="AJ24" s="12">
        <f t="shared" si="4"/>
        <v>96.899999999999991</v>
      </c>
      <c r="AK24" s="12">
        <f t="shared" si="5"/>
        <v>96.899999999999991</v>
      </c>
      <c r="AL24" s="12">
        <f t="shared" si="6"/>
        <v>44.2</v>
      </c>
    </row>
    <row r="25" spans="1:38" ht="15.75" customHeight="1" x14ac:dyDescent="0.25">
      <c r="A25" s="1" t="s">
        <v>123</v>
      </c>
      <c r="B25" s="7" t="s">
        <v>106</v>
      </c>
      <c r="C25" s="4" t="s">
        <v>8</v>
      </c>
      <c r="D25" s="4">
        <v>32</v>
      </c>
      <c r="E25" s="4">
        <v>946</v>
      </c>
      <c r="F25" s="4">
        <v>32</v>
      </c>
      <c r="G25" s="4">
        <v>32</v>
      </c>
      <c r="H25" s="4">
        <v>29.6</v>
      </c>
      <c r="I25" s="4">
        <v>3.4</v>
      </c>
      <c r="J25" s="4">
        <v>9.9</v>
      </c>
      <c r="K25" s="4">
        <v>0.34799999999999998</v>
      </c>
      <c r="L25" s="4">
        <v>1.1000000000000001</v>
      </c>
      <c r="M25" s="4">
        <v>3.1</v>
      </c>
      <c r="N25" s="4">
        <v>0.35699999999999998</v>
      </c>
      <c r="O25" s="4">
        <v>2.2999999999999998</v>
      </c>
      <c r="P25" s="4">
        <v>6.8</v>
      </c>
      <c r="Q25" s="4">
        <v>0.34399999999999997</v>
      </c>
      <c r="R25" s="4">
        <v>1.9</v>
      </c>
      <c r="S25" s="4">
        <v>2.2999999999999998</v>
      </c>
      <c r="T25" s="4">
        <v>0.81100000000000005</v>
      </c>
      <c r="U25" s="4">
        <v>0.4</v>
      </c>
      <c r="V25" s="4">
        <v>2.4</v>
      </c>
      <c r="W25" s="4">
        <v>3.7</v>
      </c>
      <c r="X25" s="4">
        <v>1.1000000000000001</v>
      </c>
      <c r="Y25" s="4">
        <v>0.2</v>
      </c>
      <c r="Z25" s="4">
        <v>2.5</v>
      </c>
      <c r="AA25" s="4">
        <v>2.6</v>
      </c>
      <c r="AB25" s="4">
        <v>9.8000000000000007</v>
      </c>
      <c r="AC25" s="10">
        <f t="shared" si="0"/>
        <v>0.7306889352818372</v>
      </c>
      <c r="AD25" s="10">
        <f t="shared" si="1"/>
        <v>7.6923076923076927E-2</v>
      </c>
      <c r="AE25" s="12">
        <f>100*(AC25/TOTAL_BASIC!$D$302)</f>
        <v>85.036253559906143</v>
      </c>
      <c r="AF25" s="9"/>
      <c r="AG25" s="9"/>
      <c r="AH25" s="12">
        <f t="shared" si="2"/>
        <v>16</v>
      </c>
      <c r="AI25" s="12">
        <f t="shared" si="3"/>
        <v>25.900000000000002</v>
      </c>
      <c r="AJ25" s="12">
        <f t="shared" si="4"/>
        <v>65.600000000000009</v>
      </c>
      <c r="AK25" s="12">
        <f t="shared" si="5"/>
        <v>77</v>
      </c>
      <c r="AL25" s="12">
        <f t="shared" si="6"/>
        <v>64.099999999999994</v>
      </c>
    </row>
    <row r="26" spans="1:38" ht="15.75" customHeight="1" x14ac:dyDescent="0.25">
      <c r="A26" s="1" t="s">
        <v>124</v>
      </c>
      <c r="B26" s="7" t="s">
        <v>106</v>
      </c>
      <c r="C26" s="4" t="s">
        <v>92</v>
      </c>
      <c r="D26" s="4">
        <v>30</v>
      </c>
      <c r="E26" s="4">
        <v>942</v>
      </c>
      <c r="F26" s="4">
        <v>30</v>
      </c>
      <c r="G26" s="4">
        <v>30</v>
      </c>
      <c r="H26" s="4">
        <v>31.4</v>
      </c>
      <c r="I26" s="4">
        <v>6</v>
      </c>
      <c r="J26" s="4">
        <v>15.1</v>
      </c>
      <c r="K26" s="4">
        <v>0.39600000000000002</v>
      </c>
      <c r="L26" s="4">
        <v>1.2</v>
      </c>
      <c r="M26" s="4">
        <v>3.7</v>
      </c>
      <c r="N26" s="4">
        <v>0.32100000000000001</v>
      </c>
      <c r="O26" s="4">
        <v>4.8</v>
      </c>
      <c r="P26" s="4">
        <v>11.3</v>
      </c>
      <c r="Q26" s="4">
        <v>0.42099999999999999</v>
      </c>
      <c r="R26" s="4">
        <v>4.5</v>
      </c>
      <c r="S26" s="4">
        <v>5.3</v>
      </c>
      <c r="T26" s="4">
        <v>0.86099999999999999</v>
      </c>
      <c r="U26" s="4">
        <v>1.5</v>
      </c>
      <c r="V26" s="4">
        <v>7.1</v>
      </c>
      <c r="W26" s="4">
        <v>2.4</v>
      </c>
      <c r="X26" s="4">
        <v>2.8</v>
      </c>
      <c r="Y26" s="4">
        <v>1</v>
      </c>
      <c r="Z26" s="4">
        <v>1.7</v>
      </c>
      <c r="AA26" s="4">
        <v>2.5</v>
      </c>
      <c r="AB26" s="4">
        <v>17.7</v>
      </c>
      <c r="AC26" s="10">
        <f t="shared" si="0"/>
        <v>0.92515157850721308</v>
      </c>
      <c r="AD26" s="10">
        <f t="shared" si="1"/>
        <v>0.4</v>
      </c>
      <c r="AE26" s="12">
        <f>100*(AC26/TOTAL_BASIC!$D$302)</f>
        <v>107.66746342058961</v>
      </c>
      <c r="AF26" s="9"/>
      <c r="AG26" s="9"/>
      <c r="AH26" s="12">
        <f t="shared" si="2"/>
        <v>85.399999999999991</v>
      </c>
      <c r="AI26" s="12">
        <f t="shared" si="3"/>
        <v>75.5</v>
      </c>
      <c r="AJ26" s="12">
        <f t="shared" si="4"/>
        <v>95.399999999999991</v>
      </c>
      <c r="AK26" s="12">
        <f t="shared" si="5"/>
        <v>90.8</v>
      </c>
      <c r="AL26" s="12">
        <f t="shared" si="6"/>
        <v>83.899999999999991</v>
      </c>
    </row>
    <row r="27" spans="1:38" ht="15.75" customHeight="1" x14ac:dyDescent="0.25">
      <c r="A27" s="1" t="s">
        <v>125</v>
      </c>
      <c r="B27" s="7" t="s">
        <v>114</v>
      </c>
      <c r="C27" s="4" t="s">
        <v>100</v>
      </c>
      <c r="D27" s="4">
        <v>30</v>
      </c>
      <c r="E27" s="4">
        <v>941</v>
      </c>
      <c r="F27" s="4">
        <v>30</v>
      </c>
      <c r="G27" s="4">
        <v>30</v>
      </c>
      <c r="H27" s="4">
        <v>31.4</v>
      </c>
      <c r="I27" s="4">
        <v>5.7</v>
      </c>
      <c r="J27" s="4">
        <v>13.5</v>
      </c>
      <c r="K27" s="4">
        <v>0.42599999999999999</v>
      </c>
      <c r="L27" s="4">
        <v>1.4</v>
      </c>
      <c r="M27" s="4">
        <v>3.2</v>
      </c>
      <c r="N27" s="4">
        <v>0.438</v>
      </c>
      <c r="O27" s="4">
        <v>4.3</v>
      </c>
      <c r="P27" s="4">
        <v>10.3</v>
      </c>
      <c r="Q27" s="4">
        <v>0.42199999999999999</v>
      </c>
      <c r="R27" s="4">
        <v>5.2</v>
      </c>
      <c r="S27" s="4">
        <v>5.6</v>
      </c>
      <c r="T27" s="4">
        <v>0.92900000000000005</v>
      </c>
      <c r="U27" s="4">
        <v>1.4</v>
      </c>
      <c r="V27" s="4">
        <v>5.6</v>
      </c>
      <c r="W27" s="4">
        <v>1.8</v>
      </c>
      <c r="X27" s="4">
        <v>0.7</v>
      </c>
      <c r="Y27" s="4">
        <v>1.8</v>
      </c>
      <c r="Z27" s="4">
        <v>1.3</v>
      </c>
      <c r="AA27" s="4">
        <v>1.6</v>
      </c>
      <c r="AB27" s="4">
        <v>18.100000000000001</v>
      </c>
      <c r="AC27" s="10">
        <f t="shared" si="0"/>
        <v>1.048424467099166</v>
      </c>
      <c r="AD27" s="10">
        <f t="shared" si="1"/>
        <v>1.125</v>
      </c>
      <c r="AE27" s="12">
        <f>100*(AC27/TOTAL_BASIC!$D$302)</f>
        <v>122.01373870300382</v>
      </c>
      <c r="AF27" s="9"/>
      <c r="AG27" s="9"/>
      <c r="AH27" s="12">
        <f t="shared" si="2"/>
        <v>98.4</v>
      </c>
      <c r="AI27" s="12">
        <f t="shared" si="3"/>
        <v>96.899999999999991</v>
      </c>
      <c r="AJ27" s="12">
        <f t="shared" si="4"/>
        <v>97.7</v>
      </c>
      <c r="AK27" s="12">
        <f t="shared" si="5"/>
        <v>90.8</v>
      </c>
      <c r="AL27" s="12">
        <f t="shared" si="6"/>
        <v>96.899999999999991</v>
      </c>
    </row>
    <row r="28" spans="1:38" ht="15.75" customHeight="1" x14ac:dyDescent="0.25">
      <c r="A28" s="1" t="s">
        <v>126</v>
      </c>
      <c r="B28" s="4" t="s">
        <v>99</v>
      </c>
      <c r="C28" s="4" t="s">
        <v>8</v>
      </c>
      <c r="D28" s="4">
        <v>34</v>
      </c>
      <c r="E28" s="4">
        <v>935</v>
      </c>
      <c r="F28" s="4">
        <v>34</v>
      </c>
      <c r="G28" s="4">
        <v>29</v>
      </c>
      <c r="H28" s="4">
        <v>27.5</v>
      </c>
      <c r="I28" s="4">
        <v>3.5</v>
      </c>
      <c r="J28" s="4">
        <v>9.8000000000000007</v>
      </c>
      <c r="K28" s="4">
        <v>0.35899999999999999</v>
      </c>
      <c r="L28" s="4">
        <v>0.5</v>
      </c>
      <c r="M28" s="4">
        <v>2.2000000000000002</v>
      </c>
      <c r="N28" s="4">
        <v>0.216</v>
      </c>
      <c r="O28" s="4">
        <v>3.1</v>
      </c>
      <c r="P28" s="4">
        <v>7.6</v>
      </c>
      <c r="Q28" s="4">
        <v>0.4</v>
      </c>
      <c r="R28" s="4">
        <v>0.9</v>
      </c>
      <c r="S28" s="4">
        <v>1.4</v>
      </c>
      <c r="T28" s="4">
        <v>0.69599999999999995</v>
      </c>
      <c r="U28" s="4">
        <v>0.7</v>
      </c>
      <c r="V28" s="4">
        <v>3</v>
      </c>
      <c r="W28" s="4">
        <v>3.1</v>
      </c>
      <c r="X28" s="4">
        <v>0.9</v>
      </c>
      <c r="Y28" s="4">
        <v>0.3</v>
      </c>
      <c r="Z28" s="4">
        <v>2.1</v>
      </c>
      <c r="AA28" s="4">
        <v>1.9</v>
      </c>
      <c r="AB28" s="4">
        <v>8.5</v>
      </c>
      <c r="AC28" s="10">
        <f t="shared" si="0"/>
        <v>0.67913071268775971</v>
      </c>
      <c r="AD28" s="10">
        <f t="shared" si="1"/>
        <v>0.15789473684210525</v>
      </c>
      <c r="AE28" s="12">
        <f>100*(AC28/TOTAL_BASIC!$D$302)</f>
        <v>79.036001088699678</v>
      </c>
      <c r="AF28" s="9"/>
      <c r="AG28" s="9"/>
      <c r="AH28" s="12">
        <f t="shared" si="2"/>
        <v>53.400000000000006</v>
      </c>
      <c r="AI28" s="12">
        <f t="shared" si="3"/>
        <v>12.2</v>
      </c>
      <c r="AJ28" s="12">
        <f t="shared" si="4"/>
        <v>57.999999999999993</v>
      </c>
      <c r="AK28" s="12">
        <f t="shared" si="5"/>
        <v>70.899999999999991</v>
      </c>
      <c r="AL28" s="12">
        <f t="shared" si="6"/>
        <v>24.4</v>
      </c>
    </row>
    <row r="29" spans="1:38" ht="15.75" customHeight="1" x14ac:dyDescent="0.25">
      <c r="A29" s="1" t="s">
        <v>127</v>
      </c>
      <c r="B29" s="7" t="s">
        <v>114</v>
      </c>
      <c r="C29" s="4" t="s">
        <v>8</v>
      </c>
      <c r="D29" s="4">
        <v>31</v>
      </c>
      <c r="E29" s="4">
        <v>930</v>
      </c>
      <c r="F29" s="4">
        <v>31</v>
      </c>
      <c r="G29" s="4">
        <v>31</v>
      </c>
      <c r="H29" s="4">
        <v>30</v>
      </c>
      <c r="I29" s="4">
        <v>4.8</v>
      </c>
      <c r="J29" s="4">
        <v>12.7</v>
      </c>
      <c r="K29" s="4">
        <v>0.376</v>
      </c>
      <c r="L29" s="4">
        <v>2</v>
      </c>
      <c r="M29" s="4">
        <v>5</v>
      </c>
      <c r="N29" s="4">
        <v>0.39600000000000002</v>
      </c>
      <c r="O29" s="4">
        <v>2.8</v>
      </c>
      <c r="P29" s="4">
        <v>7.7</v>
      </c>
      <c r="Q29" s="4">
        <v>0.36299999999999999</v>
      </c>
      <c r="R29" s="4">
        <v>3.5</v>
      </c>
      <c r="S29" s="4">
        <v>3.9</v>
      </c>
      <c r="T29" s="4">
        <v>0.9</v>
      </c>
      <c r="U29" s="4">
        <v>0.6</v>
      </c>
      <c r="V29" s="4">
        <v>2.7</v>
      </c>
      <c r="W29" s="4">
        <v>3</v>
      </c>
      <c r="X29" s="4">
        <v>1.6</v>
      </c>
      <c r="Y29" s="4">
        <v>0.4</v>
      </c>
      <c r="Z29" s="4">
        <v>1.4</v>
      </c>
      <c r="AA29" s="4">
        <v>1.5</v>
      </c>
      <c r="AB29" s="4">
        <v>15</v>
      </c>
      <c r="AC29" s="10">
        <f t="shared" si="0"/>
        <v>0.94840667678300461</v>
      </c>
      <c r="AD29" s="10">
        <f t="shared" si="1"/>
        <v>0.26666666666666666</v>
      </c>
      <c r="AE29" s="12">
        <f>100*(AC29/TOTAL_BASIC!$D$302)</f>
        <v>110.37384959677823</v>
      </c>
      <c r="AF29" s="9"/>
      <c r="AG29" s="9"/>
      <c r="AH29" s="12">
        <f t="shared" si="2"/>
        <v>74</v>
      </c>
      <c r="AI29" s="12">
        <f t="shared" si="3"/>
        <v>82.399999999999991</v>
      </c>
      <c r="AJ29" s="12">
        <f t="shared" si="4"/>
        <v>88.5</v>
      </c>
      <c r="AK29" s="12">
        <f t="shared" si="5"/>
        <v>81.599999999999994</v>
      </c>
      <c r="AL29" s="12">
        <f t="shared" si="6"/>
        <v>93.8</v>
      </c>
    </row>
    <row r="30" spans="1:38" ht="15.75" customHeight="1" x14ac:dyDescent="0.25">
      <c r="A30" s="1" t="s">
        <v>128</v>
      </c>
      <c r="B30" s="7" t="s">
        <v>91</v>
      </c>
      <c r="C30" s="4" t="s">
        <v>87</v>
      </c>
      <c r="D30" s="4">
        <v>31</v>
      </c>
      <c r="E30" s="4">
        <v>922</v>
      </c>
      <c r="F30" s="4">
        <v>31</v>
      </c>
      <c r="G30" s="4">
        <v>31</v>
      </c>
      <c r="H30" s="4">
        <v>29.7</v>
      </c>
      <c r="I30" s="4">
        <v>6.9</v>
      </c>
      <c r="J30" s="4">
        <v>13.3</v>
      </c>
      <c r="K30" s="4">
        <v>0.51600000000000001</v>
      </c>
      <c r="L30" s="4">
        <v>0.6</v>
      </c>
      <c r="M30" s="4">
        <v>2.2000000000000002</v>
      </c>
      <c r="N30" s="4">
        <v>0.28999999999999998</v>
      </c>
      <c r="O30" s="4">
        <v>6.2</v>
      </c>
      <c r="P30" s="4">
        <v>11.1</v>
      </c>
      <c r="Q30" s="4">
        <v>0.56100000000000005</v>
      </c>
      <c r="R30" s="4">
        <v>1.9</v>
      </c>
      <c r="S30" s="4">
        <v>2.1</v>
      </c>
      <c r="T30" s="4">
        <v>0.879</v>
      </c>
      <c r="U30" s="4">
        <v>0.8</v>
      </c>
      <c r="V30" s="4">
        <v>3.2</v>
      </c>
      <c r="W30" s="4">
        <v>2.5</v>
      </c>
      <c r="X30" s="4">
        <v>0.6</v>
      </c>
      <c r="Y30" s="4">
        <v>0.6</v>
      </c>
      <c r="Z30" s="4">
        <v>1.5</v>
      </c>
      <c r="AA30" s="4">
        <v>1.1000000000000001</v>
      </c>
      <c r="AB30" s="4">
        <v>16.3</v>
      </c>
      <c r="AC30" s="10">
        <f t="shared" si="0"/>
        <v>1.036631900279827</v>
      </c>
      <c r="AD30" s="10">
        <f t="shared" si="1"/>
        <v>0.54545454545454541</v>
      </c>
      <c r="AE30" s="12">
        <f>100*(AC30/TOTAL_BASIC!$D$302)</f>
        <v>120.64134115631775</v>
      </c>
      <c r="AF30" s="9"/>
      <c r="AG30" s="9"/>
      <c r="AH30" s="12">
        <f t="shared" si="2"/>
        <v>93.100000000000009</v>
      </c>
      <c r="AI30" s="12">
        <f t="shared" si="3"/>
        <v>96.1</v>
      </c>
      <c r="AJ30" s="12">
        <f t="shared" si="4"/>
        <v>92.300000000000011</v>
      </c>
      <c r="AK30" s="12">
        <f t="shared" si="5"/>
        <v>78.600000000000009</v>
      </c>
      <c r="AL30" s="12">
        <f t="shared" si="6"/>
        <v>89.3</v>
      </c>
    </row>
    <row r="31" spans="1:38" ht="15.75" customHeight="1" x14ac:dyDescent="0.25">
      <c r="A31" s="1" t="s">
        <v>129</v>
      </c>
      <c r="B31" s="7" t="s">
        <v>106</v>
      </c>
      <c r="C31" s="4" t="s">
        <v>100</v>
      </c>
      <c r="D31" s="4">
        <v>34</v>
      </c>
      <c r="E31" s="4">
        <v>913</v>
      </c>
      <c r="F31" s="4">
        <v>34</v>
      </c>
      <c r="G31" s="4">
        <v>28</v>
      </c>
      <c r="H31" s="4">
        <v>26.9</v>
      </c>
      <c r="I31" s="4">
        <v>3</v>
      </c>
      <c r="J31" s="4">
        <v>8</v>
      </c>
      <c r="K31" s="4">
        <v>0.373</v>
      </c>
      <c r="L31" s="4">
        <v>0.9</v>
      </c>
      <c r="M31" s="4">
        <v>2.9</v>
      </c>
      <c r="N31" s="4">
        <v>0.3</v>
      </c>
      <c r="O31" s="4">
        <v>2.1</v>
      </c>
      <c r="P31" s="4">
        <v>5</v>
      </c>
      <c r="Q31" s="4">
        <v>0.41499999999999998</v>
      </c>
      <c r="R31" s="4">
        <v>1.8</v>
      </c>
      <c r="S31" s="4">
        <v>2.2000000000000002</v>
      </c>
      <c r="T31" s="4">
        <v>0.81100000000000005</v>
      </c>
      <c r="U31" s="4">
        <v>1.9</v>
      </c>
      <c r="V31" s="4">
        <v>4.0999999999999996</v>
      </c>
      <c r="W31" s="4">
        <v>1.1000000000000001</v>
      </c>
      <c r="X31" s="4">
        <v>1.9</v>
      </c>
      <c r="Y31" s="4">
        <v>0.3</v>
      </c>
      <c r="Z31" s="4">
        <v>1.2</v>
      </c>
      <c r="AA31" s="4">
        <v>2.4</v>
      </c>
      <c r="AB31" s="4">
        <v>8.6</v>
      </c>
      <c r="AC31" s="10">
        <f t="shared" si="0"/>
        <v>0.84579071597167588</v>
      </c>
      <c r="AD31" s="10">
        <f t="shared" si="1"/>
        <v>0.125</v>
      </c>
      <c r="AE31" s="12">
        <f>100*(AC31/TOTAL_BASIC!$D$302)</f>
        <v>98.43159011876962</v>
      </c>
      <c r="AF31" s="9"/>
      <c r="AG31" s="9"/>
      <c r="AH31" s="12">
        <f t="shared" si="2"/>
        <v>37.4</v>
      </c>
      <c r="AI31" s="12">
        <f t="shared" si="3"/>
        <v>57.999999999999993</v>
      </c>
      <c r="AJ31" s="12">
        <f t="shared" si="4"/>
        <v>59.5</v>
      </c>
      <c r="AK31" s="12">
        <f t="shared" si="5"/>
        <v>67.100000000000009</v>
      </c>
      <c r="AL31" s="12">
        <f t="shared" si="6"/>
        <v>64.099999999999994</v>
      </c>
    </row>
    <row r="32" spans="1:38" ht="15.75" customHeight="1" x14ac:dyDescent="0.25">
      <c r="A32" s="1" t="s">
        <v>130</v>
      </c>
      <c r="B32" s="7" t="s">
        <v>106</v>
      </c>
      <c r="C32" s="4" t="s">
        <v>8</v>
      </c>
      <c r="D32" s="4">
        <v>29</v>
      </c>
      <c r="E32" s="4">
        <v>908</v>
      </c>
      <c r="F32" s="4">
        <v>29</v>
      </c>
      <c r="G32" s="4">
        <v>29</v>
      </c>
      <c r="H32" s="4">
        <v>31.3</v>
      </c>
      <c r="I32" s="4">
        <v>5</v>
      </c>
      <c r="J32" s="4">
        <v>12.1</v>
      </c>
      <c r="K32" s="4">
        <v>0.41499999999999998</v>
      </c>
      <c r="L32" s="4">
        <v>1.3</v>
      </c>
      <c r="M32" s="4">
        <v>3.9</v>
      </c>
      <c r="N32" s="4">
        <v>0.34799999999999998</v>
      </c>
      <c r="O32" s="4">
        <v>3.7</v>
      </c>
      <c r="P32" s="4">
        <v>8.3000000000000007</v>
      </c>
      <c r="Q32" s="4">
        <v>0.44600000000000001</v>
      </c>
      <c r="R32" s="4">
        <v>3.3</v>
      </c>
      <c r="S32" s="4">
        <v>4.2</v>
      </c>
      <c r="T32" s="4">
        <v>0.78</v>
      </c>
      <c r="U32" s="4">
        <v>0.9</v>
      </c>
      <c r="V32" s="4">
        <v>3.4</v>
      </c>
      <c r="W32" s="4">
        <v>1.7</v>
      </c>
      <c r="X32" s="4">
        <v>0.9</v>
      </c>
      <c r="Y32" s="4">
        <v>0.7</v>
      </c>
      <c r="Z32" s="4">
        <v>1.9</v>
      </c>
      <c r="AA32" s="4">
        <v>3.2</v>
      </c>
      <c r="AB32" s="4">
        <v>14.7</v>
      </c>
      <c r="AC32" s="10">
        <f t="shared" si="0"/>
        <v>0.92756183745583032</v>
      </c>
      <c r="AD32" s="10">
        <f t="shared" si="1"/>
        <v>0.21874999999999997</v>
      </c>
      <c r="AE32" s="12">
        <f>100*(AC32/TOTAL_BASIC!$D$302)</f>
        <v>107.947964987266</v>
      </c>
      <c r="AF32" s="9"/>
      <c r="AG32" s="9"/>
      <c r="AH32" s="12">
        <f t="shared" si="2"/>
        <v>64.099999999999994</v>
      </c>
      <c r="AI32" s="12">
        <f t="shared" si="3"/>
        <v>77</v>
      </c>
      <c r="AJ32" s="12">
        <f t="shared" si="4"/>
        <v>87</v>
      </c>
      <c r="AK32" s="12">
        <f t="shared" si="5"/>
        <v>89.3</v>
      </c>
      <c r="AL32" s="12">
        <f t="shared" si="6"/>
        <v>53.400000000000006</v>
      </c>
    </row>
    <row r="33" spans="1:38" ht="15.75" customHeight="1" x14ac:dyDescent="0.25">
      <c r="A33" s="1" t="s">
        <v>131</v>
      </c>
      <c r="B33" s="7" t="s">
        <v>104</v>
      </c>
      <c r="C33" s="4" t="s">
        <v>8</v>
      </c>
      <c r="D33" s="4">
        <v>34</v>
      </c>
      <c r="E33" s="4">
        <v>904</v>
      </c>
      <c r="F33" s="4">
        <v>34</v>
      </c>
      <c r="G33" s="4">
        <v>30</v>
      </c>
      <c r="H33" s="4">
        <v>26.6</v>
      </c>
      <c r="I33" s="4">
        <v>2.2000000000000002</v>
      </c>
      <c r="J33" s="4">
        <v>6</v>
      </c>
      <c r="K33" s="4">
        <v>0.374</v>
      </c>
      <c r="L33" s="4">
        <v>0.8</v>
      </c>
      <c r="M33" s="4">
        <v>2.6</v>
      </c>
      <c r="N33" s="4">
        <v>0.315</v>
      </c>
      <c r="O33" s="4">
        <v>1.4</v>
      </c>
      <c r="P33" s="4">
        <v>3.4</v>
      </c>
      <c r="Q33" s="4">
        <v>0.42099999999999999</v>
      </c>
      <c r="R33" s="4">
        <v>0.8</v>
      </c>
      <c r="S33" s="4">
        <v>1</v>
      </c>
      <c r="T33" s="4">
        <v>0.84799999999999998</v>
      </c>
      <c r="U33" s="4">
        <v>0.3</v>
      </c>
      <c r="V33" s="4">
        <v>1.9</v>
      </c>
      <c r="W33" s="4">
        <v>1.8</v>
      </c>
      <c r="X33" s="4">
        <v>0.7</v>
      </c>
      <c r="Y33" s="4">
        <v>0.2</v>
      </c>
      <c r="Z33" s="4">
        <v>1.3</v>
      </c>
      <c r="AA33" s="4">
        <v>1.6</v>
      </c>
      <c r="AB33" s="4">
        <v>6.1</v>
      </c>
      <c r="AC33" s="10">
        <f t="shared" si="0"/>
        <v>0.78811369509043916</v>
      </c>
      <c r="AD33" s="10">
        <f t="shared" si="1"/>
        <v>0.125</v>
      </c>
      <c r="AE33" s="12">
        <f>100*(AC33/TOTAL_BASIC!$D$302)</f>
        <v>91.719242996194055</v>
      </c>
      <c r="AF33" s="9"/>
      <c r="AG33" s="9"/>
      <c r="AH33" s="12">
        <f t="shared" si="2"/>
        <v>37.4</v>
      </c>
      <c r="AI33" s="12">
        <f t="shared" si="3"/>
        <v>41.199999999999996</v>
      </c>
      <c r="AJ33" s="12">
        <f t="shared" si="4"/>
        <v>45.800000000000004</v>
      </c>
      <c r="AK33" s="12">
        <f t="shared" si="5"/>
        <v>66.400000000000006</v>
      </c>
      <c r="AL33" s="12">
        <f t="shared" si="6"/>
        <v>77</v>
      </c>
    </row>
    <row r="34" spans="1:38" ht="15.75" customHeight="1" x14ac:dyDescent="0.25">
      <c r="A34" s="1" t="s">
        <v>132</v>
      </c>
      <c r="B34" s="7" t="s">
        <v>97</v>
      </c>
      <c r="C34" s="4" t="s">
        <v>8</v>
      </c>
      <c r="D34" s="4">
        <v>33</v>
      </c>
      <c r="E34" s="4">
        <v>901</v>
      </c>
      <c r="F34" s="4">
        <v>33</v>
      </c>
      <c r="G34" s="4">
        <v>24</v>
      </c>
      <c r="H34" s="4">
        <v>27.3</v>
      </c>
      <c r="I34" s="4">
        <v>4.4000000000000004</v>
      </c>
      <c r="J34" s="4">
        <v>11.1</v>
      </c>
      <c r="K34" s="4">
        <v>0.39500000000000002</v>
      </c>
      <c r="L34" s="4">
        <v>0.7</v>
      </c>
      <c r="M34" s="4">
        <v>2.5</v>
      </c>
      <c r="N34" s="4">
        <v>0.27400000000000002</v>
      </c>
      <c r="O34" s="4">
        <v>3.7</v>
      </c>
      <c r="P34" s="4">
        <v>8.5</v>
      </c>
      <c r="Q34" s="4">
        <v>0.43099999999999999</v>
      </c>
      <c r="R34" s="4">
        <v>1.6</v>
      </c>
      <c r="S34" s="4">
        <v>2</v>
      </c>
      <c r="T34" s="4">
        <v>0.79100000000000004</v>
      </c>
      <c r="U34" s="4">
        <v>1.2</v>
      </c>
      <c r="V34" s="4">
        <v>3.9</v>
      </c>
      <c r="W34" s="4">
        <v>2.4</v>
      </c>
      <c r="X34" s="4">
        <v>1.3</v>
      </c>
      <c r="Y34" s="4">
        <v>0.2</v>
      </c>
      <c r="Z34" s="4">
        <v>1.8</v>
      </c>
      <c r="AA34" s="4">
        <v>1.7</v>
      </c>
      <c r="AB34" s="4">
        <v>11</v>
      </c>
      <c r="AC34" s="10">
        <f t="shared" si="0"/>
        <v>0.79825834542815666</v>
      </c>
      <c r="AD34" s="10">
        <f t="shared" si="1"/>
        <v>0.11764705882352942</v>
      </c>
      <c r="AE34" s="12">
        <f>100*(AC34/TOTAL_BASIC!$D$302)</f>
        <v>92.899859010397137</v>
      </c>
      <c r="AF34" s="9"/>
      <c r="AG34" s="9"/>
      <c r="AH34" s="12">
        <f t="shared" si="2"/>
        <v>35.099999999999994</v>
      </c>
      <c r="AI34" s="12">
        <f t="shared" si="3"/>
        <v>46.5</v>
      </c>
      <c r="AJ34" s="12">
        <f t="shared" si="4"/>
        <v>72.5</v>
      </c>
      <c r="AK34" s="12">
        <f t="shared" si="5"/>
        <v>68.7</v>
      </c>
      <c r="AL34" s="12">
        <f t="shared" si="6"/>
        <v>56.399999999999991</v>
      </c>
    </row>
    <row r="35" spans="1:38" ht="15.75" customHeight="1" x14ac:dyDescent="0.25">
      <c r="A35" s="1" t="s">
        <v>133</v>
      </c>
      <c r="B35" s="4" t="s">
        <v>97</v>
      </c>
      <c r="C35" s="4" t="s">
        <v>110</v>
      </c>
      <c r="D35" s="4">
        <v>34</v>
      </c>
      <c r="E35" s="4">
        <v>899</v>
      </c>
      <c r="F35" s="4">
        <v>34</v>
      </c>
      <c r="G35" s="4">
        <v>24</v>
      </c>
      <c r="H35" s="4">
        <v>26.4</v>
      </c>
      <c r="I35" s="4">
        <v>5</v>
      </c>
      <c r="J35" s="4">
        <v>11.7</v>
      </c>
      <c r="K35" s="4">
        <v>0.42599999999999999</v>
      </c>
      <c r="L35" s="4">
        <v>1.2</v>
      </c>
      <c r="M35" s="4">
        <v>3.8</v>
      </c>
      <c r="N35" s="4">
        <v>0.32600000000000001</v>
      </c>
      <c r="O35" s="4">
        <v>3.8</v>
      </c>
      <c r="P35" s="4">
        <v>7.9</v>
      </c>
      <c r="Q35" s="4">
        <v>0.47399999999999998</v>
      </c>
      <c r="R35" s="4">
        <v>3.1</v>
      </c>
      <c r="S35" s="4">
        <v>4.4000000000000004</v>
      </c>
      <c r="T35" s="4">
        <v>0.70699999999999996</v>
      </c>
      <c r="U35" s="4">
        <v>1.6</v>
      </c>
      <c r="V35" s="4">
        <v>4.7</v>
      </c>
      <c r="W35" s="4">
        <v>1.2</v>
      </c>
      <c r="X35" s="4">
        <v>0.9</v>
      </c>
      <c r="Y35" s="4">
        <v>0.7</v>
      </c>
      <c r="Z35" s="4">
        <v>1.8</v>
      </c>
      <c r="AA35" s="4">
        <v>2.8</v>
      </c>
      <c r="AB35" s="4">
        <v>14.4</v>
      </c>
      <c r="AC35" s="10">
        <f t="shared" si="0"/>
        <v>0.93288416688261211</v>
      </c>
      <c r="AD35" s="10">
        <f t="shared" si="1"/>
        <v>0.25</v>
      </c>
      <c r="AE35" s="12">
        <f>100*(AC35/TOTAL_BASIC!$D$302)</f>
        <v>108.56736803665061</v>
      </c>
      <c r="AF35" s="9"/>
      <c r="AG35" s="9"/>
      <c r="AH35" s="12">
        <f t="shared" si="2"/>
        <v>69.399999999999991</v>
      </c>
      <c r="AI35" s="12">
        <f t="shared" si="3"/>
        <v>80.100000000000009</v>
      </c>
      <c r="AJ35" s="12">
        <f t="shared" si="4"/>
        <v>84.7</v>
      </c>
      <c r="AK35" s="12">
        <f t="shared" si="5"/>
        <v>64.099999999999994</v>
      </c>
      <c r="AL35" s="12">
        <f t="shared" si="6"/>
        <v>27.400000000000002</v>
      </c>
    </row>
    <row r="36" spans="1:38" ht="15.75" customHeight="1" x14ac:dyDescent="0.25">
      <c r="A36" s="1" t="s">
        <v>134</v>
      </c>
      <c r="B36" s="7" t="s">
        <v>108</v>
      </c>
      <c r="C36" s="4" t="s">
        <v>110</v>
      </c>
      <c r="D36" s="4">
        <v>31</v>
      </c>
      <c r="E36" s="4">
        <v>889</v>
      </c>
      <c r="F36" s="4">
        <v>31</v>
      </c>
      <c r="G36" s="4">
        <v>31</v>
      </c>
      <c r="H36" s="4">
        <v>28.7</v>
      </c>
      <c r="I36" s="4">
        <v>6.7</v>
      </c>
      <c r="J36" s="4">
        <v>13.6</v>
      </c>
      <c r="K36" s="4">
        <v>0.49299999999999999</v>
      </c>
      <c r="L36" s="4">
        <v>0.3</v>
      </c>
      <c r="M36" s="4">
        <v>1.1000000000000001</v>
      </c>
      <c r="N36" s="4">
        <v>0.25700000000000001</v>
      </c>
      <c r="O36" s="4">
        <v>6.4</v>
      </c>
      <c r="P36" s="4">
        <v>12.5</v>
      </c>
      <c r="Q36" s="4">
        <v>0.51400000000000001</v>
      </c>
      <c r="R36" s="4">
        <v>4.2</v>
      </c>
      <c r="S36" s="4">
        <v>5.5</v>
      </c>
      <c r="T36" s="4">
        <v>0.76200000000000001</v>
      </c>
      <c r="U36" s="4">
        <v>1.4</v>
      </c>
      <c r="V36" s="4">
        <v>8.6999999999999993</v>
      </c>
      <c r="W36" s="4">
        <v>3.8</v>
      </c>
      <c r="X36" s="4">
        <v>1.3</v>
      </c>
      <c r="Y36" s="4">
        <v>1.8</v>
      </c>
      <c r="Z36" s="4">
        <v>2.2999999999999998</v>
      </c>
      <c r="AA36" s="4">
        <v>1.4</v>
      </c>
      <c r="AB36" s="4">
        <v>17.899999999999999</v>
      </c>
      <c r="AC36" s="10">
        <f t="shared" si="0"/>
        <v>0.97707423580786013</v>
      </c>
      <c r="AD36" s="10">
        <f t="shared" si="1"/>
        <v>1.2857142857142858</v>
      </c>
      <c r="AE36" s="12">
        <f>100*(AC36/TOTAL_BASIC!$D$302)</f>
        <v>113.71012814223191</v>
      </c>
      <c r="AF36" s="9"/>
      <c r="AG36" s="9"/>
      <c r="AH36" s="12">
        <f t="shared" si="2"/>
        <v>100</v>
      </c>
      <c r="AI36" s="12">
        <f t="shared" si="3"/>
        <v>87.7</v>
      </c>
      <c r="AJ36" s="12">
        <f t="shared" si="4"/>
        <v>96.1</v>
      </c>
      <c r="AK36" s="12">
        <f t="shared" si="5"/>
        <v>74</v>
      </c>
      <c r="AL36" s="12">
        <f t="shared" si="6"/>
        <v>48</v>
      </c>
    </row>
    <row r="37" spans="1:38" ht="15.75" customHeight="1" x14ac:dyDescent="0.25">
      <c r="A37" s="1" t="s">
        <v>135</v>
      </c>
      <c r="B37" s="7" t="s">
        <v>122</v>
      </c>
      <c r="C37" s="4" t="s">
        <v>8</v>
      </c>
      <c r="D37" s="4">
        <v>34</v>
      </c>
      <c r="E37" s="4">
        <v>888</v>
      </c>
      <c r="F37" s="4">
        <v>34</v>
      </c>
      <c r="G37" s="4">
        <v>31</v>
      </c>
      <c r="H37" s="4">
        <v>26.1</v>
      </c>
      <c r="I37" s="4">
        <v>2.1</v>
      </c>
      <c r="J37" s="4">
        <v>5.0999999999999996</v>
      </c>
      <c r="K37" s="4">
        <v>0.40699999999999997</v>
      </c>
      <c r="L37" s="4">
        <v>0.1</v>
      </c>
      <c r="M37" s="4">
        <v>0.8</v>
      </c>
      <c r="N37" s="4">
        <v>0.154</v>
      </c>
      <c r="O37" s="4">
        <v>1.9</v>
      </c>
      <c r="P37" s="4">
        <v>4.3</v>
      </c>
      <c r="Q37" s="4">
        <v>0.45200000000000001</v>
      </c>
      <c r="R37" s="4">
        <v>0.9</v>
      </c>
      <c r="S37" s="4">
        <v>1.2</v>
      </c>
      <c r="T37" s="4">
        <v>0.73199999999999998</v>
      </c>
      <c r="U37" s="4">
        <v>1.1000000000000001</v>
      </c>
      <c r="V37" s="4">
        <v>3.7</v>
      </c>
      <c r="W37" s="4">
        <v>1.5</v>
      </c>
      <c r="X37" s="4">
        <v>1.1000000000000001</v>
      </c>
      <c r="Y37" s="4">
        <v>0.4</v>
      </c>
      <c r="Z37" s="4">
        <v>1.1000000000000001</v>
      </c>
      <c r="AA37" s="4">
        <v>1.6</v>
      </c>
      <c r="AB37" s="4">
        <v>5.0999999999999996</v>
      </c>
      <c r="AC37" s="10">
        <f t="shared" si="0"/>
        <v>0.75802615933412598</v>
      </c>
      <c r="AD37" s="10">
        <f t="shared" si="1"/>
        <v>0.25</v>
      </c>
      <c r="AE37" s="12">
        <f>100*(AC37/TOTAL_BASIC!$D$302)</f>
        <v>88.217710133130069</v>
      </c>
      <c r="AF37" s="9"/>
      <c r="AG37" s="9"/>
      <c r="AH37" s="12">
        <f t="shared" si="2"/>
        <v>69.399999999999991</v>
      </c>
      <c r="AI37" s="12">
        <f t="shared" si="3"/>
        <v>32</v>
      </c>
      <c r="AJ37" s="12">
        <f t="shared" si="4"/>
        <v>38.9</v>
      </c>
      <c r="AK37" s="12">
        <f t="shared" si="5"/>
        <v>63.3</v>
      </c>
      <c r="AL37" s="12">
        <f t="shared" si="6"/>
        <v>34.300000000000004</v>
      </c>
    </row>
    <row r="38" spans="1:38" ht="15.75" customHeight="1" x14ac:dyDescent="0.25">
      <c r="A38" s="1" t="s">
        <v>136</v>
      </c>
      <c r="B38" s="7" t="s">
        <v>104</v>
      </c>
      <c r="C38" s="4" t="s">
        <v>92</v>
      </c>
      <c r="D38" s="4">
        <v>32</v>
      </c>
      <c r="E38" s="4">
        <v>883</v>
      </c>
      <c r="F38" s="4">
        <v>32</v>
      </c>
      <c r="G38" s="4">
        <v>27</v>
      </c>
      <c r="H38" s="4">
        <v>27.6</v>
      </c>
      <c r="I38" s="4">
        <v>4.5999999999999996</v>
      </c>
      <c r="J38" s="4">
        <v>11.5</v>
      </c>
      <c r="K38" s="4">
        <v>0.40100000000000002</v>
      </c>
      <c r="L38" s="4">
        <v>0</v>
      </c>
      <c r="M38" s="4">
        <v>0.2</v>
      </c>
      <c r="N38" s="4">
        <v>0</v>
      </c>
      <c r="O38" s="4">
        <v>4.5999999999999996</v>
      </c>
      <c r="P38" s="4">
        <v>11.3</v>
      </c>
      <c r="Q38" s="4">
        <v>0.40799999999999997</v>
      </c>
      <c r="R38" s="4">
        <v>2.4</v>
      </c>
      <c r="S38" s="4">
        <v>3.3</v>
      </c>
      <c r="T38" s="4">
        <v>0.72</v>
      </c>
      <c r="U38" s="4">
        <v>2</v>
      </c>
      <c r="V38" s="4">
        <v>5.8</v>
      </c>
      <c r="W38" s="4">
        <v>2.5</v>
      </c>
      <c r="X38" s="4">
        <v>0.5</v>
      </c>
      <c r="Y38" s="4">
        <v>0.6</v>
      </c>
      <c r="Z38" s="4">
        <v>2.5</v>
      </c>
      <c r="AA38" s="4">
        <v>2.1</v>
      </c>
      <c r="AB38" s="4">
        <v>11.6</v>
      </c>
      <c r="AC38" s="10">
        <f t="shared" si="0"/>
        <v>0.7507118819570282</v>
      </c>
      <c r="AD38" s="10">
        <f t="shared" si="1"/>
        <v>0.2857142857142857</v>
      </c>
      <c r="AE38" s="12">
        <f>100*(AC38/TOTAL_BASIC!$D$302)</f>
        <v>87.36648779265974</v>
      </c>
      <c r="AF38" s="9"/>
      <c r="AG38" s="9"/>
      <c r="AH38" s="12">
        <f t="shared" si="2"/>
        <v>77.8</v>
      </c>
      <c r="AI38" s="12">
        <f t="shared" si="3"/>
        <v>29.7</v>
      </c>
      <c r="AJ38" s="12">
        <f t="shared" si="4"/>
        <v>74.8</v>
      </c>
      <c r="AK38" s="12">
        <f t="shared" si="5"/>
        <v>71.7</v>
      </c>
      <c r="AL38" s="12">
        <f t="shared" si="6"/>
        <v>31.2</v>
      </c>
    </row>
    <row r="39" spans="1:38" ht="15.75" customHeight="1" x14ac:dyDescent="0.25">
      <c r="A39" s="1" t="s">
        <v>137</v>
      </c>
      <c r="B39" s="7" t="s">
        <v>89</v>
      </c>
      <c r="C39" s="4" t="s">
        <v>92</v>
      </c>
      <c r="D39" s="4">
        <v>34</v>
      </c>
      <c r="E39" s="4">
        <v>881</v>
      </c>
      <c r="F39" s="4">
        <v>34</v>
      </c>
      <c r="G39" s="4">
        <v>34</v>
      </c>
      <c r="H39" s="4">
        <v>25.9</v>
      </c>
      <c r="I39" s="4">
        <v>3.6</v>
      </c>
      <c r="J39" s="4">
        <v>8.9</v>
      </c>
      <c r="K39" s="4">
        <v>0.40100000000000002</v>
      </c>
      <c r="L39" s="4">
        <v>0.6</v>
      </c>
      <c r="M39" s="4">
        <v>1.9</v>
      </c>
      <c r="N39" s="4">
        <v>0.34399999999999997</v>
      </c>
      <c r="O39" s="4">
        <v>2.9</v>
      </c>
      <c r="P39" s="4">
        <v>7</v>
      </c>
      <c r="Q39" s="4">
        <v>0.41599999999999998</v>
      </c>
      <c r="R39" s="4">
        <v>2.7</v>
      </c>
      <c r="S39" s="4">
        <v>3.3</v>
      </c>
      <c r="T39" s="4">
        <v>0.81399999999999995</v>
      </c>
      <c r="U39" s="4">
        <v>1</v>
      </c>
      <c r="V39" s="4">
        <v>5</v>
      </c>
      <c r="W39" s="4">
        <v>1.5</v>
      </c>
      <c r="X39" s="4">
        <v>1.1000000000000001</v>
      </c>
      <c r="Y39" s="4">
        <v>0.2</v>
      </c>
      <c r="Z39" s="4">
        <v>1.8</v>
      </c>
      <c r="AA39" s="4">
        <v>2.9</v>
      </c>
      <c r="AB39" s="4">
        <v>10.5</v>
      </c>
      <c r="AC39" s="10">
        <f t="shared" si="0"/>
        <v>0.86405529953917048</v>
      </c>
      <c r="AD39" s="10">
        <f t="shared" si="1"/>
        <v>6.8965517241379309E-2</v>
      </c>
      <c r="AE39" s="12">
        <f>100*(AC39/TOTAL_BASIC!$D$302)</f>
        <v>100.55718924093573</v>
      </c>
      <c r="AF39" s="9"/>
      <c r="AG39" s="9"/>
      <c r="AH39" s="12">
        <f t="shared" si="2"/>
        <v>13.700000000000001</v>
      </c>
      <c r="AI39" s="12">
        <f t="shared" si="3"/>
        <v>64.099999999999994</v>
      </c>
      <c r="AJ39" s="12">
        <f t="shared" si="4"/>
        <v>69.399999999999991</v>
      </c>
      <c r="AK39" s="12">
        <f t="shared" si="5"/>
        <v>61.8</v>
      </c>
      <c r="AL39" s="12">
        <f t="shared" si="6"/>
        <v>65.600000000000009</v>
      </c>
    </row>
    <row r="40" spans="1:38" ht="15.75" customHeight="1" x14ac:dyDescent="0.25">
      <c r="A40" s="1" t="s">
        <v>138</v>
      </c>
      <c r="B40" s="7" t="s">
        <v>108</v>
      </c>
      <c r="C40" s="4" t="s">
        <v>92</v>
      </c>
      <c r="D40" s="4">
        <v>34</v>
      </c>
      <c r="E40" s="4">
        <v>878</v>
      </c>
      <c r="F40" s="4">
        <v>34</v>
      </c>
      <c r="G40" s="4">
        <v>34</v>
      </c>
      <c r="H40" s="4">
        <v>25.8</v>
      </c>
      <c r="I40" s="4">
        <v>5.6</v>
      </c>
      <c r="J40" s="4">
        <v>10</v>
      </c>
      <c r="K40" s="4">
        <v>0.56599999999999995</v>
      </c>
      <c r="L40" s="4">
        <v>0.1</v>
      </c>
      <c r="M40" s="4">
        <v>0.1</v>
      </c>
      <c r="N40" s="4">
        <v>0.4</v>
      </c>
      <c r="O40" s="4">
        <v>5.6</v>
      </c>
      <c r="P40" s="4">
        <v>9.8000000000000007</v>
      </c>
      <c r="Q40" s="4">
        <v>0.56899999999999995</v>
      </c>
      <c r="R40" s="4">
        <v>3.2</v>
      </c>
      <c r="S40" s="4">
        <v>3.9</v>
      </c>
      <c r="T40" s="4">
        <v>0.82599999999999996</v>
      </c>
      <c r="U40" s="4">
        <v>2.8</v>
      </c>
      <c r="V40" s="4">
        <v>7.6</v>
      </c>
      <c r="W40" s="4">
        <v>1.3</v>
      </c>
      <c r="X40" s="4">
        <v>1.5</v>
      </c>
      <c r="Y40" s="4">
        <v>1</v>
      </c>
      <c r="Z40" s="4">
        <v>1.9</v>
      </c>
      <c r="AA40" s="4">
        <v>3</v>
      </c>
      <c r="AB40" s="4">
        <v>14.6</v>
      </c>
      <c r="AC40" s="10">
        <f t="shared" si="0"/>
        <v>1.0722679200940071</v>
      </c>
      <c r="AD40" s="10">
        <f t="shared" si="1"/>
        <v>0.33333333333333331</v>
      </c>
      <c r="AE40" s="12">
        <f>100*(AC40/TOTAL_BASIC!$D$302)</f>
        <v>124.78859653471706</v>
      </c>
      <c r="AF40" s="9"/>
      <c r="AG40" s="9"/>
      <c r="AH40" s="12">
        <f t="shared" si="2"/>
        <v>80.900000000000006</v>
      </c>
      <c r="AI40" s="12">
        <f t="shared" si="3"/>
        <v>98.4</v>
      </c>
      <c r="AJ40" s="12">
        <f t="shared" si="4"/>
        <v>86.2</v>
      </c>
      <c r="AK40" s="12">
        <f t="shared" si="5"/>
        <v>61</v>
      </c>
      <c r="AL40" s="12">
        <f t="shared" si="6"/>
        <v>70.899999999999991</v>
      </c>
    </row>
    <row r="41" spans="1:38" ht="15.75" customHeight="1" x14ac:dyDescent="0.25">
      <c r="A41" s="1" t="s">
        <v>139</v>
      </c>
      <c r="B41" s="7" t="s">
        <v>95</v>
      </c>
      <c r="C41" s="4" t="s">
        <v>8</v>
      </c>
      <c r="D41" s="4">
        <v>32</v>
      </c>
      <c r="E41" s="4">
        <v>877</v>
      </c>
      <c r="F41" s="4">
        <v>32</v>
      </c>
      <c r="G41" s="4">
        <v>32</v>
      </c>
      <c r="H41" s="4">
        <v>27.4</v>
      </c>
      <c r="I41" s="4">
        <v>3.6</v>
      </c>
      <c r="J41" s="4">
        <v>8.3000000000000007</v>
      </c>
      <c r="K41" s="4">
        <v>0.42899999999999999</v>
      </c>
      <c r="L41" s="4">
        <v>0.7</v>
      </c>
      <c r="M41" s="4">
        <v>1.8</v>
      </c>
      <c r="N41" s="4">
        <v>0.36799999999999999</v>
      </c>
      <c r="O41" s="4">
        <v>2.9</v>
      </c>
      <c r="P41" s="4">
        <v>6.5</v>
      </c>
      <c r="Q41" s="4">
        <v>0.44500000000000001</v>
      </c>
      <c r="R41" s="4">
        <v>2.4</v>
      </c>
      <c r="S41" s="4">
        <v>2.8</v>
      </c>
      <c r="T41" s="4">
        <v>0.875</v>
      </c>
      <c r="U41" s="4">
        <v>0.4</v>
      </c>
      <c r="V41" s="4">
        <v>2.6</v>
      </c>
      <c r="W41" s="4">
        <v>4</v>
      </c>
      <c r="X41" s="4">
        <v>0.9</v>
      </c>
      <c r="Y41" s="4">
        <v>0.1</v>
      </c>
      <c r="Z41" s="4">
        <v>2.7</v>
      </c>
      <c r="AA41" s="4">
        <v>2.1</v>
      </c>
      <c r="AB41" s="4">
        <v>10.199999999999999</v>
      </c>
      <c r="AC41" s="10">
        <f t="shared" si="0"/>
        <v>0.83387835186396342</v>
      </c>
      <c r="AD41" s="10">
        <f t="shared" si="1"/>
        <v>4.7619047619047616E-2</v>
      </c>
      <c r="AE41" s="12">
        <f>100*(AC41/TOTAL_BASIC!$D$302)</f>
        <v>97.045250780853365</v>
      </c>
      <c r="AF41" s="9"/>
      <c r="AG41" s="9"/>
      <c r="AH41" s="12">
        <f t="shared" si="2"/>
        <v>7.6</v>
      </c>
      <c r="AI41" s="12">
        <f t="shared" si="3"/>
        <v>55.7</v>
      </c>
      <c r="AJ41" s="12">
        <f t="shared" si="4"/>
        <v>68.7</v>
      </c>
      <c r="AK41" s="12">
        <f t="shared" si="5"/>
        <v>69.399999999999991</v>
      </c>
      <c r="AL41" s="12">
        <f t="shared" si="6"/>
        <v>87.7</v>
      </c>
    </row>
    <row r="42" spans="1:38" ht="15.75" customHeight="1" x14ac:dyDescent="0.25">
      <c r="A42" s="1" t="s">
        <v>140</v>
      </c>
      <c r="B42" s="7" t="s">
        <v>141</v>
      </c>
      <c r="C42" s="4" t="s">
        <v>8</v>
      </c>
      <c r="D42" s="4">
        <v>32</v>
      </c>
      <c r="E42" s="4">
        <v>876</v>
      </c>
      <c r="F42" s="4">
        <v>32</v>
      </c>
      <c r="G42" s="4">
        <v>31</v>
      </c>
      <c r="H42" s="4">
        <v>27.4</v>
      </c>
      <c r="I42" s="4">
        <v>3.2</v>
      </c>
      <c r="J42" s="4">
        <v>8.9</v>
      </c>
      <c r="K42" s="4">
        <v>0.36299999999999999</v>
      </c>
      <c r="L42" s="4">
        <v>1.8</v>
      </c>
      <c r="M42" s="4">
        <v>4.9000000000000004</v>
      </c>
      <c r="N42" s="4">
        <v>0.36299999999999999</v>
      </c>
      <c r="O42" s="4">
        <v>1.4</v>
      </c>
      <c r="P42" s="4">
        <v>4</v>
      </c>
      <c r="Q42" s="4">
        <v>0.36199999999999999</v>
      </c>
      <c r="R42" s="4">
        <v>1.9</v>
      </c>
      <c r="S42" s="4">
        <v>2.4</v>
      </c>
      <c r="T42" s="4">
        <v>0.79200000000000004</v>
      </c>
      <c r="U42" s="4">
        <v>0.8</v>
      </c>
      <c r="V42" s="4">
        <v>2.9</v>
      </c>
      <c r="W42" s="4">
        <v>2</v>
      </c>
      <c r="X42" s="4">
        <v>1.2</v>
      </c>
      <c r="Y42" s="4">
        <v>0.2</v>
      </c>
      <c r="Z42" s="4">
        <v>1.8</v>
      </c>
      <c r="AA42" s="4">
        <v>2.9</v>
      </c>
      <c r="AB42" s="4">
        <v>10.1</v>
      </c>
      <c r="AC42" s="10">
        <f t="shared" si="0"/>
        <v>0.85913576046274243</v>
      </c>
      <c r="AD42" s="10">
        <f t="shared" si="1"/>
        <v>6.8965517241379309E-2</v>
      </c>
      <c r="AE42" s="12">
        <f>100*(AC42/TOTAL_BASIC!$D$302)</f>
        <v>99.984662202272361</v>
      </c>
      <c r="AF42" s="9"/>
      <c r="AG42" s="9"/>
      <c r="AH42" s="12">
        <f t="shared" si="2"/>
        <v>13.700000000000001</v>
      </c>
      <c r="AI42" s="12">
        <f t="shared" si="3"/>
        <v>61.8</v>
      </c>
      <c r="AJ42" s="12">
        <f t="shared" si="4"/>
        <v>67.100000000000009</v>
      </c>
      <c r="AK42" s="12">
        <f t="shared" si="5"/>
        <v>69.399999999999991</v>
      </c>
      <c r="AL42" s="12">
        <f t="shared" si="6"/>
        <v>57.999999999999993</v>
      </c>
    </row>
    <row r="43" spans="1:38" ht="15.75" customHeight="1" x14ac:dyDescent="0.25">
      <c r="A43" s="1" t="s">
        <v>142</v>
      </c>
      <c r="B43" s="7" t="s">
        <v>141</v>
      </c>
      <c r="C43" s="4" t="s">
        <v>92</v>
      </c>
      <c r="D43" s="4">
        <v>29</v>
      </c>
      <c r="E43" s="4">
        <v>875</v>
      </c>
      <c r="F43" s="4">
        <v>29</v>
      </c>
      <c r="G43" s="4">
        <v>28</v>
      </c>
      <c r="H43" s="4">
        <v>30.2</v>
      </c>
      <c r="I43" s="4">
        <v>5.2</v>
      </c>
      <c r="J43" s="4">
        <v>11.8</v>
      </c>
      <c r="K43" s="4">
        <v>0.44600000000000001</v>
      </c>
      <c r="L43" s="4">
        <v>0</v>
      </c>
      <c r="M43" s="4">
        <v>0.1</v>
      </c>
      <c r="N43" s="4">
        <v>0.33300000000000002</v>
      </c>
      <c r="O43" s="4">
        <v>5.2</v>
      </c>
      <c r="P43" s="4">
        <v>11.7</v>
      </c>
      <c r="Q43" s="4">
        <v>0.44700000000000001</v>
      </c>
      <c r="R43" s="4">
        <v>4.5</v>
      </c>
      <c r="S43" s="4">
        <v>6</v>
      </c>
      <c r="T43" s="4">
        <v>0.747</v>
      </c>
      <c r="U43" s="4">
        <v>3.3</v>
      </c>
      <c r="V43" s="4">
        <v>8.9</v>
      </c>
      <c r="W43" s="4">
        <v>1.1000000000000001</v>
      </c>
      <c r="X43" s="4">
        <v>1</v>
      </c>
      <c r="Y43" s="4">
        <v>0.4</v>
      </c>
      <c r="Z43" s="4">
        <v>2.1</v>
      </c>
      <c r="AA43" s="4">
        <v>2.4</v>
      </c>
      <c r="AB43" s="4">
        <v>15</v>
      </c>
      <c r="AC43" s="10">
        <f t="shared" si="0"/>
        <v>0.90689238210399015</v>
      </c>
      <c r="AD43" s="10">
        <f t="shared" si="1"/>
        <v>0.16666666666666669</v>
      </c>
      <c r="AE43" s="12">
        <f>100*(AC43/TOTAL_BASIC!$D$302)</f>
        <v>105.54249124683459</v>
      </c>
      <c r="AF43" s="9"/>
      <c r="AG43" s="9"/>
      <c r="AH43" s="12">
        <f t="shared" si="2"/>
        <v>56.399999999999991</v>
      </c>
      <c r="AI43" s="12">
        <f t="shared" si="3"/>
        <v>70.899999999999991</v>
      </c>
      <c r="AJ43" s="12">
        <f t="shared" si="4"/>
        <v>88.5</v>
      </c>
      <c r="AK43" s="12">
        <f t="shared" si="5"/>
        <v>85.399999999999991</v>
      </c>
      <c r="AL43" s="12">
        <f t="shared" si="6"/>
        <v>40.400000000000006</v>
      </c>
    </row>
    <row r="44" spans="1:38" ht="15.75" customHeight="1" x14ac:dyDescent="0.25">
      <c r="A44" s="1" t="s">
        <v>143</v>
      </c>
      <c r="B44" s="7" t="s">
        <v>95</v>
      </c>
      <c r="C44" s="4" t="s">
        <v>8</v>
      </c>
      <c r="D44" s="4">
        <v>34</v>
      </c>
      <c r="E44" s="4">
        <v>870</v>
      </c>
      <c r="F44" s="4">
        <v>34</v>
      </c>
      <c r="G44" s="4">
        <v>15</v>
      </c>
      <c r="H44" s="4">
        <v>25.6</v>
      </c>
      <c r="I44" s="4">
        <v>2.1</v>
      </c>
      <c r="J44" s="4">
        <v>5.8</v>
      </c>
      <c r="K44" s="4">
        <v>0.35399999999999998</v>
      </c>
      <c r="L44" s="4">
        <v>0.4</v>
      </c>
      <c r="M44" s="4">
        <v>1.6</v>
      </c>
      <c r="N44" s="4">
        <v>0.23200000000000001</v>
      </c>
      <c r="O44" s="4">
        <v>1.7</v>
      </c>
      <c r="P44" s="4">
        <v>4.2</v>
      </c>
      <c r="Q44" s="4">
        <v>0.40100000000000002</v>
      </c>
      <c r="R44" s="4">
        <v>0.9</v>
      </c>
      <c r="S44" s="4">
        <v>1.1000000000000001</v>
      </c>
      <c r="T44" s="4">
        <v>0.84199999999999997</v>
      </c>
      <c r="U44" s="4">
        <v>0.6</v>
      </c>
      <c r="V44" s="4">
        <v>4.9000000000000004</v>
      </c>
      <c r="W44" s="4">
        <v>1.6</v>
      </c>
      <c r="X44" s="4">
        <v>0.8</v>
      </c>
      <c r="Y44" s="4">
        <v>0.2</v>
      </c>
      <c r="Z44" s="4">
        <v>1.2</v>
      </c>
      <c r="AA44" s="4">
        <v>1.1000000000000001</v>
      </c>
      <c r="AB44" s="4">
        <v>5.4</v>
      </c>
      <c r="AC44" s="10">
        <f t="shared" si="0"/>
        <v>0.72153928380545163</v>
      </c>
      <c r="AD44" s="10">
        <f t="shared" si="1"/>
        <v>0.18181818181818182</v>
      </c>
      <c r="AE44" s="12">
        <f>100*(AC44/TOTAL_BASIC!$D$302)</f>
        <v>83.971433709266705</v>
      </c>
      <c r="AF44" s="9"/>
      <c r="AG44" s="9"/>
      <c r="AH44" s="12">
        <f t="shared" si="2"/>
        <v>59.5</v>
      </c>
      <c r="AI44" s="12">
        <f t="shared" si="3"/>
        <v>22.900000000000002</v>
      </c>
      <c r="AJ44" s="12">
        <f t="shared" si="4"/>
        <v>41.199999999999996</v>
      </c>
      <c r="AK44" s="12">
        <f t="shared" si="5"/>
        <v>60.3</v>
      </c>
      <c r="AL44" s="12">
        <f t="shared" si="6"/>
        <v>74</v>
      </c>
    </row>
    <row r="45" spans="1:38" ht="15.75" customHeight="1" x14ac:dyDescent="0.25">
      <c r="A45" s="1" t="s">
        <v>144</v>
      </c>
      <c r="B45" s="7" t="s">
        <v>122</v>
      </c>
      <c r="C45" s="4" t="s">
        <v>92</v>
      </c>
      <c r="D45" s="4">
        <v>34</v>
      </c>
      <c r="E45" s="4">
        <v>864</v>
      </c>
      <c r="F45" s="4">
        <v>34</v>
      </c>
      <c r="G45" s="4">
        <v>34</v>
      </c>
      <c r="H45" s="4">
        <v>25.4</v>
      </c>
      <c r="I45" s="4">
        <v>3.2</v>
      </c>
      <c r="J45" s="4">
        <v>7.2</v>
      </c>
      <c r="K45" s="4">
        <v>0.443</v>
      </c>
      <c r="L45" s="4">
        <v>0.4</v>
      </c>
      <c r="M45" s="4">
        <v>1.1000000000000001</v>
      </c>
      <c r="N45" s="4">
        <v>0.308</v>
      </c>
      <c r="O45" s="4">
        <v>2.9</v>
      </c>
      <c r="P45" s="4">
        <v>6.1</v>
      </c>
      <c r="Q45" s="4">
        <v>0.46899999999999997</v>
      </c>
      <c r="R45" s="4">
        <v>1.9</v>
      </c>
      <c r="S45" s="4">
        <v>2.6</v>
      </c>
      <c r="T45" s="4">
        <v>0.73299999999999998</v>
      </c>
      <c r="U45" s="4">
        <v>1.8</v>
      </c>
      <c r="V45" s="4">
        <v>5</v>
      </c>
      <c r="W45" s="4">
        <v>0.9</v>
      </c>
      <c r="X45" s="4">
        <v>1.2</v>
      </c>
      <c r="Y45" s="4">
        <v>0.7</v>
      </c>
      <c r="Z45" s="4">
        <v>1</v>
      </c>
      <c r="AA45" s="4">
        <v>2.7</v>
      </c>
      <c r="AB45" s="4">
        <v>8.6999999999999993</v>
      </c>
      <c r="AC45" s="10">
        <f t="shared" si="0"/>
        <v>0.93107876712328752</v>
      </c>
      <c r="AD45" s="10">
        <f t="shared" si="1"/>
        <v>0.25925925925925924</v>
      </c>
      <c r="AE45" s="12">
        <f>100*(AC45/TOTAL_BASIC!$D$302)</f>
        <v>108.35725888582337</v>
      </c>
      <c r="AF45" s="9"/>
      <c r="AG45" s="9"/>
      <c r="AH45" s="12">
        <f t="shared" si="2"/>
        <v>71.7</v>
      </c>
      <c r="AI45" s="12">
        <f t="shared" si="3"/>
        <v>79.3</v>
      </c>
      <c r="AJ45" s="12">
        <f t="shared" si="4"/>
        <v>60.3</v>
      </c>
      <c r="AK45" s="12">
        <f t="shared" si="5"/>
        <v>59.5</v>
      </c>
      <c r="AL45" s="12">
        <f t="shared" si="6"/>
        <v>35.099999999999994</v>
      </c>
    </row>
    <row r="46" spans="1:38" ht="15.75" customHeight="1" x14ac:dyDescent="0.25">
      <c r="A46" s="1" t="s">
        <v>145</v>
      </c>
      <c r="B46" s="7" t="s">
        <v>141</v>
      </c>
      <c r="C46" s="4" t="s">
        <v>8</v>
      </c>
      <c r="D46" s="4">
        <v>32</v>
      </c>
      <c r="E46" s="4">
        <v>845</v>
      </c>
      <c r="F46" s="4">
        <v>32</v>
      </c>
      <c r="G46" s="4">
        <v>21</v>
      </c>
      <c r="H46" s="4">
        <v>26.4</v>
      </c>
      <c r="I46" s="4">
        <v>2.8</v>
      </c>
      <c r="J46" s="4">
        <v>8.5</v>
      </c>
      <c r="K46" s="4">
        <v>0.32800000000000001</v>
      </c>
      <c r="L46" s="4">
        <v>0.6</v>
      </c>
      <c r="M46" s="4">
        <v>2.4</v>
      </c>
      <c r="N46" s="4">
        <v>0.24399999999999999</v>
      </c>
      <c r="O46" s="4">
        <v>2.2000000000000002</v>
      </c>
      <c r="P46" s="4">
        <v>6</v>
      </c>
      <c r="Q46" s="4">
        <v>0.36299999999999999</v>
      </c>
      <c r="R46" s="4">
        <v>2.2999999999999998</v>
      </c>
      <c r="S46" s="4">
        <v>2.8</v>
      </c>
      <c r="T46" s="4">
        <v>0.83299999999999996</v>
      </c>
      <c r="U46" s="4">
        <v>0.5</v>
      </c>
      <c r="V46" s="4">
        <v>1.9</v>
      </c>
      <c r="W46" s="4">
        <v>3.8</v>
      </c>
      <c r="X46" s="4">
        <v>1.3</v>
      </c>
      <c r="Y46" s="4">
        <v>0.3</v>
      </c>
      <c r="Z46" s="4">
        <v>2.9</v>
      </c>
      <c r="AA46" s="4">
        <v>2</v>
      </c>
      <c r="AB46" s="4">
        <v>8.5</v>
      </c>
      <c r="AC46" s="10">
        <f t="shared" si="0"/>
        <v>0.67289423685877137</v>
      </c>
      <c r="AD46" s="10">
        <f t="shared" si="1"/>
        <v>0.15</v>
      </c>
      <c r="AE46" s="12">
        <f>100*(AC46/TOTAL_BASIC!$D$302)</f>
        <v>78.310211338360133</v>
      </c>
      <c r="AF46" s="9"/>
      <c r="AG46" s="9"/>
      <c r="AH46" s="12">
        <f t="shared" si="2"/>
        <v>48</v>
      </c>
      <c r="AI46" s="12">
        <f t="shared" si="3"/>
        <v>11.4</v>
      </c>
      <c r="AJ46" s="12">
        <f t="shared" si="4"/>
        <v>57.999999999999993</v>
      </c>
      <c r="AK46" s="12">
        <f t="shared" si="5"/>
        <v>64.099999999999994</v>
      </c>
      <c r="AL46" s="12">
        <f t="shared" si="6"/>
        <v>72.5</v>
      </c>
    </row>
    <row r="47" spans="1:38" ht="15.75" customHeight="1" x14ac:dyDescent="0.25">
      <c r="A47" s="1" t="s">
        <v>146</v>
      </c>
      <c r="B47" s="7" t="s">
        <v>99</v>
      </c>
      <c r="C47" s="4" t="s">
        <v>8</v>
      </c>
      <c r="D47" s="4">
        <v>28</v>
      </c>
      <c r="E47" s="4">
        <v>838</v>
      </c>
      <c r="F47" s="4">
        <v>28</v>
      </c>
      <c r="G47" s="4">
        <v>26</v>
      </c>
      <c r="H47" s="4">
        <v>29.9</v>
      </c>
      <c r="I47" s="4">
        <v>2.8</v>
      </c>
      <c r="J47" s="4">
        <v>6</v>
      </c>
      <c r="K47" s="4">
        <v>0.46700000000000003</v>
      </c>
      <c r="L47" s="4">
        <v>0</v>
      </c>
      <c r="M47" s="4">
        <v>0</v>
      </c>
      <c r="N47" s="4">
        <v>0</v>
      </c>
      <c r="O47" s="4">
        <v>2.8</v>
      </c>
      <c r="P47" s="4">
        <v>6</v>
      </c>
      <c r="Q47" s="4">
        <v>0.46700000000000003</v>
      </c>
      <c r="R47" s="4">
        <v>1.4</v>
      </c>
      <c r="S47" s="4">
        <v>2.4</v>
      </c>
      <c r="T47" s="4">
        <v>0.59099999999999997</v>
      </c>
      <c r="U47" s="4">
        <v>1.5</v>
      </c>
      <c r="V47" s="4">
        <v>3.4</v>
      </c>
      <c r="W47" s="4">
        <v>2.4</v>
      </c>
      <c r="X47" s="4">
        <v>2.2999999999999998</v>
      </c>
      <c r="Y47" s="4">
        <v>0.1</v>
      </c>
      <c r="Z47" s="4">
        <v>1.9</v>
      </c>
      <c r="AA47" s="4">
        <v>2</v>
      </c>
      <c r="AB47" s="4">
        <v>7</v>
      </c>
      <c r="AC47" s="10">
        <f t="shared" si="0"/>
        <v>0.78159892809289866</v>
      </c>
      <c r="AD47" s="10">
        <f t="shared" si="1"/>
        <v>0.05</v>
      </c>
      <c r="AE47" s="12">
        <f>100*(AC47/TOTAL_BASIC!$D$302)</f>
        <v>90.961066224196159</v>
      </c>
      <c r="AF47" s="9"/>
      <c r="AG47" s="9"/>
      <c r="AH47" s="12">
        <f t="shared" si="2"/>
        <v>8.3000000000000007</v>
      </c>
      <c r="AI47" s="12">
        <f t="shared" si="3"/>
        <v>37.4</v>
      </c>
      <c r="AJ47" s="12">
        <f t="shared" si="4"/>
        <v>51.9</v>
      </c>
      <c r="AK47" s="12">
        <f t="shared" si="5"/>
        <v>80.100000000000009</v>
      </c>
      <c r="AL47" s="12">
        <f t="shared" si="6"/>
        <v>5.3</v>
      </c>
    </row>
    <row r="48" spans="1:38" ht="15.75" customHeight="1" x14ac:dyDescent="0.25">
      <c r="A48" s="1" t="s">
        <v>147</v>
      </c>
      <c r="B48" s="7" t="s">
        <v>97</v>
      </c>
      <c r="C48" s="4" t="s">
        <v>8</v>
      </c>
      <c r="D48" s="4">
        <v>25</v>
      </c>
      <c r="E48" s="4">
        <v>812</v>
      </c>
      <c r="F48" s="4">
        <v>25</v>
      </c>
      <c r="G48" s="4">
        <v>25</v>
      </c>
      <c r="H48" s="4">
        <v>32.5</v>
      </c>
      <c r="I48" s="4">
        <v>4.5999999999999996</v>
      </c>
      <c r="J48" s="4">
        <v>10.4</v>
      </c>
      <c r="K48" s="4">
        <v>0.44400000000000001</v>
      </c>
      <c r="L48" s="4">
        <v>0</v>
      </c>
      <c r="M48" s="4">
        <v>0.2</v>
      </c>
      <c r="N48" s="4">
        <v>0</v>
      </c>
      <c r="O48" s="4">
        <v>4.5999999999999996</v>
      </c>
      <c r="P48" s="4">
        <v>10.1</v>
      </c>
      <c r="Q48" s="4">
        <v>0.45500000000000002</v>
      </c>
      <c r="R48" s="4">
        <v>2</v>
      </c>
      <c r="S48" s="4">
        <v>2.6</v>
      </c>
      <c r="T48" s="4">
        <v>0.79700000000000004</v>
      </c>
      <c r="U48" s="4">
        <v>0.8</v>
      </c>
      <c r="V48" s="4">
        <v>3.1</v>
      </c>
      <c r="W48" s="4">
        <v>6.7</v>
      </c>
      <c r="X48" s="4">
        <v>1.4</v>
      </c>
      <c r="Y48" s="4">
        <v>0.2</v>
      </c>
      <c r="Z48" s="4">
        <v>2.6</v>
      </c>
      <c r="AA48" s="4">
        <v>2</v>
      </c>
      <c r="AB48" s="4">
        <v>11.2</v>
      </c>
      <c r="AC48" s="10">
        <f t="shared" si="0"/>
        <v>0.79185520361990946</v>
      </c>
      <c r="AD48" s="10">
        <f t="shared" si="1"/>
        <v>0.1</v>
      </c>
      <c r="AE48" s="12">
        <f>100*(AC48/TOTAL_BASIC!$D$302)</f>
        <v>92.154672975554377</v>
      </c>
      <c r="AF48" s="9"/>
      <c r="AG48" s="9"/>
      <c r="AH48" s="12">
        <f t="shared" si="2"/>
        <v>25.1</v>
      </c>
      <c r="AI48" s="12">
        <f t="shared" si="3"/>
        <v>43.5</v>
      </c>
      <c r="AJ48" s="12">
        <f t="shared" si="4"/>
        <v>73.2</v>
      </c>
      <c r="AK48" s="12">
        <f t="shared" si="5"/>
        <v>96.1</v>
      </c>
      <c r="AL48" s="12">
        <f t="shared" si="6"/>
        <v>59.5</v>
      </c>
    </row>
    <row r="49" spans="1:38" ht="15.75" customHeight="1" x14ac:dyDescent="0.25">
      <c r="A49" s="1" t="s">
        <v>148</v>
      </c>
      <c r="B49" s="7" t="s">
        <v>95</v>
      </c>
      <c r="C49" s="4" t="s">
        <v>92</v>
      </c>
      <c r="D49" s="4">
        <v>34</v>
      </c>
      <c r="E49" s="4">
        <v>797</v>
      </c>
      <c r="F49" s="4">
        <v>34</v>
      </c>
      <c r="G49" s="4">
        <v>21</v>
      </c>
      <c r="H49" s="4">
        <v>23.4</v>
      </c>
      <c r="I49" s="4">
        <v>3.9</v>
      </c>
      <c r="J49" s="4">
        <v>9.4</v>
      </c>
      <c r="K49" s="4">
        <v>0.41099999999999998</v>
      </c>
      <c r="L49" s="4">
        <v>1.6</v>
      </c>
      <c r="M49" s="4">
        <v>4.5999999999999996</v>
      </c>
      <c r="N49" s="4">
        <v>0.34399999999999997</v>
      </c>
      <c r="O49" s="4">
        <v>2.2999999999999998</v>
      </c>
      <c r="P49" s="4">
        <v>4.8</v>
      </c>
      <c r="Q49" s="4">
        <v>0.47499999999999998</v>
      </c>
      <c r="R49" s="4">
        <v>0.7</v>
      </c>
      <c r="S49" s="4">
        <v>1.1000000000000001</v>
      </c>
      <c r="T49" s="4">
        <v>0.64100000000000001</v>
      </c>
      <c r="U49" s="4">
        <v>0.8</v>
      </c>
      <c r="V49" s="4">
        <v>2.8</v>
      </c>
      <c r="W49" s="4">
        <v>0.8</v>
      </c>
      <c r="X49" s="4">
        <v>0.7</v>
      </c>
      <c r="Y49" s="4">
        <v>0.4</v>
      </c>
      <c r="Z49" s="4">
        <v>1.2</v>
      </c>
      <c r="AA49" s="4">
        <v>1.6</v>
      </c>
      <c r="AB49" s="4">
        <v>10</v>
      </c>
      <c r="AC49" s="10">
        <f t="shared" si="0"/>
        <v>0.90220137134608447</v>
      </c>
      <c r="AD49" s="10">
        <f t="shared" si="1"/>
        <v>0.25</v>
      </c>
      <c r="AE49" s="12">
        <f>100*(AC49/TOTAL_BASIC!$D$302)</f>
        <v>104.9965599195624</v>
      </c>
      <c r="AF49" s="9"/>
      <c r="AG49" s="9"/>
      <c r="AH49" s="12">
        <f t="shared" si="2"/>
        <v>69.399999999999991</v>
      </c>
      <c r="AI49" s="12">
        <f t="shared" si="3"/>
        <v>69.399999999999991</v>
      </c>
      <c r="AJ49" s="12">
        <f t="shared" si="4"/>
        <v>66.400000000000006</v>
      </c>
      <c r="AK49" s="12">
        <f t="shared" si="5"/>
        <v>56.399999999999991</v>
      </c>
      <c r="AL49" s="12">
        <f t="shared" si="6"/>
        <v>13.700000000000001</v>
      </c>
    </row>
    <row r="50" spans="1:38" ht="15.75" customHeight="1" x14ac:dyDescent="0.25">
      <c r="A50" s="1" t="s">
        <v>149</v>
      </c>
      <c r="B50" s="7" t="s">
        <v>104</v>
      </c>
      <c r="C50" s="4" t="s">
        <v>87</v>
      </c>
      <c r="D50" s="4">
        <v>34</v>
      </c>
      <c r="E50" s="4">
        <v>782</v>
      </c>
      <c r="F50" s="4">
        <v>34</v>
      </c>
      <c r="G50" s="4">
        <v>0</v>
      </c>
      <c r="H50" s="4">
        <v>23</v>
      </c>
      <c r="I50" s="4">
        <v>2.5</v>
      </c>
      <c r="J50" s="4">
        <v>6.6</v>
      </c>
      <c r="K50" s="4">
        <v>0.38400000000000001</v>
      </c>
      <c r="L50" s="4">
        <v>0.4</v>
      </c>
      <c r="M50" s="4">
        <v>1.3</v>
      </c>
      <c r="N50" s="4">
        <v>0.30199999999999999</v>
      </c>
      <c r="O50" s="4">
        <v>2.1</v>
      </c>
      <c r="P50" s="4">
        <v>5.3</v>
      </c>
      <c r="Q50" s="4">
        <v>0.40300000000000002</v>
      </c>
      <c r="R50" s="4">
        <v>0.6</v>
      </c>
      <c r="S50" s="4">
        <v>0.8</v>
      </c>
      <c r="T50" s="4">
        <v>0.84599999999999997</v>
      </c>
      <c r="U50" s="4">
        <v>1.1000000000000001</v>
      </c>
      <c r="V50" s="4">
        <v>5.2</v>
      </c>
      <c r="W50" s="4">
        <v>1.7</v>
      </c>
      <c r="X50" s="4">
        <v>0.6</v>
      </c>
      <c r="Y50" s="4">
        <v>0.2</v>
      </c>
      <c r="Z50" s="4">
        <v>1.7</v>
      </c>
      <c r="AA50" s="4">
        <v>2.2000000000000002</v>
      </c>
      <c r="AB50" s="4">
        <v>6.1</v>
      </c>
      <c r="AC50" s="10">
        <f t="shared" si="0"/>
        <v>0.70503929727230696</v>
      </c>
      <c r="AD50" s="10">
        <f t="shared" si="1"/>
        <v>9.0909090909090912E-2</v>
      </c>
      <c r="AE50" s="12">
        <f>100*(AC50/TOTAL_BASIC!$D$302)</f>
        <v>82.051195190770002</v>
      </c>
      <c r="AF50" s="9"/>
      <c r="AG50" s="9"/>
      <c r="AH50" s="12">
        <f t="shared" si="2"/>
        <v>21.3</v>
      </c>
      <c r="AI50" s="12">
        <f t="shared" si="3"/>
        <v>18.3</v>
      </c>
      <c r="AJ50" s="12">
        <f t="shared" si="4"/>
        <v>45.800000000000004</v>
      </c>
      <c r="AK50" s="12">
        <f t="shared" si="5"/>
        <v>55.7</v>
      </c>
      <c r="AL50" s="12">
        <f t="shared" si="6"/>
        <v>75.5</v>
      </c>
    </row>
    <row r="51" spans="1:38" ht="15.75" customHeight="1" x14ac:dyDescent="0.25">
      <c r="A51" s="1" t="s">
        <v>150</v>
      </c>
      <c r="B51" s="7" t="s">
        <v>89</v>
      </c>
      <c r="C51" s="4" t="s">
        <v>8</v>
      </c>
      <c r="D51" s="4">
        <v>34</v>
      </c>
      <c r="E51" s="4">
        <v>772</v>
      </c>
      <c r="F51" s="4">
        <v>34</v>
      </c>
      <c r="G51" s="4">
        <v>27</v>
      </c>
      <c r="H51" s="4">
        <v>22.7</v>
      </c>
      <c r="I51" s="4">
        <v>2.8</v>
      </c>
      <c r="J51" s="4">
        <v>7.7</v>
      </c>
      <c r="K51" s="4">
        <v>0.36399999999999999</v>
      </c>
      <c r="L51" s="4">
        <v>0.6</v>
      </c>
      <c r="M51" s="4">
        <v>1.8</v>
      </c>
      <c r="N51" s="4">
        <v>0.30599999999999999</v>
      </c>
      <c r="O51" s="4">
        <v>2.2000000000000002</v>
      </c>
      <c r="P51" s="4">
        <v>5.9</v>
      </c>
      <c r="Q51" s="4">
        <v>0.38200000000000001</v>
      </c>
      <c r="R51" s="4">
        <v>2.8</v>
      </c>
      <c r="S51" s="4">
        <v>3.5</v>
      </c>
      <c r="T51" s="4">
        <v>0.79</v>
      </c>
      <c r="U51" s="4">
        <v>0.7</v>
      </c>
      <c r="V51" s="4">
        <v>1.7</v>
      </c>
      <c r="W51" s="4">
        <v>2.9</v>
      </c>
      <c r="X51" s="4">
        <v>0.9</v>
      </c>
      <c r="Y51" s="4">
        <v>0.1</v>
      </c>
      <c r="Z51" s="4">
        <v>2.2000000000000002</v>
      </c>
      <c r="AA51" s="4">
        <v>2.2000000000000002</v>
      </c>
      <c r="AB51" s="4">
        <v>8.9</v>
      </c>
      <c r="AC51" s="10">
        <f t="shared" si="0"/>
        <v>0.77797202797202791</v>
      </c>
      <c r="AD51" s="10">
        <f t="shared" si="1"/>
        <v>4.5454545454545456E-2</v>
      </c>
      <c r="AE51" s="12">
        <f>100*(AC51/TOTAL_BASIC!$D$302)</f>
        <v>90.538974163645307</v>
      </c>
      <c r="AF51" s="9"/>
      <c r="AG51" s="9"/>
      <c r="AH51" s="12">
        <f t="shared" si="2"/>
        <v>6.8000000000000007</v>
      </c>
      <c r="AI51" s="12">
        <f t="shared" si="3"/>
        <v>35.099999999999994</v>
      </c>
      <c r="AJ51" s="12">
        <f t="shared" si="4"/>
        <v>62.5</v>
      </c>
      <c r="AK51" s="12">
        <f t="shared" si="5"/>
        <v>54.1</v>
      </c>
      <c r="AL51" s="12">
        <f t="shared" si="6"/>
        <v>55.7</v>
      </c>
    </row>
    <row r="52" spans="1:38" ht="15.75" customHeight="1" x14ac:dyDescent="0.25">
      <c r="A52" s="1" t="s">
        <v>151</v>
      </c>
      <c r="B52" s="7" t="s">
        <v>97</v>
      </c>
      <c r="C52" s="4" t="s">
        <v>115</v>
      </c>
      <c r="D52" s="4">
        <v>29</v>
      </c>
      <c r="E52" s="4">
        <v>768</v>
      </c>
      <c r="F52" s="4">
        <v>29</v>
      </c>
      <c r="G52" s="4">
        <v>29</v>
      </c>
      <c r="H52" s="4">
        <v>26.5</v>
      </c>
      <c r="I52" s="4">
        <v>2.4</v>
      </c>
      <c r="J52" s="4">
        <v>4.2</v>
      </c>
      <c r="K52" s="4">
        <v>0.57899999999999996</v>
      </c>
      <c r="L52" s="4">
        <v>0</v>
      </c>
      <c r="M52" s="4">
        <v>0.1</v>
      </c>
      <c r="N52" s="4">
        <v>0.33300000000000002</v>
      </c>
      <c r="O52" s="4">
        <v>2.4</v>
      </c>
      <c r="P52" s="4">
        <v>4.0999999999999996</v>
      </c>
      <c r="Q52" s="4">
        <v>0.58499999999999996</v>
      </c>
      <c r="R52" s="4">
        <v>1</v>
      </c>
      <c r="S52" s="4">
        <v>1.7</v>
      </c>
      <c r="T52" s="4">
        <v>0.59199999999999997</v>
      </c>
      <c r="U52" s="4">
        <v>2.6</v>
      </c>
      <c r="V52" s="4">
        <v>8.9</v>
      </c>
      <c r="W52" s="4">
        <v>2</v>
      </c>
      <c r="X52" s="4">
        <v>0.9</v>
      </c>
      <c r="Y52" s="4">
        <v>1.3</v>
      </c>
      <c r="Z52" s="4">
        <v>1.5</v>
      </c>
      <c r="AA52" s="4">
        <v>2.9</v>
      </c>
      <c r="AB52" s="4">
        <v>5.9</v>
      </c>
      <c r="AC52" s="10">
        <f t="shared" si="0"/>
        <v>0.91501240694789077</v>
      </c>
      <c r="AD52" s="10">
        <f t="shared" si="1"/>
        <v>0.44827586206896552</v>
      </c>
      <c r="AE52" s="12">
        <f>100*(AC52/TOTAL_BASIC!$D$302)</f>
        <v>106.48748501668324</v>
      </c>
      <c r="AF52" s="9"/>
      <c r="AG52" s="9"/>
      <c r="AH52" s="12">
        <f t="shared" si="2"/>
        <v>89.3</v>
      </c>
      <c r="AI52" s="12">
        <f t="shared" si="3"/>
        <v>71.7</v>
      </c>
      <c r="AJ52" s="12">
        <f t="shared" si="4"/>
        <v>42.699999999999996</v>
      </c>
      <c r="AK52" s="12">
        <f t="shared" si="5"/>
        <v>65.600000000000009</v>
      </c>
      <c r="AL52" s="12">
        <f t="shared" si="6"/>
        <v>6.1</v>
      </c>
    </row>
    <row r="53" spans="1:38" ht="15.75" customHeight="1" x14ac:dyDescent="0.25">
      <c r="A53" s="1" t="s">
        <v>152</v>
      </c>
      <c r="B53" s="7" t="s">
        <v>86</v>
      </c>
      <c r="C53" s="4" t="s">
        <v>8</v>
      </c>
      <c r="D53" s="4">
        <v>34</v>
      </c>
      <c r="E53" s="4">
        <v>763</v>
      </c>
      <c r="F53" s="4">
        <v>34</v>
      </c>
      <c r="G53" s="4">
        <v>30</v>
      </c>
      <c r="H53" s="4">
        <v>22.4</v>
      </c>
      <c r="I53" s="4">
        <v>1.8</v>
      </c>
      <c r="J53" s="4">
        <v>4.5</v>
      </c>
      <c r="K53" s="4">
        <v>0.39500000000000002</v>
      </c>
      <c r="L53" s="4">
        <v>0.4</v>
      </c>
      <c r="M53" s="4">
        <v>1.5</v>
      </c>
      <c r="N53" s="4">
        <v>0.255</v>
      </c>
      <c r="O53" s="4">
        <v>1.4</v>
      </c>
      <c r="P53" s="4">
        <v>3</v>
      </c>
      <c r="Q53" s="4">
        <v>0.46500000000000002</v>
      </c>
      <c r="R53" s="4">
        <v>0.4</v>
      </c>
      <c r="S53" s="4">
        <v>0.7</v>
      </c>
      <c r="T53" s="4">
        <v>0.625</v>
      </c>
      <c r="U53" s="4">
        <v>0.8</v>
      </c>
      <c r="V53" s="4">
        <v>3.2</v>
      </c>
      <c r="W53" s="4">
        <v>1.5</v>
      </c>
      <c r="X53" s="4">
        <v>0.7</v>
      </c>
      <c r="Y53" s="4">
        <v>0.4</v>
      </c>
      <c r="Z53" s="4">
        <v>0.7</v>
      </c>
      <c r="AA53" s="4">
        <v>1.8</v>
      </c>
      <c r="AB53" s="4">
        <v>4.4000000000000004</v>
      </c>
      <c r="AC53" s="10">
        <f t="shared" si="0"/>
        <v>0.7988380537400146</v>
      </c>
      <c r="AD53" s="10">
        <f t="shared" si="1"/>
        <v>0.22222222222222224</v>
      </c>
      <c r="AE53" s="12">
        <f>100*(AC53/TOTAL_BASIC!$D$302)</f>
        <v>92.967324412728587</v>
      </c>
      <c r="AF53" s="9"/>
      <c r="AG53" s="9"/>
      <c r="AH53" s="12">
        <f t="shared" si="2"/>
        <v>64.8</v>
      </c>
      <c r="AI53" s="12">
        <f t="shared" si="3"/>
        <v>47.3</v>
      </c>
      <c r="AJ53" s="12">
        <f t="shared" si="4"/>
        <v>32</v>
      </c>
      <c r="AK53" s="12">
        <f t="shared" si="5"/>
        <v>51.9</v>
      </c>
      <c r="AL53" s="12">
        <f t="shared" si="6"/>
        <v>9.1</v>
      </c>
    </row>
    <row r="54" spans="1:38" ht="15.75" customHeight="1" x14ac:dyDescent="0.25">
      <c r="A54" s="1" t="s">
        <v>153</v>
      </c>
      <c r="B54" s="7" t="s">
        <v>99</v>
      </c>
      <c r="C54" s="4" t="s">
        <v>92</v>
      </c>
      <c r="D54" s="4">
        <v>34</v>
      </c>
      <c r="E54" s="4">
        <v>755</v>
      </c>
      <c r="F54" s="4">
        <v>34</v>
      </c>
      <c r="G54" s="4">
        <v>28</v>
      </c>
      <c r="H54" s="4">
        <v>22.2</v>
      </c>
      <c r="I54" s="4">
        <v>1.6</v>
      </c>
      <c r="J54" s="4">
        <v>3.9</v>
      </c>
      <c r="K54" s="4">
        <v>0.42399999999999999</v>
      </c>
      <c r="L54" s="4">
        <v>0.4</v>
      </c>
      <c r="M54" s="4">
        <v>1.4</v>
      </c>
      <c r="N54" s="4">
        <v>0.30399999999999999</v>
      </c>
      <c r="O54" s="4">
        <v>1.2</v>
      </c>
      <c r="P54" s="4">
        <v>2.5</v>
      </c>
      <c r="Q54" s="4">
        <v>0.48799999999999999</v>
      </c>
      <c r="R54" s="4">
        <v>0.4</v>
      </c>
      <c r="S54" s="4">
        <v>0.6</v>
      </c>
      <c r="T54" s="4">
        <v>0.71399999999999997</v>
      </c>
      <c r="U54" s="4">
        <v>1.3</v>
      </c>
      <c r="V54" s="4">
        <v>4.2</v>
      </c>
      <c r="W54" s="4">
        <v>0.8</v>
      </c>
      <c r="X54" s="4">
        <v>0.8</v>
      </c>
      <c r="Y54" s="4">
        <v>0.3</v>
      </c>
      <c r="Z54" s="4">
        <v>1.2</v>
      </c>
      <c r="AA54" s="4">
        <v>2.4</v>
      </c>
      <c r="AB54" s="4">
        <v>4.0999999999999996</v>
      </c>
      <c r="AC54" s="10">
        <f t="shared" si="0"/>
        <v>0.76435495898583139</v>
      </c>
      <c r="AD54" s="10">
        <f t="shared" si="1"/>
        <v>0.125</v>
      </c>
      <c r="AE54" s="12">
        <f>100*(AC54/TOTAL_BASIC!$D$302)</f>
        <v>88.954244362575707</v>
      </c>
      <c r="AF54" s="9"/>
      <c r="AG54" s="9"/>
      <c r="AH54" s="12">
        <f t="shared" si="2"/>
        <v>37.4</v>
      </c>
      <c r="AI54" s="12">
        <f t="shared" si="3"/>
        <v>33.5</v>
      </c>
      <c r="AJ54" s="12">
        <f t="shared" si="4"/>
        <v>28.199999999999996</v>
      </c>
      <c r="AK54" s="12">
        <f t="shared" si="5"/>
        <v>49.6</v>
      </c>
      <c r="AL54" s="12">
        <f t="shared" si="6"/>
        <v>29.7</v>
      </c>
    </row>
    <row r="55" spans="1:38" ht="15.75" customHeight="1" x14ac:dyDescent="0.25">
      <c r="A55" s="1" t="s">
        <v>154</v>
      </c>
      <c r="B55" s="7" t="s">
        <v>99</v>
      </c>
      <c r="C55" s="4" t="s">
        <v>8</v>
      </c>
      <c r="D55" s="4">
        <v>34</v>
      </c>
      <c r="E55" s="4">
        <v>753</v>
      </c>
      <c r="F55" s="4">
        <v>34</v>
      </c>
      <c r="G55" s="4">
        <v>10</v>
      </c>
      <c r="H55" s="4">
        <v>22.1</v>
      </c>
      <c r="I55" s="4">
        <v>3.3</v>
      </c>
      <c r="J55" s="4">
        <v>8.4</v>
      </c>
      <c r="K55" s="4">
        <v>0.39800000000000002</v>
      </c>
      <c r="L55" s="4">
        <v>0.8</v>
      </c>
      <c r="M55" s="4">
        <v>2.5</v>
      </c>
      <c r="N55" s="4">
        <v>0.32900000000000001</v>
      </c>
      <c r="O55" s="4">
        <v>2.5</v>
      </c>
      <c r="P55" s="4">
        <v>5.9</v>
      </c>
      <c r="Q55" s="4">
        <v>0.42699999999999999</v>
      </c>
      <c r="R55" s="4">
        <v>0.8</v>
      </c>
      <c r="S55" s="4">
        <v>1.1000000000000001</v>
      </c>
      <c r="T55" s="4">
        <v>0.71099999999999997</v>
      </c>
      <c r="U55" s="4">
        <v>0.3</v>
      </c>
      <c r="V55" s="4">
        <v>1.4</v>
      </c>
      <c r="W55" s="4">
        <v>2.8</v>
      </c>
      <c r="X55" s="4">
        <v>1</v>
      </c>
      <c r="Y55" s="4">
        <v>0.1</v>
      </c>
      <c r="Z55" s="4">
        <v>1.1000000000000001</v>
      </c>
      <c r="AA55" s="4">
        <v>2.2999999999999998</v>
      </c>
      <c r="AB55" s="4">
        <v>8.3000000000000007</v>
      </c>
      <c r="AC55" s="10">
        <f t="shared" si="0"/>
        <v>0.8313301282051283</v>
      </c>
      <c r="AD55" s="10">
        <f t="shared" si="1"/>
        <v>4.3478260869565223E-2</v>
      </c>
      <c r="AE55" s="12">
        <f>100*(AC55/TOTAL_BASIC!$D$302)</f>
        <v>96.748693131329802</v>
      </c>
      <c r="AF55" s="9"/>
      <c r="AG55" s="9"/>
      <c r="AH55" s="12">
        <f t="shared" si="2"/>
        <v>5.3</v>
      </c>
      <c r="AI55" s="12">
        <f t="shared" si="3"/>
        <v>54.900000000000006</v>
      </c>
      <c r="AJ55" s="12">
        <f t="shared" si="4"/>
        <v>56.399999999999991</v>
      </c>
      <c r="AK55" s="12">
        <f t="shared" si="5"/>
        <v>48.8</v>
      </c>
      <c r="AL55" s="12">
        <f t="shared" si="6"/>
        <v>28.999999999999996</v>
      </c>
    </row>
    <row r="56" spans="1:38" ht="15.75" customHeight="1" x14ac:dyDescent="0.25">
      <c r="A56" s="1" t="s">
        <v>155</v>
      </c>
      <c r="B56" s="7" t="s">
        <v>91</v>
      </c>
      <c r="C56" s="4" t="s">
        <v>8</v>
      </c>
      <c r="D56" s="4">
        <v>33</v>
      </c>
      <c r="E56" s="4">
        <v>743</v>
      </c>
      <c r="F56" s="4">
        <v>33</v>
      </c>
      <c r="G56" s="4">
        <v>3</v>
      </c>
      <c r="H56" s="4">
        <v>22.5</v>
      </c>
      <c r="I56" s="4">
        <v>3.3</v>
      </c>
      <c r="J56" s="4">
        <v>7.8</v>
      </c>
      <c r="K56" s="4">
        <v>0.42799999999999999</v>
      </c>
      <c r="L56" s="4">
        <v>0.3</v>
      </c>
      <c r="M56" s="4">
        <v>1.2</v>
      </c>
      <c r="N56" s="4">
        <v>0.25600000000000001</v>
      </c>
      <c r="O56" s="4">
        <v>3</v>
      </c>
      <c r="P56" s="4">
        <v>6.6</v>
      </c>
      <c r="Q56" s="4">
        <v>0.45900000000000002</v>
      </c>
      <c r="R56" s="4">
        <v>2.1</v>
      </c>
      <c r="S56" s="4">
        <v>2.6</v>
      </c>
      <c r="T56" s="4">
        <v>0.79100000000000004</v>
      </c>
      <c r="U56" s="4">
        <v>0.6</v>
      </c>
      <c r="V56" s="4">
        <v>2.9</v>
      </c>
      <c r="W56" s="4">
        <v>2.2999999999999998</v>
      </c>
      <c r="X56" s="4">
        <v>1</v>
      </c>
      <c r="Y56" s="4">
        <v>0.2</v>
      </c>
      <c r="Z56" s="4">
        <v>1.8</v>
      </c>
      <c r="AA56" s="4">
        <v>2.7</v>
      </c>
      <c r="AB56" s="4">
        <v>9</v>
      </c>
      <c r="AC56" s="10">
        <f t="shared" si="0"/>
        <v>0.83767684288905442</v>
      </c>
      <c r="AD56" s="10">
        <f t="shared" si="1"/>
        <v>7.407407407407407E-2</v>
      </c>
      <c r="AE56" s="12">
        <f>100*(AC56/TOTAL_BASIC!$D$302)</f>
        <v>97.487312279745609</v>
      </c>
      <c r="AF56" s="9"/>
      <c r="AG56" s="9"/>
      <c r="AH56" s="12">
        <f t="shared" si="2"/>
        <v>15.2</v>
      </c>
      <c r="AI56" s="12">
        <f t="shared" si="3"/>
        <v>56.399999999999991</v>
      </c>
      <c r="AJ56" s="12">
        <f t="shared" si="4"/>
        <v>63.3</v>
      </c>
      <c r="AK56" s="12">
        <f t="shared" si="5"/>
        <v>53.400000000000006</v>
      </c>
      <c r="AL56" s="12">
        <f t="shared" si="6"/>
        <v>56.399999999999991</v>
      </c>
    </row>
    <row r="57" spans="1:38" ht="15.75" customHeight="1" x14ac:dyDescent="0.25">
      <c r="A57" s="1" t="s">
        <v>156</v>
      </c>
      <c r="B57" s="7" t="s">
        <v>104</v>
      </c>
      <c r="C57" s="4" t="s">
        <v>157</v>
      </c>
      <c r="D57" s="4">
        <v>34</v>
      </c>
      <c r="E57" s="4">
        <v>740</v>
      </c>
      <c r="F57" s="4">
        <v>34</v>
      </c>
      <c r="G57" s="4">
        <v>33</v>
      </c>
      <c r="H57" s="4">
        <v>21.8</v>
      </c>
      <c r="I57" s="4">
        <v>3.8</v>
      </c>
      <c r="J57" s="4">
        <v>7.9</v>
      </c>
      <c r="K57" s="4">
        <v>0.48099999999999998</v>
      </c>
      <c r="L57" s="4">
        <v>0</v>
      </c>
      <c r="M57" s="4">
        <v>0</v>
      </c>
      <c r="N57" s="4">
        <v>0</v>
      </c>
      <c r="O57" s="4">
        <v>3.8</v>
      </c>
      <c r="P57" s="4">
        <v>7.9</v>
      </c>
      <c r="Q57" s="4">
        <v>0.48099999999999998</v>
      </c>
      <c r="R57" s="4">
        <v>1.1000000000000001</v>
      </c>
      <c r="S57" s="4">
        <v>1.6</v>
      </c>
      <c r="T57" s="4">
        <v>0.66100000000000003</v>
      </c>
      <c r="U57" s="4">
        <v>2.5</v>
      </c>
      <c r="V57" s="4">
        <v>6.6</v>
      </c>
      <c r="W57" s="4">
        <v>1.2</v>
      </c>
      <c r="X57" s="4">
        <v>0.6</v>
      </c>
      <c r="Y57" s="4">
        <v>0.4</v>
      </c>
      <c r="Z57" s="4">
        <v>2.2999999999999998</v>
      </c>
      <c r="AA57" s="4">
        <v>2.9</v>
      </c>
      <c r="AB57" s="4">
        <v>8.6999999999999993</v>
      </c>
      <c r="AC57" s="10">
        <f t="shared" si="0"/>
        <v>0.7978723404255319</v>
      </c>
      <c r="AD57" s="10">
        <f t="shared" si="1"/>
        <v>0.13793103448275862</v>
      </c>
      <c r="AE57" s="12">
        <f>100*(AC57/TOTAL_BASIC!$D$302)</f>
        <v>92.854936448013007</v>
      </c>
      <c r="AF57" s="9"/>
      <c r="AG57" s="9"/>
      <c r="AH57" s="12">
        <f t="shared" si="2"/>
        <v>44.2</v>
      </c>
      <c r="AI57" s="12">
        <f t="shared" si="3"/>
        <v>45.800000000000004</v>
      </c>
      <c r="AJ57" s="12">
        <f t="shared" si="4"/>
        <v>60.3</v>
      </c>
      <c r="AK57" s="12">
        <f t="shared" si="5"/>
        <v>45.800000000000004</v>
      </c>
      <c r="AL57" s="12">
        <f t="shared" si="6"/>
        <v>16.7</v>
      </c>
    </row>
    <row r="58" spans="1:38" ht="15.75" customHeight="1" x14ac:dyDescent="0.25">
      <c r="A58" s="1" t="s">
        <v>158</v>
      </c>
      <c r="B58" s="7" t="s">
        <v>97</v>
      </c>
      <c r="C58" s="4" t="s">
        <v>8</v>
      </c>
      <c r="D58" s="4">
        <v>33</v>
      </c>
      <c r="E58" s="4">
        <v>740</v>
      </c>
      <c r="F58" s="4">
        <v>33</v>
      </c>
      <c r="G58" s="4">
        <v>14</v>
      </c>
      <c r="H58" s="4">
        <v>22.4</v>
      </c>
      <c r="I58" s="4">
        <v>2.5</v>
      </c>
      <c r="J58" s="4">
        <v>8.1</v>
      </c>
      <c r="K58" s="4">
        <v>0.307</v>
      </c>
      <c r="L58" s="4">
        <v>1.5</v>
      </c>
      <c r="M58" s="4">
        <v>4.7</v>
      </c>
      <c r="N58" s="4">
        <v>0.32100000000000001</v>
      </c>
      <c r="O58" s="4">
        <v>1</v>
      </c>
      <c r="P58" s="4">
        <v>3.4</v>
      </c>
      <c r="Q58" s="4">
        <v>0.28799999999999998</v>
      </c>
      <c r="R58" s="4">
        <v>1</v>
      </c>
      <c r="S58" s="4">
        <v>1.2</v>
      </c>
      <c r="T58" s="4">
        <v>0.86799999999999999</v>
      </c>
      <c r="U58" s="4">
        <v>0.3</v>
      </c>
      <c r="V58" s="4">
        <v>1.7</v>
      </c>
      <c r="W58" s="4">
        <v>0.7</v>
      </c>
      <c r="X58" s="4">
        <v>0.5</v>
      </c>
      <c r="Y58" s="4">
        <v>0.3</v>
      </c>
      <c r="Z58" s="4">
        <v>0.7</v>
      </c>
      <c r="AA58" s="4">
        <v>1.7</v>
      </c>
      <c r="AB58" s="4">
        <v>7.5</v>
      </c>
      <c r="AC58" s="10">
        <f t="shared" si="0"/>
        <v>0.80403087478559176</v>
      </c>
      <c r="AD58" s="10">
        <f t="shared" si="1"/>
        <v>0.17647058823529413</v>
      </c>
      <c r="AE58" s="12">
        <f>100*(AC58/TOTAL_BASIC!$D$302)</f>
        <v>93.571655511505384</v>
      </c>
      <c r="AF58" s="9"/>
      <c r="AG58" s="9"/>
      <c r="AH58" s="12">
        <f t="shared" si="2"/>
        <v>57.999999999999993</v>
      </c>
      <c r="AI58" s="12">
        <f t="shared" si="3"/>
        <v>48</v>
      </c>
      <c r="AJ58" s="12">
        <f t="shared" si="4"/>
        <v>54.1</v>
      </c>
      <c r="AK58" s="12">
        <f t="shared" si="5"/>
        <v>51.9</v>
      </c>
      <c r="AL58" s="12">
        <f t="shared" si="6"/>
        <v>86.2</v>
      </c>
    </row>
    <row r="59" spans="1:38" ht="15.75" customHeight="1" x14ac:dyDescent="0.25">
      <c r="A59" s="1" t="s">
        <v>159</v>
      </c>
      <c r="B59" s="7" t="s">
        <v>141</v>
      </c>
      <c r="C59" s="4" t="s">
        <v>92</v>
      </c>
      <c r="D59" s="4">
        <v>32</v>
      </c>
      <c r="E59" s="4">
        <v>715</v>
      </c>
      <c r="F59" s="4">
        <v>32</v>
      </c>
      <c r="G59" s="4">
        <v>20</v>
      </c>
      <c r="H59" s="4">
        <v>22.3</v>
      </c>
      <c r="I59" s="4">
        <v>2.2999999999999998</v>
      </c>
      <c r="J59" s="4">
        <v>5.6</v>
      </c>
      <c r="K59" s="4">
        <v>0.40600000000000003</v>
      </c>
      <c r="L59" s="4">
        <v>1.2</v>
      </c>
      <c r="M59" s="4">
        <v>3.3</v>
      </c>
      <c r="N59" s="4">
        <v>0.36199999999999999</v>
      </c>
      <c r="O59" s="4">
        <v>1.1000000000000001</v>
      </c>
      <c r="P59" s="4">
        <v>2.2999999999999998</v>
      </c>
      <c r="Q59" s="4">
        <v>0.46700000000000003</v>
      </c>
      <c r="R59" s="4">
        <v>0.7</v>
      </c>
      <c r="S59" s="4">
        <v>0.8</v>
      </c>
      <c r="T59" s="4">
        <v>0.81499999999999995</v>
      </c>
      <c r="U59" s="4">
        <v>1</v>
      </c>
      <c r="V59" s="4">
        <v>3.7</v>
      </c>
      <c r="W59" s="4">
        <v>1.3</v>
      </c>
      <c r="X59" s="4">
        <v>0.8</v>
      </c>
      <c r="Y59" s="4">
        <v>0.2</v>
      </c>
      <c r="Z59" s="4">
        <v>0.9</v>
      </c>
      <c r="AA59" s="4">
        <v>1.7</v>
      </c>
      <c r="AB59" s="4">
        <v>6.4</v>
      </c>
      <c r="AC59" s="10">
        <f t="shared" si="0"/>
        <v>0.93403385872737887</v>
      </c>
      <c r="AD59" s="10">
        <f t="shared" si="1"/>
        <v>0.11764705882352942</v>
      </c>
      <c r="AE59" s="12">
        <f>100*(AC59/TOTAL_BASIC!$D$302)</f>
        <v>108.7011670891703</v>
      </c>
      <c r="AF59" s="9"/>
      <c r="AG59" s="9"/>
      <c r="AH59" s="12">
        <f t="shared" si="2"/>
        <v>35.099999999999994</v>
      </c>
      <c r="AI59" s="12">
        <f t="shared" si="3"/>
        <v>80.900000000000006</v>
      </c>
      <c r="AJ59" s="12">
        <f t="shared" si="4"/>
        <v>48.8</v>
      </c>
      <c r="AK59" s="12">
        <f t="shared" si="5"/>
        <v>50.3</v>
      </c>
      <c r="AL59" s="12">
        <f t="shared" si="6"/>
        <v>67.100000000000009</v>
      </c>
    </row>
    <row r="60" spans="1:38" ht="15.75" customHeight="1" x14ac:dyDescent="0.25">
      <c r="A60" s="1" t="s">
        <v>160</v>
      </c>
      <c r="B60" s="7" t="s">
        <v>108</v>
      </c>
      <c r="C60" s="4" t="s">
        <v>87</v>
      </c>
      <c r="D60" s="4">
        <v>32</v>
      </c>
      <c r="E60" s="4">
        <v>703</v>
      </c>
      <c r="F60" s="4">
        <v>32</v>
      </c>
      <c r="G60" s="4">
        <v>32</v>
      </c>
      <c r="H60" s="4">
        <v>22</v>
      </c>
      <c r="I60" s="4">
        <v>2.7</v>
      </c>
      <c r="J60" s="4">
        <v>5.8</v>
      </c>
      <c r="K60" s="4">
        <v>0.45900000000000002</v>
      </c>
      <c r="L60" s="4">
        <v>0</v>
      </c>
      <c r="M60" s="4">
        <v>0.3</v>
      </c>
      <c r="N60" s="4">
        <v>0.125</v>
      </c>
      <c r="O60" s="4">
        <v>2.6</v>
      </c>
      <c r="P60" s="4">
        <v>5.5</v>
      </c>
      <c r="Q60" s="4">
        <v>0.47499999999999998</v>
      </c>
      <c r="R60" s="4">
        <v>0.9</v>
      </c>
      <c r="S60" s="4">
        <v>1.1000000000000001</v>
      </c>
      <c r="T60" s="4">
        <v>0.82399999999999995</v>
      </c>
      <c r="U60" s="4">
        <v>0.4</v>
      </c>
      <c r="V60" s="4">
        <v>2.2999999999999998</v>
      </c>
      <c r="W60" s="4">
        <v>1.4</v>
      </c>
      <c r="X60" s="4">
        <v>1.3</v>
      </c>
      <c r="Y60" s="4">
        <v>0.3</v>
      </c>
      <c r="Z60" s="4">
        <v>1.3</v>
      </c>
      <c r="AA60" s="4">
        <v>2.2999999999999998</v>
      </c>
      <c r="AB60" s="4">
        <v>6.2</v>
      </c>
      <c r="AC60" s="10">
        <f t="shared" si="0"/>
        <v>0.81751054852320681</v>
      </c>
      <c r="AD60" s="10">
        <f t="shared" si="1"/>
        <v>0.13043478260869565</v>
      </c>
      <c r="AE60" s="12">
        <f>100*(AC60/TOTAL_BASIC!$D$302)</f>
        <v>95.140395502640615</v>
      </c>
      <c r="AF60" s="9"/>
      <c r="AG60" s="9"/>
      <c r="AH60" s="12">
        <f t="shared" si="2"/>
        <v>40.400000000000006</v>
      </c>
      <c r="AI60" s="12">
        <f t="shared" si="3"/>
        <v>50.3</v>
      </c>
      <c r="AJ60" s="12">
        <f t="shared" si="4"/>
        <v>47.3</v>
      </c>
      <c r="AK60" s="12">
        <f t="shared" si="5"/>
        <v>48</v>
      </c>
      <c r="AL60" s="12">
        <f t="shared" si="6"/>
        <v>68.7</v>
      </c>
    </row>
    <row r="61" spans="1:38" ht="15.75" customHeight="1" x14ac:dyDescent="0.25">
      <c r="A61" s="1" t="s">
        <v>161</v>
      </c>
      <c r="B61" s="7" t="s">
        <v>91</v>
      </c>
      <c r="C61" s="4" t="s">
        <v>110</v>
      </c>
      <c r="D61" s="4">
        <v>32</v>
      </c>
      <c r="E61" s="4">
        <v>700</v>
      </c>
      <c r="F61" s="4">
        <v>32</v>
      </c>
      <c r="G61" s="4">
        <v>32</v>
      </c>
      <c r="H61" s="4">
        <v>21.9</v>
      </c>
      <c r="I61" s="4">
        <v>2.5</v>
      </c>
      <c r="J61" s="4">
        <v>5.0999999999999996</v>
      </c>
      <c r="K61" s="4">
        <v>0.48799999999999999</v>
      </c>
      <c r="L61" s="4">
        <v>0.2</v>
      </c>
      <c r="M61" s="4">
        <v>0.4</v>
      </c>
      <c r="N61" s="4">
        <v>0.42899999999999999</v>
      </c>
      <c r="O61" s="4">
        <v>2.2999999999999998</v>
      </c>
      <c r="P61" s="4">
        <v>4.5999999999999996</v>
      </c>
      <c r="Q61" s="4">
        <v>0.49299999999999999</v>
      </c>
      <c r="R61" s="4">
        <v>1.2</v>
      </c>
      <c r="S61" s="4">
        <v>1.4</v>
      </c>
      <c r="T61" s="4">
        <v>0.80400000000000005</v>
      </c>
      <c r="U61" s="4">
        <v>1.2</v>
      </c>
      <c r="V61" s="4">
        <v>4.3</v>
      </c>
      <c r="W61" s="4">
        <v>2.9</v>
      </c>
      <c r="X61" s="4">
        <v>1</v>
      </c>
      <c r="Y61" s="4">
        <v>0.7</v>
      </c>
      <c r="Z61" s="4">
        <v>1.3</v>
      </c>
      <c r="AA61" s="4">
        <v>1.8</v>
      </c>
      <c r="AB61" s="4">
        <v>6.3</v>
      </c>
      <c r="AC61" s="10">
        <f t="shared" si="0"/>
        <v>0.89794754846066138</v>
      </c>
      <c r="AD61" s="10">
        <f t="shared" si="1"/>
        <v>0.38888888888888884</v>
      </c>
      <c r="AE61" s="12">
        <f>100*(AC61/TOTAL_BASIC!$D$302)</f>
        <v>104.50150772427462</v>
      </c>
      <c r="AF61" s="9"/>
      <c r="AG61" s="9"/>
      <c r="AH61" s="12">
        <f t="shared" si="2"/>
        <v>83.899999999999991</v>
      </c>
      <c r="AI61" s="12">
        <f t="shared" si="3"/>
        <v>68.7</v>
      </c>
      <c r="AJ61" s="12">
        <f t="shared" si="4"/>
        <v>48</v>
      </c>
      <c r="AK61" s="12">
        <f t="shared" si="5"/>
        <v>46.5</v>
      </c>
      <c r="AL61" s="12">
        <f t="shared" si="6"/>
        <v>62.5</v>
      </c>
    </row>
    <row r="62" spans="1:38" ht="15.75" customHeight="1" x14ac:dyDescent="0.25">
      <c r="A62" s="1" t="s">
        <v>162</v>
      </c>
      <c r="B62" s="7" t="s">
        <v>86</v>
      </c>
      <c r="C62" s="4" t="s">
        <v>115</v>
      </c>
      <c r="D62" s="4">
        <v>27</v>
      </c>
      <c r="E62" s="4">
        <v>699</v>
      </c>
      <c r="F62" s="4">
        <v>27</v>
      </c>
      <c r="G62" s="4">
        <v>27</v>
      </c>
      <c r="H62" s="4">
        <v>25.9</v>
      </c>
      <c r="I62" s="4">
        <v>5.0999999999999996</v>
      </c>
      <c r="J62" s="4">
        <v>9.3000000000000007</v>
      </c>
      <c r="K62" s="4">
        <v>0.55600000000000005</v>
      </c>
      <c r="L62" s="4">
        <v>0</v>
      </c>
      <c r="M62" s="4">
        <v>0</v>
      </c>
      <c r="N62" s="4">
        <v>0</v>
      </c>
      <c r="O62" s="4">
        <v>5.0999999999999996</v>
      </c>
      <c r="P62" s="4">
        <v>9.3000000000000007</v>
      </c>
      <c r="Q62" s="4">
        <v>0.55600000000000005</v>
      </c>
      <c r="R62" s="4">
        <v>2.2999999999999998</v>
      </c>
      <c r="S62" s="4">
        <v>3.2</v>
      </c>
      <c r="T62" s="4">
        <v>0.72399999999999998</v>
      </c>
      <c r="U62" s="4">
        <v>1.4</v>
      </c>
      <c r="V62" s="4">
        <v>6.3</v>
      </c>
      <c r="W62" s="4">
        <v>1</v>
      </c>
      <c r="X62" s="4">
        <v>0.5</v>
      </c>
      <c r="Y62" s="4">
        <v>3</v>
      </c>
      <c r="Z62" s="4">
        <v>1.7</v>
      </c>
      <c r="AA62" s="4">
        <v>3</v>
      </c>
      <c r="AB62" s="4">
        <v>12.6</v>
      </c>
      <c r="AC62" s="10">
        <f t="shared" si="0"/>
        <v>1.0154738878143135</v>
      </c>
      <c r="AD62" s="10">
        <f t="shared" si="1"/>
        <v>1</v>
      </c>
      <c r="AE62" s="12">
        <f>100*(AC62/TOTAL_BASIC!$D$302)</f>
        <v>118.17901002474385</v>
      </c>
      <c r="AF62" s="9"/>
      <c r="AG62" s="9"/>
      <c r="AH62" s="12">
        <f t="shared" si="2"/>
        <v>97.7</v>
      </c>
      <c r="AI62" s="12">
        <f t="shared" si="3"/>
        <v>93.100000000000009</v>
      </c>
      <c r="AJ62" s="12">
        <f t="shared" si="4"/>
        <v>77</v>
      </c>
      <c r="AK62" s="12">
        <f t="shared" si="5"/>
        <v>61.8</v>
      </c>
      <c r="AL62" s="12">
        <f t="shared" si="6"/>
        <v>32.800000000000004</v>
      </c>
    </row>
    <row r="63" spans="1:38" ht="15.75" customHeight="1" x14ac:dyDescent="0.25">
      <c r="A63" s="1" t="s">
        <v>163</v>
      </c>
      <c r="B63" s="4" t="s">
        <v>141</v>
      </c>
      <c r="C63" s="4" t="s">
        <v>8</v>
      </c>
      <c r="D63" s="4">
        <v>31</v>
      </c>
      <c r="E63" s="4">
        <v>680</v>
      </c>
      <c r="F63" s="4">
        <v>31</v>
      </c>
      <c r="G63" s="4">
        <v>16</v>
      </c>
      <c r="H63" s="4">
        <v>21.9</v>
      </c>
      <c r="I63" s="4">
        <v>1.9</v>
      </c>
      <c r="J63" s="4">
        <v>4.4000000000000004</v>
      </c>
      <c r="K63" s="4">
        <v>0.42299999999999999</v>
      </c>
      <c r="L63" s="4">
        <v>0.3</v>
      </c>
      <c r="M63" s="4">
        <v>1</v>
      </c>
      <c r="N63" s="4">
        <v>0.25</v>
      </c>
      <c r="O63" s="4">
        <v>1.6</v>
      </c>
      <c r="P63" s="4">
        <v>3.4</v>
      </c>
      <c r="Q63" s="4">
        <v>0.47599999999999998</v>
      </c>
      <c r="R63" s="4">
        <v>0.4</v>
      </c>
      <c r="S63" s="4">
        <v>0.7</v>
      </c>
      <c r="T63" s="4">
        <v>0.54500000000000004</v>
      </c>
      <c r="U63" s="4">
        <v>0.5</v>
      </c>
      <c r="V63" s="4">
        <v>1.8</v>
      </c>
      <c r="W63" s="4">
        <v>2.9</v>
      </c>
      <c r="X63" s="4">
        <v>1.2</v>
      </c>
      <c r="Y63" s="4">
        <v>0.1</v>
      </c>
      <c r="Z63" s="4">
        <v>1.7</v>
      </c>
      <c r="AA63" s="4">
        <v>1.1000000000000001</v>
      </c>
      <c r="AB63" s="4">
        <v>4.4000000000000004</v>
      </c>
      <c r="AC63" s="10">
        <f t="shared" si="0"/>
        <v>0.68664169787765295</v>
      </c>
      <c r="AD63" s="10">
        <f t="shared" si="1"/>
        <v>9.0909090909090912E-2</v>
      </c>
      <c r="AE63" s="12">
        <f>100*(AC63/TOTAL_BASIC!$D$302)</f>
        <v>79.910115927794806</v>
      </c>
      <c r="AF63" s="9"/>
      <c r="AG63" s="9"/>
      <c r="AH63" s="12">
        <f t="shared" si="2"/>
        <v>21.3</v>
      </c>
      <c r="AI63" s="12">
        <f t="shared" si="3"/>
        <v>15.2</v>
      </c>
      <c r="AJ63" s="12">
        <f t="shared" si="4"/>
        <v>32</v>
      </c>
      <c r="AK63" s="12">
        <f t="shared" si="5"/>
        <v>46.5</v>
      </c>
      <c r="AL63" s="12">
        <f t="shared" si="6"/>
        <v>2.1999999999999997</v>
      </c>
    </row>
    <row r="64" spans="1:38" ht="15.75" customHeight="1" x14ac:dyDescent="0.25">
      <c r="A64" s="1" t="s">
        <v>164</v>
      </c>
      <c r="B64" s="7" t="s">
        <v>89</v>
      </c>
      <c r="C64" s="4" t="s">
        <v>115</v>
      </c>
      <c r="D64" s="4">
        <v>34</v>
      </c>
      <c r="E64" s="4">
        <v>680</v>
      </c>
      <c r="F64" s="4">
        <v>34</v>
      </c>
      <c r="G64" s="4">
        <v>15</v>
      </c>
      <c r="H64" s="4">
        <v>20</v>
      </c>
      <c r="I64" s="4">
        <v>2.9</v>
      </c>
      <c r="J64" s="4">
        <v>6.9</v>
      </c>
      <c r="K64" s="4">
        <v>0.42499999999999999</v>
      </c>
      <c r="L64" s="4">
        <v>0</v>
      </c>
      <c r="M64" s="4">
        <v>0</v>
      </c>
      <c r="N64" s="4">
        <v>0</v>
      </c>
      <c r="O64" s="4">
        <v>2.9</v>
      </c>
      <c r="P64" s="4">
        <v>6.8</v>
      </c>
      <c r="Q64" s="4">
        <v>0.42699999999999999</v>
      </c>
      <c r="R64" s="4">
        <v>1</v>
      </c>
      <c r="S64" s="4">
        <v>1.4</v>
      </c>
      <c r="T64" s="4">
        <v>0.76100000000000001</v>
      </c>
      <c r="U64" s="4">
        <v>1.5</v>
      </c>
      <c r="V64" s="4">
        <v>5.2</v>
      </c>
      <c r="W64" s="4">
        <v>0.6</v>
      </c>
      <c r="X64" s="4">
        <v>0.7</v>
      </c>
      <c r="Y64" s="4">
        <v>1.1000000000000001</v>
      </c>
      <c r="Z64" s="4">
        <v>1.5</v>
      </c>
      <c r="AA64" s="4">
        <v>2.2999999999999998</v>
      </c>
      <c r="AB64" s="4">
        <v>6.9</v>
      </c>
      <c r="AC64" s="10">
        <f t="shared" si="0"/>
        <v>0.76530612244897966</v>
      </c>
      <c r="AD64" s="10">
        <f t="shared" si="1"/>
        <v>0.47826086956521746</v>
      </c>
      <c r="AE64" s="12">
        <f>100*(AC64/TOTAL_BASIC!$D$302)</f>
        <v>89.06493904197167</v>
      </c>
      <c r="AF64" s="9"/>
      <c r="AG64" s="9"/>
      <c r="AH64" s="12">
        <f t="shared" si="2"/>
        <v>90.8</v>
      </c>
      <c r="AI64" s="12">
        <f t="shared" si="3"/>
        <v>34.300000000000004</v>
      </c>
      <c r="AJ64" s="12">
        <f t="shared" si="4"/>
        <v>50.3</v>
      </c>
      <c r="AK64" s="12">
        <f t="shared" si="5"/>
        <v>43.5</v>
      </c>
      <c r="AL64" s="12">
        <f t="shared" si="6"/>
        <v>47.3</v>
      </c>
    </row>
    <row r="65" spans="1:38" ht="15.75" customHeight="1" x14ac:dyDescent="0.25">
      <c r="A65" s="1" t="s">
        <v>165</v>
      </c>
      <c r="B65" s="7" t="s">
        <v>122</v>
      </c>
      <c r="C65" s="4" t="s">
        <v>8</v>
      </c>
      <c r="D65" s="4">
        <v>21</v>
      </c>
      <c r="E65" s="4">
        <v>672</v>
      </c>
      <c r="F65" s="4">
        <v>21</v>
      </c>
      <c r="G65" s="4">
        <v>21</v>
      </c>
      <c r="H65" s="4">
        <v>32</v>
      </c>
      <c r="I65" s="4">
        <v>5.0999999999999996</v>
      </c>
      <c r="J65" s="4">
        <v>12.1</v>
      </c>
      <c r="K65" s="4">
        <v>0.42399999999999999</v>
      </c>
      <c r="L65" s="4">
        <v>1.1000000000000001</v>
      </c>
      <c r="M65" s="4">
        <v>3.1</v>
      </c>
      <c r="N65" s="4">
        <v>0.36399999999999999</v>
      </c>
      <c r="O65" s="4">
        <v>4</v>
      </c>
      <c r="P65" s="4">
        <v>9</v>
      </c>
      <c r="Q65" s="4">
        <v>0.44400000000000001</v>
      </c>
      <c r="R65" s="4">
        <v>1.3</v>
      </c>
      <c r="S65" s="4">
        <v>1.9</v>
      </c>
      <c r="T65" s="4">
        <v>0.7</v>
      </c>
      <c r="U65" s="4">
        <v>0.4</v>
      </c>
      <c r="V65" s="4">
        <v>3.1</v>
      </c>
      <c r="W65" s="4">
        <v>3</v>
      </c>
      <c r="X65" s="4">
        <v>1.1000000000000001</v>
      </c>
      <c r="Y65" s="4">
        <v>0.3</v>
      </c>
      <c r="Z65" s="4">
        <v>1.5</v>
      </c>
      <c r="AA65" s="4">
        <v>2.7</v>
      </c>
      <c r="AB65" s="4">
        <v>12.8</v>
      </c>
      <c r="AC65" s="10">
        <f t="shared" si="0"/>
        <v>0.88667220836796901</v>
      </c>
      <c r="AD65" s="10">
        <f t="shared" si="1"/>
        <v>0.1111111111111111</v>
      </c>
      <c r="AE65" s="12">
        <f>100*(AC65/TOTAL_BASIC!$D$302)</f>
        <v>103.18930408631131</v>
      </c>
      <c r="AF65" s="9"/>
      <c r="AG65" s="9"/>
      <c r="AH65" s="12">
        <f t="shared" si="2"/>
        <v>29.7</v>
      </c>
      <c r="AI65" s="12">
        <f t="shared" si="3"/>
        <v>66.400000000000006</v>
      </c>
      <c r="AJ65" s="12">
        <f t="shared" si="4"/>
        <v>77.8</v>
      </c>
      <c r="AK65" s="12">
        <f t="shared" si="5"/>
        <v>94.6</v>
      </c>
      <c r="AL65" s="12">
        <f t="shared" si="6"/>
        <v>25.1</v>
      </c>
    </row>
    <row r="66" spans="1:38" ht="15.75" customHeight="1" x14ac:dyDescent="0.25">
      <c r="A66" s="1" t="s">
        <v>166</v>
      </c>
      <c r="B66" s="7" t="s">
        <v>104</v>
      </c>
      <c r="C66" s="4" t="s">
        <v>115</v>
      </c>
      <c r="D66" s="4">
        <v>34</v>
      </c>
      <c r="E66" s="4">
        <v>663</v>
      </c>
      <c r="F66" s="4">
        <v>34</v>
      </c>
      <c r="G66" s="4">
        <v>2</v>
      </c>
      <c r="H66" s="4">
        <v>19.5</v>
      </c>
      <c r="I66" s="4">
        <v>2.9</v>
      </c>
      <c r="J66" s="4">
        <v>6.3</v>
      </c>
      <c r="K66" s="4">
        <v>0.46</v>
      </c>
      <c r="L66" s="4">
        <v>0</v>
      </c>
      <c r="M66" s="4">
        <v>0</v>
      </c>
      <c r="N66" s="4">
        <v>0</v>
      </c>
      <c r="O66" s="4">
        <v>2.9</v>
      </c>
      <c r="P66" s="4">
        <v>6.3</v>
      </c>
      <c r="Q66" s="4">
        <v>0.46300000000000002</v>
      </c>
      <c r="R66" s="4">
        <v>1.1000000000000001</v>
      </c>
      <c r="S66" s="4">
        <v>1.7</v>
      </c>
      <c r="T66" s="4">
        <v>0.63200000000000001</v>
      </c>
      <c r="U66" s="4">
        <v>2.1</v>
      </c>
      <c r="V66" s="4">
        <v>5.4</v>
      </c>
      <c r="W66" s="4">
        <v>0.7</v>
      </c>
      <c r="X66" s="4">
        <v>0.4</v>
      </c>
      <c r="Y66" s="4">
        <v>0.4</v>
      </c>
      <c r="Z66" s="4">
        <v>1.5</v>
      </c>
      <c r="AA66" s="4">
        <v>2.6</v>
      </c>
      <c r="AB66" s="4">
        <v>6.9</v>
      </c>
      <c r="AC66" s="10">
        <f t="shared" si="0"/>
        <v>0.80720636406176882</v>
      </c>
      <c r="AD66" s="10">
        <f t="shared" si="1"/>
        <v>0.15384615384615385</v>
      </c>
      <c r="AE66" s="12">
        <f>100*(AC66/TOTAL_BASIC!$D$302)</f>
        <v>93.941213196351953</v>
      </c>
      <c r="AF66" s="9"/>
      <c r="AG66" s="9"/>
      <c r="AH66" s="12">
        <f t="shared" si="2"/>
        <v>48.8</v>
      </c>
      <c r="AI66" s="12">
        <f t="shared" si="3"/>
        <v>48.8</v>
      </c>
      <c r="AJ66" s="12">
        <f t="shared" si="4"/>
        <v>50.3</v>
      </c>
      <c r="AK66" s="12">
        <f t="shared" si="5"/>
        <v>42.699999999999996</v>
      </c>
      <c r="AL66" s="12">
        <f t="shared" si="6"/>
        <v>10.6</v>
      </c>
    </row>
    <row r="67" spans="1:38" ht="15.75" customHeight="1" x14ac:dyDescent="0.25">
      <c r="A67" s="1" t="s">
        <v>167</v>
      </c>
      <c r="B67" s="7" t="s">
        <v>104</v>
      </c>
      <c r="C67" s="4" t="s">
        <v>8</v>
      </c>
      <c r="D67" s="4">
        <v>34</v>
      </c>
      <c r="E67" s="4">
        <v>633</v>
      </c>
      <c r="F67" s="4">
        <v>34</v>
      </c>
      <c r="G67" s="4">
        <v>9</v>
      </c>
      <c r="H67" s="4">
        <v>18.600000000000001</v>
      </c>
      <c r="I67" s="4">
        <v>1.6</v>
      </c>
      <c r="J67" s="4">
        <v>3.9</v>
      </c>
      <c r="K67" s="4">
        <v>0.40600000000000003</v>
      </c>
      <c r="L67" s="4">
        <v>0.9</v>
      </c>
      <c r="M67" s="4">
        <v>2.5</v>
      </c>
      <c r="N67" s="4">
        <v>0.376</v>
      </c>
      <c r="O67" s="4">
        <v>0.6</v>
      </c>
      <c r="P67" s="4">
        <v>1.4</v>
      </c>
      <c r="Q67" s="4">
        <v>0.45800000000000002</v>
      </c>
      <c r="R67" s="4">
        <v>0.9</v>
      </c>
      <c r="S67" s="4">
        <v>1</v>
      </c>
      <c r="T67" s="4">
        <v>0.85699999999999998</v>
      </c>
      <c r="U67" s="4">
        <v>0.5</v>
      </c>
      <c r="V67" s="4">
        <v>2.1</v>
      </c>
      <c r="W67" s="4">
        <v>1.9</v>
      </c>
      <c r="X67" s="4">
        <v>0.8</v>
      </c>
      <c r="Y67" s="4">
        <v>0.1</v>
      </c>
      <c r="Z67" s="4">
        <v>1</v>
      </c>
      <c r="AA67" s="4">
        <v>1.1000000000000001</v>
      </c>
      <c r="AB67" s="4">
        <v>5</v>
      </c>
      <c r="AC67" s="10">
        <f t="shared" si="0"/>
        <v>0.93632958801498134</v>
      </c>
      <c r="AD67" s="10">
        <f t="shared" si="1"/>
        <v>9.0909090909090912E-2</v>
      </c>
      <c r="AE67" s="12">
        <f>100*(AC67/TOTAL_BASIC!$D$302)</f>
        <v>108.96833990153836</v>
      </c>
      <c r="AF67" s="9"/>
      <c r="AG67" s="9"/>
      <c r="AH67" s="12">
        <f t="shared" si="2"/>
        <v>21.3</v>
      </c>
      <c r="AI67" s="12">
        <f t="shared" si="3"/>
        <v>81.599999999999994</v>
      </c>
      <c r="AJ67" s="12">
        <f t="shared" si="4"/>
        <v>37.4</v>
      </c>
      <c r="AK67" s="12">
        <f t="shared" si="5"/>
        <v>40.400000000000006</v>
      </c>
      <c r="AL67" s="12">
        <f t="shared" si="6"/>
        <v>80.900000000000006</v>
      </c>
    </row>
    <row r="68" spans="1:38" ht="15.75" customHeight="1" x14ac:dyDescent="0.25">
      <c r="A68" s="1" t="s">
        <v>168</v>
      </c>
      <c r="B68" s="7" t="s">
        <v>91</v>
      </c>
      <c r="C68" s="4" t="s">
        <v>92</v>
      </c>
      <c r="D68" s="4">
        <v>34</v>
      </c>
      <c r="E68" s="4">
        <v>631</v>
      </c>
      <c r="F68" s="4">
        <v>34</v>
      </c>
      <c r="G68" s="4">
        <v>2</v>
      </c>
      <c r="H68" s="4">
        <v>18.600000000000001</v>
      </c>
      <c r="I68" s="4">
        <v>1.7</v>
      </c>
      <c r="J68" s="4">
        <v>4.4000000000000004</v>
      </c>
      <c r="K68" s="4">
        <v>0.39600000000000002</v>
      </c>
      <c r="L68" s="4">
        <v>0</v>
      </c>
      <c r="M68" s="4">
        <v>0</v>
      </c>
      <c r="N68" s="4">
        <v>0</v>
      </c>
      <c r="O68" s="4">
        <v>1.7</v>
      </c>
      <c r="P68" s="4">
        <v>4.4000000000000004</v>
      </c>
      <c r="Q68" s="4">
        <v>0.39600000000000002</v>
      </c>
      <c r="R68" s="4">
        <v>0.7</v>
      </c>
      <c r="S68" s="4">
        <v>0.8</v>
      </c>
      <c r="T68" s="4">
        <v>0.85199999999999998</v>
      </c>
      <c r="U68" s="4">
        <v>1.5</v>
      </c>
      <c r="V68" s="4">
        <v>4.5999999999999996</v>
      </c>
      <c r="W68" s="4">
        <v>1.1000000000000001</v>
      </c>
      <c r="X68" s="4">
        <v>0.7</v>
      </c>
      <c r="Y68" s="4">
        <v>1</v>
      </c>
      <c r="Z68" s="4">
        <v>0.9</v>
      </c>
      <c r="AA68" s="4">
        <v>1.6</v>
      </c>
      <c r="AB68" s="4">
        <v>4.0999999999999996</v>
      </c>
      <c r="AC68" s="10">
        <f t="shared" ref="AC68:AC131" si="7">(AB68)/(J68+(0.44*S68)+Z68)</f>
        <v>0.72540693559801817</v>
      </c>
      <c r="AD68" s="10">
        <f t="shared" ref="AD68:AD131" si="8">Y68/AA68</f>
        <v>0.625</v>
      </c>
      <c r="AE68" s="12">
        <f>100*(AC68/TOTAL_BASIC!$D$302)</f>
        <v>84.421544012890308</v>
      </c>
      <c r="AF68" s="9"/>
      <c r="AG68" s="9"/>
      <c r="AH68" s="12">
        <f t="shared" ref="AH68:AH131" si="9">(PERCENTRANK(AD$3:AD$298,AD68))*100</f>
        <v>93.8</v>
      </c>
      <c r="AI68" s="12">
        <f t="shared" ref="AI68:AI131" si="10">(PERCENTRANK(AE$3:AE$298,AE68))*100</f>
        <v>25.1</v>
      </c>
      <c r="AJ68" s="12">
        <f t="shared" ref="AJ68:AJ131" si="11">(PERCENTRANK(AB$3:AB$298,AB68))*100</f>
        <v>28.199999999999996</v>
      </c>
      <c r="AK68" s="12">
        <f t="shared" ref="AK68:AK131" si="12">(PERCENTRANK(H$3:H$298,H68))*100</f>
        <v>40.400000000000006</v>
      </c>
      <c r="AL68" s="12">
        <f t="shared" ref="AL68:AL131" si="13">(PERCENTRANK(T$3:T$298,T68))*100</f>
        <v>77.8</v>
      </c>
    </row>
    <row r="69" spans="1:38" ht="15.75" customHeight="1" x14ac:dyDescent="0.25">
      <c r="A69" s="1" t="s">
        <v>169</v>
      </c>
      <c r="B69" s="7" t="s">
        <v>122</v>
      </c>
      <c r="C69" s="4" t="s">
        <v>8</v>
      </c>
      <c r="D69" s="4">
        <v>23</v>
      </c>
      <c r="E69" s="4">
        <v>625</v>
      </c>
      <c r="F69" s="4">
        <v>23</v>
      </c>
      <c r="G69" s="4">
        <v>18</v>
      </c>
      <c r="H69" s="4">
        <v>27.2</v>
      </c>
      <c r="I69" s="4">
        <v>3.5</v>
      </c>
      <c r="J69" s="4">
        <v>9.6999999999999993</v>
      </c>
      <c r="K69" s="4">
        <v>0.36499999999999999</v>
      </c>
      <c r="L69" s="4">
        <v>1.6</v>
      </c>
      <c r="M69" s="4">
        <v>4.8</v>
      </c>
      <c r="N69" s="4">
        <v>0.32700000000000001</v>
      </c>
      <c r="O69" s="4">
        <v>2</v>
      </c>
      <c r="P69" s="4">
        <v>4.9000000000000004</v>
      </c>
      <c r="Q69" s="4">
        <v>0.40200000000000002</v>
      </c>
      <c r="R69" s="4">
        <v>1.5</v>
      </c>
      <c r="S69" s="4">
        <v>1.7</v>
      </c>
      <c r="T69" s="4">
        <v>0.89700000000000002</v>
      </c>
      <c r="U69" s="4">
        <v>0.3</v>
      </c>
      <c r="V69" s="4">
        <v>1.8</v>
      </c>
      <c r="W69" s="4">
        <v>3.1</v>
      </c>
      <c r="X69" s="4">
        <v>0.8</v>
      </c>
      <c r="Y69" s="4">
        <v>0</v>
      </c>
      <c r="Z69" s="4">
        <v>2.4</v>
      </c>
      <c r="AA69" s="4">
        <v>1.7</v>
      </c>
      <c r="AB69" s="4">
        <v>10.1</v>
      </c>
      <c r="AC69" s="10">
        <f t="shared" si="7"/>
        <v>0.78611457036114574</v>
      </c>
      <c r="AD69" s="10">
        <f t="shared" si="8"/>
        <v>0</v>
      </c>
      <c r="AE69" s="12">
        <f>100*(AC69/TOTAL_BASIC!$D$302)</f>
        <v>91.486588484582342</v>
      </c>
      <c r="AF69" s="9"/>
      <c r="AG69" s="9"/>
      <c r="AH69" s="12">
        <f t="shared" si="9"/>
        <v>0</v>
      </c>
      <c r="AI69" s="12">
        <f t="shared" si="10"/>
        <v>39.6</v>
      </c>
      <c r="AJ69" s="12">
        <f t="shared" si="11"/>
        <v>67.100000000000009</v>
      </c>
      <c r="AK69" s="12">
        <f t="shared" si="12"/>
        <v>67.900000000000006</v>
      </c>
      <c r="AL69" s="12">
        <f t="shared" si="13"/>
        <v>92.300000000000011</v>
      </c>
    </row>
    <row r="70" spans="1:38" ht="15.75" customHeight="1" x14ac:dyDescent="0.25">
      <c r="A70" s="1" t="s">
        <v>170</v>
      </c>
      <c r="B70" s="4" t="s">
        <v>171</v>
      </c>
      <c r="C70" s="4" t="s">
        <v>92</v>
      </c>
      <c r="D70" s="4">
        <v>26</v>
      </c>
      <c r="E70" s="4">
        <v>622</v>
      </c>
      <c r="F70" s="4">
        <v>26</v>
      </c>
      <c r="G70" s="4">
        <v>17</v>
      </c>
      <c r="H70" s="4">
        <v>23.9</v>
      </c>
      <c r="I70" s="4">
        <v>3.2</v>
      </c>
      <c r="J70" s="4">
        <v>7.9</v>
      </c>
      <c r="K70" s="4">
        <v>0.39800000000000002</v>
      </c>
      <c r="L70" s="4">
        <v>0.2</v>
      </c>
      <c r="M70" s="4">
        <v>0.9</v>
      </c>
      <c r="N70" s="4">
        <v>0.20799999999999999</v>
      </c>
      <c r="O70" s="4">
        <v>3</v>
      </c>
      <c r="P70" s="4">
        <v>7</v>
      </c>
      <c r="Q70" s="4">
        <v>0.42299999999999999</v>
      </c>
      <c r="R70" s="4">
        <v>1.7</v>
      </c>
      <c r="S70" s="4">
        <v>2.2999999999999998</v>
      </c>
      <c r="T70" s="4">
        <v>0.70499999999999996</v>
      </c>
      <c r="U70" s="4">
        <v>1.4</v>
      </c>
      <c r="V70" s="4">
        <v>4.2</v>
      </c>
      <c r="W70" s="4">
        <v>1.9</v>
      </c>
      <c r="X70" s="4">
        <v>0.7</v>
      </c>
      <c r="Y70" s="4">
        <v>0.4</v>
      </c>
      <c r="Z70" s="4">
        <v>1.6</v>
      </c>
      <c r="AA70" s="4">
        <v>2.6</v>
      </c>
      <c r="AB70" s="4">
        <v>8.1999999999999993</v>
      </c>
      <c r="AC70" s="10">
        <f t="shared" si="7"/>
        <v>0.7800608828006087</v>
      </c>
      <c r="AD70" s="10">
        <f t="shared" si="8"/>
        <v>0.15384615384615385</v>
      </c>
      <c r="AE70" s="12">
        <f>100*(AC70/TOTAL_BASIC!$D$302)</f>
        <v>90.782071301532739</v>
      </c>
      <c r="AF70" s="9"/>
      <c r="AG70" s="9"/>
      <c r="AH70" s="12">
        <f t="shared" si="9"/>
        <v>48.8</v>
      </c>
      <c r="AI70" s="12">
        <f t="shared" si="10"/>
        <v>35.799999999999997</v>
      </c>
      <c r="AJ70" s="12">
        <f t="shared" si="11"/>
        <v>55.7</v>
      </c>
      <c r="AK70" s="12">
        <f t="shared" si="12"/>
        <v>57.199999999999996</v>
      </c>
      <c r="AL70" s="12">
        <f t="shared" si="13"/>
        <v>26.700000000000003</v>
      </c>
    </row>
    <row r="71" spans="1:38" ht="15.75" customHeight="1" x14ac:dyDescent="0.25">
      <c r="A71" s="1" t="s">
        <v>172</v>
      </c>
      <c r="B71" s="7" t="s">
        <v>141</v>
      </c>
      <c r="C71" s="4" t="s">
        <v>8</v>
      </c>
      <c r="D71" s="4">
        <v>27</v>
      </c>
      <c r="E71" s="4">
        <v>612</v>
      </c>
      <c r="F71" s="4">
        <v>27</v>
      </c>
      <c r="G71" s="4">
        <v>6</v>
      </c>
      <c r="H71" s="4">
        <v>22.7</v>
      </c>
      <c r="I71" s="4">
        <v>5.0999999999999996</v>
      </c>
      <c r="J71" s="4">
        <v>13</v>
      </c>
      <c r="K71" s="4">
        <v>0.39700000000000002</v>
      </c>
      <c r="L71" s="4">
        <v>1.7</v>
      </c>
      <c r="M71" s="4">
        <v>4.4000000000000004</v>
      </c>
      <c r="N71" s="4">
        <v>0.38100000000000001</v>
      </c>
      <c r="O71" s="4">
        <v>3.5</v>
      </c>
      <c r="P71" s="4">
        <v>8.6</v>
      </c>
      <c r="Q71" s="4">
        <v>0.40500000000000003</v>
      </c>
      <c r="R71" s="4">
        <v>3.7</v>
      </c>
      <c r="S71" s="4">
        <v>4.0999999999999996</v>
      </c>
      <c r="T71" s="4">
        <v>0.9</v>
      </c>
      <c r="U71" s="4">
        <v>0.5</v>
      </c>
      <c r="V71" s="4">
        <v>2.4</v>
      </c>
      <c r="W71" s="4">
        <v>1.8</v>
      </c>
      <c r="X71" s="4">
        <v>1</v>
      </c>
      <c r="Y71" s="4">
        <v>0.3</v>
      </c>
      <c r="Z71" s="4">
        <v>1.5</v>
      </c>
      <c r="AA71" s="4">
        <v>2.2000000000000002</v>
      </c>
      <c r="AB71" s="4">
        <v>15.6</v>
      </c>
      <c r="AC71" s="10">
        <f t="shared" si="7"/>
        <v>0.95682041216879277</v>
      </c>
      <c r="AD71" s="10">
        <f t="shared" si="8"/>
        <v>0.13636363636363635</v>
      </c>
      <c r="AE71" s="12">
        <f>100*(AC71/TOTAL_BASIC!$D$302)</f>
        <v>111.35302486699889</v>
      </c>
      <c r="AF71" s="9"/>
      <c r="AG71" s="9"/>
      <c r="AH71" s="12">
        <f t="shared" si="9"/>
        <v>42.699999999999996</v>
      </c>
      <c r="AI71" s="12">
        <f t="shared" si="10"/>
        <v>84.7</v>
      </c>
      <c r="AJ71" s="12">
        <f t="shared" si="11"/>
        <v>91.600000000000009</v>
      </c>
      <c r="AK71" s="12">
        <f t="shared" si="12"/>
        <v>54.1</v>
      </c>
      <c r="AL71" s="12">
        <f t="shared" si="13"/>
        <v>93.8</v>
      </c>
    </row>
    <row r="72" spans="1:38" ht="15.75" customHeight="1" x14ac:dyDescent="0.25">
      <c r="A72" s="1" t="s">
        <v>173</v>
      </c>
      <c r="B72" s="7" t="s">
        <v>114</v>
      </c>
      <c r="C72" s="4" t="s">
        <v>92</v>
      </c>
      <c r="D72" s="4">
        <v>33</v>
      </c>
      <c r="E72" s="4">
        <v>596</v>
      </c>
      <c r="F72" s="4">
        <v>33</v>
      </c>
      <c r="G72" s="4">
        <v>8</v>
      </c>
      <c r="H72" s="4">
        <v>18.100000000000001</v>
      </c>
      <c r="I72" s="4">
        <v>2.5</v>
      </c>
      <c r="J72" s="4">
        <v>5.8</v>
      </c>
      <c r="K72" s="4">
        <v>0.42599999999999999</v>
      </c>
      <c r="L72" s="4">
        <v>0</v>
      </c>
      <c r="M72" s="4">
        <v>0</v>
      </c>
      <c r="N72" s="4">
        <v>0</v>
      </c>
      <c r="O72" s="4">
        <v>2.5</v>
      </c>
      <c r="P72" s="4">
        <v>5.7</v>
      </c>
      <c r="Q72" s="4">
        <v>0.42899999999999999</v>
      </c>
      <c r="R72" s="4">
        <v>0.7</v>
      </c>
      <c r="S72" s="4">
        <v>1.2</v>
      </c>
      <c r="T72" s="4">
        <v>0.60499999999999998</v>
      </c>
      <c r="U72" s="4">
        <v>1.3</v>
      </c>
      <c r="V72" s="4">
        <v>3.8</v>
      </c>
      <c r="W72" s="4">
        <v>0.6</v>
      </c>
      <c r="X72" s="4">
        <v>0.5</v>
      </c>
      <c r="Y72" s="4">
        <v>0.2</v>
      </c>
      <c r="Z72" s="4">
        <v>0.7</v>
      </c>
      <c r="AA72" s="4">
        <v>1.8</v>
      </c>
      <c r="AB72" s="4">
        <v>5.6</v>
      </c>
      <c r="AC72" s="10">
        <f t="shared" si="7"/>
        <v>0.79681274900398402</v>
      </c>
      <c r="AD72" s="10">
        <f t="shared" si="8"/>
        <v>0.11111111111111112</v>
      </c>
      <c r="AE72" s="12">
        <f>100*(AC72/TOTAL_BASIC!$D$302)</f>
        <v>92.731623119396772</v>
      </c>
      <c r="AF72" s="9"/>
      <c r="AG72" s="9"/>
      <c r="AH72" s="12">
        <f t="shared" si="9"/>
        <v>31.2</v>
      </c>
      <c r="AI72" s="12">
        <f t="shared" si="10"/>
        <v>45</v>
      </c>
      <c r="AJ72" s="12">
        <f t="shared" si="11"/>
        <v>41.9</v>
      </c>
      <c r="AK72" s="12">
        <f t="shared" si="12"/>
        <v>39.6</v>
      </c>
      <c r="AL72" s="12">
        <f t="shared" si="13"/>
        <v>7.6</v>
      </c>
    </row>
    <row r="73" spans="1:38" ht="15.75" customHeight="1" x14ac:dyDescent="0.25">
      <c r="A73" s="1" t="s">
        <v>174</v>
      </c>
      <c r="B73" s="7" t="s">
        <v>108</v>
      </c>
      <c r="C73" s="4" t="s">
        <v>87</v>
      </c>
      <c r="D73" s="4">
        <v>34</v>
      </c>
      <c r="E73" s="4">
        <v>595</v>
      </c>
      <c r="F73" s="4">
        <v>34</v>
      </c>
      <c r="G73" s="4">
        <v>3</v>
      </c>
      <c r="H73" s="4">
        <v>17.5</v>
      </c>
      <c r="I73" s="4">
        <v>1.7</v>
      </c>
      <c r="J73" s="4">
        <v>4</v>
      </c>
      <c r="K73" s="4">
        <v>0.43</v>
      </c>
      <c r="L73" s="4">
        <v>0.6</v>
      </c>
      <c r="M73" s="4">
        <v>1.5</v>
      </c>
      <c r="N73" s="4">
        <v>0.4</v>
      </c>
      <c r="O73" s="4">
        <v>1.1000000000000001</v>
      </c>
      <c r="P73" s="4">
        <v>2.5</v>
      </c>
      <c r="Q73" s="4">
        <v>0.44700000000000001</v>
      </c>
      <c r="R73" s="4">
        <v>0.6</v>
      </c>
      <c r="S73" s="4">
        <v>1</v>
      </c>
      <c r="T73" s="4">
        <v>0.63600000000000001</v>
      </c>
      <c r="U73" s="4">
        <v>0.9</v>
      </c>
      <c r="V73" s="4">
        <v>2.9</v>
      </c>
      <c r="W73" s="4">
        <v>1</v>
      </c>
      <c r="X73" s="4">
        <v>0.7</v>
      </c>
      <c r="Y73" s="4">
        <v>0.1</v>
      </c>
      <c r="Z73" s="4">
        <v>0.9</v>
      </c>
      <c r="AA73" s="4">
        <v>1.3</v>
      </c>
      <c r="AB73" s="4">
        <v>4.5999999999999996</v>
      </c>
      <c r="AC73" s="10">
        <f t="shared" si="7"/>
        <v>0.86142322097378254</v>
      </c>
      <c r="AD73" s="10">
        <f t="shared" si="8"/>
        <v>7.6923076923076927E-2</v>
      </c>
      <c r="AE73" s="12">
        <f>100*(AC73/TOTAL_BASIC!$D$302)</f>
        <v>100.25087270941526</v>
      </c>
      <c r="AF73" s="9"/>
      <c r="AG73" s="9"/>
      <c r="AH73" s="12">
        <f t="shared" si="9"/>
        <v>16</v>
      </c>
      <c r="AI73" s="12">
        <f t="shared" si="10"/>
        <v>63.3</v>
      </c>
      <c r="AJ73" s="12">
        <f t="shared" si="11"/>
        <v>36.6</v>
      </c>
      <c r="AK73" s="12">
        <f t="shared" si="12"/>
        <v>38.1</v>
      </c>
      <c r="AL73" s="12">
        <f t="shared" si="13"/>
        <v>11.4</v>
      </c>
    </row>
    <row r="74" spans="1:38" ht="15.75" customHeight="1" x14ac:dyDescent="0.25">
      <c r="A74" s="1" t="s">
        <v>175</v>
      </c>
      <c r="B74" s="7" t="s">
        <v>122</v>
      </c>
      <c r="C74" s="4" t="s">
        <v>92</v>
      </c>
      <c r="D74" s="4">
        <v>33</v>
      </c>
      <c r="E74" s="4">
        <v>593</v>
      </c>
      <c r="F74" s="4">
        <v>33</v>
      </c>
      <c r="G74" s="4">
        <v>5</v>
      </c>
      <c r="H74" s="4">
        <v>18</v>
      </c>
      <c r="I74" s="4">
        <v>2.8</v>
      </c>
      <c r="J74" s="4">
        <v>5.2</v>
      </c>
      <c r="K74" s="4">
        <v>0.55000000000000004</v>
      </c>
      <c r="L74" s="4">
        <v>0</v>
      </c>
      <c r="M74" s="4">
        <v>0</v>
      </c>
      <c r="N74" s="4">
        <v>0</v>
      </c>
      <c r="O74" s="4">
        <v>2.8</v>
      </c>
      <c r="P74" s="4">
        <v>5.2</v>
      </c>
      <c r="Q74" s="4">
        <v>0.55000000000000004</v>
      </c>
      <c r="R74" s="4">
        <v>1.3</v>
      </c>
      <c r="S74" s="4">
        <v>2.1</v>
      </c>
      <c r="T74" s="4">
        <v>0.60899999999999999</v>
      </c>
      <c r="U74" s="4">
        <v>1.5</v>
      </c>
      <c r="V74" s="4">
        <v>4.4000000000000004</v>
      </c>
      <c r="W74" s="4">
        <v>1</v>
      </c>
      <c r="X74" s="4">
        <v>0.7</v>
      </c>
      <c r="Y74" s="4">
        <v>0.9</v>
      </c>
      <c r="Z74" s="4">
        <v>1.5</v>
      </c>
      <c r="AA74" s="4">
        <v>1.8</v>
      </c>
      <c r="AB74" s="4">
        <v>7</v>
      </c>
      <c r="AC74" s="10">
        <f t="shared" si="7"/>
        <v>0.91815320041972714</v>
      </c>
      <c r="AD74" s="10">
        <f t="shared" si="8"/>
        <v>0.5</v>
      </c>
      <c r="AE74" s="12">
        <f>100*(AC74/TOTAL_BASIC!$D$302)</f>
        <v>106.85300486672359</v>
      </c>
      <c r="AF74" s="9"/>
      <c r="AG74" s="9"/>
      <c r="AH74" s="12">
        <f t="shared" si="9"/>
        <v>91.600000000000009</v>
      </c>
      <c r="AI74" s="12">
        <f t="shared" si="10"/>
        <v>72.5</v>
      </c>
      <c r="AJ74" s="12">
        <f t="shared" si="11"/>
        <v>51.9</v>
      </c>
      <c r="AK74" s="12">
        <f t="shared" si="12"/>
        <v>38.9</v>
      </c>
      <c r="AL74" s="12">
        <f t="shared" si="13"/>
        <v>8.3000000000000007</v>
      </c>
    </row>
    <row r="75" spans="1:38" ht="15.75" customHeight="1" x14ac:dyDescent="0.25">
      <c r="A75" s="1" t="s">
        <v>176</v>
      </c>
      <c r="B75" s="7" t="s">
        <v>89</v>
      </c>
      <c r="C75" s="4" t="s">
        <v>8</v>
      </c>
      <c r="D75" s="4">
        <v>34</v>
      </c>
      <c r="E75" s="4">
        <v>593</v>
      </c>
      <c r="F75" s="4">
        <v>34</v>
      </c>
      <c r="G75" s="4">
        <v>7</v>
      </c>
      <c r="H75" s="4">
        <v>17.399999999999999</v>
      </c>
      <c r="I75" s="4">
        <v>1.9</v>
      </c>
      <c r="J75" s="4">
        <v>5.6</v>
      </c>
      <c r="K75" s="4">
        <v>0.32800000000000001</v>
      </c>
      <c r="L75" s="4">
        <v>1</v>
      </c>
      <c r="M75" s="4">
        <v>3.1</v>
      </c>
      <c r="N75" s="4">
        <v>0.33300000000000002</v>
      </c>
      <c r="O75" s="4">
        <v>0.8</v>
      </c>
      <c r="P75" s="4">
        <v>2.6</v>
      </c>
      <c r="Q75" s="4">
        <v>0.32200000000000001</v>
      </c>
      <c r="R75" s="4">
        <v>1.7</v>
      </c>
      <c r="S75" s="4">
        <v>2.1</v>
      </c>
      <c r="T75" s="4">
        <v>0.84299999999999997</v>
      </c>
      <c r="U75" s="4">
        <v>0.2</v>
      </c>
      <c r="V75" s="4">
        <v>1.7</v>
      </c>
      <c r="W75" s="4">
        <v>1.5</v>
      </c>
      <c r="X75" s="4">
        <v>0.7</v>
      </c>
      <c r="Y75" s="4">
        <v>0.1</v>
      </c>
      <c r="Z75" s="4">
        <v>1.1000000000000001</v>
      </c>
      <c r="AA75" s="4">
        <v>0.9</v>
      </c>
      <c r="AB75" s="4">
        <v>6.5</v>
      </c>
      <c r="AC75" s="10">
        <f t="shared" si="7"/>
        <v>0.8525708289611752</v>
      </c>
      <c r="AD75" s="10">
        <f t="shared" si="8"/>
        <v>0.11111111111111112</v>
      </c>
      <c r="AE75" s="12">
        <f>100*(AC75/TOTAL_BASIC!$D$302)</f>
        <v>99.220647376243349</v>
      </c>
      <c r="AF75" s="9"/>
      <c r="AG75" s="9"/>
      <c r="AH75" s="12">
        <f t="shared" si="9"/>
        <v>31.2</v>
      </c>
      <c r="AI75" s="12">
        <f t="shared" si="10"/>
        <v>59.5</v>
      </c>
      <c r="AJ75" s="12">
        <f t="shared" si="11"/>
        <v>49.6</v>
      </c>
      <c r="AK75" s="12">
        <f t="shared" si="12"/>
        <v>37.4</v>
      </c>
      <c r="AL75" s="12">
        <f t="shared" si="13"/>
        <v>74.8</v>
      </c>
    </row>
    <row r="76" spans="1:38" ht="15.75" customHeight="1" x14ac:dyDescent="0.25">
      <c r="A76" s="1" t="s">
        <v>177</v>
      </c>
      <c r="B76" s="7" t="s">
        <v>86</v>
      </c>
      <c r="C76" s="4" t="s">
        <v>92</v>
      </c>
      <c r="D76" s="4">
        <v>34</v>
      </c>
      <c r="E76" s="4">
        <v>586</v>
      </c>
      <c r="F76" s="4">
        <v>34</v>
      </c>
      <c r="G76" s="4">
        <v>6</v>
      </c>
      <c r="H76" s="4">
        <v>17.2</v>
      </c>
      <c r="I76" s="4">
        <v>2.2999999999999998</v>
      </c>
      <c r="J76" s="4">
        <v>5.7</v>
      </c>
      <c r="K76" s="4">
        <v>0.4</v>
      </c>
      <c r="L76" s="4">
        <v>0.3</v>
      </c>
      <c r="M76" s="4">
        <v>1.5</v>
      </c>
      <c r="N76" s="4">
        <v>0.18</v>
      </c>
      <c r="O76" s="4">
        <v>2</v>
      </c>
      <c r="P76" s="4">
        <v>4.3</v>
      </c>
      <c r="Q76" s="4">
        <v>0.47599999999999998</v>
      </c>
      <c r="R76" s="4">
        <v>1</v>
      </c>
      <c r="S76" s="4">
        <v>1.3</v>
      </c>
      <c r="T76" s="4">
        <v>0.77800000000000002</v>
      </c>
      <c r="U76" s="4">
        <v>0.6</v>
      </c>
      <c r="V76" s="4">
        <v>2.2999999999999998</v>
      </c>
      <c r="W76" s="4">
        <v>1.3</v>
      </c>
      <c r="X76" s="4">
        <v>0.5</v>
      </c>
      <c r="Y76" s="4">
        <v>0.4</v>
      </c>
      <c r="Z76" s="4">
        <v>1.6</v>
      </c>
      <c r="AA76" s="4">
        <v>3</v>
      </c>
      <c r="AB76" s="4">
        <v>5.9</v>
      </c>
      <c r="AC76" s="10">
        <f t="shared" si="7"/>
        <v>0.74949186991869921</v>
      </c>
      <c r="AD76" s="10">
        <f t="shared" si="8"/>
        <v>0.13333333333333333</v>
      </c>
      <c r="AE76" s="12">
        <f>100*(AC76/TOTAL_BASIC!$D$302)</f>
        <v>87.224505003502728</v>
      </c>
      <c r="AF76" s="9"/>
      <c r="AG76" s="9"/>
      <c r="AH76" s="12">
        <f t="shared" si="9"/>
        <v>41.199999999999996</v>
      </c>
      <c r="AI76" s="12">
        <f t="shared" si="10"/>
        <v>28.199999999999996</v>
      </c>
      <c r="AJ76" s="12">
        <f t="shared" si="11"/>
        <v>42.699999999999996</v>
      </c>
      <c r="AK76" s="12">
        <f t="shared" si="12"/>
        <v>35.099999999999994</v>
      </c>
      <c r="AL76" s="12">
        <f t="shared" si="13"/>
        <v>50.3</v>
      </c>
    </row>
    <row r="77" spans="1:38" ht="15.75" customHeight="1" x14ac:dyDescent="0.25">
      <c r="A77" s="1" t="s">
        <v>178</v>
      </c>
      <c r="B77" s="7" t="s">
        <v>106</v>
      </c>
      <c r="C77" s="4" t="s">
        <v>8</v>
      </c>
      <c r="D77" s="4">
        <v>30</v>
      </c>
      <c r="E77" s="4">
        <v>582</v>
      </c>
      <c r="F77" s="4">
        <v>30</v>
      </c>
      <c r="G77" s="4">
        <v>4</v>
      </c>
      <c r="H77" s="4">
        <v>19.399999999999999</v>
      </c>
      <c r="I77" s="4">
        <v>1.8</v>
      </c>
      <c r="J77" s="4">
        <v>5.5</v>
      </c>
      <c r="K77" s="4">
        <v>0.33100000000000002</v>
      </c>
      <c r="L77" s="4">
        <v>0.2</v>
      </c>
      <c r="M77" s="4">
        <v>0.9</v>
      </c>
      <c r="N77" s="4">
        <v>0.25900000000000001</v>
      </c>
      <c r="O77" s="4">
        <v>1.6</v>
      </c>
      <c r="P77" s="4">
        <v>4.5999999999999996</v>
      </c>
      <c r="Q77" s="4">
        <v>0.34499999999999997</v>
      </c>
      <c r="R77" s="4">
        <v>0.3</v>
      </c>
      <c r="S77" s="4">
        <v>0.7</v>
      </c>
      <c r="T77" s="4">
        <v>0.40899999999999997</v>
      </c>
      <c r="U77" s="4">
        <v>0.6</v>
      </c>
      <c r="V77" s="4">
        <v>1.8</v>
      </c>
      <c r="W77" s="4">
        <v>1.8</v>
      </c>
      <c r="X77" s="4">
        <v>0.5</v>
      </c>
      <c r="Y77" s="4">
        <v>0</v>
      </c>
      <c r="Z77" s="4">
        <v>1.3</v>
      </c>
      <c r="AA77" s="4">
        <v>2.2000000000000002</v>
      </c>
      <c r="AB77" s="4">
        <v>4.2</v>
      </c>
      <c r="AC77" s="10">
        <f t="shared" si="7"/>
        <v>0.59088351153629715</v>
      </c>
      <c r="AD77" s="10">
        <f t="shared" si="8"/>
        <v>0</v>
      </c>
      <c r="AE77" s="12">
        <f>100*(AC77/TOTAL_BASIC!$D$302)</f>
        <v>68.765951809558317</v>
      </c>
      <c r="AF77" s="9"/>
      <c r="AG77" s="9"/>
      <c r="AH77" s="12">
        <f t="shared" si="9"/>
        <v>0</v>
      </c>
      <c r="AI77" s="12">
        <f t="shared" si="10"/>
        <v>6.8000000000000007</v>
      </c>
      <c r="AJ77" s="12">
        <f t="shared" si="11"/>
        <v>31.2</v>
      </c>
      <c r="AK77" s="12">
        <f t="shared" si="12"/>
        <v>41.9</v>
      </c>
      <c r="AL77" s="12">
        <f t="shared" si="13"/>
        <v>0</v>
      </c>
    </row>
    <row r="78" spans="1:38" ht="15.75" customHeight="1" x14ac:dyDescent="0.25">
      <c r="A78" s="1" t="s">
        <v>179</v>
      </c>
      <c r="B78" s="7" t="s">
        <v>108</v>
      </c>
      <c r="C78" s="4" t="s">
        <v>92</v>
      </c>
      <c r="D78" s="4">
        <v>34</v>
      </c>
      <c r="E78" s="4">
        <v>571</v>
      </c>
      <c r="F78" s="4">
        <v>34</v>
      </c>
      <c r="G78" s="4">
        <v>3</v>
      </c>
      <c r="H78" s="4">
        <v>16.8</v>
      </c>
      <c r="I78" s="4">
        <v>3.1</v>
      </c>
      <c r="J78" s="4">
        <v>6.2</v>
      </c>
      <c r="K78" s="4">
        <v>0.50700000000000001</v>
      </c>
      <c r="L78" s="4">
        <v>0</v>
      </c>
      <c r="M78" s="4">
        <v>0</v>
      </c>
      <c r="N78" s="4">
        <v>0</v>
      </c>
      <c r="O78" s="4">
        <v>3.1</v>
      </c>
      <c r="P78" s="4">
        <v>6.2</v>
      </c>
      <c r="Q78" s="4">
        <v>0.50700000000000001</v>
      </c>
      <c r="R78" s="4">
        <v>0.9</v>
      </c>
      <c r="S78" s="4">
        <v>1.1000000000000001</v>
      </c>
      <c r="T78" s="4">
        <v>0.86499999999999999</v>
      </c>
      <c r="U78" s="4">
        <v>1.4</v>
      </c>
      <c r="V78" s="4">
        <v>4.5</v>
      </c>
      <c r="W78" s="4">
        <v>0.5</v>
      </c>
      <c r="X78" s="4">
        <v>0.6</v>
      </c>
      <c r="Y78" s="4">
        <v>0.6</v>
      </c>
      <c r="Z78" s="4">
        <v>1.1000000000000001</v>
      </c>
      <c r="AA78" s="4">
        <v>1.5</v>
      </c>
      <c r="AB78" s="4">
        <v>7.2</v>
      </c>
      <c r="AC78" s="10">
        <f t="shared" si="7"/>
        <v>0.92497430626927024</v>
      </c>
      <c r="AD78" s="10">
        <f t="shared" si="8"/>
        <v>0.39999999999999997</v>
      </c>
      <c r="AE78" s="12">
        <f>100*(AC78/TOTAL_BASIC!$D$302)</f>
        <v>107.64683279892976</v>
      </c>
      <c r="AF78" s="9"/>
      <c r="AG78" s="9"/>
      <c r="AH78" s="12">
        <f t="shared" si="9"/>
        <v>84.7</v>
      </c>
      <c r="AI78" s="12">
        <f t="shared" si="10"/>
        <v>74.8</v>
      </c>
      <c r="AJ78" s="12">
        <f t="shared" si="11"/>
        <v>53.400000000000006</v>
      </c>
      <c r="AK78" s="12">
        <f t="shared" si="12"/>
        <v>33.5</v>
      </c>
      <c r="AL78" s="12">
        <f t="shared" si="13"/>
        <v>84.7</v>
      </c>
    </row>
    <row r="79" spans="1:38" ht="15.75" customHeight="1" x14ac:dyDescent="0.25">
      <c r="A79" s="1" t="s">
        <v>180</v>
      </c>
      <c r="B79" s="7" t="s">
        <v>89</v>
      </c>
      <c r="C79" s="4" t="s">
        <v>115</v>
      </c>
      <c r="D79" s="4">
        <v>34</v>
      </c>
      <c r="E79" s="4">
        <v>571</v>
      </c>
      <c r="F79" s="4">
        <v>34</v>
      </c>
      <c r="G79" s="4">
        <v>18</v>
      </c>
      <c r="H79" s="4">
        <v>16.8</v>
      </c>
      <c r="I79" s="4">
        <v>2.1</v>
      </c>
      <c r="J79" s="4">
        <v>4.5</v>
      </c>
      <c r="K79" s="4">
        <v>0.47399999999999998</v>
      </c>
      <c r="L79" s="4">
        <v>0</v>
      </c>
      <c r="M79" s="4">
        <v>0</v>
      </c>
      <c r="N79" s="4">
        <v>0</v>
      </c>
      <c r="O79" s="4">
        <v>2.1</v>
      </c>
      <c r="P79" s="4">
        <v>4.5</v>
      </c>
      <c r="Q79" s="4">
        <v>0.47399999999999998</v>
      </c>
      <c r="R79" s="4">
        <v>0.8</v>
      </c>
      <c r="S79" s="4">
        <v>1</v>
      </c>
      <c r="T79" s="4">
        <v>0.82399999999999995</v>
      </c>
      <c r="U79" s="4">
        <v>1.5</v>
      </c>
      <c r="V79" s="4">
        <v>4.8</v>
      </c>
      <c r="W79" s="4">
        <v>0.6</v>
      </c>
      <c r="X79" s="4">
        <v>0.5</v>
      </c>
      <c r="Y79" s="4">
        <v>0.7</v>
      </c>
      <c r="Z79" s="4">
        <v>1</v>
      </c>
      <c r="AA79" s="4">
        <v>2.2999999999999998</v>
      </c>
      <c r="AB79" s="4">
        <v>5.0999999999999996</v>
      </c>
      <c r="AC79" s="10">
        <f t="shared" si="7"/>
        <v>0.85858585858585845</v>
      </c>
      <c r="AD79" s="10">
        <f t="shared" si="8"/>
        <v>0.30434782608695654</v>
      </c>
      <c r="AE79" s="12">
        <f>100*(AC79/TOTAL_BASIC!$D$302)</f>
        <v>99.920665618804549</v>
      </c>
      <c r="AF79" s="9"/>
      <c r="AG79" s="9"/>
      <c r="AH79" s="12">
        <f t="shared" si="9"/>
        <v>79.3</v>
      </c>
      <c r="AI79" s="12">
        <f t="shared" si="10"/>
        <v>61</v>
      </c>
      <c r="AJ79" s="12">
        <f t="shared" si="11"/>
        <v>38.9</v>
      </c>
      <c r="AK79" s="12">
        <f t="shared" si="12"/>
        <v>33.5</v>
      </c>
      <c r="AL79" s="12">
        <f t="shared" si="13"/>
        <v>68.7</v>
      </c>
    </row>
    <row r="80" spans="1:38" ht="15.75" customHeight="1" x14ac:dyDescent="0.25">
      <c r="A80" s="1" t="s">
        <v>181</v>
      </c>
      <c r="B80" s="7" t="s">
        <v>141</v>
      </c>
      <c r="C80" s="4" t="s">
        <v>8</v>
      </c>
      <c r="D80" s="4">
        <v>33</v>
      </c>
      <c r="E80" s="4">
        <v>567</v>
      </c>
      <c r="F80" s="4">
        <v>33</v>
      </c>
      <c r="G80" s="4">
        <v>8</v>
      </c>
      <c r="H80" s="4">
        <v>17.2</v>
      </c>
      <c r="I80" s="4">
        <v>1.8</v>
      </c>
      <c r="J80" s="4">
        <v>4.5</v>
      </c>
      <c r="K80" s="4">
        <v>0.38700000000000001</v>
      </c>
      <c r="L80" s="4">
        <v>1.2</v>
      </c>
      <c r="M80" s="4">
        <v>3.5</v>
      </c>
      <c r="N80" s="4">
        <v>0.36</v>
      </c>
      <c r="O80" s="4">
        <v>0.5</v>
      </c>
      <c r="P80" s="4">
        <v>1.1000000000000001</v>
      </c>
      <c r="Q80" s="4">
        <v>0.47199999999999998</v>
      </c>
      <c r="R80" s="4">
        <v>0.2</v>
      </c>
      <c r="S80" s="4">
        <v>0.2</v>
      </c>
      <c r="T80" s="4">
        <v>0.875</v>
      </c>
      <c r="U80" s="4">
        <v>0.1</v>
      </c>
      <c r="V80" s="4">
        <v>1.2</v>
      </c>
      <c r="W80" s="4">
        <v>1</v>
      </c>
      <c r="X80" s="4">
        <v>0.5</v>
      </c>
      <c r="Y80" s="4">
        <v>0.1</v>
      </c>
      <c r="Z80" s="4">
        <v>0.5</v>
      </c>
      <c r="AA80" s="4">
        <v>0.9</v>
      </c>
      <c r="AB80" s="4">
        <v>5</v>
      </c>
      <c r="AC80" s="10">
        <f t="shared" si="7"/>
        <v>0.98270440251572322</v>
      </c>
      <c r="AD80" s="10">
        <f t="shared" si="8"/>
        <v>0.11111111111111112</v>
      </c>
      <c r="AE80" s="12">
        <f>100*(AC80/TOTAL_BASIC!$D$302)</f>
        <v>114.36535673628437</v>
      </c>
      <c r="AF80" s="9"/>
      <c r="AG80" s="9"/>
      <c r="AH80" s="12">
        <f t="shared" si="9"/>
        <v>31.2</v>
      </c>
      <c r="AI80" s="12">
        <f t="shared" si="10"/>
        <v>89.3</v>
      </c>
      <c r="AJ80" s="12">
        <f t="shared" si="11"/>
        <v>37.4</v>
      </c>
      <c r="AK80" s="12">
        <f t="shared" si="12"/>
        <v>35.099999999999994</v>
      </c>
      <c r="AL80" s="12">
        <f t="shared" si="13"/>
        <v>87.7</v>
      </c>
    </row>
    <row r="81" spans="1:38" ht="15.75" customHeight="1" x14ac:dyDescent="0.25">
      <c r="A81" s="1" t="s">
        <v>182</v>
      </c>
      <c r="B81" s="7" t="s">
        <v>122</v>
      </c>
      <c r="C81" s="4" t="s">
        <v>8</v>
      </c>
      <c r="D81" s="4">
        <v>22</v>
      </c>
      <c r="E81" s="4">
        <v>549</v>
      </c>
      <c r="F81" s="4">
        <v>22</v>
      </c>
      <c r="G81" s="4">
        <v>12</v>
      </c>
      <c r="H81" s="4">
        <v>25</v>
      </c>
      <c r="I81" s="4">
        <v>3.8</v>
      </c>
      <c r="J81" s="4">
        <v>11.6</v>
      </c>
      <c r="K81" s="4">
        <v>0.32900000000000001</v>
      </c>
      <c r="L81" s="4">
        <v>0.7</v>
      </c>
      <c r="M81" s="4">
        <v>3.5</v>
      </c>
      <c r="N81" s="4">
        <v>0.19700000000000001</v>
      </c>
      <c r="O81" s="4">
        <v>3.1</v>
      </c>
      <c r="P81" s="4">
        <v>8.1</v>
      </c>
      <c r="Q81" s="4">
        <v>0.38500000000000001</v>
      </c>
      <c r="R81" s="4">
        <v>0.9</v>
      </c>
      <c r="S81" s="4">
        <v>1.2</v>
      </c>
      <c r="T81" s="4">
        <v>0.74099999999999999</v>
      </c>
      <c r="U81" s="4">
        <v>0.8</v>
      </c>
      <c r="V81" s="4">
        <v>2.8</v>
      </c>
      <c r="W81" s="4">
        <v>2</v>
      </c>
      <c r="X81" s="4">
        <v>1.5</v>
      </c>
      <c r="Y81" s="4">
        <v>0.3</v>
      </c>
      <c r="Z81" s="4">
        <v>2.4</v>
      </c>
      <c r="AA81" s="4">
        <v>2.7</v>
      </c>
      <c r="AB81" s="4">
        <v>9.1999999999999993</v>
      </c>
      <c r="AC81" s="10">
        <f t="shared" si="7"/>
        <v>0.63325991189427311</v>
      </c>
      <c r="AD81" s="10">
        <f t="shared" si="8"/>
        <v>0.1111111111111111</v>
      </c>
      <c r="AE81" s="12">
        <f>100*(AC81/TOTAL_BASIC!$D$302)</f>
        <v>73.697640455434694</v>
      </c>
      <c r="AF81" s="9"/>
      <c r="AG81" s="9"/>
      <c r="AH81" s="12">
        <f t="shared" si="9"/>
        <v>29.7</v>
      </c>
      <c r="AI81" s="12">
        <f t="shared" si="10"/>
        <v>9.1</v>
      </c>
      <c r="AJ81" s="12">
        <f t="shared" si="11"/>
        <v>64.099999999999994</v>
      </c>
      <c r="AK81" s="12">
        <f t="shared" si="12"/>
        <v>57.999999999999993</v>
      </c>
      <c r="AL81" s="12">
        <f t="shared" si="13"/>
        <v>38.1</v>
      </c>
    </row>
    <row r="82" spans="1:38" ht="15.75" customHeight="1" x14ac:dyDescent="0.25">
      <c r="A82" s="1" t="s">
        <v>183</v>
      </c>
      <c r="B82" s="7" t="s">
        <v>99</v>
      </c>
      <c r="C82" s="4" t="s">
        <v>8</v>
      </c>
      <c r="D82" s="4">
        <v>23</v>
      </c>
      <c r="E82" s="4">
        <v>513</v>
      </c>
      <c r="F82" s="4">
        <v>23</v>
      </c>
      <c r="G82" s="4">
        <v>4</v>
      </c>
      <c r="H82" s="4">
        <v>22.3</v>
      </c>
      <c r="I82" s="4">
        <v>3.5</v>
      </c>
      <c r="J82" s="4">
        <v>8.6</v>
      </c>
      <c r="K82" s="4">
        <v>0.40600000000000003</v>
      </c>
      <c r="L82" s="4">
        <v>1</v>
      </c>
      <c r="M82" s="4">
        <v>2.7</v>
      </c>
      <c r="N82" s="4">
        <v>0.377</v>
      </c>
      <c r="O82" s="4">
        <v>2.5</v>
      </c>
      <c r="P82" s="4">
        <v>5.9</v>
      </c>
      <c r="Q82" s="4">
        <v>0.41899999999999998</v>
      </c>
      <c r="R82" s="4">
        <v>3.3</v>
      </c>
      <c r="S82" s="4">
        <v>4.4000000000000004</v>
      </c>
      <c r="T82" s="4">
        <v>0.745</v>
      </c>
      <c r="U82" s="4">
        <v>0.9</v>
      </c>
      <c r="V82" s="4">
        <v>3.7</v>
      </c>
      <c r="W82" s="4">
        <v>1.7</v>
      </c>
      <c r="X82" s="4">
        <v>1.2</v>
      </c>
      <c r="Y82" s="4">
        <v>0.1</v>
      </c>
      <c r="Z82" s="4">
        <v>1.7</v>
      </c>
      <c r="AA82" s="4">
        <v>2.2999999999999998</v>
      </c>
      <c r="AB82" s="4">
        <v>11.3</v>
      </c>
      <c r="AC82" s="10">
        <f t="shared" si="7"/>
        <v>0.92350441320693055</v>
      </c>
      <c r="AD82" s="10">
        <f t="shared" si="8"/>
        <v>4.3478260869565223E-2</v>
      </c>
      <c r="AE82" s="12">
        <f>100*(AC82/TOTAL_BASIC!$D$302)</f>
        <v>107.47576930922898</v>
      </c>
      <c r="AF82" s="9"/>
      <c r="AG82" s="9"/>
      <c r="AH82" s="12">
        <f t="shared" si="9"/>
        <v>5.3</v>
      </c>
      <c r="AI82" s="12">
        <f t="shared" si="10"/>
        <v>73.2</v>
      </c>
      <c r="AJ82" s="12">
        <f t="shared" si="11"/>
        <v>74</v>
      </c>
      <c r="AK82" s="12">
        <f t="shared" si="12"/>
        <v>50.3</v>
      </c>
      <c r="AL82" s="12">
        <f t="shared" si="13"/>
        <v>39.6</v>
      </c>
    </row>
    <row r="83" spans="1:38" ht="15.75" customHeight="1" x14ac:dyDescent="0.25">
      <c r="A83" s="1" t="s">
        <v>184</v>
      </c>
      <c r="B83" s="7" t="s">
        <v>95</v>
      </c>
      <c r="C83" s="4" t="s">
        <v>92</v>
      </c>
      <c r="D83" s="4">
        <v>33</v>
      </c>
      <c r="E83" s="4">
        <v>505</v>
      </c>
      <c r="F83" s="4">
        <v>33</v>
      </c>
      <c r="G83" s="4">
        <v>0</v>
      </c>
      <c r="H83" s="4">
        <v>15.3</v>
      </c>
      <c r="I83" s="4">
        <v>1.5</v>
      </c>
      <c r="J83" s="4">
        <v>3.2</v>
      </c>
      <c r="K83" s="4">
        <v>0.45300000000000001</v>
      </c>
      <c r="L83" s="4">
        <v>0.5</v>
      </c>
      <c r="M83" s="4">
        <v>1.2</v>
      </c>
      <c r="N83" s="4">
        <v>0.39</v>
      </c>
      <c r="O83" s="4">
        <v>1</v>
      </c>
      <c r="P83" s="4">
        <v>2</v>
      </c>
      <c r="Q83" s="4">
        <v>0.49199999999999999</v>
      </c>
      <c r="R83" s="4">
        <v>0.6</v>
      </c>
      <c r="S83" s="4">
        <v>0.8</v>
      </c>
      <c r="T83" s="4">
        <v>0.76</v>
      </c>
      <c r="U83" s="4">
        <v>1</v>
      </c>
      <c r="V83" s="4">
        <v>2.5</v>
      </c>
      <c r="W83" s="4">
        <v>0.4</v>
      </c>
      <c r="X83" s="4">
        <v>0.4</v>
      </c>
      <c r="Y83" s="4">
        <v>0.2</v>
      </c>
      <c r="Z83" s="4">
        <v>1.1000000000000001</v>
      </c>
      <c r="AA83" s="4">
        <v>1.5</v>
      </c>
      <c r="AB83" s="4">
        <v>4</v>
      </c>
      <c r="AC83" s="10">
        <f t="shared" si="7"/>
        <v>0.85984522785898532</v>
      </c>
      <c r="AD83" s="10">
        <f t="shared" si="8"/>
        <v>0.13333333333333333</v>
      </c>
      <c r="AE83" s="12">
        <f>100*(AC83/TOTAL_BASIC!$D$302)</f>
        <v>100.06722873159326</v>
      </c>
      <c r="AF83" s="9"/>
      <c r="AG83" s="9"/>
      <c r="AH83" s="12">
        <f t="shared" si="9"/>
        <v>41.199999999999996</v>
      </c>
      <c r="AI83" s="12">
        <f t="shared" si="10"/>
        <v>62.5</v>
      </c>
      <c r="AJ83" s="12">
        <f t="shared" si="11"/>
        <v>27.400000000000002</v>
      </c>
      <c r="AK83" s="12">
        <f t="shared" si="12"/>
        <v>31.2</v>
      </c>
      <c r="AL83" s="12">
        <f t="shared" si="13"/>
        <v>46.5</v>
      </c>
    </row>
    <row r="84" spans="1:38" ht="15.75" customHeight="1" x14ac:dyDescent="0.25">
      <c r="A84" s="1" t="s">
        <v>185</v>
      </c>
      <c r="B84" s="4" t="s">
        <v>89</v>
      </c>
      <c r="C84" s="4" t="s">
        <v>8</v>
      </c>
      <c r="D84" s="4">
        <v>34</v>
      </c>
      <c r="E84" s="4">
        <v>503</v>
      </c>
      <c r="F84" s="4">
        <v>34</v>
      </c>
      <c r="G84" s="4">
        <v>0</v>
      </c>
      <c r="H84" s="4">
        <v>14.8</v>
      </c>
      <c r="I84" s="4">
        <v>1.5</v>
      </c>
      <c r="J84" s="4">
        <v>4.2</v>
      </c>
      <c r="K84" s="4">
        <v>0.35899999999999999</v>
      </c>
      <c r="L84" s="4">
        <v>0</v>
      </c>
      <c r="M84" s="4">
        <v>0.2</v>
      </c>
      <c r="N84" s="4">
        <v>0.14299999999999999</v>
      </c>
      <c r="O84" s="4">
        <v>1.5</v>
      </c>
      <c r="P84" s="4">
        <v>4</v>
      </c>
      <c r="Q84" s="4">
        <v>0.37</v>
      </c>
      <c r="R84" s="4">
        <v>1.4</v>
      </c>
      <c r="S84" s="4">
        <v>1.8</v>
      </c>
      <c r="T84" s="4">
        <v>0.78300000000000003</v>
      </c>
      <c r="U84" s="4">
        <v>1</v>
      </c>
      <c r="V84" s="4">
        <v>2.8</v>
      </c>
      <c r="W84" s="4">
        <v>0.8</v>
      </c>
      <c r="X84" s="4">
        <v>0.6</v>
      </c>
      <c r="Y84" s="4">
        <v>0.2</v>
      </c>
      <c r="Z84" s="4">
        <v>0.6</v>
      </c>
      <c r="AA84" s="4">
        <v>1.7</v>
      </c>
      <c r="AB84" s="4">
        <v>4.4000000000000004</v>
      </c>
      <c r="AC84" s="10">
        <f t="shared" si="7"/>
        <v>0.78683834048640922</v>
      </c>
      <c r="AD84" s="10">
        <f t="shared" si="8"/>
        <v>0.11764705882352942</v>
      </c>
      <c r="AE84" s="12">
        <f>100*(AC84/TOTAL_BASIC!$D$302)</f>
        <v>91.570819539576021</v>
      </c>
      <c r="AF84" s="9"/>
      <c r="AG84" s="9"/>
      <c r="AH84" s="12">
        <f t="shared" si="9"/>
        <v>35.099999999999994</v>
      </c>
      <c r="AI84" s="12">
        <f t="shared" si="10"/>
        <v>40.400000000000006</v>
      </c>
      <c r="AJ84" s="12">
        <f t="shared" si="11"/>
        <v>32</v>
      </c>
      <c r="AK84" s="12">
        <f t="shared" si="12"/>
        <v>29.7</v>
      </c>
      <c r="AL84" s="12">
        <f t="shared" si="13"/>
        <v>54.1</v>
      </c>
    </row>
    <row r="85" spans="1:38" ht="15.75" customHeight="1" x14ac:dyDescent="0.25">
      <c r="A85" s="1" t="s">
        <v>186</v>
      </c>
      <c r="B85" s="7" t="s">
        <v>141</v>
      </c>
      <c r="C85" s="4" t="s">
        <v>115</v>
      </c>
      <c r="D85" s="4">
        <v>20</v>
      </c>
      <c r="E85" s="4">
        <v>499</v>
      </c>
      <c r="F85" s="4">
        <v>20</v>
      </c>
      <c r="G85" s="4">
        <v>16</v>
      </c>
      <c r="H85" s="4">
        <v>25</v>
      </c>
      <c r="I85" s="4">
        <v>5.3</v>
      </c>
      <c r="J85" s="4">
        <v>9.5</v>
      </c>
      <c r="K85" s="4">
        <v>0.56100000000000005</v>
      </c>
      <c r="L85" s="4">
        <v>0</v>
      </c>
      <c r="M85" s="4">
        <v>0</v>
      </c>
      <c r="N85" s="4">
        <v>0</v>
      </c>
      <c r="O85" s="4">
        <v>5.3</v>
      </c>
      <c r="P85" s="4">
        <v>9.5</v>
      </c>
      <c r="Q85" s="4">
        <v>0.56100000000000005</v>
      </c>
      <c r="R85" s="4">
        <v>5.7</v>
      </c>
      <c r="S85" s="4">
        <v>7.4</v>
      </c>
      <c r="T85" s="4">
        <v>0.77600000000000002</v>
      </c>
      <c r="U85" s="4">
        <v>2.5</v>
      </c>
      <c r="V85" s="4">
        <v>8.3000000000000007</v>
      </c>
      <c r="W85" s="4">
        <v>1.1000000000000001</v>
      </c>
      <c r="X85" s="4">
        <v>0.5</v>
      </c>
      <c r="Y85" s="4">
        <v>2.4</v>
      </c>
      <c r="Z85" s="4">
        <v>3.1</v>
      </c>
      <c r="AA85" s="4">
        <v>2.9</v>
      </c>
      <c r="AB85" s="4">
        <v>16.3</v>
      </c>
      <c r="AC85" s="10">
        <f t="shared" si="7"/>
        <v>1.0280020181634713</v>
      </c>
      <c r="AD85" s="10">
        <f t="shared" si="8"/>
        <v>0.82758620689655171</v>
      </c>
      <c r="AE85" s="12">
        <f>100*(AC85/TOTAL_BASIC!$D$302)</f>
        <v>119.63701112146445</v>
      </c>
      <c r="AF85" s="9"/>
      <c r="AG85" s="9"/>
      <c r="AH85" s="12">
        <f t="shared" si="9"/>
        <v>96.899999999999991</v>
      </c>
      <c r="AI85" s="12">
        <f t="shared" si="10"/>
        <v>95.399999999999991</v>
      </c>
      <c r="AJ85" s="12">
        <f t="shared" si="11"/>
        <v>92.300000000000011</v>
      </c>
      <c r="AK85" s="12">
        <f t="shared" si="12"/>
        <v>57.999999999999993</v>
      </c>
      <c r="AL85" s="12">
        <f t="shared" si="13"/>
        <v>49.6</v>
      </c>
    </row>
    <row r="86" spans="1:38" ht="15.75" customHeight="1" x14ac:dyDescent="0.25">
      <c r="A86" s="1" t="s">
        <v>187</v>
      </c>
      <c r="B86" s="7" t="s">
        <v>89</v>
      </c>
      <c r="C86" s="4" t="s">
        <v>92</v>
      </c>
      <c r="D86" s="4">
        <v>34</v>
      </c>
      <c r="E86" s="4">
        <v>498</v>
      </c>
      <c r="F86" s="4">
        <v>34</v>
      </c>
      <c r="G86" s="4">
        <v>1</v>
      </c>
      <c r="H86" s="4">
        <v>14.6</v>
      </c>
      <c r="I86" s="4">
        <v>1.9</v>
      </c>
      <c r="J86" s="4">
        <v>4.4000000000000004</v>
      </c>
      <c r="K86" s="4">
        <v>0.44600000000000001</v>
      </c>
      <c r="L86" s="4">
        <v>0</v>
      </c>
      <c r="M86" s="4">
        <v>0.1</v>
      </c>
      <c r="N86" s="4">
        <v>0</v>
      </c>
      <c r="O86" s="4">
        <v>1.9</v>
      </c>
      <c r="P86" s="4">
        <v>4.3</v>
      </c>
      <c r="Q86" s="4">
        <v>0.45200000000000001</v>
      </c>
      <c r="R86" s="4">
        <v>0.5</v>
      </c>
      <c r="S86" s="4">
        <v>0.6</v>
      </c>
      <c r="T86" s="4">
        <v>0.81</v>
      </c>
      <c r="U86" s="4">
        <v>1.2</v>
      </c>
      <c r="V86" s="4">
        <v>3.1</v>
      </c>
      <c r="W86" s="4">
        <v>1.2</v>
      </c>
      <c r="X86" s="4">
        <v>0.6</v>
      </c>
      <c r="Y86" s="4">
        <v>0.7</v>
      </c>
      <c r="Z86" s="4">
        <v>0.9</v>
      </c>
      <c r="AA86" s="4">
        <v>1.6</v>
      </c>
      <c r="AB86" s="4">
        <v>4.4000000000000004</v>
      </c>
      <c r="AC86" s="10">
        <f t="shared" si="7"/>
        <v>0.79079798705966919</v>
      </c>
      <c r="AD86" s="10">
        <f t="shared" si="8"/>
        <v>0.43749999999999994</v>
      </c>
      <c r="AE86" s="12">
        <f>100*(AC86/TOTAL_BASIC!$D$302)</f>
        <v>92.031636028991542</v>
      </c>
      <c r="AF86" s="9"/>
      <c r="AG86" s="9"/>
      <c r="AH86" s="12">
        <f t="shared" si="9"/>
        <v>87.7</v>
      </c>
      <c r="AI86" s="12">
        <f t="shared" si="10"/>
        <v>41.9</v>
      </c>
      <c r="AJ86" s="12">
        <f t="shared" si="11"/>
        <v>32</v>
      </c>
      <c r="AK86" s="12">
        <f t="shared" si="12"/>
        <v>27.400000000000002</v>
      </c>
      <c r="AL86" s="12">
        <f t="shared" si="13"/>
        <v>63.3</v>
      </c>
    </row>
    <row r="87" spans="1:38" ht="15.75" customHeight="1" x14ac:dyDescent="0.25">
      <c r="A87" s="1" t="s">
        <v>188</v>
      </c>
      <c r="B87" s="7" t="s">
        <v>86</v>
      </c>
      <c r="C87" s="4" t="s">
        <v>115</v>
      </c>
      <c r="D87" s="4">
        <v>34</v>
      </c>
      <c r="E87" s="4">
        <v>477</v>
      </c>
      <c r="F87" s="4">
        <v>34</v>
      </c>
      <c r="G87" s="4">
        <v>3</v>
      </c>
      <c r="H87" s="4">
        <v>14</v>
      </c>
      <c r="I87" s="4">
        <v>1</v>
      </c>
      <c r="J87" s="4">
        <v>1.9</v>
      </c>
      <c r="K87" s="4">
        <v>0.51600000000000001</v>
      </c>
      <c r="L87" s="4">
        <v>0</v>
      </c>
      <c r="M87" s="4">
        <v>0</v>
      </c>
      <c r="N87" s="4">
        <v>0</v>
      </c>
      <c r="O87" s="4">
        <v>1</v>
      </c>
      <c r="P87" s="4">
        <v>1.9</v>
      </c>
      <c r="Q87" s="4">
        <v>0.51600000000000001</v>
      </c>
      <c r="R87" s="4">
        <v>0.4</v>
      </c>
      <c r="S87" s="4">
        <v>0.9</v>
      </c>
      <c r="T87" s="4">
        <v>0.41899999999999998</v>
      </c>
      <c r="U87" s="4">
        <v>1.1000000000000001</v>
      </c>
      <c r="V87" s="4">
        <v>4.0999999999999996</v>
      </c>
      <c r="W87" s="4">
        <v>0.2</v>
      </c>
      <c r="X87" s="4">
        <v>0.2</v>
      </c>
      <c r="Y87" s="4">
        <v>0.5</v>
      </c>
      <c r="Z87" s="4">
        <v>0.9</v>
      </c>
      <c r="AA87" s="4">
        <v>2.6</v>
      </c>
      <c r="AB87" s="4">
        <v>2.2999999999999998</v>
      </c>
      <c r="AC87" s="10">
        <f t="shared" si="7"/>
        <v>0.71964956195244056</v>
      </c>
      <c r="AD87" s="10">
        <f t="shared" si="8"/>
        <v>0.19230769230769229</v>
      </c>
      <c r="AE87" s="12">
        <f>100*(AC87/TOTAL_BASIC!$D$302)</f>
        <v>83.751511306050944</v>
      </c>
      <c r="AF87" s="9"/>
      <c r="AG87" s="9"/>
      <c r="AH87" s="12">
        <f t="shared" si="9"/>
        <v>61.8</v>
      </c>
      <c r="AI87" s="12">
        <f t="shared" si="10"/>
        <v>22.1</v>
      </c>
      <c r="AJ87" s="12">
        <f t="shared" si="11"/>
        <v>12.2</v>
      </c>
      <c r="AK87" s="12">
        <f t="shared" si="12"/>
        <v>25.1</v>
      </c>
      <c r="AL87" s="12">
        <f t="shared" si="13"/>
        <v>0.70000000000000007</v>
      </c>
    </row>
    <row r="88" spans="1:38" ht="15.75" customHeight="1" x14ac:dyDescent="0.25">
      <c r="A88" s="1" t="s">
        <v>189</v>
      </c>
      <c r="B88" s="7" t="s">
        <v>104</v>
      </c>
      <c r="C88" s="4" t="s">
        <v>8</v>
      </c>
      <c r="D88" s="4">
        <v>34</v>
      </c>
      <c r="E88" s="4">
        <v>453</v>
      </c>
      <c r="F88" s="4">
        <v>34</v>
      </c>
      <c r="G88" s="4">
        <v>18</v>
      </c>
      <c r="H88" s="4">
        <v>13.3</v>
      </c>
      <c r="I88" s="4">
        <v>1.1000000000000001</v>
      </c>
      <c r="J88" s="4">
        <v>3.6</v>
      </c>
      <c r="K88" s="4">
        <v>0.32200000000000001</v>
      </c>
      <c r="L88" s="4">
        <v>0.2</v>
      </c>
      <c r="M88" s="4">
        <v>0.7</v>
      </c>
      <c r="N88" s="4">
        <v>0.26100000000000001</v>
      </c>
      <c r="O88" s="4">
        <v>1</v>
      </c>
      <c r="P88" s="4">
        <v>2.9</v>
      </c>
      <c r="Q88" s="4">
        <v>0.33700000000000002</v>
      </c>
      <c r="R88" s="4">
        <v>0.1</v>
      </c>
      <c r="S88" s="4">
        <v>0.2</v>
      </c>
      <c r="T88" s="4">
        <v>0.57099999999999995</v>
      </c>
      <c r="U88" s="4">
        <v>0.5</v>
      </c>
      <c r="V88" s="4">
        <v>2.1</v>
      </c>
      <c r="W88" s="4">
        <v>0.9</v>
      </c>
      <c r="X88" s="4">
        <v>0.7</v>
      </c>
      <c r="Y88" s="4">
        <v>0.2</v>
      </c>
      <c r="Z88" s="4">
        <v>0.9</v>
      </c>
      <c r="AA88" s="4">
        <v>1.1000000000000001</v>
      </c>
      <c r="AB88" s="4">
        <v>2.6</v>
      </c>
      <c r="AC88" s="10">
        <f t="shared" si="7"/>
        <v>0.56669572798605061</v>
      </c>
      <c r="AD88" s="10">
        <f t="shared" si="8"/>
        <v>0.18181818181818182</v>
      </c>
      <c r="AE88" s="12">
        <f>100*(AC88/TOTAL_BASIC!$D$302)</f>
        <v>65.951021412073175</v>
      </c>
      <c r="AF88" s="9"/>
      <c r="AG88" s="9"/>
      <c r="AH88" s="12">
        <f t="shared" si="9"/>
        <v>59.5</v>
      </c>
      <c r="AI88" s="12">
        <f t="shared" si="10"/>
        <v>5.3</v>
      </c>
      <c r="AJ88" s="12">
        <f t="shared" si="11"/>
        <v>14.499999999999998</v>
      </c>
      <c r="AK88" s="12">
        <f t="shared" si="12"/>
        <v>23.599999999999998</v>
      </c>
      <c r="AL88" s="12">
        <f t="shared" si="13"/>
        <v>3.8</v>
      </c>
    </row>
    <row r="89" spans="1:38" ht="15.75" customHeight="1" x14ac:dyDescent="0.25">
      <c r="A89" s="1" t="s">
        <v>190</v>
      </c>
      <c r="B89" s="7" t="s">
        <v>141</v>
      </c>
      <c r="C89" s="4" t="s">
        <v>92</v>
      </c>
      <c r="D89" s="4">
        <v>32</v>
      </c>
      <c r="E89" s="4">
        <v>450</v>
      </c>
      <c r="F89" s="4">
        <v>32</v>
      </c>
      <c r="G89" s="4">
        <v>7</v>
      </c>
      <c r="H89" s="4">
        <v>14.1</v>
      </c>
      <c r="I89" s="4">
        <v>1.4</v>
      </c>
      <c r="J89" s="4">
        <v>4.3</v>
      </c>
      <c r="K89" s="4">
        <v>0.32400000000000001</v>
      </c>
      <c r="L89" s="4">
        <v>0.6</v>
      </c>
      <c r="M89" s="4">
        <v>2.2000000000000002</v>
      </c>
      <c r="N89" s="4">
        <v>0.254</v>
      </c>
      <c r="O89" s="4">
        <v>0.8</v>
      </c>
      <c r="P89" s="4">
        <v>2.1</v>
      </c>
      <c r="Q89" s="4">
        <v>0.39700000000000002</v>
      </c>
      <c r="R89" s="4">
        <v>0.6</v>
      </c>
      <c r="S89" s="4">
        <v>0.7</v>
      </c>
      <c r="T89" s="4">
        <v>0.81799999999999995</v>
      </c>
      <c r="U89" s="4">
        <v>0.4</v>
      </c>
      <c r="V89" s="4">
        <v>1.3</v>
      </c>
      <c r="W89" s="4">
        <v>0.7</v>
      </c>
      <c r="X89" s="4">
        <v>0.2</v>
      </c>
      <c r="Y89" s="4">
        <v>0.2</v>
      </c>
      <c r="Z89" s="4">
        <v>0.7</v>
      </c>
      <c r="AA89" s="4">
        <v>1.9</v>
      </c>
      <c r="AB89" s="4">
        <v>3.9</v>
      </c>
      <c r="AC89" s="10">
        <f t="shared" si="7"/>
        <v>0.73474001507159004</v>
      </c>
      <c r="AD89" s="10">
        <f t="shared" si="8"/>
        <v>0.10526315789473685</v>
      </c>
      <c r="AE89" s="12">
        <f>100*(AC89/TOTAL_BASIC!$D$302)</f>
        <v>85.507710881290038</v>
      </c>
      <c r="AF89" s="9"/>
      <c r="AG89" s="9"/>
      <c r="AH89" s="12">
        <f t="shared" si="9"/>
        <v>28.999999999999996</v>
      </c>
      <c r="AI89" s="12">
        <f t="shared" si="10"/>
        <v>26.700000000000003</v>
      </c>
      <c r="AJ89" s="12">
        <f t="shared" si="11"/>
        <v>25.900000000000002</v>
      </c>
      <c r="AK89" s="12">
        <f t="shared" si="12"/>
        <v>25.900000000000002</v>
      </c>
      <c r="AL89" s="12">
        <f t="shared" si="13"/>
        <v>67.900000000000006</v>
      </c>
    </row>
    <row r="90" spans="1:38" ht="15.75" customHeight="1" x14ac:dyDescent="0.25">
      <c r="A90" s="1" t="s">
        <v>191</v>
      </c>
      <c r="B90" s="7" t="s">
        <v>122</v>
      </c>
      <c r="C90" s="4" t="s">
        <v>100</v>
      </c>
      <c r="D90" s="4">
        <v>28</v>
      </c>
      <c r="E90" s="4">
        <v>441</v>
      </c>
      <c r="F90" s="4">
        <v>28</v>
      </c>
      <c r="G90" s="4">
        <v>9</v>
      </c>
      <c r="H90" s="4">
        <v>15.8</v>
      </c>
      <c r="I90" s="4">
        <v>2.1</v>
      </c>
      <c r="J90" s="4">
        <v>5.9</v>
      </c>
      <c r="K90" s="4">
        <v>0.35199999999999998</v>
      </c>
      <c r="L90" s="4">
        <v>0.5</v>
      </c>
      <c r="M90" s="4">
        <v>1.6</v>
      </c>
      <c r="N90" s="4">
        <v>0.32600000000000001</v>
      </c>
      <c r="O90" s="4">
        <v>1.5</v>
      </c>
      <c r="P90" s="4">
        <v>4.3</v>
      </c>
      <c r="Q90" s="4">
        <v>0.36099999999999999</v>
      </c>
      <c r="R90" s="4">
        <v>1.3</v>
      </c>
      <c r="S90" s="4">
        <v>1.8</v>
      </c>
      <c r="T90" s="4">
        <v>0.72499999999999998</v>
      </c>
      <c r="U90" s="4">
        <v>0.5</v>
      </c>
      <c r="V90" s="4">
        <v>1.7</v>
      </c>
      <c r="W90" s="4">
        <v>1</v>
      </c>
      <c r="X90" s="4">
        <v>0.5</v>
      </c>
      <c r="Y90" s="4">
        <v>0.1</v>
      </c>
      <c r="Z90" s="4">
        <v>1.3</v>
      </c>
      <c r="AA90" s="4">
        <v>1.3</v>
      </c>
      <c r="AB90" s="4">
        <v>6</v>
      </c>
      <c r="AC90" s="10">
        <f t="shared" si="7"/>
        <v>0.75075075075075071</v>
      </c>
      <c r="AD90" s="10">
        <f t="shared" si="8"/>
        <v>7.6923076923076927E-2</v>
      </c>
      <c r="AE90" s="12">
        <f>100*(AC90/TOTAL_BASIC!$D$302)</f>
        <v>87.371011272404616</v>
      </c>
      <c r="AF90" s="9"/>
      <c r="AG90" s="9"/>
      <c r="AH90" s="12">
        <f t="shared" si="9"/>
        <v>16</v>
      </c>
      <c r="AI90" s="12">
        <f t="shared" si="10"/>
        <v>30.5</v>
      </c>
      <c r="AJ90" s="12">
        <f t="shared" si="11"/>
        <v>45</v>
      </c>
      <c r="AK90" s="12">
        <f t="shared" si="12"/>
        <v>32</v>
      </c>
      <c r="AL90" s="12">
        <f t="shared" si="13"/>
        <v>33.5</v>
      </c>
    </row>
    <row r="91" spans="1:38" ht="15.75" customHeight="1" x14ac:dyDescent="0.25">
      <c r="A91" s="1" t="s">
        <v>192</v>
      </c>
      <c r="B91" s="7" t="s">
        <v>106</v>
      </c>
      <c r="C91" s="4" t="s">
        <v>92</v>
      </c>
      <c r="D91" s="4">
        <v>30</v>
      </c>
      <c r="E91" s="4">
        <v>439</v>
      </c>
      <c r="F91" s="4">
        <v>30</v>
      </c>
      <c r="G91" s="4">
        <v>2</v>
      </c>
      <c r="H91" s="4">
        <v>14.6</v>
      </c>
      <c r="I91" s="4">
        <v>2.2999999999999998</v>
      </c>
      <c r="J91" s="4">
        <v>5.2</v>
      </c>
      <c r="K91" s="4">
        <v>0.439</v>
      </c>
      <c r="L91" s="4">
        <v>0</v>
      </c>
      <c r="M91" s="4">
        <v>0</v>
      </c>
      <c r="N91" s="4">
        <v>0</v>
      </c>
      <c r="O91" s="4">
        <v>2.2999999999999998</v>
      </c>
      <c r="P91" s="4">
        <v>5.2</v>
      </c>
      <c r="Q91" s="4">
        <v>0.439</v>
      </c>
      <c r="R91" s="4">
        <v>0.7</v>
      </c>
      <c r="S91" s="4">
        <v>0.9</v>
      </c>
      <c r="T91" s="4">
        <v>0.74099999999999999</v>
      </c>
      <c r="U91" s="4">
        <v>1.7</v>
      </c>
      <c r="V91" s="4">
        <v>4</v>
      </c>
      <c r="W91" s="4">
        <v>0.6</v>
      </c>
      <c r="X91" s="4">
        <v>0.6</v>
      </c>
      <c r="Y91" s="4">
        <v>1</v>
      </c>
      <c r="Z91" s="4">
        <v>1.1000000000000001</v>
      </c>
      <c r="AA91" s="4">
        <v>1.3</v>
      </c>
      <c r="AB91" s="4">
        <v>5.3</v>
      </c>
      <c r="AC91" s="10">
        <f t="shared" si="7"/>
        <v>0.7915173237753883</v>
      </c>
      <c r="AD91" s="10">
        <f t="shared" si="8"/>
        <v>0.76923076923076916</v>
      </c>
      <c r="AE91" s="12">
        <f>100*(AC91/TOTAL_BASIC!$D$302)</f>
        <v>92.115351131820148</v>
      </c>
      <c r="AF91" s="9"/>
      <c r="AG91" s="9"/>
      <c r="AH91" s="12">
        <f t="shared" si="9"/>
        <v>96.1</v>
      </c>
      <c r="AI91" s="12">
        <f t="shared" si="10"/>
        <v>42.699999999999996</v>
      </c>
      <c r="AJ91" s="12">
        <f t="shared" si="11"/>
        <v>40.400000000000006</v>
      </c>
      <c r="AK91" s="12">
        <f t="shared" si="12"/>
        <v>27.400000000000002</v>
      </c>
      <c r="AL91" s="12">
        <f t="shared" si="13"/>
        <v>38.1</v>
      </c>
    </row>
    <row r="92" spans="1:38" ht="15.75" customHeight="1" x14ac:dyDescent="0.25">
      <c r="A92" s="1" t="s">
        <v>193</v>
      </c>
      <c r="B92" s="7" t="s">
        <v>99</v>
      </c>
      <c r="C92" s="4" t="s">
        <v>110</v>
      </c>
      <c r="D92" s="4">
        <v>34</v>
      </c>
      <c r="E92" s="4">
        <v>434</v>
      </c>
      <c r="F92" s="4">
        <v>34</v>
      </c>
      <c r="G92" s="4">
        <v>1</v>
      </c>
      <c r="H92" s="4">
        <v>12.8</v>
      </c>
      <c r="I92" s="4">
        <v>1.6</v>
      </c>
      <c r="J92" s="4">
        <v>3.5</v>
      </c>
      <c r="K92" s="4">
        <v>0.45</v>
      </c>
      <c r="L92" s="4">
        <v>0</v>
      </c>
      <c r="M92" s="4">
        <v>0</v>
      </c>
      <c r="N92" s="4">
        <v>0</v>
      </c>
      <c r="O92" s="4">
        <v>1.6</v>
      </c>
      <c r="P92" s="4">
        <v>3.5</v>
      </c>
      <c r="Q92" s="4">
        <v>0.45</v>
      </c>
      <c r="R92" s="4">
        <v>0.8</v>
      </c>
      <c r="S92" s="4">
        <v>1</v>
      </c>
      <c r="T92" s="4">
        <v>0.76500000000000001</v>
      </c>
      <c r="U92" s="4">
        <v>1.3</v>
      </c>
      <c r="V92" s="4">
        <v>3.9</v>
      </c>
      <c r="W92" s="4">
        <v>0.5</v>
      </c>
      <c r="X92" s="4">
        <v>0.3</v>
      </c>
      <c r="Y92" s="4">
        <v>0.5</v>
      </c>
      <c r="Z92" s="4">
        <v>0.8</v>
      </c>
      <c r="AA92" s="4">
        <v>1.2</v>
      </c>
      <c r="AB92" s="4">
        <v>3.9</v>
      </c>
      <c r="AC92" s="10">
        <f t="shared" si="7"/>
        <v>0.82278481012658222</v>
      </c>
      <c r="AD92" s="10">
        <f t="shared" si="8"/>
        <v>0.41666666666666669</v>
      </c>
      <c r="AE92" s="12">
        <f>100*(AC92/TOTAL_BASIC!$D$302)</f>
        <v>95.75420450588345</v>
      </c>
      <c r="AF92" s="9"/>
      <c r="AG92" s="9"/>
      <c r="AH92" s="12">
        <f t="shared" si="9"/>
        <v>86.2</v>
      </c>
      <c r="AI92" s="12">
        <f t="shared" si="10"/>
        <v>51.1</v>
      </c>
      <c r="AJ92" s="12">
        <f t="shared" si="11"/>
        <v>25.900000000000002</v>
      </c>
      <c r="AK92" s="12">
        <f t="shared" si="12"/>
        <v>22.1</v>
      </c>
      <c r="AL92" s="12">
        <f t="shared" si="13"/>
        <v>48.8</v>
      </c>
    </row>
    <row r="93" spans="1:38" ht="15.75" customHeight="1" x14ac:dyDescent="0.25">
      <c r="A93" s="1" t="s">
        <v>194</v>
      </c>
      <c r="B93" s="7" t="s">
        <v>97</v>
      </c>
      <c r="C93" s="4" t="s">
        <v>8</v>
      </c>
      <c r="D93" s="4">
        <v>29</v>
      </c>
      <c r="E93" s="4">
        <v>433</v>
      </c>
      <c r="F93" s="4">
        <v>29</v>
      </c>
      <c r="G93" s="4">
        <v>4</v>
      </c>
      <c r="H93" s="4">
        <v>14.9</v>
      </c>
      <c r="I93" s="4">
        <v>1.4</v>
      </c>
      <c r="J93" s="4">
        <v>4.5</v>
      </c>
      <c r="K93" s="4">
        <v>0.32300000000000001</v>
      </c>
      <c r="L93" s="4">
        <v>0.6</v>
      </c>
      <c r="M93" s="4">
        <v>2.1</v>
      </c>
      <c r="N93" s="4">
        <v>0.3</v>
      </c>
      <c r="O93" s="4">
        <v>0.8</v>
      </c>
      <c r="P93" s="4">
        <v>2.4</v>
      </c>
      <c r="Q93" s="4">
        <v>0.34300000000000003</v>
      </c>
      <c r="R93" s="4">
        <v>1</v>
      </c>
      <c r="S93" s="4">
        <v>1.3</v>
      </c>
      <c r="T93" s="4">
        <v>0.75700000000000001</v>
      </c>
      <c r="U93" s="4">
        <v>0.6</v>
      </c>
      <c r="V93" s="4">
        <v>1.9</v>
      </c>
      <c r="W93" s="4">
        <v>1.8</v>
      </c>
      <c r="X93" s="4">
        <v>0.7</v>
      </c>
      <c r="Y93" s="4">
        <v>0.2</v>
      </c>
      <c r="Z93" s="4">
        <v>1.4</v>
      </c>
      <c r="AA93" s="4">
        <v>1.2</v>
      </c>
      <c r="AB93" s="4">
        <v>4.5</v>
      </c>
      <c r="AC93" s="10">
        <f t="shared" si="7"/>
        <v>0.69530284301606926</v>
      </c>
      <c r="AD93" s="10">
        <f t="shared" si="8"/>
        <v>0.16666666666666669</v>
      </c>
      <c r="AE93" s="12">
        <f>100*(AC93/TOTAL_BASIC!$D$302)</f>
        <v>80.91808429647611</v>
      </c>
      <c r="AF93" s="9"/>
      <c r="AG93" s="9"/>
      <c r="AH93" s="12">
        <f t="shared" si="9"/>
        <v>56.399999999999991</v>
      </c>
      <c r="AI93" s="12">
        <f t="shared" si="10"/>
        <v>16.7</v>
      </c>
      <c r="AJ93" s="12">
        <f t="shared" si="11"/>
        <v>35.799999999999997</v>
      </c>
      <c r="AK93" s="12">
        <f t="shared" si="12"/>
        <v>30.5</v>
      </c>
      <c r="AL93" s="12">
        <f t="shared" si="13"/>
        <v>45</v>
      </c>
    </row>
    <row r="94" spans="1:38" ht="15.75" customHeight="1" x14ac:dyDescent="0.25">
      <c r="A94" s="1" t="s">
        <v>195</v>
      </c>
      <c r="B94" s="7" t="s">
        <v>171</v>
      </c>
      <c r="C94" s="4" t="s">
        <v>92</v>
      </c>
      <c r="D94" s="4">
        <v>34</v>
      </c>
      <c r="E94" s="4">
        <v>431</v>
      </c>
      <c r="F94" s="4">
        <v>34</v>
      </c>
      <c r="G94" s="4">
        <v>5</v>
      </c>
      <c r="H94" s="4">
        <v>12.7</v>
      </c>
      <c r="I94" s="4">
        <v>1.1000000000000001</v>
      </c>
      <c r="J94" s="4">
        <v>3</v>
      </c>
      <c r="K94" s="4">
        <v>0.38600000000000001</v>
      </c>
      <c r="L94" s="4">
        <v>0</v>
      </c>
      <c r="M94" s="4">
        <v>0</v>
      </c>
      <c r="N94" s="4">
        <v>0</v>
      </c>
      <c r="O94" s="4">
        <v>1.1000000000000001</v>
      </c>
      <c r="P94" s="4">
        <v>2.9</v>
      </c>
      <c r="Q94" s="4">
        <v>0.39</v>
      </c>
      <c r="R94" s="4">
        <v>0.7</v>
      </c>
      <c r="S94" s="4">
        <v>1</v>
      </c>
      <c r="T94" s="4">
        <v>0.67600000000000005</v>
      </c>
      <c r="U94" s="4">
        <v>0.9</v>
      </c>
      <c r="V94" s="4">
        <v>2.9</v>
      </c>
      <c r="W94" s="4">
        <v>0.9</v>
      </c>
      <c r="X94" s="4">
        <v>0.6</v>
      </c>
      <c r="Y94" s="4">
        <v>0.4</v>
      </c>
      <c r="Z94" s="4">
        <v>0.8</v>
      </c>
      <c r="AA94" s="4">
        <v>1.5</v>
      </c>
      <c r="AB94" s="4">
        <v>3</v>
      </c>
      <c r="AC94" s="10">
        <f t="shared" si="7"/>
        <v>0.70754716981132071</v>
      </c>
      <c r="AD94" s="10">
        <f t="shared" si="8"/>
        <v>0.26666666666666666</v>
      </c>
      <c r="AE94" s="12">
        <f>100*(AC94/TOTAL_BASIC!$D$302)</f>
        <v>82.343056850124725</v>
      </c>
      <c r="AF94" s="9"/>
      <c r="AG94" s="9"/>
      <c r="AH94" s="12">
        <f t="shared" si="9"/>
        <v>74</v>
      </c>
      <c r="AI94" s="12">
        <f t="shared" si="10"/>
        <v>19.8</v>
      </c>
      <c r="AJ94" s="12">
        <f t="shared" si="11"/>
        <v>17.5</v>
      </c>
      <c r="AK94" s="12">
        <f t="shared" si="12"/>
        <v>21.3</v>
      </c>
      <c r="AL94" s="12">
        <f t="shared" si="13"/>
        <v>22.1</v>
      </c>
    </row>
    <row r="95" spans="1:38" ht="15.75" customHeight="1" x14ac:dyDescent="0.25">
      <c r="A95" s="1" t="s">
        <v>196</v>
      </c>
      <c r="B95" s="7" t="s">
        <v>108</v>
      </c>
      <c r="C95" s="4" t="s">
        <v>92</v>
      </c>
      <c r="D95" s="4">
        <v>33</v>
      </c>
      <c r="E95" s="4">
        <v>412</v>
      </c>
      <c r="F95" s="4">
        <v>33</v>
      </c>
      <c r="G95" s="4">
        <v>0</v>
      </c>
      <c r="H95" s="4">
        <v>12.5</v>
      </c>
      <c r="I95" s="4">
        <v>1.4</v>
      </c>
      <c r="J95" s="4">
        <v>3.3</v>
      </c>
      <c r="K95" s="4">
        <v>0.42599999999999999</v>
      </c>
      <c r="L95" s="4">
        <v>0</v>
      </c>
      <c r="M95" s="4">
        <v>0.4</v>
      </c>
      <c r="N95" s="4">
        <v>7.0999999999999994E-2</v>
      </c>
      <c r="O95" s="4">
        <v>1.4</v>
      </c>
      <c r="P95" s="4">
        <v>2.8</v>
      </c>
      <c r="Q95" s="4">
        <v>0.47899999999999998</v>
      </c>
      <c r="R95" s="4">
        <v>0.2</v>
      </c>
      <c r="S95" s="4">
        <v>0.3</v>
      </c>
      <c r="T95" s="4">
        <v>0.88900000000000001</v>
      </c>
      <c r="U95" s="4">
        <v>0.4</v>
      </c>
      <c r="V95" s="4">
        <v>1.9</v>
      </c>
      <c r="W95" s="4">
        <v>1</v>
      </c>
      <c r="X95" s="4">
        <v>0.5</v>
      </c>
      <c r="Y95" s="4">
        <v>0.3</v>
      </c>
      <c r="Z95" s="4">
        <v>0.7</v>
      </c>
      <c r="AA95" s="4">
        <v>2.2000000000000002</v>
      </c>
      <c r="AB95" s="4">
        <v>3.1</v>
      </c>
      <c r="AC95" s="10">
        <f t="shared" si="7"/>
        <v>0.75024201355275899</v>
      </c>
      <c r="AD95" s="10">
        <f t="shared" si="8"/>
        <v>0.13636363636363635</v>
      </c>
      <c r="AE95" s="12">
        <f>100*(AC95/TOTAL_BASIC!$D$302)</f>
        <v>87.311805359635343</v>
      </c>
      <c r="AF95" s="9"/>
      <c r="AG95" s="9"/>
      <c r="AH95" s="12">
        <f t="shared" si="9"/>
        <v>42.699999999999996</v>
      </c>
      <c r="AI95" s="12">
        <f t="shared" si="10"/>
        <v>28.999999999999996</v>
      </c>
      <c r="AJ95" s="12">
        <f t="shared" si="11"/>
        <v>19.8</v>
      </c>
      <c r="AK95" s="12">
        <f t="shared" si="12"/>
        <v>20.599999999999998</v>
      </c>
      <c r="AL95" s="12">
        <f t="shared" si="13"/>
        <v>90.8</v>
      </c>
    </row>
    <row r="96" spans="1:38" ht="15.75" customHeight="1" x14ac:dyDescent="0.25">
      <c r="A96" s="1" t="s">
        <v>197</v>
      </c>
      <c r="B96" s="7" t="s">
        <v>108</v>
      </c>
      <c r="C96" s="4" t="s">
        <v>92</v>
      </c>
      <c r="D96" s="4">
        <v>29</v>
      </c>
      <c r="E96" s="4">
        <v>398</v>
      </c>
      <c r="F96" s="4">
        <v>29</v>
      </c>
      <c r="G96" s="4">
        <v>0</v>
      </c>
      <c r="H96" s="4">
        <v>13.7</v>
      </c>
      <c r="I96" s="4">
        <v>1</v>
      </c>
      <c r="J96" s="4">
        <v>2.2000000000000002</v>
      </c>
      <c r="K96" s="4">
        <v>0.438</v>
      </c>
      <c r="L96" s="4">
        <v>0.7</v>
      </c>
      <c r="M96" s="4">
        <v>1.4</v>
      </c>
      <c r="N96" s="4">
        <v>0.5</v>
      </c>
      <c r="O96" s="4">
        <v>0.3</v>
      </c>
      <c r="P96" s="4">
        <v>0.8</v>
      </c>
      <c r="Q96" s="4">
        <v>0.33300000000000002</v>
      </c>
      <c r="R96" s="4">
        <v>0.3</v>
      </c>
      <c r="S96" s="4">
        <v>0.5</v>
      </c>
      <c r="T96" s="4">
        <v>0.66700000000000004</v>
      </c>
      <c r="U96" s="4">
        <v>0.4</v>
      </c>
      <c r="V96" s="4">
        <v>1.7</v>
      </c>
      <c r="W96" s="4">
        <v>1.1000000000000001</v>
      </c>
      <c r="X96" s="4">
        <v>0.3</v>
      </c>
      <c r="Y96" s="4">
        <v>0.2</v>
      </c>
      <c r="Z96" s="4">
        <v>0.6</v>
      </c>
      <c r="AA96" s="4">
        <v>1.3</v>
      </c>
      <c r="AB96" s="4">
        <v>3</v>
      </c>
      <c r="AC96" s="10">
        <f t="shared" si="7"/>
        <v>0.99337748344370846</v>
      </c>
      <c r="AD96" s="10">
        <f t="shared" si="8"/>
        <v>0.15384615384615385</v>
      </c>
      <c r="AE96" s="12">
        <f>100*(AC96/TOTAL_BASIC!$D$302)</f>
        <v>115.60747054454596</v>
      </c>
      <c r="AF96" s="9"/>
      <c r="AG96" s="9"/>
      <c r="AH96" s="12">
        <f t="shared" si="9"/>
        <v>48.8</v>
      </c>
      <c r="AI96" s="12">
        <f t="shared" si="10"/>
        <v>91.600000000000009</v>
      </c>
      <c r="AJ96" s="12">
        <f t="shared" si="11"/>
        <v>17.5</v>
      </c>
      <c r="AK96" s="12">
        <f t="shared" si="12"/>
        <v>24.4</v>
      </c>
      <c r="AL96" s="12">
        <f t="shared" si="13"/>
        <v>17.5</v>
      </c>
    </row>
    <row r="97" spans="1:38" ht="15.75" customHeight="1" x14ac:dyDescent="0.25">
      <c r="A97" s="1" t="s">
        <v>198</v>
      </c>
      <c r="B97" s="7" t="s">
        <v>141</v>
      </c>
      <c r="C97" s="4" t="s">
        <v>92</v>
      </c>
      <c r="D97" s="4">
        <v>19</v>
      </c>
      <c r="E97" s="4">
        <v>393</v>
      </c>
      <c r="F97" s="4">
        <v>19</v>
      </c>
      <c r="G97" s="4">
        <v>10</v>
      </c>
      <c r="H97" s="4">
        <v>20.7</v>
      </c>
      <c r="I97" s="4">
        <v>1.7</v>
      </c>
      <c r="J97" s="4">
        <v>4.4000000000000004</v>
      </c>
      <c r="K97" s="4">
        <v>0.39300000000000002</v>
      </c>
      <c r="L97" s="4">
        <v>0</v>
      </c>
      <c r="M97" s="4">
        <v>0</v>
      </c>
      <c r="N97" s="4">
        <v>0</v>
      </c>
      <c r="O97" s="4">
        <v>1.7</v>
      </c>
      <c r="P97" s="4">
        <v>4.4000000000000004</v>
      </c>
      <c r="Q97" s="4">
        <v>0.39300000000000002</v>
      </c>
      <c r="R97" s="4">
        <v>0.9</v>
      </c>
      <c r="S97" s="4">
        <v>1.4</v>
      </c>
      <c r="T97" s="4">
        <v>0.65400000000000003</v>
      </c>
      <c r="U97" s="4">
        <v>1.9</v>
      </c>
      <c r="V97" s="4">
        <v>4.5</v>
      </c>
      <c r="W97" s="4">
        <v>0.7</v>
      </c>
      <c r="X97" s="4">
        <v>1.3</v>
      </c>
      <c r="Y97" s="4">
        <v>0.2</v>
      </c>
      <c r="Z97" s="4">
        <v>1.4</v>
      </c>
      <c r="AA97" s="4">
        <v>2.2000000000000002</v>
      </c>
      <c r="AB97" s="4">
        <v>4.4000000000000004</v>
      </c>
      <c r="AC97" s="10">
        <f t="shared" si="7"/>
        <v>0.68578553615960103</v>
      </c>
      <c r="AD97" s="10">
        <f t="shared" si="8"/>
        <v>9.0909090909090912E-2</v>
      </c>
      <c r="AE97" s="12">
        <f>100*(AC97/TOTAL_BASIC!$D$302)</f>
        <v>79.810477379256412</v>
      </c>
      <c r="AF97" s="9"/>
      <c r="AG97" s="9"/>
      <c r="AH97" s="12">
        <f t="shared" si="9"/>
        <v>21.3</v>
      </c>
      <c r="AI97" s="12">
        <f t="shared" si="10"/>
        <v>14.499999999999998</v>
      </c>
      <c r="AJ97" s="12">
        <f t="shared" si="11"/>
        <v>32</v>
      </c>
      <c r="AK97" s="12">
        <f t="shared" si="12"/>
        <v>44.2</v>
      </c>
      <c r="AL97" s="12">
        <f t="shared" si="13"/>
        <v>16</v>
      </c>
    </row>
    <row r="98" spans="1:38" ht="15.75" customHeight="1" x14ac:dyDescent="0.25">
      <c r="A98" s="1" t="s">
        <v>199</v>
      </c>
      <c r="B98" s="7" t="s">
        <v>106</v>
      </c>
      <c r="C98" s="4" t="s">
        <v>8</v>
      </c>
      <c r="D98" s="4">
        <v>18</v>
      </c>
      <c r="E98" s="4">
        <v>383</v>
      </c>
      <c r="F98" s="4">
        <v>18</v>
      </c>
      <c r="G98" s="4">
        <v>6</v>
      </c>
      <c r="H98" s="4">
        <v>21.3</v>
      </c>
      <c r="I98" s="4">
        <v>2</v>
      </c>
      <c r="J98" s="4">
        <v>5.4</v>
      </c>
      <c r="K98" s="4">
        <v>0.36699999999999999</v>
      </c>
      <c r="L98" s="4">
        <v>1.3</v>
      </c>
      <c r="M98" s="4">
        <v>2.7</v>
      </c>
      <c r="N98" s="4">
        <v>0.47899999999999998</v>
      </c>
      <c r="O98" s="4">
        <v>0.7</v>
      </c>
      <c r="P98" s="4">
        <v>2.8</v>
      </c>
      <c r="Q98" s="4">
        <v>0.26</v>
      </c>
      <c r="R98" s="4">
        <v>0.7</v>
      </c>
      <c r="S98" s="4">
        <v>0.9</v>
      </c>
      <c r="T98" s="4">
        <v>0.75</v>
      </c>
      <c r="U98" s="4">
        <v>0.2</v>
      </c>
      <c r="V98" s="4">
        <v>1.1000000000000001</v>
      </c>
      <c r="W98" s="4">
        <v>1.6</v>
      </c>
      <c r="X98" s="4">
        <v>0.8</v>
      </c>
      <c r="Y98" s="4">
        <v>0.1</v>
      </c>
      <c r="Z98" s="4">
        <v>0.8</v>
      </c>
      <c r="AA98" s="4">
        <v>1.2</v>
      </c>
      <c r="AB98" s="4">
        <v>5.9</v>
      </c>
      <c r="AC98" s="10">
        <f t="shared" si="7"/>
        <v>0.89448150394178294</v>
      </c>
      <c r="AD98" s="10">
        <f t="shared" si="8"/>
        <v>8.3333333333333343E-2</v>
      </c>
      <c r="AE98" s="12">
        <f>100*(AC98/TOTAL_BASIC!$D$302)</f>
        <v>104.09813574705483</v>
      </c>
      <c r="AF98" s="9"/>
      <c r="AG98" s="9"/>
      <c r="AH98" s="12">
        <f t="shared" si="9"/>
        <v>19.8</v>
      </c>
      <c r="AI98" s="12">
        <f t="shared" si="10"/>
        <v>67.900000000000006</v>
      </c>
      <c r="AJ98" s="12">
        <f t="shared" si="11"/>
        <v>42.699999999999996</v>
      </c>
      <c r="AK98" s="12">
        <f t="shared" si="12"/>
        <v>45</v>
      </c>
      <c r="AL98" s="12">
        <f t="shared" si="13"/>
        <v>41.199999999999996</v>
      </c>
    </row>
    <row r="99" spans="1:38" ht="15.75" customHeight="1" x14ac:dyDescent="0.25">
      <c r="A99" s="1" t="s">
        <v>200</v>
      </c>
      <c r="B99" s="7" t="s">
        <v>114</v>
      </c>
      <c r="C99" s="4" t="s">
        <v>8</v>
      </c>
      <c r="D99" s="4">
        <v>34</v>
      </c>
      <c r="E99" s="4">
        <v>379</v>
      </c>
      <c r="F99" s="4">
        <v>34</v>
      </c>
      <c r="G99" s="4">
        <v>0</v>
      </c>
      <c r="H99" s="4">
        <v>11.1</v>
      </c>
      <c r="I99" s="4">
        <v>1.1000000000000001</v>
      </c>
      <c r="J99" s="4">
        <v>3.8</v>
      </c>
      <c r="K99" s="4">
        <v>0.29199999999999998</v>
      </c>
      <c r="L99" s="4">
        <v>0.3</v>
      </c>
      <c r="M99" s="4">
        <v>1.7</v>
      </c>
      <c r="N99" s="4">
        <v>0.17199999999999999</v>
      </c>
      <c r="O99" s="4">
        <v>0.8</v>
      </c>
      <c r="P99" s="4">
        <v>2.1</v>
      </c>
      <c r="Q99" s="4">
        <v>0.38900000000000001</v>
      </c>
      <c r="R99" s="4">
        <v>0.6</v>
      </c>
      <c r="S99" s="4">
        <v>0.7</v>
      </c>
      <c r="T99" s="4">
        <v>0.79200000000000004</v>
      </c>
      <c r="U99" s="4">
        <v>0.9</v>
      </c>
      <c r="V99" s="4">
        <v>1.9</v>
      </c>
      <c r="W99" s="4">
        <v>0.3</v>
      </c>
      <c r="X99" s="4">
        <v>0.6</v>
      </c>
      <c r="Y99" s="4">
        <v>0</v>
      </c>
      <c r="Z99" s="4">
        <v>0.4</v>
      </c>
      <c r="AA99" s="4">
        <v>0.9</v>
      </c>
      <c r="AB99" s="4">
        <v>3.1</v>
      </c>
      <c r="AC99" s="10">
        <f t="shared" si="7"/>
        <v>0.68766637089618454</v>
      </c>
      <c r="AD99" s="10">
        <f t="shared" si="8"/>
        <v>0</v>
      </c>
      <c r="AE99" s="12">
        <f>100*(AC99/TOTAL_BASIC!$D$302)</f>
        <v>80.029365515974533</v>
      </c>
      <c r="AF99" s="9"/>
      <c r="AG99" s="9"/>
      <c r="AH99" s="12">
        <f t="shared" si="9"/>
        <v>0</v>
      </c>
      <c r="AI99" s="12">
        <f t="shared" si="10"/>
        <v>16</v>
      </c>
      <c r="AJ99" s="12">
        <f t="shared" si="11"/>
        <v>19.8</v>
      </c>
      <c r="AK99" s="12">
        <f t="shared" si="12"/>
        <v>15.2</v>
      </c>
      <c r="AL99" s="12">
        <f t="shared" si="13"/>
        <v>57.999999999999993</v>
      </c>
    </row>
    <row r="100" spans="1:38" ht="15.75" customHeight="1" x14ac:dyDescent="0.25">
      <c r="A100" s="1" t="s">
        <v>201</v>
      </c>
      <c r="B100" s="7" t="s">
        <v>86</v>
      </c>
      <c r="C100" s="4" t="s">
        <v>8</v>
      </c>
      <c r="D100" s="4">
        <v>30</v>
      </c>
      <c r="E100" s="4">
        <v>373</v>
      </c>
      <c r="F100" s="4">
        <v>30</v>
      </c>
      <c r="G100" s="4">
        <v>1</v>
      </c>
      <c r="H100" s="4">
        <v>12.4</v>
      </c>
      <c r="I100" s="4">
        <v>1</v>
      </c>
      <c r="J100" s="4">
        <v>3.1</v>
      </c>
      <c r="K100" s="4">
        <v>0.32600000000000001</v>
      </c>
      <c r="L100" s="4">
        <v>0.3</v>
      </c>
      <c r="M100" s="4">
        <v>1.2</v>
      </c>
      <c r="N100" s="4">
        <v>0.27800000000000002</v>
      </c>
      <c r="O100" s="4">
        <v>0.7</v>
      </c>
      <c r="P100" s="4">
        <v>1.9</v>
      </c>
      <c r="Q100" s="4">
        <v>0.35699999999999998</v>
      </c>
      <c r="R100" s="4">
        <v>0.7</v>
      </c>
      <c r="S100" s="4">
        <v>1</v>
      </c>
      <c r="T100" s="4">
        <v>0.7</v>
      </c>
      <c r="U100" s="4">
        <v>0.3</v>
      </c>
      <c r="V100" s="4">
        <v>1.7</v>
      </c>
      <c r="W100" s="4">
        <v>1.3</v>
      </c>
      <c r="X100" s="4">
        <v>0.4</v>
      </c>
      <c r="Y100" s="4">
        <v>0.1</v>
      </c>
      <c r="Z100" s="4">
        <v>1.3</v>
      </c>
      <c r="AA100" s="4">
        <v>2</v>
      </c>
      <c r="AB100" s="4">
        <v>3</v>
      </c>
      <c r="AC100" s="10">
        <f t="shared" si="7"/>
        <v>0.6198347107438017</v>
      </c>
      <c r="AD100" s="10">
        <f t="shared" si="8"/>
        <v>0.05</v>
      </c>
      <c r="AE100" s="12">
        <f>100*(AC100/TOTAL_BASIC!$D$302)</f>
        <v>72.135239885233247</v>
      </c>
      <c r="AF100" s="9"/>
      <c r="AG100" s="9"/>
      <c r="AH100" s="12">
        <f t="shared" si="9"/>
        <v>8.3000000000000007</v>
      </c>
      <c r="AI100" s="12">
        <f t="shared" si="10"/>
        <v>8.3000000000000007</v>
      </c>
      <c r="AJ100" s="12">
        <f t="shared" si="11"/>
        <v>17.5</v>
      </c>
      <c r="AK100" s="12">
        <f t="shared" si="12"/>
        <v>19.8</v>
      </c>
      <c r="AL100" s="12">
        <f t="shared" si="13"/>
        <v>25.1</v>
      </c>
    </row>
    <row r="101" spans="1:38" ht="15.75" customHeight="1" x14ac:dyDescent="0.25">
      <c r="A101" s="1" t="s">
        <v>202</v>
      </c>
      <c r="B101" s="7" t="s">
        <v>97</v>
      </c>
      <c r="C101" s="4" t="s">
        <v>115</v>
      </c>
      <c r="D101" s="4">
        <v>33</v>
      </c>
      <c r="E101" s="4">
        <v>371</v>
      </c>
      <c r="F101" s="4">
        <v>33</v>
      </c>
      <c r="G101" s="4">
        <v>1</v>
      </c>
      <c r="H101" s="4">
        <v>11.2</v>
      </c>
      <c r="I101" s="4">
        <v>1.1000000000000001</v>
      </c>
      <c r="J101" s="4">
        <v>2.5</v>
      </c>
      <c r="K101" s="4">
        <v>0.41699999999999998</v>
      </c>
      <c r="L101" s="4">
        <v>0</v>
      </c>
      <c r="M101" s="4">
        <v>0</v>
      </c>
      <c r="N101" s="4">
        <v>0</v>
      </c>
      <c r="O101" s="4">
        <v>1.1000000000000001</v>
      </c>
      <c r="P101" s="4">
        <v>2.5</v>
      </c>
      <c r="Q101" s="4">
        <v>0.41699999999999998</v>
      </c>
      <c r="R101" s="4">
        <v>0.7</v>
      </c>
      <c r="S101" s="4">
        <v>0.9</v>
      </c>
      <c r="T101" s="4">
        <v>0.73299999999999998</v>
      </c>
      <c r="U101" s="4">
        <v>1.3</v>
      </c>
      <c r="V101" s="4">
        <v>3</v>
      </c>
      <c r="W101" s="4">
        <v>0.3</v>
      </c>
      <c r="X101" s="4">
        <v>0.1</v>
      </c>
      <c r="Y101" s="4">
        <v>0.4</v>
      </c>
      <c r="Z101" s="4">
        <v>1.1000000000000001</v>
      </c>
      <c r="AA101" s="4">
        <v>1.4</v>
      </c>
      <c r="AB101" s="4">
        <v>2.8</v>
      </c>
      <c r="AC101" s="10">
        <f t="shared" si="7"/>
        <v>0.70070070070070067</v>
      </c>
      <c r="AD101" s="10">
        <f t="shared" si="8"/>
        <v>0.28571428571428575</v>
      </c>
      <c r="AE101" s="12">
        <f>100*(AC101/TOTAL_BASIC!$D$302)</f>
        <v>81.546277187577658</v>
      </c>
      <c r="AF101" s="9"/>
      <c r="AG101" s="9"/>
      <c r="AH101" s="12">
        <f t="shared" si="9"/>
        <v>78.600000000000009</v>
      </c>
      <c r="AI101" s="12">
        <f t="shared" si="10"/>
        <v>17.5</v>
      </c>
      <c r="AJ101" s="12">
        <f t="shared" si="11"/>
        <v>16</v>
      </c>
      <c r="AK101" s="12">
        <f t="shared" si="12"/>
        <v>16.7</v>
      </c>
      <c r="AL101" s="12">
        <f t="shared" si="13"/>
        <v>35.099999999999994</v>
      </c>
    </row>
    <row r="102" spans="1:38" ht="15.75" customHeight="1" x14ac:dyDescent="0.25">
      <c r="A102" s="1" t="s">
        <v>203</v>
      </c>
      <c r="B102" s="7" t="s">
        <v>104</v>
      </c>
      <c r="C102" s="4" t="s">
        <v>92</v>
      </c>
      <c r="D102" s="4">
        <v>31</v>
      </c>
      <c r="E102" s="4">
        <v>344</v>
      </c>
      <c r="F102" s="4">
        <v>31</v>
      </c>
      <c r="G102" s="4">
        <v>10</v>
      </c>
      <c r="H102" s="4">
        <v>11.1</v>
      </c>
      <c r="I102" s="4">
        <v>1.9</v>
      </c>
      <c r="J102" s="4">
        <v>3.9</v>
      </c>
      <c r="K102" s="4">
        <v>0.47499999999999998</v>
      </c>
      <c r="L102" s="4">
        <v>0</v>
      </c>
      <c r="M102" s="4">
        <v>0</v>
      </c>
      <c r="N102" s="4">
        <v>0</v>
      </c>
      <c r="O102" s="4">
        <v>1.9</v>
      </c>
      <c r="P102" s="4">
        <v>3.9</v>
      </c>
      <c r="Q102" s="4">
        <v>0.47899999999999998</v>
      </c>
      <c r="R102" s="4">
        <v>0.4</v>
      </c>
      <c r="S102" s="4">
        <v>0.6</v>
      </c>
      <c r="T102" s="4">
        <v>0.66700000000000004</v>
      </c>
      <c r="U102" s="4">
        <v>0.8</v>
      </c>
      <c r="V102" s="4">
        <v>1.9</v>
      </c>
      <c r="W102" s="4">
        <v>0.5</v>
      </c>
      <c r="X102" s="4">
        <v>0.3</v>
      </c>
      <c r="Y102" s="4">
        <v>0.3</v>
      </c>
      <c r="Z102" s="4">
        <v>0.8</v>
      </c>
      <c r="AA102" s="4">
        <v>1.8</v>
      </c>
      <c r="AB102" s="4">
        <v>4.0999999999999996</v>
      </c>
      <c r="AC102" s="10">
        <f t="shared" si="7"/>
        <v>0.82594681708299755</v>
      </c>
      <c r="AD102" s="10">
        <f t="shared" si="8"/>
        <v>0.16666666666666666</v>
      </c>
      <c r="AE102" s="12">
        <f>100*(AC102/TOTAL_BASIC!$D$302)</f>
        <v>96.122193142799389</v>
      </c>
      <c r="AF102" s="9"/>
      <c r="AG102" s="9"/>
      <c r="AH102" s="12">
        <f t="shared" si="9"/>
        <v>55.7</v>
      </c>
      <c r="AI102" s="12">
        <f t="shared" si="10"/>
        <v>53.400000000000006</v>
      </c>
      <c r="AJ102" s="12">
        <f t="shared" si="11"/>
        <v>28.199999999999996</v>
      </c>
      <c r="AK102" s="12">
        <f t="shared" si="12"/>
        <v>15.2</v>
      </c>
      <c r="AL102" s="12">
        <f t="shared" si="13"/>
        <v>17.5</v>
      </c>
    </row>
    <row r="103" spans="1:38" ht="15.75" customHeight="1" x14ac:dyDescent="0.25">
      <c r="A103" s="1" t="s">
        <v>204</v>
      </c>
      <c r="B103" s="7" t="s">
        <v>122</v>
      </c>
      <c r="C103" s="4" t="s">
        <v>8</v>
      </c>
      <c r="D103" s="4">
        <v>24</v>
      </c>
      <c r="E103" s="4">
        <v>338</v>
      </c>
      <c r="F103" s="4">
        <v>24</v>
      </c>
      <c r="G103" s="4">
        <v>3</v>
      </c>
      <c r="H103" s="4">
        <v>14.1</v>
      </c>
      <c r="I103" s="4">
        <v>0.8</v>
      </c>
      <c r="J103" s="4">
        <v>2</v>
      </c>
      <c r="K103" s="4">
        <v>0.36699999999999999</v>
      </c>
      <c r="L103" s="4">
        <v>0.3</v>
      </c>
      <c r="M103" s="4">
        <v>1</v>
      </c>
      <c r="N103" s="4">
        <v>0.28000000000000003</v>
      </c>
      <c r="O103" s="4">
        <v>0.5</v>
      </c>
      <c r="P103" s="4">
        <v>1</v>
      </c>
      <c r="Q103" s="4">
        <v>0.45800000000000002</v>
      </c>
      <c r="R103" s="4">
        <v>0.3</v>
      </c>
      <c r="S103" s="4">
        <v>0.4</v>
      </c>
      <c r="T103" s="4">
        <v>0.77800000000000002</v>
      </c>
      <c r="U103" s="4">
        <v>0.5</v>
      </c>
      <c r="V103" s="4">
        <v>2.2000000000000002</v>
      </c>
      <c r="W103" s="4">
        <v>0.7</v>
      </c>
      <c r="X103" s="4">
        <v>0.3</v>
      </c>
      <c r="Y103" s="4">
        <v>0.2</v>
      </c>
      <c r="Z103" s="4">
        <v>0.6</v>
      </c>
      <c r="AA103" s="4">
        <v>1.3</v>
      </c>
      <c r="AB103" s="4">
        <v>2.1</v>
      </c>
      <c r="AC103" s="10">
        <f t="shared" si="7"/>
        <v>0.75648414985590773</v>
      </c>
      <c r="AD103" s="10">
        <f t="shared" si="8"/>
        <v>0.15384615384615385</v>
      </c>
      <c r="AE103" s="12">
        <f>100*(AC103/TOTAL_BASIC!$D$302)</f>
        <v>88.03825386569531</v>
      </c>
      <c r="AF103" s="9"/>
      <c r="AG103" s="9"/>
      <c r="AH103" s="12">
        <f t="shared" si="9"/>
        <v>48.8</v>
      </c>
      <c r="AI103" s="12">
        <f t="shared" si="10"/>
        <v>31.2</v>
      </c>
      <c r="AJ103" s="12">
        <f t="shared" si="11"/>
        <v>9.1</v>
      </c>
      <c r="AK103" s="12">
        <f t="shared" si="12"/>
        <v>25.900000000000002</v>
      </c>
      <c r="AL103" s="12">
        <f t="shared" si="13"/>
        <v>50.3</v>
      </c>
    </row>
    <row r="104" spans="1:38" ht="15.75" customHeight="1" x14ac:dyDescent="0.25">
      <c r="A104" s="1" t="s">
        <v>205</v>
      </c>
      <c r="B104" s="4" t="s">
        <v>95</v>
      </c>
      <c r="C104" s="4" t="s">
        <v>92</v>
      </c>
      <c r="D104" s="4">
        <v>33</v>
      </c>
      <c r="E104" s="4">
        <v>321</v>
      </c>
      <c r="F104" s="4">
        <v>33</v>
      </c>
      <c r="G104" s="4">
        <v>0</v>
      </c>
      <c r="H104" s="4">
        <v>9.6999999999999993</v>
      </c>
      <c r="I104" s="4">
        <v>1.5</v>
      </c>
      <c r="J104" s="4">
        <v>2.8</v>
      </c>
      <c r="K104" s="4">
        <v>0.52700000000000002</v>
      </c>
      <c r="L104" s="4">
        <v>0.2</v>
      </c>
      <c r="M104" s="4">
        <v>0.6</v>
      </c>
      <c r="N104" s="4">
        <v>0.23799999999999999</v>
      </c>
      <c r="O104" s="4">
        <v>1.3</v>
      </c>
      <c r="P104" s="4">
        <v>2.1</v>
      </c>
      <c r="Q104" s="4">
        <v>0.61399999999999999</v>
      </c>
      <c r="R104" s="4">
        <v>0.3</v>
      </c>
      <c r="S104" s="4">
        <v>0.4</v>
      </c>
      <c r="T104" s="4">
        <v>0.84599999999999997</v>
      </c>
      <c r="U104" s="4">
        <v>0.5</v>
      </c>
      <c r="V104" s="4">
        <v>1.6</v>
      </c>
      <c r="W104" s="4">
        <v>0.2</v>
      </c>
      <c r="X104" s="4">
        <v>0.3</v>
      </c>
      <c r="Y104" s="4">
        <v>0.1</v>
      </c>
      <c r="Z104" s="4">
        <v>0.7</v>
      </c>
      <c r="AA104" s="4">
        <v>1.8</v>
      </c>
      <c r="AB104" s="4">
        <v>3.4</v>
      </c>
      <c r="AC104" s="10">
        <f t="shared" si="7"/>
        <v>0.92491838955386285</v>
      </c>
      <c r="AD104" s="10">
        <f t="shared" si="8"/>
        <v>5.5555555555555559E-2</v>
      </c>
      <c r="AE104" s="12">
        <f>100*(AC104/TOTAL_BASIC!$D$302)</f>
        <v>107.64032531296684</v>
      </c>
      <c r="AF104" s="9"/>
      <c r="AG104" s="9"/>
      <c r="AH104" s="12">
        <f t="shared" si="9"/>
        <v>10.6</v>
      </c>
      <c r="AI104" s="12">
        <f t="shared" si="10"/>
        <v>74</v>
      </c>
      <c r="AJ104" s="12">
        <f t="shared" si="11"/>
        <v>22.900000000000002</v>
      </c>
      <c r="AK104" s="12">
        <f t="shared" si="12"/>
        <v>10.6</v>
      </c>
      <c r="AL104" s="12">
        <f t="shared" si="13"/>
        <v>75.5</v>
      </c>
    </row>
    <row r="105" spans="1:38" ht="15.75" customHeight="1" x14ac:dyDescent="0.25">
      <c r="A105" s="1" t="s">
        <v>206</v>
      </c>
      <c r="B105" s="7" t="s">
        <v>114</v>
      </c>
      <c r="C105" s="4" t="s">
        <v>8</v>
      </c>
      <c r="D105" s="4">
        <v>34</v>
      </c>
      <c r="E105" s="4">
        <v>318</v>
      </c>
      <c r="F105" s="4">
        <v>34</v>
      </c>
      <c r="G105" s="4">
        <v>0</v>
      </c>
      <c r="H105" s="4">
        <v>9.4</v>
      </c>
      <c r="I105" s="4">
        <v>1.4</v>
      </c>
      <c r="J105" s="4">
        <v>4.5</v>
      </c>
      <c r="K105" s="4">
        <v>0.316</v>
      </c>
      <c r="L105" s="4">
        <v>0.5</v>
      </c>
      <c r="M105" s="4">
        <v>1.6</v>
      </c>
      <c r="N105" s="4">
        <v>0.315</v>
      </c>
      <c r="O105" s="4">
        <v>0.9</v>
      </c>
      <c r="P105" s="4">
        <v>2.9</v>
      </c>
      <c r="Q105" s="4">
        <v>0.316</v>
      </c>
      <c r="R105" s="4">
        <v>0.5</v>
      </c>
      <c r="S105" s="4">
        <v>0.5</v>
      </c>
      <c r="T105" s="4">
        <v>0.88900000000000001</v>
      </c>
      <c r="U105" s="4">
        <v>0.2</v>
      </c>
      <c r="V105" s="4">
        <v>0.7</v>
      </c>
      <c r="W105" s="4">
        <v>0.6</v>
      </c>
      <c r="X105" s="4">
        <v>0.4</v>
      </c>
      <c r="Y105" s="4">
        <v>0.1</v>
      </c>
      <c r="Z105" s="4">
        <v>0.6</v>
      </c>
      <c r="AA105" s="4">
        <v>0.7</v>
      </c>
      <c r="AB105" s="4">
        <v>3.8</v>
      </c>
      <c r="AC105" s="10">
        <f t="shared" si="7"/>
        <v>0.7142857142857143</v>
      </c>
      <c r="AD105" s="10">
        <f t="shared" si="8"/>
        <v>0.14285714285714288</v>
      </c>
      <c r="AE105" s="12">
        <f>100*(AC105/TOTAL_BASIC!$D$302)</f>
        <v>83.127276439173542</v>
      </c>
      <c r="AF105" s="9"/>
      <c r="AG105" s="9"/>
      <c r="AH105" s="12">
        <f t="shared" si="9"/>
        <v>45</v>
      </c>
      <c r="AI105" s="12">
        <f t="shared" si="10"/>
        <v>20.599999999999998</v>
      </c>
      <c r="AJ105" s="12">
        <f t="shared" si="11"/>
        <v>24.4</v>
      </c>
      <c r="AK105" s="12">
        <f t="shared" si="12"/>
        <v>8.3000000000000007</v>
      </c>
      <c r="AL105" s="12">
        <f t="shared" si="13"/>
        <v>90.8</v>
      </c>
    </row>
    <row r="106" spans="1:38" ht="15.75" customHeight="1" x14ac:dyDescent="0.25">
      <c r="A106" s="1" t="s">
        <v>207</v>
      </c>
      <c r="B106" s="7" t="s">
        <v>97</v>
      </c>
      <c r="C106" s="4" t="s">
        <v>92</v>
      </c>
      <c r="D106" s="4">
        <v>22</v>
      </c>
      <c r="E106" s="4">
        <v>285</v>
      </c>
      <c r="F106" s="4">
        <v>22</v>
      </c>
      <c r="G106" s="4">
        <v>0</v>
      </c>
      <c r="H106" s="4">
        <v>13</v>
      </c>
      <c r="I106" s="4">
        <v>0.7</v>
      </c>
      <c r="J106" s="4">
        <v>2.5</v>
      </c>
      <c r="K106" s="4">
        <v>0.29099999999999998</v>
      </c>
      <c r="L106" s="4">
        <v>0.5</v>
      </c>
      <c r="M106" s="4">
        <v>1.8</v>
      </c>
      <c r="N106" s="4">
        <v>0.27500000000000002</v>
      </c>
      <c r="O106" s="4">
        <v>0.2</v>
      </c>
      <c r="P106" s="4">
        <v>0.7</v>
      </c>
      <c r="Q106" s="4">
        <v>0.33300000000000002</v>
      </c>
      <c r="R106" s="4">
        <v>0.1</v>
      </c>
      <c r="S106" s="4">
        <v>0.2</v>
      </c>
      <c r="T106" s="4">
        <v>0.75</v>
      </c>
      <c r="U106" s="4">
        <v>0.4</v>
      </c>
      <c r="V106" s="4">
        <v>1.9</v>
      </c>
      <c r="W106" s="4">
        <v>0.5</v>
      </c>
      <c r="X106" s="4">
        <v>0.4</v>
      </c>
      <c r="Y106" s="4">
        <v>0.2</v>
      </c>
      <c r="Z106" s="4">
        <v>0.5</v>
      </c>
      <c r="AA106" s="4">
        <v>0.9</v>
      </c>
      <c r="AB106" s="4">
        <v>2.1</v>
      </c>
      <c r="AC106" s="10">
        <f t="shared" si="7"/>
        <v>0.68005181347150256</v>
      </c>
      <c r="AD106" s="10">
        <f t="shared" si="8"/>
        <v>0.22222222222222224</v>
      </c>
      <c r="AE106" s="12">
        <f>100*(AC106/TOTAL_BASIC!$D$302)</f>
        <v>79.143197127969628</v>
      </c>
      <c r="AF106" s="9"/>
      <c r="AG106" s="9"/>
      <c r="AH106" s="12">
        <f t="shared" si="9"/>
        <v>64.8</v>
      </c>
      <c r="AI106" s="12">
        <f t="shared" si="10"/>
        <v>12.9</v>
      </c>
      <c r="AJ106" s="12">
        <f t="shared" si="11"/>
        <v>9.1</v>
      </c>
      <c r="AK106" s="12">
        <f t="shared" si="12"/>
        <v>22.900000000000002</v>
      </c>
      <c r="AL106" s="12">
        <f t="shared" si="13"/>
        <v>41.199999999999996</v>
      </c>
    </row>
    <row r="107" spans="1:38" ht="15.75" customHeight="1" x14ac:dyDescent="0.25">
      <c r="A107" s="1" t="s">
        <v>208</v>
      </c>
      <c r="B107" s="7" t="s">
        <v>89</v>
      </c>
      <c r="C107" s="4" t="s">
        <v>8</v>
      </c>
      <c r="D107" s="4">
        <v>32</v>
      </c>
      <c r="E107" s="4">
        <v>282</v>
      </c>
      <c r="F107" s="4">
        <v>32</v>
      </c>
      <c r="G107" s="4">
        <v>0</v>
      </c>
      <c r="H107" s="4">
        <v>8.8000000000000007</v>
      </c>
      <c r="I107" s="4">
        <v>0.9</v>
      </c>
      <c r="J107" s="4">
        <v>2.4</v>
      </c>
      <c r="K107" s="4">
        <v>0.372</v>
      </c>
      <c r="L107" s="4">
        <v>0.2</v>
      </c>
      <c r="M107" s="4">
        <v>0.7</v>
      </c>
      <c r="N107" s="4">
        <v>0.318</v>
      </c>
      <c r="O107" s="4">
        <v>0.7</v>
      </c>
      <c r="P107" s="4">
        <v>1.8</v>
      </c>
      <c r="Q107" s="4">
        <v>0.39300000000000002</v>
      </c>
      <c r="R107" s="4">
        <v>0.8</v>
      </c>
      <c r="S107" s="4">
        <v>1.1000000000000001</v>
      </c>
      <c r="T107" s="4">
        <v>0.73499999999999999</v>
      </c>
      <c r="U107" s="4">
        <v>0.1</v>
      </c>
      <c r="V107" s="4">
        <v>1.1000000000000001</v>
      </c>
      <c r="W107" s="4">
        <v>1</v>
      </c>
      <c r="X107" s="4">
        <v>0.6</v>
      </c>
      <c r="Y107" s="4">
        <v>0.1</v>
      </c>
      <c r="Z107" s="4">
        <v>0.7</v>
      </c>
      <c r="AA107" s="4">
        <v>0.7</v>
      </c>
      <c r="AB107" s="4">
        <v>2.8</v>
      </c>
      <c r="AC107" s="10">
        <f t="shared" si="7"/>
        <v>0.78125</v>
      </c>
      <c r="AD107" s="10">
        <f t="shared" si="8"/>
        <v>0.14285714285714288</v>
      </c>
      <c r="AE107" s="12">
        <f>100*(AC107/TOTAL_BASIC!$D$302)</f>
        <v>90.92045860534607</v>
      </c>
      <c r="AF107" s="9"/>
      <c r="AG107" s="9"/>
      <c r="AH107" s="12">
        <f t="shared" si="9"/>
        <v>45</v>
      </c>
      <c r="AI107" s="12">
        <f t="shared" si="10"/>
        <v>36.6</v>
      </c>
      <c r="AJ107" s="12">
        <f t="shared" si="11"/>
        <v>16</v>
      </c>
      <c r="AK107" s="12">
        <f t="shared" si="12"/>
        <v>6.1</v>
      </c>
      <c r="AL107" s="12">
        <f t="shared" si="13"/>
        <v>37.4</v>
      </c>
    </row>
    <row r="108" spans="1:38" ht="15.75" customHeight="1" x14ac:dyDescent="0.25">
      <c r="A108" s="1" t="s">
        <v>209</v>
      </c>
      <c r="B108" s="7" t="s">
        <v>108</v>
      </c>
      <c r="C108" s="4" t="s">
        <v>8</v>
      </c>
      <c r="D108" s="4">
        <v>30</v>
      </c>
      <c r="E108" s="4">
        <v>276</v>
      </c>
      <c r="F108" s="4">
        <v>30</v>
      </c>
      <c r="G108" s="4">
        <v>0</v>
      </c>
      <c r="H108" s="4">
        <v>9.1999999999999993</v>
      </c>
      <c r="I108" s="4">
        <v>0.8</v>
      </c>
      <c r="J108" s="4">
        <v>2.2999999999999998</v>
      </c>
      <c r="K108" s="4">
        <v>0.35299999999999998</v>
      </c>
      <c r="L108" s="4">
        <v>0.1</v>
      </c>
      <c r="M108" s="4">
        <v>0.5</v>
      </c>
      <c r="N108" s="4">
        <v>0.25</v>
      </c>
      <c r="O108" s="4">
        <v>0.7</v>
      </c>
      <c r="P108" s="4">
        <v>1.7</v>
      </c>
      <c r="Q108" s="4">
        <v>0.38500000000000001</v>
      </c>
      <c r="R108" s="4">
        <v>0.5</v>
      </c>
      <c r="S108" s="4">
        <v>0.8</v>
      </c>
      <c r="T108" s="4">
        <v>0.64</v>
      </c>
      <c r="U108" s="4">
        <v>0.2</v>
      </c>
      <c r="V108" s="4">
        <v>0.7</v>
      </c>
      <c r="W108" s="4">
        <v>0.8</v>
      </c>
      <c r="X108" s="4">
        <v>0.3</v>
      </c>
      <c r="Y108" s="4">
        <v>0.1</v>
      </c>
      <c r="Z108" s="4">
        <v>0.6</v>
      </c>
      <c r="AA108" s="4">
        <v>1.2</v>
      </c>
      <c r="AB108" s="4">
        <v>2.2999999999999998</v>
      </c>
      <c r="AC108" s="10">
        <f t="shared" si="7"/>
        <v>0.70725707257072568</v>
      </c>
      <c r="AD108" s="10">
        <f t="shared" si="8"/>
        <v>8.3333333333333343E-2</v>
      </c>
      <c r="AE108" s="12">
        <f>100*(AC108/TOTAL_BASIC!$D$302)</f>
        <v>82.309295859206273</v>
      </c>
      <c r="AF108" s="9"/>
      <c r="AG108" s="9"/>
      <c r="AH108" s="12">
        <f t="shared" si="9"/>
        <v>19.8</v>
      </c>
      <c r="AI108" s="12">
        <f t="shared" si="10"/>
        <v>19</v>
      </c>
      <c r="AJ108" s="12">
        <f t="shared" si="11"/>
        <v>12.2</v>
      </c>
      <c r="AK108" s="12">
        <f t="shared" si="12"/>
        <v>7.6</v>
      </c>
      <c r="AL108" s="12">
        <f t="shared" si="13"/>
        <v>12.9</v>
      </c>
    </row>
    <row r="109" spans="1:38" ht="15.75" customHeight="1" x14ac:dyDescent="0.25">
      <c r="A109" s="1" t="s">
        <v>210</v>
      </c>
      <c r="B109" s="7" t="s">
        <v>141</v>
      </c>
      <c r="C109" s="4" t="s">
        <v>115</v>
      </c>
      <c r="D109" s="4">
        <v>23</v>
      </c>
      <c r="E109" s="4">
        <v>276</v>
      </c>
      <c r="F109" s="4">
        <v>23</v>
      </c>
      <c r="G109" s="4">
        <v>2</v>
      </c>
      <c r="H109" s="4">
        <v>12</v>
      </c>
      <c r="I109" s="4">
        <v>1.8</v>
      </c>
      <c r="J109" s="4">
        <v>3.9</v>
      </c>
      <c r="K109" s="4">
        <v>0.46100000000000002</v>
      </c>
      <c r="L109" s="4">
        <v>0</v>
      </c>
      <c r="M109" s="4">
        <v>0</v>
      </c>
      <c r="N109" s="4">
        <v>0</v>
      </c>
      <c r="O109" s="4">
        <v>1.8</v>
      </c>
      <c r="P109" s="4">
        <v>3.8</v>
      </c>
      <c r="Q109" s="4">
        <v>0.46600000000000003</v>
      </c>
      <c r="R109" s="4">
        <v>0.3</v>
      </c>
      <c r="S109" s="4">
        <v>0.4</v>
      </c>
      <c r="T109" s="4">
        <v>0.66700000000000004</v>
      </c>
      <c r="U109" s="4">
        <v>1.8</v>
      </c>
      <c r="V109" s="4">
        <v>4.0999999999999996</v>
      </c>
      <c r="W109" s="4">
        <v>0.5</v>
      </c>
      <c r="X109" s="4">
        <v>0.3</v>
      </c>
      <c r="Y109" s="4">
        <v>0.7</v>
      </c>
      <c r="Z109" s="4">
        <v>0.5</v>
      </c>
      <c r="AA109" s="4">
        <v>1.6</v>
      </c>
      <c r="AB109" s="4">
        <v>3.8</v>
      </c>
      <c r="AC109" s="10">
        <f t="shared" si="7"/>
        <v>0.83041958041958042</v>
      </c>
      <c r="AD109" s="10">
        <f t="shared" si="8"/>
        <v>0.43749999999999994</v>
      </c>
      <c r="AE109" s="12">
        <f>100*(AC109/TOTAL_BASIC!$D$302)</f>
        <v>96.642725230857351</v>
      </c>
      <c r="AF109" s="9"/>
      <c r="AG109" s="9"/>
      <c r="AH109" s="12">
        <f t="shared" si="9"/>
        <v>87.7</v>
      </c>
      <c r="AI109" s="12">
        <f t="shared" si="10"/>
        <v>54.1</v>
      </c>
      <c r="AJ109" s="12">
        <f t="shared" si="11"/>
        <v>24.4</v>
      </c>
      <c r="AK109" s="12">
        <f t="shared" si="12"/>
        <v>19</v>
      </c>
      <c r="AL109" s="12">
        <f t="shared" si="13"/>
        <v>17.5</v>
      </c>
    </row>
    <row r="110" spans="1:38" ht="15.75" customHeight="1" x14ac:dyDescent="0.25">
      <c r="A110" s="1" t="s">
        <v>211</v>
      </c>
      <c r="B110" s="7" t="s">
        <v>122</v>
      </c>
      <c r="C110" s="4" t="s">
        <v>8</v>
      </c>
      <c r="D110" s="4">
        <v>9</v>
      </c>
      <c r="E110" s="4">
        <v>271</v>
      </c>
      <c r="F110" s="4">
        <v>9</v>
      </c>
      <c r="G110" s="4">
        <v>6</v>
      </c>
      <c r="H110" s="4">
        <v>30.1</v>
      </c>
      <c r="I110" s="4">
        <v>5</v>
      </c>
      <c r="J110" s="4">
        <v>11.4</v>
      </c>
      <c r="K110" s="4">
        <v>0.437</v>
      </c>
      <c r="L110" s="4">
        <v>2.4</v>
      </c>
      <c r="M110" s="4">
        <v>5.3</v>
      </c>
      <c r="N110" s="4">
        <v>0.45800000000000002</v>
      </c>
      <c r="O110" s="4">
        <v>2.6</v>
      </c>
      <c r="P110" s="4">
        <v>6.1</v>
      </c>
      <c r="Q110" s="4">
        <v>0.41799999999999998</v>
      </c>
      <c r="R110" s="4">
        <v>1.3</v>
      </c>
      <c r="S110" s="4">
        <v>1.6</v>
      </c>
      <c r="T110" s="4">
        <v>0.85699999999999998</v>
      </c>
      <c r="U110" s="4">
        <v>0.9</v>
      </c>
      <c r="V110" s="4">
        <v>3.7</v>
      </c>
      <c r="W110" s="4">
        <v>4.2</v>
      </c>
      <c r="X110" s="4">
        <v>0.6</v>
      </c>
      <c r="Y110" s="4">
        <v>0.1</v>
      </c>
      <c r="Z110" s="4">
        <v>2.4</v>
      </c>
      <c r="AA110" s="4">
        <v>1.6</v>
      </c>
      <c r="AB110" s="4">
        <v>13.8</v>
      </c>
      <c r="AC110" s="10">
        <f t="shared" si="7"/>
        <v>0.95146166574738</v>
      </c>
      <c r="AD110" s="10">
        <f t="shared" si="8"/>
        <v>6.25E-2</v>
      </c>
      <c r="AE110" s="12">
        <f>100*(AC110/TOTAL_BASIC!$D$302)</f>
        <v>110.7293836738026</v>
      </c>
      <c r="AF110" s="9"/>
      <c r="AG110" s="9"/>
      <c r="AH110" s="12">
        <f t="shared" si="9"/>
        <v>12.2</v>
      </c>
      <c r="AI110" s="12">
        <f t="shared" si="10"/>
        <v>83.2</v>
      </c>
      <c r="AJ110" s="12">
        <f t="shared" si="11"/>
        <v>79.3</v>
      </c>
      <c r="AK110" s="12">
        <f t="shared" si="12"/>
        <v>83.899999999999991</v>
      </c>
      <c r="AL110" s="12">
        <f t="shared" si="13"/>
        <v>80.900000000000006</v>
      </c>
    </row>
    <row r="111" spans="1:38" ht="15.75" customHeight="1" x14ac:dyDescent="0.25">
      <c r="A111" s="1" t="s">
        <v>212</v>
      </c>
      <c r="B111" s="7" t="s">
        <v>86</v>
      </c>
      <c r="C111" s="4" t="s">
        <v>92</v>
      </c>
      <c r="D111" s="4">
        <v>27</v>
      </c>
      <c r="E111" s="4">
        <v>266</v>
      </c>
      <c r="F111" s="4">
        <v>27</v>
      </c>
      <c r="G111" s="4">
        <v>0</v>
      </c>
      <c r="H111" s="4">
        <v>9.9</v>
      </c>
      <c r="I111" s="4">
        <v>1.1000000000000001</v>
      </c>
      <c r="J111" s="4">
        <v>2.6</v>
      </c>
      <c r="K111" s="4">
        <v>0.44900000000000001</v>
      </c>
      <c r="L111" s="4">
        <v>0</v>
      </c>
      <c r="M111" s="4">
        <v>0</v>
      </c>
      <c r="N111" s="4">
        <v>0</v>
      </c>
      <c r="O111" s="4">
        <v>1.1000000000000001</v>
      </c>
      <c r="P111" s="4">
        <v>2.5</v>
      </c>
      <c r="Q111" s="4">
        <v>0.45600000000000002</v>
      </c>
      <c r="R111" s="4">
        <v>0.3</v>
      </c>
      <c r="S111" s="4">
        <v>0.5</v>
      </c>
      <c r="T111" s="4">
        <v>0.64300000000000002</v>
      </c>
      <c r="U111" s="4">
        <v>0.8</v>
      </c>
      <c r="V111" s="4">
        <v>2.1</v>
      </c>
      <c r="W111" s="4">
        <v>0.2</v>
      </c>
      <c r="X111" s="4">
        <v>0.4</v>
      </c>
      <c r="Y111" s="4">
        <v>0.2</v>
      </c>
      <c r="Z111" s="4">
        <v>0.8</v>
      </c>
      <c r="AA111" s="4">
        <v>2</v>
      </c>
      <c r="AB111" s="4">
        <v>2.6</v>
      </c>
      <c r="AC111" s="10">
        <f t="shared" si="7"/>
        <v>0.71823204419889508</v>
      </c>
      <c r="AD111" s="10">
        <f t="shared" si="8"/>
        <v>0.1</v>
      </c>
      <c r="AE111" s="12">
        <f>100*(AC111/TOTAL_BASIC!$D$302)</f>
        <v>83.586543159831976</v>
      </c>
      <c r="AF111" s="9"/>
      <c r="AG111" s="9"/>
      <c r="AH111" s="12">
        <f t="shared" si="9"/>
        <v>25.1</v>
      </c>
      <c r="AI111" s="12">
        <f t="shared" si="10"/>
        <v>21.3</v>
      </c>
      <c r="AJ111" s="12">
        <f t="shared" si="11"/>
        <v>14.499999999999998</v>
      </c>
      <c r="AK111" s="12">
        <f t="shared" si="12"/>
        <v>12.9</v>
      </c>
      <c r="AL111" s="12">
        <f t="shared" si="13"/>
        <v>14.499999999999998</v>
      </c>
    </row>
    <row r="112" spans="1:38" ht="15.75" customHeight="1" x14ac:dyDescent="0.25">
      <c r="A112" s="1" t="s">
        <v>213</v>
      </c>
      <c r="B112" s="7" t="s">
        <v>91</v>
      </c>
      <c r="C112" s="4" t="s">
        <v>92</v>
      </c>
      <c r="D112" s="4">
        <v>30</v>
      </c>
      <c r="E112" s="4">
        <v>263</v>
      </c>
      <c r="F112" s="4">
        <v>30</v>
      </c>
      <c r="G112" s="4">
        <v>1</v>
      </c>
      <c r="H112" s="4">
        <v>8.8000000000000007</v>
      </c>
      <c r="I112" s="4">
        <v>0.9</v>
      </c>
      <c r="J112" s="4">
        <v>2.4</v>
      </c>
      <c r="K112" s="4">
        <v>0.375</v>
      </c>
      <c r="L112" s="4">
        <v>0.1</v>
      </c>
      <c r="M112" s="4">
        <v>0.5</v>
      </c>
      <c r="N112" s="4">
        <v>0.14299999999999999</v>
      </c>
      <c r="O112" s="4">
        <v>0.8</v>
      </c>
      <c r="P112" s="4">
        <v>1.9</v>
      </c>
      <c r="Q112" s="4">
        <v>0.43099999999999999</v>
      </c>
      <c r="R112" s="4">
        <v>0.5</v>
      </c>
      <c r="S112" s="4">
        <v>0.7</v>
      </c>
      <c r="T112" s="4">
        <v>0.71399999999999997</v>
      </c>
      <c r="U112" s="4">
        <v>0.4</v>
      </c>
      <c r="V112" s="4">
        <v>1.5</v>
      </c>
      <c r="W112" s="4">
        <v>0.7</v>
      </c>
      <c r="X112" s="4">
        <v>0.1</v>
      </c>
      <c r="Y112" s="4">
        <v>0.2</v>
      </c>
      <c r="Z112" s="4">
        <v>0.5</v>
      </c>
      <c r="AA112" s="4">
        <v>0.9</v>
      </c>
      <c r="AB112" s="4">
        <v>2.4</v>
      </c>
      <c r="AC112" s="10">
        <f t="shared" si="7"/>
        <v>0.74812967581047385</v>
      </c>
      <c r="AD112" s="10">
        <f t="shared" si="8"/>
        <v>0.22222222222222224</v>
      </c>
      <c r="AE112" s="12">
        <f>100*(AC112/TOTAL_BASIC!$D$302)</f>
        <v>87.065975322825167</v>
      </c>
      <c r="AF112" s="9"/>
      <c r="AG112" s="9"/>
      <c r="AH112" s="12">
        <f t="shared" si="9"/>
        <v>64.8</v>
      </c>
      <c r="AI112" s="12">
        <f t="shared" si="10"/>
        <v>27.400000000000002</v>
      </c>
      <c r="AJ112" s="12">
        <f t="shared" si="11"/>
        <v>13.700000000000001</v>
      </c>
      <c r="AK112" s="12">
        <f t="shared" si="12"/>
        <v>6.1</v>
      </c>
      <c r="AL112" s="12">
        <f t="shared" si="13"/>
        <v>29.7</v>
      </c>
    </row>
    <row r="113" spans="1:38" ht="15.75" customHeight="1" x14ac:dyDescent="0.25">
      <c r="A113" s="1" t="s">
        <v>214</v>
      </c>
      <c r="B113" s="7" t="s">
        <v>122</v>
      </c>
      <c r="C113" s="4" t="s">
        <v>8</v>
      </c>
      <c r="D113" s="4">
        <v>15</v>
      </c>
      <c r="E113" s="4">
        <v>259</v>
      </c>
      <c r="F113" s="4">
        <v>15</v>
      </c>
      <c r="G113" s="4">
        <v>1</v>
      </c>
      <c r="H113" s="4">
        <v>17.3</v>
      </c>
      <c r="I113" s="4">
        <v>1.4</v>
      </c>
      <c r="J113" s="4">
        <v>4</v>
      </c>
      <c r="K113" s="4">
        <v>0.35</v>
      </c>
      <c r="L113" s="4">
        <v>0.3</v>
      </c>
      <c r="M113" s="4">
        <v>1.3</v>
      </c>
      <c r="N113" s="4">
        <v>0.21099999999999999</v>
      </c>
      <c r="O113" s="4">
        <v>1.1000000000000001</v>
      </c>
      <c r="P113" s="4">
        <v>2.7</v>
      </c>
      <c r="Q113" s="4">
        <v>0.41499999999999998</v>
      </c>
      <c r="R113" s="4">
        <v>1.1000000000000001</v>
      </c>
      <c r="S113" s="4">
        <v>1.3</v>
      </c>
      <c r="T113" s="4">
        <v>0.8</v>
      </c>
      <c r="U113" s="4">
        <v>0.3</v>
      </c>
      <c r="V113" s="4">
        <v>1.5</v>
      </c>
      <c r="W113" s="4">
        <v>1.8</v>
      </c>
      <c r="X113" s="4">
        <v>0.5</v>
      </c>
      <c r="Y113" s="4">
        <v>0.3</v>
      </c>
      <c r="Z113" s="4">
        <v>1.7</v>
      </c>
      <c r="AA113" s="4">
        <v>1.1000000000000001</v>
      </c>
      <c r="AB113" s="4">
        <v>4.0999999999999996</v>
      </c>
      <c r="AC113" s="10">
        <f t="shared" si="7"/>
        <v>0.65369897959183665</v>
      </c>
      <c r="AD113" s="10">
        <f t="shared" si="8"/>
        <v>0.27272727272727271</v>
      </c>
      <c r="AE113" s="12">
        <f>100*(AC113/TOTAL_BASIC!$D$302)</f>
        <v>76.07630209835078</v>
      </c>
      <c r="AF113" s="9"/>
      <c r="AG113" s="9"/>
      <c r="AH113" s="12">
        <f t="shared" si="9"/>
        <v>76.3</v>
      </c>
      <c r="AI113" s="12">
        <f t="shared" si="10"/>
        <v>9.9</v>
      </c>
      <c r="AJ113" s="12">
        <f t="shared" si="11"/>
        <v>28.199999999999996</v>
      </c>
      <c r="AK113" s="12">
        <f t="shared" si="12"/>
        <v>36.6</v>
      </c>
      <c r="AL113" s="12">
        <f t="shared" si="13"/>
        <v>60.3</v>
      </c>
    </row>
    <row r="114" spans="1:38" ht="15.75" customHeight="1" x14ac:dyDescent="0.25">
      <c r="A114" s="1" t="s">
        <v>215</v>
      </c>
      <c r="B114" s="7" t="s">
        <v>99</v>
      </c>
      <c r="C114" s="4" t="s">
        <v>8</v>
      </c>
      <c r="D114" s="4">
        <v>26</v>
      </c>
      <c r="E114" s="4">
        <v>244</v>
      </c>
      <c r="F114" s="4">
        <v>26</v>
      </c>
      <c r="G114" s="4">
        <v>0</v>
      </c>
      <c r="H114" s="4">
        <v>9.4</v>
      </c>
      <c r="I114" s="4">
        <v>0.8</v>
      </c>
      <c r="J114" s="4">
        <v>3.8</v>
      </c>
      <c r="K114" s="4">
        <v>0.20200000000000001</v>
      </c>
      <c r="L114" s="4">
        <v>0.3</v>
      </c>
      <c r="M114" s="4">
        <v>1.5</v>
      </c>
      <c r="N114" s="4">
        <v>0.23100000000000001</v>
      </c>
      <c r="O114" s="4">
        <v>0.4</v>
      </c>
      <c r="P114" s="4">
        <v>2.2999999999999998</v>
      </c>
      <c r="Q114" s="4">
        <v>0.183</v>
      </c>
      <c r="R114" s="4">
        <v>0.3</v>
      </c>
      <c r="S114" s="4">
        <v>0.5</v>
      </c>
      <c r="T114" s="4">
        <v>0.75</v>
      </c>
      <c r="U114" s="4">
        <v>0.4</v>
      </c>
      <c r="V114" s="4">
        <v>0.9</v>
      </c>
      <c r="W114" s="4">
        <v>0.3</v>
      </c>
      <c r="X114" s="4">
        <v>0.2</v>
      </c>
      <c r="Y114" s="4">
        <v>0.1</v>
      </c>
      <c r="Z114" s="4">
        <v>0.3</v>
      </c>
      <c r="AA114" s="4">
        <v>1</v>
      </c>
      <c r="AB114" s="4">
        <v>2.2000000000000002</v>
      </c>
      <c r="AC114" s="10">
        <f t="shared" si="7"/>
        <v>0.50925925925925941</v>
      </c>
      <c r="AD114" s="10">
        <f t="shared" si="8"/>
        <v>0.1</v>
      </c>
      <c r="AE114" s="12">
        <f>100*(AC114/TOTAL_BASIC!$D$302)</f>
        <v>59.266669313114498</v>
      </c>
      <c r="AF114" s="9"/>
      <c r="AG114" s="9"/>
      <c r="AH114" s="12">
        <f t="shared" si="9"/>
        <v>25.1</v>
      </c>
      <c r="AI114" s="12">
        <f t="shared" si="10"/>
        <v>1.5</v>
      </c>
      <c r="AJ114" s="12">
        <f t="shared" si="11"/>
        <v>10.6</v>
      </c>
      <c r="AK114" s="12">
        <f t="shared" si="12"/>
        <v>8.3000000000000007</v>
      </c>
      <c r="AL114" s="12">
        <f t="shared" si="13"/>
        <v>41.199999999999996</v>
      </c>
    </row>
    <row r="115" spans="1:38" ht="15.75" customHeight="1" x14ac:dyDescent="0.25">
      <c r="A115" s="1" t="s">
        <v>216</v>
      </c>
      <c r="B115" s="7" t="s">
        <v>114</v>
      </c>
      <c r="C115" s="4" t="s">
        <v>92</v>
      </c>
      <c r="D115" s="4">
        <v>31</v>
      </c>
      <c r="E115" s="4">
        <v>238</v>
      </c>
      <c r="F115" s="4">
        <v>31</v>
      </c>
      <c r="G115" s="4">
        <v>0</v>
      </c>
      <c r="H115" s="4">
        <v>7.7</v>
      </c>
      <c r="I115" s="4">
        <v>0.5</v>
      </c>
      <c r="J115" s="4">
        <v>1.6</v>
      </c>
      <c r="K115" s="4">
        <v>0.314</v>
      </c>
      <c r="L115" s="4">
        <v>0</v>
      </c>
      <c r="M115" s="4">
        <v>0</v>
      </c>
      <c r="N115" s="4">
        <v>0</v>
      </c>
      <c r="O115" s="4">
        <v>0.5</v>
      </c>
      <c r="P115" s="4">
        <v>1.6</v>
      </c>
      <c r="Q115" s="4">
        <v>0.314</v>
      </c>
      <c r="R115" s="4">
        <v>0.7</v>
      </c>
      <c r="S115" s="4">
        <v>1</v>
      </c>
      <c r="T115" s="4">
        <v>0.73299999999999998</v>
      </c>
      <c r="U115" s="4">
        <v>0.7</v>
      </c>
      <c r="V115" s="4">
        <v>1.5</v>
      </c>
      <c r="W115" s="4">
        <v>0.2</v>
      </c>
      <c r="X115" s="4">
        <v>0.2</v>
      </c>
      <c r="Y115" s="4">
        <v>0.2</v>
      </c>
      <c r="Z115" s="4">
        <v>0.5</v>
      </c>
      <c r="AA115" s="4">
        <v>1.3</v>
      </c>
      <c r="AB115" s="4">
        <v>1.7</v>
      </c>
      <c r="AC115" s="10">
        <f t="shared" si="7"/>
        <v>0.66929133858267709</v>
      </c>
      <c r="AD115" s="10">
        <f t="shared" si="8"/>
        <v>0.15384615384615385</v>
      </c>
      <c r="AE115" s="12">
        <f>100*(AC115/TOTAL_BASIC!$D$302)</f>
        <v>77.890912568989378</v>
      </c>
      <c r="AF115" s="9"/>
      <c r="AG115" s="9"/>
      <c r="AH115" s="12">
        <f t="shared" si="9"/>
        <v>48.8</v>
      </c>
      <c r="AI115" s="12">
        <f t="shared" si="10"/>
        <v>10.6</v>
      </c>
      <c r="AJ115" s="12">
        <f t="shared" si="11"/>
        <v>4.5</v>
      </c>
      <c r="AK115" s="12">
        <f t="shared" si="12"/>
        <v>5.3</v>
      </c>
      <c r="AL115" s="12">
        <f t="shared" si="13"/>
        <v>35.099999999999994</v>
      </c>
    </row>
    <row r="116" spans="1:38" ht="15.75" customHeight="1" x14ac:dyDescent="0.25">
      <c r="A116" s="1" t="s">
        <v>217</v>
      </c>
      <c r="B116" s="7" t="s">
        <v>171</v>
      </c>
      <c r="C116" s="4" t="s">
        <v>115</v>
      </c>
      <c r="D116" s="4">
        <v>22</v>
      </c>
      <c r="E116" s="4">
        <v>215</v>
      </c>
      <c r="F116" s="4">
        <v>22</v>
      </c>
      <c r="G116" s="4">
        <v>5</v>
      </c>
      <c r="H116" s="4">
        <v>9.8000000000000007</v>
      </c>
      <c r="I116" s="4">
        <v>0.8</v>
      </c>
      <c r="J116" s="4">
        <v>1.9</v>
      </c>
      <c r="K116" s="4">
        <v>0.41499999999999998</v>
      </c>
      <c r="L116" s="4">
        <v>0</v>
      </c>
      <c r="M116" s="4">
        <v>0</v>
      </c>
      <c r="N116" s="4">
        <v>0</v>
      </c>
      <c r="O116" s="4">
        <v>0.8</v>
      </c>
      <c r="P116" s="4">
        <v>1.9</v>
      </c>
      <c r="Q116" s="4">
        <v>0.41499999999999998</v>
      </c>
      <c r="R116" s="4">
        <v>0.4</v>
      </c>
      <c r="S116" s="4">
        <v>0.5</v>
      </c>
      <c r="T116" s="4">
        <v>0.8</v>
      </c>
      <c r="U116" s="4">
        <v>1.1000000000000001</v>
      </c>
      <c r="V116" s="4">
        <v>3.1</v>
      </c>
      <c r="W116" s="4">
        <v>0.1</v>
      </c>
      <c r="X116" s="4">
        <v>0.4</v>
      </c>
      <c r="Y116" s="4">
        <v>0.3</v>
      </c>
      <c r="Z116" s="4">
        <v>0.5</v>
      </c>
      <c r="AA116" s="4">
        <v>1.5</v>
      </c>
      <c r="AB116" s="4">
        <v>1.9</v>
      </c>
      <c r="AC116" s="10">
        <f t="shared" si="7"/>
        <v>0.72519083969465647</v>
      </c>
      <c r="AD116" s="10">
        <f t="shared" si="8"/>
        <v>0.19999999999999998</v>
      </c>
      <c r="AE116" s="12">
        <f>100*(AC116/TOTAL_BASIC!$D$302)</f>
        <v>84.396395163435727</v>
      </c>
      <c r="AF116" s="9"/>
      <c r="AG116" s="9"/>
      <c r="AH116" s="12">
        <f t="shared" si="9"/>
        <v>62.5</v>
      </c>
      <c r="AI116" s="12">
        <f t="shared" si="10"/>
        <v>24.4</v>
      </c>
      <c r="AJ116" s="12">
        <f t="shared" si="11"/>
        <v>7.6</v>
      </c>
      <c r="AK116" s="12">
        <f t="shared" si="12"/>
        <v>12.2</v>
      </c>
      <c r="AL116" s="12">
        <f t="shared" si="13"/>
        <v>60.3</v>
      </c>
    </row>
    <row r="117" spans="1:38" ht="15.75" customHeight="1" x14ac:dyDescent="0.25">
      <c r="A117" s="1" t="s">
        <v>218</v>
      </c>
      <c r="B117" s="4" t="s">
        <v>91</v>
      </c>
      <c r="C117" s="4" t="s">
        <v>8</v>
      </c>
      <c r="D117" s="4">
        <v>28</v>
      </c>
      <c r="E117" s="4">
        <v>212</v>
      </c>
      <c r="F117" s="4">
        <v>28</v>
      </c>
      <c r="G117" s="4">
        <v>0</v>
      </c>
      <c r="H117" s="4">
        <v>7.6</v>
      </c>
      <c r="I117" s="4">
        <v>0.7</v>
      </c>
      <c r="J117" s="4">
        <v>2.1</v>
      </c>
      <c r="K117" s="4">
        <v>0.317</v>
      </c>
      <c r="L117" s="4">
        <v>0.4</v>
      </c>
      <c r="M117" s="4">
        <v>1.1000000000000001</v>
      </c>
      <c r="N117" s="4">
        <v>0.313</v>
      </c>
      <c r="O117" s="4">
        <v>0.3</v>
      </c>
      <c r="P117" s="4">
        <v>1</v>
      </c>
      <c r="Q117" s="4">
        <v>0.32100000000000001</v>
      </c>
      <c r="R117" s="4">
        <v>0.1</v>
      </c>
      <c r="S117" s="4">
        <v>0.3</v>
      </c>
      <c r="T117" s="4">
        <v>0.57099999999999995</v>
      </c>
      <c r="U117" s="4">
        <v>0.4</v>
      </c>
      <c r="V117" s="4">
        <v>1.4</v>
      </c>
      <c r="W117" s="4">
        <v>0.5</v>
      </c>
      <c r="X117" s="4">
        <v>0.5</v>
      </c>
      <c r="Y117" s="4">
        <v>0.3</v>
      </c>
      <c r="Z117" s="4">
        <v>0.4</v>
      </c>
      <c r="AA117" s="4">
        <v>1.1000000000000001</v>
      </c>
      <c r="AB117" s="4">
        <v>1.9</v>
      </c>
      <c r="AC117" s="10">
        <f t="shared" si="7"/>
        <v>0.72188449848024305</v>
      </c>
      <c r="AD117" s="10">
        <f t="shared" si="8"/>
        <v>0.27272727272727271</v>
      </c>
      <c r="AE117" s="12">
        <f>100*(AC117/TOTAL_BASIC!$D$302)</f>
        <v>84.011609167249844</v>
      </c>
      <c r="AF117" s="9"/>
      <c r="AG117" s="9"/>
      <c r="AH117" s="12">
        <f t="shared" si="9"/>
        <v>76.3</v>
      </c>
      <c r="AI117" s="12">
        <f t="shared" si="10"/>
        <v>23.599999999999998</v>
      </c>
      <c r="AJ117" s="12">
        <f t="shared" si="11"/>
        <v>7.6</v>
      </c>
      <c r="AK117" s="12">
        <f t="shared" si="12"/>
        <v>3.8</v>
      </c>
      <c r="AL117" s="12">
        <f t="shared" si="13"/>
        <v>3.8</v>
      </c>
    </row>
    <row r="118" spans="1:38" ht="15.75" customHeight="1" x14ac:dyDescent="0.25">
      <c r="A118" s="1" t="s">
        <v>219</v>
      </c>
      <c r="B118" s="7" t="s">
        <v>95</v>
      </c>
      <c r="C118" s="4" t="s">
        <v>115</v>
      </c>
      <c r="D118" s="4">
        <v>21</v>
      </c>
      <c r="E118" s="4">
        <v>200</v>
      </c>
      <c r="F118" s="4">
        <v>21</v>
      </c>
      <c r="G118" s="4">
        <v>0</v>
      </c>
      <c r="H118" s="4">
        <v>9.5</v>
      </c>
      <c r="I118" s="4">
        <v>0.6</v>
      </c>
      <c r="J118" s="4">
        <v>1.4</v>
      </c>
      <c r="K118" s="4">
        <v>0.44800000000000001</v>
      </c>
      <c r="L118" s="4">
        <v>0</v>
      </c>
      <c r="M118" s="4">
        <v>0</v>
      </c>
      <c r="N118" s="4">
        <v>0</v>
      </c>
      <c r="O118" s="4">
        <v>0.6</v>
      </c>
      <c r="P118" s="4">
        <v>1.4</v>
      </c>
      <c r="Q118" s="4">
        <v>0.44800000000000001</v>
      </c>
      <c r="R118" s="4">
        <v>0.3</v>
      </c>
      <c r="S118" s="4">
        <v>0.5</v>
      </c>
      <c r="T118" s="4">
        <v>0.6</v>
      </c>
      <c r="U118" s="4">
        <v>0.5</v>
      </c>
      <c r="V118" s="4">
        <v>1.4</v>
      </c>
      <c r="W118" s="4">
        <v>0.3</v>
      </c>
      <c r="X118" s="4">
        <v>0</v>
      </c>
      <c r="Y118" s="4">
        <v>0.4</v>
      </c>
      <c r="Z118" s="4">
        <v>1.1000000000000001</v>
      </c>
      <c r="AA118" s="4">
        <v>1.5</v>
      </c>
      <c r="AB118" s="4">
        <v>1.5</v>
      </c>
      <c r="AC118" s="10">
        <f t="shared" si="7"/>
        <v>0.55147058823529416</v>
      </c>
      <c r="AD118" s="10">
        <f t="shared" si="8"/>
        <v>0.26666666666666666</v>
      </c>
      <c r="AE118" s="12">
        <f>100*(AC118/TOTAL_BASIC!$D$302)</f>
        <v>64.179147250832528</v>
      </c>
      <c r="AF118" s="9"/>
      <c r="AG118" s="9"/>
      <c r="AH118" s="12">
        <f t="shared" si="9"/>
        <v>74</v>
      </c>
      <c r="AI118" s="12">
        <f t="shared" si="10"/>
        <v>4.5</v>
      </c>
      <c r="AJ118" s="12">
        <f t="shared" si="11"/>
        <v>2.1999999999999997</v>
      </c>
      <c r="AK118" s="12">
        <f t="shared" si="12"/>
        <v>9.9</v>
      </c>
      <c r="AL118" s="12">
        <f t="shared" si="13"/>
        <v>6.8000000000000007</v>
      </c>
    </row>
    <row r="119" spans="1:38" ht="15.75" customHeight="1" x14ac:dyDescent="0.25">
      <c r="A119" s="1" t="s">
        <v>220</v>
      </c>
      <c r="B119" s="7" t="s">
        <v>106</v>
      </c>
      <c r="C119" s="4" t="s">
        <v>8</v>
      </c>
      <c r="D119" s="4">
        <v>13</v>
      </c>
      <c r="E119" s="4">
        <v>191</v>
      </c>
      <c r="F119" s="4">
        <v>13</v>
      </c>
      <c r="G119" s="4">
        <v>0</v>
      </c>
      <c r="H119" s="4">
        <v>14.7</v>
      </c>
      <c r="I119" s="4">
        <v>1</v>
      </c>
      <c r="J119" s="4">
        <v>2.9</v>
      </c>
      <c r="K119" s="4">
        <v>0.34200000000000003</v>
      </c>
      <c r="L119" s="4">
        <v>0.7</v>
      </c>
      <c r="M119" s="4">
        <v>1.8</v>
      </c>
      <c r="N119" s="4">
        <v>0.375</v>
      </c>
      <c r="O119" s="4">
        <v>0.3</v>
      </c>
      <c r="P119" s="4">
        <v>1.1000000000000001</v>
      </c>
      <c r="Q119" s="4">
        <v>0.28599999999999998</v>
      </c>
      <c r="R119" s="4">
        <v>0.5</v>
      </c>
      <c r="S119" s="4">
        <v>0.5</v>
      </c>
      <c r="T119" s="4">
        <v>1</v>
      </c>
      <c r="U119" s="4">
        <v>0.5</v>
      </c>
      <c r="V119" s="4">
        <v>1.9</v>
      </c>
      <c r="W119" s="4">
        <v>0.3</v>
      </c>
      <c r="X119" s="4">
        <v>0.5</v>
      </c>
      <c r="Y119" s="4">
        <v>0.1</v>
      </c>
      <c r="Z119" s="4">
        <v>0.8</v>
      </c>
      <c r="AA119" s="4">
        <v>0.8</v>
      </c>
      <c r="AB119" s="4">
        <v>3.2</v>
      </c>
      <c r="AC119" s="10">
        <f t="shared" si="7"/>
        <v>0.81632653061224492</v>
      </c>
      <c r="AD119" s="10">
        <f t="shared" si="8"/>
        <v>0.125</v>
      </c>
      <c r="AE119" s="12">
        <f>100*(AC119/TOTAL_BASIC!$D$302)</f>
        <v>95.002601644769769</v>
      </c>
      <c r="AF119" s="9"/>
      <c r="AG119" s="9"/>
      <c r="AH119" s="12">
        <f t="shared" si="9"/>
        <v>37.4</v>
      </c>
      <c r="AI119" s="12">
        <f t="shared" si="10"/>
        <v>49.6</v>
      </c>
      <c r="AJ119" s="12">
        <f t="shared" si="11"/>
        <v>22.1</v>
      </c>
      <c r="AK119" s="12">
        <f t="shared" si="12"/>
        <v>28.999999999999996</v>
      </c>
      <c r="AL119" s="12">
        <f t="shared" si="13"/>
        <v>98.4</v>
      </c>
    </row>
    <row r="120" spans="1:38" ht="15.75" customHeight="1" x14ac:dyDescent="0.25">
      <c r="A120" s="1" t="s">
        <v>221</v>
      </c>
      <c r="B120" s="7" t="s">
        <v>86</v>
      </c>
      <c r="C120" s="4" t="s">
        <v>8</v>
      </c>
      <c r="D120" s="4">
        <v>16</v>
      </c>
      <c r="E120" s="4">
        <v>190</v>
      </c>
      <c r="F120" s="4">
        <v>16</v>
      </c>
      <c r="G120" s="4">
        <v>1</v>
      </c>
      <c r="H120" s="4">
        <v>11.9</v>
      </c>
      <c r="I120" s="4">
        <v>1.1000000000000001</v>
      </c>
      <c r="J120" s="4">
        <v>3.4</v>
      </c>
      <c r="K120" s="4">
        <v>0.33300000000000002</v>
      </c>
      <c r="L120" s="4">
        <v>0</v>
      </c>
      <c r="M120" s="4">
        <v>0.5</v>
      </c>
      <c r="N120" s="4">
        <v>0</v>
      </c>
      <c r="O120" s="4">
        <v>1.1000000000000001</v>
      </c>
      <c r="P120" s="4">
        <v>2.9</v>
      </c>
      <c r="Q120" s="4">
        <v>0.39100000000000001</v>
      </c>
      <c r="R120" s="4">
        <v>0.8</v>
      </c>
      <c r="S120" s="4">
        <v>1.1000000000000001</v>
      </c>
      <c r="T120" s="4">
        <v>0.72199999999999998</v>
      </c>
      <c r="U120" s="4">
        <v>0.3</v>
      </c>
      <c r="V120" s="4">
        <v>1.4</v>
      </c>
      <c r="W120" s="4">
        <v>1.8</v>
      </c>
      <c r="X120" s="4">
        <v>0.9</v>
      </c>
      <c r="Y120" s="4">
        <v>0.1</v>
      </c>
      <c r="Z120" s="4">
        <v>1.2</v>
      </c>
      <c r="AA120" s="4">
        <v>1.1000000000000001</v>
      </c>
      <c r="AB120" s="4">
        <v>3.1</v>
      </c>
      <c r="AC120" s="10">
        <f t="shared" si="7"/>
        <v>0.60975609756097571</v>
      </c>
      <c r="AD120" s="10">
        <f t="shared" si="8"/>
        <v>9.0909090909090912E-2</v>
      </c>
      <c r="AE120" s="12">
        <f>100*(AC120/TOTAL_BASIC!$D$302)</f>
        <v>70.962309155392063</v>
      </c>
      <c r="AF120" s="9"/>
      <c r="AG120" s="9"/>
      <c r="AH120" s="12">
        <f t="shared" si="9"/>
        <v>21.3</v>
      </c>
      <c r="AI120" s="12">
        <f t="shared" si="10"/>
        <v>7.6</v>
      </c>
      <c r="AJ120" s="12">
        <f t="shared" si="11"/>
        <v>19.8</v>
      </c>
      <c r="AK120" s="12">
        <f t="shared" si="12"/>
        <v>18.3</v>
      </c>
      <c r="AL120" s="12">
        <f t="shared" si="13"/>
        <v>32</v>
      </c>
    </row>
    <row r="121" spans="1:38" ht="15.75" customHeight="1" x14ac:dyDescent="0.25">
      <c r="A121" s="1" t="s">
        <v>222</v>
      </c>
      <c r="B121" s="7" t="s">
        <v>106</v>
      </c>
      <c r="C121" s="4" t="s">
        <v>115</v>
      </c>
      <c r="D121" s="4">
        <v>25</v>
      </c>
      <c r="E121" s="4">
        <v>187</v>
      </c>
      <c r="F121" s="4">
        <v>25</v>
      </c>
      <c r="G121" s="4">
        <v>1</v>
      </c>
      <c r="H121" s="4">
        <v>7.5</v>
      </c>
      <c r="I121" s="4">
        <v>0.8</v>
      </c>
      <c r="J121" s="4">
        <v>2.1</v>
      </c>
      <c r="K121" s="4">
        <v>0.35799999999999998</v>
      </c>
      <c r="L121" s="4">
        <v>0</v>
      </c>
      <c r="M121" s="4">
        <v>0</v>
      </c>
      <c r="N121" s="4">
        <v>0</v>
      </c>
      <c r="O121" s="4">
        <v>0.8</v>
      </c>
      <c r="P121" s="4">
        <v>2.1</v>
      </c>
      <c r="Q121" s="4">
        <v>0.35799999999999998</v>
      </c>
      <c r="R121" s="4">
        <v>0.2</v>
      </c>
      <c r="S121" s="4">
        <v>0.3</v>
      </c>
      <c r="T121" s="4">
        <v>0.85699999999999998</v>
      </c>
      <c r="U121" s="4">
        <v>0.6</v>
      </c>
      <c r="V121" s="4">
        <v>1.6</v>
      </c>
      <c r="W121" s="4">
        <v>0.2</v>
      </c>
      <c r="X121" s="4">
        <v>0.1</v>
      </c>
      <c r="Y121" s="4">
        <v>0.1</v>
      </c>
      <c r="Z121" s="4">
        <v>0.4</v>
      </c>
      <c r="AA121" s="4">
        <v>0.7</v>
      </c>
      <c r="AB121" s="4">
        <v>1.8</v>
      </c>
      <c r="AC121" s="10">
        <f t="shared" si="7"/>
        <v>0.68389057750759874</v>
      </c>
      <c r="AD121" s="10">
        <f t="shared" si="8"/>
        <v>0.14285714285714288</v>
      </c>
      <c r="AE121" s="12">
        <f>100*(AC121/TOTAL_BASIC!$D$302)</f>
        <v>79.589945526868291</v>
      </c>
      <c r="AF121" s="9"/>
      <c r="AG121" s="9"/>
      <c r="AH121" s="12">
        <f t="shared" si="9"/>
        <v>45</v>
      </c>
      <c r="AI121" s="12">
        <f t="shared" si="10"/>
        <v>13.700000000000001</v>
      </c>
      <c r="AJ121" s="12">
        <f t="shared" si="11"/>
        <v>6.8000000000000007</v>
      </c>
      <c r="AK121" s="12">
        <f t="shared" si="12"/>
        <v>3</v>
      </c>
      <c r="AL121" s="12">
        <f t="shared" si="13"/>
        <v>80.900000000000006</v>
      </c>
    </row>
    <row r="122" spans="1:38" ht="15.75" customHeight="1" x14ac:dyDescent="0.25">
      <c r="A122" s="1" t="s">
        <v>223</v>
      </c>
      <c r="B122" s="7" t="s">
        <v>91</v>
      </c>
      <c r="C122" s="4" t="s">
        <v>92</v>
      </c>
      <c r="D122" s="4">
        <v>27</v>
      </c>
      <c r="E122" s="4">
        <v>184</v>
      </c>
      <c r="F122" s="4">
        <v>27</v>
      </c>
      <c r="G122" s="4">
        <v>0</v>
      </c>
      <c r="H122" s="4">
        <v>6.8</v>
      </c>
      <c r="I122" s="4">
        <v>0.6</v>
      </c>
      <c r="J122" s="4">
        <v>1.3</v>
      </c>
      <c r="K122" s="4">
        <v>0.44400000000000001</v>
      </c>
      <c r="L122" s="4">
        <v>0.2</v>
      </c>
      <c r="M122" s="4">
        <v>0.4</v>
      </c>
      <c r="N122" s="4">
        <v>0.6</v>
      </c>
      <c r="O122" s="4">
        <v>0.4</v>
      </c>
      <c r="P122" s="4">
        <v>1</v>
      </c>
      <c r="Q122" s="4">
        <v>0.38500000000000001</v>
      </c>
      <c r="R122" s="4">
        <v>0.3</v>
      </c>
      <c r="S122" s="4">
        <v>0.3</v>
      </c>
      <c r="T122" s="4">
        <v>0.77800000000000002</v>
      </c>
      <c r="U122" s="4">
        <v>0.3</v>
      </c>
      <c r="V122" s="4">
        <v>0.7</v>
      </c>
      <c r="W122" s="4">
        <v>0.4</v>
      </c>
      <c r="X122" s="4">
        <v>0.2</v>
      </c>
      <c r="Y122" s="4">
        <v>0.1</v>
      </c>
      <c r="Z122" s="4">
        <v>0.5</v>
      </c>
      <c r="AA122" s="4">
        <v>1</v>
      </c>
      <c r="AB122" s="4">
        <v>1.7</v>
      </c>
      <c r="AC122" s="10">
        <f t="shared" si="7"/>
        <v>0.87991718426501031</v>
      </c>
      <c r="AD122" s="10">
        <f t="shared" si="8"/>
        <v>0.1</v>
      </c>
      <c r="AE122" s="12">
        <f>100*(AC122/TOTAL_BASIC!$D$302)</f>
        <v>102.40316662796741</v>
      </c>
      <c r="AF122" s="9"/>
      <c r="AG122" s="9"/>
      <c r="AH122" s="12">
        <f t="shared" si="9"/>
        <v>25.1</v>
      </c>
      <c r="AI122" s="12">
        <f t="shared" si="10"/>
        <v>64.8</v>
      </c>
      <c r="AJ122" s="12">
        <f t="shared" si="11"/>
        <v>4.5</v>
      </c>
      <c r="AK122" s="12">
        <f t="shared" si="12"/>
        <v>0.70000000000000007</v>
      </c>
      <c r="AL122" s="12">
        <f t="shared" si="13"/>
        <v>50.3</v>
      </c>
    </row>
    <row r="123" spans="1:38" ht="15.75" customHeight="1" x14ac:dyDescent="0.25">
      <c r="A123" s="1" t="s">
        <v>224</v>
      </c>
      <c r="B123" s="7" t="s">
        <v>114</v>
      </c>
      <c r="C123" s="4" t="s">
        <v>8</v>
      </c>
      <c r="D123" s="4">
        <v>19</v>
      </c>
      <c r="E123" s="4">
        <v>184</v>
      </c>
      <c r="F123" s="4">
        <v>19</v>
      </c>
      <c r="G123" s="4">
        <v>0</v>
      </c>
      <c r="H123" s="4">
        <v>9.6999999999999993</v>
      </c>
      <c r="I123" s="4">
        <v>0.3</v>
      </c>
      <c r="J123" s="4">
        <v>1.5</v>
      </c>
      <c r="K123" s="4">
        <v>0.214</v>
      </c>
      <c r="L123" s="4">
        <v>0</v>
      </c>
      <c r="M123" s="4">
        <v>0.3</v>
      </c>
      <c r="N123" s="4">
        <v>0</v>
      </c>
      <c r="O123" s="4">
        <v>0.3</v>
      </c>
      <c r="P123" s="4">
        <v>1.2</v>
      </c>
      <c r="Q123" s="4">
        <v>0.27300000000000002</v>
      </c>
      <c r="R123" s="4">
        <v>0.3</v>
      </c>
      <c r="S123" s="4">
        <v>0.4</v>
      </c>
      <c r="T123" s="4">
        <v>0.625</v>
      </c>
      <c r="U123" s="4">
        <v>0</v>
      </c>
      <c r="V123" s="4">
        <v>0.7</v>
      </c>
      <c r="W123" s="4">
        <v>1.7</v>
      </c>
      <c r="X123" s="4">
        <v>0.2</v>
      </c>
      <c r="Y123" s="4">
        <v>0</v>
      </c>
      <c r="Z123" s="4">
        <v>0.8</v>
      </c>
      <c r="AA123" s="4">
        <v>0.8</v>
      </c>
      <c r="AB123" s="4">
        <v>0.9</v>
      </c>
      <c r="AC123" s="10">
        <f t="shared" si="7"/>
        <v>0.36348949919224555</v>
      </c>
      <c r="AD123" s="10">
        <f t="shared" si="8"/>
        <v>0</v>
      </c>
      <c r="AE123" s="12">
        <f>100*(AC123/TOTAL_BASIC!$D$302)</f>
        <v>42.302248914926764</v>
      </c>
      <c r="AF123" s="9"/>
      <c r="AG123" s="9"/>
      <c r="AH123" s="12">
        <f t="shared" si="9"/>
        <v>0</v>
      </c>
      <c r="AI123" s="12">
        <f t="shared" si="10"/>
        <v>0</v>
      </c>
      <c r="AJ123" s="12">
        <f t="shared" si="11"/>
        <v>0</v>
      </c>
      <c r="AK123" s="12">
        <f t="shared" si="12"/>
        <v>10.6</v>
      </c>
      <c r="AL123" s="12">
        <f t="shared" si="13"/>
        <v>9.1</v>
      </c>
    </row>
    <row r="124" spans="1:38" ht="15.75" customHeight="1" x14ac:dyDescent="0.25">
      <c r="A124" s="1" t="s">
        <v>225</v>
      </c>
      <c r="B124" s="7" t="s">
        <v>114</v>
      </c>
      <c r="C124" s="4" t="s">
        <v>115</v>
      </c>
      <c r="D124" s="4">
        <v>16</v>
      </c>
      <c r="E124" s="4">
        <v>181</v>
      </c>
      <c r="F124" s="4">
        <v>16</v>
      </c>
      <c r="G124" s="4">
        <v>2</v>
      </c>
      <c r="H124" s="4">
        <v>11.3</v>
      </c>
      <c r="I124" s="4">
        <v>1.6</v>
      </c>
      <c r="J124" s="4">
        <v>2.6</v>
      </c>
      <c r="K124" s="4">
        <v>0.61899999999999999</v>
      </c>
      <c r="L124" s="4">
        <v>0</v>
      </c>
      <c r="M124" s="4">
        <v>0</v>
      </c>
      <c r="N124" s="4">
        <v>0</v>
      </c>
      <c r="O124" s="4">
        <v>1.6</v>
      </c>
      <c r="P124" s="4">
        <v>2.6</v>
      </c>
      <c r="Q124" s="4">
        <v>0.61899999999999999</v>
      </c>
      <c r="R124" s="4">
        <v>0.4</v>
      </c>
      <c r="S124" s="4">
        <v>0.6</v>
      </c>
      <c r="T124" s="4">
        <v>0.77800000000000002</v>
      </c>
      <c r="U124" s="4">
        <v>1</v>
      </c>
      <c r="V124" s="4">
        <v>2.6</v>
      </c>
      <c r="W124" s="4">
        <v>0.6</v>
      </c>
      <c r="X124" s="4">
        <v>0.5</v>
      </c>
      <c r="Y124" s="4">
        <v>0.8</v>
      </c>
      <c r="Z124" s="4">
        <v>0.9</v>
      </c>
      <c r="AA124" s="4">
        <v>2.1</v>
      </c>
      <c r="AB124" s="4">
        <v>3.7</v>
      </c>
      <c r="AC124" s="10">
        <f t="shared" si="7"/>
        <v>0.98299681190223176</v>
      </c>
      <c r="AD124" s="10">
        <f t="shared" si="8"/>
        <v>0.38095238095238093</v>
      </c>
      <c r="AE124" s="12">
        <f>100*(AC124/TOTAL_BASIC!$D$302)</f>
        <v>114.39938681055236</v>
      </c>
      <c r="AF124" s="9"/>
      <c r="AG124" s="9"/>
      <c r="AH124" s="12">
        <f t="shared" si="9"/>
        <v>83.2</v>
      </c>
      <c r="AI124" s="12">
        <f t="shared" si="10"/>
        <v>90</v>
      </c>
      <c r="AJ124" s="12">
        <f t="shared" si="11"/>
        <v>23.599999999999998</v>
      </c>
      <c r="AK124" s="12">
        <f t="shared" si="12"/>
        <v>17.5</v>
      </c>
      <c r="AL124" s="12">
        <f t="shared" si="13"/>
        <v>50.3</v>
      </c>
    </row>
    <row r="125" spans="1:38" ht="15.75" customHeight="1" x14ac:dyDescent="0.25">
      <c r="A125" s="1" t="s">
        <v>226</v>
      </c>
      <c r="B125" s="7" t="s">
        <v>99</v>
      </c>
      <c r="C125" s="4" t="s">
        <v>92</v>
      </c>
      <c r="D125" s="4">
        <v>6</v>
      </c>
      <c r="E125" s="4">
        <v>180</v>
      </c>
      <c r="F125" s="4">
        <v>6</v>
      </c>
      <c r="G125" s="4">
        <v>6</v>
      </c>
      <c r="H125" s="4">
        <v>30</v>
      </c>
      <c r="I125" s="4">
        <v>6.2</v>
      </c>
      <c r="J125" s="4">
        <v>11.7</v>
      </c>
      <c r="K125" s="4">
        <v>0.52900000000000003</v>
      </c>
      <c r="L125" s="4">
        <v>0.3</v>
      </c>
      <c r="M125" s="4">
        <v>0.8</v>
      </c>
      <c r="N125" s="4">
        <v>0.4</v>
      </c>
      <c r="O125" s="4">
        <v>5.8</v>
      </c>
      <c r="P125" s="4">
        <v>10.8</v>
      </c>
      <c r="Q125" s="4">
        <v>0.53800000000000003</v>
      </c>
      <c r="R125" s="4">
        <v>1.7</v>
      </c>
      <c r="S125" s="4">
        <v>2.5</v>
      </c>
      <c r="T125" s="4">
        <v>0.66700000000000004</v>
      </c>
      <c r="U125" s="4">
        <v>2.2999999999999998</v>
      </c>
      <c r="V125" s="4">
        <v>8.5</v>
      </c>
      <c r="W125" s="4">
        <v>2.5</v>
      </c>
      <c r="X125" s="4">
        <v>2.2999999999999998</v>
      </c>
      <c r="Y125" s="4">
        <v>1.3</v>
      </c>
      <c r="Z125" s="4">
        <v>2.2000000000000002</v>
      </c>
      <c r="AA125" s="4">
        <v>2.8</v>
      </c>
      <c r="AB125" s="4">
        <v>14.3</v>
      </c>
      <c r="AC125" s="10">
        <f t="shared" si="7"/>
        <v>0.95333333333333337</v>
      </c>
      <c r="AD125" s="10">
        <f t="shared" si="8"/>
        <v>0.46428571428571436</v>
      </c>
      <c r="AE125" s="12">
        <f>100*(AC125/TOTAL_BASIC!$D$302)</f>
        <v>110.94720495415029</v>
      </c>
      <c r="AF125" s="9"/>
      <c r="AG125" s="9"/>
      <c r="AH125" s="12">
        <f t="shared" si="9"/>
        <v>90</v>
      </c>
      <c r="AI125" s="12">
        <f t="shared" si="10"/>
        <v>83.899999999999991</v>
      </c>
      <c r="AJ125" s="12">
        <f t="shared" si="11"/>
        <v>83.2</v>
      </c>
      <c r="AK125" s="12">
        <f t="shared" si="12"/>
        <v>81.599999999999994</v>
      </c>
      <c r="AL125" s="12">
        <f t="shared" si="13"/>
        <v>17.5</v>
      </c>
    </row>
    <row r="126" spans="1:38" ht="15.75" customHeight="1" x14ac:dyDescent="0.25">
      <c r="A126" s="1" t="s">
        <v>227</v>
      </c>
      <c r="B126" s="7" t="s">
        <v>171</v>
      </c>
      <c r="C126" s="4" t="s">
        <v>92</v>
      </c>
      <c r="D126" s="4">
        <v>22</v>
      </c>
      <c r="E126" s="4">
        <v>162</v>
      </c>
      <c r="F126" s="4">
        <v>22</v>
      </c>
      <c r="G126" s="4">
        <v>0</v>
      </c>
      <c r="H126" s="4">
        <v>7.4</v>
      </c>
      <c r="I126" s="4">
        <v>0.6</v>
      </c>
      <c r="J126" s="4">
        <v>2.1</v>
      </c>
      <c r="K126" s="4">
        <v>0.27700000000000002</v>
      </c>
      <c r="L126" s="4">
        <v>0</v>
      </c>
      <c r="M126" s="4">
        <v>0</v>
      </c>
      <c r="N126" s="4">
        <v>0</v>
      </c>
      <c r="O126" s="4">
        <v>0.6</v>
      </c>
      <c r="P126" s="4">
        <v>2.1</v>
      </c>
      <c r="Q126" s="4">
        <v>0.28299999999999997</v>
      </c>
      <c r="R126" s="4">
        <v>0.4</v>
      </c>
      <c r="S126" s="4">
        <v>0.8</v>
      </c>
      <c r="T126" s="4">
        <v>0.47099999999999997</v>
      </c>
      <c r="U126" s="4">
        <v>0.5</v>
      </c>
      <c r="V126" s="4">
        <v>0.9</v>
      </c>
      <c r="W126" s="4">
        <v>0.4</v>
      </c>
      <c r="X126" s="4">
        <v>0.2</v>
      </c>
      <c r="Y126" s="4">
        <v>0</v>
      </c>
      <c r="Z126" s="4">
        <v>0.3</v>
      </c>
      <c r="AA126" s="4">
        <v>1</v>
      </c>
      <c r="AB126" s="4">
        <v>1.5</v>
      </c>
      <c r="AC126" s="10">
        <f t="shared" si="7"/>
        <v>0.5450581395348838</v>
      </c>
      <c r="AD126" s="10">
        <f t="shared" si="8"/>
        <v>0</v>
      </c>
      <c r="AE126" s="12">
        <f>100*(AC126/TOTAL_BASIC!$D$302)</f>
        <v>63.432878096753079</v>
      </c>
      <c r="AF126" s="9"/>
      <c r="AG126" s="9"/>
      <c r="AH126" s="12">
        <f t="shared" si="9"/>
        <v>0</v>
      </c>
      <c r="AI126" s="12">
        <f t="shared" si="10"/>
        <v>3</v>
      </c>
      <c r="AJ126" s="12">
        <f t="shared" si="11"/>
        <v>2.1999999999999997</v>
      </c>
      <c r="AK126" s="12">
        <f t="shared" si="12"/>
        <v>2.1999999999999997</v>
      </c>
      <c r="AL126" s="12">
        <f t="shared" si="13"/>
        <v>1.5</v>
      </c>
    </row>
    <row r="127" spans="1:38" ht="15.75" customHeight="1" x14ac:dyDescent="0.25">
      <c r="A127" s="1" t="s">
        <v>228</v>
      </c>
      <c r="B127" s="7" t="s">
        <v>86</v>
      </c>
      <c r="C127" s="4" t="s">
        <v>92</v>
      </c>
      <c r="D127" s="4">
        <v>10</v>
      </c>
      <c r="E127" s="4">
        <v>161</v>
      </c>
      <c r="F127" s="4">
        <v>10</v>
      </c>
      <c r="G127" s="4">
        <v>3</v>
      </c>
      <c r="H127" s="4">
        <v>16.100000000000001</v>
      </c>
      <c r="I127" s="4">
        <v>2.5</v>
      </c>
      <c r="J127" s="4">
        <v>5.3</v>
      </c>
      <c r="K127" s="4">
        <v>0.47199999999999998</v>
      </c>
      <c r="L127" s="4">
        <v>0.8</v>
      </c>
      <c r="M127" s="4">
        <v>1.9</v>
      </c>
      <c r="N127" s="4">
        <v>0.42099999999999999</v>
      </c>
      <c r="O127" s="4">
        <v>1.7</v>
      </c>
      <c r="P127" s="4">
        <v>3.4</v>
      </c>
      <c r="Q127" s="4">
        <v>0.5</v>
      </c>
      <c r="R127" s="4">
        <v>2.6</v>
      </c>
      <c r="S127" s="4">
        <v>2.7</v>
      </c>
      <c r="T127" s="4">
        <v>0.96299999999999997</v>
      </c>
      <c r="U127" s="4">
        <v>0.6</v>
      </c>
      <c r="V127" s="4">
        <v>2.1</v>
      </c>
      <c r="W127" s="4">
        <v>1.7</v>
      </c>
      <c r="X127" s="4">
        <v>0.8</v>
      </c>
      <c r="Y127" s="4">
        <v>0.1</v>
      </c>
      <c r="Z127" s="4">
        <v>0.6</v>
      </c>
      <c r="AA127" s="4">
        <v>0.7</v>
      </c>
      <c r="AB127" s="4">
        <v>8.4</v>
      </c>
      <c r="AC127" s="10">
        <f t="shared" si="7"/>
        <v>1.1851015801354403</v>
      </c>
      <c r="AD127" s="10">
        <f t="shared" si="8"/>
        <v>0.14285714285714288</v>
      </c>
      <c r="AE127" s="12">
        <f>100*(AC127/TOTAL_BASIC!$D$302)</f>
        <v>137.9199733245882</v>
      </c>
      <c r="AF127" s="9"/>
      <c r="AG127" s="9"/>
      <c r="AH127" s="12">
        <f t="shared" si="9"/>
        <v>45</v>
      </c>
      <c r="AI127" s="12">
        <f t="shared" si="10"/>
        <v>100</v>
      </c>
      <c r="AJ127" s="12">
        <f t="shared" si="11"/>
        <v>57.199999999999996</v>
      </c>
      <c r="AK127" s="12">
        <f t="shared" si="12"/>
        <v>32.800000000000004</v>
      </c>
      <c r="AL127" s="12">
        <f t="shared" si="13"/>
        <v>97.7</v>
      </c>
    </row>
    <row r="128" spans="1:38" ht="15.75" customHeight="1" x14ac:dyDescent="0.25">
      <c r="A128" s="1" t="s">
        <v>229</v>
      </c>
      <c r="B128" s="4" t="s">
        <v>95</v>
      </c>
      <c r="C128" s="4" t="s">
        <v>157</v>
      </c>
      <c r="D128" s="4">
        <v>15</v>
      </c>
      <c r="E128" s="4">
        <v>153</v>
      </c>
      <c r="F128" s="4">
        <v>15</v>
      </c>
      <c r="G128" s="4">
        <v>0</v>
      </c>
      <c r="H128" s="4">
        <v>10.199999999999999</v>
      </c>
      <c r="I128" s="4">
        <v>0.5</v>
      </c>
      <c r="J128" s="4">
        <v>1.8</v>
      </c>
      <c r="K128" s="4">
        <v>0.29599999999999999</v>
      </c>
      <c r="L128" s="4">
        <v>0</v>
      </c>
      <c r="M128" s="4">
        <v>0</v>
      </c>
      <c r="N128" s="4">
        <v>0</v>
      </c>
      <c r="O128" s="4">
        <v>0.5</v>
      </c>
      <c r="P128" s="4">
        <v>1.8</v>
      </c>
      <c r="Q128" s="4">
        <v>0.29599999999999999</v>
      </c>
      <c r="R128" s="4">
        <v>0.6</v>
      </c>
      <c r="S128" s="4">
        <v>1.1000000000000001</v>
      </c>
      <c r="T128" s="4">
        <v>0.56299999999999994</v>
      </c>
      <c r="U128" s="4">
        <v>0.8</v>
      </c>
      <c r="V128" s="4">
        <v>2</v>
      </c>
      <c r="W128" s="4">
        <v>0.5</v>
      </c>
      <c r="X128" s="4">
        <v>0.1</v>
      </c>
      <c r="Y128" s="4">
        <v>0.3</v>
      </c>
      <c r="Z128" s="4">
        <v>0.8</v>
      </c>
      <c r="AA128" s="4">
        <v>1.9</v>
      </c>
      <c r="AB128" s="4">
        <v>1.7</v>
      </c>
      <c r="AC128" s="10">
        <f t="shared" si="7"/>
        <v>0.55123216601815817</v>
      </c>
      <c r="AD128" s="10">
        <f t="shared" si="8"/>
        <v>0.15789473684210525</v>
      </c>
      <c r="AE128" s="12">
        <f>100*(AC128/TOTAL_BASIC!$D$302)</f>
        <v>64.15140010545818</v>
      </c>
      <c r="AF128" s="9"/>
      <c r="AG128" s="9"/>
      <c r="AH128" s="12">
        <f t="shared" si="9"/>
        <v>53.400000000000006</v>
      </c>
      <c r="AI128" s="12">
        <f t="shared" si="10"/>
        <v>3.8</v>
      </c>
      <c r="AJ128" s="12">
        <f t="shared" si="11"/>
        <v>4.5</v>
      </c>
      <c r="AK128" s="12">
        <f t="shared" si="12"/>
        <v>14.499999999999998</v>
      </c>
      <c r="AL128" s="12">
        <f t="shared" si="13"/>
        <v>3</v>
      </c>
    </row>
    <row r="129" spans="1:38" ht="15.75" customHeight="1" x14ac:dyDescent="0.25">
      <c r="A129" s="1" t="s">
        <v>230</v>
      </c>
      <c r="B129" s="7" t="s">
        <v>106</v>
      </c>
      <c r="C129" s="4" t="s">
        <v>87</v>
      </c>
      <c r="D129" s="4">
        <v>4</v>
      </c>
      <c r="E129" s="4">
        <v>143</v>
      </c>
      <c r="F129" s="4">
        <v>4</v>
      </c>
      <c r="G129" s="4">
        <v>4</v>
      </c>
      <c r="H129" s="4">
        <v>35.799999999999997</v>
      </c>
      <c r="I129" s="4">
        <v>5.3</v>
      </c>
      <c r="J129" s="4">
        <v>13.5</v>
      </c>
      <c r="K129" s="4">
        <v>0.38900000000000001</v>
      </c>
      <c r="L129" s="4">
        <v>1.8</v>
      </c>
      <c r="M129" s="4">
        <v>6.8</v>
      </c>
      <c r="N129" s="4">
        <v>0.25900000000000001</v>
      </c>
      <c r="O129" s="4">
        <v>3.5</v>
      </c>
      <c r="P129" s="4">
        <v>6.8</v>
      </c>
      <c r="Q129" s="4">
        <v>0.51900000000000002</v>
      </c>
      <c r="R129" s="4">
        <v>2.8</v>
      </c>
      <c r="S129" s="4">
        <v>2.8</v>
      </c>
      <c r="T129" s="4">
        <v>1</v>
      </c>
      <c r="U129" s="4">
        <v>1.3</v>
      </c>
      <c r="V129" s="4">
        <v>2.8</v>
      </c>
      <c r="W129" s="4">
        <v>1.5</v>
      </c>
      <c r="X129" s="4">
        <v>1.8</v>
      </c>
      <c r="Y129" s="4">
        <v>0.5</v>
      </c>
      <c r="Z129" s="4">
        <v>2.8</v>
      </c>
      <c r="AA129" s="4">
        <v>0.8</v>
      </c>
      <c r="AB129" s="4">
        <v>15</v>
      </c>
      <c r="AC129" s="10">
        <f t="shared" si="7"/>
        <v>0.85557837097878164</v>
      </c>
      <c r="AD129" s="10">
        <f t="shared" si="8"/>
        <v>0.625</v>
      </c>
      <c r="AE129" s="12">
        <f>100*(AC129/TOTAL_BASIC!$D$302)</f>
        <v>99.570659663623346</v>
      </c>
      <c r="AF129" s="9"/>
      <c r="AG129" s="9"/>
      <c r="AH129" s="12">
        <f t="shared" si="9"/>
        <v>93.8</v>
      </c>
      <c r="AI129" s="12">
        <f t="shared" si="10"/>
        <v>60.3</v>
      </c>
      <c r="AJ129" s="12">
        <f t="shared" si="11"/>
        <v>88.5</v>
      </c>
      <c r="AK129" s="12">
        <f t="shared" si="12"/>
        <v>100</v>
      </c>
      <c r="AL129" s="12">
        <f t="shared" si="13"/>
        <v>98.4</v>
      </c>
    </row>
    <row r="130" spans="1:38" ht="15.75" customHeight="1" x14ac:dyDescent="0.25">
      <c r="A130" s="1" t="s">
        <v>231</v>
      </c>
      <c r="B130" s="7" t="s">
        <v>91</v>
      </c>
      <c r="C130" s="4" t="s">
        <v>8</v>
      </c>
      <c r="D130" s="4">
        <v>23</v>
      </c>
      <c r="E130" s="4">
        <v>130</v>
      </c>
      <c r="F130" s="4">
        <v>23</v>
      </c>
      <c r="G130" s="4">
        <v>0</v>
      </c>
      <c r="H130" s="4">
        <v>5.7</v>
      </c>
      <c r="I130" s="4">
        <v>0.3</v>
      </c>
      <c r="J130" s="4">
        <v>1.3</v>
      </c>
      <c r="K130" s="4">
        <v>0.25800000000000001</v>
      </c>
      <c r="L130" s="4">
        <v>0.1</v>
      </c>
      <c r="M130" s="4">
        <v>0.5</v>
      </c>
      <c r="N130" s="4">
        <v>0.25</v>
      </c>
      <c r="O130" s="4">
        <v>0.2</v>
      </c>
      <c r="P130" s="4">
        <v>0.8</v>
      </c>
      <c r="Q130" s="4">
        <v>0.26300000000000001</v>
      </c>
      <c r="R130" s="4">
        <v>0.1</v>
      </c>
      <c r="S130" s="4">
        <v>0.2</v>
      </c>
      <c r="T130" s="4">
        <v>0.75</v>
      </c>
      <c r="U130" s="4">
        <v>0</v>
      </c>
      <c r="V130" s="4">
        <v>0.6</v>
      </c>
      <c r="W130" s="4">
        <v>1</v>
      </c>
      <c r="X130" s="4">
        <v>0.1</v>
      </c>
      <c r="Y130" s="4">
        <v>0</v>
      </c>
      <c r="Z130" s="4">
        <v>0.5</v>
      </c>
      <c r="AA130" s="4">
        <v>0.2</v>
      </c>
      <c r="AB130" s="4">
        <v>1</v>
      </c>
      <c r="AC130" s="10">
        <f t="shared" si="7"/>
        <v>0.52966101694915246</v>
      </c>
      <c r="AD130" s="10">
        <f t="shared" si="8"/>
        <v>0</v>
      </c>
      <c r="AE130" s="12">
        <f>100*(AC130/TOTAL_BASIC!$D$302)</f>
        <v>61.640988884980374</v>
      </c>
      <c r="AF130" s="9"/>
      <c r="AG130" s="9"/>
      <c r="AH130" s="12">
        <f t="shared" si="9"/>
        <v>0</v>
      </c>
      <c r="AI130" s="12">
        <f t="shared" si="10"/>
        <v>2.1999999999999997</v>
      </c>
      <c r="AJ130" s="12">
        <f t="shared" si="11"/>
        <v>0.70000000000000007</v>
      </c>
      <c r="AK130" s="12">
        <f t="shared" si="12"/>
        <v>0</v>
      </c>
      <c r="AL130" s="12">
        <f t="shared" si="13"/>
        <v>41.199999999999996</v>
      </c>
    </row>
    <row r="131" spans="1:38" ht="15.75" customHeight="1" x14ac:dyDescent="0.25">
      <c r="A131" s="1" t="s">
        <v>232</v>
      </c>
      <c r="B131" s="7" t="s">
        <v>108</v>
      </c>
      <c r="C131" s="4" t="s">
        <v>92</v>
      </c>
      <c r="D131" s="4">
        <v>17</v>
      </c>
      <c r="E131" s="4">
        <v>122</v>
      </c>
      <c r="F131" s="4">
        <v>17</v>
      </c>
      <c r="G131" s="4">
        <v>0</v>
      </c>
      <c r="H131" s="4">
        <v>7.2</v>
      </c>
      <c r="I131" s="4">
        <v>0.9</v>
      </c>
      <c r="J131" s="4">
        <v>2.2999999999999998</v>
      </c>
      <c r="K131" s="4">
        <v>0.38500000000000001</v>
      </c>
      <c r="L131" s="4">
        <v>0</v>
      </c>
      <c r="M131" s="4">
        <v>0</v>
      </c>
      <c r="N131" s="4">
        <v>0</v>
      </c>
      <c r="O131" s="4">
        <v>0.9</v>
      </c>
      <c r="P131" s="4">
        <v>2.2999999999999998</v>
      </c>
      <c r="Q131" s="4">
        <v>0.38500000000000001</v>
      </c>
      <c r="R131" s="4">
        <v>0.5</v>
      </c>
      <c r="S131" s="4">
        <v>0.7</v>
      </c>
      <c r="T131" s="4">
        <v>0.66700000000000004</v>
      </c>
      <c r="U131" s="4">
        <v>0.2</v>
      </c>
      <c r="V131" s="4">
        <v>0.7</v>
      </c>
      <c r="W131" s="4">
        <v>0.5</v>
      </c>
      <c r="X131" s="4">
        <v>0.1</v>
      </c>
      <c r="Y131" s="4">
        <v>0.1</v>
      </c>
      <c r="Z131" s="4">
        <v>0.2</v>
      </c>
      <c r="AA131" s="4">
        <v>0.9</v>
      </c>
      <c r="AB131" s="4">
        <v>2.2000000000000002</v>
      </c>
      <c r="AC131" s="10">
        <f t="shared" si="7"/>
        <v>0.78347578347578362</v>
      </c>
      <c r="AD131" s="10">
        <f t="shared" si="8"/>
        <v>0.11111111111111112</v>
      </c>
      <c r="AE131" s="12">
        <f>100*(AC131/TOTAL_BASIC!$D$302)</f>
        <v>91.179491250945361</v>
      </c>
      <c r="AF131" s="9"/>
      <c r="AG131" s="9"/>
      <c r="AH131" s="12">
        <f t="shared" si="9"/>
        <v>31.2</v>
      </c>
      <c r="AI131" s="12">
        <f t="shared" si="10"/>
        <v>38.9</v>
      </c>
      <c r="AJ131" s="12">
        <f t="shared" si="11"/>
        <v>10.6</v>
      </c>
      <c r="AK131" s="12">
        <f t="shared" si="12"/>
        <v>1.5</v>
      </c>
      <c r="AL131" s="12">
        <f t="shared" si="13"/>
        <v>17.5</v>
      </c>
    </row>
    <row r="132" spans="1:38" ht="15.75" customHeight="1" x14ac:dyDescent="0.25">
      <c r="A132" s="1" t="s">
        <v>233</v>
      </c>
      <c r="B132" s="7" t="s">
        <v>99</v>
      </c>
      <c r="C132" s="4" t="s">
        <v>115</v>
      </c>
      <c r="D132" s="4">
        <v>16</v>
      </c>
      <c r="E132" s="4">
        <v>121</v>
      </c>
      <c r="F132" s="4">
        <v>16</v>
      </c>
      <c r="G132" s="4">
        <v>0</v>
      </c>
      <c r="H132" s="4">
        <v>7.6</v>
      </c>
      <c r="I132" s="4">
        <v>0.4</v>
      </c>
      <c r="J132" s="4">
        <v>1.2</v>
      </c>
      <c r="K132" s="4">
        <v>0.316</v>
      </c>
      <c r="L132" s="4">
        <v>0.1</v>
      </c>
      <c r="M132" s="4">
        <v>0.3</v>
      </c>
      <c r="N132" s="4">
        <v>0.4</v>
      </c>
      <c r="O132" s="4">
        <v>0.3</v>
      </c>
      <c r="P132" s="4">
        <v>0.9</v>
      </c>
      <c r="Q132" s="4">
        <v>0.28599999999999998</v>
      </c>
      <c r="R132" s="4">
        <v>0.3</v>
      </c>
      <c r="S132" s="4">
        <v>0.4</v>
      </c>
      <c r="T132" s="4">
        <v>0.66700000000000004</v>
      </c>
      <c r="U132" s="4">
        <v>0.2</v>
      </c>
      <c r="V132" s="4">
        <v>0.8</v>
      </c>
      <c r="W132" s="4">
        <v>0.2</v>
      </c>
      <c r="X132" s="4">
        <v>0.2</v>
      </c>
      <c r="Y132" s="4">
        <v>0.3</v>
      </c>
      <c r="Z132" s="4">
        <v>0.5</v>
      </c>
      <c r="AA132" s="4">
        <v>1.6</v>
      </c>
      <c r="AB132" s="4">
        <v>1.1000000000000001</v>
      </c>
      <c r="AC132" s="10">
        <f t="shared" ref="AC132:AC134" si="14">(AB132)/(J132+(0.44*S132)+Z132)</f>
        <v>0.58635394456289991</v>
      </c>
      <c r="AD132" s="10">
        <f t="shared" ref="AD132:AD134" si="15">Y132/AA132</f>
        <v>0.18749999999999997</v>
      </c>
      <c r="AE132" s="12">
        <f>100*(AC132/TOTAL_BASIC!$D$302)</f>
        <v>68.238809017232029</v>
      </c>
      <c r="AF132" s="9"/>
      <c r="AG132" s="9"/>
      <c r="AH132" s="12">
        <f t="shared" ref="AH132:AH134" si="16">(PERCENTRANK(AD$3:AD$298,AD132))*100</f>
        <v>61</v>
      </c>
      <c r="AI132" s="12">
        <f t="shared" ref="AI132:AI134" si="17">(PERCENTRANK(AE$3:AE$298,AE132))*100</f>
        <v>6.1</v>
      </c>
      <c r="AJ132" s="12">
        <f t="shared" ref="AJ132:AJ156" si="18">(PERCENTRANK(AB$3:AB$298,AB132))*100</f>
        <v>1.5</v>
      </c>
      <c r="AK132" s="12">
        <f t="shared" ref="AK132:AK156" si="19">(PERCENTRANK(H$3:H$298,H132))*100</f>
        <v>3.8</v>
      </c>
      <c r="AL132" s="12">
        <f t="shared" ref="AL132:AL156" si="20">(PERCENTRANK(T$3:T$298,T132))*100</f>
        <v>17.5</v>
      </c>
    </row>
    <row r="133" spans="1:38" ht="15.75" customHeight="1" x14ac:dyDescent="0.25">
      <c r="A133" s="1" t="s">
        <v>234</v>
      </c>
      <c r="B133" s="4" t="s">
        <v>104</v>
      </c>
      <c r="C133" s="4" t="s">
        <v>8</v>
      </c>
      <c r="D133" s="4">
        <v>4</v>
      </c>
      <c r="E133" s="4">
        <v>118</v>
      </c>
      <c r="F133" s="4">
        <v>4</v>
      </c>
      <c r="G133" s="4">
        <v>4</v>
      </c>
      <c r="H133" s="4">
        <v>29.5</v>
      </c>
      <c r="I133" s="4">
        <v>5.5</v>
      </c>
      <c r="J133" s="4">
        <v>10</v>
      </c>
      <c r="K133" s="4">
        <v>0.55000000000000004</v>
      </c>
      <c r="L133" s="4">
        <v>0.3</v>
      </c>
      <c r="M133" s="4">
        <v>0.8</v>
      </c>
      <c r="N133" s="4">
        <v>0.33300000000000002</v>
      </c>
      <c r="O133" s="4">
        <v>5.3</v>
      </c>
      <c r="P133" s="4">
        <v>9.3000000000000007</v>
      </c>
      <c r="Q133" s="4">
        <v>0.56799999999999995</v>
      </c>
      <c r="R133" s="4">
        <v>3</v>
      </c>
      <c r="S133" s="4">
        <v>3.5</v>
      </c>
      <c r="T133" s="4">
        <v>0.85699999999999998</v>
      </c>
      <c r="U133" s="4">
        <v>1</v>
      </c>
      <c r="V133" s="4">
        <v>5.5</v>
      </c>
      <c r="W133" s="4">
        <v>1.8</v>
      </c>
      <c r="X133" s="4">
        <v>0.5</v>
      </c>
      <c r="Y133" s="4">
        <v>0.5</v>
      </c>
      <c r="Z133" s="4">
        <v>2.5</v>
      </c>
      <c r="AA133" s="4">
        <v>1.5</v>
      </c>
      <c r="AB133" s="4">
        <v>14.3</v>
      </c>
      <c r="AC133" s="10">
        <f t="shared" si="14"/>
        <v>1.0185185185185186</v>
      </c>
      <c r="AD133" s="10">
        <f t="shared" si="15"/>
        <v>0.33333333333333331</v>
      </c>
      <c r="AE133" s="12">
        <f>100*(AC133/TOTAL_BASIC!$D$302)</f>
        <v>118.53333862622894</v>
      </c>
      <c r="AF133" s="9"/>
      <c r="AG133" s="9"/>
      <c r="AH133" s="12">
        <f t="shared" si="16"/>
        <v>80.900000000000006</v>
      </c>
      <c r="AI133" s="12">
        <f t="shared" si="17"/>
        <v>94.6</v>
      </c>
      <c r="AJ133" s="12">
        <f t="shared" si="18"/>
        <v>83.2</v>
      </c>
      <c r="AK133" s="12">
        <f t="shared" si="19"/>
        <v>76.3</v>
      </c>
      <c r="AL133" s="12">
        <f t="shared" si="20"/>
        <v>80.900000000000006</v>
      </c>
    </row>
    <row r="134" spans="1:38" ht="15.75" customHeight="1" x14ac:dyDescent="0.25">
      <c r="A134" s="1" t="s">
        <v>235</v>
      </c>
      <c r="B134" s="4" t="s">
        <v>171</v>
      </c>
      <c r="C134" s="4" t="s">
        <v>8</v>
      </c>
      <c r="D134" s="4">
        <v>11</v>
      </c>
      <c r="E134" s="4">
        <v>109</v>
      </c>
      <c r="F134" s="4">
        <v>11</v>
      </c>
      <c r="G134" s="4">
        <v>2</v>
      </c>
      <c r="H134" s="4">
        <v>9.9</v>
      </c>
      <c r="I134" s="4">
        <v>0.7</v>
      </c>
      <c r="J134" s="4">
        <v>2.2999999999999998</v>
      </c>
      <c r="K134" s="4">
        <v>0.32</v>
      </c>
      <c r="L134" s="4">
        <v>0</v>
      </c>
      <c r="M134" s="4">
        <v>0.5</v>
      </c>
      <c r="N134" s="4">
        <v>0</v>
      </c>
      <c r="O134" s="4">
        <v>0.7</v>
      </c>
      <c r="P134" s="4">
        <v>1.8</v>
      </c>
      <c r="Q134" s="4">
        <v>0.4</v>
      </c>
      <c r="R134" s="4">
        <v>0.2</v>
      </c>
      <c r="S134" s="4">
        <v>0.2</v>
      </c>
      <c r="T134" s="4">
        <v>1</v>
      </c>
      <c r="U134" s="4">
        <v>0.1</v>
      </c>
      <c r="V134" s="4">
        <v>0.9</v>
      </c>
      <c r="W134" s="4">
        <v>1.5</v>
      </c>
      <c r="X134" s="4">
        <v>0.4</v>
      </c>
      <c r="Y134" s="4">
        <v>0.1</v>
      </c>
      <c r="Z134" s="4">
        <v>1.2</v>
      </c>
      <c r="AA134" s="4">
        <v>1.6</v>
      </c>
      <c r="AB134" s="4">
        <v>1.6</v>
      </c>
      <c r="AC134" s="10">
        <f t="shared" si="14"/>
        <v>0.44593088071348941</v>
      </c>
      <c r="AD134" s="10">
        <f t="shared" si="15"/>
        <v>6.25E-2</v>
      </c>
      <c r="AE134" s="12">
        <f>100*(AC134/TOTAL_BASIC!$D$302)</f>
        <v>51.896627431368103</v>
      </c>
      <c r="AF134" s="9"/>
      <c r="AG134" s="9"/>
      <c r="AH134" s="12">
        <f t="shared" si="16"/>
        <v>12.2</v>
      </c>
      <c r="AI134" s="12">
        <f t="shared" si="17"/>
        <v>0.70000000000000007</v>
      </c>
      <c r="AJ134" s="12">
        <f t="shared" si="18"/>
        <v>3.8</v>
      </c>
      <c r="AK134" s="12">
        <f t="shared" si="19"/>
        <v>12.9</v>
      </c>
      <c r="AL134" s="12">
        <f t="shared" si="20"/>
        <v>98.4</v>
      </c>
    </row>
    <row r="135" spans="1:38" ht="15.75" customHeight="1" x14ac:dyDescent="0.25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/>
      <c r="AD135" s="10"/>
      <c r="AE135" s="12"/>
      <c r="AF135" s="9"/>
      <c r="AG135" s="9"/>
      <c r="AH135" s="12"/>
      <c r="AI135" s="12"/>
      <c r="AJ135" s="12"/>
      <c r="AK135" s="12"/>
      <c r="AL135" s="12"/>
    </row>
    <row r="136" spans="1:38" ht="15.75" customHeight="1" x14ac:dyDescent="0.25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/>
      <c r="AI136" s="12"/>
      <c r="AJ136" s="12"/>
      <c r="AK136" s="12"/>
      <c r="AL136" s="12"/>
    </row>
    <row r="137" spans="1:38" ht="15.75" customHeight="1" x14ac:dyDescent="0.25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  <c r="AJ137" s="12"/>
      <c r="AK137" s="12"/>
      <c r="AL137" s="12"/>
    </row>
    <row r="138" spans="1:38" ht="15.75" customHeight="1" x14ac:dyDescent="0.25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  <c r="AJ138" s="12"/>
      <c r="AK138" s="12"/>
      <c r="AL138" s="12"/>
    </row>
    <row r="139" spans="1:38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  <c r="AJ139" s="12"/>
      <c r="AK139" s="12"/>
      <c r="AL139" s="12"/>
    </row>
    <row r="140" spans="1:38" ht="15.75" customHeight="1" x14ac:dyDescent="0.25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  <c r="AJ140" s="12"/>
      <c r="AK140" s="12"/>
      <c r="AL140" s="12"/>
    </row>
    <row r="141" spans="1:38" ht="15.75" customHeight="1" x14ac:dyDescent="0.25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  <c r="AJ141" s="12"/>
      <c r="AK141" s="12"/>
      <c r="AL141" s="12"/>
    </row>
    <row r="142" spans="1:38" ht="15.75" customHeight="1" x14ac:dyDescent="0.25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  <c r="AJ142" s="12"/>
      <c r="AK142" s="12"/>
      <c r="AL142" s="12"/>
    </row>
    <row r="143" spans="1:38" ht="15.75" customHeight="1" x14ac:dyDescent="0.25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  <c r="AJ143" s="12"/>
      <c r="AK143" s="12"/>
      <c r="AL143" s="12"/>
    </row>
    <row r="144" spans="1:38" ht="15.75" customHeight="1" x14ac:dyDescent="0.25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  <c r="AJ144" s="12"/>
      <c r="AK144" s="12"/>
      <c r="AL144" s="12"/>
    </row>
    <row r="145" spans="1:38" ht="15.75" customHeight="1" x14ac:dyDescent="0.25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  <c r="AJ145" s="12"/>
      <c r="AK145" s="12"/>
      <c r="AL145" s="12"/>
    </row>
    <row r="146" spans="1:38" ht="15.75" customHeight="1" x14ac:dyDescent="0.25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  <c r="AJ146" s="12"/>
      <c r="AK146" s="12"/>
      <c r="AL146" s="12"/>
    </row>
    <row r="147" spans="1:38" ht="15.75" customHeight="1" x14ac:dyDescent="0.25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  <c r="AJ147" s="12"/>
      <c r="AK147" s="12"/>
      <c r="AL147" s="12"/>
    </row>
    <row r="148" spans="1:38" ht="15.75" customHeight="1" x14ac:dyDescent="0.25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  <c r="AJ148" s="12"/>
      <c r="AK148" s="12"/>
      <c r="AL148" s="12"/>
    </row>
    <row r="149" spans="1:38" ht="15.75" customHeight="1" x14ac:dyDescent="0.25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  <c r="AJ149" s="12"/>
      <c r="AK149" s="12"/>
      <c r="AL149" s="12"/>
    </row>
    <row r="150" spans="1:38" ht="15.75" customHeight="1" x14ac:dyDescent="0.25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  <c r="AJ150" s="12"/>
      <c r="AK150" s="12"/>
      <c r="AL150" s="12"/>
    </row>
    <row r="151" spans="1:38" ht="15.75" customHeight="1" x14ac:dyDescent="0.25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  <c r="AJ151" s="12"/>
      <c r="AK151" s="12"/>
      <c r="AL151" s="12"/>
    </row>
    <row r="152" spans="1:38" ht="15.75" customHeight="1" x14ac:dyDescent="0.25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  <c r="AJ152" s="12"/>
      <c r="AK152" s="12"/>
      <c r="AL152" s="12"/>
    </row>
    <row r="153" spans="1:38" ht="15.75" customHeight="1" x14ac:dyDescent="0.25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  <c r="AJ153" s="12"/>
      <c r="AK153" s="12"/>
      <c r="AL153" s="12"/>
    </row>
    <row r="154" spans="1:38" ht="15.75" customHeight="1" x14ac:dyDescent="0.25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  <c r="AJ154" s="12"/>
      <c r="AK154" s="12"/>
      <c r="AL154" s="12"/>
    </row>
    <row r="155" spans="1:38" ht="15.75" customHeight="1" x14ac:dyDescent="0.25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  <c r="AJ155" s="12"/>
      <c r="AK155" s="12"/>
      <c r="AL155" s="12"/>
    </row>
    <row r="156" spans="1:38" ht="15.75" customHeight="1" x14ac:dyDescent="0.25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  <c r="AJ156" s="12"/>
      <c r="AK156" s="12"/>
      <c r="AL156" s="12"/>
    </row>
    <row r="157" spans="1:38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8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8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8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I1"/>
  </mergeCells>
  <conditionalFormatting sqref="D3:D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3:AI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AJ156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L156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x14ac:dyDescent="0.25">
      <c r="A3" s="1" t="s">
        <v>85</v>
      </c>
      <c r="B3" s="3" t="s">
        <v>86</v>
      </c>
      <c r="C3" s="4" t="s">
        <v>87</v>
      </c>
      <c r="D3" s="4">
        <v>34</v>
      </c>
      <c r="E3" s="4">
        <v>1119</v>
      </c>
      <c r="F3" s="4">
        <v>34</v>
      </c>
      <c r="G3" s="4">
        <v>1119</v>
      </c>
      <c r="H3" s="4">
        <v>18.399999999999999</v>
      </c>
      <c r="I3" s="4">
        <v>0.55000000000000004</v>
      </c>
      <c r="J3" s="4">
        <v>0.47899999999999998</v>
      </c>
      <c r="K3" s="4">
        <v>0.42599999999999999</v>
      </c>
      <c r="L3" s="4">
        <v>0.33600000000000002</v>
      </c>
      <c r="M3" s="4">
        <v>4</v>
      </c>
      <c r="N3" s="4">
        <v>10.3</v>
      </c>
      <c r="O3" s="4">
        <v>12.6</v>
      </c>
      <c r="P3" s="4">
        <v>1.8</v>
      </c>
      <c r="Q3" s="4">
        <v>0.7</v>
      </c>
      <c r="R3" s="4">
        <v>11.1</v>
      </c>
      <c r="S3" s="4">
        <v>20.399999999999999</v>
      </c>
      <c r="T3" s="4">
        <v>110</v>
      </c>
      <c r="U3" s="4">
        <v>102</v>
      </c>
      <c r="V3" s="4"/>
      <c r="W3" s="4">
        <v>3.3</v>
      </c>
      <c r="X3" s="4">
        <v>0.7</v>
      </c>
      <c r="Y3" s="4">
        <v>4</v>
      </c>
      <c r="Z3" s="4">
        <v>0.14399999999999999</v>
      </c>
      <c r="AA3" s="13">
        <f>(I3/TOTAL_BASIC!$D$301)*100</f>
        <v>108.48760271525546</v>
      </c>
      <c r="AB3" s="5">
        <f t="shared" ref="AB3" si="0">(T3/100)</f>
        <v>1.1000000000000001</v>
      </c>
      <c r="AC3" s="3">
        <f t="shared" ref="AC3:AC100" si="1">T3-U3</f>
        <v>8</v>
      </c>
      <c r="AD3" s="9">
        <f>2*I3</f>
        <v>1.1000000000000001</v>
      </c>
      <c r="AE3" s="16">
        <f>IF(S3=0,0,O3/S3)</f>
        <v>0.61764705882352944</v>
      </c>
      <c r="AF3" s="16">
        <f>IF(R3=0,0,O3/R3)</f>
        <v>1.1351351351351351</v>
      </c>
      <c r="AG3" s="9"/>
      <c r="AH3" s="9"/>
      <c r="AI3" s="12">
        <f>(PERCENTRANK(F$3:F$298,F3))*100</f>
        <v>65.600000000000009</v>
      </c>
      <c r="AJ3" s="12">
        <f>(PERCENTRANK(G$3:G$298,G3))*100</f>
        <v>100</v>
      </c>
      <c r="AK3" s="12">
        <f t="shared" ref="AK3:BI18" si="2">(PERCENTRANK(H$3:H$298,H3))*100</f>
        <v>79.3</v>
      </c>
      <c r="AL3" s="12">
        <f t="shared" si="2"/>
        <v>79.3</v>
      </c>
      <c r="AM3" s="12">
        <f t="shared" si="2"/>
        <v>70.199999999999989</v>
      </c>
      <c r="AN3" s="12">
        <f t="shared" si="2"/>
        <v>82.399999999999991</v>
      </c>
      <c r="AO3" s="12">
        <f t="shared" si="2"/>
        <v>70.899999999999991</v>
      </c>
      <c r="AP3" s="12">
        <f t="shared" si="2"/>
        <v>40.400000000000006</v>
      </c>
      <c r="AQ3" s="12">
        <f t="shared" si="2"/>
        <v>59.5</v>
      </c>
      <c r="AR3" s="12">
        <f t="shared" si="2"/>
        <v>57.999999999999993</v>
      </c>
      <c r="AS3" s="12">
        <f t="shared" si="2"/>
        <v>48.8</v>
      </c>
      <c r="AT3" s="12">
        <f t="shared" si="2"/>
        <v>28.199999999999996</v>
      </c>
      <c r="AU3" s="12">
        <f>100-(PERCENTRANK(R$3:R$298,R3))*100</f>
        <v>84.8</v>
      </c>
      <c r="AV3" s="12">
        <f t="shared" si="2"/>
        <v>63.3</v>
      </c>
      <c r="AW3" s="12">
        <f t="shared" si="2"/>
        <v>85.399999999999991</v>
      </c>
      <c r="AX3" s="12">
        <f>100-(PERCENTRANK(U$3:U$298,U3))*100</f>
        <v>35.200000000000003</v>
      </c>
      <c r="AY3" s="12"/>
      <c r="AZ3" s="12">
        <f t="shared" si="2"/>
        <v>91.600000000000009</v>
      </c>
      <c r="BA3" s="12">
        <f t="shared" si="2"/>
        <v>53.400000000000006</v>
      </c>
      <c r="BB3" s="12">
        <f t="shared" si="2"/>
        <v>87.7</v>
      </c>
      <c r="BC3" s="12">
        <f t="shared" si="2"/>
        <v>78.600000000000009</v>
      </c>
      <c r="BD3" s="12">
        <f t="shared" si="2"/>
        <v>79.3</v>
      </c>
      <c r="BE3" s="12">
        <f t="shared" si="2"/>
        <v>85.399999999999991</v>
      </c>
      <c r="BF3" s="12">
        <f t="shared" si="2"/>
        <v>80.100000000000009</v>
      </c>
      <c r="BG3" s="12">
        <f t="shared" si="2"/>
        <v>79.3</v>
      </c>
      <c r="BH3" s="12">
        <f t="shared" si="2"/>
        <v>48</v>
      </c>
      <c r="BI3" s="12">
        <f t="shared" si="2"/>
        <v>77</v>
      </c>
    </row>
    <row r="4" spans="1:61" x14ac:dyDescent="0.25">
      <c r="A4" s="1" t="s">
        <v>88</v>
      </c>
      <c r="B4" s="3" t="s">
        <v>89</v>
      </c>
      <c r="C4" s="4" t="s">
        <v>8</v>
      </c>
      <c r="D4" s="4">
        <v>34</v>
      </c>
      <c r="E4" s="4">
        <v>1072</v>
      </c>
      <c r="F4" s="4">
        <v>34</v>
      </c>
      <c r="G4" s="4">
        <v>1072</v>
      </c>
      <c r="H4" s="4">
        <v>16.600000000000001</v>
      </c>
      <c r="I4" s="4">
        <v>0.53100000000000003</v>
      </c>
      <c r="J4" s="4">
        <v>0.48099999999999998</v>
      </c>
      <c r="K4" s="4">
        <v>0.45200000000000001</v>
      </c>
      <c r="L4" s="4">
        <v>0.22800000000000001</v>
      </c>
      <c r="M4" s="4">
        <v>1.3</v>
      </c>
      <c r="N4" s="4">
        <v>4.7</v>
      </c>
      <c r="O4" s="4">
        <v>26.2</v>
      </c>
      <c r="P4" s="4">
        <v>1.4</v>
      </c>
      <c r="Q4" s="4">
        <v>0.1</v>
      </c>
      <c r="R4" s="4">
        <v>12.6</v>
      </c>
      <c r="S4" s="4">
        <v>21</v>
      </c>
      <c r="T4" s="4">
        <v>109</v>
      </c>
      <c r="U4" s="4">
        <v>102</v>
      </c>
      <c r="V4" s="4"/>
      <c r="W4" s="4">
        <v>3.2</v>
      </c>
      <c r="X4" s="4">
        <v>0.7</v>
      </c>
      <c r="Y4" s="4">
        <v>3.9</v>
      </c>
      <c r="Z4" s="4">
        <v>0.14399999999999999</v>
      </c>
      <c r="AA4" s="13">
        <f>(I4/TOTAL_BASIC!$D$301)*100</f>
        <v>104.73984916691026</v>
      </c>
      <c r="AB4" s="5">
        <f t="shared" ref="AB4:AB67" si="3">(T4/100)</f>
        <v>1.0900000000000001</v>
      </c>
      <c r="AC4" s="3">
        <f t="shared" si="1"/>
        <v>7</v>
      </c>
      <c r="AD4" s="9">
        <f t="shared" ref="AD4:AD67" si="4">2*I4</f>
        <v>1.0620000000000001</v>
      </c>
      <c r="AE4" s="16">
        <f t="shared" ref="AE4:AE67" si="5">IF(S4=0,0,O4/S4)</f>
        <v>1.2476190476190476</v>
      </c>
      <c r="AF4" s="16">
        <f t="shared" ref="AF4:AF67" si="6">IF(R4=0,0,O4/R4)</f>
        <v>2.0793650793650795</v>
      </c>
      <c r="AG4" s="9"/>
      <c r="AH4" s="9"/>
      <c r="AI4" s="12">
        <f t="shared" ref="AI4:AI67" si="7">(PERCENTRANK(F$3:F$298,F4))*100</f>
        <v>65.600000000000009</v>
      </c>
      <c r="AJ4" s="12">
        <f t="shared" ref="AJ4:AN67" si="8">(PERCENTRANK(G$3:G$298,G4))*100</f>
        <v>99.2</v>
      </c>
      <c r="AK4" s="12">
        <f t="shared" si="2"/>
        <v>70.199999999999989</v>
      </c>
      <c r="AL4" s="12">
        <f t="shared" si="2"/>
        <v>72.5</v>
      </c>
      <c r="AM4" s="12">
        <f t="shared" si="2"/>
        <v>71.7</v>
      </c>
      <c r="AN4" s="12">
        <f t="shared" si="2"/>
        <v>85.399999999999991</v>
      </c>
      <c r="AO4" s="12">
        <f t="shared" si="2"/>
        <v>41.199999999999996</v>
      </c>
      <c r="AP4" s="12">
        <f t="shared" si="2"/>
        <v>6.1</v>
      </c>
      <c r="AQ4" s="12">
        <f t="shared" si="2"/>
        <v>8.3000000000000007</v>
      </c>
      <c r="AR4" s="12">
        <f t="shared" si="2"/>
        <v>92.300000000000011</v>
      </c>
      <c r="AS4" s="12">
        <f t="shared" si="2"/>
        <v>21.3</v>
      </c>
      <c r="AT4" s="12">
        <f t="shared" si="2"/>
        <v>2.1999999999999997</v>
      </c>
      <c r="AU4" s="12">
        <f t="shared" ref="AU4:AU67" si="9">100-(PERCENTRANK(R$3:R$298,R4))*100</f>
        <v>76.400000000000006</v>
      </c>
      <c r="AV4" s="12">
        <f t="shared" si="2"/>
        <v>66.400000000000006</v>
      </c>
      <c r="AW4" s="12">
        <f t="shared" si="2"/>
        <v>83.899999999999991</v>
      </c>
      <c r="AX4" s="12">
        <f t="shared" ref="AX4:AX67" si="10">100-(PERCENTRANK(U$3:U$298,U4))*100</f>
        <v>35.200000000000003</v>
      </c>
      <c r="AY4" s="9"/>
      <c r="AZ4" s="12">
        <f t="shared" si="2"/>
        <v>90.8</v>
      </c>
      <c r="BA4" s="12">
        <f t="shared" si="2"/>
        <v>53.400000000000006</v>
      </c>
      <c r="BB4" s="12">
        <f t="shared" ref="BB4:BE67" si="11">(PERCENTRANK(Y$3:Y$298,Y4))*100</f>
        <v>87</v>
      </c>
      <c r="BC4" s="12">
        <f t="shared" si="11"/>
        <v>78.600000000000009</v>
      </c>
      <c r="BD4" s="12">
        <f t="shared" si="11"/>
        <v>72.5</v>
      </c>
      <c r="BE4" s="12">
        <f t="shared" si="11"/>
        <v>83.899999999999991</v>
      </c>
      <c r="BF4" s="12">
        <f t="shared" ref="BF4:BI67" si="12">(PERCENTRANK(AC$3:AC$298,AC4))*100</f>
        <v>77</v>
      </c>
      <c r="BG4" s="12">
        <f t="shared" si="12"/>
        <v>72.5</v>
      </c>
      <c r="BH4" s="12">
        <f t="shared" si="12"/>
        <v>90</v>
      </c>
      <c r="BI4" s="12">
        <f t="shared" si="12"/>
        <v>96.899999999999991</v>
      </c>
    </row>
    <row r="5" spans="1:61" x14ac:dyDescent="0.25">
      <c r="A5" s="1" t="s">
        <v>90</v>
      </c>
      <c r="B5" s="3" t="s">
        <v>91</v>
      </c>
      <c r="C5" s="4" t="s">
        <v>92</v>
      </c>
      <c r="D5" s="4">
        <v>34</v>
      </c>
      <c r="E5" s="4">
        <v>1068</v>
      </c>
      <c r="F5" s="4">
        <v>34</v>
      </c>
      <c r="G5" s="4">
        <v>1068</v>
      </c>
      <c r="H5" s="4">
        <v>27.9</v>
      </c>
      <c r="I5" s="4">
        <v>0.624</v>
      </c>
      <c r="J5" s="4">
        <v>0.58699999999999997</v>
      </c>
      <c r="K5" s="4">
        <v>0.34699999999999998</v>
      </c>
      <c r="L5" s="4">
        <v>0.223</v>
      </c>
      <c r="M5" s="4">
        <v>6.8</v>
      </c>
      <c r="N5" s="4">
        <v>11.4</v>
      </c>
      <c r="O5" s="4">
        <v>15.9</v>
      </c>
      <c r="P5" s="4">
        <v>2.9</v>
      </c>
      <c r="Q5" s="4">
        <v>2.5</v>
      </c>
      <c r="R5" s="4">
        <v>10.199999999999999</v>
      </c>
      <c r="S5" s="4">
        <v>23.7</v>
      </c>
      <c r="T5" s="4">
        <v>124</v>
      </c>
      <c r="U5" s="4">
        <v>93</v>
      </c>
      <c r="V5" s="4"/>
      <c r="W5" s="4">
        <v>6.2</v>
      </c>
      <c r="X5" s="4">
        <v>2.2000000000000002</v>
      </c>
      <c r="Y5" s="4">
        <v>8.5</v>
      </c>
      <c r="Z5" s="4">
        <v>0.317</v>
      </c>
      <c r="AA5" s="13">
        <f>(I5/TOTAL_BASIC!$D$301)*100</f>
        <v>123.08411653512617</v>
      </c>
      <c r="AB5" s="5">
        <f t="shared" si="3"/>
        <v>1.24</v>
      </c>
      <c r="AC5" s="3">
        <f t="shared" si="1"/>
        <v>31</v>
      </c>
      <c r="AD5" s="9">
        <f t="shared" si="4"/>
        <v>1.248</v>
      </c>
      <c r="AE5" s="16">
        <f t="shared" si="5"/>
        <v>0.67088607594936711</v>
      </c>
      <c r="AF5" s="16">
        <f t="shared" si="6"/>
        <v>1.5588235294117649</v>
      </c>
      <c r="AG5" s="9"/>
      <c r="AH5" s="9"/>
      <c r="AI5" s="12">
        <f t="shared" si="7"/>
        <v>65.600000000000009</v>
      </c>
      <c r="AJ5" s="12">
        <f t="shared" si="8"/>
        <v>98.4</v>
      </c>
      <c r="AK5" s="12">
        <f t="shared" si="2"/>
        <v>98.4</v>
      </c>
      <c r="AL5" s="12">
        <f t="shared" si="2"/>
        <v>97.7</v>
      </c>
      <c r="AM5" s="12">
        <f t="shared" si="2"/>
        <v>98.4</v>
      </c>
      <c r="AN5" s="12">
        <f t="shared" si="2"/>
        <v>74</v>
      </c>
      <c r="AO5" s="12">
        <f t="shared" si="2"/>
        <v>40.400000000000006</v>
      </c>
      <c r="AP5" s="12">
        <f t="shared" si="2"/>
        <v>65.600000000000009</v>
      </c>
      <c r="AQ5" s="12">
        <f t="shared" si="2"/>
        <v>68.7</v>
      </c>
      <c r="AR5" s="12">
        <f t="shared" si="2"/>
        <v>70.199999999999989</v>
      </c>
      <c r="AS5" s="12">
        <f t="shared" si="2"/>
        <v>87.7</v>
      </c>
      <c r="AT5" s="12">
        <f t="shared" si="2"/>
        <v>80.100000000000009</v>
      </c>
      <c r="AU5" s="12">
        <f t="shared" si="9"/>
        <v>89.4</v>
      </c>
      <c r="AV5" s="12">
        <f t="shared" si="2"/>
        <v>84.7</v>
      </c>
      <c r="AW5" s="12">
        <f t="shared" si="2"/>
        <v>99.2</v>
      </c>
      <c r="AX5" s="12">
        <f t="shared" si="10"/>
        <v>93.2</v>
      </c>
      <c r="AY5" s="9"/>
      <c r="AZ5" s="12">
        <f t="shared" si="2"/>
        <v>100</v>
      </c>
      <c r="BA5" s="12">
        <f t="shared" si="2"/>
        <v>95.399999999999991</v>
      </c>
      <c r="BB5" s="12">
        <f t="shared" si="11"/>
        <v>100</v>
      </c>
      <c r="BC5" s="12">
        <f t="shared" si="11"/>
        <v>100</v>
      </c>
      <c r="BD5" s="12">
        <f t="shared" si="11"/>
        <v>97.7</v>
      </c>
      <c r="BE5" s="12">
        <f t="shared" si="11"/>
        <v>99.2</v>
      </c>
      <c r="BF5" s="12">
        <f t="shared" si="12"/>
        <v>100</v>
      </c>
      <c r="BG5" s="12">
        <f t="shared" si="12"/>
        <v>97.7</v>
      </c>
      <c r="BH5" s="12">
        <f t="shared" si="12"/>
        <v>54.1</v>
      </c>
      <c r="BI5" s="12">
        <f t="shared" si="12"/>
        <v>90</v>
      </c>
    </row>
    <row r="6" spans="1:61" x14ac:dyDescent="0.25">
      <c r="A6" s="1" t="s">
        <v>93</v>
      </c>
      <c r="B6" s="3" t="s">
        <v>86</v>
      </c>
      <c r="C6" s="4" t="s">
        <v>92</v>
      </c>
      <c r="D6" s="4">
        <v>32</v>
      </c>
      <c r="E6" s="4">
        <v>1057</v>
      </c>
      <c r="F6" s="4">
        <v>32</v>
      </c>
      <c r="G6" s="4">
        <v>1057</v>
      </c>
      <c r="H6" s="4">
        <v>18.7</v>
      </c>
      <c r="I6" s="4">
        <v>0.56000000000000005</v>
      </c>
      <c r="J6" s="4">
        <v>0.51500000000000001</v>
      </c>
      <c r="K6" s="4">
        <v>8.0000000000000002E-3</v>
      </c>
      <c r="L6" s="4">
        <v>0.22</v>
      </c>
      <c r="M6" s="4">
        <v>5.8</v>
      </c>
      <c r="N6" s="4">
        <v>11.2</v>
      </c>
      <c r="O6" s="4">
        <v>10.9</v>
      </c>
      <c r="P6" s="4">
        <v>1.6</v>
      </c>
      <c r="Q6" s="4">
        <v>0.9</v>
      </c>
      <c r="R6" s="4">
        <v>13</v>
      </c>
      <c r="S6" s="4">
        <v>21.4</v>
      </c>
      <c r="T6" s="4">
        <v>107</v>
      </c>
      <c r="U6" s="4">
        <v>102</v>
      </c>
      <c r="V6" s="4"/>
      <c r="W6" s="4">
        <v>2.7</v>
      </c>
      <c r="X6" s="4">
        <v>0.7</v>
      </c>
      <c r="Y6" s="4">
        <v>3.4</v>
      </c>
      <c r="Z6" s="4">
        <v>0.129</v>
      </c>
      <c r="AA6" s="13">
        <f>(I6/TOTAL_BASIC!$D$301)*100</f>
        <v>110.46010458280556</v>
      </c>
      <c r="AB6" s="5">
        <f t="shared" si="3"/>
        <v>1.07</v>
      </c>
      <c r="AC6" s="3">
        <f t="shared" si="1"/>
        <v>5</v>
      </c>
      <c r="AD6" s="9">
        <f t="shared" si="4"/>
        <v>1.1200000000000001</v>
      </c>
      <c r="AE6" s="16">
        <f t="shared" si="5"/>
        <v>0.50934579439252337</v>
      </c>
      <c r="AF6" s="16">
        <f t="shared" si="6"/>
        <v>0.83846153846153848</v>
      </c>
      <c r="AG6" s="9"/>
      <c r="AH6" s="9"/>
      <c r="AI6" s="12">
        <f t="shared" si="7"/>
        <v>45</v>
      </c>
      <c r="AJ6" s="12">
        <f t="shared" si="8"/>
        <v>97.7</v>
      </c>
      <c r="AK6" s="12">
        <f t="shared" si="2"/>
        <v>82.399999999999991</v>
      </c>
      <c r="AL6" s="12">
        <f t="shared" si="2"/>
        <v>83.2</v>
      </c>
      <c r="AM6" s="12">
        <f t="shared" si="2"/>
        <v>80.900000000000006</v>
      </c>
      <c r="AN6" s="12">
        <f t="shared" si="2"/>
        <v>21.3</v>
      </c>
      <c r="AO6" s="12">
        <f t="shared" si="2"/>
        <v>38.9</v>
      </c>
      <c r="AP6" s="12">
        <f t="shared" si="2"/>
        <v>58.699999999999996</v>
      </c>
      <c r="AQ6" s="12">
        <f t="shared" si="2"/>
        <v>67.100000000000009</v>
      </c>
      <c r="AR6" s="12">
        <f t="shared" si="2"/>
        <v>46.5</v>
      </c>
      <c r="AS6" s="12">
        <f t="shared" si="2"/>
        <v>36.6</v>
      </c>
      <c r="AT6" s="12">
        <f t="shared" si="2"/>
        <v>41.199999999999996</v>
      </c>
      <c r="AU6" s="12">
        <f t="shared" si="9"/>
        <v>74.099999999999994</v>
      </c>
      <c r="AV6" s="12">
        <f t="shared" si="2"/>
        <v>70.899999999999991</v>
      </c>
      <c r="AW6" s="12">
        <f t="shared" si="2"/>
        <v>75.5</v>
      </c>
      <c r="AX6" s="12">
        <f t="shared" si="10"/>
        <v>35.200000000000003</v>
      </c>
      <c r="AY6" s="9"/>
      <c r="AZ6" s="12">
        <f t="shared" si="2"/>
        <v>87</v>
      </c>
      <c r="BA6" s="12">
        <f t="shared" si="2"/>
        <v>53.400000000000006</v>
      </c>
      <c r="BB6" s="12">
        <f t="shared" si="11"/>
        <v>85.399999999999991</v>
      </c>
      <c r="BC6" s="12">
        <f t="shared" si="11"/>
        <v>74</v>
      </c>
      <c r="BD6" s="12">
        <f t="shared" si="11"/>
        <v>83.2</v>
      </c>
      <c r="BE6" s="12">
        <f t="shared" si="11"/>
        <v>75.5</v>
      </c>
      <c r="BF6" s="12">
        <f t="shared" si="12"/>
        <v>70.199999999999989</v>
      </c>
      <c r="BG6" s="12">
        <f t="shared" si="12"/>
        <v>83.2</v>
      </c>
      <c r="BH6" s="12">
        <f t="shared" si="12"/>
        <v>35.099999999999994</v>
      </c>
      <c r="BI6" s="12">
        <f t="shared" si="12"/>
        <v>59.5</v>
      </c>
    </row>
    <row r="7" spans="1:61" x14ac:dyDescent="0.25">
      <c r="A7" s="1" t="s">
        <v>94</v>
      </c>
      <c r="B7" s="3" t="s">
        <v>95</v>
      </c>
      <c r="C7" s="4" t="s">
        <v>8</v>
      </c>
      <c r="D7" s="4">
        <v>34</v>
      </c>
      <c r="E7" s="4">
        <v>1050</v>
      </c>
      <c r="F7" s="4">
        <v>34</v>
      </c>
      <c r="G7" s="4">
        <v>1050</v>
      </c>
      <c r="H7" s="4">
        <v>15.6</v>
      </c>
      <c r="I7" s="4">
        <v>0.52800000000000002</v>
      </c>
      <c r="J7" s="4">
        <v>0.45900000000000002</v>
      </c>
      <c r="K7" s="4">
        <v>0.13900000000000001</v>
      </c>
      <c r="L7" s="4">
        <v>0.35199999999999998</v>
      </c>
      <c r="M7" s="4">
        <v>3.6</v>
      </c>
      <c r="N7" s="4">
        <v>7.8</v>
      </c>
      <c r="O7" s="4">
        <v>26.8</v>
      </c>
      <c r="P7" s="4">
        <v>2</v>
      </c>
      <c r="Q7" s="4">
        <v>0.6</v>
      </c>
      <c r="R7" s="4">
        <v>20.399999999999999</v>
      </c>
      <c r="S7" s="4">
        <v>22</v>
      </c>
      <c r="T7" s="4">
        <v>100</v>
      </c>
      <c r="U7" s="4">
        <v>102</v>
      </c>
      <c r="V7" s="4"/>
      <c r="W7" s="4">
        <v>1.7</v>
      </c>
      <c r="X7" s="4">
        <v>0.8</v>
      </c>
      <c r="Y7" s="4">
        <v>2.5</v>
      </c>
      <c r="Z7" s="4">
        <v>9.4E-2</v>
      </c>
      <c r="AA7" s="13">
        <f>(I7/TOTAL_BASIC!$D$301)*100</f>
        <v>104.14809860664522</v>
      </c>
      <c r="AB7" s="5">
        <f t="shared" si="3"/>
        <v>1</v>
      </c>
      <c r="AC7" s="3">
        <f t="shared" si="1"/>
        <v>-2</v>
      </c>
      <c r="AD7" s="9">
        <f t="shared" si="4"/>
        <v>1.056</v>
      </c>
      <c r="AE7" s="16">
        <f t="shared" si="5"/>
        <v>1.2181818181818183</v>
      </c>
      <c r="AF7" s="16">
        <f t="shared" si="6"/>
        <v>1.3137254901960786</v>
      </c>
      <c r="AG7" s="9"/>
      <c r="AH7" s="9"/>
      <c r="AI7" s="12">
        <f t="shared" si="7"/>
        <v>65.600000000000009</v>
      </c>
      <c r="AJ7" s="12">
        <f t="shared" si="8"/>
        <v>96.899999999999991</v>
      </c>
      <c r="AK7" s="12">
        <f t="shared" si="2"/>
        <v>67.900000000000006</v>
      </c>
      <c r="AL7" s="12">
        <f t="shared" si="2"/>
        <v>70.899999999999991</v>
      </c>
      <c r="AM7" s="12">
        <f t="shared" si="2"/>
        <v>56.399999999999991</v>
      </c>
      <c r="AN7" s="12">
        <f t="shared" si="2"/>
        <v>38.9</v>
      </c>
      <c r="AO7" s="12">
        <f t="shared" si="2"/>
        <v>77.8</v>
      </c>
      <c r="AP7" s="12">
        <f t="shared" si="2"/>
        <v>35.799999999999997</v>
      </c>
      <c r="AQ7" s="12">
        <f t="shared" si="2"/>
        <v>41.199999999999996</v>
      </c>
      <c r="AR7" s="12">
        <f t="shared" si="2"/>
        <v>94.6</v>
      </c>
      <c r="AS7" s="12">
        <f t="shared" si="2"/>
        <v>57.199999999999996</v>
      </c>
      <c r="AT7" s="12">
        <f t="shared" si="2"/>
        <v>22.900000000000002</v>
      </c>
      <c r="AU7" s="12">
        <f t="shared" si="9"/>
        <v>20.700000000000003</v>
      </c>
      <c r="AV7" s="12">
        <f t="shared" si="2"/>
        <v>77</v>
      </c>
      <c r="AW7" s="12">
        <f t="shared" si="2"/>
        <v>61.8</v>
      </c>
      <c r="AX7" s="12">
        <f t="shared" si="10"/>
        <v>35.200000000000003</v>
      </c>
      <c r="AY7" s="9"/>
      <c r="AZ7" s="12">
        <f t="shared" si="2"/>
        <v>79.3</v>
      </c>
      <c r="BA7" s="12">
        <f t="shared" si="2"/>
        <v>57.999999999999993</v>
      </c>
      <c r="BB7" s="12">
        <f t="shared" si="11"/>
        <v>74.8</v>
      </c>
      <c r="BC7" s="12">
        <f t="shared" si="11"/>
        <v>57.199999999999996</v>
      </c>
      <c r="BD7" s="12">
        <f t="shared" si="11"/>
        <v>70.899999999999991</v>
      </c>
      <c r="BE7" s="12">
        <f t="shared" si="11"/>
        <v>61.8</v>
      </c>
      <c r="BF7" s="12">
        <f t="shared" si="12"/>
        <v>49.6</v>
      </c>
      <c r="BG7" s="12">
        <f t="shared" si="12"/>
        <v>70.899999999999991</v>
      </c>
      <c r="BH7" s="12">
        <f t="shared" si="12"/>
        <v>88.5</v>
      </c>
      <c r="BI7" s="12">
        <f t="shared" si="12"/>
        <v>82.399999999999991</v>
      </c>
    </row>
    <row r="8" spans="1:61" x14ac:dyDescent="0.25">
      <c r="A8" s="1" t="s">
        <v>96</v>
      </c>
      <c r="B8" s="3" t="s">
        <v>97</v>
      </c>
      <c r="C8" s="4" t="s">
        <v>8</v>
      </c>
      <c r="D8" s="4">
        <v>34</v>
      </c>
      <c r="E8" s="4">
        <v>1037</v>
      </c>
      <c r="F8" s="4">
        <v>34</v>
      </c>
      <c r="G8" s="4">
        <v>1037</v>
      </c>
      <c r="H8" s="4">
        <v>17.8</v>
      </c>
      <c r="I8" s="4">
        <v>0.48599999999999999</v>
      </c>
      <c r="J8" s="4">
        <v>0.45</v>
      </c>
      <c r="K8" s="4">
        <v>0.25700000000000001</v>
      </c>
      <c r="L8" s="4">
        <v>0.16400000000000001</v>
      </c>
      <c r="M8" s="4">
        <v>2.7</v>
      </c>
      <c r="N8" s="4">
        <v>6</v>
      </c>
      <c r="O8" s="4">
        <v>13.3</v>
      </c>
      <c r="P8" s="4">
        <v>4.0999999999999996</v>
      </c>
      <c r="Q8" s="4">
        <v>0.8</v>
      </c>
      <c r="R8" s="4">
        <v>9.1999999999999993</v>
      </c>
      <c r="S8" s="4">
        <v>23.4</v>
      </c>
      <c r="T8" s="4">
        <v>99</v>
      </c>
      <c r="U8" s="4">
        <v>101</v>
      </c>
      <c r="V8" s="4"/>
      <c r="W8" s="4">
        <v>1.4</v>
      </c>
      <c r="X8" s="4">
        <v>0.9</v>
      </c>
      <c r="Y8" s="4">
        <v>2.4</v>
      </c>
      <c r="Z8" s="4">
        <v>9.0999999999999998E-2</v>
      </c>
      <c r="AA8" s="13">
        <f>(I8/TOTAL_BASIC!$D$301)*100</f>
        <v>95.863590762934805</v>
      </c>
      <c r="AB8" s="5">
        <f t="shared" si="3"/>
        <v>0.99</v>
      </c>
      <c r="AC8" s="3">
        <f t="shared" si="1"/>
        <v>-2</v>
      </c>
      <c r="AD8" s="9">
        <f t="shared" si="4"/>
        <v>0.97199999999999998</v>
      </c>
      <c r="AE8" s="16">
        <f t="shared" si="5"/>
        <v>0.56837606837606847</v>
      </c>
      <c r="AF8" s="16">
        <f t="shared" si="6"/>
        <v>1.4456521739130437</v>
      </c>
      <c r="AG8" s="9"/>
      <c r="AH8" s="9"/>
      <c r="AI8" s="12">
        <f t="shared" si="7"/>
        <v>65.600000000000009</v>
      </c>
      <c r="AJ8" s="12">
        <f t="shared" si="8"/>
        <v>96.1</v>
      </c>
      <c r="AK8" s="12">
        <f t="shared" si="2"/>
        <v>76.3</v>
      </c>
      <c r="AL8" s="12">
        <f t="shared" si="2"/>
        <v>46.5</v>
      </c>
      <c r="AM8" s="12">
        <f t="shared" si="2"/>
        <v>52.6</v>
      </c>
      <c r="AN8" s="12">
        <f t="shared" si="2"/>
        <v>60.3</v>
      </c>
      <c r="AO8" s="12">
        <f t="shared" si="2"/>
        <v>24.4</v>
      </c>
      <c r="AP8" s="12">
        <f t="shared" si="2"/>
        <v>21.3</v>
      </c>
      <c r="AQ8" s="12">
        <f t="shared" si="2"/>
        <v>22.1</v>
      </c>
      <c r="AR8" s="12">
        <f t="shared" si="2"/>
        <v>62.5</v>
      </c>
      <c r="AS8" s="12">
        <f t="shared" si="2"/>
        <v>98.4</v>
      </c>
      <c r="AT8" s="12">
        <f t="shared" si="2"/>
        <v>34.300000000000004</v>
      </c>
      <c r="AU8" s="12">
        <f t="shared" si="9"/>
        <v>93.2</v>
      </c>
      <c r="AV8" s="12">
        <f t="shared" si="2"/>
        <v>83.2</v>
      </c>
      <c r="AW8" s="12">
        <f t="shared" si="2"/>
        <v>55.7</v>
      </c>
      <c r="AX8" s="12">
        <f t="shared" si="10"/>
        <v>42.800000000000004</v>
      </c>
      <c r="AY8" s="9"/>
      <c r="AZ8" s="12">
        <f t="shared" si="2"/>
        <v>75.5</v>
      </c>
      <c r="BA8" s="12">
        <f t="shared" si="2"/>
        <v>64.8</v>
      </c>
      <c r="BB8" s="12">
        <f t="shared" si="11"/>
        <v>72.5</v>
      </c>
      <c r="BC8" s="12">
        <f t="shared" si="11"/>
        <v>55.7</v>
      </c>
      <c r="BD8" s="12">
        <f t="shared" si="11"/>
        <v>46.5</v>
      </c>
      <c r="BE8" s="12">
        <f t="shared" si="11"/>
        <v>55.7</v>
      </c>
      <c r="BF8" s="12">
        <f t="shared" si="12"/>
        <v>49.6</v>
      </c>
      <c r="BG8" s="12">
        <f t="shared" si="12"/>
        <v>46.5</v>
      </c>
      <c r="BH8" s="12">
        <f t="shared" si="12"/>
        <v>40.400000000000006</v>
      </c>
      <c r="BI8" s="12">
        <f t="shared" si="12"/>
        <v>87.7</v>
      </c>
    </row>
    <row r="9" spans="1:61" x14ac:dyDescent="0.25">
      <c r="A9" s="1" t="s">
        <v>98</v>
      </c>
      <c r="B9" s="3" t="s">
        <v>99</v>
      </c>
      <c r="C9" s="4" t="s">
        <v>100</v>
      </c>
      <c r="D9" s="4">
        <v>33</v>
      </c>
      <c r="E9" s="4">
        <v>1036</v>
      </c>
      <c r="F9" s="4">
        <v>33</v>
      </c>
      <c r="G9" s="4">
        <v>1036</v>
      </c>
      <c r="H9" s="4">
        <v>25.3</v>
      </c>
      <c r="I9" s="4">
        <v>0.50700000000000001</v>
      </c>
      <c r="J9" s="4">
        <v>0.432</v>
      </c>
      <c r="K9" s="4">
        <v>0.19</v>
      </c>
      <c r="L9" s="4">
        <v>0.39900000000000002</v>
      </c>
      <c r="M9" s="4">
        <v>6.2</v>
      </c>
      <c r="N9" s="4">
        <v>9.6</v>
      </c>
      <c r="O9" s="4">
        <v>28.7</v>
      </c>
      <c r="P9" s="4">
        <v>4.3</v>
      </c>
      <c r="Q9" s="4">
        <v>1.7</v>
      </c>
      <c r="R9" s="4">
        <v>16.100000000000001</v>
      </c>
      <c r="S9" s="4">
        <v>34.799999999999997</v>
      </c>
      <c r="T9" s="4">
        <v>99</v>
      </c>
      <c r="U9" s="4">
        <v>92</v>
      </c>
      <c r="V9" s="4"/>
      <c r="W9" s="4">
        <v>2.2999999999999998</v>
      </c>
      <c r="X9" s="4">
        <v>2.4</v>
      </c>
      <c r="Y9" s="4">
        <v>4.8</v>
      </c>
      <c r="Z9" s="4">
        <v>0.185</v>
      </c>
      <c r="AA9" s="13">
        <f>(I9/TOTAL_BASIC!$D$301)*100</f>
        <v>100.00584468479002</v>
      </c>
      <c r="AB9" s="5">
        <f t="shared" si="3"/>
        <v>0.99</v>
      </c>
      <c r="AC9" s="3">
        <f t="shared" si="1"/>
        <v>7</v>
      </c>
      <c r="AD9" s="9">
        <f t="shared" si="4"/>
        <v>1.014</v>
      </c>
      <c r="AE9" s="16">
        <f t="shared" si="5"/>
        <v>0.82471264367816099</v>
      </c>
      <c r="AF9" s="16">
        <f t="shared" si="6"/>
        <v>1.7826086956521736</v>
      </c>
      <c r="AG9" s="9"/>
      <c r="AH9" s="9"/>
      <c r="AI9" s="12">
        <f t="shared" si="7"/>
        <v>54.900000000000006</v>
      </c>
      <c r="AJ9" s="12">
        <f t="shared" si="8"/>
        <v>95.399999999999991</v>
      </c>
      <c r="AK9" s="12">
        <f t="shared" si="2"/>
        <v>94.6</v>
      </c>
      <c r="AL9" s="12">
        <f t="shared" si="2"/>
        <v>58.699999999999996</v>
      </c>
      <c r="AM9" s="12">
        <f t="shared" si="2"/>
        <v>39.6</v>
      </c>
      <c r="AN9" s="12">
        <f t="shared" si="2"/>
        <v>45</v>
      </c>
      <c r="AO9" s="12">
        <f t="shared" si="2"/>
        <v>86.2</v>
      </c>
      <c r="AP9" s="12">
        <f t="shared" si="2"/>
        <v>59.5</v>
      </c>
      <c r="AQ9" s="12">
        <f t="shared" si="2"/>
        <v>53.400000000000006</v>
      </c>
      <c r="AR9" s="12">
        <f t="shared" si="2"/>
        <v>96.1</v>
      </c>
      <c r="AS9" s="12">
        <f t="shared" si="2"/>
        <v>99.2</v>
      </c>
      <c r="AT9" s="12">
        <f t="shared" si="2"/>
        <v>67.100000000000009</v>
      </c>
      <c r="AU9" s="12">
        <f t="shared" si="9"/>
        <v>54.199999999999996</v>
      </c>
      <c r="AV9" s="12">
        <f t="shared" si="2"/>
        <v>100</v>
      </c>
      <c r="AW9" s="12">
        <f t="shared" si="2"/>
        <v>55.7</v>
      </c>
      <c r="AX9" s="12">
        <f t="shared" si="10"/>
        <v>94.7</v>
      </c>
      <c r="AY9" s="9"/>
      <c r="AZ9" s="12">
        <f t="shared" si="2"/>
        <v>83.899999999999991</v>
      </c>
      <c r="BA9" s="12">
        <f t="shared" ref="BA9:BD72" si="13">(PERCENTRANK(X$3:X$298,X9))*100</f>
        <v>96.899999999999991</v>
      </c>
      <c r="BB9" s="12">
        <f t="shared" si="11"/>
        <v>91.600000000000009</v>
      </c>
      <c r="BC9" s="12">
        <f t="shared" si="11"/>
        <v>87.7</v>
      </c>
      <c r="BD9" s="12">
        <f t="shared" si="11"/>
        <v>58.699999999999996</v>
      </c>
      <c r="BE9" s="12">
        <f t="shared" si="11"/>
        <v>55.7</v>
      </c>
      <c r="BF9" s="12">
        <f t="shared" si="12"/>
        <v>77</v>
      </c>
      <c r="BG9" s="12">
        <f t="shared" si="12"/>
        <v>58.699999999999996</v>
      </c>
      <c r="BH9" s="12">
        <f t="shared" si="12"/>
        <v>68.7</v>
      </c>
      <c r="BI9" s="12">
        <f t="shared" si="12"/>
        <v>92.300000000000011</v>
      </c>
    </row>
    <row r="10" spans="1:61" x14ac:dyDescent="0.25">
      <c r="A10" s="1" t="s">
        <v>101</v>
      </c>
      <c r="B10" s="3" t="s">
        <v>86</v>
      </c>
      <c r="C10" s="4" t="s">
        <v>8</v>
      </c>
      <c r="D10" s="4">
        <v>32</v>
      </c>
      <c r="E10" s="4">
        <v>1032</v>
      </c>
      <c r="F10" s="4">
        <v>32</v>
      </c>
      <c r="G10" s="4">
        <v>1032</v>
      </c>
      <c r="H10" s="4">
        <v>24.7</v>
      </c>
      <c r="I10" s="4">
        <v>0.61099999999999999</v>
      </c>
      <c r="J10" s="4">
        <v>0.53400000000000003</v>
      </c>
      <c r="K10" s="4">
        <v>0.45300000000000001</v>
      </c>
      <c r="L10" s="4">
        <v>0.48499999999999999</v>
      </c>
      <c r="M10" s="4">
        <v>2.2000000000000002</v>
      </c>
      <c r="N10" s="4">
        <v>7.5</v>
      </c>
      <c r="O10" s="4">
        <v>36.1</v>
      </c>
      <c r="P10" s="4">
        <v>1.1000000000000001</v>
      </c>
      <c r="Q10" s="4">
        <v>1.1000000000000001</v>
      </c>
      <c r="R10" s="4">
        <v>17.899999999999999</v>
      </c>
      <c r="S10" s="4">
        <v>28.5</v>
      </c>
      <c r="T10" s="4">
        <v>113</v>
      </c>
      <c r="U10" s="4">
        <v>105</v>
      </c>
      <c r="V10" s="4"/>
      <c r="W10" s="4">
        <v>5.3</v>
      </c>
      <c r="X10" s="4">
        <v>0.3</v>
      </c>
      <c r="Y10" s="4">
        <v>5.6</v>
      </c>
      <c r="Z10" s="4">
        <v>0.216</v>
      </c>
      <c r="AA10" s="13">
        <f>(I10/TOTAL_BASIC!$D$301)*100</f>
        <v>120.51986410731104</v>
      </c>
      <c r="AB10" s="5">
        <f t="shared" si="3"/>
        <v>1.1299999999999999</v>
      </c>
      <c r="AC10" s="3">
        <f t="shared" si="1"/>
        <v>8</v>
      </c>
      <c r="AD10" s="9">
        <f t="shared" si="4"/>
        <v>1.222</v>
      </c>
      <c r="AE10" s="16">
        <f t="shared" si="5"/>
        <v>1.2666666666666666</v>
      </c>
      <c r="AF10" s="16">
        <f t="shared" si="6"/>
        <v>2.016759776536313</v>
      </c>
      <c r="AG10" s="9"/>
      <c r="AH10" s="9"/>
      <c r="AI10" s="12">
        <f t="shared" si="7"/>
        <v>45</v>
      </c>
      <c r="AJ10" s="12">
        <f t="shared" si="8"/>
        <v>94.6</v>
      </c>
      <c r="AK10" s="12">
        <f t="shared" si="2"/>
        <v>93.100000000000009</v>
      </c>
      <c r="AL10" s="12">
        <f t="shared" si="2"/>
        <v>94.6</v>
      </c>
      <c r="AM10" s="12">
        <f t="shared" si="2"/>
        <v>87</v>
      </c>
      <c r="AN10" s="12">
        <f t="shared" si="2"/>
        <v>86.2</v>
      </c>
      <c r="AO10" s="12">
        <f t="shared" si="2"/>
        <v>93.8</v>
      </c>
      <c r="AP10" s="12">
        <f t="shared" si="2"/>
        <v>15.2</v>
      </c>
      <c r="AQ10" s="12">
        <f t="shared" si="2"/>
        <v>38.1</v>
      </c>
      <c r="AR10" s="12">
        <f t="shared" si="2"/>
        <v>99.2</v>
      </c>
      <c r="AS10" s="12">
        <f t="shared" si="2"/>
        <v>13.700000000000001</v>
      </c>
      <c r="AT10" s="12">
        <f t="shared" si="2"/>
        <v>48</v>
      </c>
      <c r="AU10" s="12">
        <f t="shared" si="9"/>
        <v>36.700000000000003</v>
      </c>
      <c r="AV10" s="12">
        <f t="shared" si="2"/>
        <v>95.399999999999991</v>
      </c>
      <c r="AW10" s="12">
        <f t="shared" si="2"/>
        <v>93.8</v>
      </c>
      <c r="AX10" s="12">
        <f t="shared" si="10"/>
        <v>3.9000000000000057</v>
      </c>
      <c r="AY10" s="9"/>
      <c r="AZ10" s="12">
        <f t="shared" si="2"/>
        <v>99.2</v>
      </c>
      <c r="BA10" s="12">
        <f t="shared" si="13"/>
        <v>24.4</v>
      </c>
      <c r="BB10" s="12">
        <f t="shared" si="11"/>
        <v>94.6</v>
      </c>
      <c r="BC10" s="12">
        <f t="shared" si="11"/>
        <v>92.300000000000011</v>
      </c>
      <c r="BD10" s="12">
        <f t="shared" si="11"/>
        <v>94.6</v>
      </c>
      <c r="BE10" s="12">
        <f t="shared" si="11"/>
        <v>93.8</v>
      </c>
      <c r="BF10" s="12">
        <f t="shared" si="12"/>
        <v>80.100000000000009</v>
      </c>
      <c r="BG10" s="12">
        <f t="shared" si="12"/>
        <v>94.6</v>
      </c>
      <c r="BH10" s="12">
        <f t="shared" si="12"/>
        <v>91.600000000000009</v>
      </c>
      <c r="BI10" s="12">
        <f t="shared" si="12"/>
        <v>95.399999999999991</v>
      </c>
    </row>
    <row r="11" spans="1:61" x14ac:dyDescent="0.25">
      <c r="A11" s="1" t="s">
        <v>102</v>
      </c>
      <c r="B11" s="3" t="s">
        <v>95</v>
      </c>
      <c r="C11" s="4" t="s">
        <v>92</v>
      </c>
      <c r="D11" s="4">
        <v>34</v>
      </c>
      <c r="E11" s="4">
        <v>1030</v>
      </c>
      <c r="F11" s="4">
        <v>34</v>
      </c>
      <c r="G11" s="4">
        <v>1030</v>
      </c>
      <c r="H11" s="4">
        <v>14.3</v>
      </c>
      <c r="I11" s="4">
        <v>0.54300000000000004</v>
      </c>
      <c r="J11" s="4">
        <v>0.46</v>
      </c>
      <c r="K11" s="4">
        <v>0.16600000000000001</v>
      </c>
      <c r="L11" s="4">
        <v>0.51300000000000001</v>
      </c>
      <c r="M11" s="4">
        <v>8.1999999999999993</v>
      </c>
      <c r="N11" s="4">
        <v>10.1</v>
      </c>
      <c r="O11" s="4">
        <v>8.9</v>
      </c>
      <c r="P11" s="4">
        <v>2.2000000000000002</v>
      </c>
      <c r="Q11" s="4">
        <v>0.7</v>
      </c>
      <c r="R11" s="4">
        <v>19.3</v>
      </c>
      <c r="S11" s="4">
        <v>19.600000000000001</v>
      </c>
      <c r="T11" s="4">
        <v>100</v>
      </c>
      <c r="U11" s="4">
        <v>101</v>
      </c>
      <c r="V11" s="4"/>
      <c r="W11" s="4">
        <v>1.6</v>
      </c>
      <c r="X11" s="4">
        <v>0.9</v>
      </c>
      <c r="Y11" s="4">
        <v>2.4</v>
      </c>
      <c r="Z11" s="4">
        <v>9.5000000000000001E-2</v>
      </c>
      <c r="AA11" s="13">
        <f>(I11/TOTAL_BASIC!$D$301)*100</f>
        <v>107.10685140797038</v>
      </c>
      <c r="AB11" s="5">
        <f t="shared" si="3"/>
        <v>1</v>
      </c>
      <c r="AC11" s="3">
        <f t="shared" si="1"/>
        <v>-1</v>
      </c>
      <c r="AD11" s="9">
        <f t="shared" si="4"/>
        <v>1.0860000000000001</v>
      </c>
      <c r="AE11" s="16">
        <f t="shared" si="5"/>
        <v>0.45408163265306123</v>
      </c>
      <c r="AF11" s="16">
        <f t="shared" si="6"/>
        <v>0.46113989637305702</v>
      </c>
      <c r="AG11" s="9"/>
      <c r="AH11" s="9"/>
      <c r="AI11" s="12">
        <f t="shared" si="7"/>
        <v>65.600000000000009</v>
      </c>
      <c r="AJ11" s="12">
        <f t="shared" si="8"/>
        <v>93.8</v>
      </c>
      <c r="AK11" s="12">
        <f t="shared" si="2"/>
        <v>58.699999999999996</v>
      </c>
      <c r="AL11" s="12">
        <f t="shared" si="2"/>
        <v>77.8</v>
      </c>
      <c r="AM11" s="12">
        <f t="shared" si="2"/>
        <v>57.199999999999996</v>
      </c>
      <c r="AN11" s="12">
        <f t="shared" si="2"/>
        <v>43.5</v>
      </c>
      <c r="AO11" s="12">
        <f t="shared" si="2"/>
        <v>96.1</v>
      </c>
      <c r="AP11" s="12">
        <f t="shared" si="2"/>
        <v>73.2</v>
      </c>
      <c r="AQ11" s="12">
        <f t="shared" si="2"/>
        <v>57.199999999999996</v>
      </c>
      <c r="AR11" s="12">
        <f t="shared" si="2"/>
        <v>31.2</v>
      </c>
      <c r="AS11" s="12">
        <f t="shared" si="2"/>
        <v>64.8</v>
      </c>
      <c r="AT11" s="12">
        <f t="shared" si="2"/>
        <v>28.199999999999996</v>
      </c>
      <c r="AU11" s="12">
        <f t="shared" si="9"/>
        <v>28.299999999999997</v>
      </c>
      <c r="AV11" s="12">
        <f t="shared" si="2"/>
        <v>54.1</v>
      </c>
      <c r="AW11" s="12">
        <f t="shared" si="2"/>
        <v>61.8</v>
      </c>
      <c r="AX11" s="12">
        <f t="shared" si="10"/>
        <v>42.800000000000004</v>
      </c>
      <c r="AY11" s="9"/>
      <c r="AZ11" s="12">
        <f t="shared" si="2"/>
        <v>77.8</v>
      </c>
      <c r="BA11" s="12">
        <f t="shared" si="13"/>
        <v>64.8</v>
      </c>
      <c r="BB11" s="12">
        <f t="shared" si="11"/>
        <v>72.5</v>
      </c>
      <c r="BC11" s="12">
        <f t="shared" si="11"/>
        <v>58.699999999999996</v>
      </c>
      <c r="BD11" s="12">
        <f t="shared" si="11"/>
        <v>77.8</v>
      </c>
      <c r="BE11" s="12">
        <f t="shared" si="11"/>
        <v>61.8</v>
      </c>
      <c r="BF11" s="12">
        <f t="shared" si="12"/>
        <v>52.6</v>
      </c>
      <c r="BG11" s="12">
        <f t="shared" si="12"/>
        <v>77.8</v>
      </c>
      <c r="BH11" s="12">
        <f t="shared" si="12"/>
        <v>29.7</v>
      </c>
      <c r="BI11" s="12">
        <f t="shared" si="12"/>
        <v>18.3</v>
      </c>
    </row>
    <row r="12" spans="1:61" x14ac:dyDescent="0.25">
      <c r="A12" s="1" t="s">
        <v>103</v>
      </c>
      <c r="B12" s="3" t="s">
        <v>104</v>
      </c>
      <c r="C12" s="4" t="s">
        <v>8</v>
      </c>
      <c r="D12" s="4">
        <v>30</v>
      </c>
      <c r="E12" s="4">
        <v>1027</v>
      </c>
      <c r="F12" s="4">
        <v>30</v>
      </c>
      <c r="G12" s="4">
        <v>1027</v>
      </c>
      <c r="H12" s="4">
        <v>14.6</v>
      </c>
      <c r="I12" s="4">
        <v>0.46600000000000003</v>
      </c>
      <c r="J12" s="4">
        <v>0.4</v>
      </c>
      <c r="K12" s="4">
        <v>0.217</v>
      </c>
      <c r="L12" s="4">
        <v>0.32800000000000001</v>
      </c>
      <c r="M12" s="4">
        <v>1.7</v>
      </c>
      <c r="N12" s="4">
        <v>7.3</v>
      </c>
      <c r="O12" s="4">
        <v>23.2</v>
      </c>
      <c r="P12" s="4">
        <v>1.6</v>
      </c>
      <c r="Q12" s="4">
        <v>0.3</v>
      </c>
      <c r="R12" s="4">
        <v>16.100000000000001</v>
      </c>
      <c r="S12" s="4">
        <v>28.3</v>
      </c>
      <c r="T12" s="4">
        <v>92</v>
      </c>
      <c r="U12" s="4">
        <v>102</v>
      </c>
      <c r="V12" s="4"/>
      <c r="W12" s="4">
        <v>0.2</v>
      </c>
      <c r="X12" s="4">
        <v>0.8</v>
      </c>
      <c r="Y12" s="4">
        <v>1</v>
      </c>
      <c r="Z12" s="4">
        <v>3.7999999999999999E-2</v>
      </c>
      <c r="AA12" s="13">
        <f>(I12/TOTAL_BASIC!$D$301)*100</f>
        <v>91.918587027834619</v>
      </c>
      <c r="AB12" s="5">
        <f t="shared" si="3"/>
        <v>0.92</v>
      </c>
      <c r="AC12" s="3">
        <f t="shared" si="1"/>
        <v>-10</v>
      </c>
      <c r="AD12" s="9">
        <f t="shared" si="4"/>
        <v>0.93200000000000005</v>
      </c>
      <c r="AE12" s="16">
        <f t="shared" si="5"/>
        <v>0.81978798586572432</v>
      </c>
      <c r="AF12" s="16">
        <f t="shared" si="6"/>
        <v>1.4409937888198756</v>
      </c>
      <c r="AG12" s="9"/>
      <c r="AH12" s="9"/>
      <c r="AI12" s="12">
        <f t="shared" si="7"/>
        <v>34.300000000000004</v>
      </c>
      <c r="AJ12" s="12">
        <f t="shared" si="8"/>
        <v>93.100000000000009</v>
      </c>
      <c r="AK12" s="12">
        <f t="shared" si="2"/>
        <v>61</v>
      </c>
      <c r="AL12" s="12">
        <f t="shared" si="2"/>
        <v>35.099999999999994</v>
      </c>
      <c r="AM12" s="12">
        <f t="shared" si="2"/>
        <v>23.599999999999998</v>
      </c>
      <c r="AN12" s="12">
        <f t="shared" si="2"/>
        <v>51.9</v>
      </c>
      <c r="AO12" s="12">
        <f t="shared" si="2"/>
        <v>66.400000000000006</v>
      </c>
      <c r="AP12" s="12">
        <f t="shared" si="2"/>
        <v>10.6</v>
      </c>
      <c r="AQ12" s="12">
        <f t="shared" si="2"/>
        <v>35.099999999999994</v>
      </c>
      <c r="AR12" s="12">
        <f t="shared" si="2"/>
        <v>86.2</v>
      </c>
      <c r="AS12" s="12">
        <f t="shared" si="2"/>
        <v>36.6</v>
      </c>
      <c r="AT12" s="12">
        <f t="shared" si="2"/>
        <v>6.8000000000000007</v>
      </c>
      <c r="AU12" s="12">
        <f t="shared" si="9"/>
        <v>54.199999999999996</v>
      </c>
      <c r="AV12" s="12">
        <f t="shared" si="2"/>
        <v>94.6</v>
      </c>
      <c r="AW12" s="12">
        <f t="shared" si="2"/>
        <v>32.800000000000004</v>
      </c>
      <c r="AX12" s="12">
        <f t="shared" si="10"/>
        <v>35.200000000000003</v>
      </c>
      <c r="AY12" s="9"/>
      <c r="AZ12" s="12">
        <f t="shared" si="2"/>
        <v>40.400000000000006</v>
      </c>
      <c r="BA12" s="12">
        <f t="shared" si="13"/>
        <v>57.999999999999993</v>
      </c>
      <c r="BB12" s="12">
        <f t="shared" si="11"/>
        <v>46.5</v>
      </c>
      <c r="BC12" s="12">
        <f t="shared" si="11"/>
        <v>30.5</v>
      </c>
      <c r="BD12" s="12">
        <f t="shared" si="11"/>
        <v>35.099999999999994</v>
      </c>
      <c r="BE12" s="12">
        <f t="shared" si="11"/>
        <v>32.800000000000004</v>
      </c>
      <c r="BF12" s="12">
        <f t="shared" si="12"/>
        <v>30.5</v>
      </c>
      <c r="BG12" s="12">
        <f t="shared" si="12"/>
        <v>35.099999999999994</v>
      </c>
      <c r="BH12" s="12">
        <f t="shared" si="12"/>
        <v>66.400000000000006</v>
      </c>
      <c r="BI12" s="12">
        <f t="shared" si="12"/>
        <v>87</v>
      </c>
    </row>
    <row r="13" spans="1:61" x14ac:dyDescent="0.25">
      <c r="A13" s="1" t="s">
        <v>105</v>
      </c>
      <c r="B13" s="3" t="s">
        <v>106</v>
      </c>
      <c r="C13" s="4" t="s">
        <v>92</v>
      </c>
      <c r="D13" s="4">
        <v>34</v>
      </c>
      <c r="E13" s="4">
        <v>1022</v>
      </c>
      <c r="F13" s="4">
        <v>34</v>
      </c>
      <c r="G13" s="4">
        <v>1022</v>
      </c>
      <c r="H13" s="4">
        <v>17.600000000000001</v>
      </c>
      <c r="I13" s="4">
        <v>0.58899999999999997</v>
      </c>
      <c r="J13" s="4">
        <v>0.54500000000000004</v>
      </c>
      <c r="K13" s="4">
        <v>0</v>
      </c>
      <c r="L13" s="4">
        <v>0.47099999999999997</v>
      </c>
      <c r="M13" s="4">
        <v>11.7</v>
      </c>
      <c r="N13" s="4">
        <v>16</v>
      </c>
      <c r="O13" s="4">
        <v>11.8</v>
      </c>
      <c r="P13" s="4">
        <v>2.6</v>
      </c>
      <c r="Q13" s="4">
        <v>0.9</v>
      </c>
      <c r="R13" s="4">
        <v>17.100000000000001</v>
      </c>
      <c r="S13" s="4">
        <v>12.6</v>
      </c>
      <c r="T13" s="4">
        <v>117</v>
      </c>
      <c r="U13" s="4">
        <v>95</v>
      </c>
      <c r="V13" s="4"/>
      <c r="W13" s="4">
        <v>3</v>
      </c>
      <c r="X13" s="4">
        <v>1.8</v>
      </c>
      <c r="Y13" s="4">
        <v>4.8</v>
      </c>
      <c r="Z13" s="4">
        <v>0.187</v>
      </c>
      <c r="AA13" s="13">
        <f>(I13/TOTAL_BASIC!$D$301)*100</f>
        <v>116.18035999870082</v>
      </c>
      <c r="AB13" s="5">
        <f t="shared" si="3"/>
        <v>1.17</v>
      </c>
      <c r="AC13" s="3">
        <f t="shared" si="1"/>
        <v>22</v>
      </c>
      <c r="AD13" s="9">
        <f t="shared" si="4"/>
        <v>1.1779999999999999</v>
      </c>
      <c r="AE13" s="16">
        <f t="shared" si="5"/>
        <v>0.93650793650793662</v>
      </c>
      <c r="AF13" s="16">
        <f t="shared" si="6"/>
        <v>0.6900584795321637</v>
      </c>
      <c r="AG13" s="9"/>
      <c r="AH13" s="9"/>
      <c r="AI13" s="12">
        <f t="shared" si="7"/>
        <v>65.600000000000009</v>
      </c>
      <c r="AJ13" s="12">
        <f t="shared" si="8"/>
        <v>92.300000000000011</v>
      </c>
      <c r="AK13" s="12">
        <f t="shared" si="2"/>
        <v>75.5</v>
      </c>
      <c r="AL13" s="12">
        <f t="shared" si="2"/>
        <v>91.600000000000009</v>
      </c>
      <c r="AM13" s="12">
        <f t="shared" si="2"/>
        <v>90</v>
      </c>
      <c r="AN13" s="12">
        <f t="shared" si="2"/>
        <v>0</v>
      </c>
      <c r="AO13" s="12">
        <f t="shared" si="2"/>
        <v>92.300000000000011</v>
      </c>
      <c r="AP13" s="12">
        <f t="shared" si="2"/>
        <v>93.100000000000009</v>
      </c>
      <c r="AQ13" s="12">
        <f t="shared" si="2"/>
        <v>86.2</v>
      </c>
      <c r="AR13" s="12">
        <f t="shared" si="2"/>
        <v>51.9</v>
      </c>
      <c r="AS13" s="12">
        <f t="shared" si="2"/>
        <v>83.2</v>
      </c>
      <c r="AT13" s="12">
        <f t="shared" si="2"/>
        <v>41.199999999999996</v>
      </c>
      <c r="AU13" s="12">
        <f t="shared" si="9"/>
        <v>42.000000000000007</v>
      </c>
      <c r="AV13" s="12">
        <f t="shared" si="2"/>
        <v>9.1</v>
      </c>
      <c r="AW13" s="12">
        <f t="shared" si="2"/>
        <v>96.1</v>
      </c>
      <c r="AX13" s="12">
        <f t="shared" si="10"/>
        <v>86.3</v>
      </c>
      <c r="AY13" s="9"/>
      <c r="AZ13" s="12">
        <f t="shared" si="2"/>
        <v>88.5</v>
      </c>
      <c r="BA13" s="12">
        <f t="shared" si="13"/>
        <v>93.8</v>
      </c>
      <c r="BB13" s="12">
        <f t="shared" si="11"/>
        <v>91.600000000000009</v>
      </c>
      <c r="BC13" s="12">
        <f t="shared" si="11"/>
        <v>88.5</v>
      </c>
      <c r="BD13" s="12">
        <f t="shared" si="11"/>
        <v>91.600000000000009</v>
      </c>
      <c r="BE13" s="12">
        <f t="shared" si="11"/>
        <v>96.1</v>
      </c>
      <c r="BF13" s="12">
        <f t="shared" si="12"/>
        <v>94.6</v>
      </c>
      <c r="BG13" s="12">
        <f t="shared" si="12"/>
        <v>91.600000000000009</v>
      </c>
      <c r="BH13" s="12">
        <f t="shared" si="12"/>
        <v>77</v>
      </c>
      <c r="BI13" s="12">
        <f t="shared" si="12"/>
        <v>44.2</v>
      </c>
    </row>
    <row r="14" spans="1:61" x14ac:dyDescent="0.25">
      <c r="A14" s="1" t="s">
        <v>107</v>
      </c>
      <c r="B14" s="3" t="s">
        <v>108</v>
      </c>
      <c r="C14" s="4" t="s">
        <v>8</v>
      </c>
      <c r="D14" s="4">
        <v>34</v>
      </c>
      <c r="E14" s="4">
        <v>1019</v>
      </c>
      <c r="F14" s="4">
        <v>34</v>
      </c>
      <c r="G14" s="4">
        <v>1019</v>
      </c>
      <c r="H14" s="4">
        <v>17.8</v>
      </c>
      <c r="I14" s="4">
        <v>0.55500000000000005</v>
      </c>
      <c r="J14" s="4">
        <v>0.51900000000000002</v>
      </c>
      <c r="K14" s="4">
        <v>0.32300000000000001</v>
      </c>
      <c r="L14" s="4">
        <v>0.21</v>
      </c>
      <c r="M14" s="4">
        <v>2.2000000000000002</v>
      </c>
      <c r="N14" s="4">
        <v>5.0999999999999996</v>
      </c>
      <c r="O14" s="4">
        <v>18.399999999999999</v>
      </c>
      <c r="P14" s="4">
        <v>2.2000000000000002</v>
      </c>
      <c r="Q14" s="4">
        <v>0.4</v>
      </c>
      <c r="R14" s="4">
        <v>13.1</v>
      </c>
      <c r="S14" s="4">
        <v>22.1</v>
      </c>
      <c r="T14" s="4">
        <v>108</v>
      </c>
      <c r="U14" s="4">
        <v>99</v>
      </c>
      <c r="V14" s="4"/>
      <c r="W14" s="4">
        <v>3</v>
      </c>
      <c r="X14" s="4">
        <v>1.2</v>
      </c>
      <c r="Y14" s="4">
        <v>4.2</v>
      </c>
      <c r="Z14" s="4">
        <v>0.16400000000000001</v>
      </c>
      <c r="AA14" s="13">
        <f>(I14/TOTAL_BASIC!$D$301)*100</f>
        <v>109.4738536490305</v>
      </c>
      <c r="AB14" s="5">
        <f t="shared" si="3"/>
        <v>1.08</v>
      </c>
      <c r="AC14" s="3">
        <f t="shared" si="1"/>
        <v>9</v>
      </c>
      <c r="AD14" s="9">
        <f t="shared" si="4"/>
        <v>1.1100000000000001</v>
      </c>
      <c r="AE14" s="16">
        <f t="shared" si="5"/>
        <v>0.83257918552036192</v>
      </c>
      <c r="AF14" s="16">
        <f t="shared" si="6"/>
        <v>1.4045801526717556</v>
      </c>
      <c r="AG14" s="9"/>
      <c r="AH14" s="9"/>
      <c r="AI14" s="12">
        <f t="shared" si="7"/>
        <v>65.600000000000009</v>
      </c>
      <c r="AJ14" s="12">
        <f t="shared" si="8"/>
        <v>91.600000000000009</v>
      </c>
      <c r="AK14" s="12">
        <f t="shared" si="2"/>
        <v>76.3</v>
      </c>
      <c r="AL14" s="12">
        <f t="shared" si="2"/>
        <v>80.900000000000006</v>
      </c>
      <c r="AM14" s="12">
        <f t="shared" si="2"/>
        <v>83.2</v>
      </c>
      <c r="AN14" s="12">
        <f t="shared" si="2"/>
        <v>70.899999999999991</v>
      </c>
      <c r="AO14" s="12">
        <f t="shared" si="2"/>
        <v>36.6</v>
      </c>
      <c r="AP14" s="12">
        <f t="shared" si="2"/>
        <v>15.2</v>
      </c>
      <c r="AQ14" s="12">
        <f t="shared" si="2"/>
        <v>12.2</v>
      </c>
      <c r="AR14" s="12">
        <f t="shared" si="2"/>
        <v>78.600000000000009</v>
      </c>
      <c r="AS14" s="12">
        <f t="shared" si="2"/>
        <v>64.8</v>
      </c>
      <c r="AT14" s="12">
        <f t="shared" si="2"/>
        <v>12.2</v>
      </c>
      <c r="AU14" s="12">
        <f t="shared" si="9"/>
        <v>73.3</v>
      </c>
      <c r="AV14" s="12">
        <f t="shared" si="2"/>
        <v>77.8</v>
      </c>
      <c r="AW14" s="12">
        <f t="shared" si="2"/>
        <v>78.600000000000009</v>
      </c>
      <c r="AX14" s="12">
        <f t="shared" si="10"/>
        <v>63.4</v>
      </c>
      <c r="AY14" s="9"/>
      <c r="AZ14" s="12">
        <f t="shared" si="2"/>
        <v>88.5</v>
      </c>
      <c r="BA14" s="12">
        <f t="shared" si="13"/>
        <v>82.399999999999991</v>
      </c>
      <c r="BB14" s="12">
        <f t="shared" si="11"/>
        <v>88.5</v>
      </c>
      <c r="BC14" s="12">
        <f t="shared" si="11"/>
        <v>82.399999999999991</v>
      </c>
      <c r="BD14" s="12">
        <f t="shared" si="11"/>
        <v>80.900000000000006</v>
      </c>
      <c r="BE14" s="12">
        <f t="shared" si="11"/>
        <v>78.600000000000009</v>
      </c>
      <c r="BF14" s="12">
        <f t="shared" si="12"/>
        <v>81.599999999999994</v>
      </c>
      <c r="BG14" s="12">
        <f t="shared" si="12"/>
        <v>80.900000000000006</v>
      </c>
      <c r="BH14" s="12">
        <f t="shared" si="12"/>
        <v>70.899999999999991</v>
      </c>
      <c r="BI14" s="12">
        <f t="shared" si="12"/>
        <v>85.399999999999991</v>
      </c>
    </row>
    <row r="15" spans="1:61" x14ac:dyDescent="0.25">
      <c r="A15" s="1" t="s">
        <v>109</v>
      </c>
      <c r="B15" s="3" t="s">
        <v>99</v>
      </c>
      <c r="C15" s="4" t="s">
        <v>110</v>
      </c>
      <c r="D15" s="4">
        <v>34</v>
      </c>
      <c r="E15" s="4">
        <v>1016</v>
      </c>
      <c r="F15" s="4">
        <v>34</v>
      </c>
      <c r="G15" s="4">
        <v>1016</v>
      </c>
      <c r="H15" s="4">
        <v>22.8</v>
      </c>
      <c r="I15" s="4">
        <v>0.57699999999999996</v>
      </c>
      <c r="J15" s="4">
        <v>0.55300000000000005</v>
      </c>
      <c r="K15" s="4">
        <v>0</v>
      </c>
      <c r="L15" s="4">
        <v>0.27500000000000002</v>
      </c>
      <c r="M15" s="4">
        <v>9.8000000000000007</v>
      </c>
      <c r="N15" s="4">
        <v>18.7</v>
      </c>
      <c r="O15" s="4">
        <v>7.8</v>
      </c>
      <c r="P15" s="4">
        <v>2.2000000000000002</v>
      </c>
      <c r="Q15" s="4">
        <v>4.5</v>
      </c>
      <c r="R15" s="4">
        <v>12.7</v>
      </c>
      <c r="S15" s="4">
        <v>18.5</v>
      </c>
      <c r="T15" s="4">
        <v>112</v>
      </c>
      <c r="U15" s="4">
        <v>89</v>
      </c>
      <c r="V15" s="4"/>
      <c r="W15" s="4">
        <v>3.1</v>
      </c>
      <c r="X15" s="4">
        <v>2.8</v>
      </c>
      <c r="Y15" s="4">
        <v>5.8</v>
      </c>
      <c r="Z15" s="4">
        <v>0.23</v>
      </c>
      <c r="AA15" s="13">
        <f>(I15/TOTAL_BASIC!$D$301)*100</f>
        <v>113.8133577576407</v>
      </c>
      <c r="AB15" s="5">
        <f t="shared" si="3"/>
        <v>1.1200000000000001</v>
      </c>
      <c r="AC15" s="3">
        <f t="shared" si="1"/>
        <v>23</v>
      </c>
      <c r="AD15" s="9">
        <f t="shared" si="4"/>
        <v>1.1539999999999999</v>
      </c>
      <c r="AE15" s="16">
        <f t="shared" si="5"/>
        <v>0.42162162162162159</v>
      </c>
      <c r="AF15" s="16">
        <f t="shared" si="6"/>
        <v>0.61417322834645671</v>
      </c>
      <c r="AG15" s="9"/>
      <c r="AH15" s="9"/>
      <c r="AI15" s="12">
        <f t="shared" si="7"/>
        <v>65.600000000000009</v>
      </c>
      <c r="AJ15" s="12">
        <f t="shared" si="8"/>
        <v>90.8</v>
      </c>
      <c r="AK15" s="12">
        <f t="shared" si="2"/>
        <v>90.8</v>
      </c>
      <c r="AL15" s="12">
        <f t="shared" si="2"/>
        <v>90</v>
      </c>
      <c r="AM15" s="12">
        <f t="shared" si="2"/>
        <v>92.300000000000011</v>
      </c>
      <c r="AN15" s="12">
        <f t="shared" si="2"/>
        <v>0</v>
      </c>
      <c r="AO15" s="12">
        <f t="shared" si="2"/>
        <v>53.400000000000006</v>
      </c>
      <c r="AP15" s="12">
        <f t="shared" si="2"/>
        <v>80.100000000000009</v>
      </c>
      <c r="AQ15" s="12">
        <f t="shared" si="2"/>
        <v>96.899999999999991</v>
      </c>
      <c r="AR15" s="12">
        <f t="shared" si="2"/>
        <v>21.3</v>
      </c>
      <c r="AS15" s="12">
        <f t="shared" si="2"/>
        <v>64.8</v>
      </c>
      <c r="AT15" s="12">
        <f t="shared" si="2"/>
        <v>94.6</v>
      </c>
      <c r="AU15" s="12">
        <f t="shared" si="9"/>
        <v>74.900000000000006</v>
      </c>
      <c r="AV15" s="12">
        <f t="shared" si="2"/>
        <v>48.8</v>
      </c>
      <c r="AW15" s="12">
        <f t="shared" si="2"/>
        <v>92.300000000000011</v>
      </c>
      <c r="AX15" s="12">
        <f t="shared" si="10"/>
        <v>98.5</v>
      </c>
      <c r="AY15" s="9"/>
      <c r="AZ15" s="12">
        <f t="shared" si="2"/>
        <v>90</v>
      </c>
      <c r="BA15" s="12">
        <f t="shared" si="13"/>
        <v>100</v>
      </c>
      <c r="BB15" s="12">
        <f t="shared" si="11"/>
        <v>95.399999999999991</v>
      </c>
      <c r="BC15" s="12">
        <f t="shared" si="11"/>
        <v>93.8</v>
      </c>
      <c r="BD15" s="12">
        <f t="shared" si="11"/>
        <v>90</v>
      </c>
      <c r="BE15" s="12">
        <f t="shared" si="11"/>
        <v>92.300000000000011</v>
      </c>
      <c r="BF15" s="12">
        <f t="shared" si="12"/>
        <v>96.1</v>
      </c>
      <c r="BG15" s="12">
        <f t="shared" si="12"/>
        <v>90</v>
      </c>
      <c r="BH15" s="12">
        <f t="shared" si="12"/>
        <v>25.1</v>
      </c>
      <c r="BI15" s="12">
        <f t="shared" si="12"/>
        <v>33.5</v>
      </c>
    </row>
    <row r="16" spans="1:61" x14ac:dyDescent="0.25">
      <c r="A16" s="1" t="s">
        <v>111</v>
      </c>
      <c r="B16" s="3" t="s">
        <v>108</v>
      </c>
      <c r="C16" s="4" t="s">
        <v>8</v>
      </c>
      <c r="D16" s="4">
        <v>33</v>
      </c>
      <c r="E16" s="4">
        <v>1011</v>
      </c>
      <c r="F16" s="4">
        <v>33</v>
      </c>
      <c r="G16" s="4">
        <v>1011</v>
      </c>
      <c r="H16" s="4">
        <v>15</v>
      </c>
      <c r="I16" s="4">
        <v>0.50700000000000001</v>
      </c>
      <c r="J16" s="4">
        <v>0.44700000000000001</v>
      </c>
      <c r="K16" s="4">
        <v>7.1999999999999995E-2</v>
      </c>
      <c r="L16" s="4">
        <v>0.38200000000000001</v>
      </c>
      <c r="M16" s="4">
        <v>2.1</v>
      </c>
      <c r="N16" s="4">
        <v>5.2</v>
      </c>
      <c r="O16" s="4">
        <v>25.8</v>
      </c>
      <c r="P16" s="4">
        <v>1.7</v>
      </c>
      <c r="Q16" s="4">
        <v>1</v>
      </c>
      <c r="R16" s="4">
        <v>18.8</v>
      </c>
      <c r="S16" s="4">
        <v>19.5</v>
      </c>
      <c r="T16" s="4">
        <v>101</v>
      </c>
      <c r="U16" s="4">
        <v>100</v>
      </c>
      <c r="V16" s="4"/>
      <c r="W16" s="4">
        <v>1.6</v>
      </c>
      <c r="X16" s="4">
        <v>1.1000000000000001</v>
      </c>
      <c r="Y16" s="4">
        <v>2.7</v>
      </c>
      <c r="Z16" s="4">
        <v>0.106</v>
      </c>
      <c r="AA16" s="13">
        <f>(I16/TOTAL_BASIC!$D$301)*100</f>
        <v>100.00584468479002</v>
      </c>
      <c r="AB16" s="5">
        <f t="shared" si="3"/>
        <v>1.01</v>
      </c>
      <c r="AC16" s="3">
        <f t="shared" si="1"/>
        <v>1</v>
      </c>
      <c r="AD16" s="9">
        <f t="shared" si="4"/>
        <v>1.014</v>
      </c>
      <c r="AE16" s="16">
        <f t="shared" si="5"/>
        <v>1.323076923076923</v>
      </c>
      <c r="AF16" s="16">
        <f t="shared" si="6"/>
        <v>1.3723404255319149</v>
      </c>
      <c r="AG16" s="9"/>
      <c r="AH16" s="9"/>
      <c r="AI16" s="12">
        <f t="shared" si="7"/>
        <v>54.900000000000006</v>
      </c>
      <c r="AJ16" s="12">
        <f t="shared" si="8"/>
        <v>90</v>
      </c>
      <c r="AK16" s="12">
        <f t="shared" si="2"/>
        <v>65.600000000000009</v>
      </c>
      <c r="AL16" s="12">
        <f t="shared" si="2"/>
        <v>58.699999999999996</v>
      </c>
      <c r="AM16" s="12">
        <f t="shared" si="2"/>
        <v>48</v>
      </c>
      <c r="AN16" s="12">
        <f t="shared" si="2"/>
        <v>34.300000000000004</v>
      </c>
      <c r="AO16" s="12">
        <f t="shared" si="2"/>
        <v>83.899999999999991</v>
      </c>
      <c r="AP16" s="12">
        <f t="shared" si="2"/>
        <v>13.700000000000001</v>
      </c>
      <c r="AQ16" s="12">
        <f t="shared" si="2"/>
        <v>12.9</v>
      </c>
      <c r="AR16" s="12">
        <f t="shared" si="2"/>
        <v>91.600000000000009</v>
      </c>
      <c r="AS16" s="12">
        <f t="shared" si="2"/>
        <v>41.199999999999996</v>
      </c>
      <c r="AT16" s="12">
        <f t="shared" si="2"/>
        <v>45.800000000000004</v>
      </c>
      <c r="AU16" s="12">
        <f t="shared" si="9"/>
        <v>31.299999999999997</v>
      </c>
      <c r="AV16" s="12">
        <f t="shared" si="2"/>
        <v>52.6</v>
      </c>
      <c r="AW16" s="12">
        <f t="shared" si="2"/>
        <v>66.400000000000006</v>
      </c>
      <c r="AX16" s="12">
        <f t="shared" si="10"/>
        <v>54.199999999999996</v>
      </c>
      <c r="AY16" s="9"/>
      <c r="AZ16" s="12">
        <f t="shared" si="2"/>
        <v>77.8</v>
      </c>
      <c r="BA16" s="12">
        <f t="shared" si="13"/>
        <v>76.3</v>
      </c>
      <c r="BB16" s="12">
        <f t="shared" si="11"/>
        <v>77.8</v>
      </c>
      <c r="BC16" s="12">
        <f t="shared" si="11"/>
        <v>63.3</v>
      </c>
      <c r="BD16" s="12">
        <f t="shared" si="11"/>
        <v>58.699999999999996</v>
      </c>
      <c r="BE16" s="12">
        <f t="shared" si="11"/>
        <v>66.400000000000006</v>
      </c>
      <c r="BF16" s="12">
        <f t="shared" si="12"/>
        <v>59.5</v>
      </c>
      <c r="BG16" s="12">
        <f t="shared" si="12"/>
        <v>58.699999999999996</v>
      </c>
      <c r="BH16" s="12">
        <f t="shared" si="12"/>
        <v>93.8</v>
      </c>
      <c r="BI16" s="12">
        <f t="shared" si="12"/>
        <v>84.7</v>
      </c>
    </row>
    <row r="17" spans="1:61" x14ac:dyDescent="0.25">
      <c r="A17" s="1" t="s">
        <v>112</v>
      </c>
      <c r="B17" s="3" t="s">
        <v>91</v>
      </c>
      <c r="C17" s="4" t="s">
        <v>8</v>
      </c>
      <c r="D17" s="4">
        <v>34</v>
      </c>
      <c r="E17" s="4">
        <v>1005</v>
      </c>
      <c r="F17" s="4">
        <v>34</v>
      </c>
      <c r="G17" s="4">
        <v>1005</v>
      </c>
      <c r="H17" s="4">
        <v>21.9</v>
      </c>
      <c r="I17" s="4">
        <v>0.54</v>
      </c>
      <c r="J17" s="4">
        <v>0.48799999999999999</v>
      </c>
      <c r="K17" s="4">
        <v>2.1999999999999999E-2</v>
      </c>
      <c r="L17" s="4">
        <v>0.33900000000000002</v>
      </c>
      <c r="M17" s="4">
        <v>2.7</v>
      </c>
      <c r="N17" s="4">
        <v>8.6</v>
      </c>
      <c r="O17" s="4">
        <v>31.9</v>
      </c>
      <c r="P17" s="4">
        <v>1.4</v>
      </c>
      <c r="Q17" s="4">
        <v>0.2</v>
      </c>
      <c r="R17" s="4">
        <v>13.7</v>
      </c>
      <c r="S17" s="4">
        <v>24.4</v>
      </c>
      <c r="T17" s="4">
        <v>111</v>
      </c>
      <c r="U17" s="4">
        <v>99</v>
      </c>
      <c r="V17" s="4"/>
      <c r="W17" s="4">
        <v>4</v>
      </c>
      <c r="X17" s="4">
        <v>1.2</v>
      </c>
      <c r="Y17" s="4">
        <v>5.3</v>
      </c>
      <c r="Z17" s="4">
        <v>0.20899999999999999</v>
      </c>
      <c r="AA17" s="13">
        <f>(I17/TOTAL_BASIC!$D$301)*100</f>
        <v>106.51510084770534</v>
      </c>
      <c r="AB17" s="5">
        <f t="shared" si="3"/>
        <v>1.1100000000000001</v>
      </c>
      <c r="AC17" s="3">
        <f t="shared" si="1"/>
        <v>12</v>
      </c>
      <c r="AD17" s="9">
        <f t="shared" si="4"/>
        <v>1.08</v>
      </c>
      <c r="AE17" s="16">
        <f t="shared" si="5"/>
        <v>1.3073770491803278</v>
      </c>
      <c r="AF17" s="16">
        <f t="shared" si="6"/>
        <v>2.3284671532846715</v>
      </c>
      <c r="AG17" s="9"/>
      <c r="AH17" s="9"/>
      <c r="AI17" s="12">
        <f t="shared" si="7"/>
        <v>65.600000000000009</v>
      </c>
      <c r="AJ17" s="12">
        <f t="shared" si="8"/>
        <v>89.3</v>
      </c>
      <c r="AK17" s="12">
        <f t="shared" si="2"/>
        <v>89.3</v>
      </c>
      <c r="AL17" s="12">
        <f t="shared" si="2"/>
        <v>76.3</v>
      </c>
      <c r="AM17" s="12">
        <f t="shared" si="2"/>
        <v>74</v>
      </c>
      <c r="AN17" s="12">
        <f t="shared" si="2"/>
        <v>28.999999999999996</v>
      </c>
      <c r="AO17" s="12">
        <f t="shared" si="2"/>
        <v>73.2</v>
      </c>
      <c r="AP17" s="12">
        <f t="shared" si="2"/>
        <v>21.3</v>
      </c>
      <c r="AQ17" s="12">
        <f t="shared" si="2"/>
        <v>46.5</v>
      </c>
      <c r="AR17" s="12">
        <f t="shared" si="2"/>
        <v>98.4</v>
      </c>
      <c r="AS17" s="12">
        <f t="shared" si="2"/>
        <v>21.3</v>
      </c>
      <c r="AT17" s="12">
        <f t="shared" si="2"/>
        <v>4.5</v>
      </c>
      <c r="AU17" s="12">
        <f t="shared" si="9"/>
        <v>68.8</v>
      </c>
      <c r="AV17" s="12">
        <f t="shared" si="2"/>
        <v>89.3</v>
      </c>
      <c r="AW17" s="12">
        <f t="shared" si="2"/>
        <v>88.5</v>
      </c>
      <c r="AX17" s="12">
        <f t="shared" si="10"/>
        <v>63.4</v>
      </c>
      <c r="AY17" s="9"/>
      <c r="AZ17" s="12">
        <f t="shared" si="2"/>
        <v>95.399999999999991</v>
      </c>
      <c r="BA17" s="12">
        <f t="shared" si="13"/>
        <v>82.399999999999991</v>
      </c>
      <c r="BB17" s="12">
        <f t="shared" si="11"/>
        <v>93.8</v>
      </c>
      <c r="BC17" s="12">
        <f t="shared" si="11"/>
        <v>91.600000000000009</v>
      </c>
      <c r="BD17" s="12">
        <f t="shared" si="11"/>
        <v>76.3</v>
      </c>
      <c r="BE17" s="12">
        <f t="shared" si="11"/>
        <v>88.5</v>
      </c>
      <c r="BF17" s="12">
        <f t="shared" si="12"/>
        <v>86.2</v>
      </c>
      <c r="BG17" s="12">
        <f t="shared" si="12"/>
        <v>76.3</v>
      </c>
      <c r="BH17" s="12">
        <f t="shared" si="12"/>
        <v>93.100000000000009</v>
      </c>
      <c r="BI17" s="12">
        <f t="shared" si="12"/>
        <v>100</v>
      </c>
    </row>
    <row r="18" spans="1:61" x14ac:dyDescent="0.25">
      <c r="A18" s="1" t="s">
        <v>113</v>
      </c>
      <c r="B18" s="3" t="s">
        <v>114</v>
      </c>
      <c r="C18" s="4" t="s">
        <v>115</v>
      </c>
      <c r="D18" s="4">
        <v>32</v>
      </c>
      <c r="E18" s="4">
        <v>1001</v>
      </c>
      <c r="F18" s="4">
        <v>32</v>
      </c>
      <c r="G18" s="4">
        <v>1001</v>
      </c>
      <c r="H18" s="4">
        <v>27.7</v>
      </c>
      <c r="I18" s="4">
        <v>0.623</v>
      </c>
      <c r="J18" s="4">
        <v>0.58599999999999997</v>
      </c>
      <c r="K18" s="4">
        <v>0</v>
      </c>
      <c r="L18" s="4">
        <v>0.53600000000000003</v>
      </c>
      <c r="M18" s="4">
        <v>13.5</v>
      </c>
      <c r="N18" s="4">
        <v>21</v>
      </c>
      <c r="O18" s="4">
        <v>2.4</v>
      </c>
      <c r="P18" s="4">
        <v>1.5</v>
      </c>
      <c r="Q18" s="4">
        <v>5.7</v>
      </c>
      <c r="R18" s="4">
        <v>13.6</v>
      </c>
      <c r="S18" s="4">
        <v>21.5</v>
      </c>
      <c r="T18" s="4">
        <v>118</v>
      </c>
      <c r="U18" s="4">
        <v>90</v>
      </c>
      <c r="V18" s="4"/>
      <c r="W18" s="4">
        <v>4.5999999999999996</v>
      </c>
      <c r="X18" s="4">
        <v>2.6</v>
      </c>
      <c r="Y18" s="4">
        <v>7.2</v>
      </c>
      <c r="Z18" s="4">
        <v>0.28799999999999998</v>
      </c>
      <c r="AA18" s="13">
        <f>(I18/TOTAL_BASIC!$D$301)*100</f>
        <v>122.88686634837116</v>
      </c>
      <c r="AB18" s="5">
        <f t="shared" si="3"/>
        <v>1.18</v>
      </c>
      <c r="AC18" s="3">
        <f t="shared" si="1"/>
        <v>28</v>
      </c>
      <c r="AD18" s="9">
        <f t="shared" si="4"/>
        <v>1.246</v>
      </c>
      <c r="AE18" s="16">
        <f t="shared" si="5"/>
        <v>0.11162790697674418</v>
      </c>
      <c r="AF18" s="16">
        <f t="shared" si="6"/>
        <v>0.17647058823529413</v>
      </c>
      <c r="AG18" s="9"/>
      <c r="AH18" s="9"/>
      <c r="AI18" s="12">
        <f t="shared" si="7"/>
        <v>45</v>
      </c>
      <c r="AJ18" s="12">
        <f t="shared" si="8"/>
        <v>88.5</v>
      </c>
      <c r="AK18" s="12">
        <f t="shared" si="2"/>
        <v>97.7</v>
      </c>
      <c r="AL18" s="12">
        <f t="shared" si="2"/>
        <v>96.1</v>
      </c>
      <c r="AM18" s="12">
        <f t="shared" si="2"/>
        <v>97.7</v>
      </c>
      <c r="AN18" s="12">
        <f t="shared" si="2"/>
        <v>0</v>
      </c>
      <c r="AO18" s="12">
        <f t="shared" si="2"/>
        <v>97.7</v>
      </c>
      <c r="AP18" s="12">
        <f t="shared" si="2"/>
        <v>98.4</v>
      </c>
      <c r="AQ18" s="12">
        <f t="shared" si="2"/>
        <v>100</v>
      </c>
      <c r="AR18" s="12">
        <f t="shared" si="2"/>
        <v>1.5</v>
      </c>
      <c r="AS18" s="12">
        <f t="shared" si="2"/>
        <v>26.700000000000003</v>
      </c>
      <c r="AT18" s="12">
        <f t="shared" si="2"/>
        <v>97.7</v>
      </c>
      <c r="AU18" s="12">
        <f t="shared" si="9"/>
        <v>69.5</v>
      </c>
      <c r="AV18" s="12">
        <f t="shared" si="2"/>
        <v>71.7</v>
      </c>
      <c r="AW18" s="12">
        <f t="shared" si="2"/>
        <v>96.899999999999991</v>
      </c>
      <c r="AX18" s="12">
        <f t="shared" si="10"/>
        <v>97</v>
      </c>
      <c r="AY18" s="9"/>
      <c r="AZ18" s="12">
        <f t="shared" si="2"/>
        <v>97.7</v>
      </c>
      <c r="BA18" s="12">
        <f t="shared" si="13"/>
        <v>98.4</v>
      </c>
      <c r="BB18" s="12">
        <f t="shared" si="11"/>
        <v>99.2</v>
      </c>
      <c r="BC18" s="12">
        <f t="shared" si="11"/>
        <v>97.7</v>
      </c>
      <c r="BD18" s="12">
        <f t="shared" si="11"/>
        <v>96.1</v>
      </c>
      <c r="BE18" s="12">
        <f t="shared" si="11"/>
        <v>96.899999999999991</v>
      </c>
      <c r="BF18" s="12">
        <f t="shared" si="12"/>
        <v>98.4</v>
      </c>
      <c r="BG18" s="12">
        <f t="shared" si="12"/>
        <v>96.1</v>
      </c>
      <c r="BH18" s="12">
        <f t="shared" si="12"/>
        <v>0</v>
      </c>
      <c r="BI18" s="12">
        <f t="shared" si="12"/>
        <v>5.3</v>
      </c>
    </row>
    <row r="19" spans="1:61" x14ac:dyDescent="0.25">
      <c r="A19" s="1" t="s">
        <v>116</v>
      </c>
      <c r="B19" s="3" t="s">
        <v>114</v>
      </c>
      <c r="C19" s="4" t="s">
        <v>8</v>
      </c>
      <c r="D19" s="4">
        <v>33</v>
      </c>
      <c r="E19" s="4">
        <v>985</v>
      </c>
      <c r="F19" s="4">
        <v>33</v>
      </c>
      <c r="G19" s="4">
        <v>985</v>
      </c>
      <c r="H19" s="4">
        <v>14.2</v>
      </c>
      <c r="I19" s="4">
        <v>0.48199999999999998</v>
      </c>
      <c r="J19" s="4">
        <v>0.42699999999999999</v>
      </c>
      <c r="K19" s="4">
        <v>0.20899999999999999</v>
      </c>
      <c r="L19" s="4">
        <v>0.26900000000000002</v>
      </c>
      <c r="M19" s="4">
        <v>1.2</v>
      </c>
      <c r="N19" s="4">
        <v>6.1</v>
      </c>
      <c r="O19" s="4">
        <v>31.2</v>
      </c>
      <c r="P19" s="4">
        <v>2.4</v>
      </c>
      <c r="Q19" s="4">
        <v>2.1</v>
      </c>
      <c r="R19" s="4">
        <v>21.5</v>
      </c>
      <c r="S19" s="4">
        <v>17.3</v>
      </c>
      <c r="T19" s="4">
        <v>98</v>
      </c>
      <c r="U19" s="4">
        <v>96</v>
      </c>
      <c r="V19" s="4"/>
      <c r="W19" s="4">
        <v>1</v>
      </c>
      <c r="X19" s="4">
        <v>1.6</v>
      </c>
      <c r="Y19" s="4">
        <v>2.6</v>
      </c>
      <c r="Z19" s="4">
        <v>0.104</v>
      </c>
      <c r="AA19" s="13">
        <f>(I19/TOTAL_BASIC!$D$301)*100</f>
        <v>95.074590015914765</v>
      </c>
      <c r="AB19" s="5">
        <f t="shared" si="3"/>
        <v>0.98</v>
      </c>
      <c r="AC19" s="3">
        <f t="shared" si="1"/>
        <v>2</v>
      </c>
      <c r="AD19" s="9">
        <f t="shared" si="4"/>
        <v>0.96399999999999997</v>
      </c>
      <c r="AE19" s="16">
        <f t="shared" si="5"/>
        <v>1.8034682080924855</v>
      </c>
      <c r="AF19" s="16">
        <f t="shared" si="6"/>
        <v>1.4511627906976743</v>
      </c>
      <c r="AG19" s="9"/>
      <c r="AH19" s="9"/>
      <c r="AI19" s="12">
        <f t="shared" si="7"/>
        <v>54.900000000000006</v>
      </c>
      <c r="AJ19" s="12">
        <f t="shared" si="8"/>
        <v>87.7</v>
      </c>
      <c r="AK19" s="12">
        <f t="shared" si="8"/>
        <v>57.999999999999993</v>
      </c>
      <c r="AL19" s="12">
        <f t="shared" si="8"/>
        <v>44.2</v>
      </c>
      <c r="AM19" s="12">
        <f t="shared" si="8"/>
        <v>37.4</v>
      </c>
      <c r="AN19" s="12">
        <f t="shared" si="8"/>
        <v>48.8</v>
      </c>
      <c r="AO19" s="12">
        <f t="shared" ref="AO19:AR82" si="14">(PERCENTRANK(L$3:L$298,L19))*100</f>
        <v>51.1</v>
      </c>
      <c r="AP19" s="12">
        <f t="shared" si="14"/>
        <v>3</v>
      </c>
      <c r="AQ19" s="12">
        <f t="shared" si="14"/>
        <v>25.1</v>
      </c>
      <c r="AR19" s="12">
        <f t="shared" si="14"/>
        <v>97.7</v>
      </c>
      <c r="AS19" s="12">
        <f t="shared" ref="AS19:AV82" si="15">(PERCENTRANK(P$3:P$298,P19))*100</f>
        <v>77.8</v>
      </c>
      <c r="AT19" s="12">
        <f t="shared" si="15"/>
        <v>74</v>
      </c>
      <c r="AU19" s="12">
        <f t="shared" si="9"/>
        <v>17.600000000000009</v>
      </c>
      <c r="AV19" s="12">
        <f t="shared" si="15"/>
        <v>40.400000000000006</v>
      </c>
      <c r="AW19" s="12">
        <f t="shared" ref="AW19:AW82" si="16">(PERCENTRANK(T$3:T$298,T19))*100</f>
        <v>51.9</v>
      </c>
      <c r="AX19" s="12">
        <f t="shared" si="10"/>
        <v>83.3</v>
      </c>
      <c r="AY19" s="9"/>
      <c r="AZ19" s="12">
        <f t="shared" ref="AZ19:BD82" si="17">(PERCENTRANK(W$3:W$298,W19))*100</f>
        <v>63.3</v>
      </c>
      <c r="BA19" s="12">
        <f t="shared" si="13"/>
        <v>92.300000000000011</v>
      </c>
      <c r="BB19" s="12">
        <f t="shared" si="11"/>
        <v>77</v>
      </c>
      <c r="BC19" s="12">
        <f t="shared" si="11"/>
        <v>61.8</v>
      </c>
      <c r="BD19" s="12">
        <f t="shared" si="11"/>
        <v>44.2</v>
      </c>
      <c r="BE19" s="12">
        <f t="shared" si="11"/>
        <v>51.9</v>
      </c>
      <c r="BF19" s="12">
        <f t="shared" si="12"/>
        <v>63.3</v>
      </c>
      <c r="BG19" s="12">
        <f t="shared" si="12"/>
        <v>44.2</v>
      </c>
      <c r="BH19" s="12">
        <f t="shared" si="12"/>
        <v>98.4</v>
      </c>
      <c r="BI19" s="12">
        <f t="shared" si="12"/>
        <v>88.5</v>
      </c>
    </row>
    <row r="20" spans="1:61" x14ac:dyDescent="0.25">
      <c r="A20" s="1" t="s">
        <v>117</v>
      </c>
      <c r="B20" s="3" t="s">
        <v>95</v>
      </c>
      <c r="C20" s="4" t="s">
        <v>92</v>
      </c>
      <c r="D20" s="4">
        <v>34</v>
      </c>
      <c r="E20" s="4">
        <v>976</v>
      </c>
      <c r="F20" s="4">
        <v>34</v>
      </c>
      <c r="G20" s="4">
        <v>976</v>
      </c>
      <c r="H20" s="4">
        <v>19.600000000000001</v>
      </c>
      <c r="I20" s="4">
        <v>0.55500000000000005</v>
      </c>
      <c r="J20" s="4">
        <v>0.48899999999999999</v>
      </c>
      <c r="K20" s="4">
        <v>0.43099999999999999</v>
      </c>
      <c r="L20" s="4">
        <v>0.33800000000000002</v>
      </c>
      <c r="M20" s="4">
        <v>5.3</v>
      </c>
      <c r="N20" s="4">
        <v>13.1</v>
      </c>
      <c r="O20" s="4">
        <v>8.5</v>
      </c>
      <c r="P20" s="4">
        <v>1</v>
      </c>
      <c r="Q20" s="4">
        <v>1.9</v>
      </c>
      <c r="R20" s="4">
        <v>10.4</v>
      </c>
      <c r="S20" s="4">
        <v>23.7</v>
      </c>
      <c r="T20" s="4">
        <v>110</v>
      </c>
      <c r="U20" s="4">
        <v>100</v>
      </c>
      <c r="V20" s="4"/>
      <c r="W20" s="4">
        <v>3.3</v>
      </c>
      <c r="X20" s="4">
        <v>1</v>
      </c>
      <c r="Y20" s="4">
        <v>4.3</v>
      </c>
      <c r="Z20" s="4">
        <v>0.17499999999999999</v>
      </c>
      <c r="AA20" s="13">
        <f>(I20/TOTAL_BASIC!$D$301)*100</f>
        <v>109.4738536490305</v>
      </c>
      <c r="AB20" s="5">
        <f t="shared" si="3"/>
        <v>1.1000000000000001</v>
      </c>
      <c r="AC20" s="3">
        <f t="shared" si="1"/>
        <v>10</v>
      </c>
      <c r="AD20" s="9">
        <f t="shared" si="4"/>
        <v>1.1100000000000001</v>
      </c>
      <c r="AE20" s="16">
        <f t="shared" si="5"/>
        <v>0.35864978902953587</v>
      </c>
      <c r="AF20" s="16">
        <f t="shared" si="6"/>
        <v>0.81730769230769229</v>
      </c>
      <c r="AG20" s="9"/>
      <c r="AH20" s="9"/>
      <c r="AI20" s="12">
        <f t="shared" si="7"/>
        <v>65.600000000000009</v>
      </c>
      <c r="AJ20" s="12">
        <f t="shared" si="8"/>
        <v>87</v>
      </c>
      <c r="AK20" s="12">
        <f t="shared" si="8"/>
        <v>85.399999999999991</v>
      </c>
      <c r="AL20" s="12">
        <f t="shared" si="8"/>
        <v>80.900000000000006</v>
      </c>
      <c r="AM20" s="12">
        <f t="shared" si="8"/>
        <v>74.8</v>
      </c>
      <c r="AN20" s="12">
        <f t="shared" si="8"/>
        <v>83.2</v>
      </c>
      <c r="AO20" s="12">
        <f t="shared" si="14"/>
        <v>72.5</v>
      </c>
      <c r="AP20" s="12">
        <f t="shared" si="14"/>
        <v>56.399999999999991</v>
      </c>
      <c r="AQ20" s="12">
        <f t="shared" si="14"/>
        <v>77</v>
      </c>
      <c r="AR20" s="12">
        <f t="shared" si="14"/>
        <v>29.7</v>
      </c>
      <c r="AS20" s="12">
        <f t="shared" si="15"/>
        <v>9.1</v>
      </c>
      <c r="AT20" s="12">
        <f t="shared" si="15"/>
        <v>70.899999999999991</v>
      </c>
      <c r="AU20" s="12">
        <f t="shared" si="9"/>
        <v>87.8</v>
      </c>
      <c r="AV20" s="12">
        <f t="shared" si="15"/>
        <v>84.7</v>
      </c>
      <c r="AW20" s="12">
        <f t="shared" si="16"/>
        <v>85.399999999999991</v>
      </c>
      <c r="AX20" s="12">
        <f t="shared" si="10"/>
        <v>54.199999999999996</v>
      </c>
      <c r="AY20" s="9"/>
      <c r="AZ20" s="12">
        <f t="shared" si="17"/>
        <v>91.600000000000009</v>
      </c>
      <c r="BA20" s="12">
        <f t="shared" si="13"/>
        <v>73.2</v>
      </c>
      <c r="BB20" s="12">
        <f t="shared" si="11"/>
        <v>89.3</v>
      </c>
      <c r="BC20" s="12">
        <f t="shared" si="11"/>
        <v>84.7</v>
      </c>
      <c r="BD20" s="12">
        <f t="shared" si="11"/>
        <v>80.900000000000006</v>
      </c>
      <c r="BE20" s="12">
        <f t="shared" si="11"/>
        <v>85.399999999999991</v>
      </c>
      <c r="BF20" s="12">
        <f t="shared" si="12"/>
        <v>83.899999999999991</v>
      </c>
      <c r="BG20" s="12">
        <f t="shared" si="12"/>
        <v>80.900000000000006</v>
      </c>
      <c r="BH20" s="12">
        <f t="shared" si="12"/>
        <v>16</v>
      </c>
      <c r="BI20" s="12">
        <f t="shared" si="12"/>
        <v>57.999999999999993</v>
      </c>
    </row>
    <row r="21" spans="1:61" ht="15.75" customHeight="1" x14ac:dyDescent="0.25">
      <c r="A21" s="1" t="s">
        <v>118</v>
      </c>
      <c r="B21" s="3" t="s">
        <v>89</v>
      </c>
      <c r="C21" s="4" t="s">
        <v>110</v>
      </c>
      <c r="D21" s="4">
        <v>34</v>
      </c>
      <c r="E21" s="4">
        <v>973</v>
      </c>
      <c r="F21" s="4">
        <v>34</v>
      </c>
      <c r="G21" s="4">
        <v>973</v>
      </c>
      <c r="H21" s="4">
        <v>17.100000000000001</v>
      </c>
      <c r="I21" s="4">
        <v>0.54500000000000004</v>
      </c>
      <c r="J21" s="4">
        <v>0.51700000000000002</v>
      </c>
      <c r="K21" s="4">
        <v>2.4E-2</v>
      </c>
      <c r="L21" s="4">
        <v>0.32300000000000001</v>
      </c>
      <c r="M21" s="4">
        <v>9.8000000000000007</v>
      </c>
      <c r="N21" s="4">
        <v>14.5</v>
      </c>
      <c r="O21" s="4">
        <v>9.1</v>
      </c>
      <c r="P21" s="4">
        <v>1.7</v>
      </c>
      <c r="Q21" s="4">
        <v>0.8</v>
      </c>
      <c r="R21" s="4">
        <v>17.399999999999999</v>
      </c>
      <c r="S21" s="4">
        <v>20.7</v>
      </c>
      <c r="T21" s="4">
        <v>100</v>
      </c>
      <c r="U21" s="4">
        <v>97</v>
      </c>
      <c r="V21" s="4"/>
      <c r="W21" s="4">
        <v>1.5</v>
      </c>
      <c r="X21" s="4">
        <v>1.4</v>
      </c>
      <c r="Y21" s="4">
        <v>2.9</v>
      </c>
      <c r="Z21" s="4">
        <v>0.121</v>
      </c>
      <c r="AA21" s="13">
        <f>(I21/TOTAL_BASIC!$D$301)*100</f>
        <v>107.50135178148039</v>
      </c>
      <c r="AB21" s="5">
        <f t="shared" si="3"/>
        <v>1</v>
      </c>
      <c r="AC21" s="3">
        <f t="shared" si="1"/>
        <v>3</v>
      </c>
      <c r="AD21" s="9">
        <f t="shared" si="4"/>
        <v>1.0900000000000001</v>
      </c>
      <c r="AE21" s="16">
        <f t="shared" si="5"/>
        <v>0.43961352657004832</v>
      </c>
      <c r="AF21" s="16">
        <f t="shared" si="6"/>
        <v>0.52298850574712641</v>
      </c>
      <c r="AG21" s="9"/>
      <c r="AH21" s="9"/>
      <c r="AI21" s="12">
        <f t="shared" si="7"/>
        <v>65.600000000000009</v>
      </c>
      <c r="AJ21" s="12">
        <f t="shared" si="8"/>
        <v>86.2</v>
      </c>
      <c r="AK21" s="12">
        <f t="shared" si="8"/>
        <v>74</v>
      </c>
      <c r="AL21" s="12">
        <f t="shared" si="8"/>
        <v>78.600000000000009</v>
      </c>
      <c r="AM21" s="12">
        <f t="shared" si="8"/>
        <v>82.399999999999991</v>
      </c>
      <c r="AN21" s="12">
        <f t="shared" si="8"/>
        <v>30.5</v>
      </c>
      <c r="AO21" s="12">
        <f t="shared" si="14"/>
        <v>64.8</v>
      </c>
      <c r="AP21" s="12">
        <f t="shared" si="14"/>
        <v>80.100000000000009</v>
      </c>
      <c r="AQ21" s="12">
        <f t="shared" si="14"/>
        <v>83.2</v>
      </c>
      <c r="AR21" s="12">
        <f t="shared" si="14"/>
        <v>33.5</v>
      </c>
      <c r="AS21" s="12">
        <f t="shared" si="15"/>
        <v>41.199999999999996</v>
      </c>
      <c r="AT21" s="12">
        <f t="shared" si="15"/>
        <v>34.300000000000004</v>
      </c>
      <c r="AU21" s="12">
        <f t="shared" si="9"/>
        <v>40.5</v>
      </c>
      <c r="AV21" s="12">
        <f t="shared" si="15"/>
        <v>64.099999999999994</v>
      </c>
      <c r="AW21" s="12">
        <f t="shared" si="16"/>
        <v>61.8</v>
      </c>
      <c r="AX21" s="12">
        <f t="shared" si="10"/>
        <v>76.400000000000006</v>
      </c>
      <c r="AY21" s="9"/>
      <c r="AZ21" s="12">
        <f t="shared" si="17"/>
        <v>77</v>
      </c>
      <c r="BA21" s="12">
        <f t="shared" si="13"/>
        <v>87</v>
      </c>
      <c r="BB21" s="12">
        <f t="shared" si="11"/>
        <v>80.100000000000009</v>
      </c>
      <c r="BC21" s="12">
        <f t="shared" si="11"/>
        <v>70.899999999999991</v>
      </c>
      <c r="BD21" s="12">
        <f t="shared" si="11"/>
        <v>78.600000000000009</v>
      </c>
      <c r="BE21" s="12">
        <f t="shared" si="11"/>
        <v>61.8</v>
      </c>
      <c r="BF21" s="12">
        <f t="shared" si="12"/>
        <v>64.8</v>
      </c>
      <c r="BG21" s="12">
        <f t="shared" si="12"/>
        <v>78.600000000000009</v>
      </c>
      <c r="BH21" s="12">
        <f t="shared" si="12"/>
        <v>26.700000000000003</v>
      </c>
      <c r="BI21" s="12">
        <f t="shared" si="12"/>
        <v>23.599999999999998</v>
      </c>
    </row>
    <row r="22" spans="1:61" ht="15.75" customHeight="1" x14ac:dyDescent="0.25">
      <c r="A22" s="1" t="s">
        <v>119</v>
      </c>
      <c r="B22" s="3" t="s">
        <v>91</v>
      </c>
      <c r="C22" s="4" t="s">
        <v>92</v>
      </c>
      <c r="D22" s="4">
        <v>33</v>
      </c>
      <c r="E22" s="4">
        <v>965</v>
      </c>
      <c r="F22" s="4">
        <v>33</v>
      </c>
      <c r="G22" s="4">
        <v>965</v>
      </c>
      <c r="H22" s="4">
        <v>19.5</v>
      </c>
      <c r="I22" s="4">
        <v>0.52400000000000002</v>
      </c>
      <c r="J22" s="4">
        <v>0.498</v>
      </c>
      <c r="K22" s="4">
        <v>3.0000000000000001E-3</v>
      </c>
      <c r="L22" s="4">
        <v>0.29699999999999999</v>
      </c>
      <c r="M22" s="4">
        <v>11.3</v>
      </c>
      <c r="N22" s="4">
        <v>17.7</v>
      </c>
      <c r="O22" s="4">
        <v>7.8</v>
      </c>
      <c r="P22" s="4">
        <v>2.2999999999999998</v>
      </c>
      <c r="Q22" s="4">
        <v>2.4</v>
      </c>
      <c r="R22" s="4">
        <v>10.4</v>
      </c>
      <c r="S22" s="4">
        <v>17.5</v>
      </c>
      <c r="T22" s="4">
        <v>111</v>
      </c>
      <c r="U22" s="4">
        <v>92</v>
      </c>
      <c r="V22" s="4"/>
      <c r="W22" s="4">
        <v>2.7</v>
      </c>
      <c r="X22" s="4">
        <v>2.2000000000000002</v>
      </c>
      <c r="Y22" s="4">
        <v>4.9000000000000004</v>
      </c>
      <c r="Z22" s="4">
        <v>0.20200000000000001</v>
      </c>
      <c r="AA22" s="13">
        <f>(I22/TOTAL_BASIC!$D$301)*100</f>
        <v>103.35909785962518</v>
      </c>
      <c r="AB22" s="5">
        <f t="shared" si="3"/>
        <v>1.1100000000000001</v>
      </c>
      <c r="AC22" s="3">
        <f t="shared" si="1"/>
        <v>19</v>
      </c>
      <c r="AD22" s="9">
        <f t="shared" si="4"/>
        <v>1.048</v>
      </c>
      <c r="AE22" s="16">
        <f t="shared" si="5"/>
        <v>0.44571428571428573</v>
      </c>
      <c r="AF22" s="16">
        <f t="shared" si="6"/>
        <v>0.75</v>
      </c>
      <c r="AG22" s="9"/>
      <c r="AH22" s="9"/>
      <c r="AI22" s="12">
        <f t="shared" si="7"/>
        <v>54.900000000000006</v>
      </c>
      <c r="AJ22" s="12">
        <f t="shared" si="8"/>
        <v>85.399999999999991</v>
      </c>
      <c r="AK22" s="12">
        <f t="shared" si="8"/>
        <v>84.7</v>
      </c>
      <c r="AL22" s="12">
        <f t="shared" si="8"/>
        <v>67.900000000000006</v>
      </c>
      <c r="AM22" s="12">
        <f t="shared" si="8"/>
        <v>76.3</v>
      </c>
      <c r="AN22" s="12">
        <f t="shared" si="8"/>
        <v>17.5</v>
      </c>
      <c r="AO22" s="12">
        <f t="shared" si="14"/>
        <v>59.5</v>
      </c>
      <c r="AP22" s="12">
        <f t="shared" si="14"/>
        <v>90</v>
      </c>
      <c r="AQ22" s="12">
        <f t="shared" si="14"/>
        <v>94.6</v>
      </c>
      <c r="AR22" s="12">
        <f t="shared" si="14"/>
        <v>21.3</v>
      </c>
      <c r="AS22" s="12">
        <f t="shared" si="15"/>
        <v>71.7</v>
      </c>
      <c r="AT22" s="12">
        <f t="shared" si="15"/>
        <v>77.8</v>
      </c>
      <c r="AU22" s="12">
        <f t="shared" si="9"/>
        <v>87.8</v>
      </c>
      <c r="AV22" s="12">
        <f t="shared" si="15"/>
        <v>42.699999999999996</v>
      </c>
      <c r="AW22" s="12">
        <f t="shared" si="16"/>
        <v>88.5</v>
      </c>
      <c r="AX22" s="12">
        <f t="shared" si="10"/>
        <v>94.7</v>
      </c>
      <c r="AY22" s="9"/>
      <c r="AZ22" s="12">
        <f t="shared" si="17"/>
        <v>87</v>
      </c>
      <c r="BA22" s="12">
        <f t="shared" si="13"/>
        <v>95.399999999999991</v>
      </c>
      <c r="BB22" s="12">
        <f t="shared" si="11"/>
        <v>93.100000000000009</v>
      </c>
      <c r="BC22" s="12">
        <f t="shared" si="11"/>
        <v>90</v>
      </c>
      <c r="BD22" s="12">
        <f t="shared" si="11"/>
        <v>67.900000000000006</v>
      </c>
      <c r="BE22" s="12">
        <f t="shared" si="11"/>
        <v>88.5</v>
      </c>
      <c r="BF22" s="12">
        <f t="shared" si="12"/>
        <v>92.300000000000011</v>
      </c>
      <c r="BG22" s="12">
        <f t="shared" si="12"/>
        <v>67.900000000000006</v>
      </c>
      <c r="BH22" s="12">
        <f t="shared" si="12"/>
        <v>28.199999999999996</v>
      </c>
      <c r="BI22" s="12">
        <f t="shared" si="12"/>
        <v>51.9</v>
      </c>
    </row>
    <row r="23" spans="1:61" ht="15.75" customHeight="1" x14ac:dyDescent="0.25">
      <c r="A23" s="1" t="s">
        <v>120</v>
      </c>
      <c r="B23" s="3" t="s">
        <v>114</v>
      </c>
      <c r="C23" s="4" t="s">
        <v>92</v>
      </c>
      <c r="D23" s="4">
        <v>34</v>
      </c>
      <c r="E23" s="4">
        <v>961</v>
      </c>
      <c r="F23" s="4">
        <v>34</v>
      </c>
      <c r="G23" s="4">
        <v>961</v>
      </c>
      <c r="H23" s="4">
        <v>13.2</v>
      </c>
      <c r="I23" s="4">
        <v>0.5</v>
      </c>
      <c r="J23" s="4">
        <v>0.44500000000000001</v>
      </c>
      <c r="K23" s="4">
        <v>0.222</v>
      </c>
      <c r="L23" s="4">
        <v>0.26400000000000001</v>
      </c>
      <c r="M23" s="4">
        <v>5.2</v>
      </c>
      <c r="N23" s="4">
        <v>11.3</v>
      </c>
      <c r="O23" s="4">
        <v>13.2</v>
      </c>
      <c r="P23" s="4">
        <v>1.7</v>
      </c>
      <c r="Q23" s="4">
        <v>1.5</v>
      </c>
      <c r="R23" s="4">
        <v>16.8</v>
      </c>
      <c r="S23" s="4">
        <v>17.7</v>
      </c>
      <c r="T23" s="4">
        <v>99</v>
      </c>
      <c r="U23" s="4">
        <v>96</v>
      </c>
      <c r="V23" s="4"/>
      <c r="W23" s="4">
        <v>1.1000000000000001</v>
      </c>
      <c r="X23" s="4">
        <v>1.6</v>
      </c>
      <c r="Y23" s="4">
        <v>2.7</v>
      </c>
      <c r="Z23" s="4">
        <v>0.112</v>
      </c>
      <c r="AA23" s="13">
        <f>(I23/TOTAL_BASIC!$D$301)*100</f>
        <v>98.625093377504953</v>
      </c>
      <c r="AB23" s="5">
        <f t="shared" si="3"/>
        <v>0.99</v>
      </c>
      <c r="AC23" s="3">
        <f t="shared" si="1"/>
        <v>3</v>
      </c>
      <c r="AD23" s="9">
        <f t="shared" si="4"/>
        <v>1</v>
      </c>
      <c r="AE23" s="16">
        <f t="shared" si="5"/>
        <v>0.74576271186440679</v>
      </c>
      <c r="AF23" s="16">
        <f t="shared" si="6"/>
        <v>0.78571428571428559</v>
      </c>
      <c r="AG23" s="9"/>
      <c r="AH23" s="9"/>
      <c r="AI23" s="12">
        <f t="shared" si="7"/>
        <v>65.600000000000009</v>
      </c>
      <c r="AJ23" s="12">
        <f t="shared" si="8"/>
        <v>84.7</v>
      </c>
      <c r="AK23" s="12">
        <f t="shared" si="8"/>
        <v>52.6</v>
      </c>
      <c r="AL23" s="12">
        <f t="shared" si="8"/>
        <v>54.900000000000006</v>
      </c>
      <c r="AM23" s="12">
        <f t="shared" si="8"/>
        <v>45.800000000000004</v>
      </c>
      <c r="AN23" s="12">
        <f t="shared" si="8"/>
        <v>52.6</v>
      </c>
      <c r="AO23" s="12">
        <f t="shared" si="14"/>
        <v>49.6</v>
      </c>
      <c r="AP23" s="12">
        <f t="shared" si="14"/>
        <v>54.1</v>
      </c>
      <c r="AQ23" s="12">
        <f t="shared" si="14"/>
        <v>67.900000000000006</v>
      </c>
      <c r="AR23" s="12">
        <f t="shared" si="14"/>
        <v>61.8</v>
      </c>
      <c r="AS23" s="12">
        <f t="shared" si="15"/>
        <v>41.199999999999996</v>
      </c>
      <c r="AT23" s="12">
        <f t="shared" si="15"/>
        <v>63.3</v>
      </c>
      <c r="AU23" s="12">
        <f t="shared" si="9"/>
        <v>45.9</v>
      </c>
      <c r="AV23" s="12">
        <f t="shared" si="15"/>
        <v>43.5</v>
      </c>
      <c r="AW23" s="12">
        <f t="shared" si="16"/>
        <v>55.7</v>
      </c>
      <c r="AX23" s="12">
        <f t="shared" si="10"/>
        <v>83.3</v>
      </c>
      <c r="AY23" s="9"/>
      <c r="AZ23" s="12">
        <f t="shared" si="17"/>
        <v>67.900000000000006</v>
      </c>
      <c r="BA23" s="12">
        <f t="shared" si="13"/>
        <v>92.300000000000011</v>
      </c>
      <c r="BB23" s="12">
        <f t="shared" si="11"/>
        <v>77.8</v>
      </c>
      <c r="BC23" s="12">
        <f t="shared" si="11"/>
        <v>67.900000000000006</v>
      </c>
      <c r="BD23" s="12">
        <f t="shared" si="11"/>
        <v>54.900000000000006</v>
      </c>
      <c r="BE23" s="12">
        <f t="shared" si="11"/>
        <v>55.7</v>
      </c>
      <c r="BF23" s="12">
        <f t="shared" si="12"/>
        <v>64.8</v>
      </c>
      <c r="BG23" s="12">
        <f t="shared" si="12"/>
        <v>54.900000000000006</v>
      </c>
      <c r="BH23" s="12">
        <f t="shared" si="12"/>
        <v>60.3</v>
      </c>
      <c r="BI23" s="12">
        <f t="shared" si="12"/>
        <v>54.1</v>
      </c>
    </row>
    <row r="24" spans="1:61" ht="15.75" customHeight="1" x14ac:dyDescent="0.25">
      <c r="A24" s="1" t="s">
        <v>121</v>
      </c>
      <c r="B24" s="3" t="s">
        <v>122</v>
      </c>
      <c r="C24" s="4" t="s">
        <v>115</v>
      </c>
      <c r="D24" s="4">
        <v>29</v>
      </c>
      <c r="E24" s="4">
        <v>951</v>
      </c>
      <c r="F24" s="4">
        <v>29</v>
      </c>
      <c r="G24" s="4">
        <v>951</v>
      </c>
      <c r="H24" s="4">
        <v>19.899999999999999</v>
      </c>
      <c r="I24" s="4">
        <v>0.438</v>
      </c>
      <c r="J24" s="4">
        <v>0.4</v>
      </c>
      <c r="K24" s="4">
        <v>6.0000000000000001E-3</v>
      </c>
      <c r="L24" s="4">
        <v>0.20699999999999999</v>
      </c>
      <c r="M24" s="4">
        <v>11.3</v>
      </c>
      <c r="N24" s="4">
        <v>17.3</v>
      </c>
      <c r="O24" s="4">
        <v>9.6999999999999993</v>
      </c>
      <c r="P24" s="4">
        <v>1.5</v>
      </c>
      <c r="Q24" s="4">
        <v>2.1</v>
      </c>
      <c r="R24" s="4">
        <v>9.6999999999999993</v>
      </c>
      <c r="S24" s="4">
        <v>30.8</v>
      </c>
      <c r="T24" s="4">
        <v>92</v>
      </c>
      <c r="U24" s="4">
        <v>97</v>
      </c>
      <c r="V24" s="4"/>
      <c r="W24" s="4">
        <v>0.4</v>
      </c>
      <c r="X24" s="4">
        <v>1.4</v>
      </c>
      <c r="Y24" s="4">
        <v>1.8</v>
      </c>
      <c r="Z24" s="4">
        <v>7.3999999999999996E-2</v>
      </c>
      <c r="AA24" s="13">
        <f>(I24/TOTAL_BASIC!$D$301)*100</f>
        <v>86.395581798694337</v>
      </c>
      <c r="AB24" s="5">
        <f t="shared" si="3"/>
        <v>0.92</v>
      </c>
      <c r="AC24" s="3">
        <f t="shared" si="1"/>
        <v>-5</v>
      </c>
      <c r="AD24" s="9">
        <f t="shared" si="4"/>
        <v>0.876</v>
      </c>
      <c r="AE24" s="16">
        <f t="shared" si="5"/>
        <v>0.3149350649350649</v>
      </c>
      <c r="AF24" s="16">
        <f t="shared" si="6"/>
        <v>1</v>
      </c>
      <c r="AG24" s="9"/>
      <c r="AH24" s="9"/>
      <c r="AI24" s="12">
        <f t="shared" si="7"/>
        <v>29.7</v>
      </c>
      <c r="AJ24" s="12">
        <f t="shared" si="8"/>
        <v>83.899999999999991</v>
      </c>
      <c r="AK24" s="12">
        <f t="shared" si="8"/>
        <v>86.2</v>
      </c>
      <c r="AL24" s="12">
        <f t="shared" si="8"/>
        <v>20.599999999999998</v>
      </c>
      <c r="AM24" s="12">
        <f t="shared" si="8"/>
        <v>23.599999999999998</v>
      </c>
      <c r="AN24" s="12">
        <f t="shared" si="8"/>
        <v>20.599999999999998</v>
      </c>
      <c r="AO24" s="12">
        <f t="shared" si="14"/>
        <v>35.099999999999994</v>
      </c>
      <c r="AP24" s="12">
        <f t="shared" si="14"/>
        <v>90</v>
      </c>
      <c r="AQ24" s="12">
        <f t="shared" si="14"/>
        <v>91.600000000000009</v>
      </c>
      <c r="AR24" s="12">
        <f t="shared" si="14"/>
        <v>38.1</v>
      </c>
      <c r="AS24" s="12">
        <f t="shared" si="15"/>
        <v>26.700000000000003</v>
      </c>
      <c r="AT24" s="12">
        <f t="shared" si="15"/>
        <v>74</v>
      </c>
      <c r="AU24" s="12">
        <f t="shared" si="9"/>
        <v>90.9</v>
      </c>
      <c r="AV24" s="12">
        <f t="shared" si="15"/>
        <v>98.4</v>
      </c>
      <c r="AW24" s="12">
        <f t="shared" si="16"/>
        <v>32.800000000000004</v>
      </c>
      <c r="AX24" s="12">
        <f t="shared" si="10"/>
        <v>76.400000000000006</v>
      </c>
      <c r="AY24" s="9"/>
      <c r="AZ24" s="12">
        <f t="shared" si="17"/>
        <v>47.3</v>
      </c>
      <c r="BA24" s="12">
        <f t="shared" si="13"/>
        <v>87</v>
      </c>
      <c r="BB24" s="12">
        <f t="shared" si="11"/>
        <v>66.400000000000006</v>
      </c>
      <c r="BC24" s="12">
        <f t="shared" si="11"/>
        <v>45.800000000000004</v>
      </c>
      <c r="BD24" s="12">
        <f t="shared" si="11"/>
        <v>20.599999999999998</v>
      </c>
      <c r="BE24" s="12">
        <f t="shared" si="11"/>
        <v>32.800000000000004</v>
      </c>
      <c r="BF24" s="12">
        <f t="shared" si="12"/>
        <v>41.9</v>
      </c>
      <c r="BG24" s="12">
        <f t="shared" si="12"/>
        <v>20.599999999999998</v>
      </c>
      <c r="BH24" s="12">
        <f t="shared" si="12"/>
        <v>11.4</v>
      </c>
      <c r="BI24" s="12">
        <f t="shared" si="12"/>
        <v>69.399999999999991</v>
      </c>
    </row>
    <row r="25" spans="1:61" ht="15.75" customHeight="1" x14ac:dyDescent="0.25">
      <c r="A25" s="1" t="s">
        <v>123</v>
      </c>
      <c r="B25" s="3" t="s">
        <v>106</v>
      </c>
      <c r="C25" s="4" t="s">
        <v>8</v>
      </c>
      <c r="D25" s="4">
        <v>32</v>
      </c>
      <c r="E25" s="4">
        <v>946</v>
      </c>
      <c r="F25" s="4">
        <v>32</v>
      </c>
      <c r="G25" s="4">
        <v>946</v>
      </c>
      <c r="H25" s="4">
        <v>10.6</v>
      </c>
      <c r="I25" s="4">
        <v>0.45200000000000001</v>
      </c>
      <c r="J25" s="4">
        <v>0.40300000000000002</v>
      </c>
      <c r="K25" s="4">
        <v>0.31</v>
      </c>
      <c r="L25" s="4">
        <v>0.23400000000000001</v>
      </c>
      <c r="M25" s="4">
        <v>1.5</v>
      </c>
      <c r="N25" s="4">
        <v>5</v>
      </c>
      <c r="O25" s="4">
        <v>24.3</v>
      </c>
      <c r="P25" s="4">
        <v>2</v>
      </c>
      <c r="Q25" s="4">
        <v>0.5</v>
      </c>
      <c r="R25" s="4">
        <v>18.5</v>
      </c>
      <c r="S25" s="4">
        <v>21.2</v>
      </c>
      <c r="T25" s="4">
        <v>90</v>
      </c>
      <c r="U25" s="4">
        <v>101</v>
      </c>
      <c r="V25" s="4"/>
      <c r="W25" s="4">
        <v>-0.1</v>
      </c>
      <c r="X25" s="4">
        <v>0.9</v>
      </c>
      <c r="Y25" s="4">
        <v>0.8</v>
      </c>
      <c r="Z25" s="4">
        <v>3.3000000000000002E-2</v>
      </c>
      <c r="AA25" s="13">
        <f>(I25/TOTAL_BASIC!$D$301)*100</f>
        <v>89.157084413264471</v>
      </c>
      <c r="AB25" s="5">
        <f t="shared" si="3"/>
        <v>0.9</v>
      </c>
      <c r="AC25" s="3">
        <f t="shared" si="1"/>
        <v>-11</v>
      </c>
      <c r="AD25" s="9">
        <f t="shared" si="4"/>
        <v>0.90400000000000003</v>
      </c>
      <c r="AE25" s="16">
        <f t="shared" si="5"/>
        <v>1.1462264150943398</v>
      </c>
      <c r="AF25" s="16">
        <f t="shared" si="6"/>
        <v>1.3135135135135136</v>
      </c>
      <c r="AG25" s="9"/>
      <c r="AH25" s="9"/>
      <c r="AI25" s="12">
        <f t="shared" si="7"/>
        <v>45</v>
      </c>
      <c r="AJ25" s="12">
        <f t="shared" si="8"/>
        <v>83.2</v>
      </c>
      <c r="AK25" s="12">
        <f t="shared" si="8"/>
        <v>37.4</v>
      </c>
      <c r="AL25" s="12">
        <f t="shared" si="8"/>
        <v>28.999999999999996</v>
      </c>
      <c r="AM25" s="12">
        <f t="shared" si="8"/>
        <v>28.199999999999996</v>
      </c>
      <c r="AN25" s="12">
        <f t="shared" si="8"/>
        <v>67.900000000000006</v>
      </c>
      <c r="AO25" s="12">
        <f t="shared" si="14"/>
        <v>42.699999999999996</v>
      </c>
      <c r="AP25" s="12">
        <f t="shared" si="14"/>
        <v>6.8000000000000007</v>
      </c>
      <c r="AQ25" s="12">
        <f t="shared" si="14"/>
        <v>10.6</v>
      </c>
      <c r="AR25" s="12">
        <f t="shared" si="14"/>
        <v>90</v>
      </c>
      <c r="AS25" s="12">
        <f t="shared" si="15"/>
        <v>57.199999999999996</v>
      </c>
      <c r="AT25" s="12">
        <f t="shared" si="15"/>
        <v>16.7</v>
      </c>
      <c r="AU25" s="12">
        <f t="shared" si="9"/>
        <v>35.200000000000003</v>
      </c>
      <c r="AV25" s="12">
        <f t="shared" si="15"/>
        <v>68.7</v>
      </c>
      <c r="AW25" s="12">
        <f t="shared" si="16"/>
        <v>26.700000000000003</v>
      </c>
      <c r="AX25" s="12">
        <f t="shared" si="10"/>
        <v>42.800000000000004</v>
      </c>
      <c r="AY25" s="9"/>
      <c r="AZ25" s="12">
        <f t="shared" si="17"/>
        <v>23.599999999999998</v>
      </c>
      <c r="BA25" s="12">
        <f t="shared" si="13"/>
        <v>64.8</v>
      </c>
      <c r="BB25" s="12">
        <f t="shared" si="11"/>
        <v>41.9</v>
      </c>
      <c r="BC25" s="12">
        <f t="shared" si="11"/>
        <v>28.199999999999996</v>
      </c>
      <c r="BD25" s="12">
        <f t="shared" si="11"/>
        <v>28.999999999999996</v>
      </c>
      <c r="BE25" s="12">
        <f t="shared" si="11"/>
        <v>26.700000000000003</v>
      </c>
      <c r="BF25" s="12">
        <f t="shared" si="12"/>
        <v>25.900000000000002</v>
      </c>
      <c r="BG25" s="12">
        <f t="shared" si="12"/>
        <v>28.999999999999996</v>
      </c>
      <c r="BH25" s="12">
        <f t="shared" si="12"/>
        <v>86.2</v>
      </c>
      <c r="BI25" s="12">
        <f t="shared" si="12"/>
        <v>81.599999999999994</v>
      </c>
    </row>
    <row r="26" spans="1:61" ht="15.75" customHeight="1" x14ac:dyDescent="0.25">
      <c r="A26" s="1" t="s">
        <v>124</v>
      </c>
      <c r="B26" s="3" t="s">
        <v>106</v>
      </c>
      <c r="C26" s="4" t="s">
        <v>92</v>
      </c>
      <c r="D26" s="4">
        <v>30</v>
      </c>
      <c r="E26" s="4">
        <v>942</v>
      </c>
      <c r="F26" s="4">
        <v>30</v>
      </c>
      <c r="G26" s="4">
        <v>942</v>
      </c>
      <c r="H26" s="4">
        <v>27.3</v>
      </c>
      <c r="I26" s="4">
        <v>0.50800000000000001</v>
      </c>
      <c r="J26" s="4">
        <v>0.436</v>
      </c>
      <c r="K26" s="4">
        <v>0.248</v>
      </c>
      <c r="L26" s="4">
        <v>0.35</v>
      </c>
      <c r="M26" s="4">
        <v>5.5</v>
      </c>
      <c r="N26" s="4">
        <v>13.9</v>
      </c>
      <c r="O26" s="4">
        <v>17.100000000000001</v>
      </c>
      <c r="P26" s="4">
        <v>5</v>
      </c>
      <c r="Q26" s="4">
        <v>2.8</v>
      </c>
      <c r="R26" s="4">
        <v>8.9</v>
      </c>
      <c r="S26" s="4">
        <v>28.5</v>
      </c>
      <c r="T26" s="4">
        <v>108</v>
      </c>
      <c r="U26" s="4">
        <v>88</v>
      </c>
      <c r="V26" s="4"/>
      <c r="W26" s="4">
        <v>3.5</v>
      </c>
      <c r="X26" s="4">
        <v>2.7</v>
      </c>
      <c r="Y26" s="4">
        <v>6.2</v>
      </c>
      <c r="Z26" s="4">
        <v>0.26200000000000001</v>
      </c>
      <c r="AA26" s="13">
        <f>(I26/TOTAL_BASIC!$D$301)*100</f>
        <v>100.20309487154502</v>
      </c>
      <c r="AB26" s="5">
        <f t="shared" si="3"/>
        <v>1.08</v>
      </c>
      <c r="AC26" s="3">
        <f t="shared" si="1"/>
        <v>20</v>
      </c>
      <c r="AD26" s="9">
        <f t="shared" si="4"/>
        <v>1.016</v>
      </c>
      <c r="AE26" s="16">
        <f t="shared" si="5"/>
        <v>0.60000000000000009</v>
      </c>
      <c r="AF26" s="16">
        <f t="shared" si="6"/>
        <v>1.9213483146067416</v>
      </c>
      <c r="AG26" s="9"/>
      <c r="AH26" s="9"/>
      <c r="AI26" s="12">
        <f t="shared" si="7"/>
        <v>34.300000000000004</v>
      </c>
      <c r="AJ26" s="12">
        <f t="shared" si="8"/>
        <v>82.399999999999991</v>
      </c>
      <c r="AK26" s="12">
        <f t="shared" si="8"/>
        <v>96.1</v>
      </c>
      <c r="AL26" s="12">
        <f t="shared" si="8"/>
        <v>61</v>
      </c>
      <c r="AM26" s="12">
        <f t="shared" si="8"/>
        <v>40.400000000000006</v>
      </c>
      <c r="AN26" s="12">
        <f t="shared" si="8"/>
        <v>58.699999999999996</v>
      </c>
      <c r="AO26" s="12">
        <f t="shared" si="14"/>
        <v>76.3</v>
      </c>
      <c r="AP26" s="12">
        <f t="shared" si="14"/>
        <v>57.199999999999996</v>
      </c>
      <c r="AQ26" s="12">
        <f t="shared" si="14"/>
        <v>80.900000000000006</v>
      </c>
      <c r="AR26" s="12">
        <f t="shared" si="14"/>
        <v>73.2</v>
      </c>
      <c r="AS26" s="12">
        <f t="shared" si="15"/>
        <v>100</v>
      </c>
      <c r="AT26" s="12">
        <f t="shared" si="15"/>
        <v>83.2</v>
      </c>
      <c r="AU26" s="12">
        <f t="shared" si="9"/>
        <v>94.7</v>
      </c>
      <c r="AV26" s="12">
        <f t="shared" si="15"/>
        <v>95.399999999999991</v>
      </c>
      <c r="AW26" s="12">
        <f t="shared" si="16"/>
        <v>78.600000000000009</v>
      </c>
      <c r="AX26" s="12">
        <f t="shared" si="10"/>
        <v>100</v>
      </c>
      <c r="AY26" s="9"/>
      <c r="AZ26" s="12">
        <f t="shared" si="17"/>
        <v>93.8</v>
      </c>
      <c r="BA26" s="12">
        <f t="shared" si="13"/>
        <v>99.2</v>
      </c>
      <c r="BB26" s="12">
        <f t="shared" si="11"/>
        <v>96.1</v>
      </c>
      <c r="BC26" s="12">
        <f t="shared" si="11"/>
        <v>95.399999999999991</v>
      </c>
      <c r="BD26" s="12">
        <f t="shared" si="11"/>
        <v>61</v>
      </c>
      <c r="BE26" s="12">
        <f t="shared" si="11"/>
        <v>78.600000000000009</v>
      </c>
      <c r="BF26" s="12">
        <f t="shared" si="12"/>
        <v>93.8</v>
      </c>
      <c r="BG26" s="12">
        <f t="shared" si="12"/>
        <v>61</v>
      </c>
      <c r="BH26" s="12">
        <f t="shared" si="12"/>
        <v>45.800000000000004</v>
      </c>
      <c r="BI26" s="12">
        <f t="shared" si="12"/>
        <v>94.6</v>
      </c>
    </row>
    <row r="27" spans="1:61" ht="15.75" customHeight="1" x14ac:dyDescent="0.25">
      <c r="A27" s="1" t="s">
        <v>125</v>
      </c>
      <c r="B27" s="3" t="s">
        <v>114</v>
      </c>
      <c r="C27" s="4" t="s">
        <v>100</v>
      </c>
      <c r="D27" s="4">
        <v>30</v>
      </c>
      <c r="E27" s="4">
        <v>941</v>
      </c>
      <c r="F27" s="4">
        <v>30</v>
      </c>
      <c r="G27" s="4">
        <v>941</v>
      </c>
      <c r="H27" s="4">
        <v>25.2</v>
      </c>
      <c r="I27" s="4">
        <v>0.56799999999999995</v>
      </c>
      <c r="J27" s="4">
        <v>0.47799999999999998</v>
      </c>
      <c r="K27" s="4">
        <v>0.23799999999999999</v>
      </c>
      <c r="L27" s="4">
        <v>0.41799999999999998</v>
      </c>
      <c r="M27" s="4">
        <v>5.2</v>
      </c>
      <c r="N27" s="4">
        <v>10.1</v>
      </c>
      <c r="O27" s="4">
        <v>10.8</v>
      </c>
      <c r="P27" s="4">
        <v>1.1000000000000001</v>
      </c>
      <c r="Q27" s="4">
        <v>4.2</v>
      </c>
      <c r="R27" s="4">
        <v>7.5</v>
      </c>
      <c r="S27" s="4">
        <v>24.5</v>
      </c>
      <c r="T27" s="4">
        <v>120</v>
      </c>
      <c r="U27" s="4">
        <v>96</v>
      </c>
      <c r="V27" s="4"/>
      <c r="W27" s="4">
        <v>5</v>
      </c>
      <c r="X27" s="4">
        <v>1.5</v>
      </c>
      <c r="Y27" s="4">
        <v>6.5</v>
      </c>
      <c r="Z27" s="4">
        <v>0.27800000000000002</v>
      </c>
      <c r="AA27" s="13">
        <f>(I27/TOTAL_BASIC!$D$301)*100</f>
        <v>112.03810607684561</v>
      </c>
      <c r="AB27" s="5">
        <f t="shared" si="3"/>
        <v>1.2</v>
      </c>
      <c r="AC27" s="3">
        <f t="shared" si="1"/>
        <v>24</v>
      </c>
      <c r="AD27" s="9">
        <f t="shared" si="4"/>
        <v>1.1359999999999999</v>
      </c>
      <c r="AE27" s="16">
        <f t="shared" si="5"/>
        <v>0.44081632653061226</v>
      </c>
      <c r="AF27" s="16">
        <f t="shared" si="6"/>
        <v>1.4400000000000002</v>
      </c>
      <c r="AG27" s="9"/>
      <c r="AH27" s="9"/>
      <c r="AI27" s="12">
        <f t="shared" si="7"/>
        <v>34.300000000000004</v>
      </c>
      <c r="AJ27" s="12">
        <f t="shared" si="8"/>
        <v>81.599999999999994</v>
      </c>
      <c r="AK27" s="12">
        <f t="shared" si="8"/>
        <v>93.8</v>
      </c>
      <c r="AL27" s="12">
        <f t="shared" si="8"/>
        <v>86.2</v>
      </c>
      <c r="AM27" s="12">
        <f t="shared" si="8"/>
        <v>69.399999999999991</v>
      </c>
      <c r="AN27" s="12">
        <f t="shared" si="8"/>
        <v>57.199999999999996</v>
      </c>
      <c r="AO27" s="12">
        <f t="shared" si="14"/>
        <v>89.3</v>
      </c>
      <c r="AP27" s="12">
        <f t="shared" si="14"/>
        <v>54.1</v>
      </c>
      <c r="AQ27" s="12">
        <f t="shared" si="14"/>
        <v>57.199999999999996</v>
      </c>
      <c r="AR27" s="12">
        <f t="shared" si="14"/>
        <v>45.800000000000004</v>
      </c>
      <c r="AS27" s="12">
        <f t="shared" si="15"/>
        <v>13.700000000000001</v>
      </c>
      <c r="AT27" s="12">
        <f t="shared" si="15"/>
        <v>92.300000000000011</v>
      </c>
      <c r="AU27" s="12">
        <f t="shared" si="9"/>
        <v>99.3</v>
      </c>
      <c r="AV27" s="12">
        <f t="shared" si="15"/>
        <v>90</v>
      </c>
      <c r="AW27" s="12">
        <f t="shared" si="16"/>
        <v>98.4</v>
      </c>
      <c r="AX27" s="12">
        <f t="shared" si="10"/>
        <v>83.3</v>
      </c>
      <c r="AY27" s="9"/>
      <c r="AZ27" s="12">
        <f t="shared" si="17"/>
        <v>98.4</v>
      </c>
      <c r="BA27" s="12">
        <f t="shared" si="13"/>
        <v>90</v>
      </c>
      <c r="BB27" s="12">
        <f t="shared" si="11"/>
        <v>96.899999999999991</v>
      </c>
      <c r="BC27" s="12">
        <f t="shared" si="11"/>
        <v>96.1</v>
      </c>
      <c r="BD27" s="12">
        <f t="shared" si="11"/>
        <v>86.2</v>
      </c>
      <c r="BE27" s="12">
        <f t="shared" si="11"/>
        <v>98.4</v>
      </c>
      <c r="BF27" s="12">
        <f t="shared" si="12"/>
        <v>96.899999999999991</v>
      </c>
      <c r="BG27" s="12">
        <f t="shared" si="12"/>
        <v>86.2</v>
      </c>
      <c r="BH27" s="12">
        <f t="shared" si="12"/>
        <v>27.400000000000002</v>
      </c>
      <c r="BI27" s="12">
        <f t="shared" si="12"/>
        <v>86.2</v>
      </c>
    </row>
    <row r="28" spans="1:61" ht="15.75" customHeight="1" x14ac:dyDescent="0.25">
      <c r="A28" s="1" t="s">
        <v>126</v>
      </c>
      <c r="B28" s="3" t="s">
        <v>99</v>
      </c>
      <c r="C28" s="4" t="s">
        <v>8</v>
      </c>
      <c r="D28" s="4">
        <v>34</v>
      </c>
      <c r="E28" s="4">
        <v>935</v>
      </c>
      <c r="F28" s="4">
        <v>34</v>
      </c>
      <c r="G28" s="4">
        <v>935</v>
      </c>
      <c r="H28" s="4">
        <v>8.6999999999999993</v>
      </c>
      <c r="I28" s="4">
        <v>0.40699999999999997</v>
      </c>
      <c r="J28" s="4">
        <v>0.38300000000000001</v>
      </c>
      <c r="K28" s="4">
        <v>0.222</v>
      </c>
      <c r="L28" s="4">
        <v>0.13800000000000001</v>
      </c>
      <c r="M28" s="4">
        <v>2.9</v>
      </c>
      <c r="N28" s="4">
        <v>6.2</v>
      </c>
      <c r="O28" s="4">
        <v>18.899999999999999</v>
      </c>
      <c r="P28" s="4">
        <v>1.6</v>
      </c>
      <c r="Q28" s="4">
        <v>0.7</v>
      </c>
      <c r="R28" s="4">
        <v>16.7</v>
      </c>
      <c r="S28" s="4">
        <v>19.7</v>
      </c>
      <c r="T28" s="4">
        <v>84</v>
      </c>
      <c r="U28" s="4">
        <v>99</v>
      </c>
      <c r="V28" s="4"/>
      <c r="W28" s="4">
        <v>-1</v>
      </c>
      <c r="X28" s="4">
        <v>1.1000000000000001</v>
      </c>
      <c r="Y28" s="4">
        <v>0</v>
      </c>
      <c r="Z28" s="4">
        <v>2E-3</v>
      </c>
      <c r="AA28" s="13">
        <f>(I28/TOTAL_BASIC!$D$301)*100</f>
        <v>80.280826009289015</v>
      </c>
      <c r="AB28" s="5">
        <f t="shared" si="3"/>
        <v>0.84</v>
      </c>
      <c r="AC28" s="3">
        <f t="shared" si="1"/>
        <v>-15</v>
      </c>
      <c r="AD28" s="9">
        <f t="shared" si="4"/>
        <v>0.81399999999999995</v>
      </c>
      <c r="AE28" s="16">
        <f t="shared" si="5"/>
        <v>0.95939086294416243</v>
      </c>
      <c r="AF28" s="16">
        <f t="shared" si="6"/>
        <v>1.1317365269461077</v>
      </c>
      <c r="AG28" s="9"/>
      <c r="AH28" s="9"/>
      <c r="AI28" s="12">
        <f t="shared" si="7"/>
        <v>65.600000000000009</v>
      </c>
      <c r="AJ28" s="12">
        <f t="shared" si="8"/>
        <v>80.900000000000006</v>
      </c>
      <c r="AK28" s="12">
        <f t="shared" si="8"/>
        <v>22.1</v>
      </c>
      <c r="AL28" s="12">
        <f t="shared" si="8"/>
        <v>10.6</v>
      </c>
      <c r="AM28" s="12">
        <f t="shared" si="8"/>
        <v>14.499999999999998</v>
      </c>
      <c r="AN28" s="12">
        <f t="shared" si="8"/>
        <v>52.6</v>
      </c>
      <c r="AO28" s="12">
        <f t="shared" si="14"/>
        <v>12.9</v>
      </c>
      <c r="AP28" s="12">
        <f t="shared" si="14"/>
        <v>23.599999999999998</v>
      </c>
      <c r="AQ28" s="12">
        <f t="shared" si="14"/>
        <v>26.700000000000003</v>
      </c>
      <c r="AR28" s="12">
        <f t="shared" si="14"/>
        <v>81.599999999999994</v>
      </c>
      <c r="AS28" s="12">
        <f t="shared" si="15"/>
        <v>36.6</v>
      </c>
      <c r="AT28" s="12">
        <f t="shared" si="15"/>
        <v>28.199999999999996</v>
      </c>
      <c r="AU28" s="12">
        <f t="shared" si="9"/>
        <v>47.4</v>
      </c>
      <c r="AV28" s="12">
        <f t="shared" si="15"/>
        <v>55.7</v>
      </c>
      <c r="AW28" s="12">
        <f t="shared" si="16"/>
        <v>10.6</v>
      </c>
      <c r="AX28" s="12">
        <f t="shared" si="10"/>
        <v>63.4</v>
      </c>
      <c r="AY28" s="9"/>
      <c r="AZ28" s="12">
        <f t="shared" si="17"/>
        <v>1.5</v>
      </c>
      <c r="BA28" s="12">
        <f t="shared" si="13"/>
        <v>76.3</v>
      </c>
      <c r="BB28" s="12">
        <f t="shared" si="11"/>
        <v>16.7</v>
      </c>
      <c r="BC28" s="12">
        <f t="shared" si="11"/>
        <v>17.5</v>
      </c>
      <c r="BD28" s="12">
        <f t="shared" si="11"/>
        <v>10.6</v>
      </c>
      <c r="BE28" s="12">
        <f t="shared" si="11"/>
        <v>10.6</v>
      </c>
      <c r="BF28" s="12">
        <f t="shared" si="12"/>
        <v>17.5</v>
      </c>
      <c r="BG28" s="12">
        <f t="shared" si="12"/>
        <v>10.6</v>
      </c>
      <c r="BH28" s="12">
        <f t="shared" si="12"/>
        <v>77.8</v>
      </c>
      <c r="BI28" s="12">
        <f t="shared" si="12"/>
        <v>76.3</v>
      </c>
    </row>
    <row r="29" spans="1:61" ht="15.75" customHeight="1" x14ac:dyDescent="0.25">
      <c r="A29" s="1" t="s">
        <v>127</v>
      </c>
      <c r="B29" s="4" t="s">
        <v>114</v>
      </c>
      <c r="C29" s="4" t="s">
        <v>8</v>
      </c>
      <c r="D29" s="4">
        <v>31</v>
      </c>
      <c r="E29" s="4">
        <v>930</v>
      </c>
      <c r="F29" s="4">
        <v>31</v>
      </c>
      <c r="G29" s="4">
        <v>930</v>
      </c>
      <c r="H29" s="4">
        <v>20.3</v>
      </c>
      <c r="I29" s="4">
        <v>0.52</v>
      </c>
      <c r="J29" s="4">
        <v>0.45300000000000001</v>
      </c>
      <c r="K29" s="4">
        <v>0.39100000000000001</v>
      </c>
      <c r="L29" s="4">
        <v>0.30499999999999999</v>
      </c>
      <c r="M29" s="4">
        <v>2.2000000000000002</v>
      </c>
      <c r="N29" s="4">
        <v>5.2</v>
      </c>
      <c r="O29" s="4">
        <v>18.3</v>
      </c>
      <c r="P29" s="4">
        <v>2.9</v>
      </c>
      <c r="Q29" s="4">
        <v>0.9</v>
      </c>
      <c r="R29" s="4">
        <v>8.8000000000000007</v>
      </c>
      <c r="S29" s="4">
        <v>23.5</v>
      </c>
      <c r="T29" s="4">
        <v>111</v>
      </c>
      <c r="U29" s="4">
        <v>97</v>
      </c>
      <c r="V29" s="4"/>
      <c r="W29" s="4">
        <v>3.4</v>
      </c>
      <c r="X29" s="4">
        <v>1.4</v>
      </c>
      <c r="Y29" s="4">
        <v>4.7</v>
      </c>
      <c r="Z29" s="4">
        <v>0.20399999999999999</v>
      </c>
      <c r="AA29" s="13">
        <f>(I29/TOTAL_BASIC!$D$301)*100</f>
        <v>102.57009711260514</v>
      </c>
      <c r="AB29" s="5">
        <f t="shared" si="3"/>
        <v>1.1100000000000001</v>
      </c>
      <c r="AC29" s="3">
        <f t="shared" si="1"/>
        <v>14</v>
      </c>
      <c r="AD29" s="9">
        <f t="shared" si="4"/>
        <v>1.04</v>
      </c>
      <c r="AE29" s="16">
        <f t="shared" si="5"/>
        <v>0.77872340425531916</v>
      </c>
      <c r="AF29" s="16">
        <f t="shared" si="6"/>
        <v>2.0795454545454546</v>
      </c>
      <c r="AG29" s="9"/>
      <c r="AH29" s="9"/>
      <c r="AI29" s="12">
        <f t="shared" si="7"/>
        <v>40.400000000000006</v>
      </c>
      <c r="AJ29" s="12">
        <f t="shared" si="8"/>
        <v>80.100000000000009</v>
      </c>
      <c r="AK29" s="12">
        <f t="shared" si="8"/>
        <v>87</v>
      </c>
      <c r="AL29" s="12">
        <f t="shared" si="8"/>
        <v>66.400000000000006</v>
      </c>
      <c r="AM29" s="12">
        <f t="shared" si="8"/>
        <v>54.1</v>
      </c>
      <c r="AN29" s="12">
        <f t="shared" si="8"/>
        <v>80.100000000000009</v>
      </c>
      <c r="AO29" s="12">
        <f t="shared" si="14"/>
        <v>60.3</v>
      </c>
      <c r="AP29" s="12">
        <f t="shared" si="14"/>
        <v>15.2</v>
      </c>
      <c r="AQ29" s="12">
        <f t="shared" si="14"/>
        <v>12.9</v>
      </c>
      <c r="AR29" s="12">
        <f t="shared" si="14"/>
        <v>77.8</v>
      </c>
      <c r="AS29" s="12">
        <f t="shared" si="15"/>
        <v>87.7</v>
      </c>
      <c r="AT29" s="12">
        <f t="shared" si="15"/>
        <v>41.199999999999996</v>
      </c>
      <c r="AU29" s="12">
        <f t="shared" si="9"/>
        <v>95.5</v>
      </c>
      <c r="AV29" s="12">
        <f t="shared" si="15"/>
        <v>83.899999999999991</v>
      </c>
      <c r="AW29" s="12">
        <f t="shared" si="16"/>
        <v>88.5</v>
      </c>
      <c r="AX29" s="12">
        <f t="shared" si="10"/>
        <v>76.400000000000006</v>
      </c>
      <c r="AY29" s="9"/>
      <c r="AZ29" s="12">
        <f t="shared" si="17"/>
        <v>93.100000000000009</v>
      </c>
      <c r="BA29" s="12">
        <f t="shared" si="13"/>
        <v>87</v>
      </c>
      <c r="BB29" s="12">
        <f t="shared" si="11"/>
        <v>90.8</v>
      </c>
      <c r="BC29" s="12">
        <f t="shared" si="11"/>
        <v>90.8</v>
      </c>
      <c r="BD29" s="12">
        <f t="shared" si="11"/>
        <v>66.400000000000006</v>
      </c>
      <c r="BE29" s="12">
        <f t="shared" si="11"/>
        <v>88.5</v>
      </c>
      <c r="BF29" s="12">
        <f t="shared" si="12"/>
        <v>88.5</v>
      </c>
      <c r="BG29" s="12">
        <f t="shared" si="12"/>
        <v>66.400000000000006</v>
      </c>
      <c r="BH29" s="12">
        <f t="shared" si="12"/>
        <v>63.3</v>
      </c>
      <c r="BI29" s="12">
        <f t="shared" si="12"/>
        <v>97.7</v>
      </c>
    </row>
    <row r="30" spans="1:61" ht="15.75" customHeight="1" x14ac:dyDescent="0.25">
      <c r="A30" s="1" t="s">
        <v>128</v>
      </c>
      <c r="B30" s="4" t="s">
        <v>91</v>
      </c>
      <c r="C30" s="4" t="s">
        <v>87</v>
      </c>
      <c r="D30" s="4">
        <v>31</v>
      </c>
      <c r="E30" s="4">
        <v>922</v>
      </c>
      <c r="F30" s="4">
        <v>31</v>
      </c>
      <c r="G30" s="4">
        <v>922</v>
      </c>
      <c r="H30" s="4">
        <v>21.5</v>
      </c>
      <c r="I30" s="4">
        <v>0.56999999999999995</v>
      </c>
      <c r="J30" s="4">
        <v>0.54</v>
      </c>
      <c r="K30" s="4">
        <v>0.16700000000000001</v>
      </c>
      <c r="L30" s="4">
        <v>0.16</v>
      </c>
      <c r="M30" s="4">
        <v>3.2</v>
      </c>
      <c r="N30" s="4">
        <v>6.2</v>
      </c>
      <c r="O30" s="4">
        <v>14.2</v>
      </c>
      <c r="P30" s="4">
        <v>1</v>
      </c>
      <c r="Q30" s="4">
        <v>1.6</v>
      </c>
      <c r="R30" s="4">
        <v>9.1999999999999993</v>
      </c>
      <c r="S30" s="4">
        <v>23.9</v>
      </c>
      <c r="T30" s="4">
        <v>113</v>
      </c>
      <c r="U30" s="4">
        <v>100</v>
      </c>
      <c r="V30" s="4"/>
      <c r="W30" s="4">
        <v>3.6</v>
      </c>
      <c r="X30" s="4">
        <v>0.9</v>
      </c>
      <c r="Y30" s="4">
        <v>4.5</v>
      </c>
      <c r="Z30" s="4">
        <v>0.19700000000000001</v>
      </c>
      <c r="AA30" s="13">
        <f>(I30/TOTAL_BASIC!$D$301)*100</f>
        <v>112.43260645035562</v>
      </c>
      <c r="AB30" s="5">
        <f t="shared" si="3"/>
        <v>1.1299999999999999</v>
      </c>
      <c r="AC30" s="3">
        <f t="shared" si="1"/>
        <v>13</v>
      </c>
      <c r="AD30" s="9">
        <f t="shared" si="4"/>
        <v>1.1399999999999999</v>
      </c>
      <c r="AE30" s="16">
        <f t="shared" si="5"/>
        <v>0.59414225941422594</v>
      </c>
      <c r="AF30" s="16">
        <f t="shared" si="6"/>
        <v>1.5434782608695652</v>
      </c>
      <c r="AG30" s="9"/>
      <c r="AH30" s="9"/>
      <c r="AI30" s="12">
        <f t="shared" si="7"/>
        <v>40.400000000000006</v>
      </c>
      <c r="AJ30" s="12">
        <f t="shared" si="8"/>
        <v>79.3</v>
      </c>
      <c r="AK30" s="12">
        <f t="shared" si="8"/>
        <v>88.5</v>
      </c>
      <c r="AL30" s="12">
        <f t="shared" si="8"/>
        <v>87.7</v>
      </c>
      <c r="AM30" s="12">
        <f t="shared" si="8"/>
        <v>87.7</v>
      </c>
      <c r="AN30" s="12">
        <f t="shared" si="8"/>
        <v>44.2</v>
      </c>
      <c r="AO30" s="12">
        <f t="shared" si="14"/>
        <v>21.3</v>
      </c>
      <c r="AP30" s="12">
        <f t="shared" si="14"/>
        <v>26.700000000000003</v>
      </c>
      <c r="AQ30" s="12">
        <f t="shared" si="14"/>
        <v>26.700000000000003</v>
      </c>
      <c r="AR30" s="12">
        <f t="shared" si="14"/>
        <v>65.600000000000009</v>
      </c>
      <c r="AS30" s="12">
        <f t="shared" si="15"/>
        <v>9.1</v>
      </c>
      <c r="AT30" s="12">
        <f t="shared" si="15"/>
        <v>66.400000000000006</v>
      </c>
      <c r="AU30" s="12">
        <f t="shared" si="9"/>
        <v>93.2</v>
      </c>
      <c r="AV30" s="12">
        <f t="shared" si="15"/>
        <v>88.5</v>
      </c>
      <c r="AW30" s="12">
        <f t="shared" si="16"/>
        <v>93.8</v>
      </c>
      <c r="AX30" s="12">
        <f t="shared" si="10"/>
        <v>54.199999999999996</v>
      </c>
      <c r="AY30" s="9"/>
      <c r="AZ30" s="12">
        <f t="shared" si="17"/>
        <v>94.6</v>
      </c>
      <c r="BA30" s="12">
        <f t="shared" si="13"/>
        <v>64.8</v>
      </c>
      <c r="BB30" s="12">
        <f t="shared" si="11"/>
        <v>90</v>
      </c>
      <c r="BC30" s="12">
        <f t="shared" si="11"/>
        <v>89.3</v>
      </c>
      <c r="BD30" s="12">
        <f t="shared" si="11"/>
        <v>87.7</v>
      </c>
      <c r="BE30" s="12">
        <f t="shared" si="11"/>
        <v>93.8</v>
      </c>
      <c r="BF30" s="12">
        <f t="shared" si="12"/>
        <v>87.7</v>
      </c>
      <c r="BG30" s="12">
        <f t="shared" si="12"/>
        <v>87.7</v>
      </c>
      <c r="BH30" s="12">
        <f t="shared" si="12"/>
        <v>44.2</v>
      </c>
      <c r="BI30" s="12">
        <f t="shared" si="12"/>
        <v>89.3</v>
      </c>
    </row>
    <row r="31" spans="1:61" ht="15.75" customHeight="1" x14ac:dyDescent="0.25">
      <c r="A31" s="1" t="s">
        <v>129</v>
      </c>
      <c r="B31" s="3" t="s">
        <v>106</v>
      </c>
      <c r="C31" s="4" t="s">
        <v>100</v>
      </c>
      <c r="D31" s="4">
        <v>34</v>
      </c>
      <c r="E31" s="4">
        <v>913</v>
      </c>
      <c r="F31" s="4">
        <v>34</v>
      </c>
      <c r="G31" s="4">
        <v>913</v>
      </c>
      <c r="H31" s="4">
        <v>14.9</v>
      </c>
      <c r="I31" s="4">
        <v>0.48099999999999998</v>
      </c>
      <c r="J31" s="4">
        <v>0.42799999999999999</v>
      </c>
      <c r="K31" s="4">
        <v>0.36899999999999999</v>
      </c>
      <c r="L31" s="4">
        <v>0.27300000000000002</v>
      </c>
      <c r="M31" s="4">
        <v>8</v>
      </c>
      <c r="N31" s="4">
        <v>9.5</v>
      </c>
      <c r="O31" s="4">
        <v>7.8</v>
      </c>
      <c r="P31" s="4">
        <v>3.8</v>
      </c>
      <c r="Q31" s="4">
        <v>1</v>
      </c>
      <c r="R31" s="4">
        <v>12.2</v>
      </c>
      <c r="S31" s="4">
        <v>17.8</v>
      </c>
      <c r="T31" s="4">
        <v>101</v>
      </c>
      <c r="U31" s="4">
        <v>96</v>
      </c>
      <c r="V31" s="4"/>
      <c r="W31" s="4">
        <v>1.3</v>
      </c>
      <c r="X31" s="4">
        <v>1.5</v>
      </c>
      <c r="Y31" s="4">
        <v>2.9</v>
      </c>
      <c r="Z31" s="4">
        <v>0.125</v>
      </c>
      <c r="AA31" s="13">
        <f>(I31/TOTAL_BASIC!$D$301)*100</f>
        <v>94.877339829159752</v>
      </c>
      <c r="AB31" s="5">
        <f t="shared" si="3"/>
        <v>1.01</v>
      </c>
      <c r="AC31" s="3">
        <f t="shared" si="1"/>
        <v>5</v>
      </c>
      <c r="AD31" s="9">
        <f t="shared" si="4"/>
        <v>0.96199999999999997</v>
      </c>
      <c r="AE31" s="16">
        <f t="shared" si="5"/>
        <v>0.4382022471910112</v>
      </c>
      <c r="AF31" s="16">
        <f t="shared" si="6"/>
        <v>0.63934426229508201</v>
      </c>
      <c r="AG31" s="9"/>
      <c r="AH31" s="9"/>
      <c r="AI31" s="12">
        <f t="shared" si="7"/>
        <v>65.600000000000009</v>
      </c>
      <c r="AJ31" s="12">
        <f t="shared" si="8"/>
        <v>78.600000000000009</v>
      </c>
      <c r="AK31" s="12">
        <f t="shared" si="8"/>
        <v>64.099999999999994</v>
      </c>
      <c r="AL31" s="12">
        <f t="shared" si="8"/>
        <v>43.5</v>
      </c>
      <c r="AM31" s="12">
        <f t="shared" si="8"/>
        <v>38.1</v>
      </c>
      <c r="AN31" s="12">
        <f t="shared" si="8"/>
        <v>77</v>
      </c>
      <c r="AO31" s="12">
        <f t="shared" si="14"/>
        <v>52.6</v>
      </c>
      <c r="AP31" s="12">
        <f t="shared" si="14"/>
        <v>71.7</v>
      </c>
      <c r="AQ31" s="12">
        <f t="shared" si="14"/>
        <v>51.9</v>
      </c>
      <c r="AR31" s="12">
        <f t="shared" si="14"/>
        <v>21.3</v>
      </c>
      <c r="AS31" s="12">
        <f t="shared" si="15"/>
        <v>95.399999999999991</v>
      </c>
      <c r="AT31" s="12">
        <f t="shared" si="15"/>
        <v>45.800000000000004</v>
      </c>
      <c r="AU31" s="12">
        <f t="shared" si="9"/>
        <v>77.900000000000006</v>
      </c>
      <c r="AV31" s="12">
        <f t="shared" si="15"/>
        <v>45</v>
      </c>
      <c r="AW31" s="12">
        <f t="shared" si="16"/>
        <v>66.400000000000006</v>
      </c>
      <c r="AX31" s="12">
        <f t="shared" si="10"/>
        <v>83.3</v>
      </c>
      <c r="AY31" s="9"/>
      <c r="AZ31" s="12">
        <f t="shared" si="17"/>
        <v>72.5</v>
      </c>
      <c r="BA31" s="12">
        <f t="shared" si="13"/>
        <v>90</v>
      </c>
      <c r="BB31" s="12">
        <f t="shared" si="11"/>
        <v>80.100000000000009</v>
      </c>
      <c r="BC31" s="12">
        <f t="shared" si="11"/>
        <v>72.5</v>
      </c>
      <c r="BD31" s="12">
        <f t="shared" si="11"/>
        <v>43.5</v>
      </c>
      <c r="BE31" s="12">
        <f t="shared" si="11"/>
        <v>66.400000000000006</v>
      </c>
      <c r="BF31" s="12">
        <f t="shared" si="12"/>
        <v>70.199999999999989</v>
      </c>
      <c r="BG31" s="12">
        <f t="shared" si="12"/>
        <v>43.5</v>
      </c>
      <c r="BH31" s="12">
        <f t="shared" si="12"/>
        <v>25.900000000000002</v>
      </c>
      <c r="BI31" s="12">
        <f t="shared" si="12"/>
        <v>38.9</v>
      </c>
    </row>
    <row r="32" spans="1:61" ht="15.75" customHeight="1" x14ac:dyDescent="0.25">
      <c r="A32" s="1" t="s">
        <v>130</v>
      </c>
      <c r="B32" s="3" t="s">
        <v>106</v>
      </c>
      <c r="C32" s="4" t="s">
        <v>8</v>
      </c>
      <c r="D32" s="4">
        <v>29</v>
      </c>
      <c r="E32" s="4">
        <v>908</v>
      </c>
      <c r="F32" s="4">
        <v>29</v>
      </c>
      <c r="G32" s="4">
        <v>908</v>
      </c>
      <c r="H32" s="4">
        <v>16.7</v>
      </c>
      <c r="I32" s="4">
        <v>0.52600000000000002</v>
      </c>
      <c r="J32" s="4">
        <v>0.47</v>
      </c>
      <c r="K32" s="4">
        <v>0.318</v>
      </c>
      <c r="L32" s="4">
        <v>0.34899999999999998</v>
      </c>
      <c r="M32" s="4">
        <v>3.4</v>
      </c>
      <c r="N32" s="4">
        <v>6.8</v>
      </c>
      <c r="O32" s="4">
        <v>11.3</v>
      </c>
      <c r="P32" s="4">
        <v>1.7</v>
      </c>
      <c r="Q32" s="4">
        <v>2</v>
      </c>
      <c r="R32" s="4">
        <v>11.7</v>
      </c>
      <c r="S32" s="4">
        <v>23.8</v>
      </c>
      <c r="T32" s="4">
        <v>104</v>
      </c>
      <c r="U32" s="4">
        <v>100</v>
      </c>
      <c r="V32" s="4"/>
      <c r="W32" s="4">
        <v>2.2000000000000002</v>
      </c>
      <c r="X32" s="4">
        <v>0.9</v>
      </c>
      <c r="Y32" s="4">
        <v>3.2</v>
      </c>
      <c r="Z32" s="4">
        <v>0.14000000000000001</v>
      </c>
      <c r="AA32" s="13">
        <f>(I32/TOTAL_BASIC!$D$301)*100</f>
        <v>103.75359823313521</v>
      </c>
      <c r="AB32" s="5">
        <f t="shared" si="3"/>
        <v>1.04</v>
      </c>
      <c r="AC32" s="3">
        <f t="shared" si="1"/>
        <v>4</v>
      </c>
      <c r="AD32" s="9">
        <f t="shared" si="4"/>
        <v>1.052</v>
      </c>
      <c r="AE32" s="16">
        <f t="shared" si="5"/>
        <v>0.47478991596638659</v>
      </c>
      <c r="AF32" s="16">
        <f t="shared" si="6"/>
        <v>0.96581196581196593</v>
      </c>
      <c r="AG32" s="9"/>
      <c r="AH32" s="9"/>
      <c r="AI32" s="12">
        <f t="shared" si="7"/>
        <v>29.7</v>
      </c>
      <c r="AJ32" s="12">
        <f t="shared" si="8"/>
        <v>77.8</v>
      </c>
      <c r="AK32" s="12">
        <f t="shared" si="8"/>
        <v>71.7</v>
      </c>
      <c r="AL32" s="12">
        <f t="shared" si="8"/>
        <v>70.199999999999989</v>
      </c>
      <c r="AM32" s="12">
        <f t="shared" si="8"/>
        <v>65.600000000000009</v>
      </c>
      <c r="AN32" s="12">
        <f t="shared" si="8"/>
        <v>70.199999999999989</v>
      </c>
      <c r="AO32" s="12">
        <f t="shared" si="14"/>
        <v>75.5</v>
      </c>
      <c r="AP32" s="12">
        <f t="shared" si="14"/>
        <v>32</v>
      </c>
      <c r="AQ32" s="12">
        <f t="shared" si="14"/>
        <v>32</v>
      </c>
      <c r="AR32" s="12">
        <f t="shared" si="14"/>
        <v>49.6</v>
      </c>
      <c r="AS32" s="12">
        <f t="shared" si="15"/>
        <v>41.199999999999996</v>
      </c>
      <c r="AT32" s="12">
        <f t="shared" si="15"/>
        <v>72.5</v>
      </c>
      <c r="AU32" s="12">
        <f t="shared" si="9"/>
        <v>79.400000000000006</v>
      </c>
      <c r="AV32" s="12">
        <f t="shared" si="15"/>
        <v>87</v>
      </c>
      <c r="AW32" s="12">
        <f t="shared" si="16"/>
        <v>70.899999999999991</v>
      </c>
      <c r="AX32" s="12">
        <f t="shared" si="10"/>
        <v>54.199999999999996</v>
      </c>
      <c r="AY32" s="9"/>
      <c r="AZ32" s="12">
        <f t="shared" si="17"/>
        <v>83.2</v>
      </c>
      <c r="BA32" s="12">
        <f t="shared" si="13"/>
        <v>64.8</v>
      </c>
      <c r="BB32" s="12">
        <f t="shared" si="11"/>
        <v>83.899999999999991</v>
      </c>
      <c r="BC32" s="12">
        <f t="shared" si="11"/>
        <v>77.8</v>
      </c>
      <c r="BD32" s="12">
        <f t="shared" si="11"/>
        <v>70.199999999999989</v>
      </c>
      <c r="BE32" s="12">
        <f t="shared" si="11"/>
        <v>70.899999999999991</v>
      </c>
      <c r="BF32" s="12">
        <f t="shared" si="12"/>
        <v>67.100000000000009</v>
      </c>
      <c r="BG32" s="12">
        <f t="shared" si="12"/>
        <v>70.199999999999989</v>
      </c>
      <c r="BH32" s="12">
        <f t="shared" si="12"/>
        <v>31.2</v>
      </c>
      <c r="BI32" s="12">
        <f t="shared" si="12"/>
        <v>67.100000000000009</v>
      </c>
    </row>
    <row r="33" spans="1:61" ht="15.75" customHeight="1" x14ac:dyDescent="0.25">
      <c r="A33" s="1" t="s">
        <v>131</v>
      </c>
      <c r="B33" s="3" t="s">
        <v>104</v>
      </c>
      <c r="C33" s="4" t="s">
        <v>8</v>
      </c>
      <c r="D33" s="4">
        <v>34</v>
      </c>
      <c r="E33" s="4">
        <v>904</v>
      </c>
      <c r="F33" s="4">
        <v>34</v>
      </c>
      <c r="G33" s="4">
        <v>904</v>
      </c>
      <c r="H33" s="4">
        <v>7.7</v>
      </c>
      <c r="I33" s="4">
        <v>0.47799999999999998</v>
      </c>
      <c r="J33" s="4">
        <v>0.443</v>
      </c>
      <c r="K33" s="4">
        <v>0.438</v>
      </c>
      <c r="L33" s="4">
        <v>0.16300000000000001</v>
      </c>
      <c r="M33" s="4">
        <v>1.1000000000000001</v>
      </c>
      <c r="N33" s="4">
        <v>3.9</v>
      </c>
      <c r="O33" s="4">
        <v>11.6</v>
      </c>
      <c r="P33" s="4">
        <v>1.4</v>
      </c>
      <c r="Q33" s="4">
        <v>0.5</v>
      </c>
      <c r="R33" s="4">
        <v>16.5</v>
      </c>
      <c r="S33" s="4">
        <v>12.9</v>
      </c>
      <c r="T33" s="4">
        <v>93</v>
      </c>
      <c r="U33" s="4">
        <v>104</v>
      </c>
      <c r="V33" s="4"/>
      <c r="W33" s="4">
        <v>0.2</v>
      </c>
      <c r="X33" s="4">
        <v>0.3</v>
      </c>
      <c r="Y33" s="4">
        <v>0.5</v>
      </c>
      <c r="Z33" s="4">
        <v>2.4E-2</v>
      </c>
      <c r="AA33" s="13">
        <f>(I33/TOTAL_BASIC!$D$301)*100</f>
        <v>94.285589268894725</v>
      </c>
      <c r="AB33" s="5">
        <f t="shared" si="3"/>
        <v>0.93</v>
      </c>
      <c r="AC33" s="3">
        <f t="shared" si="1"/>
        <v>-11</v>
      </c>
      <c r="AD33" s="9">
        <f t="shared" si="4"/>
        <v>0.95599999999999996</v>
      </c>
      <c r="AE33" s="16">
        <f t="shared" si="5"/>
        <v>0.89922480620155032</v>
      </c>
      <c r="AF33" s="16">
        <f t="shared" si="6"/>
        <v>0.70303030303030301</v>
      </c>
      <c r="AG33" s="9"/>
      <c r="AH33" s="9"/>
      <c r="AI33" s="12">
        <f t="shared" si="7"/>
        <v>65.600000000000009</v>
      </c>
      <c r="AJ33" s="12">
        <f t="shared" si="8"/>
        <v>77</v>
      </c>
      <c r="AK33" s="12">
        <f t="shared" si="8"/>
        <v>16.7</v>
      </c>
      <c r="AL33" s="12">
        <f t="shared" si="8"/>
        <v>41.9</v>
      </c>
      <c r="AM33" s="12">
        <f t="shared" si="8"/>
        <v>44.2</v>
      </c>
      <c r="AN33" s="12">
        <f t="shared" si="8"/>
        <v>83.899999999999991</v>
      </c>
      <c r="AO33" s="12">
        <f t="shared" si="14"/>
        <v>22.900000000000002</v>
      </c>
      <c r="AP33" s="12">
        <f t="shared" si="14"/>
        <v>2.1999999999999997</v>
      </c>
      <c r="AQ33" s="12">
        <f t="shared" si="14"/>
        <v>2.1999999999999997</v>
      </c>
      <c r="AR33" s="12">
        <f t="shared" si="14"/>
        <v>50.3</v>
      </c>
      <c r="AS33" s="12">
        <f t="shared" si="15"/>
        <v>21.3</v>
      </c>
      <c r="AT33" s="12">
        <f t="shared" si="15"/>
        <v>16.7</v>
      </c>
      <c r="AU33" s="12">
        <f t="shared" si="9"/>
        <v>48.9</v>
      </c>
      <c r="AV33" s="12">
        <f t="shared" si="15"/>
        <v>10.6</v>
      </c>
      <c r="AW33" s="12">
        <f t="shared" si="16"/>
        <v>38.1</v>
      </c>
      <c r="AX33" s="12">
        <f t="shared" si="10"/>
        <v>15.299999999999997</v>
      </c>
      <c r="AY33" s="9"/>
      <c r="AZ33" s="12">
        <f t="shared" si="17"/>
        <v>40.400000000000006</v>
      </c>
      <c r="BA33" s="12">
        <f t="shared" si="13"/>
        <v>24.4</v>
      </c>
      <c r="BB33" s="12">
        <f t="shared" si="11"/>
        <v>33.5</v>
      </c>
      <c r="BC33" s="12">
        <f t="shared" si="11"/>
        <v>23.599999999999998</v>
      </c>
      <c r="BD33" s="12">
        <f t="shared" si="11"/>
        <v>41.9</v>
      </c>
      <c r="BE33" s="12">
        <f t="shared" si="11"/>
        <v>38.1</v>
      </c>
      <c r="BF33" s="12">
        <f t="shared" si="12"/>
        <v>25.900000000000002</v>
      </c>
      <c r="BG33" s="12">
        <f t="shared" si="12"/>
        <v>41.9</v>
      </c>
      <c r="BH33" s="12">
        <f t="shared" si="12"/>
        <v>73.2</v>
      </c>
      <c r="BI33" s="12">
        <f t="shared" si="12"/>
        <v>45.800000000000004</v>
      </c>
    </row>
    <row r="34" spans="1:61" ht="15.75" customHeight="1" x14ac:dyDescent="0.25">
      <c r="A34" s="1" t="s">
        <v>132</v>
      </c>
      <c r="B34" s="3" t="s">
        <v>97</v>
      </c>
      <c r="C34" s="4" t="s">
        <v>8</v>
      </c>
      <c r="D34" s="4">
        <v>33</v>
      </c>
      <c r="E34" s="4">
        <v>901</v>
      </c>
      <c r="F34" s="4">
        <v>33</v>
      </c>
      <c r="G34" s="4">
        <v>901</v>
      </c>
      <c r="H34" s="4">
        <v>14.5</v>
      </c>
      <c r="I34" s="4">
        <v>0.46100000000000002</v>
      </c>
      <c r="J34" s="4">
        <v>0.42599999999999999</v>
      </c>
      <c r="K34" s="4">
        <v>0.23</v>
      </c>
      <c r="L34" s="4">
        <v>0.184</v>
      </c>
      <c r="M34" s="4">
        <v>4.8</v>
      </c>
      <c r="N34" s="4">
        <v>8.3000000000000007</v>
      </c>
      <c r="O34" s="4">
        <v>17</v>
      </c>
      <c r="P34" s="4">
        <v>2.5</v>
      </c>
      <c r="Q34" s="4">
        <v>0.5</v>
      </c>
      <c r="R34" s="4">
        <v>13.2</v>
      </c>
      <c r="S34" s="4">
        <v>22.9</v>
      </c>
      <c r="T34" s="4">
        <v>93</v>
      </c>
      <c r="U34" s="4">
        <v>104</v>
      </c>
      <c r="V34" s="4"/>
      <c r="W34" s="4">
        <v>0.3</v>
      </c>
      <c r="X34" s="4">
        <v>0.4</v>
      </c>
      <c r="Y34" s="4">
        <v>0.7</v>
      </c>
      <c r="Z34" s="4">
        <v>3.3000000000000002E-2</v>
      </c>
      <c r="AA34" s="13">
        <f>(I34/TOTAL_BASIC!$D$301)*100</f>
        <v>90.932336094059565</v>
      </c>
      <c r="AB34" s="5">
        <f t="shared" si="3"/>
        <v>0.93</v>
      </c>
      <c r="AC34" s="3">
        <f t="shared" si="1"/>
        <v>-11</v>
      </c>
      <c r="AD34" s="9">
        <f t="shared" si="4"/>
        <v>0.92200000000000004</v>
      </c>
      <c r="AE34" s="16">
        <f t="shared" si="5"/>
        <v>0.74235807860262015</v>
      </c>
      <c r="AF34" s="16">
        <f t="shared" si="6"/>
        <v>1.2878787878787878</v>
      </c>
      <c r="AG34" s="9"/>
      <c r="AH34" s="9"/>
      <c r="AI34" s="12">
        <f t="shared" si="7"/>
        <v>54.900000000000006</v>
      </c>
      <c r="AJ34" s="12">
        <f t="shared" si="8"/>
        <v>76.3</v>
      </c>
      <c r="AK34" s="12">
        <f t="shared" si="8"/>
        <v>60.3</v>
      </c>
      <c r="AL34" s="12">
        <f t="shared" si="8"/>
        <v>32.800000000000004</v>
      </c>
      <c r="AM34" s="12">
        <f t="shared" si="8"/>
        <v>35.799999999999997</v>
      </c>
      <c r="AN34" s="12">
        <f t="shared" si="8"/>
        <v>54.1</v>
      </c>
      <c r="AO34" s="12">
        <f t="shared" si="14"/>
        <v>28.199999999999996</v>
      </c>
      <c r="AP34" s="12">
        <f t="shared" si="14"/>
        <v>51.1</v>
      </c>
      <c r="AQ34" s="12">
        <f t="shared" si="14"/>
        <v>45</v>
      </c>
      <c r="AR34" s="12">
        <f t="shared" si="14"/>
        <v>72.5</v>
      </c>
      <c r="AS34" s="12">
        <f t="shared" si="15"/>
        <v>80.900000000000006</v>
      </c>
      <c r="AT34" s="12">
        <f t="shared" si="15"/>
        <v>16.7</v>
      </c>
      <c r="AU34" s="12">
        <f t="shared" si="9"/>
        <v>71.800000000000011</v>
      </c>
      <c r="AV34" s="12">
        <f t="shared" si="15"/>
        <v>81.599999999999994</v>
      </c>
      <c r="AW34" s="12">
        <f t="shared" si="16"/>
        <v>38.1</v>
      </c>
      <c r="AX34" s="12">
        <f t="shared" si="10"/>
        <v>15.299999999999997</v>
      </c>
      <c r="AY34" s="9"/>
      <c r="AZ34" s="12">
        <f t="shared" si="17"/>
        <v>44.2</v>
      </c>
      <c r="BA34" s="12">
        <f t="shared" si="13"/>
        <v>35.799999999999997</v>
      </c>
      <c r="BB34" s="12">
        <f t="shared" si="11"/>
        <v>38.9</v>
      </c>
      <c r="BC34" s="12">
        <f t="shared" si="11"/>
        <v>28.199999999999996</v>
      </c>
      <c r="BD34" s="12">
        <f t="shared" si="11"/>
        <v>32.800000000000004</v>
      </c>
      <c r="BE34" s="12">
        <f t="shared" si="11"/>
        <v>38.1</v>
      </c>
      <c r="BF34" s="12">
        <f t="shared" si="12"/>
        <v>25.900000000000002</v>
      </c>
      <c r="BG34" s="12">
        <f t="shared" si="12"/>
        <v>32.800000000000004</v>
      </c>
      <c r="BH34" s="12">
        <f t="shared" si="12"/>
        <v>59.5</v>
      </c>
      <c r="BI34" s="12">
        <f t="shared" si="12"/>
        <v>80.900000000000006</v>
      </c>
    </row>
    <row r="35" spans="1:61" ht="15.75" customHeight="1" x14ac:dyDescent="0.25">
      <c r="A35" s="1" t="s">
        <v>133</v>
      </c>
      <c r="B35" s="3" t="s">
        <v>97</v>
      </c>
      <c r="C35" s="4" t="s">
        <v>110</v>
      </c>
      <c r="D35" s="4">
        <v>34</v>
      </c>
      <c r="E35" s="4">
        <v>899</v>
      </c>
      <c r="F35" s="4">
        <v>34</v>
      </c>
      <c r="G35" s="4">
        <v>899</v>
      </c>
      <c r="H35" s="4">
        <v>19</v>
      </c>
      <c r="I35" s="4">
        <v>0.52500000000000002</v>
      </c>
      <c r="J35" s="4">
        <v>0.47899999999999998</v>
      </c>
      <c r="K35" s="4">
        <v>0.32300000000000001</v>
      </c>
      <c r="L35" s="4">
        <v>0.376</v>
      </c>
      <c r="M35" s="4">
        <v>6.4</v>
      </c>
      <c r="N35" s="4">
        <v>10.5</v>
      </c>
      <c r="O35" s="4">
        <v>9.6</v>
      </c>
      <c r="P35" s="4">
        <v>1.7</v>
      </c>
      <c r="Q35" s="4">
        <v>2.2000000000000002</v>
      </c>
      <c r="R35" s="4">
        <v>11.6</v>
      </c>
      <c r="S35" s="4">
        <v>26.6</v>
      </c>
      <c r="T35" s="4">
        <v>102</v>
      </c>
      <c r="U35" s="4">
        <v>103</v>
      </c>
      <c r="V35" s="4"/>
      <c r="W35" s="4">
        <v>2</v>
      </c>
      <c r="X35" s="4">
        <v>0.5</v>
      </c>
      <c r="Y35" s="4">
        <v>2.5</v>
      </c>
      <c r="Z35" s="4">
        <v>0.109</v>
      </c>
      <c r="AA35" s="13">
        <f>(I35/TOTAL_BASIC!$D$301)*100</f>
        <v>103.55634804638021</v>
      </c>
      <c r="AB35" s="5">
        <f t="shared" si="3"/>
        <v>1.02</v>
      </c>
      <c r="AC35" s="3">
        <f t="shared" si="1"/>
        <v>-1</v>
      </c>
      <c r="AD35" s="9">
        <f t="shared" si="4"/>
        <v>1.05</v>
      </c>
      <c r="AE35" s="16">
        <f t="shared" si="5"/>
        <v>0.36090225563909772</v>
      </c>
      <c r="AF35" s="16">
        <f t="shared" si="6"/>
        <v>0.82758620689655171</v>
      </c>
      <c r="AG35" s="9"/>
      <c r="AH35" s="9"/>
      <c r="AI35" s="12">
        <f t="shared" si="7"/>
        <v>65.600000000000009</v>
      </c>
      <c r="AJ35" s="12">
        <f t="shared" si="8"/>
        <v>75.5</v>
      </c>
      <c r="AK35" s="12">
        <f t="shared" si="8"/>
        <v>83.2</v>
      </c>
      <c r="AL35" s="12">
        <f t="shared" si="8"/>
        <v>68.7</v>
      </c>
      <c r="AM35" s="12">
        <f t="shared" si="8"/>
        <v>70.199999999999989</v>
      </c>
      <c r="AN35" s="12">
        <f t="shared" si="8"/>
        <v>70.899999999999991</v>
      </c>
      <c r="AO35" s="12">
        <f t="shared" si="14"/>
        <v>83.2</v>
      </c>
      <c r="AP35" s="12">
        <f t="shared" si="14"/>
        <v>61</v>
      </c>
      <c r="AQ35" s="12">
        <f t="shared" si="14"/>
        <v>61</v>
      </c>
      <c r="AR35" s="12">
        <f t="shared" si="14"/>
        <v>37.4</v>
      </c>
      <c r="AS35" s="12">
        <f t="shared" si="15"/>
        <v>41.199999999999996</v>
      </c>
      <c r="AT35" s="12">
        <f t="shared" si="15"/>
        <v>75.5</v>
      </c>
      <c r="AU35" s="12">
        <f t="shared" si="9"/>
        <v>81</v>
      </c>
      <c r="AV35" s="12">
        <f t="shared" si="15"/>
        <v>93.8</v>
      </c>
      <c r="AW35" s="12">
        <f t="shared" si="16"/>
        <v>68.7</v>
      </c>
      <c r="AX35" s="12">
        <f t="shared" si="10"/>
        <v>22.200000000000003</v>
      </c>
      <c r="AY35" s="9"/>
      <c r="AZ35" s="12">
        <f t="shared" si="17"/>
        <v>81.599999999999994</v>
      </c>
      <c r="BA35" s="12">
        <f t="shared" si="13"/>
        <v>42.699999999999996</v>
      </c>
      <c r="BB35" s="12">
        <f t="shared" si="11"/>
        <v>74.8</v>
      </c>
      <c r="BC35" s="12">
        <f t="shared" si="11"/>
        <v>64.8</v>
      </c>
      <c r="BD35" s="12">
        <f t="shared" si="11"/>
        <v>68.7</v>
      </c>
      <c r="BE35" s="12">
        <f t="shared" si="11"/>
        <v>68.7</v>
      </c>
      <c r="BF35" s="12">
        <f t="shared" si="12"/>
        <v>52.6</v>
      </c>
      <c r="BG35" s="12">
        <f t="shared" si="12"/>
        <v>68.7</v>
      </c>
      <c r="BH35" s="12">
        <f t="shared" si="12"/>
        <v>16.7</v>
      </c>
      <c r="BI35" s="12">
        <f t="shared" si="12"/>
        <v>58.699999999999996</v>
      </c>
    </row>
    <row r="36" spans="1:61" ht="15.75" customHeight="1" x14ac:dyDescent="0.25">
      <c r="A36" s="1" t="s">
        <v>134</v>
      </c>
      <c r="B36" s="3" t="s">
        <v>108</v>
      </c>
      <c r="C36" s="4" t="s">
        <v>110</v>
      </c>
      <c r="D36" s="4">
        <v>31</v>
      </c>
      <c r="E36" s="4">
        <v>889</v>
      </c>
      <c r="F36" s="4">
        <v>31</v>
      </c>
      <c r="G36" s="4">
        <v>889</v>
      </c>
      <c r="H36" s="4">
        <v>30.6</v>
      </c>
      <c r="I36" s="4">
        <v>0.55900000000000005</v>
      </c>
      <c r="J36" s="4">
        <v>0.504</v>
      </c>
      <c r="K36" s="4">
        <v>8.3000000000000004E-2</v>
      </c>
      <c r="L36" s="4">
        <v>0.40799999999999997</v>
      </c>
      <c r="M36" s="4">
        <v>6.2</v>
      </c>
      <c r="N36" s="4">
        <v>17.899999999999999</v>
      </c>
      <c r="O36" s="4">
        <v>23.9</v>
      </c>
      <c r="P36" s="4">
        <v>2.2999999999999998</v>
      </c>
      <c r="Q36" s="4">
        <v>4.8</v>
      </c>
      <c r="R36" s="4">
        <v>12.5</v>
      </c>
      <c r="S36" s="4">
        <v>28.9</v>
      </c>
      <c r="T36" s="4">
        <v>111</v>
      </c>
      <c r="U36" s="4">
        <v>89</v>
      </c>
      <c r="V36" s="4"/>
      <c r="W36" s="4">
        <v>4.0999999999999996</v>
      </c>
      <c r="X36" s="4">
        <v>2.5</v>
      </c>
      <c r="Y36" s="4">
        <v>6.5</v>
      </c>
      <c r="Z36" s="4">
        <v>0.29499999999999998</v>
      </c>
      <c r="AA36" s="13">
        <f>(I36/TOTAL_BASIC!$D$301)*100</f>
        <v>110.26285439605054</v>
      </c>
      <c r="AB36" s="5">
        <f t="shared" si="3"/>
        <v>1.1100000000000001</v>
      </c>
      <c r="AC36" s="3">
        <f t="shared" si="1"/>
        <v>22</v>
      </c>
      <c r="AD36" s="9">
        <f t="shared" si="4"/>
        <v>1.1180000000000001</v>
      </c>
      <c r="AE36" s="16">
        <f t="shared" si="5"/>
        <v>0.82698961937716264</v>
      </c>
      <c r="AF36" s="16">
        <f t="shared" si="6"/>
        <v>1.9119999999999999</v>
      </c>
      <c r="AG36" s="9"/>
      <c r="AH36" s="9"/>
      <c r="AI36" s="12">
        <f t="shared" si="7"/>
        <v>40.400000000000006</v>
      </c>
      <c r="AJ36" s="12">
        <f t="shared" si="8"/>
        <v>74.8</v>
      </c>
      <c r="AK36" s="12">
        <f t="shared" si="8"/>
        <v>100</v>
      </c>
      <c r="AL36" s="12">
        <f t="shared" si="8"/>
        <v>82.399999999999991</v>
      </c>
      <c r="AM36" s="12">
        <f t="shared" si="8"/>
        <v>77</v>
      </c>
      <c r="AN36" s="12">
        <f t="shared" si="8"/>
        <v>35.799999999999997</v>
      </c>
      <c r="AO36" s="12">
        <f t="shared" si="14"/>
        <v>88.5</v>
      </c>
      <c r="AP36" s="12">
        <f t="shared" si="14"/>
        <v>59.5</v>
      </c>
      <c r="AQ36" s="12">
        <f t="shared" si="14"/>
        <v>95.399999999999991</v>
      </c>
      <c r="AR36" s="12">
        <f t="shared" si="14"/>
        <v>88.5</v>
      </c>
      <c r="AS36" s="12">
        <f t="shared" si="15"/>
        <v>71.7</v>
      </c>
      <c r="AT36" s="12">
        <f t="shared" si="15"/>
        <v>96.1</v>
      </c>
      <c r="AU36" s="12">
        <f t="shared" si="9"/>
        <v>77.099999999999994</v>
      </c>
      <c r="AV36" s="12">
        <f t="shared" si="15"/>
        <v>97.7</v>
      </c>
      <c r="AW36" s="12">
        <f t="shared" si="16"/>
        <v>88.5</v>
      </c>
      <c r="AX36" s="12">
        <f t="shared" si="10"/>
        <v>98.5</v>
      </c>
      <c r="AY36" s="9"/>
      <c r="AZ36" s="12">
        <f t="shared" si="17"/>
        <v>96.1</v>
      </c>
      <c r="BA36" s="12">
        <f t="shared" si="13"/>
        <v>97.7</v>
      </c>
      <c r="BB36" s="12">
        <f t="shared" si="11"/>
        <v>96.899999999999991</v>
      </c>
      <c r="BC36" s="12">
        <f t="shared" si="11"/>
        <v>98.4</v>
      </c>
      <c r="BD36" s="12">
        <f t="shared" si="11"/>
        <v>82.399999999999991</v>
      </c>
      <c r="BE36" s="12">
        <f t="shared" si="11"/>
        <v>88.5</v>
      </c>
      <c r="BF36" s="12">
        <f t="shared" si="12"/>
        <v>94.6</v>
      </c>
      <c r="BG36" s="12">
        <f t="shared" si="12"/>
        <v>82.399999999999991</v>
      </c>
      <c r="BH36" s="12">
        <f t="shared" si="12"/>
        <v>69.399999999999991</v>
      </c>
      <c r="BI36" s="12">
        <f t="shared" si="12"/>
        <v>93.8</v>
      </c>
    </row>
    <row r="37" spans="1:61" ht="15.75" customHeight="1" x14ac:dyDescent="0.25">
      <c r="A37" s="1" t="s">
        <v>135</v>
      </c>
      <c r="B37" s="3" t="s">
        <v>122</v>
      </c>
      <c r="C37" s="4" t="s">
        <v>8</v>
      </c>
      <c r="D37" s="4">
        <v>34</v>
      </c>
      <c r="E37" s="4">
        <v>888</v>
      </c>
      <c r="F37" s="4">
        <v>34</v>
      </c>
      <c r="G37" s="4">
        <v>888</v>
      </c>
      <c r="H37" s="4">
        <v>9.8000000000000007</v>
      </c>
      <c r="I37" s="4">
        <v>0.45800000000000002</v>
      </c>
      <c r="J37" s="4">
        <v>0.41899999999999998</v>
      </c>
      <c r="K37" s="4">
        <v>0.151</v>
      </c>
      <c r="L37" s="4">
        <v>0.23799999999999999</v>
      </c>
      <c r="M37" s="4">
        <v>4.7</v>
      </c>
      <c r="N37" s="4">
        <v>8</v>
      </c>
      <c r="O37" s="4">
        <v>9.3000000000000007</v>
      </c>
      <c r="P37" s="4">
        <v>2.2000000000000002</v>
      </c>
      <c r="Q37" s="4">
        <v>1.1000000000000001</v>
      </c>
      <c r="R37" s="4">
        <v>15.9</v>
      </c>
      <c r="S37" s="4">
        <v>11.3</v>
      </c>
      <c r="T37" s="4">
        <v>94</v>
      </c>
      <c r="U37" s="4">
        <v>101</v>
      </c>
      <c r="V37" s="4"/>
      <c r="W37" s="4">
        <v>0.3</v>
      </c>
      <c r="X37" s="4">
        <v>0.8</v>
      </c>
      <c r="Y37" s="4">
        <v>1.1000000000000001</v>
      </c>
      <c r="Z37" s="4">
        <v>4.8000000000000001E-2</v>
      </c>
      <c r="AA37" s="13">
        <f>(I37/TOTAL_BASIC!$D$301)*100</f>
        <v>90.340585533794538</v>
      </c>
      <c r="AB37" s="5">
        <f t="shared" si="3"/>
        <v>0.94</v>
      </c>
      <c r="AC37" s="3">
        <f t="shared" si="1"/>
        <v>-7</v>
      </c>
      <c r="AD37" s="9">
        <f t="shared" si="4"/>
        <v>0.91600000000000004</v>
      </c>
      <c r="AE37" s="16">
        <f t="shared" si="5"/>
        <v>0.82300884955752218</v>
      </c>
      <c r="AF37" s="16">
        <f t="shared" si="6"/>
        <v>0.58490566037735847</v>
      </c>
      <c r="AG37" s="9"/>
      <c r="AH37" s="9"/>
      <c r="AI37" s="12">
        <f t="shared" si="7"/>
        <v>65.600000000000009</v>
      </c>
      <c r="AJ37" s="12">
        <f t="shared" si="8"/>
        <v>74</v>
      </c>
      <c r="AK37" s="12">
        <f t="shared" si="8"/>
        <v>31.2</v>
      </c>
      <c r="AL37" s="12">
        <f t="shared" si="8"/>
        <v>31.2</v>
      </c>
      <c r="AM37" s="12">
        <f t="shared" si="8"/>
        <v>32.800000000000004</v>
      </c>
      <c r="AN37" s="12">
        <f t="shared" si="8"/>
        <v>40.400000000000006</v>
      </c>
      <c r="AO37" s="12">
        <f t="shared" si="14"/>
        <v>45</v>
      </c>
      <c r="AP37" s="12">
        <f t="shared" si="14"/>
        <v>48.8</v>
      </c>
      <c r="AQ37" s="12">
        <f t="shared" si="14"/>
        <v>43.5</v>
      </c>
      <c r="AR37" s="12">
        <f t="shared" si="14"/>
        <v>36.6</v>
      </c>
      <c r="AS37" s="12">
        <f t="shared" si="15"/>
        <v>64.8</v>
      </c>
      <c r="AT37" s="12">
        <f t="shared" si="15"/>
        <v>48</v>
      </c>
      <c r="AU37" s="12">
        <f t="shared" si="9"/>
        <v>56.5</v>
      </c>
      <c r="AV37" s="12">
        <f t="shared" si="15"/>
        <v>6.1</v>
      </c>
      <c r="AW37" s="12">
        <f t="shared" si="16"/>
        <v>41.9</v>
      </c>
      <c r="AX37" s="12">
        <f t="shared" si="10"/>
        <v>42.800000000000004</v>
      </c>
      <c r="AY37" s="9"/>
      <c r="AZ37" s="12">
        <f t="shared" si="17"/>
        <v>44.2</v>
      </c>
      <c r="BA37" s="12">
        <f t="shared" si="13"/>
        <v>57.999999999999993</v>
      </c>
      <c r="BB37" s="12">
        <f t="shared" si="11"/>
        <v>48.8</v>
      </c>
      <c r="BC37" s="12">
        <f t="shared" si="11"/>
        <v>34.300000000000004</v>
      </c>
      <c r="BD37" s="12">
        <f t="shared" si="11"/>
        <v>31.2</v>
      </c>
      <c r="BE37" s="12">
        <f t="shared" si="11"/>
        <v>41.9</v>
      </c>
      <c r="BF37" s="12">
        <f t="shared" si="12"/>
        <v>35.099999999999994</v>
      </c>
      <c r="BG37" s="12">
        <f t="shared" si="12"/>
        <v>31.2</v>
      </c>
      <c r="BH37" s="12">
        <f t="shared" si="12"/>
        <v>67.100000000000009</v>
      </c>
      <c r="BI37" s="12">
        <f t="shared" si="12"/>
        <v>30.5</v>
      </c>
    </row>
    <row r="38" spans="1:61" ht="15.75" customHeight="1" x14ac:dyDescent="0.25">
      <c r="A38" s="1" t="s">
        <v>136</v>
      </c>
      <c r="B38" s="3" t="s">
        <v>104</v>
      </c>
      <c r="C38" s="4" t="s">
        <v>92</v>
      </c>
      <c r="D38" s="4">
        <v>32</v>
      </c>
      <c r="E38" s="4">
        <v>883</v>
      </c>
      <c r="F38" s="4">
        <v>32</v>
      </c>
      <c r="G38" s="4">
        <v>883</v>
      </c>
      <c r="H38" s="4">
        <v>14</v>
      </c>
      <c r="I38" s="4">
        <v>0.44800000000000001</v>
      </c>
      <c r="J38" s="4">
        <v>0.40100000000000002</v>
      </c>
      <c r="K38" s="4">
        <v>1.9E-2</v>
      </c>
      <c r="L38" s="4">
        <v>0.29199999999999998</v>
      </c>
      <c r="M38" s="4">
        <v>8.1</v>
      </c>
      <c r="N38" s="4">
        <v>11.7</v>
      </c>
      <c r="O38" s="4">
        <v>18.2</v>
      </c>
      <c r="P38" s="4">
        <v>1</v>
      </c>
      <c r="Q38" s="4">
        <v>1.8</v>
      </c>
      <c r="R38" s="4">
        <v>16</v>
      </c>
      <c r="S38" s="4">
        <v>25</v>
      </c>
      <c r="T38" s="4">
        <v>90</v>
      </c>
      <c r="U38" s="4">
        <v>101</v>
      </c>
      <c r="V38" s="4"/>
      <c r="W38" s="4">
        <v>-0.1</v>
      </c>
      <c r="X38" s="4">
        <v>0.8</v>
      </c>
      <c r="Y38" s="4">
        <v>0.6</v>
      </c>
      <c r="Z38" s="4">
        <v>2.8000000000000001E-2</v>
      </c>
      <c r="AA38" s="13">
        <f>(I38/TOTAL_BASIC!$D$301)*100</f>
        <v>88.368083666244431</v>
      </c>
      <c r="AB38" s="5">
        <f t="shared" si="3"/>
        <v>0.9</v>
      </c>
      <c r="AC38" s="3">
        <f t="shared" si="1"/>
        <v>-11</v>
      </c>
      <c r="AD38" s="9">
        <f t="shared" si="4"/>
        <v>0.89600000000000002</v>
      </c>
      <c r="AE38" s="16">
        <f t="shared" si="5"/>
        <v>0.72799999999999998</v>
      </c>
      <c r="AF38" s="16">
        <f t="shared" si="6"/>
        <v>1.1375</v>
      </c>
      <c r="AG38" s="9"/>
      <c r="AH38" s="9"/>
      <c r="AI38" s="12">
        <f t="shared" si="7"/>
        <v>45</v>
      </c>
      <c r="AJ38" s="12">
        <f t="shared" si="8"/>
        <v>73.2</v>
      </c>
      <c r="AK38" s="12">
        <f t="shared" si="8"/>
        <v>56.399999999999991</v>
      </c>
      <c r="AL38" s="12">
        <f t="shared" si="8"/>
        <v>25.900000000000002</v>
      </c>
      <c r="AM38" s="12">
        <f t="shared" si="8"/>
        <v>26.700000000000003</v>
      </c>
      <c r="AN38" s="12">
        <f t="shared" si="8"/>
        <v>27.400000000000002</v>
      </c>
      <c r="AO38" s="12">
        <f t="shared" si="14"/>
        <v>57.199999999999996</v>
      </c>
      <c r="AP38" s="12">
        <f t="shared" si="14"/>
        <v>72.5</v>
      </c>
      <c r="AQ38" s="12">
        <f t="shared" si="14"/>
        <v>70.899999999999991</v>
      </c>
      <c r="AR38" s="12">
        <f t="shared" si="14"/>
        <v>77</v>
      </c>
      <c r="AS38" s="12">
        <f t="shared" si="15"/>
        <v>9.1</v>
      </c>
      <c r="AT38" s="12">
        <f t="shared" si="15"/>
        <v>67.900000000000006</v>
      </c>
      <c r="AU38" s="12">
        <f t="shared" si="9"/>
        <v>55.8</v>
      </c>
      <c r="AV38" s="12">
        <f t="shared" si="15"/>
        <v>91.600000000000009</v>
      </c>
      <c r="AW38" s="12">
        <f t="shared" si="16"/>
        <v>26.700000000000003</v>
      </c>
      <c r="AX38" s="12">
        <f t="shared" si="10"/>
        <v>42.800000000000004</v>
      </c>
      <c r="AY38" s="9"/>
      <c r="AZ38" s="12">
        <f t="shared" si="17"/>
        <v>23.599999999999998</v>
      </c>
      <c r="BA38" s="12">
        <f t="shared" si="13"/>
        <v>57.999999999999993</v>
      </c>
      <c r="BB38" s="12">
        <f t="shared" si="11"/>
        <v>35.799999999999997</v>
      </c>
      <c r="BC38" s="12">
        <f t="shared" si="11"/>
        <v>25.900000000000002</v>
      </c>
      <c r="BD38" s="12">
        <f t="shared" si="11"/>
        <v>25.900000000000002</v>
      </c>
      <c r="BE38" s="12">
        <f t="shared" si="11"/>
        <v>26.700000000000003</v>
      </c>
      <c r="BF38" s="12">
        <f t="shared" si="12"/>
        <v>25.900000000000002</v>
      </c>
      <c r="BG38" s="12">
        <f t="shared" si="12"/>
        <v>25.900000000000002</v>
      </c>
      <c r="BH38" s="12">
        <f t="shared" si="12"/>
        <v>57.199999999999996</v>
      </c>
      <c r="BI38" s="12">
        <f t="shared" si="12"/>
        <v>77.8</v>
      </c>
    </row>
    <row r="39" spans="1:61" ht="15.75" customHeight="1" x14ac:dyDescent="0.25">
      <c r="A39" s="1" t="s">
        <v>137</v>
      </c>
      <c r="B39" s="3" t="s">
        <v>89</v>
      </c>
      <c r="C39" s="4" t="s">
        <v>92</v>
      </c>
      <c r="D39" s="4">
        <v>34</v>
      </c>
      <c r="E39" s="4">
        <v>881</v>
      </c>
      <c r="F39" s="4">
        <v>34</v>
      </c>
      <c r="G39" s="4">
        <v>881</v>
      </c>
      <c r="H39" s="4">
        <v>14</v>
      </c>
      <c r="I39" s="4">
        <v>0.50600000000000001</v>
      </c>
      <c r="J39" s="4">
        <v>0.437</v>
      </c>
      <c r="K39" s="4">
        <v>0.21199999999999999</v>
      </c>
      <c r="L39" s="4">
        <v>0.374</v>
      </c>
      <c r="M39" s="4">
        <v>4.4000000000000004</v>
      </c>
      <c r="N39" s="4">
        <v>11</v>
      </c>
      <c r="O39" s="4">
        <v>10.7</v>
      </c>
      <c r="P39" s="4">
        <v>2.2999999999999998</v>
      </c>
      <c r="Q39" s="4">
        <v>0.7</v>
      </c>
      <c r="R39" s="4">
        <v>15</v>
      </c>
      <c r="S39" s="4">
        <v>20.9</v>
      </c>
      <c r="T39" s="4">
        <v>98</v>
      </c>
      <c r="U39" s="4">
        <v>97</v>
      </c>
      <c r="V39" s="4"/>
      <c r="W39" s="4">
        <v>1.1000000000000001</v>
      </c>
      <c r="X39" s="4">
        <v>1.4</v>
      </c>
      <c r="Y39" s="4">
        <v>2.4</v>
      </c>
      <c r="Z39" s="4">
        <v>0.111</v>
      </c>
      <c r="AA39" s="13">
        <f>(I39/TOTAL_BASIC!$D$301)*100</f>
        <v>99.808594498035006</v>
      </c>
      <c r="AB39" s="5">
        <f t="shared" si="3"/>
        <v>0.98</v>
      </c>
      <c r="AC39" s="3">
        <f t="shared" si="1"/>
        <v>1</v>
      </c>
      <c r="AD39" s="9">
        <f t="shared" si="4"/>
        <v>1.012</v>
      </c>
      <c r="AE39" s="16">
        <f t="shared" si="5"/>
        <v>0.51196172248803828</v>
      </c>
      <c r="AF39" s="16">
        <f t="shared" si="6"/>
        <v>0.71333333333333326</v>
      </c>
      <c r="AG39" s="9"/>
      <c r="AH39" s="9"/>
      <c r="AI39" s="12">
        <f t="shared" si="7"/>
        <v>65.600000000000009</v>
      </c>
      <c r="AJ39" s="12">
        <f t="shared" si="8"/>
        <v>72.5</v>
      </c>
      <c r="AK39" s="12">
        <f t="shared" si="8"/>
        <v>56.399999999999991</v>
      </c>
      <c r="AL39" s="12">
        <f t="shared" si="8"/>
        <v>57.999999999999993</v>
      </c>
      <c r="AM39" s="12">
        <f t="shared" si="8"/>
        <v>41.199999999999996</v>
      </c>
      <c r="AN39" s="12">
        <f t="shared" si="8"/>
        <v>49.6</v>
      </c>
      <c r="AO39" s="12">
        <f t="shared" si="14"/>
        <v>82.399999999999991</v>
      </c>
      <c r="AP39" s="12">
        <f t="shared" si="14"/>
        <v>46.5</v>
      </c>
      <c r="AQ39" s="12">
        <f t="shared" si="14"/>
        <v>64.8</v>
      </c>
      <c r="AR39" s="12">
        <f t="shared" si="14"/>
        <v>44.2</v>
      </c>
      <c r="AS39" s="12">
        <f t="shared" si="15"/>
        <v>71.7</v>
      </c>
      <c r="AT39" s="12">
        <f t="shared" si="15"/>
        <v>28.199999999999996</v>
      </c>
      <c r="AU39" s="12">
        <f t="shared" si="9"/>
        <v>63.4</v>
      </c>
      <c r="AV39" s="12">
        <f t="shared" si="15"/>
        <v>64.8</v>
      </c>
      <c r="AW39" s="12">
        <f t="shared" si="16"/>
        <v>51.9</v>
      </c>
      <c r="AX39" s="12">
        <f t="shared" si="10"/>
        <v>76.400000000000006</v>
      </c>
      <c r="AY39" s="9"/>
      <c r="AZ39" s="12">
        <f t="shared" si="17"/>
        <v>67.900000000000006</v>
      </c>
      <c r="BA39" s="12">
        <f t="shared" si="13"/>
        <v>87</v>
      </c>
      <c r="BB39" s="12">
        <f t="shared" si="11"/>
        <v>72.5</v>
      </c>
      <c r="BC39" s="12">
        <f t="shared" si="11"/>
        <v>66.400000000000006</v>
      </c>
      <c r="BD39" s="12">
        <f t="shared" si="11"/>
        <v>57.999999999999993</v>
      </c>
      <c r="BE39" s="12">
        <f t="shared" si="11"/>
        <v>51.9</v>
      </c>
      <c r="BF39" s="12">
        <f t="shared" si="12"/>
        <v>59.5</v>
      </c>
      <c r="BG39" s="12">
        <f t="shared" si="12"/>
        <v>57.999999999999993</v>
      </c>
      <c r="BH39" s="12">
        <f t="shared" si="12"/>
        <v>35.799999999999997</v>
      </c>
      <c r="BI39" s="12">
        <f t="shared" si="12"/>
        <v>46.5</v>
      </c>
    </row>
    <row r="40" spans="1:61" ht="15.75" customHeight="1" x14ac:dyDescent="0.25">
      <c r="A40" s="1" t="s">
        <v>138</v>
      </c>
      <c r="B40" s="3" t="s">
        <v>108</v>
      </c>
      <c r="C40" s="4" t="s">
        <v>92</v>
      </c>
      <c r="D40" s="4">
        <v>34</v>
      </c>
      <c r="E40" s="4">
        <v>878</v>
      </c>
      <c r="F40" s="4">
        <v>34</v>
      </c>
      <c r="G40" s="4">
        <v>878</v>
      </c>
      <c r="H40" s="4">
        <v>27.3</v>
      </c>
      <c r="I40" s="4">
        <v>0.623</v>
      </c>
      <c r="J40" s="4">
        <v>0.56899999999999995</v>
      </c>
      <c r="K40" s="4">
        <v>1.4999999999999999E-2</v>
      </c>
      <c r="L40" s="4">
        <v>0.38900000000000001</v>
      </c>
      <c r="M40" s="4">
        <v>13.6</v>
      </c>
      <c r="N40" s="4">
        <v>17.399999999999999</v>
      </c>
      <c r="O40" s="4">
        <v>9.1</v>
      </c>
      <c r="P40" s="4">
        <v>2.9</v>
      </c>
      <c r="Q40" s="4">
        <v>2.8</v>
      </c>
      <c r="R40" s="4">
        <v>14.3</v>
      </c>
      <c r="S40" s="4">
        <v>23.8</v>
      </c>
      <c r="T40" s="4">
        <v>118</v>
      </c>
      <c r="U40" s="4">
        <v>91</v>
      </c>
      <c r="V40" s="4"/>
      <c r="W40" s="4">
        <v>4.4000000000000004</v>
      </c>
      <c r="X40" s="4">
        <v>2.1</v>
      </c>
      <c r="Y40" s="4">
        <v>6.5</v>
      </c>
      <c r="Z40" s="4">
        <v>0.29799999999999999</v>
      </c>
      <c r="AA40" s="13">
        <f>(I40/TOTAL_BASIC!$D$301)*100</f>
        <v>122.88686634837116</v>
      </c>
      <c r="AB40" s="5">
        <f t="shared" si="3"/>
        <v>1.18</v>
      </c>
      <c r="AC40" s="3">
        <f t="shared" si="1"/>
        <v>27</v>
      </c>
      <c r="AD40" s="9">
        <f t="shared" si="4"/>
        <v>1.246</v>
      </c>
      <c r="AE40" s="16">
        <f t="shared" si="5"/>
        <v>0.38235294117647056</v>
      </c>
      <c r="AF40" s="16">
        <f t="shared" si="6"/>
        <v>0.63636363636363635</v>
      </c>
      <c r="AG40" s="9"/>
      <c r="AH40" s="9"/>
      <c r="AI40" s="12">
        <f t="shared" si="7"/>
        <v>65.600000000000009</v>
      </c>
      <c r="AJ40" s="12">
        <f t="shared" si="8"/>
        <v>71.7</v>
      </c>
      <c r="AK40" s="12">
        <f t="shared" si="8"/>
        <v>96.1</v>
      </c>
      <c r="AL40" s="12">
        <f t="shared" si="8"/>
        <v>96.1</v>
      </c>
      <c r="AM40" s="12">
        <f t="shared" si="8"/>
        <v>96.1</v>
      </c>
      <c r="AN40" s="12">
        <f t="shared" si="8"/>
        <v>26.700000000000003</v>
      </c>
      <c r="AO40" s="12">
        <f t="shared" si="14"/>
        <v>84.7</v>
      </c>
      <c r="AP40" s="12">
        <f t="shared" si="14"/>
        <v>99.2</v>
      </c>
      <c r="AQ40" s="12">
        <f t="shared" si="14"/>
        <v>92.300000000000011</v>
      </c>
      <c r="AR40" s="12">
        <f t="shared" si="14"/>
        <v>33.5</v>
      </c>
      <c r="AS40" s="12">
        <f t="shared" si="15"/>
        <v>87.7</v>
      </c>
      <c r="AT40" s="12">
        <f t="shared" si="15"/>
        <v>83.2</v>
      </c>
      <c r="AU40" s="12">
        <f t="shared" si="9"/>
        <v>65.699999999999989</v>
      </c>
      <c r="AV40" s="12">
        <f t="shared" si="15"/>
        <v>87</v>
      </c>
      <c r="AW40" s="12">
        <f t="shared" si="16"/>
        <v>96.899999999999991</v>
      </c>
      <c r="AX40" s="12">
        <f t="shared" si="10"/>
        <v>96.2</v>
      </c>
      <c r="AY40" s="9"/>
      <c r="AZ40" s="12">
        <f t="shared" si="17"/>
        <v>96.899999999999991</v>
      </c>
      <c r="BA40" s="12">
        <f t="shared" si="13"/>
        <v>94.6</v>
      </c>
      <c r="BB40" s="12">
        <f t="shared" si="11"/>
        <v>96.899999999999991</v>
      </c>
      <c r="BC40" s="12">
        <f t="shared" si="11"/>
        <v>99.2</v>
      </c>
      <c r="BD40" s="12">
        <f t="shared" si="11"/>
        <v>96.1</v>
      </c>
      <c r="BE40" s="12">
        <f t="shared" si="11"/>
        <v>96.899999999999991</v>
      </c>
      <c r="BF40" s="12">
        <f t="shared" si="12"/>
        <v>97.7</v>
      </c>
      <c r="BG40" s="12">
        <f t="shared" si="12"/>
        <v>96.1</v>
      </c>
      <c r="BH40" s="12">
        <f t="shared" si="12"/>
        <v>21.3</v>
      </c>
      <c r="BI40" s="12">
        <f t="shared" si="12"/>
        <v>37.4</v>
      </c>
    </row>
    <row r="41" spans="1:61" ht="15.75" customHeight="1" x14ac:dyDescent="0.25">
      <c r="A41" s="1" t="s">
        <v>139</v>
      </c>
      <c r="B41" s="3" t="s">
        <v>95</v>
      </c>
      <c r="C41" s="4" t="s">
        <v>8</v>
      </c>
      <c r="D41" s="4">
        <v>32</v>
      </c>
      <c r="E41" s="4">
        <v>877</v>
      </c>
      <c r="F41" s="4">
        <v>32</v>
      </c>
      <c r="G41" s="4">
        <v>877</v>
      </c>
      <c r="H41" s="4">
        <v>14.6</v>
      </c>
      <c r="I41" s="4">
        <v>0.53500000000000003</v>
      </c>
      <c r="J41" s="4">
        <v>0.46800000000000003</v>
      </c>
      <c r="K41" s="4">
        <v>0.214</v>
      </c>
      <c r="L41" s="4">
        <v>0.33100000000000002</v>
      </c>
      <c r="M41" s="4">
        <v>1.9</v>
      </c>
      <c r="N41" s="4">
        <v>6</v>
      </c>
      <c r="O41" s="4">
        <v>29</v>
      </c>
      <c r="P41" s="4">
        <v>1.8</v>
      </c>
      <c r="Q41" s="4">
        <v>0.3</v>
      </c>
      <c r="R41" s="4">
        <v>21.8</v>
      </c>
      <c r="S41" s="4">
        <v>21.3</v>
      </c>
      <c r="T41" s="4">
        <v>99</v>
      </c>
      <c r="U41" s="4">
        <v>103</v>
      </c>
      <c r="V41" s="4"/>
      <c r="W41" s="4">
        <v>1.3</v>
      </c>
      <c r="X41" s="4">
        <v>0.5</v>
      </c>
      <c r="Y41" s="4">
        <v>1.8</v>
      </c>
      <c r="Z41" s="4">
        <v>0.08</v>
      </c>
      <c r="AA41" s="13">
        <f>(I41/TOTAL_BASIC!$D$301)*100</f>
        <v>105.5288499139303</v>
      </c>
      <c r="AB41" s="5">
        <f t="shared" si="3"/>
        <v>0.99</v>
      </c>
      <c r="AC41" s="3">
        <f t="shared" si="1"/>
        <v>-4</v>
      </c>
      <c r="AD41" s="9">
        <f t="shared" si="4"/>
        <v>1.07</v>
      </c>
      <c r="AE41" s="16">
        <f t="shared" si="5"/>
        <v>1.3615023474178403</v>
      </c>
      <c r="AF41" s="16">
        <f t="shared" si="6"/>
        <v>1.3302752293577982</v>
      </c>
      <c r="AG41" s="9"/>
      <c r="AH41" s="9"/>
      <c r="AI41" s="12">
        <f t="shared" si="7"/>
        <v>45</v>
      </c>
      <c r="AJ41" s="12">
        <f t="shared" si="8"/>
        <v>70.899999999999991</v>
      </c>
      <c r="AK41" s="12">
        <f t="shared" si="8"/>
        <v>61</v>
      </c>
      <c r="AL41" s="12">
        <f t="shared" si="8"/>
        <v>74</v>
      </c>
      <c r="AM41" s="12">
        <f t="shared" si="8"/>
        <v>64.8</v>
      </c>
      <c r="AN41" s="12">
        <f t="shared" si="8"/>
        <v>50.3</v>
      </c>
      <c r="AO41" s="12">
        <f t="shared" si="14"/>
        <v>67.100000000000009</v>
      </c>
      <c r="AP41" s="12">
        <f t="shared" si="14"/>
        <v>12.2</v>
      </c>
      <c r="AQ41" s="12">
        <f t="shared" si="14"/>
        <v>22.1</v>
      </c>
      <c r="AR41" s="12">
        <f t="shared" si="14"/>
        <v>96.899999999999991</v>
      </c>
      <c r="AS41" s="12">
        <f t="shared" si="15"/>
        <v>48.8</v>
      </c>
      <c r="AT41" s="12">
        <f t="shared" si="15"/>
        <v>6.8000000000000007</v>
      </c>
      <c r="AU41" s="12">
        <f t="shared" si="9"/>
        <v>16.799999999999997</v>
      </c>
      <c r="AV41" s="12">
        <f t="shared" si="15"/>
        <v>69.399999999999991</v>
      </c>
      <c r="AW41" s="12">
        <f t="shared" si="16"/>
        <v>55.7</v>
      </c>
      <c r="AX41" s="12">
        <f t="shared" si="10"/>
        <v>22.200000000000003</v>
      </c>
      <c r="AY41" s="9"/>
      <c r="AZ41" s="12">
        <f t="shared" si="17"/>
        <v>72.5</v>
      </c>
      <c r="BA41" s="12">
        <f t="shared" si="13"/>
        <v>42.699999999999996</v>
      </c>
      <c r="BB41" s="12">
        <f t="shared" si="11"/>
        <v>66.400000000000006</v>
      </c>
      <c r="BC41" s="12">
        <f t="shared" si="11"/>
        <v>48.8</v>
      </c>
      <c r="BD41" s="12">
        <f t="shared" si="11"/>
        <v>74</v>
      </c>
      <c r="BE41" s="12">
        <f t="shared" si="11"/>
        <v>55.7</v>
      </c>
      <c r="BF41" s="12">
        <f t="shared" si="12"/>
        <v>45</v>
      </c>
      <c r="BG41" s="12">
        <f t="shared" si="12"/>
        <v>74</v>
      </c>
      <c r="BH41" s="12">
        <f t="shared" si="12"/>
        <v>94.6</v>
      </c>
      <c r="BI41" s="12">
        <f t="shared" si="12"/>
        <v>83.2</v>
      </c>
    </row>
    <row r="42" spans="1:61" ht="15.75" customHeight="1" x14ac:dyDescent="0.25">
      <c r="A42" s="1" t="s">
        <v>140</v>
      </c>
      <c r="B42" s="3" t="s">
        <v>141</v>
      </c>
      <c r="C42" s="4" t="s">
        <v>8</v>
      </c>
      <c r="D42" s="4">
        <v>32</v>
      </c>
      <c r="E42" s="4">
        <v>876</v>
      </c>
      <c r="F42" s="4">
        <v>32</v>
      </c>
      <c r="G42" s="4">
        <v>876</v>
      </c>
      <c r="H42" s="4">
        <v>12.3</v>
      </c>
      <c r="I42" s="4">
        <v>0.51</v>
      </c>
      <c r="J42" s="4">
        <v>0.46300000000000002</v>
      </c>
      <c r="K42" s="4">
        <v>0.55300000000000005</v>
      </c>
      <c r="L42" s="4">
        <v>0.27100000000000002</v>
      </c>
      <c r="M42" s="4">
        <v>3.5</v>
      </c>
      <c r="N42" s="4">
        <v>6.3</v>
      </c>
      <c r="O42" s="4">
        <v>13.3</v>
      </c>
      <c r="P42" s="4">
        <v>2.2999999999999998</v>
      </c>
      <c r="Q42" s="4">
        <v>0.6</v>
      </c>
      <c r="R42" s="4">
        <v>15.7</v>
      </c>
      <c r="S42" s="4">
        <v>19.399999999999999</v>
      </c>
      <c r="T42" s="4">
        <v>99</v>
      </c>
      <c r="U42" s="4">
        <v>104</v>
      </c>
      <c r="V42" s="4"/>
      <c r="W42" s="4">
        <v>1.1000000000000001</v>
      </c>
      <c r="X42" s="4">
        <v>0.4</v>
      </c>
      <c r="Y42" s="4">
        <v>1.4</v>
      </c>
      <c r="Z42" s="4">
        <v>6.5000000000000002E-2</v>
      </c>
      <c r="AA42" s="13">
        <f>(I42/TOTAL_BASIC!$D$301)*100</f>
        <v>100.59759524505505</v>
      </c>
      <c r="AB42" s="5">
        <f t="shared" si="3"/>
        <v>0.99</v>
      </c>
      <c r="AC42" s="3">
        <f t="shared" si="1"/>
        <v>-5</v>
      </c>
      <c r="AD42" s="9">
        <f t="shared" si="4"/>
        <v>1.02</v>
      </c>
      <c r="AE42" s="16">
        <f t="shared" si="5"/>
        <v>0.68556701030927847</v>
      </c>
      <c r="AF42" s="16">
        <f t="shared" si="6"/>
        <v>0.84713375796178347</v>
      </c>
      <c r="AG42" s="9"/>
      <c r="AH42" s="9"/>
      <c r="AI42" s="12">
        <f t="shared" si="7"/>
        <v>45</v>
      </c>
      <c r="AJ42" s="12">
        <f t="shared" si="8"/>
        <v>70.199999999999989</v>
      </c>
      <c r="AK42" s="12">
        <f t="shared" si="8"/>
        <v>47.3</v>
      </c>
      <c r="AL42" s="12">
        <f t="shared" si="8"/>
        <v>63.3</v>
      </c>
      <c r="AM42" s="12">
        <f t="shared" si="8"/>
        <v>61.8</v>
      </c>
      <c r="AN42" s="12">
        <f t="shared" si="8"/>
        <v>94.6</v>
      </c>
      <c r="AO42" s="12">
        <f t="shared" si="14"/>
        <v>51.9</v>
      </c>
      <c r="AP42" s="12">
        <f t="shared" si="14"/>
        <v>34.300000000000004</v>
      </c>
      <c r="AQ42" s="12">
        <f t="shared" si="14"/>
        <v>29.7</v>
      </c>
      <c r="AR42" s="12">
        <f t="shared" si="14"/>
        <v>62.5</v>
      </c>
      <c r="AS42" s="12">
        <f t="shared" si="15"/>
        <v>71.7</v>
      </c>
      <c r="AT42" s="12">
        <f t="shared" si="15"/>
        <v>22.900000000000002</v>
      </c>
      <c r="AU42" s="12">
        <f t="shared" si="9"/>
        <v>58.800000000000004</v>
      </c>
      <c r="AV42" s="12">
        <f t="shared" si="15"/>
        <v>51.9</v>
      </c>
      <c r="AW42" s="12">
        <f t="shared" si="16"/>
        <v>55.7</v>
      </c>
      <c r="AX42" s="12">
        <f t="shared" si="10"/>
        <v>15.299999999999997</v>
      </c>
      <c r="AY42" s="9"/>
      <c r="AZ42" s="12">
        <f t="shared" si="17"/>
        <v>67.900000000000006</v>
      </c>
      <c r="BA42" s="12">
        <f t="shared" si="13"/>
        <v>35.799999999999997</v>
      </c>
      <c r="BB42" s="12">
        <f t="shared" si="11"/>
        <v>59.5</v>
      </c>
      <c r="BC42" s="12">
        <f t="shared" si="11"/>
        <v>41.9</v>
      </c>
      <c r="BD42" s="12">
        <f t="shared" si="11"/>
        <v>63.3</v>
      </c>
      <c r="BE42" s="12">
        <f t="shared" si="11"/>
        <v>55.7</v>
      </c>
      <c r="BF42" s="12">
        <f t="shared" si="12"/>
        <v>41.9</v>
      </c>
      <c r="BG42" s="12">
        <f t="shared" si="12"/>
        <v>63.3</v>
      </c>
      <c r="BH42" s="12">
        <f t="shared" si="12"/>
        <v>54.900000000000006</v>
      </c>
      <c r="BI42" s="12">
        <f t="shared" si="12"/>
        <v>60.3</v>
      </c>
    </row>
    <row r="43" spans="1:61" ht="15.75" customHeight="1" x14ac:dyDescent="0.25">
      <c r="A43" s="1" t="s">
        <v>142</v>
      </c>
      <c r="B43" s="3" t="s">
        <v>141</v>
      </c>
      <c r="C43" s="4" t="s">
        <v>92</v>
      </c>
      <c r="D43" s="4">
        <v>29</v>
      </c>
      <c r="E43" s="4">
        <v>875</v>
      </c>
      <c r="F43" s="4">
        <v>29</v>
      </c>
      <c r="G43" s="4">
        <v>875</v>
      </c>
      <c r="H43" s="4">
        <v>20.9</v>
      </c>
      <c r="I43" s="4">
        <v>0.52100000000000002</v>
      </c>
      <c r="J43" s="4">
        <v>0.44700000000000001</v>
      </c>
      <c r="K43" s="4">
        <v>8.9999999999999993E-3</v>
      </c>
      <c r="L43" s="4">
        <v>0.51</v>
      </c>
      <c r="M43" s="4">
        <v>12.3</v>
      </c>
      <c r="N43" s="4">
        <v>17.600000000000001</v>
      </c>
      <c r="O43" s="4">
        <v>7.8</v>
      </c>
      <c r="P43" s="4">
        <v>1.8</v>
      </c>
      <c r="Q43" s="4">
        <v>1.1000000000000001</v>
      </c>
      <c r="R43" s="4">
        <v>12.6</v>
      </c>
      <c r="S43" s="4">
        <v>24.6</v>
      </c>
      <c r="T43" s="4">
        <v>106</v>
      </c>
      <c r="U43" s="4">
        <v>100</v>
      </c>
      <c r="V43" s="4"/>
      <c r="W43" s="4">
        <v>2.5</v>
      </c>
      <c r="X43" s="4">
        <v>0.8</v>
      </c>
      <c r="Y43" s="4">
        <v>3.4</v>
      </c>
      <c r="Z43" s="4">
        <v>0.154</v>
      </c>
      <c r="AA43" s="13">
        <f>(I43/TOTAL_BASIC!$D$301)*100</f>
        <v>102.76734729936017</v>
      </c>
      <c r="AB43" s="5">
        <f t="shared" si="3"/>
        <v>1.06</v>
      </c>
      <c r="AC43" s="3">
        <f t="shared" si="1"/>
        <v>6</v>
      </c>
      <c r="AD43" s="9">
        <f t="shared" si="4"/>
        <v>1.042</v>
      </c>
      <c r="AE43" s="16">
        <f t="shared" si="5"/>
        <v>0.31707317073170727</v>
      </c>
      <c r="AF43" s="16">
        <f t="shared" si="6"/>
        <v>0.61904761904761907</v>
      </c>
      <c r="AG43" s="9"/>
      <c r="AH43" s="9"/>
      <c r="AI43" s="12">
        <f t="shared" si="7"/>
        <v>29.7</v>
      </c>
      <c r="AJ43" s="12">
        <f t="shared" si="8"/>
        <v>69.399999999999991</v>
      </c>
      <c r="AK43" s="12">
        <f t="shared" si="8"/>
        <v>87.7</v>
      </c>
      <c r="AL43" s="12">
        <f t="shared" si="8"/>
        <v>67.100000000000009</v>
      </c>
      <c r="AM43" s="12">
        <f t="shared" si="8"/>
        <v>48</v>
      </c>
      <c r="AN43" s="12">
        <f t="shared" si="8"/>
        <v>22.900000000000002</v>
      </c>
      <c r="AO43" s="12">
        <f t="shared" si="14"/>
        <v>95.399999999999991</v>
      </c>
      <c r="AP43" s="12">
        <f t="shared" si="14"/>
        <v>93.8</v>
      </c>
      <c r="AQ43" s="12">
        <f t="shared" si="14"/>
        <v>93.8</v>
      </c>
      <c r="AR43" s="12">
        <f t="shared" si="14"/>
        <v>21.3</v>
      </c>
      <c r="AS43" s="12">
        <f t="shared" si="15"/>
        <v>48.8</v>
      </c>
      <c r="AT43" s="12">
        <f t="shared" si="15"/>
        <v>48</v>
      </c>
      <c r="AU43" s="12">
        <f t="shared" si="9"/>
        <v>76.400000000000006</v>
      </c>
      <c r="AV43" s="12">
        <f t="shared" si="15"/>
        <v>90.8</v>
      </c>
      <c r="AW43" s="12">
        <f t="shared" si="16"/>
        <v>74.8</v>
      </c>
      <c r="AX43" s="12">
        <f t="shared" si="10"/>
        <v>54.199999999999996</v>
      </c>
      <c r="AY43" s="9"/>
      <c r="AZ43" s="12">
        <f t="shared" si="17"/>
        <v>85.399999999999991</v>
      </c>
      <c r="BA43" s="12">
        <f t="shared" si="13"/>
        <v>57.999999999999993</v>
      </c>
      <c r="BB43" s="12">
        <f t="shared" si="11"/>
        <v>85.399999999999991</v>
      </c>
      <c r="BC43" s="12">
        <f t="shared" si="11"/>
        <v>80.900000000000006</v>
      </c>
      <c r="BD43" s="12">
        <f t="shared" si="11"/>
        <v>67.100000000000009</v>
      </c>
      <c r="BE43" s="12">
        <f t="shared" si="11"/>
        <v>74.8</v>
      </c>
      <c r="BF43" s="12">
        <f t="shared" si="12"/>
        <v>76.3</v>
      </c>
      <c r="BG43" s="12">
        <f t="shared" si="12"/>
        <v>67.100000000000009</v>
      </c>
      <c r="BH43" s="12">
        <f t="shared" si="12"/>
        <v>12.2</v>
      </c>
      <c r="BI43" s="12">
        <f t="shared" si="12"/>
        <v>34.300000000000004</v>
      </c>
    </row>
    <row r="44" spans="1:61" ht="15.75" customHeight="1" x14ac:dyDescent="0.25">
      <c r="A44" s="1" t="s">
        <v>143</v>
      </c>
      <c r="B44" s="3" t="s">
        <v>95</v>
      </c>
      <c r="C44" s="4" t="s">
        <v>8</v>
      </c>
      <c r="D44" s="4">
        <v>34</v>
      </c>
      <c r="E44" s="4">
        <v>870</v>
      </c>
      <c r="F44" s="4">
        <v>34</v>
      </c>
      <c r="G44" s="4">
        <v>870</v>
      </c>
      <c r="H44" s="4">
        <v>9.6999999999999993</v>
      </c>
      <c r="I44" s="4">
        <v>0.43099999999999999</v>
      </c>
      <c r="J44" s="4">
        <v>0.38600000000000001</v>
      </c>
      <c r="K44" s="4">
        <v>0.28299999999999997</v>
      </c>
      <c r="L44" s="4">
        <v>0.192</v>
      </c>
      <c r="M44" s="4">
        <v>3.1</v>
      </c>
      <c r="N44" s="4">
        <v>12.3</v>
      </c>
      <c r="O44" s="4">
        <v>11.7</v>
      </c>
      <c r="P44" s="4">
        <v>1.8</v>
      </c>
      <c r="Q44" s="4">
        <v>0.8</v>
      </c>
      <c r="R44" s="4">
        <v>16.399999999999999</v>
      </c>
      <c r="S44" s="4">
        <v>14.2</v>
      </c>
      <c r="T44" s="4">
        <v>88</v>
      </c>
      <c r="U44" s="4">
        <v>99</v>
      </c>
      <c r="V44" s="4"/>
      <c r="W44" s="4">
        <v>-0.3</v>
      </c>
      <c r="X44" s="4">
        <v>1</v>
      </c>
      <c r="Y44" s="4">
        <v>0.7</v>
      </c>
      <c r="Z44" s="4">
        <v>3.3000000000000002E-2</v>
      </c>
      <c r="AA44" s="13">
        <f>(I44/TOTAL_BASIC!$D$301)*100</f>
        <v>85.014830491409271</v>
      </c>
      <c r="AB44" s="5">
        <f t="shared" si="3"/>
        <v>0.88</v>
      </c>
      <c r="AC44" s="3">
        <f t="shared" si="1"/>
        <v>-11</v>
      </c>
      <c r="AD44" s="9">
        <f t="shared" si="4"/>
        <v>0.86199999999999999</v>
      </c>
      <c r="AE44" s="16">
        <f t="shared" si="5"/>
        <v>0.823943661971831</v>
      </c>
      <c r="AF44" s="16">
        <f t="shared" si="6"/>
        <v>0.71341463414634143</v>
      </c>
      <c r="AG44" s="9"/>
      <c r="AH44" s="9"/>
      <c r="AI44" s="12">
        <f t="shared" si="7"/>
        <v>65.600000000000009</v>
      </c>
      <c r="AJ44" s="12">
        <f t="shared" si="8"/>
        <v>68.7</v>
      </c>
      <c r="AK44" s="12">
        <f t="shared" si="8"/>
        <v>28.199999999999996</v>
      </c>
      <c r="AL44" s="12">
        <f t="shared" si="8"/>
        <v>16</v>
      </c>
      <c r="AM44" s="12">
        <f t="shared" si="8"/>
        <v>16.7</v>
      </c>
      <c r="AN44" s="12">
        <f t="shared" si="8"/>
        <v>64.8</v>
      </c>
      <c r="AO44" s="12">
        <f t="shared" si="14"/>
        <v>31.2</v>
      </c>
      <c r="AP44" s="12">
        <f t="shared" si="14"/>
        <v>25.1</v>
      </c>
      <c r="AQ44" s="12">
        <f t="shared" si="14"/>
        <v>73.2</v>
      </c>
      <c r="AR44" s="12">
        <f t="shared" si="14"/>
        <v>51.1</v>
      </c>
      <c r="AS44" s="12">
        <f t="shared" si="15"/>
        <v>48.8</v>
      </c>
      <c r="AT44" s="12">
        <f t="shared" si="15"/>
        <v>34.300000000000004</v>
      </c>
      <c r="AU44" s="12">
        <f t="shared" si="9"/>
        <v>51.2</v>
      </c>
      <c r="AV44" s="12">
        <f t="shared" si="15"/>
        <v>18.3</v>
      </c>
      <c r="AW44" s="12">
        <f t="shared" si="16"/>
        <v>23.599999999999998</v>
      </c>
      <c r="AX44" s="12">
        <f t="shared" si="10"/>
        <v>63.4</v>
      </c>
      <c r="AY44" s="9"/>
      <c r="AZ44" s="12">
        <f t="shared" si="17"/>
        <v>10.6</v>
      </c>
      <c r="BA44" s="12">
        <f t="shared" si="13"/>
        <v>73.2</v>
      </c>
      <c r="BB44" s="12">
        <f t="shared" si="11"/>
        <v>38.9</v>
      </c>
      <c r="BC44" s="12">
        <f t="shared" si="11"/>
        <v>28.199999999999996</v>
      </c>
      <c r="BD44" s="12">
        <f t="shared" si="11"/>
        <v>16</v>
      </c>
      <c r="BE44" s="12">
        <f t="shared" si="11"/>
        <v>23.599999999999998</v>
      </c>
      <c r="BF44" s="12">
        <f t="shared" si="12"/>
        <v>25.900000000000002</v>
      </c>
      <c r="BG44" s="12">
        <f t="shared" si="12"/>
        <v>16</v>
      </c>
      <c r="BH44" s="12">
        <f t="shared" si="12"/>
        <v>67.900000000000006</v>
      </c>
      <c r="BI44" s="12">
        <f t="shared" si="12"/>
        <v>47.3</v>
      </c>
    </row>
    <row r="45" spans="1:61" ht="15.75" customHeight="1" x14ac:dyDescent="0.25">
      <c r="A45" s="1" t="s">
        <v>144</v>
      </c>
      <c r="B45" s="3" t="s">
        <v>122</v>
      </c>
      <c r="C45" s="4" t="s">
        <v>92</v>
      </c>
      <c r="D45" s="4">
        <v>34</v>
      </c>
      <c r="E45" s="4">
        <v>864</v>
      </c>
      <c r="F45" s="4">
        <v>34</v>
      </c>
      <c r="G45" s="4">
        <v>864</v>
      </c>
      <c r="H45" s="4">
        <v>15.9</v>
      </c>
      <c r="I45" s="4">
        <v>0.51800000000000002</v>
      </c>
      <c r="J45" s="4">
        <v>0.46700000000000003</v>
      </c>
      <c r="K45" s="4">
        <v>0.159</v>
      </c>
      <c r="L45" s="4">
        <v>0.36599999999999999</v>
      </c>
      <c r="M45" s="4">
        <v>7.7</v>
      </c>
      <c r="N45" s="4">
        <v>11.1</v>
      </c>
      <c r="O45" s="4">
        <v>6.6</v>
      </c>
      <c r="P45" s="4">
        <v>2.5</v>
      </c>
      <c r="Q45" s="4">
        <v>1.9</v>
      </c>
      <c r="R45" s="4">
        <v>10.6</v>
      </c>
      <c r="S45" s="4">
        <v>16.5</v>
      </c>
      <c r="T45" s="4">
        <v>107</v>
      </c>
      <c r="U45" s="4">
        <v>98</v>
      </c>
      <c r="V45" s="4"/>
      <c r="W45" s="4">
        <v>1.8</v>
      </c>
      <c r="X45" s="4">
        <v>1.1000000000000001</v>
      </c>
      <c r="Y45" s="4">
        <v>2.9</v>
      </c>
      <c r="Z45" s="4">
        <v>0.13500000000000001</v>
      </c>
      <c r="AA45" s="13">
        <f>(I45/TOTAL_BASIC!$D$301)*100</f>
        <v>102.17559673909513</v>
      </c>
      <c r="AB45" s="5">
        <f t="shared" si="3"/>
        <v>1.07</v>
      </c>
      <c r="AC45" s="3">
        <f t="shared" si="1"/>
        <v>9</v>
      </c>
      <c r="AD45" s="9">
        <f t="shared" si="4"/>
        <v>1.036</v>
      </c>
      <c r="AE45" s="16">
        <f t="shared" si="5"/>
        <v>0.39999999999999997</v>
      </c>
      <c r="AF45" s="16">
        <f t="shared" si="6"/>
        <v>0.62264150943396224</v>
      </c>
      <c r="AG45" s="9"/>
      <c r="AH45" s="9"/>
      <c r="AI45" s="12">
        <f t="shared" si="7"/>
        <v>65.600000000000009</v>
      </c>
      <c r="AJ45" s="12">
        <f t="shared" si="8"/>
        <v>67.900000000000006</v>
      </c>
      <c r="AK45" s="12">
        <f t="shared" si="8"/>
        <v>68.7</v>
      </c>
      <c r="AL45" s="12">
        <f t="shared" si="8"/>
        <v>65.600000000000009</v>
      </c>
      <c r="AM45" s="12">
        <f t="shared" si="8"/>
        <v>63.3</v>
      </c>
      <c r="AN45" s="12">
        <f t="shared" si="8"/>
        <v>41.9</v>
      </c>
      <c r="AO45" s="12">
        <f t="shared" si="14"/>
        <v>80.900000000000006</v>
      </c>
      <c r="AP45" s="12">
        <f t="shared" si="14"/>
        <v>69.399999999999991</v>
      </c>
      <c r="AQ45" s="12">
        <f t="shared" si="14"/>
        <v>66.400000000000006</v>
      </c>
      <c r="AR45" s="12">
        <f t="shared" si="14"/>
        <v>16.7</v>
      </c>
      <c r="AS45" s="12">
        <f t="shared" si="15"/>
        <v>80.900000000000006</v>
      </c>
      <c r="AT45" s="12">
        <f t="shared" si="15"/>
        <v>70.899999999999991</v>
      </c>
      <c r="AU45" s="12">
        <f t="shared" si="9"/>
        <v>86.3</v>
      </c>
      <c r="AV45" s="12">
        <f t="shared" si="15"/>
        <v>33.5</v>
      </c>
      <c r="AW45" s="12">
        <f t="shared" si="16"/>
        <v>75.5</v>
      </c>
      <c r="AX45" s="12">
        <f t="shared" si="10"/>
        <v>68</v>
      </c>
      <c r="AY45" s="9"/>
      <c r="AZ45" s="12">
        <f t="shared" si="17"/>
        <v>80.900000000000006</v>
      </c>
      <c r="BA45" s="12">
        <f t="shared" si="13"/>
        <v>76.3</v>
      </c>
      <c r="BB45" s="12">
        <f t="shared" si="11"/>
        <v>80.100000000000009</v>
      </c>
      <c r="BC45" s="12">
        <f t="shared" si="11"/>
        <v>77</v>
      </c>
      <c r="BD45" s="12">
        <f t="shared" si="11"/>
        <v>65.600000000000009</v>
      </c>
      <c r="BE45" s="12">
        <f t="shared" si="11"/>
        <v>75.5</v>
      </c>
      <c r="BF45" s="12">
        <f t="shared" si="12"/>
        <v>81.599999999999994</v>
      </c>
      <c r="BG45" s="12">
        <f t="shared" si="12"/>
        <v>65.600000000000009</v>
      </c>
      <c r="BH45" s="12">
        <f t="shared" si="12"/>
        <v>22.900000000000002</v>
      </c>
      <c r="BI45" s="12">
        <f t="shared" si="12"/>
        <v>35.099999999999994</v>
      </c>
    </row>
    <row r="46" spans="1:61" ht="15.75" customHeight="1" x14ac:dyDescent="0.25">
      <c r="A46" s="1" t="s">
        <v>145</v>
      </c>
      <c r="B46" s="3" t="s">
        <v>141</v>
      </c>
      <c r="C46" s="4" t="s">
        <v>8</v>
      </c>
      <c r="D46" s="4">
        <v>32</v>
      </c>
      <c r="E46" s="4">
        <v>845</v>
      </c>
      <c r="F46" s="4">
        <v>32</v>
      </c>
      <c r="G46" s="4">
        <v>845</v>
      </c>
      <c r="H46" s="4">
        <v>9.9</v>
      </c>
      <c r="I46" s="4">
        <v>0.438</v>
      </c>
      <c r="J46" s="4">
        <v>0.36299999999999999</v>
      </c>
      <c r="K46" s="4">
        <v>0.28799999999999998</v>
      </c>
      <c r="L46" s="4">
        <v>0.33200000000000002</v>
      </c>
      <c r="M46" s="4">
        <v>2</v>
      </c>
      <c r="N46" s="4">
        <v>4.3</v>
      </c>
      <c r="O46" s="4">
        <v>26.4</v>
      </c>
      <c r="P46" s="4">
        <v>2.6</v>
      </c>
      <c r="Q46" s="4">
        <v>0.8</v>
      </c>
      <c r="R46" s="4">
        <v>22.9</v>
      </c>
      <c r="S46" s="4">
        <v>21.5</v>
      </c>
      <c r="T46" s="4">
        <v>85</v>
      </c>
      <c r="U46" s="4">
        <v>104</v>
      </c>
      <c r="V46" s="4"/>
      <c r="W46" s="4">
        <v>-0.8</v>
      </c>
      <c r="X46" s="4">
        <v>0.3</v>
      </c>
      <c r="Y46" s="4">
        <v>-0.5</v>
      </c>
      <c r="Z46" s="4">
        <v>-2.3E-2</v>
      </c>
      <c r="AA46" s="13">
        <f>(I46/TOTAL_BASIC!$D$301)*100</f>
        <v>86.395581798694337</v>
      </c>
      <c r="AB46" s="5">
        <f t="shared" si="3"/>
        <v>0.85</v>
      </c>
      <c r="AC46" s="3">
        <f t="shared" si="1"/>
        <v>-19</v>
      </c>
      <c r="AD46" s="9">
        <f t="shared" si="4"/>
        <v>0.876</v>
      </c>
      <c r="AE46" s="16">
        <f t="shared" si="5"/>
        <v>1.2279069767441859</v>
      </c>
      <c r="AF46" s="16">
        <f t="shared" si="6"/>
        <v>1.1528384279475983</v>
      </c>
      <c r="AG46" s="9"/>
      <c r="AH46" s="9"/>
      <c r="AI46" s="12">
        <f t="shared" si="7"/>
        <v>45</v>
      </c>
      <c r="AJ46" s="12">
        <f t="shared" si="8"/>
        <v>67.100000000000009</v>
      </c>
      <c r="AK46" s="12">
        <f t="shared" si="8"/>
        <v>32</v>
      </c>
      <c r="AL46" s="12">
        <f t="shared" si="8"/>
        <v>20.599999999999998</v>
      </c>
      <c r="AM46" s="12">
        <f t="shared" si="8"/>
        <v>9.9</v>
      </c>
      <c r="AN46" s="12">
        <f t="shared" si="8"/>
        <v>65.600000000000009</v>
      </c>
      <c r="AO46" s="12">
        <f t="shared" si="14"/>
        <v>67.900000000000006</v>
      </c>
      <c r="AP46" s="12">
        <f t="shared" si="14"/>
        <v>12.9</v>
      </c>
      <c r="AQ46" s="12">
        <f t="shared" si="14"/>
        <v>3.8</v>
      </c>
      <c r="AR46" s="12">
        <f t="shared" si="14"/>
        <v>93.100000000000009</v>
      </c>
      <c r="AS46" s="12">
        <f t="shared" si="15"/>
        <v>83.2</v>
      </c>
      <c r="AT46" s="12">
        <f t="shared" si="15"/>
        <v>34.300000000000004</v>
      </c>
      <c r="AU46" s="12">
        <f t="shared" si="9"/>
        <v>13</v>
      </c>
      <c r="AV46" s="12">
        <f t="shared" si="15"/>
        <v>71.7</v>
      </c>
      <c r="AW46" s="12">
        <f t="shared" si="16"/>
        <v>12.9</v>
      </c>
      <c r="AX46" s="12">
        <f t="shared" si="10"/>
        <v>15.299999999999997</v>
      </c>
      <c r="AY46" s="9"/>
      <c r="AZ46" s="12">
        <f t="shared" si="17"/>
        <v>3</v>
      </c>
      <c r="BA46" s="12">
        <f t="shared" si="13"/>
        <v>24.4</v>
      </c>
      <c r="BB46" s="12">
        <f t="shared" si="11"/>
        <v>2.1999999999999997</v>
      </c>
      <c r="BC46" s="12">
        <f t="shared" si="11"/>
        <v>10.6</v>
      </c>
      <c r="BD46" s="12">
        <f t="shared" si="11"/>
        <v>20.599999999999998</v>
      </c>
      <c r="BE46" s="12">
        <f t="shared" si="11"/>
        <v>12.9</v>
      </c>
      <c r="BF46" s="12">
        <f t="shared" si="12"/>
        <v>12.2</v>
      </c>
      <c r="BG46" s="12">
        <f t="shared" si="12"/>
        <v>20.599999999999998</v>
      </c>
      <c r="BH46" s="12">
        <f t="shared" si="12"/>
        <v>89.3</v>
      </c>
      <c r="BI46" s="12">
        <f t="shared" si="12"/>
        <v>78.600000000000009</v>
      </c>
    </row>
    <row r="47" spans="1:61" ht="15.75" customHeight="1" x14ac:dyDescent="0.25">
      <c r="A47" s="1" t="s">
        <v>146</v>
      </c>
      <c r="B47" s="4" t="s">
        <v>99</v>
      </c>
      <c r="C47" s="4" t="s">
        <v>8</v>
      </c>
      <c r="D47" s="4">
        <v>28</v>
      </c>
      <c r="E47" s="4">
        <v>838</v>
      </c>
      <c r="F47" s="4">
        <v>28</v>
      </c>
      <c r="G47" s="4">
        <v>838</v>
      </c>
      <c r="H47" s="4">
        <v>11.9</v>
      </c>
      <c r="I47" s="4">
        <v>0.497</v>
      </c>
      <c r="J47" s="4">
        <v>0.46700000000000003</v>
      </c>
      <c r="K47" s="4">
        <v>0</v>
      </c>
      <c r="L47" s="4">
        <v>0.39500000000000002</v>
      </c>
      <c r="M47" s="4">
        <v>5.7</v>
      </c>
      <c r="N47" s="4">
        <v>6.4</v>
      </c>
      <c r="O47" s="4">
        <v>12.6</v>
      </c>
      <c r="P47" s="4">
        <v>3.9</v>
      </c>
      <c r="Q47" s="4">
        <v>0.3</v>
      </c>
      <c r="R47" s="4">
        <v>21</v>
      </c>
      <c r="S47" s="4">
        <v>12.8</v>
      </c>
      <c r="T47" s="4">
        <v>95</v>
      </c>
      <c r="U47" s="4">
        <v>95</v>
      </c>
      <c r="V47" s="4"/>
      <c r="W47" s="4">
        <v>0.4</v>
      </c>
      <c r="X47" s="4">
        <v>1.5</v>
      </c>
      <c r="Y47" s="4">
        <v>1.8</v>
      </c>
      <c r="Z47" s="4">
        <v>8.7999999999999995E-2</v>
      </c>
      <c r="AA47" s="13">
        <f>(I47/TOTAL_BASIC!$D$301)*100</f>
        <v>98.033342817239927</v>
      </c>
      <c r="AB47" s="5">
        <f t="shared" si="3"/>
        <v>0.95</v>
      </c>
      <c r="AC47" s="3">
        <f t="shared" si="1"/>
        <v>0</v>
      </c>
      <c r="AD47" s="9">
        <f t="shared" si="4"/>
        <v>0.99399999999999999</v>
      </c>
      <c r="AE47" s="16">
        <f t="shared" si="5"/>
        <v>0.98437499999999989</v>
      </c>
      <c r="AF47" s="16">
        <f t="shared" si="6"/>
        <v>0.6</v>
      </c>
      <c r="AG47" s="9"/>
      <c r="AH47" s="9"/>
      <c r="AI47" s="12">
        <f t="shared" si="7"/>
        <v>27.400000000000002</v>
      </c>
      <c r="AJ47" s="12">
        <f t="shared" si="8"/>
        <v>66.400000000000006</v>
      </c>
      <c r="AK47" s="12">
        <f t="shared" si="8"/>
        <v>45.800000000000004</v>
      </c>
      <c r="AL47" s="12">
        <f t="shared" si="8"/>
        <v>52.6</v>
      </c>
      <c r="AM47" s="12">
        <f t="shared" si="8"/>
        <v>63.3</v>
      </c>
      <c r="AN47" s="12">
        <f t="shared" si="8"/>
        <v>0</v>
      </c>
      <c r="AO47" s="12">
        <f t="shared" si="14"/>
        <v>85.399999999999991</v>
      </c>
      <c r="AP47" s="12">
        <f t="shared" si="14"/>
        <v>57.999999999999993</v>
      </c>
      <c r="AQ47" s="12">
        <f t="shared" si="14"/>
        <v>31.2</v>
      </c>
      <c r="AR47" s="12">
        <f t="shared" si="14"/>
        <v>57.999999999999993</v>
      </c>
      <c r="AS47" s="12">
        <f t="shared" si="15"/>
        <v>96.899999999999991</v>
      </c>
      <c r="AT47" s="12">
        <f t="shared" si="15"/>
        <v>6.8000000000000007</v>
      </c>
      <c r="AU47" s="12">
        <f t="shared" si="9"/>
        <v>18.400000000000006</v>
      </c>
      <c r="AV47" s="12">
        <f t="shared" si="15"/>
        <v>9.9</v>
      </c>
      <c r="AW47" s="12">
        <f t="shared" si="16"/>
        <v>44.2</v>
      </c>
      <c r="AX47" s="12">
        <f t="shared" si="10"/>
        <v>86.3</v>
      </c>
      <c r="AY47" s="9"/>
      <c r="AZ47" s="12">
        <f t="shared" si="17"/>
        <v>47.3</v>
      </c>
      <c r="BA47" s="12">
        <f t="shared" si="13"/>
        <v>90</v>
      </c>
      <c r="BB47" s="12">
        <f t="shared" si="11"/>
        <v>66.400000000000006</v>
      </c>
      <c r="BC47" s="12">
        <f t="shared" si="11"/>
        <v>52.6</v>
      </c>
      <c r="BD47" s="12">
        <f t="shared" si="11"/>
        <v>52.6</v>
      </c>
      <c r="BE47" s="12">
        <f t="shared" si="11"/>
        <v>44.2</v>
      </c>
      <c r="BF47" s="12">
        <f t="shared" si="12"/>
        <v>57.999999999999993</v>
      </c>
      <c r="BG47" s="12">
        <f t="shared" si="12"/>
        <v>52.6</v>
      </c>
      <c r="BH47" s="12">
        <f t="shared" si="12"/>
        <v>80.100000000000009</v>
      </c>
      <c r="BI47" s="12">
        <f t="shared" si="12"/>
        <v>31.2</v>
      </c>
    </row>
    <row r="48" spans="1:61" ht="15.75" customHeight="1" x14ac:dyDescent="0.25">
      <c r="A48" s="1" t="s">
        <v>147</v>
      </c>
      <c r="B48" s="3" t="s">
        <v>97</v>
      </c>
      <c r="C48" s="4" t="s">
        <v>8</v>
      </c>
      <c r="D48" s="4">
        <v>25</v>
      </c>
      <c r="E48" s="4">
        <v>812</v>
      </c>
      <c r="F48" s="4">
        <v>25</v>
      </c>
      <c r="G48" s="4">
        <v>812</v>
      </c>
      <c r="H48" s="4">
        <v>16.600000000000001</v>
      </c>
      <c r="I48" s="4">
        <v>0.48899999999999999</v>
      </c>
      <c r="J48" s="4">
        <v>0.44400000000000001</v>
      </c>
      <c r="K48" s="4">
        <v>2.3E-2</v>
      </c>
      <c r="L48" s="4">
        <v>0.247</v>
      </c>
      <c r="M48" s="4">
        <v>2.5</v>
      </c>
      <c r="N48" s="4">
        <v>5.6</v>
      </c>
      <c r="O48" s="4">
        <v>38.700000000000003</v>
      </c>
      <c r="P48" s="4">
        <v>2.2000000000000002</v>
      </c>
      <c r="Q48" s="4">
        <v>0.4</v>
      </c>
      <c r="R48" s="4">
        <v>18.2</v>
      </c>
      <c r="S48" s="4">
        <v>19.7</v>
      </c>
      <c r="T48" s="4">
        <v>100</v>
      </c>
      <c r="U48" s="4">
        <v>105</v>
      </c>
      <c r="V48" s="4"/>
      <c r="W48" s="4">
        <v>1.3</v>
      </c>
      <c r="X48" s="4">
        <v>0.2</v>
      </c>
      <c r="Y48" s="4">
        <v>1.5</v>
      </c>
      <c r="Z48" s="4">
        <v>7.1999999999999995E-2</v>
      </c>
      <c r="AA48" s="13">
        <f>(I48/TOTAL_BASIC!$D$301)*100</f>
        <v>96.455341323199832</v>
      </c>
      <c r="AB48" s="5">
        <f t="shared" si="3"/>
        <v>1</v>
      </c>
      <c r="AC48" s="3">
        <f t="shared" si="1"/>
        <v>-5</v>
      </c>
      <c r="AD48" s="9">
        <f t="shared" si="4"/>
        <v>0.97799999999999998</v>
      </c>
      <c r="AE48" s="16">
        <f t="shared" si="5"/>
        <v>1.9644670050761424</v>
      </c>
      <c r="AF48" s="16">
        <f t="shared" si="6"/>
        <v>2.1263736263736268</v>
      </c>
      <c r="AG48" s="9"/>
      <c r="AH48" s="9"/>
      <c r="AI48" s="12">
        <f t="shared" si="7"/>
        <v>21.3</v>
      </c>
      <c r="AJ48" s="12">
        <f t="shared" si="8"/>
        <v>65.600000000000009</v>
      </c>
      <c r="AK48" s="12">
        <f t="shared" si="8"/>
        <v>70.199999999999989</v>
      </c>
      <c r="AL48" s="12">
        <f t="shared" si="8"/>
        <v>48.8</v>
      </c>
      <c r="AM48" s="12">
        <f t="shared" si="8"/>
        <v>45</v>
      </c>
      <c r="AN48" s="12">
        <f t="shared" si="8"/>
        <v>29.7</v>
      </c>
      <c r="AO48" s="12">
        <f t="shared" si="14"/>
        <v>47.3</v>
      </c>
      <c r="AP48" s="12">
        <f t="shared" si="14"/>
        <v>19</v>
      </c>
      <c r="AQ48" s="12">
        <f t="shared" si="14"/>
        <v>16</v>
      </c>
      <c r="AR48" s="12">
        <f t="shared" si="14"/>
        <v>100</v>
      </c>
      <c r="AS48" s="12">
        <f t="shared" si="15"/>
        <v>64.8</v>
      </c>
      <c r="AT48" s="12">
        <f t="shared" si="15"/>
        <v>12.2</v>
      </c>
      <c r="AU48" s="12">
        <f t="shared" si="9"/>
        <v>35.900000000000006</v>
      </c>
      <c r="AV48" s="12">
        <f t="shared" si="15"/>
        <v>55.7</v>
      </c>
      <c r="AW48" s="12">
        <f t="shared" si="16"/>
        <v>61.8</v>
      </c>
      <c r="AX48" s="12">
        <f t="shared" si="10"/>
        <v>3.9000000000000057</v>
      </c>
      <c r="AY48" s="9"/>
      <c r="AZ48" s="12">
        <f t="shared" si="17"/>
        <v>72.5</v>
      </c>
      <c r="BA48" s="12">
        <f t="shared" si="13"/>
        <v>14.499999999999998</v>
      </c>
      <c r="BB48" s="12">
        <f t="shared" si="11"/>
        <v>60.3</v>
      </c>
      <c r="BC48" s="12">
        <f t="shared" si="11"/>
        <v>45</v>
      </c>
      <c r="BD48" s="12">
        <f t="shared" si="11"/>
        <v>48.8</v>
      </c>
      <c r="BE48" s="12">
        <f t="shared" si="11"/>
        <v>61.8</v>
      </c>
      <c r="BF48" s="12">
        <f t="shared" si="12"/>
        <v>41.9</v>
      </c>
      <c r="BG48" s="12">
        <f t="shared" si="12"/>
        <v>48.8</v>
      </c>
      <c r="BH48" s="12">
        <f t="shared" si="12"/>
        <v>99.2</v>
      </c>
      <c r="BI48" s="12">
        <f t="shared" si="12"/>
        <v>98.4</v>
      </c>
    </row>
    <row r="49" spans="1:61" ht="15.75" customHeight="1" x14ac:dyDescent="0.25">
      <c r="A49" s="1" t="s">
        <v>148</v>
      </c>
      <c r="B49" s="3" t="s">
        <v>95</v>
      </c>
      <c r="C49" s="4" t="s">
        <v>92</v>
      </c>
      <c r="D49" s="4">
        <v>34</v>
      </c>
      <c r="E49" s="4">
        <v>797</v>
      </c>
      <c r="F49" s="4">
        <v>34</v>
      </c>
      <c r="G49" s="4">
        <v>797</v>
      </c>
      <c r="H49" s="4">
        <v>14.9</v>
      </c>
      <c r="I49" s="4">
        <v>0.50700000000000001</v>
      </c>
      <c r="J49" s="4">
        <v>0.495</v>
      </c>
      <c r="K49" s="4">
        <v>0.49199999999999999</v>
      </c>
      <c r="L49" s="4">
        <v>0.122</v>
      </c>
      <c r="M49" s="4">
        <v>4.5999999999999996</v>
      </c>
      <c r="N49" s="4">
        <v>7.8</v>
      </c>
      <c r="O49" s="4">
        <v>7.6</v>
      </c>
      <c r="P49" s="4">
        <v>1.7</v>
      </c>
      <c r="Q49" s="4">
        <v>1.4</v>
      </c>
      <c r="R49" s="4">
        <v>10.6</v>
      </c>
      <c r="S49" s="4">
        <v>22.6</v>
      </c>
      <c r="T49" s="4">
        <v>99</v>
      </c>
      <c r="U49" s="4">
        <v>102</v>
      </c>
      <c r="V49" s="4"/>
      <c r="W49" s="4">
        <v>1</v>
      </c>
      <c r="X49" s="4">
        <v>0.6</v>
      </c>
      <c r="Y49" s="4">
        <v>1.6</v>
      </c>
      <c r="Z49" s="4">
        <v>7.9000000000000001E-2</v>
      </c>
      <c r="AA49" s="13">
        <f>(I49/TOTAL_BASIC!$D$301)*100</f>
        <v>100.00584468479002</v>
      </c>
      <c r="AB49" s="5">
        <f t="shared" si="3"/>
        <v>0.99</v>
      </c>
      <c r="AC49" s="3">
        <f t="shared" si="1"/>
        <v>-3</v>
      </c>
      <c r="AD49" s="9">
        <f t="shared" si="4"/>
        <v>1.014</v>
      </c>
      <c r="AE49" s="16">
        <f t="shared" si="5"/>
        <v>0.33628318584070793</v>
      </c>
      <c r="AF49" s="16">
        <f t="shared" si="6"/>
        <v>0.71698113207547165</v>
      </c>
      <c r="AG49" s="9"/>
      <c r="AH49" s="9"/>
      <c r="AI49" s="12">
        <f t="shared" si="7"/>
        <v>65.600000000000009</v>
      </c>
      <c r="AJ49" s="12">
        <f t="shared" si="8"/>
        <v>64.8</v>
      </c>
      <c r="AK49" s="12">
        <f t="shared" si="8"/>
        <v>64.099999999999994</v>
      </c>
      <c r="AL49" s="12">
        <f t="shared" si="8"/>
        <v>58.699999999999996</v>
      </c>
      <c r="AM49" s="12">
        <f t="shared" si="8"/>
        <v>75.5</v>
      </c>
      <c r="AN49" s="12">
        <f t="shared" si="8"/>
        <v>89.3</v>
      </c>
      <c r="AO49" s="12">
        <f t="shared" si="14"/>
        <v>8.3000000000000007</v>
      </c>
      <c r="AP49" s="12">
        <f t="shared" si="14"/>
        <v>48</v>
      </c>
      <c r="AQ49" s="12">
        <f t="shared" si="14"/>
        <v>41.199999999999996</v>
      </c>
      <c r="AR49" s="12">
        <f t="shared" si="14"/>
        <v>19.8</v>
      </c>
      <c r="AS49" s="12">
        <f t="shared" si="15"/>
        <v>41.199999999999996</v>
      </c>
      <c r="AT49" s="12">
        <f t="shared" si="15"/>
        <v>60.3</v>
      </c>
      <c r="AU49" s="12">
        <f t="shared" si="9"/>
        <v>86.3</v>
      </c>
      <c r="AV49" s="12">
        <f t="shared" si="15"/>
        <v>80.100000000000009</v>
      </c>
      <c r="AW49" s="12">
        <f t="shared" si="16"/>
        <v>55.7</v>
      </c>
      <c r="AX49" s="12">
        <f t="shared" si="10"/>
        <v>35.200000000000003</v>
      </c>
      <c r="AY49" s="9"/>
      <c r="AZ49" s="12">
        <f t="shared" si="17"/>
        <v>63.3</v>
      </c>
      <c r="BA49" s="12">
        <f t="shared" si="13"/>
        <v>48</v>
      </c>
      <c r="BB49" s="12">
        <f t="shared" si="11"/>
        <v>61.8</v>
      </c>
      <c r="BC49" s="12">
        <f t="shared" si="11"/>
        <v>47.3</v>
      </c>
      <c r="BD49" s="12">
        <f t="shared" si="11"/>
        <v>58.699999999999996</v>
      </c>
      <c r="BE49" s="12">
        <f t="shared" si="11"/>
        <v>55.7</v>
      </c>
      <c r="BF49" s="12">
        <f t="shared" si="12"/>
        <v>47.3</v>
      </c>
      <c r="BG49" s="12">
        <f t="shared" si="12"/>
        <v>58.699999999999996</v>
      </c>
      <c r="BH49" s="12">
        <f t="shared" si="12"/>
        <v>12.9</v>
      </c>
      <c r="BI49" s="12">
        <f t="shared" si="12"/>
        <v>48</v>
      </c>
    </row>
    <row r="50" spans="1:61" ht="15.75" customHeight="1" x14ac:dyDescent="0.25">
      <c r="A50" s="1" t="s">
        <v>149</v>
      </c>
      <c r="B50" s="3" t="s">
        <v>104</v>
      </c>
      <c r="C50" s="4" t="s">
        <v>87</v>
      </c>
      <c r="D50" s="4">
        <v>34</v>
      </c>
      <c r="E50" s="4">
        <v>782</v>
      </c>
      <c r="F50" s="4">
        <v>34</v>
      </c>
      <c r="G50" s="4">
        <v>782</v>
      </c>
      <c r="H50" s="4">
        <v>9.3000000000000007</v>
      </c>
      <c r="I50" s="4">
        <v>0.44</v>
      </c>
      <c r="J50" s="4">
        <v>0.41299999999999998</v>
      </c>
      <c r="K50" s="4">
        <v>0.192</v>
      </c>
      <c r="L50" s="4">
        <v>0.11600000000000001</v>
      </c>
      <c r="M50" s="4">
        <v>5.2</v>
      </c>
      <c r="N50" s="4">
        <v>12.6</v>
      </c>
      <c r="O50" s="4">
        <v>13.1</v>
      </c>
      <c r="P50" s="4">
        <v>1.5</v>
      </c>
      <c r="Q50" s="4">
        <v>0.8</v>
      </c>
      <c r="R50" s="4">
        <v>19.5</v>
      </c>
      <c r="S50" s="4">
        <v>16.8</v>
      </c>
      <c r="T50" s="4">
        <v>85</v>
      </c>
      <c r="U50" s="4">
        <v>99</v>
      </c>
      <c r="V50" s="4"/>
      <c r="W50" s="4">
        <v>-0.6</v>
      </c>
      <c r="X50" s="4">
        <v>0.9</v>
      </c>
      <c r="Y50" s="4">
        <v>0.4</v>
      </c>
      <c r="Z50" s="4">
        <v>1.7999999999999999E-2</v>
      </c>
      <c r="AA50" s="13">
        <f>(I50/TOTAL_BASIC!$D$301)*100</f>
        <v>86.79008217220435</v>
      </c>
      <c r="AB50" s="5">
        <f t="shared" si="3"/>
        <v>0.85</v>
      </c>
      <c r="AC50" s="3">
        <f t="shared" si="1"/>
        <v>-14</v>
      </c>
      <c r="AD50" s="9">
        <f t="shared" si="4"/>
        <v>0.88</v>
      </c>
      <c r="AE50" s="16">
        <f t="shared" si="5"/>
        <v>0.77976190476190466</v>
      </c>
      <c r="AF50" s="16">
        <f t="shared" si="6"/>
        <v>0.67179487179487174</v>
      </c>
      <c r="AG50" s="9"/>
      <c r="AH50" s="9"/>
      <c r="AI50" s="12">
        <f t="shared" si="7"/>
        <v>65.600000000000009</v>
      </c>
      <c r="AJ50" s="12">
        <f t="shared" si="8"/>
        <v>64.099999999999994</v>
      </c>
      <c r="AK50" s="12">
        <f t="shared" si="8"/>
        <v>25.900000000000002</v>
      </c>
      <c r="AL50" s="12">
        <f t="shared" si="8"/>
        <v>22.900000000000002</v>
      </c>
      <c r="AM50" s="12">
        <f t="shared" si="8"/>
        <v>29.7</v>
      </c>
      <c r="AN50" s="12">
        <f t="shared" si="8"/>
        <v>46.5</v>
      </c>
      <c r="AO50" s="12">
        <f t="shared" si="14"/>
        <v>5.3</v>
      </c>
      <c r="AP50" s="12">
        <f t="shared" si="14"/>
        <v>54.1</v>
      </c>
      <c r="AQ50" s="12">
        <f t="shared" si="14"/>
        <v>74.8</v>
      </c>
      <c r="AR50" s="12">
        <f t="shared" si="14"/>
        <v>61</v>
      </c>
      <c r="AS50" s="12">
        <f t="shared" si="15"/>
        <v>26.700000000000003</v>
      </c>
      <c r="AT50" s="12">
        <f t="shared" si="15"/>
        <v>34.300000000000004</v>
      </c>
      <c r="AU50" s="12">
        <f t="shared" si="9"/>
        <v>25.200000000000003</v>
      </c>
      <c r="AV50" s="12">
        <f t="shared" si="15"/>
        <v>36.6</v>
      </c>
      <c r="AW50" s="12">
        <f t="shared" si="16"/>
        <v>12.9</v>
      </c>
      <c r="AX50" s="12">
        <f t="shared" si="10"/>
        <v>63.4</v>
      </c>
      <c r="AY50" s="9"/>
      <c r="AZ50" s="12">
        <f t="shared" si="17"/>
        <v>4.5</v>
      </c>
      <c r="BA50" s="12">
        <f t="shared" si="13"/>
        <v>64.8</v>
      </c>
      <c r="BB50" s="12">
        <f t="shared" si="11"/>
        <v>29.7</v>
      </c>
      <c r="BC50" s="12">
        <f t="shared" si="11"/>
        <v>21.3</v>
      </c>
      <c r="BD50" s="12">
        <f t="shared" si="11"/>
        <v>22.900000000000002</v>
      </c>
      <c r="BE50" s="12">
        <f t="shared" si="11"/>
        <v>12.9</v>
      </c>
      <c r="BF50" s="12">
        <f t="shared" si="12"/>
        <v>19</v>
      </c>
      <c r="BG50" s="12">
        <f t="shared" si="12"/>
        <v>22.900000000000002</v>
      </c>
      <c r="BH50" s="12">
        <f t="shared" si="12"/>
        <v>64.099999999999994</v>
      </c>
      <c r="BI50" s="12">
        <f t="shared" si="12"/>
        <v>41.199999999999996</v>
      </c>
    </row>
    <row r="51" spans="1:61" ht="15.75" customHeight="1" x14ac:dyDescent="0.25">
      <c r="A51" s="1" t="s">
        <v>150</v>
      </c>
      <c r="B51" s="3" t="s">
        <v>89</v>
      </c>
      <c r="C51" s="4" t="s">
        <v>8</v>
      </c>
      <c r="D51" s="4">
        <v>34</v>
      </c>
      <c r="E51" s="4">
        <v>772</v>
      </c>
      <c r="F51" s="4">
        <v>34</v>
      </c>
      <c r="G51" s="4">
        <v>772</v>
      </c>
      <c r="H51" s="4">
        <v>12.2</v>
      </c>
      <c r="I51" s="4">
        <v>0.48299999999999998</v>
      </c>
      <c r="J51" s="4">
        <v>0.4</v>
      </c>
      <c r="K51" s="4">
        <v>0.23799999999999999</v>
      </c>
      <c r="L51" s="4">
        <v>0.45600000000000002</v>
      </c>
      <c r="M51" s="4">
        <v>3.7</v>
      </c>
      <c r="N51" s="4">
        <v>4.4000000000000004</v>
      </c>
      <c r="O51" s="4">
        <v>23</v>
      </c>
      <c r="P51" s="4">
        <v>2.2000000000000002</v>
      </c>
      <c r="Q51" s="4">
        <v>0.3</v>
      </c>
      <c r="R51" s="4">
        <v>19.3</v>
      </c>
      <c r="S51" s="4">
        <v>22.4</v>
      </c>
      <c r="T51" s="4">
        <v>94</v>
      </c>
      <c r="U51" s="4">
        <v>102</v>
      </c>
      <c r="V51" s="4"/>
      <c r="W51" s="4">
        <v>0.5</v>
      </c>
      <c r="X51" s="4">
        <v>0.6</v>
      </c>
      <c r="Y51" s="4">
        <v>1.1000000000000001</v>
      </c>
      <c r="Z51" s="4">
        <v>5.5E-2</v>
      </c>
      <c r="AA51" s="13">
        <f>(I51/TOTAL_BASIC!$D$301)*100</f>
        <v>95.271840202669779</v>
      </c>
      <c r="AB51" s="5">
        <f t="shared" si="3"/>
        <v>0.94</v>
      </c>
      <c r="AC51" s="3">
        <f t="shared" si="1"/>
        <v>-8</v>
      </c>
      <c r="AD51" s="9">
        <f t="shared" si="4"/>
        <v>0.96599999999999997</v>
      </c>
      <c r="AE51" s="16">
        <f t="shared" si="5"/>
        <v>1.0267857142857144</v>
      </c>
      <c r="AF51" s="16">
        <f t="shared" si="6"/>
        <v>1.1917098445595855</v>
      </c>
      <c r="AG51" s="9"/>
      <c r="AH51" s="9"/>
      <c r="AI51" s="12">
        <f t="shared" si="7"/>
        <v>65.600000000000009</v>
      </c>
      <c r="AJ51" s="12">
        <f t="shared" si="8"/>
        <v>63.3</v>
      </c>
      <c r="AK51" s="12">
        <f t="shared" si="8"/>
        <v>46.5</v>
      </c>
      <c r="AL51" s="12">
        <f t="shared" si="8"/>
        <v>45</v>
      </c>
      <c r="AM51" s="12">
        <f t="shared" si="8"/>
        <v>23.599999999999998</v>
      </c>
      <c r="AN51" s="12">
        <f t="shared" si="8"/>
        <v>57.199999999999996</v>
      </c>
      <c r="AO51" s="12">
        <f t="shared" si="14"/>
        <v>91.600000000000009</v>
      </c>
      <c r="AP51" s="12">
        <f t="shared" si="14"/>
        <v>37.4</v>
      </c>
      <c r="AQ51" s="12">
        <f t="shared" si="14"/>
        <v>6.8000000000000007</v>
      </c>
      <c r="AR51" s="12">
        <f t="shared" si="14"/>
        <v>85.399999999999991</v>
      </c>
      <c r="AS51" s="12">
        <f t="shared" si="15"/>
        <v>64.8</v>
      </c>
      <c r="AT51" s="12">
        <f t="shared" si="15"/>
        <v>6.8000000000000007</v>
      </c>
      <c r="AU51" s="12">
        <f t="shared" si="9"/>
        <v>28.299999999999997</v>
      </c>
      <c r="AV51" s="12">
        <f t="shared" si="15"/>
        <v>78.600000000000009</v>
      </c>
      <c r="AW51" s="12">
        <f t="shared" si="16"/>
        <v>41.9</v>
      </c>
      <c r="AX51" s="12">
        <f t="shared" si="10"/>
        <v>35.200000000000003</v>
      </c>
      <c r="AY51" s="9"/>
      <c r="AZ51" s="12">
        <f t="shared" si="17"/>
        <v>52.6</v>
      </c>
      <c r="BA51" s="12">
        <f t="shared" si="13"/>
        <v>48</v>
      </c>
      <c r="BB51" s="12">
        <f t="shared" si="11"/>
        <v>48.8</v>
      </c>
      <c r="BC51" s="12">
        <f t="shared" si="11"/>
        <v>37.4</v>
      </c>
      <c r="BD51" s="12">
        <f t="shared" si="11"/>
        <v>45</v>
      </c>
      <c r="BE51" s="12">
        <f t="shared" si="11"/>
        <v>41.9</v>
      </c>
      <c r="BF51" s="12">
        <f t="shared" si="12"/>
        <v>32.800000000000004</v>
      </c>
      <c r="BG51" s="12">
        <f t="shared" si="12"/>
        <v>45</v>
      </c>
      <c r="BH51" s="12">
        <f t="shared" si="12"/>
        <v>81.599999999999994</v>
      </c>
      <c r="BI51" s="12">
        <f t="shared" si="12"/>
        <v>79.3</v>
      </c>
    </row>
    <row r="52" spans="1:61" ht="15.75" customHeight="1" x14ac:dyDescent="0.25">
      <c r="A52" s="1" t="s">
        <v>151</v>
      </c>
      <c r="B52" s="3" t="s">
        <v>97</v>
      </c>
      <c r="C52" s="4" t="s">
        <v>115</v>
      </c>
      <c r="D52" s="4">
        <v>29</v>
      </c>
      <c r="E52" s="4">
        <v>768</v>
      </c>
      <c r="F52" s="4">
        <v>29</v>
      </c>
      <c r="G52" s="4">
        <v>768</v>
      </c>
      <c r="H52" s="4">
        <v>16.5</v>
      </c>
      <c r="I52" s="4">
        <v>0.59599999999999997</v>
      </c>
      <c r="J52" s="4">
        <v>0.58299999999999996</v>
      </c>
      <c r="K52" s="4">
        <v>2.5000000000000001E-2</v>
      </c>
      <c r="L52" s="4">
        <v>0.40500000000000003</v>
      </c>
      <c r="M52" s="4">
        <v>10.6</v>
      </c>
      <c r="N52" s="4">
        <v>19.7</v>
      </c>
      <c r="O52" s="4">
        <v>12.7</v>
      </c>
      <c r="P52" s="4">
        <v>1.8</v>
      </c>
      <c r="Q52" s="4">
        <v>3.8</v>
      </c>
      <c r="R52" s="4">
        <v>23.6</v>
      </c>
      <c r="S52" s="4">
        <v>11</v>
      </c>
      <c r="T52" s="4">
        <v>110</v>
      </c>
      <c r="U52" s="4">
        <v>98</v>
      </c>
      <c r="V52" s="4"/>
      <c r="W52" s="4">
        <v>1.4</v>
      </c>
      <c r="X52" s="4">
        <v>1.1000000000000001</v>
      </c>
      <c r="Y52" s="4">
        <v>2.5</v>
      </c>
      <c r="Z52" s="4">
        <v>0.13100000000000001</v>
      </c>
      <c r="AA52" s="13">
        <f>(I52/TOTAL_BASIC!$D$301)*100</f>
        <v>117.5611113059859</v>
      </c>
      <c r="AB52" s="5">
        <f t="shared" si="3"/>
        <v>1.1000000000000001</v>
      </c>
      <c r="AC52" s="3">
        <f t="shared" si="1"/>
        <v>12</v>
      </c>
      <c r="AD52" s="9">
        <f t="shared" si="4"/>
        <v>1.1919999999999999</v>
      </c>
      <c r="AE52" s="16">
        <f t="shared" si="5"/>
        <v>1.1545454545454545</v>
      </c>
      <c r="AF52" s="16">
        <f t="shared" si="6"/>
        <v>0.53813559322033888</v>
      </c>
      <c r="AG52" s="9"/>
      <c r="AH52" s="9"/>
      <c r="AI52" s="12">
        <f t="shared" si="7"/>
        <v>29.7</v>
      </c>
      <c r="AJ52" s="12">
        <f t="shared" si="8"/>
        <v>62.5</v>
      </c>
      <c r="AK52" s="12">
        <f t="shared" si="8"/>
        <v>69.399999999999991</v>
      </c>
      <c r="AL52" s="12">
        <f t="shared" si="8"/>
        <v>93.100000000000009</v>
      </c>
      <c r="AM52" s="12">
        <f t="shared" si="8"/>
        <v>96.899999999999991</v>
      </c>
      <c r="AN52" s="12">
        <f t="shared" si="8"/>
        <v>31.2</v>
      </c>
      <c r="AO52" s="12">
        <f t="shared" si="14"/>
        <v>87.7</v>
      </c>
      <c r="AP52" s="12">
        <f t="shared" si="14"/>
        <v>87.7</v>
      </c>
      <c r="AQ52" s="12">
        <f t="shared" si="14"/>
        <v>97.7</v>
      </c>
      <c r="AR52" s="12">
        <f t="shared" si="14"/>
        <v>59.5</v>
      </c>
      <c r="AS52" s="12">
        <f t="shared" si="15"/>
        <v>48.8</v>
      </c>
      <c r="AT52" s="12">
        <f t="shared" si="15"/>
        <v>91.600000000000009</v>
      </c>
      <c r="AU52" s="12">
        <f t="shared" si="9"/>
        <v>9.2000000000000028</v>
      </c>
      <c r="AV52" s="12">
        <f t="shared" si="15"/>
        <v>4.5</v>
      </c>
      <c r="AW52" s="12">
        <f t="shared" si="16"/>
        <v>85.399999999999991</v>
      </c>
      <c r="AX52" s="12">
        <f t="shared" si="10"/>
        <v>68</v>
      </c>
      <c r="AY52" s="9"/>
      <c r="AZ52" s="12">
        <f t="shared" si="17"/>
        <v>75.5</v>
      </c>
      <c r="BA52" s="12">
        <f t="shared" si="13"/>
        <v>76.3</v>
      </c>
      <c r="BB52" s="12">
        <f t="shared" si="11"/>
        <v>74.8</v>
      </c>
      <c r="BC52" s="12">
        <f t="shared" si="11"/>
        <v>75.5</v>
      </c>
      <c r="BD52" s="12">
        <f t="shared" si="11"/>
        <v>93.100000000000009</v>
      </c>
      <c r="BE52" s="12">
        <f t="shared" si="11"/>
        <v>85.399999999999991</v>
      </c>
      <c r="BF52" s="12">
        <f t="shared" si="12"/>
        <v>86.2</v>
      </c>
      <c r="BG52" s="12">
        <f t="shared" si="12"/>
        <v>93.100000000000009</v>
      </c>
      <c r="BH52" s="12">
        <f t="shared" si="12"/>
        <v>87</v>
      </c>
      <c r="BI52" s="12">
        <f t="shared" si="12"/>
        <v>25.900000000000002</v>
      </c>
    </row>
    <row r="53" spans="1:61" ht="15.75" customHeight="1" x14ac:dyDescent="0.25">
      <c r="A53" s="1" t="s">
        <v>152</v>
      </c>
      <c r="B53" s="3" t="s">
        <v>86</v>
      </c>
      <c r="C53" s="4" t="s">
        <v>8</v>
      </c>
      <c r="D53" s="4">
        <v>34</v>
      </c>
      <c r="E53" s="4">
        <v>763</v>
      </c>
      <c r="F53" s="4">
        <v>34</v>
      </c>
      <c r="G53" s="4">
        <v>763</v>
      </c>
      <c r="H53" s="4">
        <v>8.8000000000000007</v>
      </c>
      <c r="I53" s="4">
        <v>0.45500000000000002</v>
      </c>
      <c r="J53" s="4">
        <v>0.438</v>
      </c>
      <c r="K53" s="4">
        <v>0.33600000000000002</v>
      </c>
      <c r="L53" s="4">
        <v>0.158</v>
      </c>
      <c r="M53" s="4">
        <v>4.3</v>
      </c>
      <c r="N53" s="4">
        <v>8.3000000000000007</v>
      </c>
      <c r="O53" s="4">
        <v>10.199999999999999</v>
      </c>
      <c r="P53" s="4">
        <v>1.5</v>
      </c>
      <c r="Q53" s="4">
        <v>1.5</v>
      </c>
      <c r="R53" s="4">
        <v>13.3</v>
      </c>
      <c r="S53" s="4">
        <v>11.2</v>
      </c>
      <c r="T53" s="4">
        <v>97</v>
      </c>
      <c r="U53" s="4">
        <v>104</v>
      </c>
      <c r="V53" s="4"/>
      <c r="W53" s="4">
        <v>0.4</v>
      </c>
      <c r="X53" s="4">
        <v>0.3</v>
      </c>
      <c r="Y53" s="4">
        <v>0.7</v>
      </c>
      <c r="Z53" s="4">
        <v>3.9E-2</v>
      </c>
      <c r="AA53" s="13">
        <f>(I53/TOTAL_BASIC!$D$301)*100</f>
        <v>89.748834973529497</v>
      </c>
      <c r="AB53" s="5">
        <f t="shared" si="3"/>
        <v>0.97</v>
      </c>
      <c r="AC53" s="3">
        <f t="shared" si="1"/>
        <v>-7</v>
      </c>
      <c r="AD53" s="9">
        <f t="shared" si="4"/>
        <v>0.91</v>
      </c>
      <c r="AE53" s="16">
        <f t="shared" si="5"/>
        <v>0.9107142857142857</v>
      </c>
      <c r="AF53" s="16">
        <f t="shared" si="6"/>
        <v>0.76691729323308266</v>
      </c>
      <c r="AG53" s="9"/>
      <c r="AH53" s="9"/>
      <c r="AI53" s="12">
        <f t="shared" si="7"/>
        <v>65.600000000000009</v>
      </c>
      <c r="AJ53" s="12">
        <f t="shared" si="8"/>
        <v>61.8</v>
      </c>
      <c r="AK53" s="12">
        <f t="shared" si="8"/>
        <v>23.599999999999998</v>
      </c>
      <c r="AL53" s="12">
        <f t="shared" si="8"/>
        <v>29.7</v>
      </c>
      <c r="AM53" s="12">
        <f t="shared" si="8"/>
        <v>41.9</v>
      </c>
      <c r="AN53" s="12">
        <f t="shared" si="8"/>
        <v>72.5</v>
      </c>
      <c r="AO53" s="12">
        <f t="shared" si="14"/>
        <v>18.3</v>
      </c>
      <c r="AP53" s="12">
        <f t="shared" si="14"/>
        <v>43.5</v>
      </c>
      <c r="AQ53" s="12">
        <f t="shared" si="14"/>
        <v>45</v>
      </c>
      <c r="AR53" s="12">
        <f t="shared" si="14"/>
        <v>41.199999999999996</v>
      </c>
      <c r="AS53" s="12">
        <f t="shared" si="15"/>
        <v>26.700000000000003</v>
      </c>
      <c r="AT53" s="12">
        <f t="shared" si="15"/>
        <v>63.3</v>
      </c>
      <c r="AU53" s="12">
        <f t="shared" si="9"/>
        <v>71</v>
      </c>
      <c r="AV53" s="12">
        <f t="shared" si="15"/>
        <v>5.3</v>
      </c>
      <c r="AW53" s="12">
        <f t="shared" si="16"/>
        <v>48</v>
      </c>
      <c r="AX53" s="12">
        <f t="shared" si="10"/>
        <v>15.299999999999997</v>
      </c>
      <c r="AY53" s="9"/>
      <c r="AZ53" s="12">
        <f t="shared" si="17"/>
        <v>47.3</v>
      </c>
      <c r="BA53" s="12">
        <f t="shared" si="13"/>
        <v>24.4</v>
      </c>
      <c r="BB53" s="12">
        <f t="shared" si="11"/>
        <v>38.9</v>
      </c>
      <c r="BC53" s="12">
        <f t="shared" si="11"/>
        <v>32</v>
      </c>
      <c r="BD53" s="12">
        <f t="shared" si="11"/>
        <v>29.7</v>
      </c>
      <c r="BE53" s="12">
        <f t="shared" si="11"/>
        <v>48</v>
      </c>
      <c r="BF53" s="12">
        <f t="shared" si="12"/>
        <v>35.099999999999994</v>
      </c>
      <c r="BG53" s="12">
        <f t="shared" si="12"/>
        <v>29.7</v>
      </c>
      <c r="BH53" s="12">
        <f t="shared" si="12"/>
        <v>74</v>
      </c>
      <c r="BI53" s="12">
        <f t="shared" si="12"/>
        <v>52.6</v>
      </c>
    </row>
    <row r="54" spans="1:61" ht="15.75" customHeight="1" x14ac:dyDescent="0.25">
      <c r="A54" s="1" t="s">
        <v>153</v>
      </c>
      <c r="B54" s="3" t="s">
        <v>99</v>
      </c>
      <c r="C54" s="4" t="s">
        <v>92</v>
      </c>
      <c r="D54" s="4">
        <v>34</v>
      </c>
      <c r="E54" s="4">
        <v>755</v>
      </c>
      <c r="F54" s="4">
        <v>34</v>
      </c>
      <c r="G54" s="4">
        <v>755</v>
      </c>
      <c r="H54" s="4">
        <v>7.7</v>
      </c>
      <c r="I54" s="4">
        <v>0.499</v>
      </c>
      <c r="J54" s="4">
        <v>0.47699999999999998</v>
      </c>
      <c r="K54" s="4">
        <v>0.34799999999999998</v>
      </c>
      <c r="L54" s="4">
        <v>0.159</v>
      </c>
      <c r="M54" s="4">
        <v>6.6</v>
      </c>
      <c r="N54" s="4">
        <v>10.6</v>
      </c>
      <c r="O54" s="4">
        <v>5.5</v>
      </c>
      <c r="P54" s="4">
        <v>1.8</v>
      </c>
      <c r="Q54" s="4">
        <v>1.1000000000000001</v>
      </c>
      <c r="R54" s="4">
        <v>22.9</v>
      </c>
      <c r="S54" s="4">
        <v>10.5</v>
      </c>
      <c r="T54" s="4">
        <v>91</v>
      </c>
      <c r="U54" s="4">
        <v>97</v>
      </c>
      <c r="V54" s="4"/>
      <c r="W54" s="4">
        <v>0</v>
      </c>
      <c r="X54" s="4">
        <v>1.2</v>
      </c>
      <c r="Y54" s="4">
        <v>1.2</v>
      </c>
      <c r="Z54" s="4">
        <v>6.4000000000000001E-2</v>
      </c>
      <c r="AA54" s="13">
        <f>(I54/TOTAL_BASIC!$D$301)*100</f>
        <v>98.42784319074994</v>
      </c>
      <c r="AB54" s="5">
        <f t="shared" si="3"/>
        <v>0.91</v>
      </c>
      <c r="AC54" s="3">
        <f t="shared" si="1"/>
        <v>-6</v>
      </c>
      <c r="AD54" s="9">
        <f t="shared" si="4"/>
        <v>0.998</v>
      </c>
      <c r="AE54" s="16">
        <f t="shared" si="5"/>
        <v>0.52380952380952384</v>
      </c>
      <c r="AF54" s="16">
        <f t="shared" si="6"/>
        <v>0.24017467248908297</v>
      </c>
      <c r="AG54" s="9"/>
      <c r="AH54" s="9"/>
      <c r="AI54" s="12">
        <f t="shared" si="7"/>
        <v>65.600000000000009</v>
      </c>
      <c r="AJ54" s="12">
        <f t="shared" si="8"/>
        <v>61</v>
      </c>
      <c r="AK54" s="12">
        <f t="shared" si="8"/>
        <v>16.7</v>
      </c>
      <c r="AL54" s="12">
        <f t="shared" si="8"/>
        <v>54.1</v>
      </c>
      <c r="AM54" s="12">
        <f t="shared" si="8"/>
        <v>68.7</v>
      </c>
      <c r="AN54" s="12">
        <f t="shared" si="8"/>
        <v>74.8</v>
      </c>
      <c r="AO54" s="12">
        <f t="shared" si="14"/>
        <v>20.599999999999998</v>
      </c>
      <c r="AP54" s="12">
        <f t="shared" si="14"/>
        <v>63.3</v>
      </c>
      <c r="AQ54" s="12">
        <f t="shared" si="14"/>
        <v>63.3</v>
      </c>
      <c r="AR54" s="12">
        <f t="shared" si="14"/>
        <v>10.6</v>
      </c>
      <c r="AS54" s="12">
        <f t="shared" si="15"/>
        <v>48.8</v>
      </c>
      <c r="AT54" s="12">
        <f t="shared" si="15"/>
        <v>48</v>
      </c>
      <c r="AU54" s="12">
        <f t="shared" si="9"/>
        <v>13</v>
      </c>
      <c r="AV54" s="12">
        <f t="shared" si="15"/>
        <v>2.1999999999999997</v>
      </c>
      <c r="AW54" s="12">
        <f t="shared" si="16"/>
        <v>30.5</v>
      </c>
      <c r="AX54" s="12">
        <f t="shared" si="10"/>
        <v>76.400000000000006</v>
      </c>
      <c r="AY54" s="9"/>
      <c r="AZ54" s="12">
        <f t="shared" si="17"/>
        <v>29.7</v>
      </c>
      <c r="BA54" s="12">
        <f t="shared" si="13"/>
        <v>82.399999999999991</v>
      </c>
      <c r="BB54" s="12">
        <f t="shared" si="11"/>
        <v>54.1</v>
      </c>
      <c r="BC54" s="12">
        <f t="shared" si="11"/>
        <v>41.199999999999996</v>
      </c>
      <c r="BD54" s="12">
        <f t="shared" si="11"/>
        <v>54.1</v>
      </c>
      <c r="BE54" s="12">
        <f t="shared" si="11"/>
        <v>30.5</v>
      </c>
      <c r="BF54" s="12">
        <f t="shared" si="12"/>
        <v>38.9</v>
      </c>
      <c r="BG54" s="12">
        <f t="shared" si="12"/>
        <v>54.1</v>
      </c>
      <c r="BH54" s="12">
        <f t="shared" si="12"/>
        <v>36.6</v>
      </c>
      <c r="BI54" s="12">
        <f t="shared" si="12"/>
        <v>8.3000000000000007</v>
      </c>
    </row>
    <row r="55" spans="1:61" ht="15.75" customHeight="1" x14ac:dyDescent="0.25">
      <c r="A55" s="1" t="s">
        <v>154</v>
      </c>
      <c r="B55" s="3" t="s">
        <v>99</v>
      </c>
      <c r="C55" s="4" t="s">
        <v>8</v>
      </c>
      <c r="D55" s="4">
        <v>34</v>
      </c>
      <c r="E55" s="4">
        <v>753</v>
      </c>
      <c r="F55" s="4">
        <v>34</v>
      </c>
      <c r="G55" s="4">
        <v>753</v>
      </c>
      <c r="H55" s="4">
        <v>12.6</v>
      </c>
      <c r="I55" s="4">
        <v>0.46700000000000003</v>
      </c>
      <c r="J55" s="4">
        <v>0.44700000000000001</v>
      </c>
      <c r="K55" s="4">
        <v>0.29899999999999999</v>
      </c>
      <c r="L55" s="4">
        <v>0.13400000000000001</v>
      </c>
      <c r="M55" s="4">
        <v>1.6</v>
      </c>
      <c r="N55" s="4">
        <v>3.6</v>
      </c>
      <c r="O55" s="4">
        <v>21.8</v>
      </c>
      <c r="P55" s="4">
        <v>2.2999999999999998</v>
      </c>
      <c r="Q55" s="4">
        <v>0.3</v>
      </c>
      <c r="R55" s="4">
        <v>11.5</v>
      </c>
      <c r="S55" s="4">
        <v>19.5</v>
      </c>
      <c r="T55" s="4">
        <v>98</v>
      </c>
      <c r="U55" s="4">
        <v>99</v>
      </c>
      <c r="V55" s="4"/>
      <c r="W55" s="4">
        <v>0.9</v>
      </c>
      <c r="X55" s="4">
        <v>0.9</v>
      </c>
      <c r="Y55" s="4">
        <v>1.7</v>
      </c>
      <c r="Z55" s="4">
        <v>9.1999999999999998E-2</v>
      </c>
      <c r="AA55" s="13">
        <f>(I55/TOTAL_BASIC!$D$301)*100</f>
        <v>92.115837214589618</v>
      </c>
      <c r="AB55" s="5">
        <f t="shared" si="3"/>
        <v>0.98</v>
      </c>
      <c r="AC55" s="3">
        <f t="shared" si="1"/>
        <v>-1</v>
      </c>
      <c r="AD55" s="9">
        <f t="shared" si="4"/>
        <v>0.93400000000000005</v>
      </c>
      <c r="AE55" s="16">
        <f t="shared" si="5"/>
        <v>1.117948717948718</v>
      </c>
      <c r="AF55" s="16">
        <f t="shared" si="6"/>
        <v>1.8956521739130436</v>
      </c>
      <c r="AG55" s="9"/>
      <c r="AH55" s="9"/>
      <c r="AI55" s="12">
        <f t="shared" si="7"/>
        <v>65.600000000000009</v>
      </c>
      <c r="AJ55" s="12">
        <f t="shared" si="8"/>
        <v>60.3</v>
      </c>
      <c r="AK55" s="12">
        <f t="shared" si="8"/>
        <v>48</v>
      </c>
      <c r="AL55" s="12">
        <f t="shared" si="8"/>
        <v>36.6</v>
      </c>
      <c r="AM55" s="12">
        <f t="shared" si="8"/>
        <v>48</v>
      </c>
      <c r="AN55" s="12">
        <f t="shared" si="8"/>
        <v>67.100000000000009</v>
      </c>
      <c r="AO55" s="12">
        <f t="shared" si="14"/>
        <v>11.4</v>
      </c>
      <c r="AP55" s="12">
        <f t="shared" si="14"/>
        <v>9.1</v>
      </c>
      <c r="AQ55" s="12">
        <f t="shared" si="14"/>
        <v>0.70000000000000007</v>
      </c>
      <c r="AR55" s="12">
        <f t="shared" si="14"/>
        <v>84.7</v>
      </c>
      <c r="AS55" s="12">
        <f t="shared" si="15"/>
        <v>71.7</v>
      </c>
      <c r="AT55" s="12">
        <f t="shared" si="15"/>
        <v>6.8000000000000007</v>
      </c>
      <c r="AU55" s="12">
        <f t="shared" si="9"/>
        <v>81.7</v>
      </c>
      <c r="AV55" s="12">
        <f t="shared" si="15"/>
        <v>52.6</v>
      </c>
      <c r="AW55" s="12">
        <f t="shared" si="16"/>
        <v>51.9</v>
      </c>
      <c r="AX55" s="12">
        <f t="shared" si="10"/>
        <v>63.4</v>
      </c>
      <c r="AY55" s="9"/>
      <c r="AZ55" s="12">
        <f t="shared" si="17"/>
        <v>61.8</v>
      </c>
      <c r="BA55" s="12">
        <f t="shared" si="13"/>
        <v>64.8</v>
      </c>
      <c r="BB55" s="12">
        <f t="shared" si="11"/>
        <v>63.3</v>
      </c>
      <c r="BC55" s="12">
        <f t="shared" si="11"/>
        <v>56.399999999999991</v>
      </c>
      <c r="BD55" s="12">
        <f t="shared" si="11"/>
        <v>36.6</v>
      </c>
      <c r="BE55" s="12">
        <f t="shared" si="11"/>
        <v>51.9</v>
      </c>
      <c r="BF55" s="12">
        <f t="shared" si="12"/>
        <v>52.6</v>
      </c>
      <c r="BG55" s="12">
        <f t="shared" si="12"/>
        <v>36.6</v>
      </c>
      <c r="BH55" s="12">
        <f t="shared" si="12"/>
        <v>84.7</v>
      </c>
      <c r="BI55" s="12">
        <f t="shared" si="12"/>
        <v>93.100000000000009</v>
      </c>
    </row>
    <row r="56" spans="1:61" ht="15.75" customHeight="1" x14ac:dyDescent="0.25">
      <c r="A56" s="1" t="s">
        <v>155</v>
      </c>
      <c r="B56" s="3" t="s">
        <v>91</v>
      </c>
      <c r="C56" s="4" t="s">
        <v>8</v>
      </c>
      <c r="D56" s="4">
        <v>33</v>
      </c>
      <c r="E56" s="4">
        <v>743</v>
      </c>
      <c r="F56" s="4">
        <v>33</v>
      </c>
      <c r="G56" s="4">
        <v>743</v>
      </c>
      <c r="H56" s="4">
        <v>13.7</v>
      </c>
      <c r="I56" s="4">
        <v>0.505</v>
      </c>
      <c r="J56" s="4">
        <v>0.44700000000000001</v>
      </c>
      <c r="K56" s="4">
        <v>0.152</v>
      </c>
      <c r="L56" s="4">
        <v>0.33500000000000002</v>
      </c>
      <c r="M56" s="4">
        <v>3.3</v>
      </c>
      <c r="N56" s="4">
        <v>7.5</v>
      </c>
      <c r="O56" s="4">
        <v>15.4</v>
      </c>
      <c r="P56" s="4">
        <v>2.4</v>
      </c>
      <c r="Q56" s="4">
        <v>0.7</v>
      </c>
      <c r="R56" s="4">
        <v>16.399999999999999</v>
      </c>
      <c r="S56" s="4">
        <v>21.5</v>
      </c>
      <c r="T56" s="4">
        <v>98</v>
      </c>
      <c r="U56" s="4">
        <v>97</v>
      </c>
      <c r="V56" s="4"/>
      <c r="W56" s="4">
        <v>1</v>
      </c>
      <c r="X56" s="4">
        <v>1.1000000000000001</v>
      </c>
      <c r="Y56" s="4">
        <v>2.1</v>
      </c>
      <c r="Z56" s="4">
        <v>0.111</v>
      </c>
      <c r="AA56" s="13">
        <f>(I56/TOTAL_BASIC!$D$301)*100</f>
        <v>99.611344311279993</v>
      </c>
      <c r="AB56" s="5">
        <f t="shared" si="3"/>
        <v>0.98</v>
      </c>
      <c r="AC56" s="3">
        <f t="shared" si="1"/>
        <v>1</v>
      </c>
      <c r="AD56" s="9">
        <f t="shared" si="4"/>
        <v>1.01</v>
      </c>
      <c r="AE56" s="16">
        <f t="shared" si="5"/>
        <v>0.71627906976744182</v>
      </c>
      <c r="AF56" s="16">
        <f t="shared" si="6"/>
        <v>0.9390243902439025</v>
      </c>
      <c r="AG56" s="9"/>
      <c r="AH56" s="9"/>
      <c r="AI56" s="12">
        <f t="shared" si="7"/>
        <v>54.900000000000006</v>
      </c>
      <c r="AJ56" s="12">
        <f t="shared" si="8"/>
        <v>59.5</v>
      </c>
      <c r="AK56" s="12">
        <f t="shared" si="8"/>
        <v>54.900000000000006</v>
      </c>
      <c r="AL56" s="12">
        <f t="shared" si="8"/>
        <v>57.199999999999996</v>
      </c>
      <c r="AM56" s="12">
        <f t="shared" si="8"/>
        <v>48</v>
      </c>
      <c r="AN56" s="12">
        <f t="shared" si="8"/>
        <v>41.199999999999996</v>
      </c>
      <c r="AO56" s="12">
        <f t="shared" si="14"/>
        <v>70.199999999999989</v>
      </c>
      <c r="AP56" s="12">
        <f t="shared" si="14"/>
        <v>30.5</v>
      </c>
      <c r="AQ56" s="12">
        <f t="shared" si="14"/>
        <v>38.1</v>
      </c>
      <c r="AR56" s="12">
        <f t="shared" si="14"/>
        <v>68.7</v>
      </c>
      <c r="AS56" s="12">
        <f t="shared" si="15"/>
        <v>77.8</v>
      </c>
      <c r="AT56" s="12">
        <f t="shared" si="15"/>
        <v>28.199999999999996</v>
      </c>
      <c r="AU56" s="12">
        <f t="shared" si="9"/>
        <v>51.2</v>
      </c>
      <c r="AV56" s="12">
        <f t="shared" si="15"/>
        <v>71.7</v>
      </c>
      <c r="AW56" s="12">
        <f t="shared" si="16"/>
        <v>51.9</v>
      </c>
      <c r="AX56" s="12">
        <f t="shared" si="10"/>
        <v>76.400000000000006</v>
      </c>
      <c r="AY56" s="9"/>
      <c r="AZ56" s="12">
        <f t="shared" si="17"/>
        <v>63.3</v>
      </c>
      <c r="BA56" s="12">
        <f t="shared" si="13"/>
        <v>76.3</v>
      </c>
      <c r="BB56" s="12">
        <f t="shared" si="11"/>
        <v>70.199999999999989</v>
      </c>
      <c r="BC56" s="12">
        <f t="shared" si="11"/>
        <v>66.400000000000006</v>
      </c>
      <c r="BD56" s="12">
        <f t="shared" si="11"/>
        <v>57.199999999999996</v>
      </c>
      <c r="BE56" s="12">
        <f t="shared" si="11"/>
        <v>51.9</v>
      </c>
      <c r="BF56" s="12">
        <f t="shared" si="12"/>
        <v>59.5</v>
      </c>
      <c r="BG56" s="12">
        <f t="shared" si="12"/>
        <v>57.199999999999996</v>
      </c>
      <c r="BH56" s="12">
        <f t="shared" si="12"/>
        <v>55.7</v>
      </c>
      <c r="BI56" s="12">
        <f t="shared" si="12"/>
        <v>64.8</v>
      </c>
    </row>
    <row r="57" spans="1:61" ht="15.75" customHeight="1" x14ac:dyDescent="0.25">
      <c r="A57" s="1" t="s">
        <v>156</v>
      </c>
      <c r="B57" s="3" t="s">
        <v>104</v>
      </c>
      <c r="C57" s="4" t="s">
        <v>157</v>
      </c>
      <c r="D57" s="4">
        <v>34</v>
      </c>
      <c r="E57" s="4">
        <v>740</v>
      </c>
      <c r="F57" s="4">
        <v>34</v>
      </c>
      <c r="G57" s="4">
        <v>740</v>
      </c>
      <c r="H57" s="4">
        <v>15</v>
      </c>
      <c r="I57" s="4">
        <v>0.504</v>
      </c>
      <c r="J57" s="4">
        <v>0.48099999999999998</v>
      </c>
      <c r="K57" s="4">
        <v>0</v>
      </c>
      <c r="L57" s="4">
        <v>0.20699999999999999</v>
      </c>
      <c r="M57" s="4">
        <v>13.1</v>
      </c>
      <c r="N57" s="4">
        <v>17</v>
      </c>
      <c r="O57" s="4">
        <v>11</v>
      </c>
      <c r="P57" s="4">
        <v>1.6</v>
      </c>
      <c r="Q57" s="4">
        <v>1.5</v>
      </c>
      <c r="R57" s="4">
        <v>20.7</v>
      </c>
      <c r="S57" s="4">
        <v>22.5</v>
      </c>
      <c r="T57" s="4">
        <v>92</v>
      </c>
      <c r="U57" s="4">
        <v>98</v>
      </c>
      <c r="V57" s="4"/>
      <c r="W57" s="4">
        <v>0.1</v>
      </c>
      <c r="X57" s="4">
        <v>1</v>
      </c>
      <c r="Y57" s="4">
        <v>1.1000000000000001</v>
      </c>
      <c r="Z57" s="4">
        <v>6.2E-2</v>
      </c>
      <c r="AA57" s="13">
        <f>(I57/TOTAL_BASIC!$D$301)*100</f>
        <v>99.414094124524993</v>
      </c>
      <c r="AB57" s="5">
        <f t="shared" si="3"/>
        <v>0.92</v>
      </c>
      <c r="AC57" s="3">
        <f t="shared" si="1"/>
        <v>-6</v>
      </c>
      <c r="AD57" s="9">
        <f t="shared" si="4"/>
        <v>1.008</v>
      </c>
      <c r="AE57" s="16">
        <f t="shared" si="5"/>
        <v>0.48888888888888887</v>
      </c>
      <c r="AF57" s="16">
        <f t="shared" si="6"/>
        <v>0.53140096618357491</v>
      </c>
      <c r="AG57" s="9"/>
      <c r="AH57" s="9"/>
      <c r="AI57" s="12">
        <f t="shared" si="7"/>
        <v>65.600000000000009</v>
      </c>
      <c r="AJ57" s="12">
        <f t="shared" si="8"/>
        <v>57.999999999999993</v>
      </c>
      <c r="AK57" s="12">
        <f t="shared" si="8"/>
        <v>65.600000000000009</v>
      </c>
      <c r="AL57" s="12">
        <f t="shared" si="8"/>
        <v>55.7</v>
      </c>
      <c r="AM57" s="12">
        <f t="shared" si="8"/>
        <v>71.7</v>
      </c>
      <c r="AN57" s="12">
        <f t="shared" si="8"/>
        <v>0</v>
      </c>
      <c r="AO57" s="12">
        <f t="shared" si="14"/>
        <v>35.099999999999994</v>
      </c>
      <c r="AP57" s="12">
        <f t="shared" si="14"/>
        <v>96.1</v>
      </c>
      <c r="AQ57" s="12">
        <f t="shared" si="14"/>
        <v>89.3</v>
      </c>
      <c r="AR57" s="12">
        <f t="shared" si="14"/>
        <v>48</v>
      </c>
      <c r="AS57" s="12">
        <f t="shared" si="15"/>
        <v>36.6</v>
      </c>
      <c r="AT57" s="12">
        <f t="shared" si="15"/>
        <v>63.3</v>
      </c>
      <c r="AU57" s="12">
        <f t="shared" si="9"/>
        <v>19.899999999999991</v>
      </c>
      <c r="AV57" s="12">
        <f t="shared" si="15"/>
        <v>79.3</v>
      </c>
      <c r="AW57" s="12">
        <f t="shared" si="16"/>
        <v>32.800000000000004</v>
      </c>
      <c r="AX57" s="12">
        <f t="shared" si="10"/>
        <v>68</v>
      </c>
      <c r="AY57" s="9"/>
      <c r="AZ57" s="12">
        <f t="shared" si="17"/>
        <v>34.300000000000004</v>
      </c>
      <c r="BA57" s="12">
        <f t="shared" si="13"/>
        <v>73.2</v>
      </c>
      <c r="BB57" s="12">
        <f t="shared" si="11"/>
        <v>48.8</v>
      </c>
      <c r="BC57" s="12">
        <f t="shared" si="11"/>
        <v>39.6</v>
      </c>
      <c r="BD57" s="12">
        <f t="shared" si="11"/>
        <v>55.7</v>
      </c>
      <c r="BE57" s="12">
        <f t="shared" si="11"/>
        <v>32.800000000000004</v>
      </c>
      <c r="BF57" s="12">
        <f t="shared" si="12"/>
        <v>38.9</v>
      </c>
      <c r="BG57" s="12">
        <f t="shared" si="12"/>
        <v>55.7</v>
      </c>
      <c r="BH57" s="12">
        <f t="shared" si="12"/>
        <v>32.800000000000004</v>
      </c>
      <c r="BI57" s="12">
        <f t="shared" si="12"/>
        <v>25.1</v>
      </c>
    </row>
    <row r="58" spans="1:61" ht="15.75" customHeight="1" x14ac:dyDescent="0.25">
      <c r="A58" s="1" t="s">
        <v>158</v>
      </c>
      <c r="B58" s="4" t="s">
        <v>97</v>
      </c>
      <c r="C58" s="4" t="s">
        <v>8</v>
      </c>
      <c r="D58" s="4">
        <v>33</v>
      </c>
      <c r="E58" s="4">
        <v>740</v>
      </c>
      <c r="F58" s="4">
        <v>33</v>
      </c>
      <c r="G58" s="4">
        <v>740</v>
      </c>
      <c r="H58" s="4">
        <v>8</v>
      </c>
      <c r="I58" s="4">
        <v>0.435</v>
      </c>
      <c r="J58" s="4">
        <v>0.40100000000000002</v>
      </c>
      <c r="K58" s="4">
        <v>0.58399999999999996</v>
      </c>
      <c r="L58" s="4">
        <v>0.14199999999999999</v>
      </c>
      <c r="M58" s="4">
        <v>1.5</v>
      </c>
      <c r="N58" s="4">
        <v>4.4000000000000004</v>
      </c>
      <c r="O58" s="4">
        <v>5.7</v>
      </c>
      <c r="P58" s="4">
        <v>1.1000000000000001</v>
      </c>
      <c r="Q58" s="4">
        <v>1.2</v>
      </c>
      <c r="R58" s="4">
        <v>7.8</v>
      </c>
      <c r="S58" s="4">
        <v>18.899999999999999</v>
      </c>
      <c r="T58" s="4">
        <v>90</v>
      </c>
      <c r="U58" s="4">
        <v>108</v>
      </c>
      <c r="V58" s="4"/>
      <c r="W58" s="4">
        <v>-0.1</v>
      </c>
      <c r="X58" s="4">
        <v>-0.1</v>
      </c>
      <c r="Y58" s="4">
        <v>-0.2</v>
      </c>
      <c r="Z58" s="4">
        <v>-1.0999999999999999E-2</v>
      </c>
      <c r="AA58" s="13">
        <f>(I58/TOTAL_BASIC!$D$301)*100</f>
        <v>85.803831238429311</v>
      </c>
      <c r="AB58" s="5">
        <f t="shared" si="3"/>
        <v>0.9</v>
      </c>
      <c r="AC58" s="3">
        <f t="shared" si="1"/>
        <v>-18</v>
      </c>
      <c r="AD58" s="9">
        <f t="shared" si="4"/>
        <v>0.87</v>
      </c>
      <c r="AE58" s="16">
        <f t="shared" si="5"/>
        <v>0.30158730158730163</v>
      </c>
      <c r="AF58" s="16">
        <f t="shared" si="6"/>
        <v>0.73076923076923084</v>
      </c>
      <c r="AG58" s="9"/>
      <c r="AH58" s="9"/>
      <c r="AI58" s="12">
        <f t="shared" si="7"/>
        <v>54.900000000000006</v>
      </c>
      <c r="AJ58" s="12">
        <f t="shared" si="8"/>
        <v>57.999999999999993</v>
      </c>
      <c r="AK58" s="12">
        <f t="shared" si="8"/>
        <v>19.8</v>
      </c>
      <c r="AL58" s="12">
        <f t="shared" si="8"/>
        <v>17.5</v>
      </c>
      <c r="AM58" s="12">
        <f t="shared" si="8"/>
        <v>26.700000000000003</v>
      </c>
      <c r="AN58" s="12">
        <f t="shared" si="8"/>
        <v>96.1</v>
      </c>
      <c r="AO58" s="12">
        <f t="shared" si="14"/>
        <v>13.700000000000001</v>
      </c>
      <c r="AP58" s="12">
        <f t="shared" si="14"/>
        <v>6.8000000000000007</v>
      </c>
      <c r="AQ58" s="12">
        <f t="shared" si="14"/>
        <v>6.8000000000000007</v>
      </c>
      <c r="AR58" s="12">
        <f t="shared" si="14"/>
        <v>11.4</v>
      </c>
      <c r="AS58" s="12">
        <f t="shared" si="15"/>
        <v>13.700000000000001</v>
      </c>
      <c r="AT58" s="12">
        <f t="shared" si="15"/>
        <v>55.7</v>
      </c>
      <c r="AU58" s="12">
        <f t="shared" si="9"/>
        <v>98.5</v>
      </c>
      <c r="AV58" s="12">
        <f t="shared" si="15"/>
        <v>50.3</v>
      </c>
      <c r="AW58" s="12">
        <f t="shared" si="16"/>
        <v>26.700000000000003</v>
      </c>
      <c r="AX58" s="12">
        <f t="shared" si="10"/>
        <v>0</v>
      </c>
      <c r="AY58" s="9"/>
      <c r="AZ58" s="12">
        <f t="shared" si="17"/>
        <v>23.599999999999998</v>
      </c>
      <c r="BA58" s="12">
        <f t="shared" si="13"/>
        <v>0</v>
      </c>
      <c r="BB58" s="12">
        <f t="shared" si="11"/>
        <v>9.1</v>
      </c>
      <c r="BC58" s="12">
        <f t="shared" si="11"/>
        <v>14.499999999999998</v>
      </c>
      <c r="BD58" s="12">
        <f t="shared" si="11"/>
        <v>17.5</v>
      </c>
      <c r="BE58" s="12">
        <f t="shared" si="11"/>
        <v>26.700000000000003</v>
      </c>
      <c r="BF58" s="12">
        <f t="shared" si="12"/>
        <v>15.2</v>
      </c>
      <c r="BG58" s="12">
        <f t="shared" si="12"/>
        <v>17.5</v>
      </c>
      <c r="BH58" s="12">
        <f t="shared" si="12"/>
        <v>9.9</v>
      </c>
      <c r="BI58" s="12">
        <f t="shared" si="12"/>
        <v>51.1</v>
      </c>
    </row>
    <row r="59" spans="1:61" ht="15.75" customHeight="1" x14ac:dyDescent="0.25">
      <c r="A59" s="1" t="s">
        <v>159</v>
      </c>
      <c r="B59" s="3" t="s">
        <v>141</v>
      </c>
      <c r="C59" s="4" t="s">
        <v>92</v>
      </c>
      <c r="D59" s="4">
        <v>32</v>
      </c>
      <c r="E59" s="4">
        <v>715</v>
      </c>
      <c r="F59" s="4">
        <v>32</v>
      </c>
      <c r="G59" s="4">
        <v>715</v>
      </c>
      <c r="H59" s="4">
        <v>12.8</v>
      </c>
      <c r="I59" s="4">
        <v>0.53700000000000003</v>
      </c>
      <c r="J59" s="4">
        <v>0.51100000000000001</v>
      </c>
      <c r="K59" s="4">
        <v>0.58299999999999996</v>
      </c>
      <c r="L59" s="4">
        <v>0.15</v>
      </c>
      <c r="M59" s="4">
        <v>4.9000000000000004</v>
      </c>
      <c r="N59" s="4">
        <v>9.9</v>
      </c>
      <c r="O59" s="4">
        <v>10.3</v>
      </c>
      <c r="P59" s="4">
        <v>1.8</v>
      </c>
      <c r="Q59" s="4">
        <v>0.7</v>
      </c>
      <c r="R59" s="4">
        <v>13.1</v>
      </c>
      <c r="S59" s="4">
        <v>13.9</v>
      </c>
      <c r="T59" s="4">
        <v>108</v>
      </c>
      <c r="U59" s="4">
        <v>103</v>
      </c>
      <c r="V59" s="4"/>
      <c r="W59" s="4">
        <v>1.3</v>
      </c>
      <c r="X59" s="4">
        <v>0.4</v>
      </c>
      <c r="Y59" s="4">
        <v>1.7</v>
      </c>
      <c r="Z59" s="4">
        <v>9.4E-2</v>
      </c>
      <c r="AA59" s="13">
        <f>(I59/TOTAL_BASIC!$D$301)*100</f>
        <v>105.92335028744031</v>
      </c>
      <c r="AB59" s="5">
        <f t="shared" si="3"/>
        <v>1.08</v>
      </c>
      <c r="AC59" s="3">
        <f t="shared" si="1"/>
        <v>5</v>
      </c>
      <c r="AD59" s="9">
        <f t="shared" si="4"/>
        <v>1.0740000000000001</v>
      </c>
      <c r="AE59" s="16">
        <f t="shared" si="5"/>
        <v>0.74100719424460437</v>
      </c>
      <c r="AF59" s="16">
        <f t="shared" si="6"/>
        <v>0.78625954198473291</v>
      </c>
      <c r="AG59" s="9"/>
      <c r="AH59" s="9"/>
      <c r="AI59" s="12">
        <f t="shared" si="7"/>
        <v>45</v>
      </c>
      <c r="AJ59" s="12">
        <f t="shared" si="8"/>
        <v>57.199999999999996</v>
      </c>
      <c r="AK59" s="12">
        <f t="shared" si="8"/>
        <v>50.3</v>
      </c>
      <c r="AL59" s="12">
        <f t="shared" si="8"/>
        <v>75.5</v>
      </c>
      <c r="AM59" s="12">
        <f t="shared" si="8"/>
        <v>80.100000000000009</v>
      </c>
      <c r="AN59" s="12">
        <f t="shared" si="8"/>
        <v>95.399999999999991</v>
      </c>
      <c r="AO59" s="12">
        <f t="shared" si="14"/>
        <v>16.7</v>
      </c>
      <c r="AP59" s="12">
        <f t="shared" si="14"/>
        <v>51.9</v>
      </c>
      <c r="AQ59" s="12">
        <f t="shared" si="14"/>
        <v>55.7</v>
      </c>
      <c r="AR59" s="12">
        <f t="shared" si="14"/>
        <v>42.699999999999996</v>
      </c>
      <c r="AS59" s="12">
        <f t="shared" si="15"/>
        <v>48.8</v>
      </c>
      <c r="AT59" s="12">
        <f t="shared" si="15"/>
        <v>28.199999999999996</v>
      </c>
      <c r="AU59" s="12">
        <f t="shared" si="9"/>
        <v>73.3</v>
      </c>
      <c r="AV59" s="12">
        <f t="shared" si="15"/>
        <v>16.7</v>
      </c>
      <c r="AW59" s="12">
        <f t="shared" si="16"/>
        <v>78.600000000000009</v>
      </c>
      <c r="AX59" s="12">
        <f t="shared" si="10"/>
        <v>22.200000000000003</v>
      </c>
      <c r="AY59" s="9"/>
      <c r="AZ59" s="12">
        <f t="shared" si="17"/>
        <v>72.5</v>
      </c>
      <c r="BA59" s="12">
        <f t="shared" si="13"/>
        <v>35.799999999999997</v>
      </c>
      <c r="BB59" s="12">
        <f t="shared" si="11"/>
        <v>63.3</v>
      </c>
      <c r="BC59" s="12">
        <f t="shared" si="11"/>
        <v>57.199999999999996</v>
      </c>
      <c r="BD59" s="12">
        <f t="shared" si="11"/>
        <v>75.5</v>
      </c>
      <c r="BE59" s="12">
        <f t="shared" si="11"/>
        <v>78.600000000000009</v>
      </c>
      <c r="BF59" s="12">
        <f t="shared" si="12"/>
        <v>70.199999999999989</v>
      </c>
      <c r="BG59" s="12">
        <f t="shared" si="12"/>
        <v>75.5</v>
      </c>
      <c r="BH59" s="12">
        <f t="shared" si="12"/>
        <v>58.699999999999996</v>
      </c>
      <c r="BI59" s="12">
        <f t="shared" si="12"/>
        <v>54.900000000000006</v>
      </c>
    </row>
    <row r="60" spans="1:61" ht="15.75" customHeight="1" x14ac:dyDescent="0.25">
      <c r="A60" s="1" t="s">
        <v>160</v>
      </c>
      <c r="B60" s="4" t="s">
        <v>108</v>
      </c>
      <c r="C60" s="4" t="s">
        <v>87</v>
      </c>
      <c r="D60" s="4">
        <v>32</v>
      </c>
      <c r="E60" s="4">
        <v>703</v>
      </c>
      <c r="F60" s="4">
        <v>32</v>
      </c>
      <c r="G60" s="4">
        <v>703</v>
      </c>
      <c r="H60" s="4">
        <v>10.5</v>
      </c>
      <c r="I60" s="4">
        <v>0.498</v>
      </c>
      <c r="J60" s="4">
        <v>0.46200000000000002</v>
      </c>
      <c r="K60" s="4">
        <v>4.2999999999999997E-2</v>
      </c>
      <c r="L60" s="4">
        <v>0.184</v>
      </c>
      <c r="M60" s="4">
        <v>2.2999999999999998</v>
      </c>
      <c r="N60" s="4">
        <v>6.1</v>
      </c>
      <c r="O60" s="4">
        <v>9.6999999999999993</v>
      </c>
      <c r="P60" s="4">
        <v>2.9</v>
      </c>
      <c r="Q60" s="4">
        <v>1.1000000000000001</v>
      </c>
      <c r="R60" s="4">
        <v>17.399999999999999</v>
      </c>
      <c r="S60" s="4">
        <v>15.6</v>
      </c>
      <c r="T60" s="4">
        <v>93</v>
      </c>
      <c r="U60" s="4">
        <v>96</v>
      </c>
      <c r="V60" s="4"/>
      <c r="W60" s="4">
        <v>0.2</v>
      </c>
      <c r="X60" s="4">
        <v>1.1000000000000001</v>
      </c>
      <c r="Y60" s="4">
        <v>1.3</v>
      </c>
      <c r="Z60" s="4">
        <v>7.4999999999999997E-2</v>
      </c>
      <c r="AA60" s="13">
        <f>(I60/TOTAL_BASIC!$D$301)*100</f>
        <v>98.230593003994926</v>
      </c>
      <c r="AB60" s="5">
        <f t="shared" si="3"/>
        <v>0.93</v>
      </c>
      <c r="AC60" s="3">
        <f t="shared" si="1"/>
        <v>-3</v>
      </c>
      <c r="AD60" s="9">
        <f t="shared" si="4"/>
        <v>0.996</v>
      </c>
      <c r="AE60" s="16">
        <f t="shared" si="5"/>
        <v>0.62179487179487181</v>
      </c>
      <c r="AF60" s="16">
        <f t="shared" si="6"/>
        <v>0.55747126436781613</v>
      </c>
      <c r="AG60" s="9"/>
      <c r="AH60" s="9"/>
      <c r="AI60" s="12">
        <f t="shared" si="7"/>
        <v>45</v>
      </c>
      <c r="AJ60" s="12">
        <f t="shared" si="8"/>
        <v>56.399999999999991</v>
      </c>
      <c r="AK60" s="12">
        <f t="shared" si="8"/>
        <v>36.6</v>
      </c>
      <c r="AL60" s="12">
        <f t="shared" si="8"/>
        <v>53.400000000000006</v>
      </c>
      <c r="AM60" s="12">
        <f t="shared" si="8"/>
        <v>61</v>
      </c>
      <c r="AN60" s="12">
        <f t="shared" si="8"/>
        <v>32</v>
      </c>
      <c r="AO60" s="12">
        <f t="shared" si="14"/>
        <v>28.199999999999996</v>
      </c>
      <c r="AP60" s="12">
        <f t="shared" si="14"/>
        <v>17.5</v>
      </c>
      <c r="AQ60" s="12">
        <f t="shared" si="14"/>
        <v>25.1</v>
      </c>
      <c r="AR60" s="12">
        <f t="shared" si="14"/>
        <v>38.1</v>
      </c>
      <c r="AS60" s="12">
        <f t="shared" si="15"/>
        <v>87.7</v>
      </c>
      <c r="AT60" s="12">
        <f t="shared" si="15"/>
        <v>48</v>
      </c>
      <c r="AU60" s="12">
        <f t="shared" si="9"/>
        <v>40.5</v>
      </c>
      <c r="AV60" s="12">
        <f t="shared" si="15"/>
        <v>25.900000000000002</v>
      </c>
      <c r="AW60" s="12">
        <f t="shared" si="16"/>
        <v>38.1</v>
      </c>
      <c r="AX60" s="12">
        <f t="shared" si="10"/>
        <v>83.3</v>
      </c>
      <c r="AY60" s="9"/>
      <c r="AZ60" s="12">
        <f t="shared" si="17"/>
        <v>40.400000000000006</v>
      </c>
      <c r="BA60" s="12">
        <f t="shared" si="13"/>
        <v>76.3</v>
      </c>
      <c r="BB60" s="12">
        <f t="shared" si="11"/>
        <v>55.7</v>
      </c>
      <c r="BC60" s="12">
        <f t="shared" si="11"/>
        <v>46.5</v>
      </c>
      <c r="BD60" s="12">
        <f t="shared" si="11"/>
        <v>53.400000000000006</v>
      </c>
      <c r="BE60" s="12">
        <f t="shared" si="11"/>
        <v>38.1</v>
      </c>
      <c r="BF60" s="12">
        <f t="shared" si="12"/>
        <v>47.3</v>
      </c>
      <c r="BG60" s="12">
        <f t="shared" si="12"/>
        <v>53.400000000000006</v>
      </c>
      <c r="BH60" s="12">
        <f t="shared" si="12"/>
        <v>48.8</v>
      </c>
      <c r="BI60" s="12">
        <f t="shared" si="12"/>
        <v>28.199999999999996</v>
      </c>
    </row>
    <row r="61" spans="1:61" ht="15.75" customHeight="1" x14ac:dyDescent="0.25">
      <c r="A61" s="1" t="s">
        <v>161</v>
      </c>
      <c r="B61" s="3" t="s">
        <v>91</v>
      </c>
      <c r="C61" s="4" t="s">
        <v>110</v>
      </c>
      <c r="D61" s="4">
        <v>32</v>
      </c>
      <c r="E61" s="4">
        <v>700</v>
      </c>
      <c r="F61" s="4">
        <v>32</v>
      </c>
      <c r="G61" s="4">
        <v>700</v>
      </c>
      <c r="H61" s="4">
        <v>17</v>
      </c>
      <c r="I61" s="4">
        <v>0.55100000000000005</v>
      </c>
      <c r="J61" s="4">
        <v>0.50600000000000001</v>
      </c>
      <c r="K61" s="4">
        <v>8.5999999999999993E-2</v>
      </c>
      <c r="L61" s="4">
        <v>0.28399999999999997</v>
      </c>
      <c r="M61" s="4">
        <v>6.7</v>
      </c>
      <c r="N61" s="4">
        <v>11.4</v>
      </c>
      <c r="O61" s="4">
        <v>18.8</v>
      </c>
      <c r="P61" s="4">
        <v>2.4</v>
      </c>
      <c r="Q61" s="4">
        <v>2.4</v>
      </c>
      <c r="R61" s="4">
        <v>18.7</v>
      </c>
      <c r="S61" s="4">
        <v>14.5</v>
      </c>
      <c r="T61" s="4">
        <v>111</v>
      </c>
      <c r="U61" s="4">
        <v>94</v>
      </c>
      <c r="V61" s="4"/>
      <c r="W61" s="4">
        <v>1.7</v>
      </c>
      <c r="X61" s="4">
        <v>1.3</v>
      </c>
      <c r="Y61" s="4">
        <v>3</v>
      </c>
      <c r="Z61" s="4">
        <v>0.17399999999999999</v>
      </c>
      <c r="AA61" s="13">
        <f>(I61/TOTAL_BASIC!$D$301)*100</f>
        <v>108.68485290201046</v>
      </c>
      <c r="AB61" s="5">
        <f t="shared" si="3"/>
        <v>1.1100000000000001</v>
      </c>
      <c r="AC61" s="3">
        <f t="shared" si="1"/>
        <v>17</v>
      </c>
      <c r="AD61" s="9">
        <f t="shared" si="4"/>
        <v>1.1020000000000001</v>
      </c>
      <c r="AE61" s="16">
        <f t="shared" si="5"/>
        <v>1.2965517241379312</v>
      </c>
      <c r="AF61" s="16">
        <f t="shared" si="6"/>
        <v>1.0053475935828877</v>
      </c>
      <c r="AG61" s="9"/>
      <c r="AH61" s="9"/>
      <c r="AI61" s="12">
        <f t="shared" si="7"/>
        <v>45</v>
      </c>
      <c r="AJ61" s="12">
        <f t="shared" si="8"/>
        <v>55.7</v>
      </c>
      <c r="AK61" s="12">
        <f t="shared" si="8"/>
        <v>73.2</v>
      </c>
      <c r="AL61" s="12">
        <f t="shared" si="8"/>
        <v>80.100000000000009</v>
      </c>
      <c r="AM61" s="12">
        <f t="shared" si="8"/>
        <v>78.600000000000009</v>
      </c>
      <c r="AN61" s="12">
        <f t="shared" si="8"/>
        <v>36.6</v>
      </c>
      <c r="AO61" s="12">
        <f t="shared" si="14"/>
        <v>54.900000000000006</v>
      </c>
      <c r="AP61" s="12">
        <f t="shared" si="14"/>
        <v>64.099999999999994</v>
      </c>
      <c r="AQ61" s="12">
        <f t="shared" si="14"/>
        <v>68.7</v>
      </c>
      <c r="AR61" s="12">
        <f t="shared" si="14"/>
        <v>80.900000000000006</v>
      </c>
      <c r="AS61" s="12">
        <f t="shared" si="15"/>
        <v>77.8</v>
      </c>
      <c r="AT61" s="12">
        <f t="shared" si="15"/>
        <v>77.8</v>
      </c>
      <c r="AU61" s="12">
        <f t="shared" si="9"/>
        <v>32.099999999999994</v>
      </c>
      <c r="AV61" s="12">
        <f t="shared" si="15"/>
        <v>20.599999999999998</v>
      </c>
      <c r="AW61" s="12">
        <f t="shared" si="16"/>
        <v>88.5</v>
      </c>
      <c r="AX61" s="12">
        <f t="shared" si="10"/>
        <v>90.1</v>
      </c>
      <c r="AY61" s="9"/>
      <c r="AZ61" s="12">
        <f t="shared" si="17"/>
        <v>79.3</v>
      </c>
      <c r="BA61" s="12">
        <f t="shared" si="13"/>
        <v>84.7</v>
      </c>
      <c r="BB61" s="12">
        <f t="shared" si="11"/>
        <v>82.399999999999991</v>
      </c>
      <c r="BC61" s="12">
        <f t="shared" si="11"/>
        <v>83.899999999999991</v>
      </c>
      <c r="BD61" s="12">
        <f t="shared" si="11"/>
        <v>80.100000000000009</v>
      </c>
      <c r="BE61" s="12">
        <f t="shared" si="11"/>
        <v>88.5</v>
      </c>
      <c r="BF61" s="12">
        <f t="shared" si="12"/>
        <v>90.8</v>
      </c>
      <c r="BG61" s="12">
        <f t="shared" si="12"/>
        <v>80.100000000000009</v>
      </c>
      <c r="BH61" s="12">
        <f t="shared" si="12"/>
        <v>92.300000000000011</v>
      </c>
      <c r="BI61" s="12">
        <f t="shared" si="12"/>
        <v>70.899999999999991</v>
      </c>
    </row>
    <row r="62" spans="1:61" ht="15.75" customHeight="1" x14ac:dyDescent="0.25">
      <c r="A62" s="1" t="s">
        <v>162</v>
      </c>
      <c r="B62" s="3" t="s">
        <v>86</v>
      </c>
      <c r="C62" s="4" t="s">
        <v>115</v>
      </c>
      <c r="D62" s="4">
        <v>27</v>
      </c>
      <c r="E62" s="4">
        <v>699</v>
      </c>
      <c r="F62" s="4">
        <v>27</v>
      </c>
      <c r="G62" s="4">
        <v>699</v>
      </c>
      <c r="H62" s="4">
        <v>22.4</v>
      </c>
      <c r="I62" s="4">
        <v>0.59099999999999997</v>
      </c>
      <c r="J62" s="4">
        <v>0.55600000000000005</v>
      </c>
      <c r="K62" s="4">
        <v>0</v>
      </c>
      <c r="L62" s="4">
        <v>0.34799999999999998</v>
      </c>
      <c r="M62" s="4">
        <v>6.7</v>
      </c>
      <c r="N62" s="4">
        <v>14.2</v>
      </c>
      <c r="O62" s="4">
        <v>7.7</v>
      </c>
      <c r="P62" s="4">
        <v>0.9</v>
      </c>
      <c r="Q62" s="4">
        <v>8.6</v>
      </c>
      <c r="R62" s="4">
        <v>14</v>
      </c>
      <c r="S62" s="4">
        <v>21.8</v>
      </c>
      <c r="T62" s="4">
        <v>108</v>
      </c>
      <c r="U62" s="4">
        <v>97</v>
      </c>
      <c r="V62" s="4"/>
      <c r="W62" s="4">
        <v>2</v>
      </c>
      <c r="X62" s="4">
        <v>1.1000000000000001</v>
      </c>
      <c r="Y62" s="4">
        <v>3.1</v>
      </c>
      <c r="Z62" s="4">
        <v>0.17499999999999999</v>
      </c>
      <c r="AA62" s="13">
        <f>(I62/TOTAL_BASIC!$D$301)*100</f>
        <v>116.57486037221084</v>
      </c>
      <c r="AB62" s="5">
        <f t="shared" si="3"/>
        <v>1.08</v>
      </c>
      <c r="AC62" s="3">
        <f t="shared" si="1"/>
        <v>11</v>
      </c>
      <c r="AD62" s="9">
        <f t="shared" si="4"/>
        <v>1.1819999999999999</v>
      </c>
      <c r="AE62" s="16">
        <f t="shared" si="5"/>
        <v>0.35321100917431192</v>
      </c>
      <c r="AF62" s="16">
        <f t="shared" si="6"/>
        <v>0.55000000000000004</v>
      </c>
      <c r="AG62" s="9"/>
      <c r="AH62" s="9"/>
      <c r="AI62" s="12">
        <f t="shared" si="7"/>
        <v>24.4</v>
      </c>
      <c r="AJ62" s="12">
        <f t="shared" si="8"/>
        <v>54.900000000000006</v>
      </c>
      <c r="AK62" s="12">
        <f t="shared" si="8"/>
        <v>90</v>
      </c>
      <c r="AL62" s="12">
        <f t="shared" si="8"/>
        <v>92.300000000000011</v>
      </c>
      <c r="AM62" s="12">
        <f t="shared" si="8"/>
        <v>93.8</v>
      </c>
      <c r="AN62" s="12">
        <f t="shared" si="8"/>
        <v>0</v>
      </c>
      <c r="AO62" s="12">
        <f t="shared" si="14"/>
        <v>74.8</v>
      </c>
      <c r="AP62" s="12">
        <f t="shared" si="14"/>
        <v>64.099999999999994</v>
      </c>
      <c r="AQ62" s="12">
        <f t="shared" si="14"/>
        <v>81.599999999999994</v>
      </c>
      <c r="AR62" s="12">
        <f t="shared" si="14"/>
        <v>20.599999999999998</v>
      </c>
      <c r="AS62" s="12">
        <f t="shared" si="15"/>
        <v>6.8000000000000007</v>
      </c>
      <c r="AT62" s="12">
        <f t="shared" si="15"/>
        <v>100</v>
      </c>
      <c r="AU62" s="12">
        <f t="shared" si="9"/>
        <v>68</v>
      </c>
      <c r="AV62" s="12">
        <f t="shared" si="15"/>
        <v>76.3</v>
      </c>
      <c r="AW62" s="12">
        <f t="shared" si="16"/>
        <v>78.600000000000009</v>
      </c>
      <c r="AX62" s="12">
        <f t="shared" si="10"/>
        <v>76.400000000000006</v>
      </c>
      <c r="AY62" s="9"/>
      <c r="AZ62" s="12">
        <f t="shared" si="17"/>
        <v>81.599999999999994</v>
      </c>
      <c r="BA62" s="12">
        <f t="shared" si="13"/>
        <v>76.3</v>
      </c>
      <c r="BB62" s="12">
        <f t="shared" si="11"/>
        <v>83.2</v>
      </c>
      <c r="BC62" s="12">
        <f t="shared" si="11"/>
        <v>84.7</v>
      </c>
      <c r="BD62" s="12">
        <f t="shared" si="11"/>
        <v>92.300000000000011</v>
      </c>
      <c r="BE62" s="12">
        <f t="shared" si="11"/>
        <v>78.600000000000009</v>
      </c>
      <c r="BF62" s="12">
        <f t="shared" si="12"/>
        <v>85.399999999999991</v>
      </c>
      <c r="BG62" s="12">
        <f t="shared" si="12"/>
        <v>92.300000000000011</v>
      </c>
      <c r="BH62" s="12">
        <f t="shared" si="12"/>
        <v>15.2</v>
      </c>
      <c r="BI62" s="12">
        <f t="shared" si="12"/>
        <v>26.700000000000003</v>
      </c>
    </row>
    <row r="63" spans="1:61" ht="15.75" customHeight="1" x14ac:dyDescent="0.25">
      <c r="A63" s="1" t="s">
        <v>163</v>
      </c>
      <c r="B63" s="4" t="s">
        <v>141</v>
      </c>
      <c r="C63" s="4" t="s">
        <v>8</v>
      </c>
      <c r="D63" s="4">
        <v>31</v>
      </c>
      <c r="E63" s="4">
        <v>680</v>
      </c>
      <c r="F63" s="4">
        <v>31</v>
      </c>
      <c r="G63" s="4">
        <v>680</v>
      </c>
      <c r="H63" s="4">
        <v>9.9</v>
      </c>
      <c r="I63" s="4">
        <v>0.46400000000000002</v>
      </c>
      <c r="J63" s="4">
        <v>0.45300000000000001</v>
      </c>
      <c r="K63" s="4">
        <v>0.23400000000000001</v>
      </c>
      <c r="L63" s="4">
        <v>0.161</v>
      </c>
      <c r="M63" s="4">
        <v>2.2999999999999998</v>
      </c>
      <c r="N63" s="4">
        <v>5</v>
      </c>
      <c r="O63" s="4">
        <v>23.4</v>
      </c>
      <c r="P63" s="4">
        <v>2.9</v>
      </c>
      <c r="Q63" s="4">
        <v>0.2</v>
      </c>
      <c r="R63" s="4">
        <v>26.2</v>
      </c>
      <c r="S63" s="4">
        <v>13.2</v>
      </c>
      <c r="T63" s="4">
        <v>89</v>
      </c>
      <c r="U63" s="4">
        <v>103</v>
      </c>
      <c r="V63" s="4"/>
      <c r="W63" s="4">
        <v>-0.2</v>
      </c>
      <c r="X63" s="4">
        <v>0.3</v>
      </c>
      <c r="Y63" s="4">
        <v>0.2</v>
      </c>
      <c r="Z63" s="4">
        <v>0.01</v>
      </c>
      <c r="AA63" s="13">
        <f>(I63/TOTAL_BASIC!$D$301)*100</f>
        <v>91.524086654324606</v>
      </c>
      <c r="AB63" s="5">
        <f t="shared" si="3"/>
        <v>0.89</v>
      </c>
      <c r="AC63" s="3">
        <f t="shared" si="1"/>
        <v>-14</v>
      </c>
      <c r="AD63" s="9">
        <f t="shared" si="4"/>
        <v>0.92800000000000005</v>
      </c>
      <c r="AE63" s="16">
        <f t="shared" si="5"/>
        <v>1.7727272727272727</v>
      </c>
      <c r="AF63" s="16">
        <f t="shared" si="6"/>
        <v>0.89312977099236635</v>
      </c>
      <c r="AG63" s="9"/>
      <c r="AH63" s="9"/>
      <c r="AI63" s="12">
        <f t="shared" si="7"/>
        <v>40.400000000000006</v>
      </c>
      <c r="AJ63" s="12">
        <f t="shared" si="8"/>
        <v>53.400000000000006</v>
      </c>
      <c r="AK63" s="12">
        <f t="shared" si="8"/>
        <v>32</v>
      </c>
      <c r="AL63" s="12">
        <f t="shared" si="8"/>
        <v>34.300000000000004</v>
      </c>
      <c r="AM63" s="12">
        <f t="shared" si="8"/>
        <v>54.1</v>
      </c>
      <c r="AN63" s="12">
        <f t="shared" ref="AN63:AQ126" si="18">(PERCENTRANK(K$3:K$298,K63))*100</f>
        <v>55.7</v>
      </c>
      <c r="AO63" s="12">
        <f t="shared" si="14"/>
        <v>22.1</v>
      </c>
      <c r="AP63" s="12">
        <f t="shared" si="14"/>
        <v>17.5</v>
      </c>
      <c r="AQ63" s="12">
        <f t="shared" si="14"/>
        <v>10.6</v>
      </c>
      <c r="AR63" s="12">
        <f t="shared" si="14"/>
        <v>87</v>
      </c>
      <c r="AS63" s="12">
        <f t="shared" si="15"/>
        <v>87.7</v>
      </c>
      <c r="AT63" s="12">
        <f t="shared" si="15"/>
        <v>4.5</v>
      </c>
      <c r="AU63" s="12">
        <f t="shared" si="9"/>
        <v>6.8999999999999915</v>
      </c>
      <c r="AV63" s="12">
        <f t="shared" si="15"/>
        <v>12.9</v>
      </c>
      <c r="AW63" s="12">
        <f t="shared" si="16"/>
        <v>25.900000000000002</v>
      </c>
      <c r="AX63" s="12">
        <f t="shared" si="10"/>
        <v>22.200000000000003</v>
      </c>
      <c r="AY63" s="9"/>
      <c r="AZ63" s="12">
        <f t="shared" si="17"/>
        <v>17.5</v>
      </c>
      <c r="BA63" s="12">
        <f t="shared" si="13"/>
        <v>24.4</v>
      </c>
      <c r="BB63" s="12">
        <f t="shared" si="11"/>
        <v>20.599999999999998</v>
      </c>
      <c r="BC63" s="12">
        <f t="shared" si="11"/>
        <v>19.8</v>
      </c>
      <c r="BD63" s="12">
        <f t="shared" si="11"/>
        <v>34.300000000000004</v>
      </c>
      <c r="BE63" s="12">
        <f t="shared" si="11"/>
        <v>25.900000000000002</v>
      </c>
      <c r="BF63" s="12">
        <f t="shared" si="12"/>
        <v>19</v>
      </c>
      <c r="BG63" s="12">
        <f t="shared" si="12"/>
        <v>34.300000000000004</v>
      </c>
      <c r="BH63" s="12">
        <f t="shared" si="12"/>
        <v>97.7</v>
      </c>
      <c r="BI63" s="12">
        <f t="shared" si="12"/>
        <v>61</v>
      </c>
    </row>
    <row r="64" spans="1:61" ht="15.75" customHeight="1" x14ac:dyDescent="0.25">
      <c r="A64" s="1" t="s">
        <v>164</v>
      </c>
      <c r="B64" s="3" t="s">
        <v>89</v>
      </c>
      <c r="C64" s="4" t="s">
        <v>115</v>
      </c>
      <c r="D64" s="4">
        <v>34</v>
      </c>
      <c r="E64" s="4">
        <v>680</v>
      </c>
      <c r="F64" s="4">
        <v>34</v>
      </c>
      <c r="G64" s="4">
        <v>680</v>
      </c>
      <c r="H64" s="4">
        <v>12.9</v>
      </c>
      <c r="I64" s="4">
        <v>0.46</v>
      </c>
      <c r="J64" s="4">
        <v>0.42499999999999999</v>
      </c>
      <c r="K64" s="4">
        <v>4.0000000000000001E-3</v>
      </c>
      <c r="L64" s="4">
        <v>0.19700000000000001</v>
      </c>
      <c r="M64" s="4">
        <v>8.6999999999999993</v>
      </c>
      <c r="N64" s="4">
        <v>14.9</v>
      </c>
      <c r="O64" s="4">
        <v>6</v>
      </c>
      <c r="P64" s="4">
        <v>1.8</v>
      </c>
      <c r="Q64" s="4">
        <v>4.2</v>
      </c>
      <c r="R64" s="4">
        <v>17</v>
      </c>
      <c r="S64" s="4">
        <v>20</v>
      </c>
      <c r="T64" s="4">
        <v>88</v>
      </c>
      <c r="U64" s="4">
        <v>94</v>
      </c>
      <c r="V64" s="4"/>
      <c r="W64" s="4">
        <v>-0.3</v>
      </c>
      <c r="X64" s="4">
        <v>1.3</v>
      </c>
      <c r="Y64" s="4">
        <v>1.1000000000000001</v>
      </c>
      <c r="Z64" s="4">
        <v>6.3E-2</v>
      </c>
      <c r="AA64" s="13">
        <f>(I64/TOTAL_BASIC!$D$301)*100</f>
        <v>90.735085907304551</v>
      </c>
      <c r="AB64" s="5">
        <f t="shared" si="3"/>
        <v>0.88</v>
      </c>
      <c r="AC64" s="3">
        <f t="shared" si="1"/>
        <v>-6</v>
      </c>
      <c r="AD64" s="9">
        <f t="shared" si="4"/>
        <v>0.92</v>
      </c>
      <c r="AE64" s="16">
        <f t="shared" si="5"/>
        <v>0.3</v>
      </c>
      <c r="AF64" s="16">
        <f t="shared" si="6"/>
        <v>0.35294117647058826</v>
      </c>
      <c r="AG64" s="9"/>
      <c r="AH64" s="9"/>
      <c r="AI64" s="12">
        <f t="shared" si="7"/>
        <v>65.600000000000009</v>
      </c>
      <c r="AJ64" s="12">
        <f t="shared" si="8"/>
        <v>53.400000000000006</v>
      </c>
      <c r="AK64" s="12">
        <f t="shared" si="8"/>
        <v>51.9</v>
      </c>
      <c r="AL64" s="12">
        <f t="shared" si="8"/>
        <v>32</v>
      </c>
      <c r="AM64" s="12">
        <f t="shared" si="8"/>
        <v>35.099999999999994</v>
      </c>
      <c r="AN64" s="12">
        <f t="shared" si="18"/>
        <v>18.3</v>
      </c>
      <c r="AO64" s="12">
        <f t="shared" si="14"/>
        <v>32</v>
      </c>
      <c r="AP64" s="12">
        <f t="shared" si="14"/>
        <v>77</v>
      </c>
      <c r="AQ64" s="12">
        <f t="shared" si="14"/>
        <v>83.899999999999991</v>
      </c>
      <c r="AR64" s="12">
        <f t="shared" si="14"/>
        <v>12.9</v>
      </c>
      <c r="AS64" s="12">
        <f t="shared" si="15"/>
        <v>48.8</v>
      </c>
      <c r="AT64" s="12">
        <f t="shared" si="15"/>
        <v>92.300000000000011</v>
      </c>
      <c r="AU64" s="12">
        <f t="shared" si="9"/>
        <v>42.800000000000004</v>
      </c>
      <c r="AV64" s="12">
        <f t="shared" si="15"/>
        <v>59.5</v>
      </c>
      <c r="AW64" s="12">
        <f t="shared" si="16"/>
        <v>23.599999999999998</v>
      </c>
      <c r="AX64" s="12">
        <f t="shared" si="10"/>
        <v>90.1</v>
      </c>
      <c r="AY64" s="9"/>
      <c r="AZ64" s="12">
        <f t="shared" si="17"/>
        <v>10.6</v>
      </c>
      <c r="BA64" s="12">
        <f t="shared" si="13"/>
        <v>84.7</v>
      </c>
      <c r="BB64" s="12">
        <f t="shared" si="11"/>
        <v>48.8</v>
      </c>
      <c r="BC64" s="12">
        <f t="shared" si="11"/>
        <v>40.400000000000006</v>
      </c>
      <c r="BD64" s="12">
        <f t="shared" si="11"/>
        <v>32</v>
      </c>
      <c r="BE64" s="12">
        <f t="shared" si="11"/>
        <v>23.599999999999998</v>
      </c>
      <c r="BF64" s="12">
        <f t="shared" si="12"/>
        <v>38.9</v>
      </c>
      <c r="BG64" s="12">
        <f t="shared" si="12"/>
        <v>32</v>
      </c>
      <c r="BH64" s="12">
        <f t="shared" si="12"/>
        <v>9.1</v>
      </c>
      <c r="BI64" s="12">
        <f t="shared" si="12"/>
        <v>12.9</v>
      </c>
    </row>
    <row r="65" spans="1:61" ht="15.75" customHeight="1" x14ac:dyDescent="0.25">
      <c r="A65" s="1" t="s">
        <v>165</v>
      </c>
      <c r="B65" s="3" t="s">
        <v>122</v>
      </c>
      <c r="C65" s="4" t="s">
        <v>8</v>
      </c>
      <c r="D65" s="4">
        <v>21</v>
      </c>
      <c r="E65" s="4">
        <v>672</v>
      </c>
      <c r="F65" s="4">
        <v>21</v>
      </c>
      <c r="G65" s="4">
        <v>672</v>
      </c>
      <c r="H65" s="4">
        <v>14.6</v>
      </c>
      <c r="I65" s="4">
        <v>0.49199999999999999</v>
      </c>
      <c r="J65" s="4">
        <v>0.47099999999999997</v>
      </c>
      <c r="K65" s="4">
        <v>0.25900000000000001</v>
      </c>
      <c r="L65" s="4">
        <v>0.157</v>
      </c>
      <c r="M65" s="4">
        <v>1.5</v>
      </c>
      <c r="N65" s="4">
        <v>5.4</v>
      </c>
      <c r="O65" s="4">
        <v>17.899999999999999</v>
      </c>
      <c r="P65" s="4">
        <v>1.9</v>
      </c>
      <c r="Q65" s="4">
        <v>0.8</v>
      </c>
      <c r="R65" s="4">
        <v>10.199999999999999</v>
      </c>
      <c r="S65" s="4">
        <v>20.100000000000001</v>
      </c>
      <c r="T65" s="4">
        <v>101</v>
      </c>
      <c r="U65" s="4">
        <v>102</v>
      </c>
      <c r="V65" s="4"/>
      <c r="W65" s="4">
        <v>1</v>
      </c>
      <c r="X65" s="4">
        <v>0.4</v>
      </c>
      <c r="Y65" s="4">
        <v>1.5</v>
      </c>
      <c r="Z65" s="4">
        <v>8.8999999999999996E-2</v>
      </c>
      <c r="AA65" s="13">
        <f>(I65/TOTAL_BASIC!$D$301)*100</f>
        <v>97.047091883464859</v>
      </c>
      <c r="AB65" s="5">
        <f t="shared" si="3"/>
        <v>1.01</v>
      </c>
      <c r="AC65" s="3">
        <f t="shared" si="1"/>
        <v>-1</v>
      </c>
      <c r="AD65" s="9">
        <f t="shared" si="4"/>
        <v>0.98399999999999999</v>
      </c>
      <c r="AE65" s="16">
        <f t="shared" si="5"/>
        <v>0.89054726368159187</v>
      </c>
      <c r="AF65" s="16">
        <f t="shared" si="6"/>
        <v>1.7549019607843137</v>
      </c>
      <c r="AG65" s="9"/>
      <c r="AH65" s="9"/>
      <c r="AI65" s="12">
        <f t="shared" si="7"/>
        <v>12.9</v>
      </c>
      <c r="AJ65" s="12">
        <f t="shared" si="8"/>
        <v>52.6</v>
      </c>
      <c r="AK65" s="12">
        <f t="shared" si="8"/>
        <v>61</v>
      </c>
      <c r="AL65" s="12">
        <f t="shared" si="8"/>
        <v>49.6</v>
      </c>
      <c r="AM65" s="12">
        <f t="shared" si="8"/>
        <v>66.400000000000006</v>
      </c>
      <c r="AN65" s="12">
        <f t="shared" si="18"/>
        <v>61</v>
      </c>
      <c r="AO65" s="12">
        <f t="shared" si="14"/>
        <v>17.5</v>
      </c>
      <c r="AP65" s="12">
        <f t="shared" si="14"/>
        <v>6.8000000000000007</v>
      </c>
      <c r="AQ65" s="12">
        <f t="shared" si="14"/>
        <v>15.2</v>
      </c>
      <c r="AR65" s="12">
        <f t="shared" si="14"/>
        <v>75.5</v>
      </c>
      <c r="AS65" s="12">
        <f t="shared" si="15"/>
        <v>54.900000000000006</v>
      </c>
      <c r="AT65" s="12">
        <f t="shared" si="15"/>
        <v>34.300000000000004</v>
      </c>
      <c r="AU65" s="12">
        <f t="shared" si="9"/>
        <v>89.4</v>
      </c>
      <c r="AV65" s="12">
        <f t="shared" si="15"/>
        <v>61.8</v>
      </c>
      <c r="AW65" s="12">
        <f t="shared" si="16"/>
        <v>66.400000000000006</v>
      </c>
      <c r="AX65" s="12">
        <f t="shared" si="10"/>
        <v>35.200000000000003</v>
      </c>
      <c r="AY65" s="9"/>
      <c r="AZ65" s="12">
        <f t="shared" si="17"/>
        <v>63.3</v>
      </c>
      <c r="BA65" s="12">
        <f t="shared" si="13"/>
        <v>35.799999999999997</v>
      </c>
      <c r="BB65" s="12">
        <f t="shared" si="11"/>
        <v>60.3</v>
      </c>
      <c r="BC65" s="12">
        <f t="shared" si="11"/>
        <v>53.400000000000006</v>
      </c>
      <c r="BD65" s="12">
        <f t="shared" si="11"/>
        <v>49.6</v>
      </c>
      <c r="BE65" s="12">
        <f t="shared" si="11"/>
        <v>66.400000000000006</v>
      </c>
      <c r="BF65" s="12">
        <f t="shared" si="12"/>
        <v>52.6</v>
      </c>
      <c r="BG65" s="12">
        <f t="shared" si="12"/>
        <v>49.6</v>
      </c>
      <c r="BH65" s="12">
        <f t="shared" si="12"/>
        <v>72.5</v>
      </c>
      <c r="BI65" s="12">
        <f t="shared" si="12"/>
        <v>91.600000000000009</v>
      </c>
    </row>
    <row r="66" spans="1:61" ht="15.75" customHeight="1" x14ac:dyDescent="0.25">
      <c r="A66" s="1" t="s">
        <v>166</v>
      </c>
      <c r="B66" s="3" t="s">
        <v>104</v>
      </c>
      <c r="C66" s="4" t="s">
        <v>115</v>
      </c>
      <c r="D66" s="4">
        <v>34</v>
      </c>
      <c r="E66" s="4">
        <v>663</v>
      </c>
      <c r="F66" s="4">
        <v>34</v>
      </c>
      <c r="G66" s="4">
        <v>663</v>
      </c>
      <c r="H66" s="4">
        <v>12.7</v>
      </c>
      <c r="I66" s="4">
        <v>0.48699999999999999</v>
      </c>
      <c r="J66" s="4">
        <v>0.46</v>
      </c>
      <c r="K66" s="4">
        <v>5.0000000000000001E-3</v>
      </c>
      <c r="L66" s="4">
        <v>0.26500000000000001</v>
      </c>
      <c r="M66" s="4">
        <v>12.5</v>
      </c>
      <c r="N66" s="4">
        <v>15.6</v>
      </c>
      <c r="O66" s="4">
        <v>7.3</v>
      </c>
      <c r="P66" s="4">
        <v>1</v>
      </c>
      <c r="Q66" s="4">
        <v>1.4</v>
      </c>
      <c r="R66" s="4">
        <v>17.8</v>
      </c>
      <c r="S66" s="4">
        <v>19.7</v>
      </c>
      <c r="T66" s="4">
        <v>93</v>
      </c>
      <c r="U66" s="4">
        <v>100</v>
      </c>
      <c r="V66" s="4"/>
      <c r="W66" s="4">
        <v>0.2</v>
      </c>
      <c r="X66" s="4">
        <v>0.7</v>
      </c>
      <c r="Y66" s="4">
        <v>0.9</v>
      </c>
      <c r="Z66" s="4">
        <v>5.6000000000000001E-2</v>
      </c>
      <c r="AA66" s="13">
        <f>(I66/TOTAL_BASIC!$D$301)*100</f>
        <v>96.060840949689819</v>
      </c>
      <c r="AB66" s="5">
        <f t="shared" si="3"/>
        <v>0.93</v>
      </c>
      <c r="AC66" s="3">
        <f t="shared" si="1"/>
        <v>-7</v>
      </c>
      <c r="AD66" s="9">
        <f t="shared" si="4"/>
        <v>0.97399999999999998</v>
      </c>
      <c r="AE66" s="16">
        <f t="shared" si="5"/>
        <v>0.37055837563451777</v>
      </c>
      <c r="AF66" s="16">
        <f t="shared" si="6"/>
        <v>0.41011235955056174</v>
      </c>
      <c r="AG66" s="9"/>
      <c r="AH66" s="9"/>
      <c r="AI66" s="12">
        <f t="shared" si="7"/>
        <v>65.600000000000009</v>
      </c>
      <c r="AJ66" s="12">
        <f t="shared" si="8"/>
        <v>51.9</v>
      </c>
      <c r="AK66" s="12">
        <f t="shared" si="8"/>
        <v>48.8</v>
      </c>
      <c r="AL66" s="12">
        <f t="shared" si="8"/>
        <v>47.3</v>
      </c>
      <c r="AM66" s="12">
        <f t="shared" si="8"/>
        <v>57.199999999999996</v>
      </c>
      <c r="AN66" s="12">
        <f t="shared" si="18"/>
        <v>19</v>
      </c>
      <c r="AO66" s="12">
        <f t="shared" si="14"/>
        <v>50.3</v>
      </c>
      <c r="AP66" s="12">
        <f t="shared" si="14"/>
        <v>94.6</v>
      </c>
      <c r="AQ66" s="12">
        <f t="shared" si="14"/>
        <v>84.7</v>
      </c>
      <c r="AR66" s="12">
        <f t="shared" si="14"/>
        <v>18.3</v>
      </c>
      <c r="AS66" s="12">
        <f t="shared" si="15"/>
        <v>9.1</v>
      </c>
      <c r="AT66" s="12">
        <f t="shared" si="15"/>
        <v>60.3</v>
      </c>
      <c r="AU66" s="12">
        <f t="shared" si="9"/>
        <v>38.200000000000003</v>
      </c>
      <c r="AV66" s="12">
        <f t="shared" si="15"/>
        <v>55.7</v>
      </c>
      <c r="AW66" s="12">
        <f t="shared" si="16"/>
        <v>38.1</v>
      </c>
      <c r="AX66" s="12">
        <f t="shared" si="10"/>
        <v>54.199999999999996</v>
      </c>
      <c r="AY66" s="9"/>
      <c r="AZ66" s="12">
        <f t="shared" si="17"/>
        <v>40.400000000000006</v>
      </c>
      <c r="BA66" s="12">
        <f t="shared" si="13"/>
        <v>53.400000000000006</v>
      </c>
      <c r="BB66" s="12">
        <f t="shared" si="11"/>
        <v>43.5</v>
      </c>
      <c r="BC66" s="12">
        <f t="shared" si="11"/>
        <v>38.9</v>
      </c>
      <c r="BD66" s="12">
        <f t="shared" si="11"/>
        <v>47.3</v>
      </c>
      <c r="BE66" s="12">
        <f t="shared" si="11"/>
        <v>38.1</v>
      </c>
      <c r="BF66" s="12">
        <f t="shared" si="12"/>
        <v>35.099999999999994</v>
      </c>
      <c r="BG66" s="12">
        <f t="shared" si="12"/>
        <v>47.3</v>
      </c>
      <c r="BH66" s="12">
        <f t="shared" si="12"/>
        <v>18.3</v>
      </c>
      <c r="BI66" s="12">
        <f t="shared" si="12"/>
        <v>16</v>
      </c>
    </row>
    <row r="67" spans="1:61" ht="15.75" customHeight="1" x14ac:dyDescent="0.25">
      <c r="A67" s="1" t="s">
        <v>167</v>
      </c>
      <c r="B67" s="3" t="s">
        <v>104</v>
      </c>
      <c r="C67" s="4" t="s">
        <v>8</v>
      </c>
      <c r="D67" s="4">
        <v>34</v>
      </c>
      <c r="E67" s="4">
        <v>633</v>
      </c>
      <c r="F67" s="4">
        <v>34</v>
      </c>
      <c r="G67" s="4">
        <v>633</v>
      </c>
      <c r="H67" s="4">
        <v>13.4</v>
      </c>
      <c r="I67" s="4">
        <v>0.57299999999999995</v>
      </c>
      <c r="J67" s="4">
        <v>0.52600000000000002</v>
      </c>
      <c r="K67" s="4">
        <v>0.63900000000000001</v>
      </c>
      <c r="L67" s="4">
        <v>0.26300000000000001</v>
      </c>
      <c r="M67" s="4">
        <v>3.2</v>
      </c>
      <c r="N67" s="4">
        <v>6.3</v>
      </c>
      <c r="O67" s="4">
        <v>18</v>
      </c>
      <c r="P67" s="4">
        <v>2.2000000000000002</v>
      </c>
      <c r="Q67" s="4">
        <v>0.5</v>
      </c>
      <c r="R67" s="4">
        <v>18.600000000000001</v>
      </c>
      <c r="S67" s="4">
        <v>12.9</v>
      </c>
      <c r="T67" s="4">
        <v>109</v>
      </c>
      <c r="U67" s="4">
        <v>102</v>
      </c>
      <c r="V67" s="4"/>
      <c r="W67" s="4">
        <v>1.2</v>
      </c>
      <c r="X67" s="4">
        <v>0.5</v>
      </c>
      <c r="Y67" s="4">
        <v>1.7</v>
      </c>
      <c r="Z67" s="4">
        <v>0.109</v>
      </c>
      <c r="AA67" s="13">
        <f>(I67/TOTAL_BASIC!$D$301)*100</f>
        <v>113.02435701062066</v>
      </c>
      <c r="AB67" s="5">
        <f t="shared" si="3"/>
        <v>1.0900000000000001</v>
      </c>
      <c r="AC67" s="3">
        <f t="shared" si="1"/>
        <v>7</v>
      </c>
      <c r="AD67" s="9">
        <f t="shared" si="4"/>
        <v>1.1459999999999999</v>
      </c>
      <c r="AE67" s="16">
        <f t="shared" si="5"/>
        <v>1.3953488372093024</v>
      </c>
      <c r="AF67" s="16">
        <f t="shared" si="6"/>
        <v>0.96774193548387089</v>
      </c>
      <c r="AG67" s="9"/>
      <c r="AH67" s="9"/>
      <c r="AI67" s="12">
        <f t="shared" si="7"/>
        <v>65.600000000000009</v>
      </c>
      <c r="AJ67" s="12">
        <f t="shared" si="8"/>
        <v>51.1</v>
      </c>
      <c r="AK67" s="12">
        <f t="shared" si="8"/>
        <v>54.1</v>
      </c>
      <c r="AL67" s="12">
        <f t="shared" si="8"/>
        <v>89.3</v>
      </c>
      <c r="AM67" s="12">
        <f t="shared" si="8"/>
        <v>84.7</v>
      </c>
      <c r="AN67" s="12">
        <f t="shared" si="18"/>
        <v>98.4</v>
      </c>
      <c r="AO67" s="12">
        <f t="shared" si="14"/>
        <v>48.8</v>
      </c>
      <c r="AP67" s="12">
        <f t="shared" si="14"/>
        <v>26.700000000000003</v>
      </c>
      <c r="AQ67" s="12">
        <f t="shared" si="14"/>
        <v>29.7</v>
      </c>
      <c r="AR67" s="12">
        <f t="shared" si="14"/>
        <v>76.3</v>
      </c>
      <c r="AS67" s="12">
        <f t="shared" si="15"/>
        <v>64.8</v>
      </c>
      <c r="AT67" s="12">
        <f t="shared" si="15"/>
        <v>16.7</v>
      </c>
      <c r="AU67" s="12">
        <f t="shared" si="9"/>
        <v>32.899999999999991</v>
      </c>
      <c r="AV67" s="12">
        <f t="shared" si="15"/>
        <v>10.6</v>
      </c>
      <c r="AW67" s="12">
        <f t="shared" si="16"/>
        <v>83.899999999999991</v>
      </c>
      <c r="AX67" s="12">
        <f t="shared" si="10"/>
        <v>35.200000000000003</v>
      </c>
      <c r="AY67" s="9"/>
      <c r="AZ67" s="12">
        <f t="shared" si="17"/>
        <v>70.199999999999989</v>
      </c>
      <c r="BA67" s="12">
        <f t="shared" si="13"/>
        <v>42.699999999999996</v>
      </c>
      <c r="BB67" s="12">
        <f t="shared" si="11"/>
        <v>63.3</v>
      </c>
      <c r="BC67" s="12">
        <f t="shared" si="11"/>
        <v>64.8</v>
      </c>
      <c r="BD67" s="12">
        <f t="shared" si="11"/>
        <v>89.3</v>
      </c>
      <c r="BE67" s="12">
        <f t="shared" ref="BE67:BH130" si="19">(PERCENTRANK(AB$3:AB$298,AB67))*100</f>
        <v>83.899999999999991</v>
      </c>
      <c r="BF67" s="12">
        <f t="shared" si="12"/>
        <v>77</v>
      </c>
      <c r="BG67" s="12">
        <f t="shared" si="12"/>
        <v>89.3</v>
      </c>
      <c r="BH67" s="12">
        <f t="shared" si="12"/>
        <v>95.399999999999991</v>
      </c>
      <c r="BI67" s="12">
        <f t="shared" ref="BI67:BI130" si="20">(PERCENTRANK(AF$3:AF$298,AF67))*100</f>
        <v>67.900000000000006</v>
      </c>
    </row>
    <row r="68" spans="1:61" ht="15.75" customHeight="1" x14ac:dyDescent="0.25">
      <c r="A68" s="1" t="s">
        <v>168</v>
      </c>
      <c r="B68" s="3" t="s">
        <v>91</v>
      </c>
      <c r="C68" s="4" t="s">
        <v>92</v>
      </c>
      <c r="D68" s="4">
        <v>34</v>
      </c>
      <c r="E68" s="4">
        <v>631</v>
      </c>
      <c r="F68" s="4">
        <v>34</v>
      </c>
      <c r="G68" s="4">
        <v>631</v>
      </c>
      <c r="H68" s="4">
        <v>12.8</v>
      </c>
      <c r="I68" s="4">
        <v>0.438</v>
      </c>
      <c r="J68" s="4">
        <v>0.39600000000000002</v>
      </c>
      <c r="K68" s="4">
        <v>0</v>
      </c>
      <c r="L68" s="4">
        <v>0.18099999999999999</v>
      </c>
      <c r="M68" s="4">
        <v>10.1</v>
      </c>
      <c r="N68" s="4">
        <v>14.4</v>
      </c>
      <c r="O68" s="4">
        <v>8.1999999999999993</v>
      </c>
      <c r="P68" s="4">
        <v>2</v>
      </c>
      <c r="Q68" s="4">
        <v>4.4000000000000004</v>
      </c>
      <c r="R68" s="4">
        <v>15.7</v>
      </c>
      <c r="S68" s="4">
        <v>13.7</v>
      </c>
      <c r="T68" s="4">
        <v>97</v>
      </c>
      <c r="U68" s="4">
        <v>93</v>
      </c>
      <c r="V68" s="4"/>
      <c r="W68" s="4">
        <v>0.4</v>
      </c>
      <c r="X68" s="4">
        <v>1.3</v>
      </c>
      <c r="Y68" s="4">
        <v>1.8</v>
      </c>
      <c r="Z68" s="4">
        <v>0.112</v>
      </c>
      <c r="AA68" s="13">
        <f>(I68/TOTAL_BASIC!$D$301)*100</f>
        <v>86.395581798694337</v>
      </c>
      <c r="AB68" s="5">
        <f t="shared" ref="AB68:AB131" si="21">(T68/100)</f>
        <v>0.97</v>
      </c>
      <c r="AC68" s="3">
        <f t="shared" si="1"/>
        <v>4</v>
      </c>
      <c r="AD68" s="9">
        <f t="shared" ref="AD68:AD131" si="22">2*I68</f>
        <v>0.876</v>
      </c>
      <c r="AE68" s="16">
        <f t="shared" ref="AE68:AE131" si="23">IF(S68=0,0,O68/S68)</f>
        <v>0.5985401459854014</v>
      </c>
      <c r="AF68" s="16">
        <f t="shared" ref="AF68:AF131" si="24">IF(R68=0,0,O68/R68)</f>
        <v>0.52229299363057324</v>
      </c>
      <c r="AG68" s="9"/>
      <c r="AH68" s="9"/>
      <c r="AI68" s="12">
        <f t="shared" ref="AI68:AI131" si="25">(PERCENTRANK(F$3:F$298,F68))*100</f>
        <v>65.600000000000009</v>
      </c>
      <c r="AJ68" s="12">
        <f t="shared" ref="AJ68:AM131" si="26">(PERCENTRANK(G$3:G$298,G68))*100</f>
        <v>50.3</v>
      </c>
      <c r="AK68" s="12">
        <f t="shared" si="26"/>
        <v>50.3</v>
      </c>
      <c r="AL68" s="12">
        <f t="shared" si="26"/>
        <v>20.599999999999998</v>
      </c>
      <c r="AM68" s="12">
        <f t="shared" si="26"/>
        <v>22.1</v>
      </c>
      <c r="AN68" s="12">
        <f t="shared" si="18"/>
        <v>0</v>
      </c>
      <c r="AO68" s="12">
        <f t="shared" si="14"/>
        <v>27.400000000000002</v>
      </c>
      <c r="AP68" s="12">
        <f t="shared" si="14"/>
        <v>83.2</v>
      </c>
      <c r="AQ68" s="12">
        <f t="shared" si="14"/>
        <v>82.399999999999991</v>
      </c>
      <c r="AR68" s="12">
        <f t="shared" si="14"/>
        <v>25.1</v>
      </c>
      <c r="AS68" s="12">
        <f t="shared" si="15"/>
        <v>57.199999999999996</v>
      </c>
      <c r="AT68" s="12">
        <f t="shared" si="15"/>
        <v>93.8</v>
      </c>
      <c r="AU68" s="12">
        <f t="shared" ref="AU68:AU131" si="27">100-(PERCENTRANK(R$3:R$298,R68))*100</f>
        <v>58.800000000000004</v>
      </c>
      <c r="AV68" s="12">
        <f t="shared" si="15"/>
        <v>15.2</v>
      </c>
      <c r="AW68" s="12">
        <f t="shared" si="16"/>
        <v>48</v>
      </c>
      <c r="AX68" s="12">
        <f t="shared" ref="AX68:AX131" si="28">100-(PERCENTRANK(U$3:U$298,U68))*100</f>
        <v>93.2</v>
      </c>
      <c r="AY68" s="9"/>
      <c r="AZ68" s="12">
        <f t="shared" si="17"/>
        <v>47.3</v>
      </c>
      <c r="BA68" s="12">
        <f t="shared" si="13"/>
        <v>84.7</v>
      </c>
      <c r="BB68" s="12">
        <f t="shared" si="13"/>
        <v>66.400000000000006</v>
      </c>
      <c r="BC68" s="12">
        <f t="shared" si="13"/>
        <v>67.900000000000006</v>
      </c>
      <c r="BD68" s="12">
        <f t="shared" si="13"/>
        <v>20.599999999999998</v>
      </c>
      <c r="BE68" s="12">
        <f t="shared" si="19"/>
        <v>48</v>
      </c>
      <c r="BF68" s="12">
        <f t="shared" si="19"/>
        <v>67.100000000000009</v>
      </c>
      <c r="BG68" s="12">
        <f t="shared" si="19"/>
        <v>20.599999999999998</v>
      </c>
      <c r="BH68" s="12">
        <f t="shared" si="19"/>
        <v>45</v>
      </c>
      <c r="BI68" s="12">
        <f t="shared" si="20"/>
        <v>22.900000000000002</v>
      </c>
    </row>
    <row r="69" spans="1:61" ht="15.75" customHeight="1" x14ac:dyDescent="0.25">
      <c r="A69" s="1" t="s">
        <v>169</v>
      </c>
      <c r="B69" s="3" t="s">
        <v>122</v>
      </c>
      <c r="C69" s="4" t="s">
        <v>8</v>
      </c>
      <c r="D69" s="4">
        <v>23</v>
      </c>
      <c r="E69" s="4">
        <v>625</v>
      </c>
      <c r="F69" s="4">
        <v>23</v>
      </c>
      <c r="G69" s="4">
        <v>625</v>
      </c>
      <c r="H69" s="4">
        <v>11.1</v>
      </c>
      <c r="I69" s="4">
        <v>0.48699999999999999</v>
      </c>
      <c r="J69" s="4">
        <v>0.44600000000000001</v>
      </c>
      <c r="K69" s="4">
        <v>0.495</v>
      </c>
      <c r="L69" s="4">
        <v>0.17599999999999999</v>
      </c>
      <c r="M69" s="4">
        <v>1.2</v>
      </c>
      <c r="N69" s="4">
        <v>3.7</v>
      </c>
      <c r="O69" s="4">
        <v>20.399999999999999</v>
      </c>
      <c r="P69" s="4">
        <v>1.5</v>
      </c>
      <c r="Q69" s="4">
        <v>0.1</v>
      </c>
      <c r="R69" s="4">
        <v>19</v>
      </c>
      <c r="S69" s="4">
        <v>21</v>
      </c>
      <c r="T69" s="4">
        <v>92</v>
      </c>
      <c r="U69" s="4">
        <v>105</v>
      </c>
      <c r="V69" s="4"/>
      <c r="W69" s="4">
        <v>0.1</v>
      </c>
      <c r="X69" s="4">
        <v>0.2</v>
      </c>
      <c r="Y69" s="4">
        <v>0.3</v>
      </c>
      <c r="Z69" s="4">
        <v>1.7000000000000001E-2</v>
      </c>
      <c r="AA69" s="13">
        <f>(I69/TOTAL_BASIC!$D$301)*100</f>
        <v>96.060840949689819</v>
      </c>
      <c r="AB69" s="5">
        <f t="shared" si="21"/>
        <v>0.92</v>
      </c>
      <c r="AC69" s="3">
        <f t="shared" si="1"/>
        <v>-13</v>
      </c>
      <c r="AD69" s="9">
        <f t="shared" si="22"/>
        <v>0.97399999999999998</v>
      </c>
      <c r="AE69" s="16">
        <f t="shared" si="23"/>
        <v>0.97142857142857131</v>
      </c>
      <c r="AF69" s="16">
        <f t="shared" si="24"/>
        <v>1.0736842105263158</v>
      </c>
      <c r="AG69" s="9"/>
      <c r="AH69" s="9"/>
      <c r="AI69" s="12">
        <f t="shared" si="25"/>
        <v>17.5</v>
      </c>
      <c r="AJ69" s="12">
        <f t="shared" si="26"/>
        <v>49.6</v>
      </c>
      <c r="AK69" s="12">
        <f t="shared" si="26"/>
        <v>38.9</v>
      </c>
      <c r="AL69" s="12">
        <f t="shared" si="26"/>
        <v>47.3</v>
      </c>
      <c r="AM69" s="12">
        <f t="shared" si="26"/>
        <v>46.5</v>
      </c>
      <c r="AN69" s="12">
        <f t="shared" si="18"/>
        <v>90</v>
      </c>
      <c r="AO69" s="12">
        <f t="shared" si="14"/>
        <v>26.700000000000003</v>
      </c>
      <c r="AP69" s="12">
        <f t="shared" si="14"/>
        <v>3</v>
      </c>
      <c r="AQ69" s="12">
        <f t="shared" si="14"/>
        <v>1.5</v>
      </c>
      <c r="AR69" s="12">
        <f t="shared" si="14"/>
        <v>83.2</v>
      </c>
      <c r="AS69" s="12">
        <f t="shared" si="15"/>
        <v>26.700000000000003</v>
      </c>
      <c r="AT69" s="12">
        <f t="shared" si="15"/>
        <v>2.1999999999999997</v>
      </c>
      <c r="AU69" s="12">
        <f t="shared" si="27"/>
        <v>30.600000000000009</v>
      </c>
      <c r="AV69" s="12">
        <f t="shared" si="15"/>
        <v>66.400000000000006</v>
      </c>
      <c r="AW69" s="12">
        <f t="shared" si="16"/>
        <v>32.800000000000004</v>
      </c>
      <c r="AX69" s="12">
        <f t="shared" si="28"/>
        <v>3.9000000000000057</v>
      </c>
      <c r="AY69" s="9"/>
      <c r="AZ69" s="12">
        <f t="shared" si="17"/>
        <v>34.300000000000004</v>
      </c>
      <c r="BA69" s="12">
        <f t="shared" si="13"/>
        <v>14.499999999999998</v>
      </c>
      <c r="BB69" s="12">
        <f t="shared" si="13"/>
        <v>25.1</v>
      </c>
      <c r="BC69" s="12">
        <f t="shared" si="13"/>
        <v>20.599999999999998</v>
      </c>
      <c r="BD69" s="12">
        <f t="shared" si="13"/>
        <v>47.3</v>
      </c>
      <c r="BE69" s="12">
        <f t="shared" si="19"/>
        <v>32.800000000000004</v>
      </c>
      <c r="BF69" s="12">
        <f t="shared" si="19"/>
        <v>22.900000000000002</v>
      </c>
      <c r="BG69" s="12">
        <f t="shared" si="19"/>
        <v>47.3</v>
      </c>
      <c r="BH69" s="12">
        <f t="shared" si="19"/>
        <v>79.3</v>
      </c>
      <c r="BI69" s="12">
        <f t="shared" si="20"/>
        <v>74</v>
      </c>
    </row>
    <row r="70" spans="1:61" ht="15.75" customHeight="1" x14ac:dyDescent="0.25">
      <c r="A70" s="1" t="s">
        <v>170</v>
      </c>
      <c r="B70" s="3" t="s">
        <v>171</v>
      </c>
      <c r="C70" s="4" t="s">
        <v>92</v>
      </c>
      <c r="D70" s="4">
        <v>26</v>
      </c>
      <c r="E70" s="4">
        <v>622</v>
      </c>
      <c r="F70" s="4">
        <v>26</v>
      </c>
      <c r="G70" s="4">
        <v>622</v>
      </c>
      <c r="H70" s="4">
        <v>11.8</v>
      </c>
      <c r="I70" s="4">
        <v>0.45500000000000002</v>
      </c>
      <c r="J70" s="4">
        <v>0.41</v>
      </c>
      <c r="K70" s="4">
        <v>0.11700000000000001</v>
      </c>
      <c r="L70" s="4">
        <v>0.29599999999999999</v>
      </c>
      <c r="M70" s="4">
        <v>6.5</v>
      </c>
      <c r="N70" s="4">
        <v>10.1</v>
      </c>
      <c r="O70" s="4">
        <v>14.5</v>
      </c>
      <c r="P70" s="4">
        <v>1.6</v>
      </c>
      <c r="Q70" s="4">
        <v>1.3</v>
      </c>
      <c r="R70" s="4">
        <v>15.3</v>
      </c>
      <c r="S70" s="4">
        <v>20</v>
      </c>
      <c r="T70" s="4">
        <v>92</v>
      </c>
      <c r="U70" s="4">
        <v>103</v>
      </c>
      <c r="V70" s="4"/>
      <c r="W70" s="4">
        <v>0.1</v>
      </c>
      <c r="X70" s="4">
        <v>0.3</v>
      </c>
      <c r="Y70" s="4">
        <v>0.4</v>
      </c>
      <c r="Z70" s="4">
        <v>2.8000000000000001E-2</v>
      </c>
      <c r="AA70" s="13">
        <f>(I70/TOTAL_BASIC!$D$301)*100</f>
        <v>89.748834973529497</v>
      </c>
      <c r="AB70" s="5">
        <f t="shared" si="21"/>
        <v>0.92</v>
      </c>
      <c r="AC70" s="3">
        <f t="shared" si="1"/>
        <v>-11</v>
      </c>
      <c r="AD70" s="9">
        <f t="shared" si="22"/>
        <v>0.91</v>
      </c>
      <c r="AE70" s="16">
        <f t="shared" si="23"/>
        <v>0.72499999999999998</v>
      </c>
      <c r="AF70" s="16">
        <f t="shared" si="24"/>
        <v>0.94771241830065356</v>
      </c>
      <c r="AG70" s="9"/>
      <c r="AH70" s="9"/>
      <c r="AI70" s="12">
        <f t="shared" si="25"/>
        <v>22.900000000000002</v>
      </c>
      <c r="AJ70" s="12">
        <f t="shared" si="26"/>
        <v>48.8</v>
      </c>
      <c r="AK70" s="12">
        <f t="shared" si="26"/>
        <v>45</v>
      </c>
      <c r="AL70" s="12">
        <f t="shared" si="26"/>
        <v>29.7</v>
      </c>
      <c r="AM70" s="12">
        <f t="shared" si="26"/>
        <v>28.999999999999996</v>
      </c>
      <c r="AN70" s="12">
        <f t="shared" si="18"/>
        <v>37.4</v>
      </c>
      <c r="AO70" s="12">
        <f t="shared" si="14"/>
        <v>58.699999999999996</v>
      </c>
      <c r="AP70" s="12">
        <f t="shared" si="14"/>
        <v>62.5</v>
      </c>
      <c r="AQ70" s="12">
        <f t="shared" si="14"/>
        <v>57.199999999999996</v>
      </c>
      <c r="AR70" s="12">
        <f t="shared" si="14"/>
        <v>66.400000000000006</v>
      </c>
      <c r="AS70" s="12">
        <f t="shared" si="15"/>
        <v>36.6</v>
      </c>
      <c r="AT70" s="12">
        <f t="shared" si="15"/>
        <v>57.999999999999993</v>
      </c>
      <c r="AU70" s="12">
        <f t="shared" si="27"/>
        <v>61.1</v>
      </c>
      <c r="AV70" s="12">
        <f t="shared" si="15"/>
        <v>59.5</v>
      </c>
      <c r="AW70" s="12">
        <f t="shared" si="16"/>
        <v>32.800000000000004</v>
      </c>
      <c r="AX70" s="12">
        <f t="shared" si="28"/>
        <v>22.200000000000003</v>
      </c>
      <c r="AY70" s="9"/>
      <c r="AZ70" s="12">
        <f t="shared" si="17"/>
        <v>34.300000000000004</v>
      </c>
      <c r="BA70" s="12">
        <f t="shared" si="13"/>
        <v>24.4</v>
      </c>
      <c r="BB70" s="12">
        <f t="shared" si="13"/>
        <v>29.7</v>
      </c>
      <c r="BC70" s="12">
        <f t="shared" si="13"/>
        <v>25.900000000000002</v>
      </c>
      <c r="BD70" s="12">
        <f t="shared" si="13"/>
        <v>29.7</v>
      </c>
      <c r="BE70" s="12">
        <f t="shared" si="19"/>
        <v>32.800000000000004</v>
      </c>
      <c r="BF70" s="12">
        <f t="shared" si="19"/>
        <v>25.900000000000002</v>
      </c>
      <c r="BG70" s="12">
        <f t="shared" si="19"/>
        <v>29.7</v>
      </c>
      <c r="BH70" s="12">
        <f t="shared" si="19"/>
        <v>56.399999999999991</v>
      </c>
      <c r="BI70" s="12">
        <f t="shared" si="20"/>
        <v>65.600000000000009</v>
      </c>
    </row>
    <row r="71" spans="1:61" ht="15.75" customHeight="1" x14ac:dyDescent="0.25">
      <c r="A71" s="1" t="s">
        <v>172</v>
      </c>
      <c r="B71" s="3" t="s">
        <v>141</v>
      </c>
      <c r="C71" s="4" t="s">
        <v>8</v>
      </c>
      <c r="D71" s="4">
        <v>27</v>
      </c>
      <c r="E71" s="4">
        <v>612</v>
      </c>
      <c r="F71" s="4">
        <v>27</v>
      </c>
      <c r="G71" s="4">
        <v>612</v>
      </c>
      <c r="H71" s="4">
        <v>23.4</v>
      </c>
      <c r="I71" s="4">
        <v>0.53</v>
      </c>
      <c r="J71" s="4">
        <v>0.46100000000000002</v>
      </c>
      <c r="K71" s="4">
        <v>0.33700000000000002</v>
      </c>
      <c r="L71" s="4">
        <v>0.314</v>
      </c>
      <c r="M71" s="4">
        <v>2.6</v>
      </c>
      <c r="N71" s="4">
        <v>6.2</v>
      </c>
      <c r="O71" s="4">
        <v>18.600000000000001</v>
      </c>
      <c r="P71" s="4">
        <v>2.2999999999999998</v>
      </c>
      <c r="Q71" s="4">
        <v>0.9</v>
      </c>
      <c r="R71" s="4">
        <v>9.1</v>
      </c>
      <c r="S71" s="4">
        <v>32.299999999999997</v>
      </c>
      <c r="T71" s="4">
        <v>108</v>
      </c>
      <c r="U71" s="4">
        <v>104</v>
      </c>
      <c r="V71" s="4"/>
      <c r="W71" s="4">
        <v>2.5</v>
      </c>
      <c r="X71" s="4">
        <v>0.3</v>
      </c>
      <c r="Y71" s="4">
        <v>2.8</v>
      </c>
      <c r="Z71" s="4">
        <v>0.18099999999999999</v>
      </c>
      <c r="AA71" s="13">
        <f>(I71/TOTAL_BASIC!$D$301)*100</f>
        <v>104.54259898015525</v>
      </c>
      <c r="AB71" s="5">
        <f t="shared" si="21"/>
        <v>1.08</v>
      </c>
      <c r="AC71" s="3">
        <f t="shared" si="1"/>
        <v>4</v>
      </c>
      <c r="AD71" s="9">
        <f t="shared" si="22"/>
        <v>1.06</v>
      </c>
      <c r="AE71" s="16">
        <f t="shared" si="23"/>
        <v>0.57585139318885459</v>
      </c>
      <c r="AF71" s="16">
        <f t="shared" si="24"/>
        <v>2.0439560439560442</v>
      </c>
      <c r="AG71" s="9"/>
      <c r="AH71" s="9"/>
      <c r="AI71" s="12">
        <f t="shared" si="25"/>
        <v>24.4</v>
      </c>
      <c r="AJ71" s="12">
        <f t="shared" si="26"/>
        <v>48</v>
      </c>
      <c r="AK71" s="12">
        <f t="shared" si="26"/>
        <v>91.600000000000009</v>
      </c>
      <c r="AL71" s="12">
        <f t="shared" si="26"/>
        <v>71.7</v>
      </c>
      <c r="AM71" s="12">
        <f t="shared" si="26"/>
        <v>58.699999999999996</v>
      </c>
      <c r="AN71" s="12">
        <f t="shared" si="18"/>
        <v>73.2</v>
      </c>
      <c r="AO71" s="12">
        <f t="shared" si="14"/>
        <v>63.3</v>
      </c>
      <c r="AP71" s="12">
        <f t="shared" si="14"/>
        <v>20.599999999999998</v>
      </c>
      <c r="AQ71" s="12">
        <f t="shared" si="14"/>
        <v>26.700000000000003</v>
      </c>
      <c r="AR71" s="12">
        <f t="shared" si="14"/>
        <v>79.3</v>
      </c>
      <c r="AS71" s="12">
        <f t="shared" si="15"/>
        <v>71.7</v>
      </c>
      <c r="AT71" s="12">
        <f t="shared" si="15"/>
        <v>41.199999999999996</v>
      </c>
      <c r="AU71" s="12">
        <f t="shared" si="27"/>
        <v>93.9</v>
      </c>
      <c r="AV71" s="12">
        <f t="shared" si="15"/>
        <v>99.2</v>
      </c>
      <c r="AW71" s="12">
        <f t="shared" si="16"/>
        <v>78.600000000000009</v>
      </c>
      <c r="AX71" s="12">
        <f t="shared" si="28"/>
        <v>15.299999999999997</v>
      </c>
      <c r="AY71" s="9"/>
      <c r="AZ71" s="12">
        <f t="shared" si="17"/>
        <v>85.399999999999991</v>
      </c>
      <c r="BA71" s="12">
        <f t="shared" si="13"/>
        <v>24.4</v>
      </c>
      <c r="BB71" s="12">
        <f t="shared" si="13"/>
        <v>79.3</v>
      </c>
      <c r="BC71" s="12">
        <f t="shared" si="13"/>
        <v>87</v>
      </c>
      <c r="BD71" s="12">
        <f t="shared" si="13"/>
        <v>71.7</v>
      </c>
      <c r="BE71" s="12">
        <f t="shared" si="19"/>
        <v>78.600000000000009</v>
      </c>
      <c r="BF71" s="12">
        <f t="shared" si="19"/>
        <v>67.100000000000009</v>
      </c>
      <c r="BG71" s="12">
        <f t="shared" si="19"/>
        <v>71.7</v>
      </c>
      <c r="BH71" s="12">
        <f t="shared" si="19"/>
        <v>41.9</v>
      </c>
      <c r="BI71" s="12">
        <f t="shared" si="20"/>
        <v>96.1</v>
      </c>
    </row>
    <row r="72" spans="1:61" ht="15.75" customHeight="1" x14ac:dyDescent="0.25">
      <c r="A72" s="1" t="s">
        <v>173</v>
      </c>
      <c r="B72" s="3" t="s">
        <v>114</v>
      </c>
      <c r="C72" s="4" t="s">
        <v>92</v>
      </c>
      <c r="D72" s="4">
        <v>33</v>
      </c>
      <c r="E72" s="4">
        <v>596</v>
      </c>
      <c r="F72" s="4">
        <v>33</v>
      </c>
      <c r="G72" s="4">
        <v>596</v>
      </c>
      <c r="H72" s="4">
        <v>11.5</v>
      </c>
      <c r="I72" s="4">
        <v>0.44700000000000001</v>
      </c>
      <c r="J72" s="4">
        <v>0.42599999999999999</v>
      </c>
      <c r="K72" s="4">
        <v>5.0000000000000001E-3</v>
      </c>
      <c r="L72" s="4">
        <v>0.2</v>
      </c>
      <c r="M72" s="4">
        <v>8.3000000000000007</v>
      </c>
      <c r="N72" s="4">
        <v>12</v>
      </c>
      <c r="O72" s="4">
        <v>6.2</v>
      </c>
      <c r="P72" s="4">
        <v>1.5</v>
      </c>
      <c r="Q72" s="4">
        <v>0.6</v>
      </c>
      <c r="R72" s="4">
        <v>9.6</v>
      </c>
      <c r="S72" s="4">
        <v>17.100000000000001</v>
      </c>
      <c r="T72" s="4">
        <v>97</v>
      </c>
      <c r="U72" s="4">
        <v>98</v>
      </c>
      <c r="V72" s="4"/>
      <c r="W72" s="4">
        <v>0.5</v>
      </c>
      <c r="X72" s="4">
        <v>0.8</v>
      </c>
      <c r="Y72" s="4">
        <v>1.3</v>
      </c>
      <c r="Z72" s="4">
        <v>0.09</v>
      </c>
      <c r="AA72" s="13">
        <f>(I72/TOTAL_BASIC!$D$301)*100</f>
        <v>88.170833479489431</v>
      </c>
      <c r="AB72" s="5">
        <f t="shared" si="21"/>
        <v>0.97</v>
      </c>
      <c r="AC72" s="3">
        <f t="shared" si="1"/>
        <v>-1</v>
      </c>
      <c r="AD72" s="9">
        <f t="shared" si="22"/>
        <v>0.89400000000000002</v>
      </c>
      <c r="AE72" s="16">
        <f t="shared" si="23"/>
        <v>0.36257309941520466</v>
      </c>
      <c r="AF72" s="16">
        <f t="shared" si="24"/>
        <v>0.64583333333333337</v>
      </c>
      <c r="AG72" s="9"/>
      <c r="AH72" s="9"/>
      <c r="AI72" s="12">
        <f t="shared" si="25"/>
        <v>54.900000000000006</v>
      </c>
      <c r="AJ72" s="12">
        <f t="shared" si="26"/>
        <v>47.3</v>
      </c>
      <c r="AK72" s="12">
        <f t="shared" si="26"/>
        <v>41.9</v>
      </c>
      <c r="AL72" s="12">
        <f t="shared" si="26"/>
        <v>25.1</v>
      </c>
      <c r="AM72" s="12">
        <f t="shared" si="26"/>
        <v>35.799999999999997</v>
      </c>
      <c r="AN72" s="12">
        <f t="shared" si="18"/>
        <v>19</v>
      </c>
      <c r="AO72" s="12">
        <f t="shared" si="14"/>
        <v>32.800000000000004</v>
      </c>
      <c r="AP72" s="12">
        <f t="shared" si="14"/>
        <v>75.5</v>
      </c>
      <c r="AQ72" s="12">
        <f t="shared" si="14"/>
        <v>71.7</v>
      </c>
      <c r="AR72" s="12">
        <f t="shared" si="14"/>
        <v>14.499999999999998</v>
      </c>
      <c r="AS72" s="12">
        <f t="shared" si="15"/>
        <v>26.700000000000003</v>
      </c>
      <c r="AT72" s="12">
        <f t="shared" si="15"/>
        <v>22.900000000000002</v>
      </c>
      <c r="AU72" s="12">
        <f t="shared" si="27"/>
        <v>91.7</v>
      </c>
      <c r="AV72" s="12">
        <f t="shared" si="15"/>
        <v>38.1</v>
      </c>
      <c r="AW72" s="12">
        <f t="shared" si="16"/>
        <v>48</v>
      </c>
      <c r="AX72" s="12">
        <f t="shared" si="28"/>
        <v>68</v>
      </c>
      <c r="AY72" s="9"/>
      <c r="AZ72" s="12">
        <f t="shared" si="17"/>
        <v>52.6</v>
      </c>
      <c r="BA72" s="12">
        <f t="shared" si="13"/>
        <v>57.999999999999993</v>
      </c>
      <c r="BB72" s="12">
        <f t="shared" si="13"/>
        <v>55.7</v>
      </c>
      <c r="BC72" s="12">
        <f t="shared" si="13"/>
        <v>54.1</v>
      </c>
      <c r="BD72" s="12">
        <f t="shared" si="13"/>
        <v>25.1</v>
      </c>
      <c r="BE72" s="12">
        <f t="shared" si="19"/>
        <v>48</v>
      </c>
      <c r="BF72" s="12">
        <f t="shared" si="19"/>
        <v>52.6</v>
      </c>
      <c r="BG72" s="12">
        <f t="shared" si="19"/>
        <v>25.1</v>
      </c>
      <c r="BH72" s="12">
        <f t="shared" si="19"/>
        <v>17.5</v>
      </c>
      <c r="BI72" s="12">
        <f t="shared" si="20"/>
        <v>40.400000000000006</v>
      </c>
    </row>
    <row r="73" spans="1:61" ht="15.75" customHeight="1" x14ac:dyDescent="0.25">
      <c r="A73" s="1" t="s">
        <v>174</v>
      </c>
      <c r="B73" s="3" t="s">
        <v>108</v>
      </c>
      <c r="C73" s="4" t="s">
        <v>87</v>
      </c>
      <c r="D73" s="4">
        <v>34</v>
      </c>
      <c r="E73" s="4">
        <v>595</v>
      </c>
      <c r="F73" s="4">
        <v>34</v>
      </c>
      <c r="G73" s="4">
        <v>595</v>
      </c>
      <c r="H73" s="4">
        <v>11.7</v>
      </c>
      <c r="I73" s="4">
        <v>0.52500000000000002</v>
      </c>
      <c r="J73" s="4">
        <v>0.504</v>
      </c>
      <c r="K73" s="4">
        <v>0.37</v>
      </c>
      <c r="L73" s="4">
        <v>0.24399999999999999</v>
      </c>
      <c r="M73" s="4">
        <v>6.8</v>
      </c>
      <c r="N73" s="4">
        <v>10</v>
      </c>
      <c r="O73" s="4">
        <v>8.3000000000000007</v>
      </c>
      <c r="P73" s="4">
        <v>2.1</v>
      </c>
      <c r="Q73" s="4">
        <v>0.6</v>
      </c>
      <c r="R73" s="4">
        <v>17.2</v>
      </c>
      <c r="S73" s="4">
        <v>13.7</v>
      </c>
      <c r="T73" s="4">
        <v>102</v>
      </c>
      <c r="U73" s="4">
        <v>97</v>
      </c>
      <c r="V73" s="4"/>
      <c r="W73" s="4">
        <v>0.7</v>
      </c>
      <c r="X73" s="4">
        <v>0.9</v>
      </c>
      <c r="Y73" s="4">
        <v>1.6</v>
      </c>
      <c r="Z73" s="4">
        <v>0.105</v>
      </c>
      <c r="AA73" s="13">
        <f>(I73/TOTAL_BASIC!$D$301)*100</f>
        <v>103.55634804638021</v>
      </c>
      <c r="AB73" s="5">
        <f t="shared" si="21"/>
        <v>1.02</v>
      </c>
      <c r="AC73" s="3">
        <f t="shared" si="1"/>
        <v>5</v>
      </c>
      <c r="AD73" s="9">
        <f t="shared" si="22"/>
        <v>1.05</v>
      </c>
      <c r="AE73" s="16">
        <f t="shared" si="23"/>
        <v>0.6058394160583942</v>
      </c>
      <c r="AF73" s="16">
        <f t="shared" si="24"/>
        <v>0.4825581395348838</v>
      </c>
      <c r="AG73" s="9"/>
      <c r="AH73" s="9"/>
      <c r="AI73" s="12">
        <f t="shared" si="25"/>
        <v>65.600000000000009</v>
      </c>
      <c r="AJ73" s="12">
        <f t="shared" si="26"/>
        <v>46.5</v>
      </c>
      <c r="AK73" s="12">
        <f t="shared" si="26"/>
        <v>43.5</v>
      </c>
      <c r="AL73" s="12">
        <f t="shared" si="26"/>
        <v>68.7</v>
      </c>
      <c r="AM73" s="12">
        <f t="shared" si="26"/>
        <v>77</v>
      </c>
      <c r="AN73" s="12">
        <f t="shared" si="18"/>
        <v>77.8</v>
      </c>
      <c r="AO73" s="12">
        <f t="shared" si="14"/>
        <v>45.800000000000004</v>
      </c>
      <c r="AP73" s="12">
        <f t="shared" si="14"/>
        <v>65.600000000000009</v>
      </c>
      <c r="AQ73" s="12">
        <f t="shared" si="14"/>
        <v>56.399999999999991</v>
      </c>
      <c r="AR73" s="12">
        <f t="shared" si="14"/>
        <v>28.199999999999996</v>
      </c>
      <c r="AS73" s="12">
        <f t="shared" si="15"/>
        <v>63.3</v>
      </c>
      <c r="AT73" s="12">
        <f t="shared" si="15"/>
        <v>22.900000000000002</v>
      </c>
      <c r="AU73" s="12">
        <f t="shared" si="27"/>
        <v>41.300000000000004</v>
      </c>
      <c r="AV73" s="12">
        <f t="shared" si="15"/>
        <v>15.2</v>
      </c>
      <c r="AW73" s="12">
        <f t="shared" si="16"/>
        <v>68.7</v>
      </c>
      <c r="AX73" s="12">
        <f t="shared" si="28"/>
        <v>76.400000000000006</v>
      </c>
      <c r="AY73" s="9"/>
      <c r="AZ73" s="12">
        <f t="shared" si="17"/>
        <v>57.999999999999993</v>
      </c>
      <c r="BA73" s="12">
        <f t="shared" si="17"/>
        <v>64.8</v>
      </c>
      <c r="BB73" s="12">
        <f t="shared" si="17"/>
        <v>61.8</v>
      </c>
      <c r="BC73" s="12">
        <f t="shared" si="17"/>
        <v>62.5</v>
      </c>
      <c r="BD73" s="12">
        <f t="shared" si="17"/>
        <v>68.7</v>
      </c>
      <c r="BE73" s="12">
        <f t="shared" si="19"/>
        <v>68.7</v>
      </c>
      <c r="BF73" s="12">
        <f t="shared" si="19"/>
        <v>70.199999999999989</v>
      </c>
      <c r="BG73" s="12">
        <f t="shared" si="19"/>
        <v>68.7</v>
      </c>
      <c r="BH73" s="12">
        <f t="shared" si="19"/>
        <v>47.3</v>
      </c>
      <c r="BI73" s="12">
        <f t="shared" si="20"/>
        <v>19</v>
      </c>
    </row>
    <row r="74" spans="1:61" ht="15.75" customHeight="1" x14ac:dyDescent="0.25">
      <c r="A74" s="1" t="s">
        <v>175</v>
      </c>
      <c r="B74" s="3" t="s">
        <v>122</v>
      </c>
      <c r="C74" s="4" t="s">
        <v>92</v>
      </c>
      <c r="D74" s="4">
        <v>33</v>
      </c>
      <c r="E74" s="4">
        <v>593</v>
      </c>
      <c r="F74" s="4">
        <v>33</v>
      </c>
      <c r="G74" s="4">
        <v>593</v>
      </c>
      <c r="H74" s="4">
        <v>18.5</v>
      </c>
      <c r="I74" s="4">
        <v>0.57099999999999995</v>
      </c>
      <c r="J74" s="4">
        <v>0.55000000000000004</v>
      </c>
      <c r="K74" s="4">
        <v>0</v>
      </c>
      <c r="L74" s="4">
        <v>0.40400000000000003</v>
      </c>
      <c r="M74" s="4">
        <v>8.9</v>
      </c>
      <c r="N74" s="4">
        <v>13.6</v>
      </c>
      <c r="O74" s="4">
        <v>10.199999999999999</v>
      </c>
      <c r="P74" s="4">
        <v>1.9</v>
      </c>
      <c r="Q74" s="4">
        <v>3.6</v>
      </c>
      <c r="R74" s="4">
        <v>19.2</v>
      </c>
      <c r="S74" s="4">
        <v>18.7</v>
      </c>
      <c r="T74" s="4">
        <v>102</v>
      </c>
      <c r="U74" s="4">
        <v>97</v>
      </c>
      <c r="V74" s="4"/>
      <c r="W74" s="4">
        <v>1</v>
      </c>
      <c r="X74" s="4">
        <v>0.9</v>
      </c>
      <c r="Y74" s="4">
        <v>1.9</v>
      </c>
      <c r="Z74" s="4">
        <v>0.129</v>
      </c>
      <c r="AA74" s="13">
        <f>(I74/TOTAL_BASIC!$D$301)*100</f>
        <v>112.62985663711065</v>
      </c>
      <c r="AB74" s="5">
        <f t="shared" si="21"/>
        <v>1.02</v>
      </c>
      <c r="AC74" s="3">
        <f t="shared" si="1"/>
        <v>5</v>
      </c>
      <c r="AD74" s="9">
        <f t="shared" si="22"/>
        <v>1.1419999999999999</v>
      </c>
      <c r="AE74" s="16">
        <f t="shared" si="23"/>
        <v>0.54545454545454541</v>
      </c>
      <c r="AF74" s="16">
        <f t="shared" si="24"/>
        <v>0.53125</v>
      </c>
      <c r="AG74" s="9"/>
      <c r="AH74" s="9"/>
      <c r="AI74" s="12">
        <f t="shared" si="25"/>
        <v>54.900000000000006</v>
      </c>
      <c r="AJ74" s="12">
        <f t="shared" si="26"/>
        <v>45</v>
      </c>
      <c r="AK74" s="12">
        <f t="shared" si="26"/>
        <v>80.100000000000009</v>
      </c>
      <c r="AL74" s="12">
        <f t="shared" si="26"/>
        <v>88.5</v>
      </c>
      <c r="AM74" s="12">
        <f t="shared" si="26"/>
        <v>91.600000000000009</v>
      </c>
      <c r="AN74" s="12">
        <f t="shared" si="18"/>
        <v>0</v>
      </c>
      <c r="AO74" s="12">
        <f t="shared" si="14"/>
        <v>87</v>
      </c>
      <c r="AP74" s="12">
        <f t="shared" si="14"/>
        <v>78.600000000000009</v>
      </c>
      <c r="AQ74" s="12">
        <f t="shared" si="14"/>
        <v>80.100000000000009</v>
      </c>
      <c r="AR74" s="12">
        <f t="shared" si="14"/>
        <v>41.199999999999996</v>
      </c>
      <c r="AS74" s="12">
        <f t="shared" si="15"/>
        <v>54.900000000000006</v>
      </c>
      <c r="AT74" s="12">
        <f t="shared" si="15"/>
        <v>90</v>
      </c>
      <c r="AU74" s="12">
        <f t="shared" si="27"/>
        <v>29.100000000000009</v>
      </c>
      <c r="AV74" s="12">
        <f t="shared" si="15"/>
        <v>49.6</v>
      </c>
      <c r="AW74" s="12">
        <f t="shared" si="16"/>
        <v>68.7</v>
      </c>
      <c r="AX74" s="12">
        <f t="shared" si="28"/>
        <v>76.400000000000006</v>
      </c>
      <c r="AY74" s="9"/>
      <c r="AZ74" s="12">
        <f t="shared" si="17"/>
        <v>63.3</v>
      </c>
      <c r="BA74" s="12">
        <f t="shared" si="17"/>
        <v>64.8</v>
      </c>
      <c r="BB74" s="12">
        <f t="shared" si="17"/>
        <v>69.399999999999991</v>
      </c>
      <c r="BC74" s="12">
        <f t="shared" si="17"/>
        <v>74</v>
      </c>
      <c r="BD74" s="12">
        <f t="shared" si="17"/>
        <v>88.5</v>
      </c>
      <c r="BE74" s="12">
        <f t="shared" si="19"/>
        <v>68.7</v>
      </c>
      <c r="BF74" s="12">
        <f t="shared" si="19"/>
        <v>70.199999999999989</v>
      </c>
      <c r="BG74" s="12">
        <f t="shared" si="19"/>
        <v>88.5</v>
      </c>
      <c r="BH74" s="12">
        <f t="shared" si="19"/>
        <v>38.9</v>
      </c>
      <c r="BI74" s="12">
        <f t="shared" si="20"/>
        <v>24.4</v>
      </c>
    </row>
    <row r="75" spans="1:61" ht="15.75" customHeight="1" x14ac:dyDescent="0.25">
      <c r="A75" s="1" t="s">
        <v>176</v>
      </c>
      <c r="B75" s="3" t="s">
        <v>89</v>
      </c>
      <c r="C75" s="4" t="s">
        <v>8</v>
      </c>
      <c r="D75" s="4">
        <v>34</v>
      </c>
      <c r="E75" s="4">
        <v>593</v>
      </c>
      <c r="F75" s="4">
        <v>34</v>
      </c>
      <c r="G75" s="4">
        <v>593</v>
      </c>
      <c r="H75" s="4">
        <v>12.7</v>
      </c>
      <c r="I75" s="4">
        <v>0.49399999999999999</v>
      </c>
      <c r="J75" s="4">
        <v>0.41899999999999998</v>
      </c>
      <c r="K75" s="4">
        <v>0.54700000000000004</v>
      </c>
      <c r="L75" s="4">
        <v>0.36499999999999999</v>
      </c>
      <c r="M75" s="4">
        <v>1.6</v>
      </c>
      <c r="N75" s="4">
        <v>5.6</v>
      </c>
      <c r="O75" s="4">
        <v>15</v>
      </c>
      <c r="P75" s="4">
        <v>2</v>
      </c>
      <c r="Q75" s="4">
        <v>0.4</v>
      </c>
      <c r="R75" s="4">
        <v>14.6</v>
      </c>
      <c r="S75" s="4">
        <v>19.600000000000001</v>
      </c>
      <c r="T75" s="4">
        <v>99</v>
      </c>
      <c r="U75" s="4">
        <v>100</v>
      </c>
      <c r="V75" s="4"/>
      <c r="W75" s="4">
        <v>0.7</v>
      </c>
      <c r="X75" s="4">
        <v>0.6</v>
      </c>
      <c r="Y75" s="4">
        <v>1.3</v>
      </c>
      <c r="Z75" s="4">
        <v>8.5999999999999993E-2</v>
      </c>
      <c r="AA75" s="13">
        <f>(I75/TOTAL_BASIC!$D$301)*100</f>
        <v>97.441592256974886</v>
      </c>
      <c r="AB75" s="5">
        <f t="shared" si="21"/>
        <v>0.99</v>
      </c>
      <c r="AC75" s="3">
        <f t="shared" si="1"/>
        <v>-1</v>
      </c>
      <c r="AD75" s="9">
        <f t="shared" si="22"/>
        <v>0.98799999999999999</v>
      </c>
      <c r="AE75" s="16">
        <f t="shared" si="23"/>
        <v>0.76530612244897955</v>
      </c>
      <c r="AF75" s="16">
        <f t="shared" si="24"/>
        <v>1.0273972602739727</v>
      </c>
      <c r="AG75" s="9"/>
      <c r="AH75" s="9"/>
      <c r="AI75" s="12">
        <f t="shared" si="25"/>
        <v>65.600000000000009</v>
      </c>
      <c r="AJ75" s="12">
        <f t="shared" si="26"/>
        <v>45</v>
      </c>
      <c r="AK75" s="12">
        <f t="shared" si="26"/>
        <v>48.8</v>
      </c>
      <c r="AL75" s="12">
        <f t="shared" si="26"/>
        <v>51.1</v>
      </c>
      <c r="AM75" s="12">
        <f t="shared" si="26"/>
        <v>32.800000000000004</v>
      </c>
      <c r="AN75" s="12">
        <f t="shared" si="18"/>
        <v>93.8</v>
      </c>
      <c r="AO75" s="12">
        <f t="shared" si="14"/>
        <v>80.100000000000009</v>
      </c>
      <c r="AP75" s="12">
        <f t="shared" si="14"/>
        <v>9.1</v>
      </c>
      <c r="AQ75" s="12">
        <f t="shared" si="14"/>
        <v>16</v>
      </c>
      <c r="AR75" s="12">
        <f t="shared" si="14"/>
        <v>67.100000000000009</v>
      </c>
      <c r="AS75" s="12">
        <f t="shared" si="15"/>
        <v>57.199999999999996</v>
      </c>
      <c r="AT75" s="12">
        <f t="shared" si="15"/>
        <v>12.2</v>
      </c>
      <c r="AU75" s="12">
        <f t="shared" si="27"/>
        <v>64.2</v>
      </c>
      <c r="AV75" s="12">
        <f t="shared" si="15"/>
        <v>54.1</v>
      </c>
      <c r="AW75" s="12">
        <f t="shared" si="16"/>
        <v>55.7</v>
      </c>
      <c r="AX75" s="12">
        <f t="shared" si="28"/>
        <v>54.199999999999996</v>
      </c>
      <c r="AY75" s="9"/>
      <c r="AZ75" s="12">
        <f t="shared" si="17"/>
        <v>57.999999999999993</v>
      </c>
      <c r="BA75" s="12">
        <f t="shared" si="17"/>
        <v>48</v>
      </c>
      <c r="BB75" s="12">
        <f t="shared" si="17"/>
        <v>55.7</v>
      </c>
      <c r="BC75" s="12">
        <f t="shared" si="17"/>
        <v>51.1</v>
      </c>
      <c r="BD75" s="12">
        <f t="shared" si="17"/>
        <v>51.1</v>
      </c>
      <c r="BE75" s="12">
        <f t="shared" si="19"/>
        <v>55.7</v>
      </c>
      <c r="BF75" s="12">
        <f t="shared" si="19"/>
        <v>52.6</v>
      </c>
      <c r="BG75" s="12">
        <f t="shared" si="19"/>
        <v>51.1</v>
      </c>
      <c r="BH75" s="12">
        <f t="shared" si="19"/>
        <v>61.8</v>
      </c>
      <c r="BI75" s="12">
        <f t="shared" si="20"/>
        <v>71.7</v>
      </c>
    </row>
    <row r="76" spans="1:61" ht="15.75" customHeight="1" x14ac:dyDescent="0.25">
      <c r="A76" s="1" t="s">
        <v>177</v>
      </c>
      <c r="B76" s="3" t="s">
        <v>86</v>
      </c>
      <c r="C76" s="4" t="s">
        <v>92</v>
      </c>
      <c r="D76" s="4">
        <v>34</v>
      </c>
      <c r="E76" s="4">
        <v>586</v>
      </c>
      <c r="F76" s="4">
        <v>34</v>
      </c>
      <c r="G76" s="4">
        <v>586</v>
      </c>
      <c r="H76" s="4">
        <v>7.5</v>
      </c>
      <c r="I76" s="4">
        <v>0.46600000000000003</v>
      </c>
      <c r="J76" s="4">
        <v>0.42299999999999999</v>
      </c>
      <c r="K76" s="4">
        <v>0.25600000000000001</v>
      </c>
      <c r="L76" s="4">
        <v>0.23100000000000001</v>
      </c>
      <c r="M76" s="4">
        <v>4.3</v>
      </c>
      <c r="N76" s="4">
        <v>7.6</v>
      </c>
      <c r="O76" s="4">
        <v>12.7</v>
      </c>
      <c r="P76" s="4">
        <v>1.5</v>
      </c>
      <c r="Q76" s="4">
        <v>1.5</v>
      </c>
      <c r="R76" s="4">
        <v>20.7</v>
      </c>
      <c r="S76" s="4">
        <v>21</v>
      </c>
      <c r="T76" s="4">
        <v>85</v>
      </c>
      <c r="U76" s="4">
        <v>104</v>
      </c>
      <c r="V76" s="4"/>
      <c r="W76" s="4">
        <v>-0.6</v>
      </c>
      <c r="X76" s="4">
        <v>0.2</v>
      </c>
      <c r="Y76" s="4">
        <v>-0.3</v>
      </c>
      <c r="Z76" s="4">
        <v>-2.3E-2</v>
      </c>
      <c r="AA76" s="13">
        <f>(I76/TOTAL_BASIC!$D$301)*100</f>
        <v>91.918587027834619</v>
      </c>
      <c r="AB76" s="5">
        <f t="shared" si="21"/>
        <v>0.85</v>
      </c>
      <c r="AC76" s="3">
        <f t="shared" si="1"/>
        <v>-19</v>
      </c>
      <c r="AD76" s="9">
        <f t="shared" si="22"/>
        <v>0.93200000000000005</v>
      </c>
      <c r="AE76" s="16">
        <f t="shared" si="23"/>
        <v>0.60476190476190472</v>
      </c>
      <c r="AF76" s="16">
        <f t="shared" si="24"/>
        <v>0.61352657004830913</v>
      </c>
      <c r="AG76" s="9"/>
      <c r="AH76" s="9"/>
      <c r="AI76" s="12">
        <f t="shared" si="25"/>
        <v>65.600000000000009</v>
      </c>
      <c r="AJ76" s="12">
        <f t="shared" si="26"/>
        <v>44.2</v>
      </c>
      <c r="AK76" s="12">
        <f t="shared" si="26"/>
        <v>15.2</v>
      </c>
      <c r="AL76" s="12">
        <f t="shared" si="26"/>
        <v>35.099999999999994</v>
      </c>
      <c r="AM76" s="12">
        <f t="shared" si="26"/>
        <v>34.300000000000004</v>
      </c>
      <c r="AN76" s="12">
        <f t="shared" si="18"/>
        <v>59.5</v>
      </c>
      <c r="AO76" s="12">
        <f t="shared" si="14"/>
        <v>41.9</v>
      </c>
      <c r="AP76" s="12">
        <f t="shared" si="14"/>
        <v>43.5</v>
      </c>
      <c r="AQ76" s="12">
        <f t="shared" si="14"/>
        <v>39.6</v>
      </c>
      <c r="AR76" s="12">
        <f t="shared" si="14"/>
        <v>59.5</v>
      </c>
      <c r="AS76" s="12">
        <f t="shared" si="15"/>
        <v>26.700000000000003</v>
      </c>
      <c r="AT76" s="12">
        <f t="shared" si="15"/>
        <v>63.3</v>
      </c>
      <c r="AU76" s="12">
        <f t="shared" si="27"/>
        <v>19.899999999999991</v>
      </c>
      <c r="AV76" s="12">
        <f t="shared" si="15"/>
        <v>66.400000000000006</v>
      </c>
      <c r="AW76" s="12">
        <f t="shared" si="16"/>
        <v>12.9</v>
      </c>
      <c r="AX76" s="12">
        <f t="shared" si="28"/>
        <v>15.299999999999997</v>
      </c>
      <c r="AY76" s="9"/>
      <c r="AZ76" s="12">
        <f t="shared" si="17"/>
        <v>4.5</v>
      </c>
      <c r="BA76" s="12">
        <f t="shared" si="17"/>
        <v>14.499999999999998</v>
      </c>
      <c r="BB76" s="12">
        <f t="shared" si="17"/>
        <v>5.3</v>
      </c>
      <c r="BC76" s="12">
        <f t="shared" si="17"/>
        <v>10.6</v>
      </c>
      <c r="BD76" s="12">
        <f t="shared" si="17"/>
        <v>35.099999999999994</v>
      </c>
      <c r="BE76" s="12">
        <f t="shared" si="19"/>
        <v>12.9</v>
      </c>
      <c r="BF76" s="12">
        <f t="shared" si="19"/>
        <v>12.2</v>
      </c>
      <c r="BG76" s="12">
        <f t="shared" si="19"/>
        <v>35.099999999999994</v>
      </c>
      <c r="BH76" s="12">
        <f t="shared" si="19"/>
        <v>46.5</v>
      </c>
      <c r="BI76" s="12">
        <f t="shared" si="20"/>
        <v>32.800000000000004</v>
      </c>
    </row>
    <row r="77" spans="1:61" ht="15.75" customHeight="1" x14ac:dyDescent="0.25">
      <c r="A77" s="1" t="s">
        <v>178</v>
      </c>
      <c r="B77" s="3" t="s">
        <v>106</v>
      </c>
      <c r="C77" s="4" t="s">
        <v>8</v>
      </c>
      <c r="D77" s="4">
        <v>30</v>
      </c>
      <c r="E77" s="4">
        <v>582</v>
      </c>
      <c r="F77" s="4">
        <v>30</v>
      </c>
      <c r="G77" s="4">
        <v>582</v>
      </c>
      <c r="H77" s="4">
        <v>4.0999999999999996</v>
      </c>
      <c r="I77" s="4">
        <v>0.35899999999999999</v>
      </c>
      <c r="J77" s="4">
        <v>0.35199999999999998</v>
      </c>
      <c r="K77" s="4">
        <v>0.16300000000000001</v>
      </c>
      <c r="L77" s="4">
        <v>0.13300000000000001</v>
      </c>
      <c r="M77" s="4">
        <v>3.5</v>
      </c>
      <c r="N77" s="4">
        <v>5.7</v>
      </c>
      <c r="O77" s="4">
        <v>17.7</v>
      </c>
      <c r="P77" s="4">
        <v>1.5</v>
      </c>
      <c r="Q77" s="4">
        <v>0.1</v>
      </c>
      <c r="R77" s="4">
        <v>18.5</v>
      </c>
      <c r="S77" s="4">
        <v>17.399999999999999</v>
      </c>
      <c r="T77" s="4">
        <v>76</v>
      </c>
      <c r="U77" s="4">
        <v>102</v>
      </c>
      <c r="V77" s="4"/>
      <c r="W77" s="4">
        <v>-1.2</v>
      </c>
      <c r="X77" s="4">
        <v>0.4</v>
      </c>
      <c r="Y77" s="4">
        <v>-0.8</v>
      </c>
      <c r="Z77" s="4">
        <v>-5.3999999999999999E-2</v>
      </c>
      <c r="AA77" s="13">
        <f>(I77/TOTAL_BASIC!$D$301)*100</f>
        <v>70.812817045048547</v>
      </c>
      <c r="AB77" s="5">
        <f t="shared" si="21"/>
        <v>0.76</v>
      </c>
      <c r="AC77" s="3">
        <f t="shared" si="1"/>
        <v>-26</v>
      </c>
      <c r="AD77" s="9">
        <f t="shared" si="22"/>
        <v>0.71799999999999997</v>
      </c>
      <c r="AE77" s="16">
        <f t="shared" si="23"/>
        <v>1.017241379310345</v>
      </c>
      <c r="AF77" s="16">
        <f t="shared" si="24"/>
        <v>0.95675675675675675</v>
      </c>
      <c r="AG77" s="9"/>
      <c r="AH77" s="9"/>
      <c r="AI77" s="12">
        <f t="shared" si="25"/>
        <v>34.300000000000004</v>
      </c>
      <c r="AJ77" s="12">
        <f t="shared" si="26"/>
        <v>43.5</v>
      </c>
      <c r="AK77" s="12">
        <f t="shared" si="26"/>
        <v>5.3</v>
      </c>
      <c r="AL77" s="12">
        <f t="shared" si="26"/>
        <v>4.5</v>
      </c>
      <c r="AM77" s="12">
        <f t="shared" si="26"/>
        <v>7.6</v>
      </c>
      <c r="AN77" s="12">
        <f t="shared" si="18"/>
        <v>42.699999999999996</v>
      </c>
      <c r="AO77" s="12">
        <f t="shared" si="14"/>
        <v>10.6</v>
      </c>
      <c r="AP77" s="12">
        <f t="shared" si="14"/>
        <v>34.300000000000004</v>
      </c>
      <c r="AQ77" s="12">
        <f t="shared" si="14"/>
        <v>19</v>
      </c>
      <c r="AR77" s="12">
        <f t="shared" si="14"/>
        <v>74.8</v>
      </c>
      <c r="AS77" s="12">
        <f t="shared" si="15"/>
        <v>26.700000000000003</v>
      </c>
      <c r="AT77" s="12">
        <f t="shared" si="15"/>
        <v>2.1999999999999997</v>
      </c>
      <c r="AU77" s="12">
        <f t="shared" si="27"/>
        <v>35.200000000000003</v>
      </c>
      <c r="AV77" s="12">
        <f t="shared" si="15"/>
        <v>41.199999999999996</v>
      </c>
      <c r="AW77" s="12">
        <f t="shared" si="16"/>
        <v>6.1</v>
      </c>
      <c r="AX77" s="12">
        <f t="shared" si="28"/>
        <v>35.200000000000003</v>
      </c>
      <c r="AY77" s="9"/>
      <c r="AZ77" s="12">
        <f t="shared" si="17"/>
        <v>0.70000000000000007</v>
      </c>
      <c r="BA77" s="12">
        <f t="shared" si="17"/>
        <v>35.799999999999997</v>
      </c>
      <c r="BB77" s="12">
        <f t="shared" si="17"/>
        <v>0.70000000000000007</v>
      </c>
      <c r="BC77" s="12">
        <f t="shared" si="17"/>
        <v>4.5</v>
      </c>
      <c r="BD77" s="12">
        <f t="shared" si="17"/>
        <v>4.5</v>
      </c>
      <c r="BE77" s="12">
        <f t="shared" si="19"/>
        <v>6.1</v>
      </c>
      <c r="BF77" s="12">
        <f t="shared" si="19"/>
        <v>5.3</v>
      </c>
      <c r="BG77" s="12">
        <f t="shared" si="19"/>
        <v>4.5</v>
      </c>
      <c r="BH77" s="12">
        <f t="shared" si="19"/>
        <v>80.900000000000006</v>
      </c>
      <c r="BI77" s="12">
        <f t="shared" si="20"/>
        <v>66.400000000000006</v>
      </c>
    </row>
    <row r="78" spans="1:61" ht="15.75" customHeight="1" x14ac:dyDescent="0.25">
      <c r="A78" s="1" t="s">
        <v>179</v>
      </c>
      <c r="B78" s="3" t="s">
        <v>108</v>
      </c>
      <c r="C78" s="4" t="s">
        <v>92</v>
      </c>
      <c r="D78" s="4">
        <v>34</v>
      </c>
      <c r="E78" s="4">
        <v>571</v>
      </c>
      <c r="F78" s="4">
        <v>34</v>
      </c>
      <c r="G78" s="4">
        <v>571</v>
      </c>
      <c r="H78" s="4">
        <v>18.600000000000001</v>
      </c>
      <c r="I78" s="4">
        <v>0.54100000000000004</v>
      </c>
      <c r="J78" s="4">
        <v>0.50700000000000001</v>
      </c>
      <c r="K78" s="4">
        <v>0</v>
      </c>
      <c r="L78" s="4">
        <v>0.17499999999999999</v>
      </c>
      <c r="M78" s="4">
        <v>10.8</v>
      </c>
      <c r="N78" s="4">
        <v>16</v>
      </c>
      <c r="O78" s="4">
        <v>5.3</v>
      </c>
      <c r="P78" s="4">
        <v>1.7</v>
      </c>
      <c r="Q78" s="4">
        <v>2.9</v>
      </c>
      <c r="R78" s="4">
        <v>14</v>
      </c>
      <c r="S78" s="4">
        <v>20.9</v>
      </c>
      <c r="T78" s="4">
        <v>104</v>
      </c>
      <c r="U78" s="4">
        <v>94</v>
      </c>
      <c r="V78" s="4"/>
      <c r="W78" s="4">
        <v>1.2</v>
      </c>
      <c r="X78" s="4">
        <v>1.1000000000000001</v>
      </c>
      <c r="Y78" s="4">
        <v>2.2999999999999998</v>
      </c>
      <c r="Z78" s="4">
        <v>0.16300000000000001</v>
      </c>
      <c r="AA78" s="13">
        <f>(I78/TOTAL_BASIC!$D$301)*100</f>
        <v>106.71235103446035</v>
      </c>
      <c r="AB78" s="5">
        <f t="shared" si="21"/>
        <v>1.04</v>
      </c>
      <c r="AC78" s="3">
        <f t="shared" si="1"/>
        <v>10</v>
      </c>
      <c r="AD78" s="9">
        <f t="shared" si="22"/>
        <v>1.0820000000000001</v>
      </c>
      <c r="AE78" s="16">
        <f t="shared" si="23"/>
        <v>0.25358851674641147</v>
      </c>
      <c r="AF78" s="16">
        <f t="shared" si="24"/>
        <v>0.37857142857142856</v>
      </c>
      <c r="AG78" s="9"/>
      <c r="AH78" s="9"/>
      <c r="AI78" s="12">
        <f t="shared" si="25"/>
        <v>65.600000000000009</v>
      </c>
      <c r="AJ78" s="12">
        <f t="shared" si="26"/>
        <v>41.9</v>
      </c>
      <c r="AK78" s="12">
        <f t="shared" si="26"/>
        <v>81.599999999999994</v>
      </c>
      <c r="AL78" s="12">
        <f t="shared" si="26"/>
        <v>77</v>
      </c>
      <c r="AM78" s="12">
        <f t="shared" si="26"/>
        <v>79.3</v>
      </c>
      <c r="AN78" s="12">
        <f t="shared" si="18"/>
        <v>0</v>
      </c>
      <c r="AO78" s="12">
        <f t="shared" si="14"/>
        <v>25.900000000000002</v>
      </c>
      <c r="AP78" s="12">
        <f t="shared" si="14"/>
        <v>89.3</v>
      </c>
      <c r="AQ78" s="12">
        <f t="shared" si="14"/>
        <v>86.2</v>
      </c>
      <c r="AR78" s="12">
        <f t="shared" si="14"/>
        <v>9.9</v>
      </c>
      <c r="AS78" s="12">
        <f t="shared" si="15"/>
        <v>41.199999999999996</v>
      </c>
      <c r="AT78" s="12">
        <f t="shared" si="15"/>
        <v>84.7</v>
      </c>
      <c r="AU78" s="12">
        <f t="shared" si="27"/>
        <v>68</v>
      </c>
      <c r="AV78" s="12">
        <f t="shared" si="15"/>
        <v>64.8</v>
      </c>
      <c r="AW78" s="12">
        <f t="shared" si="16"/>
        <v>70.899999999999991</v>
      </c>
      <c r="AX78" s="12">
        <f t="shared" si="28"/>
        <v>90.1</v>
      </c>
      <c r="AY78" s="9"/>
      <c r="AZ78" s="12">
        <f t="shared" si="17"/>
        <v>70.199999999999989</v>
      </c>
      <c r="BA78" s="12">
        <f t="shared" si="17"/>
        <v>76.3</v>
      </c>
      <c r="BB78" s="12">
        <f t="shared" si="17"/>
        <v>71.7</v>
      </c>
      <c r="BC78" s="12">
        <f t="shared" si="17"/>
        <v>81.599999999999994</v>
      </c>
      <c r="BD78" s="12">
        <f t="shared" si="17"/>
        <v>77</v>
      </c>
      <c r="BE78" s="12">
        <f t="shared" si="19"/>
        <v>70.899999999999991</v>
      </c>
      <c r="BF78" s="12">
        <f t="shared" si="19"/>
        <v>83.899999999999991</v>
      </c>
      <c r="BG78" s="12">
        <f t="shared" si="19"/>
        <v>77</v>
      </c>
      <c r="BH78" s="12">
        <f t="shared" si="19"/>
        <v>6.1</v>
      </c>
      <c r="BI78" s="12">
        <f t="shared" si="20"/>
        <v>15.2</v>
      </c>
    </row>
    <row r="79" spans="1:61" ht="15.75" customHeight="1" x14ac:dyDescent="0.25">
      <c r="A79" s="1" t="s">
        <v>180</v>
      </c>
      <c r="B79" s="3" t="s">
        <v>89</v>
      </c>
      <c r="C79" s="4" t="s">
        <v>115</v>
      </c>
      <c r="D79" s="4">
        <v>34</v>
      </c>
      <c r="E79" s="4">
        <v>571</v>
      </c>
      <c r="F79" s="4">
        <v>34</v>
      </c>
      <c r="G79" s="4">
        <v>571</v>
      </c>
      <c r="H79" s="4">
        <v>13.8</v>
      </c>
      <c r="I79" s="4">
        <v>0.51500000000000001</v>
      </c>
      <c r="J79" s="4">
        <v>0.47399999999999998</v>
      </c>
      <c r="K79" s="4">
        <v>0</v>
      </c>
      <c r="L79" s="4">
        <v>0.221</v>
      </c>
      <c r="M79" s="4">
        <v>10.3</v>
      </c>
      <c r="N79" s="4">
        <v>16.399999999999999</v>
      </c>
      <c r="O79" s="4">
        <v>6.3</v>
      </c>
      <c r="P79" s="4">
        <v>1.5</v>
      </c>
      <c r="Q79" s="4">
        <v>3.4</v>
      </c>
      <c r="R79" s="4">
        <v>16.8</v>
      </c>
      <c r="S79" s="4">
        <v>15.8</v>
      </c>
      <c r="T79" s="4">
        <v>100</v>
      </c>
      <c r="U79" s="4">
        <v>95</v>
      </c>
      <c r="V79" s="4"/>
      <c r="W79" s="4">
        <v>0.7</v>
      </c>
      <c r="X79" s="4">
        <v>1</v>
      </c>
      <c r="Y79" s="4">
        <v>1.7</v>
      </c>
      <c r="Z79" s="4">
        <v>0.12</v>
      </c>
      <c r="AA79" s="13">
        <f>(I79/TOTAL_BASIC!$D$301)*100</f>
        <v>101.5838461788301</v>
      </c>
      <c r="AB79" s="5">
        <f t="shared" si="21"/>
        <v>1</v>
      </c>
      <c r="AC79" s="3">
        <f t="shared" si="1"/>
        <v>5</v>
      </c>
      <c r="AD79" s="9">
        <f t="shared" si="22"/>
        <v>1.03</v>
      </c>
      <c r="AE79" s="16">
        <f t="shared" si="23"/>
        <v>0.39873417721518983</v>
      </c>
      <c r="AF79" s="16">
        <f t="shared" si="24"/>
        <v>0.375</v>
      </c>
      <c r="AG79" s="9"/>
      <c r="AH79" s="9"/>
      <c r="AI79" s="12">
        <f t="shared" si="25"/>
        <v>65.600000000000009</v>
      </c>
      <c r="AJ79" s="12">
        <f t="shared" si="26"/>
        <v>41.9</v>
      </c>
      <c r="AK79" s="12">
        <f t="shared" si="26"/>
        <v>55.7</v>
      </c>
      <c r="AL79" s="12">
        <f t="shared" si="26"/>
        <v>64.8</v>
      </c>
      <c r="AM79" s="12">
        <f t="shared" si="26"/>
        <v>67.100000000000009</v>
      </c>
      <c r="AN79" s="12">
        <f t="shared" si="18"/>
        <v>0</v>
      </c>
      <c r="AO79" s="12">
        <f t="shared" si="14"/>
        <v>39.6</v>
      </c>
      <c r="AP79" s="12">
        <f t="shared" si="14"/>
        <v>86.2</v>
      </c>
      <c r="AQ79" s="12">
        <f t="shared" si="14"/>
        <v>88.5</v>
      </c>
      <c r="AR79" s="12">
        <f t="shared" si="14"/>
        <v>16</v>
      </c>
      <c r="AS79" s="12">
        <f t="shared" si="15"/>
        <v>26.700000000000003</v>
      </c>
      <c r="AT79" s="12">
        <f t="shared" si="15"/>
        <v>88.5</v>
      </c>
      <c r="AU79" s="12">
        <f t="shared" si="27"/>
        <v>45.9</v>
      </c>
      <c r="AV79" s="12">
        <f t="shared" si="15"/>
        <v>28.199999999999996</v>
      </c>
      <c r="AW79" s="12">
        <f t="shared" si="16"/>
        <v>61.8</v>
      </c>
      <c r="AX79" s="12">
        <f t="shared" si="28"/>
        <v>86.3</v>
      </c>
      <c r="AY79" s="9"/>
      <c r="AZ79" s="12">
        <f t="shared" si="17"/>
        <v>57.999999999999993</v>
      </c>
      <c r="BA79" s="12">
        <f t="shared" si="17"/>
        <v>73.2</v>
      </c>
      <c r="BB79" s="12">
        <f t="shared" si="17"/>
        <v>63.3</v>
      </c>
      <c r="BC79" s="12">
        <f t="shared" si="17"/>
        <v>70.199999999999989</v>
      </c>
      <c r="BD79" s="12">
        <f t="shared" si="17"/>
        <v>64.8</v>
      </c>
      <c r="BE79" s="12">
        <f t="shared" si="19"/>
        <v>61.8</v>
      </c>
      <c r="BF79" s="12">
        <f t="shared" si="19"/>
        <v>70.199999999999989</v>
      </c>
      <c r="BG79" s="12">
        <f t="shared" si="19"/>
        <v>64.8</v>
      </c>
      <c r="BH79" s="12">
        <f t="shared" si="19"/>
        <v>22.1</v>
      </c>
      <c r="BI79" s="12">
        <f t="shared" si="20"/>
        <v>13.700000000000001</v>
      </c>
    </row>
    <row r="80" spans="1:61" ht="15.75" customHeight="1" x14ac:dyDescent="0.25">
      <c r="A80" s="1" t="s">
        <v>181</v>
      </c>
      <c r="B80" s="3" t="s">
        <v>141</v>
      </c>
      <c r="C80" s="4" t="s">
        <v>8</v>
      </c>
      <c r="D80" s="4">
        <v>33</v>
      </c>
      <c r="E80" s="4">
        <v>567</v>
      </c>
      <c r="F80" s="4">
        <v>33</v>
      </c>
      <c r="G80" s="4">
        <v>567</v>
      </c>
      <c r="H80" s="4">
        <v>10.8</v>
      </c>
      <c r="I80" s="4">
        <v>0.53400000000000003</v>
      </c>
      <c r="J80" s="4">
        <v>0.52300000000000002</v>
      </c>
      <c r="K80" s="4">
        <v>0.76</v>
      </c>
      <c r="L80" s="4">
        <v>5.2999999999999999E-2</v>
      </c>
      <c r="M80" s="4">
        <v>0.4</v>
      </c>
      <c r="N80" s="4">
        <v>4.2</v>
      </c>
      <c r="O80" s="4">
        <v>10.5</v>
      </c>
      <c r="P80" s="4">
        <v>1.6</v>
      </c>
      <c r="Q80" s="4">
        <v>0.3</v>
      </c>
      <c r="R80" s="4">
        <v>10</v>
      </c>
      <c r="S80" s="4">
        <v>13.6</v>
      </c>
      <c r="T80" s="4">
        <v>107</v>
      </c>
      <c r="U80" s="4">
        <v>106</v>
      </c>
      <c r="V80" s="4"/>
      <c r="W80" s="4">
        <v>0.9</v>
      </c>
      <c r="X80" s="4">
        <v>0</v>
      </c>
      <c r="Y80" s="4">
        <v>1</v>
      </c>
      <c r="Z80" s="4">
        <v>6.8000000000000005E-2</v>
      </c>
      <c r="AA80" s="13">
        <f>(I80/TOTAL_BASIC!$D$301)*100</f>
        <v>105.3315997271753</v>
      </c>
      <c r="AB80" s="5">
        <f t="shared" si="21"/>
        <v>1.07</v>
      </c>
      <c r="AC80" s="3">
        <f t="shared" si="1"/>
        <v>1</v>
      </c>
      <c r="AD80" s="9">
        <f t="shared" si="22"/>
        <v>1.0680000000000001</v>
      </c>
      <c r="AE80" s="16">
        <f t="shared" si="23"/>
        <v>0.7720588235294118</v>
      </c>
      <c r="AF80" s="16">
        <f t="shared" si="24"/>
        <v>1.05</v>
      </c>
      <c r="AG80" s="9"/>
      <c r="AH80" s="9"/>
      <c r="AI80" s="12">
        <f t="shared" si="25"/>
        <v>54.900000000000006</v>
      </c>
      <c r="AJ80" s="12">
        <f t="shared" si="26"/>
        <v>41.199999999999996</v>
      </c>
      <c r="AK80" s="12">
        <f t="shared" si="26"/>
        <v>38.1</v>
      </c>
      <c r="AL80" s="12">
        <f t="shared" si="26"/>
        <v>73.2</v>
      </c>
      <c r="AM80" s="12">
        <f t="shared" si="26"/>
        <v>83.899999999999991</v>
      </c>
      <c r="AN80" s="12">
        <f t="shared" si="18"/>
        <v>100</v>
      </c>
      <c r="AO80" s="12">
        <f t="shared" si="14"/>
        <v>0</v>
      </c>
      <c r="AP80" s="12">
        <f t="shared" si="14"/>
        <v>1.5</v>
      </c>
      <c r="AQ80" s="12">
        <f t="shared" si="14"/>
        <v>3</v>
      </c>
      <c r="AR80" s="12">
        <f t="shared" si="14"/>
        <v>43.5</v>
      </c>
      <c r="AS80" s="12">
        <f t="shared" si="15"/>
        <v>36.6</v>
      </c>
      <c r="AT80" s="12">
        <f t="shared" si="15"/>
        <v>6.8000000000000007</v>
      </c>
      <c r="AU80" s="12">
        <f t="shared" si="27"/>
        <v>90.1</v>
      </c>
      <c r="AV80" s="12">
        <f t="shared" si="15"/>
        <v>14.499999999999998</v>
      </c>
      <c r="AW80" s="12">
        <f t="shared" si="16"/>
        <v>75.5</v>
      </c>
      <c r="AX80" s="12">
        <f t="shared" si="28"/>
        <v>1.5999999999999943</v>
      </c>
      <c r="AY80" s="9"/>
      <c r="AZ80" s="12">
        <f t="shared" si="17"/>
        <v>61.8</v>
      </c>
      <c r="BA80" s="12">
        <f t="shared" si="17"/>
        <v>0.70000000000000007</v>
      </c>
      <c r="BB80" s="12">
        <f t="shared" si="17"/>
        <v>46.5</v>
      </c>
      <c r="BC80" s="12">
        <f t="shared" si="17"/>
        <v>42.699999999999996</v>
      </c>
      <c r="BD80" s="12">
        <f t="shared" si="17"/>
        <v>73.2</v>
      </c>
      <c r="BE80" s="12">
        <f t="shared" si="19"/>
        <v>75.5</v>
      </c>
      <c r="BF80" s="12">
        <f t="shared" si="19"/>
        <v>59.5</v>
      </c>
      <c r="BG80" s="12">
        <f t="shared" si="19"/>
        <v>73.2</v>
      </c>
      <c r="BH80" s="12">
        <f t="shared" si="19"/>
        <v>62.5</v>
      </c>
      <c r="BI80" s="12">
        <f t="shared" si="20"/>
        <v>72.5</v>
      </c>
    </row>
    <row r="81" spans="1:61" ht="15.75" customHeight="1" x14ac:dyDescent="0.25">
      <c r="A81" s="1" t="s">
        <v>182</v>
      </c>
      <c r="B81" s="3" t="s">
        <v>122</v>
      </c>
      <c r="C81" s="4" t="s">
        <v>8</v>
      </c>
      <c r="D81" s="4">
        <v>22</v>
      </c>
      <c r="E81" s="4">
        <v>549</v>
      </c>
      <c r="F81" s="4">
        <v>22</v>
      </c>
      <c r="G81" s="4">
        <v>549</v>
      </c>
      <c r="H81" s="4">
        <v>7.9</v>
      </c>
      <c r="I81" s="4">
        <v>0.38</v>
      </c>
      <c r="J81" s="4">
        <v>0.35899999999999999</v>
      </c>
      <c r="K81" s="4">
        <v>0.29799999999999999</v>
      </c>
      <c r="L81" s="4">
        <v>0.106</v>
      </c>
      <c r="M81" s="4">
        <v>3.4</v>
      </c>
      <c r="N81" s="4">
        <v>6.2</v>
      </c>
      <c r="O81" s="4">
        <v>15</v>
      </c>
      <c r="P81" s="4">
        <v>3.2</v>
      </c>
      <c r="Q81" s="4">
        <v>0.8</v>
      </c>
      <c r="R81" s="4">
        <v>16.3</v>
      </c>
      <c r="S81" s="4">
        <v>25.9</v>
      </c>
      <c r="T81" s="4">
        <v>76</v>
      </c>
      <c r="U81" s="4">
        <v>99</v>
      </c>
      <c r="V81" s="4"/>
      <c r="W81" s="4">
        <v>-1.7</v>
      </c>
      <c r="X81" s="4">
        <v>0.6</v>
      </c>
      <c r="Y81" s="4">
        <v>-1.1000000000000001</v>
      </c>
      <c r="Z81" s="4">
        <v>-7.6999999999999999E-2</v>
      </c>
      <c r="AA81" s="13">
        <f>(I81/TOTAL_BASIC!$D$301)*100</f>
        <v>74.955070966903762</v>
      </c>
      <c r="AB81" s="5">
        <f t="shared" si="21"/>
        <v>0.76</v>
      </c>
      <c r="AC81" s="3">
        <f t="shared" si="1"/>
        <v>-23</v>
      </c>
      <c r="AD81" s="9">
        <f t="shared" si="22"/>
        <v>0.76</v>
      </c>
      <c r="AE81" s="16">
        <f t="shared" si="23"/>
        <v>0.57915057915057921</v>
      </c>
      <c r="AF81" s="16">
        <f t="shared" si="24"/>
        <v>0.92024539877300604</v>
      </c>
      <c r="AG81" s="9"/>
      <c r="AH81" s="9"/>
      <c r="AI81" s="12">
        <f t="shared" si="25"/>
        <v>14.499999999999998</v>
      </c>
      <c r="AJ81" s="12">
        <f t="shared" si="26"/>
        <v>40.400000000000006</v>
      </c>
      <c r="AK81" s="12">
        <f t="shared" si="26"/>
        <v>19</v>
      </c>
      <c r="AL81" s="12">
        <f t="shared" si="26"/>
        <v>6.8000000000000007</v>
      </c>
      <c r="AM81" s="12">
        <f t="shared" si="26"/>
        <v>9.1</v>
      </c>
      <c r="AN81" s="12">
        <f t="shared" si="18"/>
        <v>66.400000000000006</v>
      </c>
      <c r="AO81" s="12">
        <f t="shared" si="14"/>
        <v>4.5</v>
      </c>
      <c r="AP81" s="12">
        <f t="shared" si="14"/>
        <v>32</v>
      </c>
      <c r="AQ81" s="12">
        <f t="shared" si="14"/>
        <v>26.700000000000003</v>
      </c>
      <c r="AR81" s="12">
        <f t="shared" si="14"/>
        <v>67.100000000000009</v>
      </c>
      <c r="AS81" s="12">
        <f t="shared" si="15"/>
        <v>92.300000000000011</v>
      </c>
      <c r="AT81" s="12">
        <f t="shared" si="15"/>
        <v>34.300000000000004</v>
      </c>
      <c r="AU81" s="12">
        <f t="shared" si="27"/>
        <v>52</v>
      </c>
      <c r="AV81" s="12">
        <f t="shared" si="15"/>
        <v>93.100000000000009</v>
      </c>
      <c r="AW81" s="12">
        <f t="shared" si="16"/>
        <v>6.1</v>
      </c>
      <c r="AX81" s="12">
        <f t="shared" si="28"/>
        <v>63.4</v>
      </c>
      <c r="AY81" s="9"/>
      <c r="AZ81" s="12">
        <f t="shared" si="17"/>
        <v>0</v>
      </c>
      <c r="BA81" s="12">
        <f t="shared" si="17"/>
        <v>48</v>
      </c>
      <c r="BB81" s="12">
        <f t="shared" si="17"/>
        <v>0</v>
      </c>
      <c r="BC81" s="12">
        <f t="shared" si="17"/>
        <v>2.1999999999999997</v>
      </c>
      <c r="BD81" s="12">
        <f t="shared" si="17"/>
        <v>6.8000000000000007</v>
      </c>
      <c r="BE81" s="12">
        <f t="shared" si="19"/>
        <v>6.1</v>
      </c>
      <c r="BF81" s="12">
        <f t="shared" si="19"/>
        <v>8.3000000000000007</v>
      </c>
      <c r="BG81" s="12">
        <f t="shared" si="19"/>
        <v>6.8000000000000007</v>
      </c>
      <c r="BH81" s="12">
        <f t="shared" si="19"/>
        <v>42.699999999999996</v>
      </c>
      <c r="BI81" s="12">
        <f t="shared" si="20"/>
        <v>62.5</v>
      </c>
    </row>
    <row r="82" spans="1:61" ht="15.75" customHeight="1" x14ac:dyDescent="0.25">
      <c r="A82" s="1" t="s">
        <v>183</v>
      </c>
      <c r="B82" s="3" t="s">
        <v>99</v>
      </c>
      <c r="C82" s="4" t="s">
        <v>8</v>
      </c>
      <c r="D82" s="4">
        <v>23</v>
      </c>
      <c r="E82" s="4">
        <v>513</v>
      </c>
      <c r="F82" s="4">
        <v>23</v>
      </c>
      <c r="G82" s="4">
        <v>513</v>
      </c>
      <c r="H82" s="4">
        <v>18</v>
      </c>
      <c r="I82" s="4">
        <v>0.53500000000000003</v>
      </c>
      <c r="J82" s="4">
        <v>0.46400000000000002</v>
      </c>
      <c r="K82" s="4">
        <v>0.31</v>
      </c>
      <c r="L82" s="4">
        <v>0.51800000000000002</v>
      </c>
      <c r="M82" s="4">
        <v>4.3</v>
      </c>
      <c r="N82" s="4">
        <v>9.5</v>
      </c>
      <c r="O82" s="4">
        <v>13.3</v>
      </c>
      <c r="P82" s="4">
        <v>2.7</v>
      </c>
      <c r="Q82" s="4">
        <v>0.4</v>
      </c>
      <c r="R82" s="4">
        <v>14.2</v>
      </c>
      <c r="S82" s="4">
        <v>23.7</v>
      </c>
      <c r="T82" s="4">
        <v>104</v>
      </c>
      <c r="U82" s="4">
        <v>95</v>
      </c>
      <c r="V82" s="4"/>
      <c r="W82" s="4">
        <v>1.2</v>
      </c>
      <c r="X82" s="4">
        <v>0.9</v>
      </c>
      <c r="Y82" s="4">
        <v>2.1</v>
      </c>
      <c r="Z82" s="4">
        <v>0.16700000000000001</v>
      </c>
      <c r="AA82" s="13">
        <f>(I82/TOTAL_BASIC!$D$301)*100</f>
        <v>105.5288499139303</v>
      </c>
      <c r="AB82" s="5">
        <f t="shared" si="21"/>
        <v>1.04</v>
      </c>
      <c r="AC82" s="3">
        <f t="shared" si="1"/>
        <v>9</v>
      </c>
      <c r="AD82" s="9">
        <f t="shared" si="22"/>
        <v>1.07</v>
      </c>
      <c r="AE82" s="16">
        <f t="shared" si="23"/>
        <v>0.56118143459915615</v>
      </c>
      <c r="AF82" s="16">
        <f t="shared" si="24"/>
        <v>0.93661971830985924</v>
      </c>
      <c r="AG82" s="9"/>
      <c r="AH82" s="9"/>
      <c r="AI82" s="12">
        <f t="shared" si="25"/>
        <v>17.5</v>
      </c>
      <c r="AJ82" s="12">
        <f t="shared" si="26"/>
        <v>39.6</v>
      </c>
      <c r="AK82" s="12">
        <f t="shared" si="26"/>
        <v>78.600000000000009</v>
      </c>
      <c r="AL82" s="12">
        <f t="shared" si="26"/>
        <v>74</v>
      </c>
      <c r="AM82" s="12">
        <f t="shared" si="26"/>
        <v>62.5</v>
      </c>
      <c r="AN82" s="12">
        <f t="shared" si="18"/>
        <v>67.900000000000006</v>
      </c>
      <c r="AO82" s="12">
        <f t="shared" si="14"/>
        <v>96.899999999999991</v>
      </c>
      <c r="AP82" s="12">
        <f t="shared" si="14"/>
        <v>43.5</v>
      </c>
      <c r="AQ82" s="12">
        <f t="shared" si="14"/>
        <v>51.9</v>
      </c>
      <c r="AR82" s="12">
        <f t="shared" ref="AR82:AT134" si="29">(PERCENTRANK(O$3:O$298,O82))*100</f>
        <v>62.5</v>
      </c>
      <c r="AS82" s="12">
        <f t="shared" si="15"/>
        <v>85.399999999999991</v>
      </c>
      <c r="AT82" s="12">
        <f t="shared" si="15"/>
        <v>12.2</v>
      </c>
      <c r="AU82" s="12">
        <f t="shared" si="27"/>
        <v>66.5</v>
      </c>
      <c r="AV82" s="12">
        <f t="shared" ref="AV82:AW134" si="30">(PERCENTRANK(S$3:S$298,S82))*100</f>
        <v>84.7</v>
      </c>
      <c r="AW82" s="12">
        <f t="shared" si="16"/>
        <v>70.899999999999991</v>
      </c>
      <c r="AX82" s="12">
        <f t="shared" si="28"/>
        <v>86.3</v>
      </c>
      <c r="AY82" s="9"/>
      <c r="AZ82" s="12">
        <f t="shared" si="17"/>
        <v>70.199999999999989</v>
      </c>
      <c r="BA82" s="12">
        <f t="shared" si="17"/>
        <v>64.8</v>
      </c>
      <c r="BB82" s="12">
        <f t="shared" si="17"/>
        <v>70.199999999999989</v>
      </c>
      <c r="BC82" s="12">
        <f t="shared" si="17"/>
        <v>83.2</v>
      </c>
      <c r="BD82" s="12">
        <f t="shared" si="17"/>
        <v>74</v>
      </c>
      <c r="BE82" s="12">
        <f t="shared" si="19"/>
        <v>70.899999999999991</v>
      </c>
      <c r="BF82" s="12">
        <f t="shared" si="19"/>
        <v>81.599999999999994</v>
      </c>
      <c r="BG82" s="12">
        <f t="shared" si="19"/>
        <v>74</v>
      </c>
      <c r="BH82" s="12">
        <f t="shared" si="19"/>
        <v>39.6</v>
      </c>
      <c r="BI82" s="12">
        <f t="shared" si="20"/>
        <v>64.099999999999994</v>
      </c>
    </row>
    <row r="83" spans="1:61" ht="15.75" customHeight="1" x14ac:dyDescent="0.25">
      <c r="A83" s="1" t="s">
        <v>184</v>
      </c>
      <c r="B83" s="3" t="s">
        <v>95</v>
      </c>
      <c r="C83" s="4" t="s">
        <v>92</v>
      </c>
      <c r="D83" s="4">
        <v>33</v>
      </c>
      <c r="E83" s="4">
        <v>505</v>
      </c>
      <c r="F83" s="4">
        <v>33</v>
      </c>
      <c r="G83" s="4">
        <v>505</v>
      </c>
      <c r="H83" s="4">
        <v>9.6999999999999993</v>
      </c>
      <c r="I83" s="4">
        <v>0.56000000000000005</v>
      </c>
      <c r="J83" s="4">
        <v>0.52800000000000002</v>
      </c>
      <c r="K83" s="4">
        <v>0.38700000000000001</v>
      </c>
      <c r="L83" s="4">
        <v>0.23599999999999999</v>
      </c>
      <c r="M83" s="4">
        <v>8.1999999999999993</v>
      </c>
      <c r="N83" s="4">
        <v>10.5</v>
      </c>
      <c r="O83" s="4">
        <v>4.4000000000000004</v>
      </c>
      <c r="P83" s="4">
        <v>1.5</v>
      </c>
      <c r="Q83" s="4">
        <v>0.8</v>
      </c>
      <c r="R83" s="4">
        <v>23</v>
      </c>
      <c r="S83" s="4">
        <v>14.4</v>
      </c>
      <c r="T83" s="4">
        <v>96</v>
      </c>
      <c r="U83" s="4">
        <v>102</v>
      </c>
      <c r="V83" s="4"/>
      <c r="W83" s="4">
        <v>0.3</v>
      </c>
      <c r="X83" s="4">
        <v>0.3</v>
      </c>
      <c r="Y83" s="4">
        <v>0.6</v>
      </c>
      <c r="Z83" s="4">
        <v>5.0999999999999997E-2</v>
      </c>
      <c r="AA83" s="13">
        <f>(I83/TOTAL_BASIC!$D$301)*100</f>
        <v>110.46010458280556</v>
      </c>
      <c r="AB83" s="5">
        <f t="shared" si="21"/>
        <v>0.96</v>
      </c>
      <c r="AC83" s="3">
        <f t="shared" si="1"/>
        <v>-6</v>
      </c>
      <c r="AD83" s="9">
        <f t="shared" si="22"/>
        <v>1.1200000000000001</v>
      </c>
      <c r="AE83" s="16">
        <f t="shared" si="23"/>
        <v>0.30555555555555558</v>
      </c>
      <c r="AF83" s="16">
        <f t="shared" si="24"/>
        <v>0.19130434782608696</v>
      </c>
      <c r="AG83" s="9"/>
      <c r="AH83" s="9"/>
      <c r="AI83" s="12">
        <f t="shared" si="25"/>
        <v>54.900000000000006</v>
      </c>
      <c r="AJ83" s="12">
        <f t="shared" si="26"/>
        <v>38.9</v>
      </c>
      <c r="AK83" s="12">
        <f t="shared" si="26"/>
        <v>28.199999999999996</v>
      </c>
      <c r="AL83" s="12">
        <f t="shared" si="26"/>
        <v>83.2</v>
      </c>
      <c r="AM83" s="12">
        <f t="shared" si="26"/>
        <v>85.399999999999991</v>
      </c>
      <c r="AN83" s="12">
        <f t="shared" si="18"/>
        <v>78.600000000000009</v>
      </c>
      <c r="AO83" s="12">
        <f t="shared" si="18"/>
        <v>44.2</v>
      </c>
      <c r="AP83" s="12">
        <f t="shared" si="18"/>
        <v>73.2</v>
      </c>
      <c r="AQ83" s="12">
        <f t="shared" si="18"/>
        <v>61</v>
      </c>
      <c r="AR83" s="12">
        <f t="shared" si="29"/>
        <v>6.8000000000000007</v>
      </c>
      <c r="AS83" s="12">
        <f t="shared" si="29"/>
        <v>26.700000000000003</v>
      </c>
      <c r="AT83" s="12">
        <f t="shared" si="29"/>
        <v>34.300000000000004</v>
      </c>
      <c r="AU83" s="12">
        <f t="shared" si="27"/>
        <v>11.5</v>
      </c>
      <c r="AV83" s="12">
        <f t="shared" si="30"/>
        <v>19</v>
      </c>
      <c r="AW83" s="12">
        <f t="shared" si="30"/>
        <v>46.5</v>
      </c>
      <c r="AX83" s="12">
        <f t="shared" si="28"/>
        <v>35.200000000000003</v>
      </c>
      <c r="AY83" s="9"/>
      <c r="AZ83" s="12">
        <f t="shared" ref="AZ83:BC134" si="31">(PERCENTRANK(W$3:W$298,W83))*100</f>
        <v>44.2</v>
      </c>
      <c r="BA83" s="12">
        <f t="shared" si="31"/>
        <v>24.4</v>
      </c>
      <c r="BB83" s="12">
        <f t="shared" si="31"/>
        <v>35.799999999999997</v>
      </c>
      <c r="BC83" s="12">
        <f t="shared" si="31"/>
        <v>35.099999999999994</v>
      </c>
      <c r="BD83" s="12">
        <f t="shared" ref="BD83:BI134" si="32">(PERCENTRANK(AA$3:AA$298,AA83))*100</f>
        <v>83.2</v>
      </c>
      <c r="BE83" s="12">
        <f t="shared" si="19"/>
        <v>46.5</v>
      </c>
      <c r="BF83" s="12">
        <f t="shared" si="19"/>
        <v>38.9</v>
      </c>
      <c r="BG83" s="12">
        <f t="shared" si="19"/>
        <v>83.2</v>
      </c>
      <c r="BH83" s="12">
        <f t="shared" si="19"/>
        <v>10.6</v>
      </c>
      <c r="BI83" s="12">
        <f t="shared" si="20"/>
        <v>6.8000000000000007</v>
      </c>
    </row>
    <row r="84" spans="1:61" ht="15.75" customHeight="1" x14ac:dyDescent="0.25">
      <c r="A84" s="1" t="s">
        <v>185</v>
      </c>
      <c r="B84" s="3" t="s">
        <v>89</v>
      </c>
      <c r="C84" s="4" t="s">
        <v>8</v>
      </c>
      <c r="D84" s="4">
        <v>34</v>
      </c>
      <c r="E84" s="4">
        <v>503</v>
      </c>
      <c r="F84" s="4">
        <v>34</v>
      </c>
      <c r="G84" s="4">
        <v>503</v>
      </c>
      <c r="H84" s="4">
        <v>11.7</v>
      </c>
      <c r="I84" s="4">
        <v>0.44500000000000001</v>
      </c>
      <c r="J84" s="4">
        <v>0.36299999999999999</v>
      </c>
      <c r="K84" s="4">
        <v>4.9000000000000002E-2</v>
      </c>
      <c r="L84" s="4">
        <v>0.42299999999999999</v>
      </c>
      <c r="M84" s="4">
        <v>7.7</v>
      </c>
      <c r="N84" s="4">
        <v>10.8</v>
      </c>
      <c r="O84" s="4">
        <v>8.9</v>
      </c>
      <c r="P84" s="4">
        <v>2.2999999999999998</v>
      </c>
      <c r="Q84" s="4">
        <v>1.2</v>
      </c>
      <c r="R84" s="4">
        <v>11.6</v>
      </c>
      <c r="S84" s="4">
        <v>16.8</v>
      </c>
      <c r="T84" s="4">
        <v>97</v>
      </c>
      <c r="U84" s="4">
        <v>98</v>
      </c>
      <c r="V84" s="4"/>
      <c r="W84" s="4">
        <v>0.4</v>
      </c>
      <c r="X84" s="4">
        <v>0.7</v>
      </c>
      <c r="Y84" s="4">
        <v>1.1000000000000001</v>
      </c>
      <c r="Z84" s="4">
        <v>0.09</v>
      </c>
      <c r="AA84" s="13">
        <f>(I84/TOTAL_BASIC!$D$301)*100</f>
        <v>87.776333105979404</v>
      </c>
      <c r="AB84" s="5">
        <f t="shared" si="21"/>
        <v>0.97</v>
      </c>
      <c r="AC84" s="3">
        <f t="shared" si="1"/>
        <v>-1</v>
      </c>
      <c r="AD84" s="9">
        <f t="shared" si="22"/>
        <v>0.89</v>
      </c>
      <c r="AE84" s="16">
        <f t="shared" si="23"/>
        <v>0.52976190476190477</v>
      </c>
      <c r="AF84" s="16">
        <f t="shared" si="24"/>
        <v>0.76724137931034486</v>
      </c>
      <c r="AG84" s="9"/>
      <c r="AH84" s="9"/>
      <c r="AI84" s="12">
        <f t="shared" si="25"/>
        <v>65.600000000000009</v>
      </c>
      <c r="AJ84" s="12">
        <f t="shared" si="26"/>
        <v>38.1</v>
      </c>
      <c r="AK84" s="12">
        <f t="shared" si="26"/>
        <v>43.5</v>
      </c>
      <c r="AL84" s="12">
        <f t="shared" si="26"/>
        <v>24.4</v>
      </c>
      <c r="AM84" s="12">
        <f t="shared" si="26"/>
        <v>9.9</v>
      </c>
      <c r="AN84" s="12">
        <f t="shared" si="18"/>
        <v>32.800000000000004</v>
      </c>
      <c r="AO84" s="12">
        <f t="shared" si="18"/>
        <v>90</v>
      </c>
      <c r="AP84" s="12">
        <f t="shared" si="18"/>
        <v>69.399999999999991</v>
      </c>
      <c r="AQ84" s="12">
        <f t="shared" si="18"/>
        <v>64.099999999999994</v>
      </c>
      <c r="AR84" s="12">
        <f t="shared" si="29"/>
        <v>31.2</v>
      </c>
      <c r="AS84" s="12">
        <f t="shared" si="29"/>
        <v>71.7</v>
      </c>
      <c r="AT84" s="12">
        <f t="shared" si="29"/>
        <v>55.7</v>
      </c>
      <c r="AU84" s="12">
        <f t="shared" si="27"/>
        <v>81</v>
      </c>
      <c r="AV84" s="12">
        <f t="shared" si="30"/>
        <v>36.6</v>
      </c>
      <c r="AW84" s="12">
        <f t="shared" si="30"/>
        <v>48</v>
      </c>
      <c r="AX84" s="12">
        <f t="shared" si="28"/>
        <v>68</v>
      </c>
      <c r="AY84" s="9"/>
      <c r="AZ84" s="12">
        <f t="shared" si="31"/>
        <v>47.3</v>
      </c>
      <c r="BA84" s="12">
        <f t="shared" si="31"/>
        <v>53.400000000000006</v>
      </c>
      <c r="BB84" s="12">
        <f t="shared" si="31"/>
        <v>48.8</v>
      </c>
      <c r="BC84" s="12">
        <f t="shared" si="31"/>
        <v>54.1</v>
      </c>
      <c r="BD84" s="12">
        <f t="shared" si="32"/>
        <v>24.4</v>
      </c>
      <c r="BE84" s="12">
        <f t="shared" si="19"/>
        <v>48</v>
      </c>
      <c r="BF84" s="12">
        <f t="shared" si="19"/>
        <v>52.6</v>
      </c>
      <c r="BG84" s="12">
        <f t="shared" si="19"/>
        <v>24.4</v>
      </c>
      <c r="BH84" s="12">
        <f t="shared" si="19"/>
        <v>38.1</v>
      </c>
      <c r="BI84" s="12">
        <f t="shared" si="20"/>
        <v>53.400000000000006</v>
      </c>
    </row>
    <row r="85" spans="1:61" ht="15.75" customHeight="1" x14ac:dyDescent="0.25">
      <c r="A85" s="1" t="s">
        <v>186</v>
      </c>
      <c r="B85" s="3" t="s">
        <v>141</v>
      </c>
      <c r="C85" s="4" t="s">
        <v>115</v>
      </c>
      <c r="D85" s="4">
        <v>20</v>
      </c>
      <c r="E85" s="4">
        <v>499</v>
      </c>
      <c r="F85" s="4">
        <v>20</v>
      </c>
      <c r="G85" s="4">
        <v>499</v>
      </c>
      <c r="H85" s="4">
        <v>29.8</v>
      </c>
      <c r="I85" s="4">
        <v>0.64300000000000002</v>
      </c>
      <c r="J85" s="4">
        <v>0.56100000000000005</v>
      </c>
      <c r="K85" s="4">
        <v>0</v>
      </c>
      <c r="L85" s="4">
        <v>0.77800000000000002</v>
      </c>
      <c r="M85" s="4">
        <v>11.4</v>
      </c>
      <c r="N85" s="4">
        <v>19.899999999999999</v>
      </c>
      <c r="O85" s="4">
        <v>9.9</v>
      </c>
      <c r="P85" s="4">
        <v>1.1000000000000001</v>
      </c>
      <c r="Q85" s="4">
        <v>7.7</v>
      </c>
      <c r="R85" s="4">
        <v>19.600000000000001</v>
      </c>
      <c r="S85" s="4">
        <v>28.5</v>
      </c>
      <c r="T85" s="4">
        <v>112</v>
      </c>
      <c r="U85" s="4">
        <v>96</v>
      </c>
      <c r="V85" s="4"/>
      <c r="W85" s="4">
        <v>2.2999999999999998</v>
      </c>
      <c r="X85" s="4">
        <v>0.8</v>
      </c>
      <c r="Y85" s="4">
        <v>3.2</v>
      </c>
      <c r="Z85" s="4">
        <v>0.253</v>
      </c>
      <c r="AA85" s="13">
        <f>(I85/TOTAL_BASIC!$D$301)*100</f>
        <v>126.83187008347136</v>
      </c>
      <c r="AB85" s="5">
        <f t="shared" si="21"/>
        <v>1.1200000000000001</v>
      </c>
      <c r="AC85" s="3">
        <f t="shared" si="1"/>
        <v>16</v>
      </c>
      <c r="AD85" s="9">
        <f t="shared" si="22"/>
        <v>1.286</v>
      </c>
      <c r="AE85" s="16">
        <f t="shared" si="23"/>
        <v>0.3473684210526316</v>
      </c>
      <c r="AF85" s="16">
        <f t="shared" si="24"/>
        <v>0.50510204081632648</v>
      </c>
      <c r="AG85" s="9"/>
      <c r="AH85" s="9"/>
      <c r="AI85" s="12">
        <f t="shared" si="25"/>
        <v>12.2</v>
      </c>
      <c r="AJ85" s="12">
        <f t="shared" si="26"/>
        <v>37.4</v>
      </c>
      <c r="AK85" s="12">
        <f t="shared" si="26"/>
        <v>99.2</v>
      </c>
      <c r="AL85" s="12">
        <f t="shared" si="26"/>
        <v>99.2</v>
      </c>
      <c r="AM85" s="12">
        <f t="shared" si="26"/>
        <v>94.6</v>
      </c>
      <c r="AN85" s="12">
        <f t="shared" si="18"/>
        <v>0</v>
      </c>
      <c r="AO85" s="12">
        <f t="shared" si="18"/>
        <v>100</v>
      </c>
      <c r="AP85" s="12">
        <f t="shared" si="18"/>
        <v>92.300000000000011</v>
      </c>
      <c r="AQ85" s="12">
        <f t="shared" si="18"/>
        <v>98.4</v>
      </c>
      <c r="AR85" s="12">
        <f t="shared" si="29"/>
        <v>40.400000000000006</v>
      </c>
      <c r="AS85" s="12">
        <f t="shared" si="29"/>
        <v>13.700000000000001</v>
      </c>
      <c r="AT85" s="12">
        <f t="shared" si="29"/>
        <v>99.2</v>
      </c>
      <c r="AU85" s="12">
        <f t="shared" si="27"/>
        <v>23</v>
      </c>
      <c r="AV85" s="12">
        <f t="shared" si="30"/>
        <v>95.399999999999991</v>
      </c>
      <c r="AW85" s="12">
        <f t="shared" si="30"/>
        <v>92.300000000000011</v>
      </c>
      <c r="AX85" s="12">
        <f t="shared" si="28"/>
        <v>83.3</v>
      </c>
      <c r="AY85" s="9"/>
      <c r="AZ85" s="12">
        <f t="shared" si="31"/>
        <v>83.899999999999991</v>
      </c>
      <c r="BA85" s="12">
        <f t="shared" si="31"/>
        <v>57.999999999999993</v>
      </c>
      <c r="BB85" s="12">
        <f t="shared" si="31"/>
        <v>83.899999999999991</v>
      </c>
      <c r="BC85" s="12">
        <f t="shared" si="31"/>
        <v>94.6</v>
      </c>
      <c r="BD85" s="12">
        <f t="shared" si="32"/>
        <v>99.2</v>
      </c>
      <c r="BE85" s="12">
        <f t="shared" si="19"/>
        <v>92.300000000000011</v>
      </c>
      <c r="BF85" s="12">
        <f t="shared" si="19"/>
        <v>90</v>
      </c>
      <c r="BG85" s="12">
        <f t="shared" si="19"/>
        <v>99.2</v>
      </c>
      <c r="BH85" s="12">
        <f t="shared" si="19"/>
        <v>14.499999999999998</v>
      </c>
      <c r="BI85" s="12">
        <f t="shared" si="20"/>
        <v>21.3</v>
      </c>
    </row>
    <row r="86" spans="1:61" ht="15.75" customHeight="1" x14ac:dyDescent="0.25">
      <c r="A86" s="1" t="s">
        <v>187</v>
      </c>
      <c r="B86" s="3" t="s">
        <v>89</v>
      </c>
      <c r="C86" s="4" t="s">
        <v>92</v>
      </c>
      <c r="D86" s="4">
        <v>34</v>
      </c>
      <c r="E86" s="4">
        <v>498</v>
      </c>
      <c r="F86" s="4">
        <v>34</v>
      </c>
      <c r="G86" s="4">
        <v>498</v>
      </c>
      <c r="H86" s="4">
        <v>14.7</v>
      </c>
      <c r="I86" s="4">
        <v>0.47399999999999998</v>
      </c>
      <c r="J86" s="4">
        <v>0.44600000000000001</v>
      </c>
      <c r="K86" s="4">
        <v>1.4E-2</v>
      </c>
      <c r="L86" s="4">
        <v>0.14199999999999999</v>
      </c>
      <c r="M86" s="4">
        <v>9.5</v>
      </c>
      <c r="N86" s="4">
        <v>12.2</v>
      </c>
      <c r="O86" s="4">
        <v>15.4</v>
      </c>
      <c r="P86" s="4">
        <v>2</v>
      </c>
      <c r="Q86" s="4">
        <v>3.7</v>
      </c>
      <c r="R86" s="4">
        <v>15.6</v>
      </c>
      <c r="S86" s="4">
        <v>16.600000000000001</v>
      </c>
      <c r="T86" s="4">
        <v>98</v>
      </c>
      <c r="U86" s="4">
        <v>96</v>
      </c>
      <c r="V86" s="4"/>
      <c r="W86" s="4">
        <v>0.5</v>
      </c>
      <c r="X86" s="4">
        <v>0.8</v>
      </c>
      <c r="Y86" s="4">
        <v>1.3</v>
      </c>
      <c r="Z86" s="4">
        <v>0.106</v>
      </c>
      <c r="AA86" s="13">
        <f>(I86/TOTAL_BASIC!$D$301)*100</f>
        <v>93.496588521874685</v>
      </c>
      <c r="AB86" s="5">
        <f t="shared" si="21"/>
        <v>0.98</v>
      </c>
      <c r="AC86" s="3">
        <f t="shared" si="1"/>
        <v>2</v>
      </c>
      <c r="AD86" s="9">
        <f t="shared" si="22"/>
        <v>0.94799999999999995</v>
      </c>
      <c r="AE86" s="16">
        <f t="shared" si="23"/>
        <v>0.92771084337349397</v>
      </c>
      <c r="AF86" s="16">
        <f t="shared" si="24"/>
        <v>0.98717948717948723</v>
      </c>
      <c r="AG86" s="9"/>
      <c r="AH86" s="9"/>
      <c r="AI86" s="12">
        <f t="shared" si="25"/>
        <v>65.600000000000009</v>
      </c>
      <c r="AJ86" s="12">
        <f t="shared" si="26"/>
        <v>36.6</v>
      </c>
      <c r="AK86" s="12">
        <f t="shared" si="26"/>
        <v>63.3</v>
      </c>
      <c r="AL86" s="12">
        <f t="shared" si="26"/>
        <v>41.199999999999996</v>
      </c>
      <c r="AM86" s="12">
        <f t="shared" si="26"/>
        <v>46.5</v>
      </c>
      <c r="AN86" s="12">
        <f t="shared" si="18"/>
        <v>25.1</v>
      </c>
      <c r="AO86" s="12">
        <f t="shared" si="18"/>
        <v>13.700000000000001</v>
      </c>
      <c r="AP86" s="12">
        <f t="shared" si="18"/>
        <v>79.3</v>
      </c>
      <c r="AQ86" s="12">
        <f t="shared" si="18"/>
        <v>72.5</v>
      </c>
      <c r="AR86" s="12">
        <f t="shared" si="29"/>
        <v>68.7</v>
      </c>
      <c r="AS86" s="12">
        <f t="shared" si="29"/>
        <v>57.199999999999996</v>
      </c>
      <c r="AT86" s="12">
        <f t="shared" si="29"/>
        <v>90.8</v>
      </c>
      <c r="AU86" s="12">
        <f t="shared" si="27"/>
        <v>60.4</v>
      </c>
      <c r="AV86" s="12">
        <f t="shared" si="30"/>
        <v>34.300000000000004</v>
      </c>
      <c r="AW86" s="12">
        <f t="shared" si="30"/>
        <v>51.9</v>
      </c>
      <c r="AX86" s="12">
        <f t="shared" si="28"/>
        <v>83.3</v>
      </c>
      <c r="AY86" s="9"/>
      <c r="AZ86" s="12">
        <f t="shared" si="31"/>
        <v>52.6</v>
      </c>
      <c r="BA86" s="12">
        <f t="shared" si="31"/>
        <v>57.999999999999993</v>
      </c>
      <c r="BB86" s="12">
        <f t="shared" si="31"/>
        <v>55.7</v>
      </c>
      <c r="BC86" s="12">
        <f t="shared" si="31"/>
        <v>63.3</v>
      </c>
      <c r="BD86" s="12">
        <f t="shared" si="32"/>
        <v>41.199999999999996</v>
      </c>
      <c r="BE86" s="12">
        <f t="shared" si="19"/>
        <v>51.9</v>
      </c>
      <c r="BF86" s="12">
        <f t="shared" si="19"/>
        <v>63.3</v>
      </c>
      <c r="BG86" s="12">
        <f t="shared" si="19"/>
        <v>41.199999999999996</v>
      </c>
      <c r="BH86" s="12">
        <f t="shared" si="19"/>
        <v>75.5</v>
      </c>
      <c r="BI86" s="12">
        <f t="shared" si="20"/>
        <v>68.7</v>
      </c>
    </row>
    <row r="87" spans="1:61" ht="15.75" customHeight="1" x14ac:dyDescent="0.25">
      <c r="A87" s="1" t="s">
        <v>188</v>
      </c>
      <c r="B87" s="3" t="s">
        <v>86</v>
      </c>
      <c r="C87" s="4" t="s">
        <v>115</v>
      </c>
      <c r="D87" s="4">
        <v>34</v>
      </c>
      <c r="E87" s="4">
        <v>477</v>
      </c>
      <c r="F87" s="4">
        <v>34</v>
      </c>
      <c r="G87" s="4">
        <v>477</v>
      </c>
      <c r="H87" s="4">
        <v>6.2</v>
      </c>
      <c r="I87" s="4">
        <v>0.50900000000000001</v>
      </c>
      <c r="J87" s="4">
        <v>0.51600000000000001</v>
      </c>
      <c r="K87" s="4">
        <v>0</v>
      </c>
      <c r="L87" s="4">
        <v>0.48399999999999999</v>
      </c>
      <c r="M87" s="4">
        <v>10.4</v>
      </c>
      <c r="N87" s="4">
        <v>17</v>
      </c>
      <c r="O87" s="4">
        <v>2.2000000000000002</v>
      </c>
      <c r="P87" s="4">
        <v>0.9</v>
      </c>
      <c r="Q87" s="4">
        <v>2.6</v>
      </c>
      <c r="R87" s="4">
        <v>29.2</v>
      </c>
      <c r="S87" s="4">
        <v>10.4</v>
      </c>
      <c r="T87" s="4">
        <v>87</v>
      </c>
      <c r="U87" s="4">
        <v>100</v>
      </c>
      <c r="V87" s="4"/>
      <c r="W87" s="4">
        <v>-0.2</v>
      </c>
      <c r="X87" s="4">
        <v>0.5</v>
      </c>
      <c r="Y87" s="4">
        <v>0.3</v>
      </c>
      <c r="Z87" s="4">
        <v>2.7E-2</v>
      </c>
      <c r="AA87" s="13">
        <f>(I87/TOTAL_BASIC!$D$301)*100</f>
        <v>100.40034505830005</v>
      </c>
      <c r="AB87" s="5">
        <f t="shared" si="21"/>
        <v>0.87</v>
      </c>
      <c r="AC87" s="3">
        <f t="shared" si="1"/>
        <v>-13</v>
      </c>
      <c r="AD87" s="9">
        <f t="shared" si="22"/>
        <v>1.018</v>
      </c>
      <c r="AE87" s="16">
        <f t="shared" si="23"/>
        <v>0.21153846153846154</v>
      </c>
      <c r="AF87" s="16">
        <f t="shared" si="24"/>
        <v>7.5342465753424667E-2</v>
      </c>
      <c r="AG87" s="9"/>
      <c r="AH87" s="9"/>
      <c r="AI87" s="12">
        <f t="shared" si="25"/>
        <v>65.600000000000009</v>
      </c>
      <c r="AJ87" s="12">
        <f t="shared" si="26"/>
        <v>35.799999999999997</v>
      </c>
      <c r="AK87" s="12">
        <f t="shared" si="26"/>
        <v>10.6</v>
      </c>
      <c r="AL87" s="12">
        <f t="shared" si="26"/>
        <v>61.8</v>
      </c>
      <c r="AM87" s="12">
        <f t="shared" si="26"/>
        <v>81.599999999999994</v>
      </c>
      <c r="AN87" s="12">
        <f t="shared" si="18"/>
        <v>0</v>
      </c>
      <c r="AO87" s="12">
        <f t="shared" si="18"/>
        <v>93.100000000000009</v>
      </c>
      <c r="AP87" s="12">
        <f t="shared" si="18"/>
        <v>87</v>
      </c>
      <c r="AQ87" s="12">
        <f t="shared" si="18"/>
        <v>89.3</v>
      </c>
      <c r="AR87" s="12">
        <f t="shared" si="29"/>
        <v>0.70000000000000007</v>
      </c>
      <c r="AS87" s="12">
        <f t="shared" si="29"/>
        <v>6.8000000000000007</v>
      </c>
      <c r="AT87" s="12">
        <f t="shared" si="29"/>
        <v>82.399999999999991</v>
      </c>
      <c r="AU87" s="12">
        <f t="shared" si="27"/>
        <v>2.2999999999999972</v>
      </c>
      <c r="AV87" s="12">
        <f t="shared" si="30"/>
        <v>1.5</v>
      </c>
      <c r="AW87" s="12">
        <f t="shared" si="30"/>
        <v>19.8</v>
      </c>
      <c r="AX87" s="12">
        <f t="shared" si="28"/>
        <v>54.199999999999996</v>
      </c>
      <c r="AY87" s="9"/>
      <c r="AZ87" s="12">
        <f t="shared" si="31"/>
        <v>17.5</v>
      </c>
      <c r="BA87" s="12">
        <f t="shared" si="31"/>
        <v>42.699999999999996</v>
      </c>
      <c r="BB87" s="12">
        <f t="shared" si="31"/>
        <v>25.1</v>
      </c>
      <c r="BC87" s="12">
        <f t="shared" si="31"/>
        <v>25.1</v>
      </c>
      <c r="BD87" s="12">
        <f t="shared" si="32"/>
        <v>61.8</v>
      </c>
      <c r="BE87" s="12">
        <f t="shared" si="19"/>
        <v>19.8</v>
      </c>
      <c r="BF87" s="12">
        <f t="shared" si="19"/>
        <v>22.900000000000002</v>
      </c>
      <c r="BG87" s="12">
        <f t="shared" si="19"/>
        <v>61.8</v>
      </c>
      <c r="BH87" s="12">
        <f t="shared" si="19"/>
        <v>1.5</v>
      </c>
      <c r="BI87" s="12">
        <f t="shared" si="20"/>
        <v>0</v>
      </c>
    </row>
    <row r="88" spans="1:61" ht="15.75" customHeight="1" x14ac:dyDescent="0.25">
      <c r="A88" s="1" t="s">
        <v>189</v>
      </c>
      <c r="B88" s="3" t="s">
        <v>104</v>
      </c>
      <c r="C88" s="4" t="s">
        <v>8</v>
      </c>
      <c r="D88" s="4">
        <v>34</v>
      </c>
      <c r="E88" s="4">
        <v>453</v>
      </c>
      <c r="F88" s="4">
        <v>34</v>
      </c>
      <c r="G88" s="4">
        <v>453</v>
      </c>
      <c r="H88" s="4">
        <v>6.5</v>
      </c>
      <c r="I88" s="4">
        <v>0.35499999999999998</v>
      </c>
      <c r="J88" s="4">
        <v>0.34699999999999998</v>
      </c>
      <c r="K88" s="4">
        <v>0.19</v>
      </c>
      <c r="L88" s="4">
        <v>5.8000000000000003E-2</v>
      </c>
      <c r="M88" s="4">
        <v>4</v>
      </c>
      <c r="N88" s="4">
        <v>9</v>
      </c>
      <c r="O88" s="4">
        <v>12.2</v>
      </c>
      <c r="P88" s="4">
        <v>2.8</v>
      </c>
      <c r="Q88" s="4">
        <v>1.4</v>
      </c>
      <c r="R88" s="4">
        <v>19.5</v>
      </c>
      <c r="S88" s="4">
        <v>15.2</v>
      </c>
      <c r="T88" s="4">
        <v>73</v>
      </c>
      <c r="U88" s="4">
        <v>98</v>
      </c>
      <c r="V88" s="4"/>
      <c r="W88" s="4">
        <v>-1</v>
      </c>
      <c r="X88" s="4">
        <v>0.6</v>
      </c>
      <c r="Y88" s="4">
        <v>-0.4</v>
      </c>
      <c r="Z88" s="4">
        <v>-3.2000000000000001E-2</v>
      </c>
      <c r="AA88" s="13">
        <f>(I88/TOTAL_BASIC!$D$301)*100</f>
        <v>70.023816298028507</v>
      </c>
      <c r="AB88" s="5">
        <f t="shared" si="21"/>
        <v>0.73</v>
      </c>
      <c r="AC88" s="3">
        <f t="shared" si="1"/>
        <v>-25</v>
      </c>
      <c r="AD88" s="9">
        <f t="shared" si="22"/>
        <v>0.71</v>
      </c>
      <c r="AE88" s="16">
        <f t="shared" si="23"/>
        <v>0.80263157894736836</v>
      </c>
      <c r="AF88" s="16">
        <f t="shared" si="24"/>
        <v>0.62564102564102564</v>
      </c>
      <c r="AG88" s="9"/>
      <c r="AH88" s="9"/>
      <c r="AI88" s="12">
        <f t="shared" si="25"/>
        <v>65.600000000000009</v>
      </c>
      <c r="AJ88" s="12">
        <f t="shared" si="26"/>
        <v>35.099999999999994</v>
      </c>
      <c r="AK88" s="12">
        <f t="shared" si="26"/>
        <v>12.2</v>
      </c>
      <c r="AL88" s="12">
        <f t="shared" si="26"/>
        <v>3.8</v>
      </c>
      <c r="AM88" s="12">
        <f t="shared" si="26"/>
        <v>6.8000000000000007</v>
      </c>
      <c r="AN88" s="12">
        <f t="shared" si="18"/>
        <v>45</v>
      </c>
      <c r="AO88" s="12">
        <f t="shared" si="18"/>
        <v>0.70000000000000007</v>
      </c>
      <c r="AP88" s="12">
        <f t="shared" si="18"/>
        <v>40.400000000000006</v>
      </c>
      <c r="AQ88" s="12">
        <f t="shared" si="18"/>
        <v>48.8</v>
      </c>
      <c r="AR88" s="12">
        <f t="shared" si="29"/>
        <v>54.900000000000006</v>
      </c>
      <c r="AS88" s="12">
        <f t="shared" si="29"/>
        <v>87</v>
      </c>
      <c r="AT88" s="12">
        <f t="shared" si="29"/>
        <v>60.3</v>
      </c>
      <c r="AU88" s="12">
        <f t="shared" si="27"/>
        <v>25.200000000000003</v>
      </c>
      <c r="AV88" s="12">
        <f t="shared" si="30"/>
        <v>25.1</v>
      </c>
      <c r="AW88" s="12">
        <f t="shared" si="30"/>
        <v>3.8</v>
      </c>
      <c r="AX88" s="12">
        <f t="shared" si="28"/>
        <v>68</v>
      </c>
      <c r="AY88" s="9"/>
      <c r="AZ88" s="12">
        <f t="shared" si="31"/>
        <v>1.5</v>
      </c>
      <c r="BA88" s="12">
        <f t="shared" si="31"/>
        <v>48</v>
      </c>
      <c r="BB88" s="12">
        <f t="shared" si="31"/>
        <v>3.8</v>
      </c>
      <c r="BC88" s="12">
        <f t="shared" si="31"/>
        <v>8.3000000000000007</v>
      </c>
      <c r="BD88" s="12">
        <f t="shared" si="32"/>
        <v>3.8</v>
      </c>
      <c r="BE88" s="12">
        <f t="shared" si="19"/>
        <v>3.8</v>
      </c>
      <c r="BF88" s="12">
        <f t="shared" si="19"/>
        <v>6.1</v>
      </c>
      <c r="BG88" s="12">
        <f t="shared" si="19"/>
        <v>3.8</v>
      </c>
      <c r="BH88" s="12">
        <f t="shared" si="19"/>
        <v>64.8</v>
      </c>
      <c r="BI88" s="12">
        <f t="shared" si="20"/>
        <v>35.799999999999997</v>
      </c>
    </row>
    <row r="89" spans="1:61" ht="15.75" customHeight="1" x14ac:dyDescent="0.25">
      <c r="A89" s="1" t="s">
        <v>190</v>
      </c>
      <c r="B89" s="4" t="s">
        <v>141</v>
      </c>
      <c r="C89" s="4" t="s">
        <v>92</v>
      </c>
      <c r="D89" s="4">
        <v>32</v>
      </c>
      <c r="E89" s="4">
        <v>450</v>
      </c>
      <c r="F89" s="4">
        <v>32</v>
      </c>
      <c r="G89" s="4">
        <v>450</v>
      </c>
      <c r="H89" s="4">
        <v>5.2</v>
      </c>
      <c r="I89" s="4">
        <v>0.42399999999999999</v>
      </c>
      <c r="J89" s="4">
        <v>0.38800000000000001</v>
      </c>
      <c r="K89" s="4">
        <v>0.51100000000000001</v>
      </c>
      <c r="L89" s="4">
        <v>0.158</v>
      </c>
      <c r="M89" s="4">
        <v>3</v>
      </c>
      <c r="N89" s="4">
        <v>5.7</v>
      </c>
      <c r="O89" s="4">
        <v>8.4</v>
      </c>
      <c r="P89" s="4">
        <v>0.8</v>
      </c>
      <c r="Q89" s="4">
        <v>1.1000000000000001</v>
      </c>
      <c r="R89" s="4">
        <v>13.4</v>
      </c>
      <c r="S89" s="4">
        <v>17.2</v>
      </c>
      <c r="T89" s="4">
        <v>87</v>
      </c>
      <c r="U89" s="4">
        <v>107</v>
      </c>
      <c r="V89" s="4"/>
      <c r="W89" s="4">
        <v>-0.2</v>
      </c>
      <c r="X89" s="4">
        <v>0</v>
      </c>
      <c r="Y89" s="4">
        <v>-0.3</v>
      </c>
      <c r="Z89" s="4">
        <v>-2.5000000000000001E-2</v>
      </c>
      <c r="AA89" s="13">
        <f>(I89/TOTAL_BASIC!$D$301)*100</f>
        <v>83.63407918412419</v>
      </c>
      <c r="AB89" s="5">
        <f t="shared" si="21"/>
        <v>0.87</v>
      </c>
      <c r="AC89" s="3">
        <f t="shared" si="1"/>
        <v>-20</v>
      </c>
      <c r="AD89" s="9">
        <f t="shared" si="22"/>
        <v>0.84799999999999998</v>
      </c>
      <c r="AE89" s="16">
        <f t="shared" si="23"/>
        <v>0.48837209302325585</v>
      </c>
      <c r="AF89" s="16">
        <f t="shared" si="24"/>
        <v>0.62686567164179108</v>
      </c>
      <c r="AG89" s="9"/>
      <c r="AH89" s="9"/>
      <c r="AI89" s="12">
        <f t="shared" si="25"/>
        <v>45</v>
      </c>
      <c r="AJ89" s="12">
        <f t="shared" si="26"/>
        <v>34.300000000000004</v>
      </c>
      <c r="AK89" s="12">
        <f t="shared" si="26"/>
        <v>6.8000000000000007</v>
      </c>
      <c r="AL89" s="12">
        <f t="shared" si="26"/>
        <v>13.700000000000001</v>
      </c>
      <c r="AM89" s="12">
        <f t="shared" si="26"/>
        <v>18.3</v>
      </c>
      <c r="AN89" s="12">
        <f t="shared" si="18"/>
        <v>92.300000000000011</v>
      </c>
      <c r="AO89" s="12">
        <f t="shared" si="18"/>
        <v>18.3</v>
      </c>
      <c r="AP89" s="12">
        <f t="shared" si="18"/>
        <v>24.4</v>
      </c>
      <c r="AQ89" s="12">
        <f t="shared" si="18"/>
        <v>19</v>
      </c>
      <c r="AR89" s="12">
        <f t="shared" si="29"/>
        <v>28.999999999999996</v>
      </c>
      <c r="AS89" s="12">
        <f t="shared" si="29"/>
        <v>3</v>
      </c>
      <c r="AT89" s="12">
        <f t="shared" si="29"/>
        <v>48</v>
      </c>
      <c r="AU89" s="12">
        <f t="shared" si="27"/>
        <v>70.3</v>
      </c>
      <c r="AV89" s="12">
        <f t="shared" si="30"/>
        <v>38.9</v>
      </c>
      <c r="AW89" s="12">
        <f t="shared" si="30"/>
        <v>19.8</v>
      </c>
      <c r="AX89" s="12">
        <f t="shared" si="28"/>
        <v>0.79999999999999716</v>
      </c>
      <c r="AY89" s="9"/>
      <c r="AZ89" s="12">
        <f t="shared" si="31"/>
        <v>17.5</v>
      </c>
      <c r="BA89" s="12">
        <f t="shared" si="31"/>
        <v>0.70000000000000007</v>
      </c>
      <c r="BB89" s="12">
        <f t="shared" si="31"/>
        <v>5.3</v>
      </c>
      <c r="BC89" s="12">
        <f t="shared" si="31"/>
        <v>9.9</v>
      </c>
      <c r="BD89" s="12">
        <f t="shared" si="32"/>
        <v>13.700000000000001</v>
      </c>
      <c r="BE89" s="12">
        <f t="shared" si="19"/>
        <v>19.8</v>
      </c>
      <c r="BF89" s="12">
        <f t="shared" si="19"/>
        <v>9.9</v>
      </c>
      <c r="BG89" s="12">
        <f t="shared" si="19"/>
        <v>13.700000000000001</v>
      </c>
      <c r="BH89" s="12">
        <f t="shared" si="19"/>
        <v>32</v>
      </c>
      <c r="BI89" s="12">
        <f t="shared" si="20"/>
        <v>36.6</v>
      </c>
    </row>
    <row r="90" spans="1:61" ht="15.75" customHeight="1" x14ac:dyDescent="0.25">
      <c r="A90" s="1" t="s">
        <v>191</v>
      </c>
      <c r="B90" s="3" t="s">
        <v>122</v>
      </c>
      <c r="C90" s="4" t="s">
        <v>100</v>
      </c>
      <c r="D90" s="4">
        <v>28</v>
      </c>
      <c r="E90" s="4">
        <v>441</v>
      </c>
      <c r="F90" s="4">
        <v>28</v>
      </c>
      <c r="G90" s="4">
        <v>441</v>
      </c>
      <c r="H90" s="4">
        <v>9.6999999999999993</v>
      </c>
      <c r="I90" s="4">
        <v>0.44800000000000001</v>
      </c>
      <c r="J90" s="4">
        <v>0.39700000000000002</v>
      </c>
      <c r="K90" s="4">
        <v>0.27900000000000003</v>
      </c>
      <c r="L90" s="4">
        <v>0.309</v>
      </c>
      <c r="M90" s="4">
        <v>3.2</v>
      </c>
      <c r="N90" s="4">
        <v>6</v>
      </c>
      <c r="O90" s="4">
        <v>11.9</v>
      </c>
      <c r="P90" s="4">
        <v>1.5</v>
      </c>
      <c r="Q90" s="4">
        <v>0.7</v>
      </c>
      <c r="R90" s="4">
        <v>16.5</v>
      </c>
      <c r="S90" s="4">
        <v>22.7</v>
      </c>
      <c r="T90" s="4">
        <v>86</v>
      </c>
      <c r="U90" s="4">
        <v>103</v>
      </c>
      <c r="V90" s="4"/>
      <c r="W90" s="4">
        <v>-0.3</v>
      </c>
      <c r="X90" s="4">
        <v>0.2</v>
      </c>
      <c r="Y90" s="4">
        <v>-0.1</v>
      </c>
      <c r="Z90" s="4">
        <v>-1.0999999999999999E-2</v>
      </c>
      <c r="AA90" s="13">
        <f>(I90/TOTAL_BASIC!$D$301)*100</f>
        <v>88.368083666244431</v>
      </c>
      <c r="AB90" s="5">
        <f t="shared" si="21"/>
        <v>0.86</v>
      </c>
      <c r="AC90" s="3">
        <f t="shared" si="1"/>
        <v>-17</v>
      </c>
      <c r="AD90" s="9">
        <f t="shared" si="22"/>
        <v>0.89600000000000002</v>
      </c>
      <c r="AE90" s="16">
        <f t="shared" si="23"/>
        <v>0.52422907488986792</v>
      </c>
      <c r="AF90" s="16">
        <f t="shared" si="24"/>
        <v>0.72121212121212119</v>
      </c>
      <c r="AG90" s="9"/>
      <c r="AH90" s="9"/>
      <c r="AI90" s="12">
        <f t="shared" si="25"/>
        <v>27.400000000000002</v>
      </c>
      <c r="AJ90" s="12">
        <f t="shared" si="26"/>
        <v>33.5</v>
      </c>
      <c r="AK90" s="12">
        <f t="shared" si="26"/>
        <v>28.199999999999996</v>
      </c>
      <c r="AL90" s="12">
        <f t="shared" si="26"/>
        <v>25.900000000000002</v>
      </c>
      <c r="AM90" s="12">
        <f t="shared" si="26"/>
        <v>22.900000000000002</v>
      </c>
      <c r="AN90" s="12">
        <f t="shared" si="18"/>
        <v>63.3</v>
      </c>
      <c r="AO90" s="12">
        <f t="shared" si="18"/>
        <v>61.8</v>
      </c>
      <c r="AP90" s="12">
        <f t="shared" si="18"/>
        <v>26.700000000000003</v>
      </c>
      <c r="AQ90" s="12">
        <f t="shared" si="18"/>
        <v>22.1</v>
      </c>
      <c r="AR90" s="12">
        <f t="shared" si="29"/>
        <v>52.6</v>
      </c>
      <c r="AS90" s="12">
        <f t="shared" si="29"/>
        <v>26.700000000000003</v>
      </c>
      <c r="AT90" s="12">
        <f t="shared" si="29"/>
        <v>28.199999999999996</v>
      </c>
      <c r="AU90" s="12">
        <f t="shared" si="27"/>
        <v>48.9</v>
      </c>
      <c r="AV90" s="12">
        <f t="shared" si="30"/>
        <v>80.900000000000006</v>
      </c>
      <c r="AW90" s="12">
        <f t="shared" si="30"/>
        <v>16.7</v>
      </c>
      <c r="AX90" s="12">
        <f t="shared" si="28"/>
        <v>22.200000000000003</v>
      </c>
      <c r="AY90" s="9"/>
      <c r="AZ90" s="12">
        <f t="shared" si="31"/>
        <v>10.6</v>
      </c>
      <c r="BA90" s="12">
        <f t="shared" si="31"/>
        <v>14.499999999999998</v>
      </c>
      <c r="BB90" s="12">
        <f t="shared" si="31"/>
        <v>12.2</v>
      </c>
      <c r="BC90" s="12">
        <f t="shared" si="31"/>
        <v>14.499999999999998</v>
      </c>
      <c r="BD90" s="12">
        <f t="shared" si="32"/>
        <v>25.900000000000002</v>
      </c>
      <c r="BE90" s="12">
        <f t="shared" si="19"/>
        <v>16.7</v>
      </c>
      <c r="BF90" s="12">
        <f t="shared" si="19"/>
        <v>16</v>
      </c>
      <c r="BG90" s="12">
        <f t="shared" si="19"/>
        <v>25.900000000000002</v>
      </c>
      <c r="BH90" s="12">
        <f t="shared" si="19"/>
        <v>37.4</v>
      </c>
      <c r="BI90" s="12">
        <f t="shared" si="20"/>
        <v>48.8</v>
      </c>
    </row>
    <row r="91" spans="1:61" ht="15.75" customHeight="1" x14ac:dyDescent="0.25">
      <c r="A91" s="1" t="s">
        <v>192</v>
      </c>
      <c r="B91" s="3" t="s">
        <v>106</v>
      </c>
      <c r="C91" s="4" t="s">
        <v>92</v>
      </c>
      <c r="D91" s="4">
        <v>30</v>
      </c>
      <c r="E91" s="4">
        <v>439</v>
      </c>
      <c r="F91" s="4">
        <v>30</v>
      </c>
      <c r="G91" s="4">
        <v>439</v>
      </c>
      <c r="H91" s="4">
        <v>17.899999999999999</v>
      </c>
      <c r="I91" s="4">
        <v>0.46800000000000003</v>
      </c>
      <c r="J91" s="4">
        <v>0.439</v>
      </c>
      <c r="K91" s="4">
        <v>0</v>
      </c>
      <c r="L91" s="4">
        <v>0.17199999999999999</v>
      </c>
      <c r="M91" s="4">
        <v>13.1</v>
      </c>
      <c r="N91" s="4">
        <v>17</v>
      </c>
      <c r="O91" s="4">
        <v>8.1999999999999993</v>
      </c>
      <c r="P91" s="4">
        <v>2.2000000000000002</v>
      </c>
      <c r="Q91" s="4">
        <v>6</v>
      </c>
      <c r="R91" s="4">
        <v>16.8</v>
      </c>
      <c r="S91" s="4">
        <v>21.7</v>
      </c>
      <c r="T91" s="4">
        <v>93</v>
      </c>
      <c r="U91" s="4">
        <v>93</v>
      </c>
      <c r="V91" s="4"/>
      <c r="W91" s="4">
        <v>0.2</v>
      </c>
      <c r="X91" s="4">
        <v>0.9</v>
      </c>
      <c r="Y91" s="4">
        <v>1.1000000000000001</v>
      </c>
      <c r="Z91" s="4">
        <v>9.9000000000000005E-2</v>
      </c>
      <c r="AA91" s="13">
        <f>(I91/TOTAL_BASIC!$D$301)*100</f>
        <v>92.313087401344646</v>
      </c>
      <c r="AB91" s="5">
        <f t="shared" si="21"/>
        <v>0.93</v>
      </c>
      <c r="AC91" s="3">
        <f t="shared" si="1"/>
        <v>0</v>
      </c>
      <c r="AD91" s="9">
        <f t="shared" si="22"/>
        <v>0.93600000000000005</v>
      </c>
      <c r="AE91" s="16">
        <f t="shared" si="23"/>
        <v>0.37788018433179721</v>
      </c>
      <c r="AF91" s="16">
        <f t="shared" si="24"/>
        <v>0.48809523809523803</v>
      </c>
      <c r="AG91" s="9"/>
      <c r="AH91" s="9"/>
      <c r="AI91" s="12">
        <f t="shared" si="25"/>
        <v>34.300000000000004</v>
      </c>
      <c r="AJ91" s="12">
        <f t="shared" si="26"/>
        <v>32.800000000000004</v>
      </c>
      <c r="AK91" s="12">
        <f t="shared" si="26"/>
        <v>77.8</v>
      </c>
      <c r="AL91" s="12">
        <f t="shared" si="26"/>
        <v>37.4</v>
      </c>
      <c r="AM91" s="12">
        <f t="shared" si="26"/>
        <v>42.699999999999996</v>
      </c>
      <c r="AN91" s="12">
        <f t="shared" si="18"/>
        <v>0</v>
      </c>
      <c r="AO91" s="12">
        <f t="shared" si="18"/>
        <v>25.1</v>
      </c>
      <c r="AP91" s="12">
        <f t="shared" si="18"/>
        <v>96.1</v>
      </c>
      <c r="AQ91" s="12">
        <f t="shared" si="18"/>
        <v>89.3</v>
      </c>
      <c r="AR91" s="12">
        <f t="shared" si="29"/>
        <v>25.1</v>
      </c>
      <c r="AS91" s="12">
        <f t="shared" si="29"/>
        <v>64.8</v>
      </c>
      <c r="AT91" s="12">
        <f t="shared" si="29"/>
        <v>98.4</v>
      </c>
      <c r="AU91" s="12">
        <f t="shared" si="27"/>
        <v>45.9</v>
      </c>
      <c r="AV91" s="12">
        <f t="shared" si="30"/>
        <v>75.5</v>
      </c>
      <c r="AW91" s="12">
        <f t="shared" si="30"/>
        <v>38.1</v>
      </c>
      <c r="AX91" s="12">
        <f t="shared" si="28"/>
        <v>93.2</v>
      </c>
      <c r="AY91" s="9"/>
      <c r="AZ91" s="12">
        <f t="shared" si="31"/>
        <v>40.400000000000006</v>
      </c>
      <c r="BA91" s="12">
        <f t="shared" si="31"/>
        <v>64.8</v>
      </c>
      <c r="BB91" s="12">
        <f t="shared" si="31"/>
        <v>48.8</v>
      </c>
      <c r="BC91" s="12">
        <f t="shared" si="31"/>
        <v>61</v>
      </c>
      <c r="BD91" s="12">
        <f t="shared" si="32"/>
        <v>37.4</v>
      </c>
      <c r="BE91" s="12">
        <f t="shared" si="19"/>
        <v>38.1</v>
      </c>
      <c r="BF91" s="12">
        <f t="shared" si="19"/>
        <v>57.999999999999993</v>
      </c>
      <c r="BG91" s="12">
        <f t="shared" si="19"/>
        <v>37.4</v>
      </c>
      <c r="BH91" s="12">
        <f t="shared" si="19"/>
        <v>19</v>
      </c>
      <c r="BI91" s="12">
        <f t="shared" si="20"/>
        <v>19.8</v>
      </c>
    </row>
    <row r="92" spans="1:61" ht="15.75" customHeight="1" x14ac:dyDescent="0.25">
      <c r="A92" s="1" t="s">
        <v>193</v>
      </c>
      <c r="B92" s="3" t="s">
        <v>99</v>
      </c>
      <c r="C92" s="4" t="s">
        <v>110</v>
      </c>
      <c r="D92" s="4">
        <v>34</v>
      </c>
      <c r="E92" s="4">
        <v>434</v>
      </c>
      <c r="F92" s="4">
        <v>34</v>
      </c>
      <c r="G92" s="4">
        <v>434</v>
      </c>
      <c r="H92" s="4">
        <v>14.4</v>
      </c>
      <c r="I92" s="4">
        <v>0.496</v>
      </c>
      <c r="J92" s="4">
        <v>0.45</v>
      </c>
      <c r="K92" s="4">
        <v>0</v>
      </c>
      <c r="L92" s="4">
        <v>0.28299999999999997</v>
      </c>
      <c r="M92" s="4">
        <v>11.3</v>
      </c>
      <c r="N92" s="4">
        <v>17.399999999999999</v>
      </c>
      <c r="O92" s="4">
        <v>6.1</v>
      </c>
      <c r="P92" s="4">
        <v>1</v>
      </c>
      <c r="Q92" s="4">
        <v>2.9</v>
      </c>
      <c r="R92" s="4">
        <v>16.2</v>
      </c>
      <c r="S92" s="4">
        <v>16</v>
      </c>
      <c r="T92" s="4">
        <v>99</v>
      </c>
      <c r="U92" s="4">
        <v>94</v>
      </c>
      <c r="V92" s="4"/>
      <c r="W92" s="4">
        <v>0.5</v>
      </c>
      <c r="X92" s="4">
        <v>0.8</v>
      </c>
      <c r="Y92" s="4">
        <v>1.3</v>
      </c>
      <c r="Z92" s="4">
        <v>0.122</v>
      </c>
      <c r="AA92" s="13">
        <f>(I92/TOTAL_BASIC!$D$301)*100</f>
        <v>97.836092630484899</v>
      </c>
      <c r="AB92" s="5">
        <f t="shared" si="21"/>
        <v>0.99</v>
      </c>
      <c r="AC92" s="3">
        <f t="shared" si="1"/>
        <v>5</v>
      </c>
      <c r="AD92" s="9">
        <f t="shared" si="22"/>
        <v>0.99199999999999999</v>
      </c>
      <c r="AE92" s="16">
        <f t="shared" si="23"/>
        <v>0.38124999999999998</v>
      </c>
      <c r="AF92" s="16">
        <f t="shared" si="24"/>
        <v>0.37654320987654322</v>
      </c>
      <c r="AG92" s="9"/>
      <c r="AH92" s="9"/>
      <c r="AI92" s="12">
        <f t="shared" si="25"/>
        <v>65.600000000000009</v>
      </c>
      <c r="AJ92" s="12">
        <f t="shared" si="26"/>
        <v>32</v>
      </c>
      <c r="AK92" s="12">
        <f t="shared" si="26"/>
        <v>59.5</v>
      </c>
      <c r="AL92" s="12">
        <f t="shared" si="26"/>
        <v>51.9</v>
      </c>
      <c r="AM92" s="12">
        <f t="shared" si="26"/>
        <v>52.6</v>
      </c>
      <c r="AN92" s="12">
        <f t="shared" si="18"/>
        <v>0</v>
      </c>
      <c r="AO92" s="12">
        <f t="shared" si="18"/>
        <v>54.1</v>
      </c>
      <c r="AP92" s="12">
        <f t="shared" si="18"/>
        <v>90</v>
      </c>
      <c r="AQ92" s="12">
        <f t="shared" si="18"/>
        <v>92.300000000000011</v>
      </c>
      <c r="AR92" s="12">
        <f t="shared" si="29"/>
        <v>13.700000000000001</v>
      </c>
      <c r="AS92" s="12">
        <f t="shared" si="29"/>
        <v>9.1</v>
      </c>
      <c r="AT92" s="12">
        <f t="shared" si="29"/>
        <v>84.7</v>
      </c>
      <c r="AU92" s="12">
        <f t="shared" si="27"/>
        <v>52.7</v>
      </c>
      <c r="AV92" s="12">
        <f t="shared" si="30"/>
        <v>28.999999999999996</v>
      </c>
      <c r="AW92" s="12">
        <f t="shared" si="30"/>
        <v>55.7</v>
      </c>
      <c r="AX92" s="12">
        <f t="shared" si="28"/>
        <v>90.1</v>
      </c>
      <c r="AY92" s="9"/>
      <c r="AZ92" s="12">
        <f t="shared" si="31"/>
        <v>52.6</v>
      </c>
      <c r="BA92" s="12">
        <f t="shared" si="31"/>
        <v>57.999999999999993</v>
      </c>
      <c r="BB92" s="12">
        <f t="shared" si="31"/>
        <v>55.7</v>
      </c>
      <c r="BC92" s="12">
        <f t="shared" si="31"/>
        <v>71.7</v>
      </c>
      <c r="BD92" s="12">
        <f t="shared" si="32"/>
        <v>51.9</v>
      </c>
      <c r="BE92" s="12">
        <f t="shared" si="19"/>
        <v>55.7</v>
      </c>
      <c r="BF92" s="12">
        <f t="shared" si="19"/>
        <v>70.199999999999989</v>
      </c>
      <c r="BG92" s="12">
        <f t="shared" si="19"/>
        <v>51.9</v>
      </c>
      <c r="BH92" s="12">
        <f t="shared" si="19"/>
        <v>20.599999999999998</v>
      </c>
      <c r="BI92" s="12">
        <f t="shared" si="20"/>
        <v>14.499999999999998</v>
      </c>
    </row>
    <row r="93" spans="1:61" ht="15.75" customHeight="1" x14ac:dyDescent="0.25">
      <c r="A93" s="1" t="s">
        <v>194</v>
      </c>
      <c r="B93" s="3" t="s">
        <v>97</v>
      </c>
      <c r="C93" s="4" t="s">
        <v>8</v>
      </c>
      <c r="D93" s="4">
        <v>29</v>
      </c>
      <c r="E93" s="4">
        <v>433</v>
      </c>
      <c r="F93" s="4">
        <v>29</v>
      </c>
      <c r="G93" s="4">
        <v>433</v>
      </c>
      <c r="H93" s="4">
        <v>10.4</v>
      </c>
      <c r="I93" s="4">
        <v>0.44400000000000001</v>
      </c>
      <c r="J93" s="4">
        <v>0.39200000000000002</v>
      </c>
      <c r="K93" s="4">
        <v>0.46200000000000002</v>
      </c>
      <c r="L93" s="4">
        <v>0.28499999999999998</v>
      </c>
      <c r="M93" s="4">
        <v>4.5</v>
      </c>
      <c r="N93" s="4">
        <v>7.4</v>
      </c>
      <c r="O93" s="4">
        <v>20.7</v>
      </c>
      <c r="P93" s="4">
        <v>2.4</v>
      </c>
      <c r="Q93" s="4">
        <v>1.3</v>
      </c>
      <c r="R93" s="4">
        <v>22.3</v>
      </c>
      <c r="S93" s="4">
        <v>19.8</v>
      </c>
      <c r="T93" s="4">
        <v>85</v>
      </c>
      <c r="U93" s="4">
        <v>104</v>
      </c>
      <c r="V93" s="4"/>
      <c r="W93" s="4">
        <v>-0.4</v>
      </c>
      <c r="X93" s="4">
        <v>0.2</v>
      </c>
      <c r="Y93" s="4">
        <v>-0.2</v>
      </c>
      <c r="Z93" s="4">
        <v>-1.7999999999999999E-2</v>
      </c>
      <c r="AA93" s="13">
        <f>(I93/TOTAL_BASIC!$D$301)*100</f>
        <v>87.57908291922439</v>
      </c>
      <c r="AB93" s="5">
        <f t="shared" si="21"/>
        <v>0.85</v>
      </c>
      <c r="AC93" s="3">
        <f t="shared" si="1"/>
        <v>-19</v>
      </c>
      <c r="AD93" s="9">
        <f t="shared" si="22"/>
        <v>0.88800000000000001</v>
      </c>
      <c r="AE93" s="16">
        <f t="shared" si="23"/>
        <v>1.0454545454545454</v>
      </c>
      <c r="AF93" s="16">
        <f t="shared" si="24"/>
        <v>0.92825112107623309</v>
      </c>
      <c r="AG93" s="9"/>
      <c r="AH93" s="9"/>
      <c r="AI93" s="12">
        <f t="shared" si="25"/>
        <v>29.7</v>
      </c>
      <c r="AJ93" s="12">
        <f t="shared" si="26"/>
        <v>31.2</v>
      </c>
      <c r="AK93" s="12">
        <f t="shared" si="26"/>
        <v>35.799999999999997</v>
      </c>
      <c r="AL93" s="12">
        <f t="shared" si="26"/>
        <v>23.599999999999998</v>
      </c>
      <c r="AM93" s="12">
        <f t="shared" si="26"/>
        <v>20.599999999999998</v>
      </c>
      <c r="AN93" s="12">
        <f t="shared" si="18"/>
        <v>87</v>
      </c>
      <c r="AO93" s="12">
        <f t="shared" si="18"/>
        <v>55.7</v>
      </c>
      <c r="AP93" s="12">
        <f t="shared" si="18"/>
        <v>47.3</v>
      </c>
      <c r="AQ93" s="12">
        <f t="shared" si="18"/>
        <v>36.6</v>
      </c>
      <c r="AR93" s="12">
        <f t="shared" si="29"/>
        <v>83.899999999999991</v>
      </c>
      <c r="AS93" s="12">
        <f t="shared" si="29"/>
        <v>77.8</v>
      </c>
      <c r="AT93" s="12">
        <f t="shared" si="29"/>
        <v>57.999999999999993</v>
      </c>
      <c r="AU93" s="12">
        <f t="shared" si="27"/>
        <v>13.799999999999997</v>
      </c>
      <c r="AV93" s="12">
        <f t="shared" si="30"/>
        <v>58.699999999999996</v>
      </c>
      <c r="AW93" s="12">
        <f t="shared" si="30"/>
        <v>12.9</v>
      </c>
      <c r="AX93" s="12">
        <f t="shared" si="28"/>
        <v>15.299999999999997</v>
      </c>
      <c r="AY93" s="9"/>
      <c r="AZ93" s="12">
        <f t="shared" si="31"/>
        <v>8.3000000000000007</v>
      </c>
      <c r="BA93" s="12">
        <f t="shared" si="31"/>
        <v>14.499999999999998</v>
      </c>
      <c r="BB93" s="12">
        <f t="shared" si="31"/>
        <v>9.1</v>
      </c>
      <c r="BC93" s="12">
        <f t="shared" si="31"/>
        <v>12.2</v>
      </c>
      <c r="BD93" s="12">
        <f t="shared" si="32"/>
        <v>23.599999999999998</v>
      </c>
      <c r="BE93" s="12">
        <f t="shared" si="19"/>
        <v>12.9</v>
      </c>
      <c r="BF93" s="12">
        <f t="shared" si="19"/>
        <v>12.2</v>
      </c>
      <c r="BG93" s="12">
        <f t="shared" si="19"/>
        <v>23.599999999999998</v>
      </c>
      <c r="BH93" s="12">
        <f t="shared" si="19"/>
        <v>82.399999999999991</v>
      </c>
      <c r="BI93" s="12">
        <f t="shared" si="20"/>
        <v>63.3</v>
      </c>
    </row>
    <row r="94" spans="1:61" ht="15.75" customHeight="1" x14ac:dyDescent="0.25">
      <c r="A94" s="1" t="s">
        <v>195</v>
      </c>
      <c r="B94" s="3" t="s">
        <v>171</v>
      </c>
      <c r="C94" s="4" t="s">
        <v>92</v>
      </c>
      <c r="D94" s="4">
        <v>34</v>
      </c>
      <c r="E94" s="4">
        <v>431</v>
      </c>
      <c r="F94" s="4">
        <v>34</v>
      </c>
      <c r="G94" s="4">
        <v>431</v>
      </c>
      <c r="H94" s="4">
        <v>11.5</v>
      </c>
      <c r="I94" s="4">
        <v>0.435</v>
      </c>
      <c r="J94" s="4">
        <v>0.38600000000000001</v>
      </c>
      <c r="K94" s="4">
        <v>0.01</v>
      </c>
      <c r="L94" s="4">
        <v>0.33700000000000002</v>
      </c>
      <c r="M94" s="4">
        <v>8.1999999999999993</v>
      </c>
      <c r="N94" s="4">
        <v>13.3</v>
      </c>
      <c r="O94" s="4">
        <v>12.4</v>
      </c>
      <c r="P94" s="4">
        <v>2.6</v>
      </c>
      <c r="Q94" s="4">
        <v>2.5</v>
      </c>
      <c r="R94" s="4">
        <v>19.399999999999999</v>
      </c>
      <c r="S94" s="4">
        <v>14.9</v>
      </c>
      <c r="T94" s="4">
        <v>90</v>
      </c>
      <c r="U94" s="4">
        <v>97</v>
      </c>
      <c r="V94" s="4"/>
      <c r="W94" s="4">
        <v>-0.1</v>
      </c>
      <c r="X94" s="4">
        <v>0.6</v>
      </c>
      <c r="Y94" s="4">
        <v>0.5</v>
      </c>
      <c r="Z94" s="4">
        <v>5.0999999999999997E-2</v>
      </c>
      <c r="AA94" s="13">
        <f>(I94/TOTAL_BASIC!$D$301)*100</f>
        <v>85.803831238429311</v>
      </c>
      <c r="AB94" s="5">
        <f t="shared" si="21"/>
        <v>0.9</v>
      </c>
      <c r="AC94" s="3">
        <f t="shared" si="1"/>
        <v>-7</v>
      </c>
      <c r="AD94" s="9">
        <f t="shared" si="22"/>
        <v>0.87</v>
      </c>
      <c r="AE94" s="16">
        <f t="shared" si="23"/>
        <v>0.83221476510067116</v>
      </c>
      <c r="AF94" s="16">
        <f t="shared" si="24"/>
        <v>0.63917525773195882</v>
      </c>
      <c r="AG94" s="9"/>
      <c r="AH94" s="9"/>
      <c r="AI94" s="12">
        <f t="shared" si="25"/>
        <v>65.600000000000009</v>
      </c>
      <c r="AJ94" s="12">
        <f t="shared" si="26"/>
        <v>30.5</v>
      </c>
      <c r="AK94" s="12">
        <f t="shared" si="26"/>
        <v>41.9</v>
      </c>
      <c r="AL94" s="12">
        <f t="shared" si="26"/>
        <v>17.5</v>
      </c>
      <c r="AM94" s="12">
        <f t="shared" si="26"/>
        <v>16.7</v>
      </c>
      <c r="AN94" s="12">
        <f t="shared" si="18"/>
        <v>23.599999999999998</v>
      </c>
      <c r="AO94" s="12">
        <f t="shared" si="18"/>
        <v>71.7</v>
      </c>
      <c r="AP94" s="12">
        <f t="shared" si="18"/>
        <v>73.2</v>
      </c>
      <c r="AQ94" s="12">
        <f t="shared" si="18"/>
        <v>79.3</v>
      </c>
      <c r="AR94" s="12">
        <f t="shared" si="29"/>
        <v>55.7</v>
      </c>
      <c r="AS94" s="12">
        <f t="shared" si="29"/>
        <v>83.2</v>
      </c>
      <c r="AT94" s="12">
        <f t="shared" si="29"/>
        <v>80.100000000000009</v>
      </c>
      <c r="AU94" s="12">
        <f t="shared" si="27"/>
        <v>26.799999999999997</v>
      </c>
      <c r="AV94" s="12">
        <f t="shared" si="30"/>
        <v>23.599999999999998</v>
      </c>
      <c r="AW94" s="12">
        <f t="shared" si="30"/>
        <v>26.700000000000003</v>
      </c>
      <c r="AX94" s="12">
        <f t="shared" si="28"/>
        <v>76.400000000000006</v>
      </c>
      <c r="AY94" s="9"/>
      <c r="AZ94" s="12">
        <f t="shared" si="31"/>
        <v>23.599999999999998</v>
      </c>
      <c r="BA94" s="12">
        <f t="shared" si="31"/>
        <v>48</v>
      </c>
      <c r="BB94" s="12">
        <f t="shared" si="31"/>
        <v>33.5</v>
      </c>
      <c r="BC94" s="12">
        <f t="shared" si="31"/>
        <v>35.099999999999994</v>
      </c>
      <c r="BD94" s="12">
        <f t="shared" si="32"/>
        <v>17.5</v>
      </c>
      <c r="BE94" s="12">
        <f t="shared" si="19"/>
        <v>26.700000000000003</v>
      </c>
      <c r="BF94" s="12">
        <f t="shared" si="19"/>
        <v>35.099999999999994</v>
      </c>
      <c r="BG94" s="12">
        <f t="shared" si="19"/>
        <v>17.5</v>
      </c>
      <c r="BH94" s="12">
        <f t="shared" si="19"/>
        <v>70.199999999999989</v>
      </c>
      <c r="BI94" s="12">
        <f t="shared" si="20"/>
        <v>38.1</v>
      </c>
    </row>
    <row r="95" spans="1:61" ht="15.75" customHeight="1" x14ac:dyDescent="0.25">
      <c r="A95" s="1" t="s">
        <v>196</v>
      </c>
      <c r="B95" s="3" t="s">
        <v>108</v>
      </c>
      <c r="C95" s="4" t="s">
        <v>92</v>
      </c>
      <c r="D95" s="4">
        <v>33</v>
      </c>
      <c r="E95" s="4">
        <v>412</v>
      </c>
      <c r="F95" s="4">
        <v>33</v>
      </c>
      <c r="G95" s="4">
        <v>412</v>
      </c>
      <c r="H95" s="4">
        <v>8.4</v>
      </c>
      <c r="I95" s="4">
        <v>0.45100000000000001</v>
      </c>
      <c r="J95" s="4">
        <v>0.43099999999999999</v>
      </c>
      <c r="K95" s="4">
        <v>0.13</v>
      </c>
      <c r="L95" s="4">
        <v>8.3000000000000004E-2</v>
      </c>
      <c r="M95" s="4">
        <v>4.3</v>
      </c>
      <c r="N95" s="4">
        <v>9.1999999999999993</v>
      </c>
      <c r="O95" s="4">
        <v>11.9</v>
      </c>
      <c r="P95" s="4">
        <v>2</v>
      </c>
      <c r="Q95" s="4">
        <v>2</v>
      </c>
      <c r="R95" s="4">
        <v>16.399999999999999</v>
      </c>
      <c r="S95" s="4">
        <v>14.7</v>
      </c>
      <c r="T95" s="4">
        <v>91</v>
      </c>
      <c r="U95" s="4">
        <v>96</v>
      </c>
      <c r="V95" s="4"/>
      <c r="W95" s="4">
        <v>0</v>
      </c>
      <c r="X95" s="4">
        <v>0.7</v>
      </c>
      <c r="Y95" s="4">
        <v>0.7</v>
      </c>
      <c r="Z95" s="4">
        <v>6.9000000000000006E-2</v>
      </c>
      <c r="AA95" s="13">
        <f>(I95/TOTAL_BASIC!$D$301)*100</f>
        <v>88.959834226509457</v>
      </c>
      <c r="AB95" s="5">
        <f t="shared" si="21"/>
        <v>0.91</v>
      </c>
      <c r="AC95" s="3">
        <f t="shared" si="1"/>
        <v>-5</v>
      </c>
      <c r="AD95" s="9">
        <f t="shared" si="22"/>
        <v>0.90200000000000002</v>
      </c>
      <c r="AE95" s="16">
        <f t="shared" si="23"/>
        <v>0.80952380952380953</v>
      </c>
      <c r="AF95" s="16">
        <f t="shared" si="24"/>
        <v>0.72560975609756106</v>
      </c>
      <c r="AG95" s="9"/>
      <c r="AH95" s="9"/>
      <c r="AI95" s="12">
        <f t="shared" si="25"/>
        <v>54.900000000000006</v>
      </c>
      <c r="AJ95" s="12">
        <f t="shared" si="26"/>
        <v>29.7</v>
      </c>
      <c r="AK95" s="12">
        <f t="shared" si="26"/>
        <v>20.599999999999998</v>
      </c>
      <c r="AL95" s="12">
        <f t="shared" si="26"/>
        <v>27.400000000000002</v>
      </c>
      <c r="AM95" s="12">
        <f t="shared" si="26"/>
        <v>38.9</v>
      </c>
      <c r="AN95" s="12">
        <f t="shared" si="18"/>
        <v>38.1</v>
      </c>
      <c r="AO95" s="12">
        <f t="shared" si="18"/>
        <v>3</v>
      </c>
      <c r="AP95" s="12">
        <f t="shared" si="18"/>
        <v>43.5</v>
      </c>
      <c r="AQ95" s="12">
        <f t="shared" si="18"/>
        <v>49.6</v>
      </c>
      <c r="AR95" s="12">
        <f t="shared" si="29"/>
        <v>52.6</v>
      </c>
      <c r="AS95" s="12">
        <f t="shared" si="29"/>
        <v>57.199999999999996</v>
      </c>
      <c r="AT95" s="12">
        <f t="shared" si="29"/>
        <v>72.5</v>
      </c>
      <c r="AU95" s="12">
        <f t="shared" si="27"/>
        <v>51.2</v>
      </c>
      <c r="AV95" s="12">
        <f t="shared" si="30"/>
        <v>22.1</v>
      </c>
      <c r="AW95" s="12">
        <f t="shared" si="30"/>
        <v>30.5</v>
      </c>
      <c r="AX95" s="12">
        <f t="shared" si="28"/>
        <v>83.3</v>
      </c>
      <c r="AY95" s="9"/>
      <c r="AZ95" s="12">
        <f t="shared" si="31"/>
        <v>29.7</v>
      </c>
      <c r="BA95" s="12">
        <f t="shared" si="31"/>
        <v>53.400000000000006</v>
      </c>
      <c r="BB95" s="12">
        <f t="shared" si="31"/>
        <v>38.9</v>
      </c>
      <c r="BC95" s="12">
        <f t="shared" si="31"/>
        <v>43.5</v>
      </c>
      <c r="BD95" s="12">
        <f t="shared" si="32"/>
        <v>27.400000000000002</v>
      </c>
      <c r="BE95" s="12">
        <f t="shared" si="19"/>
        <v>30.5</v>
      </c>
      <c r="BF95" s="12">
        <f t="shared" si="19"/>
        <v>41.9</v>
      </c>
      <c r="BG95" s="12">
        <f t="shared" si="19"/>
        <v>27.400000000000002</v>
      </c>
      <c r="BH95" s="12">
        <f t="shared" si="19"/>
        <v>65.600000000000009</v>
      </c>
      <c r="BI95" s="12">
        <f t="shared" si="20"/>
        <v>50.3</v>
      </c>
    </row>
    <row r="96" spans="1:61" ht="15.75" customHeight="1" x14ac:dyDescent="0.25">
      <c r="A96" s="1" t="s">
        <v>197</v>
      </c>
      <c r="B96" s="4" t="s">
        <v>108</v>
      </c>
      <c r="C96" s="4" t="s">
        <v>92</v>
      </c>
      <c r="D96" s="4">
        <v>29</v>
      </c>
      <c r="E96" s="4">
        <v>398</v>
      </c>
      <c r="F96" s="4">
        <v>29</v>
      </c>
      <c r="G96" s="4">
        <v>398</v>
      </c>
      <c r="H96" s="4">
        <v>10.3</v>
      </c>
      <c r="I96" s="4">
        <v>0.60899999999999999</v>
      </c>
      <c r="J96" s="4">
        <v>0.59399999999999997</v>
      </c>
      <c r="K96" s="4">
        <v>0.625</v>
      </c>
      <c r="L96" s="4">
        <v>0.23400000000000001</v>
      </c>
      <c r="M96" s="4">
        <v>3.8</v>
      </c>
      <c r="N96" s="4">
        <v>7.4</v>
      </c>
      <c r="O96" s="4">
        <v>10.9</v>
      </c>
      <c r="P96" s="4">
        <v>1.3</v>
      </c>
      <c r="Q96" s="4">
        <v>1.1000000000000001</v>
      </c>
      <c r="R96" s="4">
        <v>19.399999999999999</v>
      </c>
      <c r="S96" s="4">
        <v>10</v>
      </c>
      <c r="T96" s="4">
        <v>113</v>
      </c>
      <c r="U96" s="4">
        <v>99</v>
      </c>
      <c r="V96" s="4"/>
      <c r="W96" s="4">
        <v>0.7</v>
      </c>
      <c r="X96" s="4">
        <v>0.4</v>
      </c>
      <c r="Y96" s="4">
        <v>1.2</v>
      </c>
      <c r="Z96" s="4">
        <v>0.11700000000000001</v>
      </c>
      <c r="AA96" s="13">
        <f>(I96/TOTAL_BASIC!$D$301)*100</f>
        <v>120.12536373380102</v>
      </c>
      <c r="AB96" s="5">
        <f t="shared" si="21"/>
        <v>1.1299999999999999</v>
      </c>
      <c r="AC96" s="3">
        <f t="shared" si="1"/>
        <v>14</v>
      </c>
      <c r="AD96" s="9">
        <f t="shared" si="22"/>
        <v>1.218</v>
      </c>
      <c r="AE96" s="16">
        <f t="shared" si="23"/>
        <v>1.0900000000000001</v>
      </c>
      <c r="AF96" s="16">
        <f t="shared" si="24"/>
        <v>0.5618556701030929</v>
      </c>
      <c r="AG96" s="9"/>
      <c r="AH96" s="9"/>
      <c r="AI96" s="12">
        <f t="shared" si="25"/>
        <v>29.7</v>
      </c>
      <c r="AJ96" s="12">
        <f t="shared" si="26"/>
        <v>28.999999999999996</v>
      </c>
      <c r="AK96" s="12">
        <f t="shared" si="26"/>
        <v>34.300000000000004</v>
      </c>
      <c r="AL96" s="12">
        <f t="shared" si="26"/>
        <v>93.8</v>
      </c>
      <c r="AM96" s="12">
        <f t="shared" si="26"/>
        <v>99.2</v>
      </c>
      <c r="AN96" s="12">
        <f t="shared" si="18"/>
        <v>96.899999999999991</v>
      </c>
      <c r="AO96" s="12">
        <f t="shared" si="18"/>
        <v>42.699999999999996</v>
      </c>
      <c r="AP96" s="12">
        <f t="shared" si="18"/>
        <v>38.1</v>
      </c>
      <c r="AQ96" s="12">
        <f t="shared" si="18"/>
        <v>36.6</v>
      </c>
      <c r="AR96" s="12">
        <f t="shared" si="29"/>
        <v>46.5</v>
      </c>
      <c r="AS96" s="12">
        <f t="shared" si="29"/>
        <v>19</v>
      </c>
      <c r="AT96" s="12">
        <f t="shared" si="29"/>
        <v>48</v>
      </c>
      <c r="AU96" s="12">
        <f t="shared" si="27"/>
        <v>26.799999999999997</v>
      </c>
      <c r="AV96" s="12">
        <f t="shared" si="30"/>
        <v>0.70000000000000007</v>
      </c>
      <c r="AW96" s="12">
        <f t="shared" si="30"/>
        <v>93.8</v>
      </c>
      <c r="AX96" s="12">
        <f t="shared" si="28"/>
        <v>63.4</v>
      </c>
      <c r="AY96" s="9"/>
      <c r="AZ96" s="12">
        <f t="shared" si="31"/>
        <v>57.999999999999993</v>
      </c>
      <c r="BA96" s="12">
        <f t="shared" si="31"/>
        <v>35.799999999999997</v>
      </c>
      <c r="BB96" s="12">
        <f t="shared" si="31"/>
        <v>54.1</v>
      </c>
      <c r="BC96" s="12">
        <f t="shared" si="31"/>
        <v>69.399999999999991</v>
      </c>
      <c r="BD96" s="12">
        <f t="shared" si="32"/>
        <v>93.8</v>
      </c>
      <c r="BE96" s="12">
        <f t="shared" si="19"/>
        <v>93.8</v>
      </c>
      <c r="BF96" s="12">
        <f t="shared" si="19"/>
        <v>88.5</v>
      </c>
      <c r="BG96" s="12">
        <f t="shared" si="19"/>
        <v>93.8</v>
      </c>
      <c r="BH96" s="12">
        <f t="shared" si="19"/>
        <v>83.899999999999991</v>
      </c>
      <c r="BI96" s="12">
        <f t="shared" si="20"/>
        <v>28.999999999999996</v>
      </c>
    </row>
    <row r="97" spans="1:61" ht="15.75" customHeight="1" x14ac:dyDescent="0.25">
      <c r="A97" s="1" t="s">
        <v>198</v>
      </c>
      <c r="B97" s="3" t="s">
        <v>141</v>
      </c>
      <c r="C97" s="4" t="s">
        <v>92</v>
      </c>
      <c r="D97" s="4">
        <v>19</v>
      </c>
      <c r="E97" s="4">
        <v>393</v>
      </c>
      <c r="F97" s="4">
        <v>19</v>
      </c>
      <c r="G97" s="4">
        <v>393</v>
      </c>
      <c r="H97" s="4">
        <v>9.6999999999999993</v>
      </c>
      <c r="I97" s="4">
        <v>0.435</v>
      </c>
      <c r="J97" s="4">
        <v>0.39300000000000002</v>
      </c>
      <c r="K97" s="4">
        <v>0</v>
      </c>
      <c r="L97" s="4">
        <v>0.31</v>
      </c>
      <c r="M97" s="4">
        <v>10.7</v>
      </c>
      <c r="N97" s="4">
        <v>13.1</v>
      </c>
      <c r="O97" s="4">
        <v>5.8</v>
      </c>
      <c r="P97" s="4">
        <v>3.4</v>
      </c>
      <c r="Q97" s="4">
        <v>0.8</v>
      </c>
      <c r="R97" s="4">
        <v>22.1</v>
      </c>
      <c r="S97" s="4">
        <v>14.1</v>
      </c>
      <c r="T97" s="4">
        <v>86</v>
      </c>
      <c r="U97" s="4">
        <v>100</v>
      </c>
      <c r="V97" s="4"/>
      <c r="W97" s="4">
        <v>-0.2</v>
      </c>
      <c r="X97" s="4">
        <v>0.4</v>
      </c>
      <c r="Y97" s="4">
        <v>0.2</v>
      </c>
      <c r="Z97" s="4">
        <v>2.1999999999999999E-2</v>
      </c>
      <c r="AA97" s="13">
        <f>(I97/TOTAL_BASIC!$D$301)*100</f>
        <v>85.803831238429311</v>
      </c>
      <c r="AB97" s="5">
        <f t="shared" si="21"/>
        <v>0.86</v>
      </c>
      <c r="AC97" s="3">
        <f t="shared" si="1"/>
        <v>-14</v>
      </c>
      <c r="AD97" s="9">
        <f t="shared" si="22"/>
        <v>0.87</v>
      </c>
      <c r="AE97" s="16">
        <f t="shared" si="23"/>
        <v>0.41134751773049644</v>
      </c>
      <c r="AF97" s="16">
        <f t="shared" si="24"/>
        <v>0.26244343891402711</v>
      </c>
      <c r="AG97" s="9"/>
      <c r="AH97" s="9"/>
      <c r="AI97" s="12">
        <f t="shared" si="25"/>
        <v>10.6</v>
      </c>
      <c r="AJ97" s="12">
        <f t="shared" si="26"/>
        <v>28.199999999999996</v>
      </c>
      <c r="AK97" s="12">
        <f t="shared" si="26"/>
        <v>28.199999999999996</v>
      </c>
      <c r="AL97" s="12">
        <f t="shared" si="26"/>
        <v>17.5</v>
      </c>
      <c r="AM97" s="12">
        <f t="shared" si="26"/>
        <v>21.3</v>
      </c>
      <c r="AN97" s="12">
        <f t="shared" si="18"/>
        <v>0</v>
      </c>
      <c r="AO97" s="12">
        <f t="shared" si="18"/>
        <v>62.5</v>
      </c>
      <c r="AP97" s="12">
        <f t="shared" si="18"/>
        <v>88.5</v>
      </c>
      <c r="AQ97" s="12">
        <f t="shared" si="18"/>
        <v>77</v>
      </c>
      <c r="AR97" s="12">
        <f t="shared" si="29"/>
        <v>12.2</v>
      </c>
      <c r="AS97" s="12">
        <f t="shared" si="29"/>
        <v>93.100000000000009</v>
      </c>
      <c r="AT97" s="12">
        <f t="shared" si="29"/>
        <v>34.300000000000004</v>
      </c>
      <c r="AU97" s="12">
        <f t="shared" si="27"/>
        <v>15.299999999999997</v>
      </c>
      <c r="AV97" s="12">
        <f t="shared" si="30"/>
        <v>17.5</v>
      </c>
      <c r="AW97" s="12">
        <f t="shared" si="30"/>
        <v>16.7</v>
      </c>
      <c r="AX97" s="12">
        <f t="shared" si="28"/>
        <v>54.199999999999996</v>
      </c>
      <c r="AY97" s="9"/>
      <c r="AZ97" s="12">
        <f t="shared" si="31"/>
        <v>17.5</v>
      </c>
      <c r="BA97" s="12">
        <f t="shared" si="31"/>
        <v>35.799999999999997</v>
      </c>
      <c r="BB97" s="12">
        <f t="shared" si="31"/>
        <v>20.599999999999998</v>
      </c>
      <c r="BC97" s="12">
        <f t="shared" si="31"/>
        <v>22.900000000000002</v>
      </c>
      <c r="BD97" s="12">
        <f t="shared" si="32"/>
        <v>17.5</v>
      </c>
      <c r="BE97" s="12">
        <f t="shared" si="19"/>
        <v>16.7</v>
      </c>
      <c r="BF97" s="12">
        <f t="shared" si="19"/>
        <v>19</v>
      </c>
      <c r="BG97" s="12">
        <f t="shared" si="19"/>
        <v>17.5</v>
      </c>
      <c r="BH97" s="12">
        <f t="shared" si="19"/>
        <v>24.4</v>
      </c>
      <c r="BI97" s="12">
        <f t="shared" si="20"/>
        <v>9.1</v>
      </c>
    </row>
    <row r="98" spans="1:61" ht="15.75" customHeight="1" x14ac:dyDescent="0.25">
      <c r="A98" s="1" t="s">
        <v>199</v>
      </c>
      <c r="B98" s="3" t="s">
        <v>106</v>
      </c>
      <c r="C98" s="4" t="s">
        <v>8</v>
      </c>
      <c r="D98" s="4">
        <v>18</v>
      </c>
      <c r="E98" s="4">
        <v>383</v>
      </c>
      <c r="F98" s="4">
        <v>18</v>
      </c>
      <c r="G98" s="4">
        <v>383</v>
      </c>
      <c r="H98" s="4">
        <v>11.3</v>
      </c>
      <c r="I98" s="4">
        <v>0.50900000000000001</v>
      </c>
      <c r="J98" s="4">
        <v>0.48499999999999999</v>
      </c>
      <c r="K98" s="4">
        <v>0.49</v>
      </c>
      <c r="L98" s="4">
        <v>0.16300000000000001</v>
      </c>
      <c r="M98" s="4">
        <v>1.2</v>
      </c>
      <c r="N98" s="4">
        <v>3.1</v>
      </c>
      <c r="O98" s="4">
        <v>14.1</v>
      </c>
      <c r="P98" s="4">
        <v>2.2000000000000002</v>
      </c>
      <c r="Q98" s="4">
        <v>0.2</v>
      </c>
      <c r="R98" s="4">
        <v>11.8</v>
      </c>
      <c r="S98" s="4">
        <v>14.6</v>
      </c>
      <c r="T98" s="4">
        <v>105</v>
      </c>
      <c r="U98" s="4">
        <v>102</v>
      </c>
      <c r="V98" s="4"/>
      <c r="W98" s="4">
        <v>0.6</v>
      </c>
      <c r="X98" s="4">
        <v>0.3</v>
      </c>
      <c r="Y98" s="4">
        <v>0.9</v>
      </c>
      <c r="Z98" s="4">
        <v>9.5000000000000001E-2</v>
      </c>
      <c r="AA98" s="13">
        <f>(I98/TOTAL_BASIC!$D$301)*100</f>
        <v>100.40034505830005</v>
      </c>
      <c r="AB98" s="5">
        <f t="shared" si="21"/>
        <v>1.05</v>
      </c>
      <c r="AC98" s="3">
        <f t="shared" si="1"/>
        <v>3</v>
      </c>
      <c r="AD98" s="9">
        <f t="shared" si="22"/>
        <v>1.018</v>
      </c>
      <c r="AE98" s="16">
        <f t="shared" si="23"/>
        <v>0.96575342465753422</v>
      </c>
      <c r="AF98" s="16">
        <f t="shared" si="24"/>
        <v>1.1949152542372881</v>
      </c>
      <c r="AG98" s="9"/>
      <c r="AH98" s="9"/>
      <c r="AI98" s="12">
        <f t="shared" si="25"/>
        <v>9.9</v>
      </c>
      <c r="AJ98" s="12">
        <f t="shared" si="26"/>
        <v>27.400000000000002</v>
      </c>
      <c r="AK98" s="12">
        <f t="shared" si="26"/>
        <v>41.199999999999996</v>
      </c>
      <c r="AL98" s="12">
        <f t="shared" si="26"/>
        <v>61.8</v>
      </c>
      <c r="AM98" s="12">
        <f t="shared" si="26"/>
        <v>73.2</v>
      </c>
      <c r="AN98" s="12">
        <f t="shared" si="18"/>
        <v>88.5</v>
      </c>
      <c r="AO98" s="12">
        <f t="shared" si="18"/>
        <v>22.900000000000002</v>
      </c>
      <c r="AP98" s="12">
        <f t="shared" si="18"/>
        <v>3</v>
      </c>
      <c r="AQ98" s="12">
        <f t="shared" si="18"/>
        <v>0</v>
      </c>
      <c r="AR98" s="12">
        <f t="shared" si="29"/>
        <v>64.8</v>
      </c>
      <c r="AS98" s="12">
        <f t="shared" si="29"/>
        <v>64.8</v>
      </c>
      <c r="AT98" s="12">
        <f t="shared" si="29"/>
        <v>4.5</v>
      </c>
      <c r="AU98" s="12">
        <f t="shared" si="27"/>
        <v>78.7</v>
      </c>
      <c r="AV98" s="12">
        <f t="shared" si="30"/>
        <v>21.3</v>
      </c>
      <c r="AW98" s="12">
        <f t="shared" si="30"/>
        <v>74</v>
      </c>
      <c r="AX98" s="12">
        <f t="shared" si="28"/>
        <v>35.200000000000003</v>
      </c>
      <c r="AY98" s="9"/>
      <c r="AZ98" s="12">
        <f t="shared" si="31"/>
        <v>57.199999999999996</v>
      </c>
      <c r="BA98" s="12">
        <f t="shared" si="31"/>
        <v>24.4</v>
      </c>
      <c r="BB98" s="12">
        <f t="shared" si="31"/>
        <v>43.5</v>
      </c>
      <c r="BC98" s="12">
        <f t="shared" si="31"/>
        <v>58.699999999999996</v>
      </c>
      <c r="BD98" s="12">
        <f t="shared" si="32"/>
        <v>61.8</v>
      </c>
      <c r="BE98" s="12">
        <f t="shared" si="19"/>
        <v>74</v>
      </c>
      <c r="BF98" s="12">
        <f t="shared" si="19"/>
        <v>64.8</v>
      </c>
      <c r="BG98" s="12">
        <f t="shared" si="19"/>
        <v>61.8</v>
      </c>
      <c r="BH98" s="12">
        <f t="shared" si="19"/>
        <v>78.600000000000009</v>
      </c>
      <c r="BI98" s="12">
        <f t="shared" si="20"/>
        <v>80.100000000000009</v>
      </c>
    </row>
    <row r="99" spans="1:61" ht="15.75" customHeight="1" x14ac:dyDescent="0.25">
      <c r="A99" s="1" t="s">
        <v>200</v>
      </c>
      <c r="B99" s="4" t="s">
        <v>114</v>
      </c>
      <c r="C99" s="4" t="s">
        <v>8</v>
      </c>
      <c r="D99" s="4">
        <v>34</v>
      </c>
      <c r="E99" s="4">
        <v>379</v>
      </c>
      <c r="F99" s="4">
        <v>34</v>
      </c>
      <c r="G99" s="4">
        <v>379</v>
      </c>
      <c r="H99" s="4">
        <v>8.9</v>
      </c>
      <c r="I99" s="4">
        <v>0.374</v>
      </c>
      <c r="J99" s="4">
        <v>0.33100000000000002</v>
      </c>
      <c r="K99" s="4">
        <v>0.44600000000000001</v>
      </c>
      <c r="L99" s="4">
        <v>0.185</v>
      </c>
      <c r="M99" s="4">
        <v>8.8000000000000007</v>
      </c>
      <c r="N99" s="4">
        <v>9.6</v>
      </c>
      <c r="O99" s="4">
        <v>4.4000000000000004</v>
      </c>
      <c r="P99" s="4">
        <v>2.9</v>
      </c>
      <c r="Q99" s="4">
        <v>0</v>
      </c>
      <c r="R99" s="4">
        <v>8.5</v>
      </c>
      <c r="S99" s="4">
        <v>18.100000000000001</v>
      </c>
      <c r="T99" s="4">
        <v>88</v>
      </c>
      <c r="U99" s="4">
        <v>97</v>
      </c>
      <c r="V99" s="4"/>
      <c r="W99" s="4">
        <v>-0.1</v>
      </c>
      <c r="X99" s="4">
        <v>0.6</v>
      </c>
      <c r="Y99" s="4">
        <v>0.4</v>
      </c>
      <c r="Z99" s="4">
        <v>4.4999999999999998E-2</v>
      </c>
      <c r="AA99" s="13">
        <f>(I99/TOTAL_BASIC!$D$301)*100</f>
        <v>73.771569846373694</v>
      </c>
      <c r="AB99" s="5">
        <f t="shared" si="21"/>
        <v>0.88</v>
      </c>
      <c r="AC99" s="3">
        <f t="shared" si="1"/>
        <v>-9</v>
      </c>
      <c r="AD99" s="9">
        <f t="shared" si="22"/>
        <v>0.748</v>
      </c>
      <c r="AE99" s="16">
        <f t="shared" si="23"/>
        <v>0.24309392265193369</v>
      </c>
      <c r="AF99" s="16">
        <f t="shared" si="24"/>
        <v>0.51764705882352946</v>
      </c>
      <c r="AG99" s="9"/>
      <c r="AH99" s="9"/>
      <c r="AI99" s="12">
        <f t="shared" si="25"/>
        <v>65.600000000000009</v>
      </c>
      <c r="AJ99" s="12">
        <f t="shared" si="26"/>
        <v>26.700000000000003</v>
      </c>
      <c r="AK99" s="12">
        <f t="shared" si="26"/>
        <v>24.4</v>
      </c>
      <c r="AL99" s="12">
        <f t="shared" si="26"/>
        <v>6.1</v>
      </c>
      <c r="AM99" s="12">
        <f t="shared" si="26"/>
        <v>5.3</v>
      </c>
      <c r="AN99" s="12">
        <f t="shared" si="18"/>
        <v>84.7</v>
      </c>
      <c r="AO99" s="12">
        <f t="shared" si="18"/>
        <v>30.5</v>
      </c>
      <c r="AP99" s="12">
        <f t="shared" si="18"/>
        <v>77.8</v>
      </c>
      <c r="AQ99" s="12">
        <f t="shared" si="18"/>
        <v>53.400000000000006</v>
      </c>
      <c r="AR99" s="12">
        <f t="shared" si="29"/>
        <v>6.8000000000000007</v>
      </c>
      <c r="AS99" s="12">
        <f t="shared" si="29"/>
        <v>87.7</v>
      </c>
      <c r="AT99" s="12">
        <f t="shared" si="29"/>
        <v>0</v>
      </c>
      <c r="AU99" s="12">
        <f t="shared" si="27"/>
        <v>97</v>
      </c>
      <c r="AV99" s="12">
        <f t="shared" si="30"/>
        <v>47.3</v>
      </c>
      <c r="AW99" s="12">
        <f t="shared" si="30"/>
        <v>23.599999999999998</v>
      </c>
      <c r="AX99" s="12">
        <f t="shared" si="28"/>
        <v>76.400000000000006</v>
      </c>
      <c r="AY99" s="9"/>
      <c r="AZ99" s="12">
        <f t="shared" si="31"/>
        <v>23.599999999999998</v>
      </c>
      <c r="BA99" s="12">
        <f t="shared" si="31"/>
        <v>48</v>
      </c>
      <c r="BB99" s="12">
        <f t="shared" si="31"/>
        <v>29.7</v>
      </c>
      <c r="BC99" s="12">
        <f t="shared" si="31"/>
        <v>32.800000000000004</v>
      </c>
      <c r="BD99" s="12">
        <f t="shared" si="32"/>
        <v>6.1</v>
      </c>
      <c r="BE99" s="12">
        <f t="shared" si="19"/>
        <v>23.599999999999998</v>
      </c>
      <c r="BF99" s="12">
        <f t="shared" si="19"/>
        <v>31.2</v>
      </c>
      <c r="BG99" s="12">
        <f t="shared" si="19"/>
        <v>6.1</v>
      </c>
      <c r="BH99" s="12">
        <f t="shared" si="19"/>
        <v>5.3</v>
      </c>
      <c r="BI99" s="12">
        <f t="shared" si="20"/>
        <v>22.1</v>
      </c>
    </row>
    <row r="100" spans="1:61" ht="15.75" customHeight="1" x14ac:dyDescent="0.25">
      <c r="A100" s="1" t="s">
        <v>201</v>
      </c>
      <c r="B100" s="3" t="s">
        <v>86</v>
      </c>
      <c r="C100" s="4" t="s">
        <v>8</v>
      </c>
      <c r="D100" s="4">
        <v>30</v>
      </c>
      <c r="E100" s="4">
        <v>373</v>
      </c>
      <c r="F100" s="4">
        <v>30</v>
      </c>
      <c r="G100" s="4">
        <v>373</v>
      </c>
      <c r="H100" s="4">
        <v>4.4000000000000004</v>
      </c>
      <c r="I100" s="4">
        <v>0.433</v>
      </c>
      <c r="J100" s="4">
        <v>0.38</v>
      </c>
      <c r="K100" s="4">
        <v>0.39100000000000001</v>
      </c>
      <c r="L100" s="4">
        <v>0.32600000000000001</v>
      </c>
      <c r="M100" s="4">
        <v>3.1</v>
      </c>
      <c r="N100" s="4">
        <v>7.9</v>
      </c>
      <c r="O100" s="4">
        <v>15.9</v>
      </c>
      <c r="P100" s="4">
        <v>1.5</v>
      </c>
      <c r="Q100" s="4">
        <v>0.6</v>
      </c>
      <c r="R100" s="4">
        <v>26.5</v>
      </c>
      <c r="S100" s="4">
        <v>17.399999999999999</v>
      </c>
      <c r="T100" s="4">
        <v>79</v>
      </c>
      <c r="U100" s="4">
        <v>104</v>
      </c>
      <c r="V100" s="4"/>
      <c r="W100" s="4">
        <v>-0.6</v>
      </c>
      <c r="X100" s="4">
        <v>0.1</v>
      </c>
      <c r="Y100" s="4">
        <v>-0.5</v>
      </c>
      <c r="Z100" s="4">
        <v>-5.3999999999999999E-2</v>
      </c>
      <c r="AA100" s="13">
        <f>(I100/TOTAL_BASIC!$D$301)*100</f>
        <v>85.409330864919283</v>
      </c>
      <c r="AB100" s="5">
        <f t="shared" si="21"/>
        <v>0.79</v>
      </c>
      <c r="AC100" s="3">
        <f t="shared" si="1"/>
        <v>-25</v>
      </c>
      <c r="AD100" s="9">
        <f t="shared" si="22"/>
        <v>0.86599999999999999</v>
      </c>
      <c r="AE100" s="16">
        <f t="shared" si="23"/>
        <v>0.91379310344827591</v>
      </c>
      <c r="AF100" s="16">
        <f t="shared" si="24"/>
        <v>0.6</v>
      </c>
      <c r="AG100" s="9"/>
      <c r="AH100" s="9"/>
      <c r="AI100" s="12">
        <f t="shared" si="25"/>
        <v>34.300000000000004</v>
      </c>
      <c r="AJ100" s="12">
        <f t="shared" si="26"/>
        <v>25.900000000000002</v>
      </c>
      <c r="AK100" s="12">
        <f t="shared" si="26"/>
        <v>6.1</v>
      </c>
      <c r="AL100" s="12">
        <f t="shared" si="26"/>
        <v>16.7</v>
      </c>
      <c r="AM100" s="12">
        <f t="shared" si="26"/>
        <v>12.9</v>
      </c>
      <c r="AN100" s="12">
        <f t="shared" si="18"/>
        <v>80.100000000000009</v>
      </c>
      <c r="AO100" s="12">
        <f t="shared" si="18"/>
        <v>65.600000000000009</v>
      </c>
      <c r="AP100" s="12">
        <f t="shared" si="18"/>
        <v>25.1</v>
      </c>
      <c r="AQ100" s="12">
        <f t="shared" si="18"/>
        <v>42.699999999999996</v>
      </c>
      <c r="AR100" s="12">
        <f t="shared" si="29"/>
        <v>70.199999999999989</v>
      </c>
      <c r="AS100" s="12">
        <f t="shared" si="29"/>
        <v>26.700000000000003</v>
      </c>
      <c r="AT100" s="12">
        <f t="shared" si="29"/>
        <v>22.900000000000002</v>
      </c>
      <c r="AU100" s="12">
        <f t="shared" si="27"/>
        <v>6.2000000000000028</v>
      </c>
      <c r="AV100" s="12">
        <f t="shared" si="30"/>
        <v>41.199999999999996</v>
      </c>
      <c r="AW100" s="12">
        <f t="shared" si="30"/>
        <v>8.3000000000000007</v>
      </c>
      <c r="AX100" s="12">
        <f t="shared" si="28"/>
        <v>15.299999999999997</v>
      </c>
      <c r="AY100" s="9"/>
      <c r="AZ100" s="12">
        <f t="shared" si="31"/>
        <v>4.5</v>
      </c>
      <c r="BA100" s="12">
        <f t="shared" si="31"/>
        <v>3</v>
      </c>
      <c r="BB100" s="12">
        <f t="shared" si="31"/>
        <v>2.1999999999999997</v>
      </c>
      <c r="BC100" s="12">
        <f t="shared" si="31"/>
        <v>4.5</v>
      </c>
      <c r="BD100" s="12">
        <f t="shared" si="32"/>
        <v>16.7</v>
      </c>
      <c r="BE100" s="12">
        <f t="shared" si="19"/>
        <v>8.3000000000000007</v>
      </c>
      <c r="BF100" s="12">
        <f t="shared" si="19"/>
        <v>6.1</v>
      </c>
      <c r="BG100" s="12">
        <f t="shared" si="19"/>
        <v>16.7</v>
      </c>
      <c r="BH100" s="12">
        <f t="shared" si="19"/>
        <v>74.8</v>
      </c>
      <c r="BI100" s="12">
        <f t="shared" si="20"/>
        <v>31.2</v>
      </c>
    </row>
    <row r="101" spans="1:61" ht="15.75" customHeight="1" x14ac:dyDescent="0.25">
      <c r="A101" s="1" t="s">
        <v>202</v>
      </c>
      <c r="B101" s="3" t="s">
        <v>97</v>
      </c>
      <c r="C101" s="4" t="s">
        <v>115</v>
      </c>
      <c r="D101" s="4">
        <v>33</v>
      </c>
      <c r="E101" s="4">
        <v>371</v>
      </c>
      <c r="F101" s="4">
        <v>33</v>
      </c>
      <c r="G101" s="4">
        <v>371</v>
      </c>
      <c r="H101" s="4">
        <v>8.6999999999999993</v>
      </c>
      <c r="I101" s="4">
        <v>0.47299999999999998</v>
      </c>
      <c r="J101" s="4">
        <v>0.41699999999999998</v>
      </c>
      <c r="K101" s="4">
        <v>0</v>
      </c>
      <c r="L101" s="4">
        <v>0.35699999999999998</v>
      </c>
      <c r="M101" s="4">
        <v>12.6</v>
      </c>
      <c r="N101" s="4">
        <v>15.6</v>
      </c>
      <c r="O101" s="4">
        <v>4.5999999999999996</v>
      </c>
      <c r="P101" s="4">
        <v>0.6</v>
      </c>
      <c r="Q101" s="4">
        <v>3</v>
      </c>
      <c r="R101" s="4">
        <v>26.5</v>
      </c>
      <c r="S101" s="4">
        <v>16.2</v>
      </c>
      <c r="T101" s="4">
        <v>85</v>
      </c>
      <c r="U101" s="4">
        <v>104</v>
      </c>
      <c r="V101" s="4"/>
      <c r="W101" s="4">
        <v>-0.3</v>
      </c>
      <c r="X101" s="4">
        <v>0.1</v>
      </c>
      <c r="Y101" s="4">
        <v>-0.1</v>
      </c>
      <c r="Z101" s="4">
        <v>-1.6E-2</v>
      </c>
      <c r="AA101" s="13">
        <f>(I101/TOTAL_BASIC!$D$301)*100</f>
        <v>93.299338335119671</v>
      </c>
      <c r="AB101" s="5">
        <f t="shared" si="21"/>
        <v>0.85</v>
      </c>
      <c r="AC101" s="3">
        <f t="shared" ref="AC101:AC134" si="33">T101-U101</f>
        <v>-19</v>
      </c>
      <c r="AD101" s="9">
        <f t="shared" si="22"/>
        <v>0.94599999999999995</v>
      </c>
      <c r="AE101" s="16">
        <f t="shared" si="23"/>
        <v>0.2839506172839506</v>
      </c>
      <c r="AF101" s="16">
        <f t="shared" si="24"/>
        <v>0.17358490566037735</v>
      </c>
      <c r="AG101" s="9"/>
      <c r="AH101" s="9"/>
      <c r="AI101" s="12">
        <f t="shared" si="25"/>
        <v>54.900000000000006</v>
      </c>
      <c r="AJ101" s="12">
        <f t="shared" si="26"/>
        <v>25.1</v>
      </c>
      <c r="AK101" s="12">
        <f t="shared" si="26"/>
        <v>22.1</v>
      </c>
      <c r="AL101" s="12">
        <f t="shared" si="26"/>
        <v>39.6</v>
      </c>
      <c r="AM101" s="12">
        <f t="shared" si="26"/>
        <v>31.2</v>
      </c>
      <c r="AN101" s="12">
        <f t="shared" si="18"/>
        <v>0</v>
      </c>
      <c r="AO101" s="12">
        <f t="shared" si="18"/>
        <v>78.600000000000009</v>
      </c>
      <c r="AP101" s="12">
        <f t="shared" si="18"/>
        <v>95.399999999999991</v>
      </c>
      <c r="AQ101" s="12">
        <f t="shared" si="18"/>
        <v>84.7</v>
      </c>
      <c r="AR101" s="12">
        <f t="shared" si="29"/>
        <v>8.3000000000000007</v>
      </c>
      <c r="AS101" s="12">
        <f t="shared" si="29"/>
        <v>1.5</v>
      </c>
      <c r="AT101" s="12">
        <f t="shared" si="29"/>
        <v>86.2</v>
      </c>
      <c r="AU101" s="12">
        <f t="shared" si="27"/>
        <v>6.2000000000000028</v>
      </c>
      <c r="AV101" s="12">
        <f t="shared" si="30"/>
        <v>31.2</v>
      </c>
      <c r="AW101" s="12">
        <f t="shared" si="30"/>
        <v>12.9</v>
      </c>
      <c r="AX101" s="12">
        <f t="shared" si="28"/>
        <v>15.299999999999997</v>
      </c>
      <c r="AY101" s="9"/>
      <c r="AZ101" s="12">
        <f t="shared" si="31"/>
        <v>10.6</v>
      </c>
      <c r="BA101" s="12">
        <f t="shared" si="31"/>
        <v>3</v>
      </c>
      <c r="BB101" s="12">
        <f t="shared" si="31"/>
        <v>12.2</v>
      </c>
      <c r="BC101" s="12">
        <f t="shared" si="31"/>
        <v>13.700000000000001</v>
      </c>
      <c r="BD101" s="12">
        <f t="shared" si="32"/>
        <v>39.6</v>
      </c>
      <c r="BE101" s="12">
        <f t="shared" si="19"/>
        <v>12.9</v>
      </c>
      <c r="BF101" s="12">
        <f t="shared" si="19"/>
        <v>12.2</v>
      </c>
      <c r="BG101" s="12">
        <f t="shared" si="19"/>
        <v>39.6</v>
      </c>
      <c r="BH101" s="12">
        <f t="shared" si="19"/>
        <v>7.6</v>
      </c>
      <c r="BI101" s="12">
        <f t="shared" si="20"/>
        <v>4.5</v>
      </c>
    </row>
    <row r="102" spans="1:61" ht="15.75" customHeight="1" x14ac:dyDescent="0.25">
      <c r="A102" s="1" t="s">
        <v>203</v>
      </c>
      <c r="B102" s="3" t="s">
        <v>104</v>
      </c>
      <c r="C102" s="4" t="s">
        <v>92</v>
      </c>
      <c r="D102" s="4">
        <v>31</v>
      </c>
      <c r="E102" s="4">
        <v>344</v>
      </c>
      <c r="F102" s="4">
        <v>31</v>
      </c>
      <c r="G102" s="4">
        <v>344</v>
      </c>
      <c r="H102" s="4">
        <v>11.1</v>
      </c>
      <c r="I102" s="4">
        <v>0.49299999999999999</v>
      </c>
      <c r="J102" s="4">
        <v>0.47499999999999998</v>
      </c>
      <c r="K102" s="4">
        <v>8.0000000000000002E-3</v>
      </c>
      <c r="L102" s="4">
        <v>0.14799999999999999</v>
      </c>
      <c r="M102" s="4">
        <v>7.9</v>
      </c>
      <c r="N102" s="4">
        <v>9.4</v>
      </c>
      <c r="O102" s="4">
        <v>8.1999999999999993</v>
      </c>
      <c r="P102" s="4">
        <v>1.4</v>
      </c>
      <c r="Q102" s="4">
        <v>2.2999999999999998</v>
      </c>
      <c r="R102" s="4">
        <v>16.7</v>
      </c>
      <c r="S102" s="4">
        <v>20.3</v>
      </c>
      <c r="T102" s="4">
        <v>92</v>
      </c>
      <c r="U102" s="4">
        <v>101</v>
      </c>
      <c r="V102" s="4"/>
      <c r="W102" s="4">
        <v>0</v>
      </c>
      <c r="X102" s="4">
        <v>0.3</v>
      </c>
      <c r="Y102" s="4">
        <v>0.3</v>
      </c>
      <c r="Z102" s="4">
        <v>3.7999999999999999E-2</v>
      </c>
      <c r="AA102" s="13">
        <f>(I102/TOTAL_BASIC!$D$301)*100</f>
        <v>97.244342070219886</v>
      </c>
      <c r="AB102" s="5">
        <f t="shared" si="21"/>
        <v>0.92</v>
      </c>
      <c r="AC102" s="3">
        <f t="shared" si="33"/>
        <v>-9</v>
      </c>
      <c r="AD102" s="9">
        <f t="shared" si="22"/>
        <v>0.98599999999999999</v>
      </c>
      <c r="AE102" s="16">
        <f t="shared" si="23"/>
        <v>0.40394088669950734</v>
      </c>
      <c r="AF102" s="16">
        <f t="shared" si="24"/>
        <v>0.49101796407185627</v>
      </c>
      <c r="AG102" s="9"/>
      <c r="AH102" s="9"/>
      <c r="AI102" s="12">
        <f t="shared" si="25"/>
        <v>40.400000000000006</v>
      </c>
      <c r="AJ102" s="12">
        <f t="shared" si="26"/>
        <v>24.4</v>
      </c>
      <c r="AK102" s="12">
        <f t="shared" si="26"/>
        <v>38.9</v>
      </c>
      <c r="AL102" s="12">
        <f t="shared" si="26"/>
        <v>50.3</v>
      </c>
      <c r="AM102" s="12">
        <f t="shared" si="26"/>
        <v>67.900000000000006</v>
      </c>
      <c r="AN102" s="12">
        <f t="shared" si="18"/>
        <v>21.3</v>
      </c>
      <c r="AO102" s="12">
        <f t="shared" si="18"/>
        <v>16</v>
      </c>
      <c r="AP102" s="12">
        <f t="shared" si="18"/>
        <v>70.899999999999991</v>
      </c>
      <c r="AQ102" s="12">
        <f t="shared" si="18"/>
        <v>50.3</v>
      </c>
      <c r="AR102" s="12">
        <f t="shared" si="29"/>
        <v>25.1</v>
      </c>
      <c r="AS102" s="12">
        <f t="shared" si="29"/>
        <v>21.3</v>
      </c>
      <c r="AT102" s="12">
        <f t="shared" si="29"/>
        <v>77</v>
      </c>
      <c r="AU102" s="12">
        <f t="shared" si="27"/>
        <v>47.4</v>
      </c>
      <c r="AV102" s="12">
        <f t="shared" si="30"/>
        <v>62.5</v>
      </c>
      <c r="AW102" s="12">
        <f t="shared" si="30"/>
        <v>32.800000000000004</v>
      </c>
      <c r="AX102" s="12">
        <f t="shared" si="28"/>
        <v>42.800000000000004</v>
      </c>
      <c r="AY102" s="9"/>
      <c r="AZ102" s="12">
        <f t="shared" si="31"/>
        <v>29.7</v>
      </c>
      <c r="BA102" s="12">
        <f t="shared" si="31"/>
        <v>24.4</v>
      </c>
      <c r="BB102" s="12">
        <f t="shared" si="31"/>
        <v>25.1</v>
      </c>
      <c r="BC102" s="12">
        <f t="shared" si="31"/>
        <v>30.5</v>
      </c>
      <c r="BD102" s="12">
        <f t="shared" si="32"/>
        <v>50.3</v>
      </c>
      <c r="BE102" s="12">
        <f t="shared" si="19"/>
        <v>32.800000000000004</v>
      </c>
      <c r="BF102" s="12">
        <f t="shared" si="19"/>
        <v>31.2</v>
      </c>
      <c r="BG102" s="12">
        <f t="shared" si="19"/>
        <v>50.3</v>
      </c>
      <c r="BH102" s="12">
        <f t="shared" si="19"/>
        <v>23.599999999999998</v>
      </c>
      <c r="BI102" s="12">
        <f t="shared" si="20"/>
        <v>20.599999999999998</v>
      </c>
    </row>
    <row r="103" spans="1:61" ht="15.75" customHeight="1" x14ac:dyDescent="0.25">
      <c r="A103" s="1" t="s">
        <v>204</v>
      </c>
      <c r="B103" s="3" t="s">
        <v>122</v>
      </c>
      <c r="C103" s="4" t="s">
        <v>8</v>
      </c>
      <c r="D103" s="4">
        <v>24</v>
      </c>
      <c r="E103" s="4">
        <v>338</v>
      </c>
      <c r="F103" s="4">
        <v>24</v>
      </c>
      <c r="G103" s="4">
        <v>338</v>
      </c>
      <c r="H103" s="4">
        <v>6.1</v>
      </c>
      <c r="I103" s="4">
        <v>0.47199999999999998</v>
      </c>
      <c r="J103" s="4">
        <v>0.439</v>
      </c>
      <c r="K103" s="4">
        <v>0.51</v>
      </c>
      <c r="L103" s="4">
        <v>0.184</v>
      </c>
      <c r="M103" s="4">
        <v>3.9</v>
      </c>
      <c r="N103" s="4">
        <v>8.8000000000000007</v>
      </c>
      <c r="O103" s="4">
        <v>7.5</v>
      </c>
      <c r="P103" s="4">
        <v>1.1000000000000001</v>
      </c>
      <c r="Q103" s="4">
        <v>1.1000000000000001</v>
      </c>
      <c r="R103" s="4">
        <v>22.1</v>
      </c>
      <c r="S103" s="4">
        <v>9</v>
      </c>
      <c r="T103" s="4">
        <v>90</v>
      </c>
      <c r="U103" s="4">
        <v>102</v>
      </c>
      <c r="V103" s="4"/>
      <c r="W103" s="4">
        <v>0</v>
      </c>
      <c r="X103" s="4">
        <v>0.2</v>
      </c>
      <c r="Y103" s="4">
        <v>0.2</v>
      </c>
      <c r="Z103" s="4">
        <v>2.5000000000000001E-2</v>
      </c>
      <c r="AA103" s="13">
        <f>(I103/TOTAL_BASIC!$D$301)*100</f>
        <v>93.102088148364672</v>
      </c>
      <c r="AB103" s="5">
        <f t="shared" si="21"/>
        <v>0.9</v>
      </c>
      <c r="AC103" s="3">
        <f t="shared" si="33"/>
        <v>-12</v>
      </c>
      <c r="AD103" s="9">
        <f t="shared" si="22"/>
        <v>0.94399999999999995</v>
      </c>
      <c r="AE103" s="16">
        <f t="shared" si="23"/>
        <v>0.83333333333333337</v>
      </c>
      <c r="AF103" s="16">
        <f t="shared" si="24"/>
        <v>0.33936651583710403</v>
      </c>
      <c r="AG103" s="9"/>
      <c r="AH103" s="9"/>
      <c r="AI103" s="12">
        <f t="shared" si="25"/>
        <v>20.599999999999998</v>
      </c>
      <c r="AJ103" s="12">
        <f t="shared" si="26"/>
        <v>23.599999999999998</v>
      </c>
      <c r="AK103" s="12">
        <f t="shared" si="26"/>
        <v>9.9</v>
      </c>
      <c r="AL103" s="12">
        <f t="shared" si="26"/>
        <v>38.1</v>
      </c>
      <c r="AM103" s="12">
        <f t="shared" si="26"/>
        <v>42.699999999999996</v>
      </c>
      <c r="AN103" s="12">
        <f t="shared" si="18"/>
        <v>91.600000000000009</v>
      </c>
      <c r="AO103" s="12">
        <f t="shared" si="18"/>
        <v>28.199999999999996</v>
      </c>
      <c r="AP103" s="12">
        <f t="shared" si="18"/>
        <v>39.6</v>
      </c>
      <c r="AQ103" s="12">
        <f t="shared" si="18"/>
        <v>48</v>
      </c>
      <c r="AR103" s="12">
        <f t="shared" si="29"/>
        <v>19</v>
      </c>
      <c r="AS103" s="12">
        <f t="shared" si="29"/>
        <v>13.700000000000001</v>
      </c>
      <c r="AT103" s="12">
        <f t="shared" si="29"/>
        <v>48</v>
      </c>
      <c r="AU103" s="12">
        <f t="shared" si="27"/>
        <v>15.299999999999997</v>
      </c>
      <c r="AV103" s="12">
        <f t="shared" si="30"/>
        <v>0</v>
      </c>
      <c r="AW103" s="12">
        <f t="shared" si="30"/>
        <v>26.700000000000003</v>
      </c>
      <c r="AX103" s="12">
        <f t="shared" si="28"/>
        <v>35.200000000000003</v>
      </c>
      <c r="AY103" s="9"/>
      <c r="AZ103" s="12">
        <f t="shared" si="31"/>
        <v>29.7</v>
      </c>
      <c r="BA103" s="12">
        <f t="shared" si="31"/>
        <v>14.499999999999998</v>
      </c>
      <c r="BB103" s="12">
        <f t="shared" si="31"/>
        <v>20.599999999999998</v>
      </c>
      <c r="BC103" s="12">
        <f t="shared" si="31"/>
        <v>24.4</v>
      </c>
      <c r="BD103" s="12">
        <f t="shared" si="32"/>
        <v>38.1</v>
      </c>
      <c r="BE103" s="12">
        <f t="shared" si="19"/>
        <v>26.700000000000003</v>
      </c>
      <c r="BF103" s="12">
        <f t="shared" si="19"/>
        <v>24.4</v>
      </c>
      <c r="BG103" s="12">
        <f t="shared" si="19"/>
        <v>38.1</v>
      </c>
      <c r="BH103" s="12">
        <f t="shared" si="19"/>
        <v>71.7</v>
      </c>
      <c r="BI103" s="12">
        <f t="shared" si="20"/>
        <v>11.4</v>
      </c>
    </row>
    <row r="104" spans="1:61" ht="15.75" customHeight="1" x14ac:dyDescent="0.25">
      <c r="A104" s="1" t="s">
        <v>205</v>
      </c>
      <c r="B104" s="3" t="s">
        <v>95</v>
      </c>
      <c r="C104" s="4" t="s">
        <v>92</v>
      </c>
      <c r="D104" s="4">
        <v>33</v>
      </c>
      <c r="E104" s="4">
        <v>321</v>
      </c>
      <c r="F104" s="4">
        <v>33</v>
      </c>
      <c r="G104" s="4">
        <v>321</v>
      </c>
      <c r="H104" s="4">
        <v>11.1</v>
      </c>
      <c r="I104" s="4">
        <v>0.57899999999999996</v>
      </c>
      <c r="J104" s="4">
        <v>0.55500000000000005</v>
      </c>
      <c r="K104" s="4">
        <v>0.23100000000000001</v>
      </c>
      <c r="L104" s="4">
        <v>0.14299999999999999</v>
      </c>
      <c r="M104" s="4">
        <v>6.9</v>
      </c>
      <c r="N104" s="4">
        <v>10.5</v>
      </c>
      <c r="O104" s="4">
        <v>3.9</v>
      </c>
      <c r="P104" s="4">
        <v>1.5</v>
      </c>
      <c r="Q104" s="4">
        <v>1</v>
      </c>
      <c r="R104" s="4">
        <v>18.5</v>
      </c>
      <c r="S104" s="4">
        <v>17.7</v>
      </c>
      <c r="T104" s="4">
        <v>100</v>
      </c>
      <c r="U104" s="4">
        <v>102</v>
      </c>
      <c r="V104" s="4"/>
      <c r="W104" s="4">
        <v>0.4</v>
      </c>
      <c r="X104" s="4">
        <v>0.3</v>
      </c>
      <c r="Y104" s="4">
        <v>0.6</v>
      </c>
      <c r="Z104" s="4">
        <v>7.9000000000000001E-2</v>
      </c>
      <c r="AA104" s="13">
        <f>(I104/TOTAL_BASIC!$D$301)*100</f>
        <v>114.20785813115073</v>
      </c>
      <c r="AB104" s="5">
        <f t="shared" si="21"/>
        <v>1</v>
      </c>
      <c r="AC104" s="3">
        <f t="shared" si="33"/>
        <v>-2</v>
      </c>
      <c r="AD104" s="9">
        <f t="shared" si="22"/>
        <v>1.1579999999999999</v>
      </c>
      <c r="AE104" s="16">
        <f t="shared" si="23"/>
        <v>0.22033898305084745</v>
      </c>
      <c r="AF104" s="16">
        <f t="shared" si="24"/>
        <v>0.21081081081081079</v>
      </c>
      <c r="AG104" s="9"/>
      <c r="AH104" s="9"/>
      <c r="AI104" s="12">
        <f t="shared" si="25"/>
        <v>54.900000000000006</v>
      </c>
      <c r="AJ104" s="12">
        <f t="shared" si="26"/>
        <v>22.900000000000002</v>
      </c>
      <c r="AK104" s="12">
        <f t="shared" si="26"/>
        <v>38.9</v>
      </c>
      <c r="AL104" s="12">
        <f t="shared" si="26"/>
        <v>90.8</v>
      </c>
      <c r="AM104" s="12">
        <f t="shared" si="26"/>
        <v>93.100000000000009</v>
      </c>
      <c r="AN104" s="12">
        <f t="shared" si="18"/>
        <v>54.900000000000006</v>
      </c>
      <c r="AO104" s="12">
        <f t="shared" si="18"/>
        <v>15.2</v>
      </c>
      <c r="AP104" s="12">
        <f t="shared" si="18"/>
        <v>67.100000000000009</v>
      </c>
      <c r="AQ104" s="12">
        <f t="shared" si="18"/>
        <v>61</v>
      </c>
      <c r="AR104" s="12">
        <f t="shared" si="29"/>
        <v>5.3</v>
      </c>
      <c r="AS104" s="12">
        <f t="shared" si="29"/>
        <v>26.700000000000003</v>
      </c>
      <c r="AT104" s="12">
        <f t="shared" si="29"/>
        <v>45.800000000000004</v>
      </c>
      <c r="AU104" s="12">
        <f t="shared" si="27"/>
        <v>35.200000000000003</v>
      </c>
      <c r="AV104" s="12">
        <f t="shared" si="30"/>
        <v>43.5</v>
      </c>
      <c r="AW104" s="12">
        <f t="shared" si="30"/>
        <v>61.8</v>
      </c>
      <c r="AX104" s="12">
        <f t="shared" si="28"/>
        <v>35.200000000000003</v>
      </c>
      <c r="AY104" s="9"/>
      <c r="AZ104" s="12">
        <f t="shared" si="31"/>
        <v>47.3</v>
      </c>
      <c r="BA104" s="12">
        <f t="shared" si="31"/>
        <v>24.4</v>
      </c>
      <c r="BB104" s="12">
        <f t="shared" si="31"/>
        <v>35.799999999999997</v>
      </c>
      <c r="BC104" s="12">
        <f t="shared" si="31"/>
        <v>47.3</v>
      </c>
      <c r="BD104" s="12">
        <f t="shared" si="32"/>
        <v>90.8</v>
      </c>
      <c r="BE104" s="12">
        <f t="shared" si="19"/>
        <v>61.8</v>
      </c>
      <c r="BF104" s="12">
        <f t="shared" si="19"/>
        <v>49.6</v>
      </c>
      <c r="BG104" s="12">
        <f t="shared" si="19"/>
        <v>90.8</v>
      </c>
      <c r="BH104" s="12">
        <f t="shared" si="19"/>
        <v>3</v>
      </c>
      <c r="BI104" s="12">
        <f t="shared" si="20"/>
        <v>7.6</v>
      </c>
    </row>
    <row r="105" spans="1:61" ht="15.75" customHeight="1" x14ac:dyDescent="0.25">
      <c r="A105" s="1" t="s">
        <v>206</v>
      </c>
      <c r="B105" s="3" t="s">
        <v>114</v>
      </c>
      <c r="C105" s="4" t="s">
        <v>8</v>
      </c>
      <c r="D105" s="4">
        <v>34</v>
      </c>
      <c r="E105" s="4">
        <v>318</v>
      </c>
      <c r="F105" s="4">
        <v>34</v>
      </c>
      <c r="G105" s="4">
        <v>318</v>
      </c>
      <c r="H105" s="4">
        <v>9.3000000000000007</v>
      </c>
      <c r="I105" s="4">
        <v>0.40300000000000002</v>
      </c>
      <c r="J105" s="4">
        <v>0.372</v>
      </c>
      <c r="K105" s="4">
        <v>0.35499999999999998</v>
      </c>
      <c r="L105" s="4">
        <v>0.11799999999999999</v>
      </c>
      <c r="M105" s="4">
        <v>2.5</v>
      </c>
      <c r="N105" s="4">
        <v>4.3</v>
      </c>
      <c r="O105" s="4">
        <v>12.5</v>
      </c>
      <c r="P105" s="4">
        <v>2</v>
      </c>
      <c r="Q105" s="4">
        <v>0.9</v>
      </c>
      <c r="R105" s="4">
        <v>11.1</v>
      </c>
      <c r="S105" s="4">
        <v>25.2</v>
      </c>
      <c r="T105" s="4">
        <v>86</v>
      </c>
      <c r="U105" s="4">
        <v>100</v>
      </c>
      <c r="V105" s="4"/>
      <c r="W105" s="4">
        <v>-0.3</v>
      </c>
      <c r="X105" s="4">
        <v>0.3</v>
      </c>
      <c r="Y105" s="4">
        <v>0</v>
      </c>
      <c r="Z105" s="4">
        <v>5.0000000000000001E-3</v>
      </c>
      <c r="AA105" s="13">
        <f>(I105/TOTAL_BASIC!$D$301)*100</f>
        <v>79.491825262268989</v>
      </c>
      <c r="AB105" s="5">
        <f t="shared" si="21"/>
        <v>0.86</v>
      </c>
      <c r="AC105" s="3">
        <f t="shared" si="33"/>
        <v>-14</v>
      </c>
      <c r="AD105" s="9">
        <f t="shared" si="22"/>
        <v>0.80600000000000005</v>
      </c>
      <c r="AE105" s="16">
        <f t="shared" si="23"/>
        <v>0.49603174603174605</v>
      </c>
      <c r="AF105" s="16">
        <f t="shared" si="24"/>
        <v>1.1261261261261262</v>
      </c>
      <c r="AG105" s="9"/>
      <c r="AH105" s="9"/>
      <c r="AI105" s="12">
        <f t="shared" si="25"/>
        <v>65.600000000000009</v>
      </c>
      <c r="AJ105" s="12">
        <f t="shared" si="26"/>
        <v>22.1</v>
      </c>
      <c r="AK105" s="12">
        <f t="shared" si="26"/>
        <v>25.900000000000002</v>
      </c>
      <c r="AL105" s="12">
        <f t="shared" si="26"/>
        <v>9.1</v>
      </c>
      <c r="AM105" s="12">
        <f t="shared" si="26"/>
        <v>12.2</v>
      </c>
      <c r="AN105" s="12">
        <f t="shared" si="18"/>
        <v>75.5</v>
      </c>
      <c r="AO105" s="12">
        <f t="shared" si="18"/>
        <v>6.8000000000000007</v>
      </c>
      <c r="AP105" s="12">
        <f t="shared" si="18"/>
        <v>19</v>
      </c>
      <c r="AQ105" s="12">
        <f t="shared" si="18"/>
        <v>3.8</v>
      </c>
      <c r="AR105" s="12">
        <f t="shared" si="29"/>
        <v>57.199999999999996</v>
      </c>
      <c r="AS105" s="12">
        <f t="shared" si="29"/>
        <v>57.199999999999996</v>
      </c>
      <c r="AT105" s="12">
        <f t="shared" si="29"/>
        <v>41.199999999999996</v>
      </c>
      <c r="AU105" s="12">
        <f t="shared" si="27"/>
        <v>84.8</v>
      </c>
      <c r="AV105" s="12">
        <f t="shared" si="30"/>
        <v>92.300000000000011</v>
      </c>
      <c r="AW105" s="12">
        <f t="shared" si="30"/>
        <v>16.7</v>
      </c>
      <c r="AX105" s="12">
        <f t="shared" si="28"/>
        <v>54.199999999999996</v>
      </c>
      <c r="AY105" s="9"/>
      <c r="AZ105" s="12">
        <f t="shared" si="31"/>
        <v>10.6</v>
      </c>
      <c r="BA105" s="12">
        <f t="shared" si="31"/>
        <v>24.4</v>
      </c>
      <c r="BB105" s="12">
        <f t="shared" si="31"/>
        <v>16.7</v>
      </c>
      <c r="BC105" s="12">
        <f t="shared" si="31"/>
        <v>18.3</v>
      </c>
      <c r="BD105" s="12">
        <f t="shared" si="32"/>
        <v>9.1</v>
      </c>
      <c r="BE105" s="12">
        <f t="shared" si="19"/>
        <v>16.7</v>
      </c>
      <c r="BF105" s="12">
        <f t="shared" si="19"/>
        <v>19</v>
      </c>
      <c r="BG105" s="12">
        <f t="shared" si="19"/>
        <v>9.1</v>
      </c>
      <c r="BH105" s="12">
        <f t="shared" si="19"/>
        <v>33.5</v>
      </c>
      <c r="BI105" s="12">
        <f t="shared" si="20"/>
        <v>75.5</v>
      </c>
    </row>
    <row r="106" spans="1:61" ht="15.75" customHeight="1" x14ac:dyDescent="0.25">
      <c r="A106" s="1" t="s">
        <v>207</v>
      </c>
      <c r="B106" s="3" t="s">
        <v>97</v>
      </c>
      <c r="C106" s="4" t="s">
        <v>92</v>
      </c>
      <c r="D106" s="4">
        <v>22</v>
      </c>
      <c r="E106" s="4">
        <v>285</v>
      </c>
      <c r="F106" s="4">
        <v>22</v>
      </c>
      <c r="G106" s="4">
        <v>285</v>
      </c>
      <c r="H106" s="4">
        <v>6.3</v>
      </c>
      <c r="I106" s="4">
        <v>0.40500000000000003</v>
      </c>
      <c r="J106" s="4">
        <v>0.39100000000000001</v>
      </c>
      <c r="K106" s="4">
        <v>0.72699999999999998</v>
      </c>
      <c r="L106" s="4">
        <v>7.2999999999999995E-2</v>
      </c>
      <c r="M106" s="4">
        <v>3.4</v>
      </c>
      <c r="N106" s="4">
        <v>8.6</v>
      </c>
      <c r="O106" s="4">
        <v>6.8</v>
      </c>
      <c r="P106" s="4">
        <v>1.7</v>
      </c>
      <c r="Q106" s="4">
        <v>1.1000000000000001</v>
      </c>
      <c r="R106" s="4">
        <v>15</v>
      </c>
      <c r="S106" s="4">
        <v>10.6</v>
      </c>
      <c r="T106" s="4">
        <v>84</v>
      </c>
      <c r="U106" s="4">
        <v>104</v>
      </c>
      <c r="V106" s="4"/>
      <c r="W106" s="4">
        <v>-0.2</v>
      </c>
      <c r="X106" s="4">
        <v>0.1</v>
      </c>
      <c r="Y106" s="4">
        <v>-0.1</v>
      </c>
      <c r="Z106" s="4">
        <v>-8.0000000000000002E-3</v>
      </c>
      <c r="AA106" s="13">
        <f>(I106/TOTAL_BASIC!$D$301)*100</f>
        <v>79.886325635779016</v>
      </c>
      <c r="AB106" s="5">
        <f t="shared" si="21"/>
        <v>0.84</v>
      </c>
      <c r="AC106" s="3">
        <f t="shared" si="33"/>
        <v>-20</v>
      </c>
      <c r="AD106" s="9">
        <f t="shared" si="22"/>
        <v>0.81</v>
      </c>
      <c r="AE106" s="16">
        <f t="shared" si="23"/>
        <v>0.64150943396226412</v>
      </c>
      <c r="AF106" s="16">
        <f t="shared" si="24"/>
        <v>0.45333333333333331</v>
      </c>
      <c r="AG106" s="9"/>
      <c r="AH106" s="9"/>
      <c r="AI106" s="12">
        <f t="shared" si="25"/>
        <v>14.499999999999998</v>
      </c>
      <c r="AJ106" s="12">
        <f t="shared" si="26"/>
        <v>21.3</v>
      </c>
      <c r="AK106" s="12">
        <f t="shared" si="26"/>
        <v>11.4</v>
      </c>
      <c r="AL106" s="12">
        <f t="shared" si="26"/>
        <v>9.9</v>
      </c>
      <c r="AM106" s="12">
        <f t="shared" si="26"/>
        <v>19.8</v>
      </c>
      <c r="AN106" s="12">
        <f t="shared" si="18"/>
        <v>99.2</v>
      </c>
      <c r="AO106" s="12">
        <f t="shared" si="18"/>
        <v>1.5</v>
      </c>
      <c r="AP106" s="12">
        <f t="shared" si="18"/>
        <v>32</v>
      </c>
      <c r="AQ106" s="12">
        <f t="shared" si="18"/>
        <v>46.5</v>
      </c>
      <c r="AR106" s="12">
        <f t="shared" si="29"/>
        <v>17.5</v>
      </c>
      <c r="AS106" s="12">
        <f t="shared" si="29"/>
        <v>41.199999999999996</v>
      </c>
      <c r="AT106" s="12">
        <f t="shared" si="29"/>
        <v>48</v>
      </c>
      <c r="AU106" s="12">
        <f t="shared" si="27"/>
        <v>63.4</v>
      </c>
      <c r="AV106" s="12">
        <f t="shared" si="30"/>
        <v>3</v>
      </c>
      <c r="AW106" s="12">
        <f t="shared" si="30"/>
        <v>10.6</v>
      </c>
      <c r="AX106" s="12">
        <f t="shared" si="28"/>
        <v>15.299999999999997</v>
      </c>
      <c r="AY106" s="9"/>
      <c r="AZ106" s="12">
        <f t="shared" si="31"/>
        <v>17.5</v>
      </c>
      <c r="BA106" s="12">
        <f t="shared" si="31"/>
        <v>3</v>
      </c>
      <c r="BB106" s="12">
        <f t="shared" si="31"/>
        <v>12.2</v>
      </c>
      <c r="BC106" s="12">
        <f t="shared" si="31"/>
        <v>16</v>
      </c>
      <c r="BD106" s="12">
        <f t="shared" si="32"/>
        <v>9.9</v>
      </c>
      <c r="BE106" s="12">
        <f t="shared" si="19"/>
        <v>10.6</v>
      </c>
      <c r="BF106" s="12">
        <f t="shared" si="19"/>
        <v>9.9</v>
      </c>
      <c r="BG106" s="12">
        <f t="shared" si="19"/>
        <v>9.9</v>
      </c>
      <c r="BH106" s="12">
        <f t="shared" si="19"/>
        <v>51.9</v>
      </c>
      <c r="BI106" s="12">
        <f t="shared" si="20"/>
        <v>17.5</v>
      </c>
    </row>
    <row r="107" spans="1:61" ht="15.75" customHeight="1" x14ac:dyDescent="0.25">
      <c r="A107" s="1" t="s">
        <v>208</v>
      </c>
      <c r="B107" s="3" t="s">
        <v>89</v>
      </c>
      <c r="C107" s="4" t="s">
        <v>8</v>
      </c>
      <c r="D107" s="4">
        <v>32</v>
      </c>
      <c r="E107" s="4">
        <v>282</v>
      </c>
      <c r="F107" s="4">
        <v>32</v>
      </c>
      <c r="G107" s="4">
        <v>282</v>
      </c>
      <c r="H107" s="4">
        <v>13.3</v>
      </c>
      <c r="I107" s="4">
        <v>0.48399999999999999</v>
      </c>
      <c r="J107" s="4">
        <v>0.41699999999999998</v>
      </c>
      <c r="K107" s="4">
        <v>0.28199999999999997</v>
      </c>
      <c r="L107" s="4">
        <v>0.436</v>
      </c>
      <c r="M107" s="4">
        <v>1.7</v>
      </c>
      <c r="N107" s="4">
        <v>7.3</v>
      </c>
      <c r="O107" s="4">
        <v>20.3</v>
      </c>
      <c r="P107" s="4">
        <v>3.5</v>
      </c>
      <c r="Q107" s="4">
        <v>0.5</v>
      </c>
      <c r="R107" s="4">
        <v>19.100000000000001</v>
      </c>
      <c r="S107" s="4">
        <v>18.100000000000001</v>
      </c>
      <c r="T107" s="4">
        <v>94</v>
      </c>
      <c r="U107" s="4">
        <v>96</v>
      </c>
      <c r="V107" s="4"/>
      <c r="W107" s="4">
        <v>0.1</v>
      </c>
      <c r="X107" s="4">
        <v>0.5</v>
      </c>
      <c r="Y107" s="4">
        <v>0.6</v>
      </c>
      <c r="Z107" s="4">
        <v>8.5999999999999993E-2</v>
      </c>
      <c r="AA107" s="13">
        <f>(I107/TOTAL_BASIC!$D$301)*100</f>
        <v>95.469090389424778</v>
      </c>
      <c r="AB107" s="5">
        <f t="shared" si="21"/>
        <v>0.94</v>
      </c>
      <c r="AC107" s="3">
        <f t="shared" si="33"/>
        <v>-2</v>
      </c>
      <c r="AD107" s="9">
        <f t="shared" si="22"/>
        <v>0.96799999999999997</v>
      </c>
      <c r="AE107" s="16">
        <f t="shared" si="23"/>
        <v>1.1215469613259668</v>
      </c>
      <c r="AF107" s="16">
        <f t="shared" si="24"/>
        <v>1.0628272251308901</v>
      </c>
      <c r="AG107" s="9"/>
      <c r="AH107" s="9"/>
      <c r="AI107" s="12">
        <f t="shared" si="25"/>
        <v>45</v>
      </c>
      <c r="AJ107" s="12">
        <f t="shared" si="26"/>
        <v>20.599999999999998</v>
      </c>
      <c r="AK107" s="12">
        <f t="shared" si="26"/>
        <v>53.400000000000006</v>
      </c>
      <c r="AL107" s="12">
        <f t="shared" si="26"/>
        <v>45.800000000000004</v>
      </c>
      <c r="AM107" s="12">
        <f t="shared" si="26"/>
        <v>31.2</v>
      </c>
      <c r="AN107" s="12">
        <f t="shared" si="18"/>
        <v>64.099999999999994</v>
      </c>
      <c r="AO107" s="12">
        <f t="shared" si="18"/>
        <v>90.8</v>
      </c>
      <c r="AP107" s="12">
        <f t="shared" si="18"/>
        <v>10.6</v>
      </c>
      <c r="AQ107" s="12">
        <f t="shared" si="18"/>
        <v>35.099999999999994</v>
      </c>
      <c r="AR107" s="12">
        <f t="shared" si="29"/>
        <v>82.399999999999991</v>
      </c>
      <c r="AS107" s="12">
        <f t="shared" si="29"/>
        <v>93.8</v>
      </c>
      <c r="AT107" s="12">
        <f t="shared" si="29"/>
        <v>16.7</v>
      </c>
      <c r="AU107" s="12">
        <f t="shared" si="27"/>
        <v>29.800000000000011</v>
      </c>
      <c r="AV107" s="12">
        <f t="shared" si="30"/>
        <v>47.3</v>
      </c>
      <c r="AW107" s="12">
        <f t="shared" si="30"/>
        <v>41.9</v>
      </c>
      <c r="AX107" s="12">
        <f t="shared" si="28"/>
        <v>83.3</v>
      </c>
      <c r="AY107" s="9"/>
      <c r="AZ107" s="12">
        <f t="shared" si="31"/>
        <v>34.300000000000004</v>
      </c>
      <c r="BA107" s="12">
        <f t="shared" si="31"/>
        <v>42.699999999999996</v>
      </c>
      <c r="BB107" s="12">
        <f t="shared" si="31"/>
        <v>35.799999999999997</v>
      </c>
      <c r="BC107" s="12">
        <f t="shared" si="31"/>
        <v>51.1</v>
      </c>
      <c r="BD107" s="12">
        <f t="shared" si="32"/>
        <v>45.800000000000004</v>
      </c>
      <c r="BE107" s="12">
        <f t="shared" si="19"/>
        <v>41.9</v>
      </c>
      <c r="BF107" s="12">
        <f t="shared" si="19"/>
        <v>49.6</v>
      </c>
      <c r="BG107" s="12">
        <f t="shared" si="19"/>
        <v>45.800000000000004</v>
      </c>
      <c r="BH107" s="12">
        <f t="shared" si="19"/>
        <v>85.399999999999991</v>
      </c>
      <c r="BI107" s="12">
        <f t="shared" si="20"/>
        <v>73.2</v>
      </c>
    </row>
    <row r="108" spans="1:61" ht="15.75" customHeight="1" x14ac:dyDescent="0.25">
      <c r="A108" s="1" t="s">
        <v>209</v>
      </c>
      <c r="B108" s="3" t="s">
        <v>108</v>
      </c>
      <c r="C108" s="4" t="s">
        <v>8</v>
      </c>
      <c r="D108" s="4">
        <v>30</v>
      </c>
      <c r="E108" s="4">
        <v>276</v>
      </c>
      <c r="F108" s="4">
        <v>30</v>
      </c>
      <c r="G108" s="4">
        <v>276</v>
      </c>
      <c r="H108" s="4">
        <v>6</v>
      </c>
      <c r="I108" s="4">
        <v>0.43</v>
      </c>
      <c r="J108" s="4">
        <v>0.38200000000000001</v>
      </c>
      <c r="K108" s="4">
        <v>0.23499999999999999</v>
      </c>
      <c r="L108" s="4">
        <v>0.36799999999999999</v>
      </c>
      <c r="M108" s="4">
        <v>3.2</v>
      </c>
      <c r="N108" s="4">
        <v>4.3</v>
      </c>
      <c r="O108" s="4">
        <v>12</v>
      </c>
      <c r="P108" s="4">
        <v>1.7</v>
      </c>
      <c r="Q108" s="4">
        <v>0.5</v>
      </c>
      <c r="R108" s="4">
        <v>17.7</v>
      </c>
      <c r="S108" s="4">
        <v>15.7</v>
      </c>
      <c r="T108" s="4">
        <v>87</v>
      </c>
      <c r="U108" s="4">
        <v>101</v>
      </c>
      <c r="V108" s="4"/>
      <c r="W108" s="4">
        <v>-0.1</v>
      </c>
      <c r="X108" s="4">
        <v>0.2</v>
      </c>
      <c r="Y108" s="4">
        <v>0.1</v>
      </c>
      <c r="Z108" s="4">
        <v>1.7999999999999999E-2</v>
      </c>
      <c r="AA108" s="13">
        <f>(I108/TOTAL_BASIC!$D$301)*100</f>
        <v>84.817580304654257</v>
      </c>
      <c r="AB108" s="5">
        <f t="shared" si="21"/>
        <v>0.87</v>
      </c>
      <c r="AC108" s="3">
        <f t="shared" si="33"/>
        <v>-14</v>
      </c>
      <c r="AD108" s="9">
        <f t="shared" si="22"/>
        <v>0.86</v>
      </c>
      <c r="AE108" s="16">
        <f t="shared" si="23"/>
        <v>0.76433121019108285</v>
      </c>
      <c r="AF108" s="16">
        <f t="shared" si="24"/>
        <v>0.67796610169491534</v>
      </c>
      <c r="AG108" s="9"/>
      <c r="AH108" s="9"/>
      <c r="AI108" s="12">
        <f t="shared" si="25"/>
        <v>34.300000000000004</v>
      </c>
      <c r="AJ108" s="12">
        <f t="shared" si="26"/>
        <v>19</v>
      </c>
      <c r="AK108" s="12">
        <f t="shared" si="26"/>
        <v>9.1</v>
      </c>
      <c r="AL108" s="12">
        <f t="shared" si="26"/>
        <v>15.2</v>
      </c>
      <c r="AM108" s="12">
        <f t="shared" si="26"/>
        <v>13.700000000000001</v>
      </c>
      <c r="AN108" s="12">
        <f t="shared" si="18"/>
        <v>56.399999999999991</v>
      </c>
      <c r="AO108" s="12">
        <f t="shared" si="18"/>
        <v>81.599999999999994</v>
      </c>
      <c r="AP108" s="12">
        <f t="shared" si="18"/>
        <v>26.700000000000003</v>
      </c>
      <c r="AQ108" s="12">
        <f t="shared" si="18"/>
        <v>3.8</v>
      </c>
      <c r="AR108" s="12">
        <f t="shared" si="29"/>
        <v>54.1</v>
      </c>
      <c r="AS108" s="12">
        <f t="shared" si="29"/>
        <v>41.199999999999996</v>
      </c>
      <c r="AT108" s="12">
        <f t="shared" si="29"/>
        <v>16.7</v>
      </c>
      <c r="AU108" s="12">
        <f t="shared" si="27"/>
        <v>39</v>
      </c>
      <c r="AV108" s="12">
        <f t="shared" si="30"/>
        <v>27.400000000000002</v>
      </c>
      <c r="AW108" s="12">
        <f t="shared" si="30"/>
        <v>19.8</v>
      </c>
      <c r="AX108" s="12">
        <f t="shared" si="28"/>
        <v>42.800000000000004</v>
      </c>
      <c r="AY108" s="9"/>
      <c r="AZ108" s="12">
        <f t="shared" si="31"/>
        <v>23.599999999999998</v>
      </c>
      <c r="BA108" s="12">
        <f t="shared" si="31"/>
        <v>14.499999999999998</v>
      </c>
      <c r="BB108" s="12">
        <f t="shared" si="31"/>
        <v>19.8</v>
      </c>
      <c r="BC108" s="12">
        <f t="shared" si="31"/>
        <v>21.3</v>
      </c>
      <c r="BD108" s="12">
        <f t="shared" si="32"/>
        <v>15.2</v>
      </c>
      <c r="BE108" s="12">
        <f t="shared" si="19"/>
        <v>19.8</v>
      </c>
      <c r="BF108" s="12">
        <f t="shared" si="19"/>
        <v>19</v>
      </c>
      <c r="BG108" s="12">
        <f t="shared" si="19"/>
        <v>15.2</v>
      </c>
      <c r="BH108" s="12">
        <f t="shared" si="19"/>
        <v>61</v>
      </c>
      <c r="BI108" s="12">
        <f t="shared" si="20"/>
        <v>41.9</v>
      </c>
    </row>
    <row r="109" spans="1:61" ht="15.75" customHeight="1" x14ac:dyDescent="0.25">
      <c r="A109" s="1" t="s">
        <v>210</v>
      </c>
      <c r="B109" s="3" t="s">
        <v>141</v>
      </c>
      <c r="C109" s="4" t="s">
        <v>115</v>
      </c>
      <c r="D109" s="4">
        <v>23</v>
      </c>
      <c r="E109" s="4">
        <v>276</v>
      </c>
      <c r="F109" s="4">
        <v>23</v>
      </c>
      <c r="G109" s="4">
        <v>276</v>
      </c>
      <c r="H109" s="4">
        <v>17.5</v>
      </c>
      <c r="I109" s="4">
        <v>0.47299999999999998</v>
      </c>
      <c r="J109" s="4">
        <v>0.46100000000000002</v>
      </c>
      <c r="K109" s="4">
        <v>1.0999999999999999E-2</v>
      </c>
      <c r="L109" s="4">
        <v>0.10100000000000001</v>
      </c>
      <c r="M109" s="4">
        <v>16.8</v>
      </c>
      <c r="N109" s="4">
        <v>20.5</v>
      </c>
      <c r="O109" s="4">
        <v>7.8</v>
      </c>
      <c r="P109" s="4">
        <v>1.3</v>
      </c>
      <c r="Q109" s="4">
        <v>4.5999999999999996</v>
      </c>
      <c r="R109" s="4">
        <v>11.4</v>
      </c>
      <c r="S109" s="4">
        <v>17.2</v>
      </c>
      <c r="T109" s="4">
        <v>104</v>
      </c>
      <c r="U109" s="4">
        <v>99</v>
      </c>
      <c r="V109" s="4"/>
      <c r="W109" s="4">
        <v>0.5</v>
      </c>
      <c r="X109" s="4">
        <v>0.3</v>
      </c>
      <c r="Y109" s="4">
        <v>0.9</v>
      </c>
      <c r="Z109" s="4">
        <v>0.125</v>
      </c>
      <c r="AA109" s="13">
        <f>(I109/TOTAL_BASIC!$D$301)*100</f>
        <v>93.299338335119671</v>
      </c>
      <c r="AB109" s="5">
        <f t="shared" si="21"/>
        <v>1.04</v>
      </c>
      <c r="AC109" s="3">
        <f t="shared" si="33"/>
        <v>5</v>
      </c>
      <c r="AD109" s="9">
        <f t="shared" si="22"/>
        <v>0.94599999999999995</v>
      </c>
      <c r="AE109" s="16">
        <f t="shared" si="23"/>
        <v>0.45348837209302328</v>
      </c>
      <c r="AF109" s="16">
        <f t="shared" si="24"/>
        <v>0.68421052631578949</v>
      </c>
      <c r="AG109" s="9"/>
      <c r="AH109" s="9"/>
      <c r="AI109" s="12">
        <f t="shared" si="25"/>
        <v>17.5</v>
      </c>
      <c r="AJ109" s="12">
        <f t="shared" si="26"/>
        <v>19</v>
      </c>
      <c r="AK109" s="12">
        <f t="shared" si="26"/>
        <v>74.8</v>
      </c>
      <c r="AL109" s="12">
        <f t="shared" si="26"/>
        <v>39.6</v>
      </c>
      <c r="AM109" s="12">
        <f t="shared" si="26"/>
        <v>58.699999999999996</v>
      </c>
      <c r="AN109" s="12">
        <f t="shared" si="18"/>
        <v>24.4</v>
      </c>
      <c r="AO109" s="12">
        <f t="shared" si="18"/>
        <v>3.8</v>
      </c>
      <c r="AP109" s="12">
        <f t="shared" si="18"/>
        <v>100</v>
      </c>
      <c r="AQ109" s="12">
        <f t="shared" si="18"/>
        <v>99.2</v>
      </c>
      <c r="AR109" s="12">
        <f t="shared" si="29"/>
        <v>21.3</v>
      </c>
      <c r="AS109" s="12">
        <f t="shared" si="29"/>
        <v>19</v>
      </c>
      <c r="AT109" s="12">
        <f t="shared" si="29"/>
        <v>95.399999999999991</v>
      </c>
      <c r="AU109" s="12">
        <f t="shared" si="27"/>
        <v>83.3</v>
      </c>
      <c r="AV109" s="12">
        <f t="shared" si="30"/>
        <v>38.9</v>
      </c>
      <c r="AW109" s="12">
        <f t="shared" si="30"/>
        <v>70.899999999999991</v>
      </c>
      <c r="AX109" s="12">
        <f t="shared" si="28"/>
        <v>63.4</v>
      </c>
      <c r="AY109" s="9"/>
      <c r="AZ109" s="12">
        <f t="shared" si="31"/>
        <v>52.6</v>
      </c>
      <c r="BA109" s="12">
        <f t="shared" si="31"/>
        <v>24.4</v>
      </c>
      <c r="BB109" s="12">
        <f t="shared" si="31"/>
        <v>43.5</v>
      </c>
      <c r="BC109" s="12">
        <f t="shared" si="31"/>
        <v>72.5</v>
      </c>
      <c r="BD109" s="12">
        <f t="shared" si="32"/>
        <v>39.6</v>
      </c>
      <c r="BE109" s="12">
        <f t="shared" si="19"/>
        <v>70.899999999999991</v>
      </c>
      <c r="BF109" s="12">
        <f t="shared" si="19"/>
        <v>70.199999999999989</v>
      </c>
      <c r="BG109" s="12">
        <f t="shared" si="19"/>
        <v>39.6</v>
      </c>
      <c r="BH109" s="12">
        <f t="shared" si="19"/>
        <v>28.999999999999996</v>
      </c>
      <c r="BI109" s="12">
        <f t="shared" si="20"/>
        <v>42.699999999999996</v>
      </c>
    </row>
    <row r="110" spans="1:61" ht="15.75" customHeight="1" x14ac:dyDescent="0.25">
      <c r="A110" s="1" t="s">
        <v>211</v>
      </c>
      <c r="B110" s="3" t="s">
        <v>122</v>
      </c>
      <c r="C110" s="4" t="s">
        <v>8</v>
      </c>
      <c r="D110" s="4">
        <v>9</v>
      </c>
      <c r="E110" s="4">
        <v>271</v>
      </c>
      <c r="F110" s="4">
        <v>9</v>
      </c>
      <c r="G110" s="4">
        <v>271</v>
      </c>
      <c r="H110" s="4">
        <v>18.5</v>
      </c>
      <c r="I110" s="4">
        <v>0.56799999999999995</v>
      </c>
      <c r="J110" s="4">
        <v>0.54400000000000004</v>
      </c>
      <c r="K110" s="4">
        <v>0.46600000000000003</v>
      </c>
      <c r="L110" s="4">
        <v>0.13600000000000001</v>
      </c>
      <c r="M110" s="4">
        <v>3.2</v>
      </c>
      <c r="N110" s="4">
        <v>6.8</v>
      </c>
      <c r="O110" s="4">
        <v>27</v>
      </c>
      <c r="P110" s="4">
        <v>1</v>
      </c>
      <c r="Q110" s="4">
        <v>0.3</v>
      </c>
      <c r="R110" s="4">
        <v>16.8</v>
      </c>
      <c r="S110" s="4">
        <v>21.6</v>
      </c>
      <c r="T110" s="4">
        <v>108</v>
      </c>
      <c r="U110" s="4">
        <v>104</v>
      </c>
      <c r="V110" s="4"/>
      <c r="W110" s="4">
        <v>0.8</v>
      </c>
      <c r="X110" s="4">
        <v>0.1</v>
      </c>
      <c r="Y110" s="4">
        <v>0.9</v>
      </c>
      <c r="Z110" s="4">
        <v>0.13300000000000001</v>
      </c>
      <c r="AA110" s="13">
        <f>(I110/TOTAL_BASIC!$D$301)*100</f>
        <v>112.03810607684561</v>
      </c>
      <c r="AB110" s="5">
        <f t="shared" si="21"/>
        <v>1.08</v>
      </c>
      <c r="AC110" s="3">
        <f t="shared" si="33"/>
        <v>4</v>
      </c>
      <c r="AD110" s="9">
        <f t="shared" si="22"/>
        <v>1.1359999999999999</v>
      </c>
      <c r="AE110" s="16">
        <f t="shared" si="23"/>
        <v>1.25</v>
      </c>
      <c r="AF110" s="16">
        <f t="shared" si="24"/>
        <v>1.607142857142857</v>
      </c>
      <c r="AG110" s="9"/>
      <c r="AH110" s="9"/>
      <c r="AI110" s="12">
        <f t="shared" si="25"/>
        <v>2.1999999999999997</v>
      </c>
      <c r="AJ110" s="12">
        <f t="shared" si="26"/>
        <v>18.3</v>
      </c>
      <c r="AK110" s="12">
        <f t="shared" si="26"/>
        <v>80.100000000000009</v>
      </c>
      <c r="AL110" s="12">
        <f t="shared" si="26"/>
        <v>86.2</v>
      </c>
      <c r="AM110" s="12">
        <f t="shared" si="26"/>
        <v>89.3</v>
      </c>
      <c r="AN110" s="12">
        <f t="shared" si="18"/>
        <v>87.7</v>
      </c>
      <c r="AO110" s="12">
        <f t="shared" si="18"/>
        <v>12.2</v>
      </c>
      <c r="AP110" s="12">
        <f t="shared" si="18"/>
        <v>26.700000000000003</v>
      </c>
      <c r="AQ110" s="12">
        <f t="shared" si="18"/>
        <v>32</v>
      </c>
      <c r="AR110" s="12">
        <f t="shared" si="29"/>
        <v>95.399999999999991</v>
      </c>
      <c r="AS110" s="12">
        <f t="shared" si="29"/>
        <v>9.1</v>
      </c>
      <c r="AT110" s="12">
        <f t="shared" si="29"/>
        <v>6.8000000000000007</v>
      </c>
      <c r="AU110" s="12">
        <f t="shared" si="27"/>
        <v>45.9</v>
      </c>
      <c r="AV110" s="12">
        <f t="shared" si="30"/>
        <v>74.8</v>
      </c>
      <c r="AW110" s="12">
        <f t="shared" si="30"/>
        <v>78.600000000000009</v>
      </c>
      <c r="AX110" s="12">
        <f t="shared" si="28"/>
        <v>15.299999999999997</v>
      </c>
      <c r="AY110" s="9"/>
      <c r="AZ110" s="12">
        <f t="shared" si="31"/>
        <v>61</v>
      </c>
      <c r="BA110" s="12">
        <f t="shared" si="31"/>
        <v>3</v>
      </c>
      <c r="BB110" s="12">
        <f t="shared" si="31"/>
        <v>43.5</v>
      </c>
      <c r="BC110" s="12">
        <f t="shared" si="31"/>
        <v>76.3</v>
      </c>
      <c r="BD110" s="12">
        <f t="shared" si="32"/>
        <v>86.2</v>
      </c>
      <c r="BE110" s="12">
        <f t="shared" si="19"/>
        <v>78.600000000000009</v>
      </c>
      <c r="BF110" s="12">
        <f t="shared" si="19"/>
        <v>67.100000000000009</v>
      </c>
      <c r="BG110" s="12">
        <f t="shared" si="19"/>
        <v>86.2</v>
      </c>
      <c r="BH110" s="12">
        <f t="shared" si="19"/>
        <v>90.8</v>
      </c>
      <c r="BI110" s="12">
        <f t="shared" si="20"/>
        <v>90.8</v>
      </c>
    </row>
    <row r="111" spans="1:61" ht="15.75" customHeight="1" x14ac:dyDescent="0.25">
      <c r="A111" s="1" t="s">
        <v>212</v>
      </c>
      <c r="B111" s="3" t="s">
        <v>86</v>
      </c>
      <c r="C111" s="4" t="s">
        <v>92</v>
      </c>
      <c r="D111" s="4">
        <v>27</v>
      </c>
      <c r="E111" s="4">
        <v>266</v>
      </c>
      <c r="F111" s="4">
        <v>27</v>
      </c>
      <c r="G111" s="4">
        <v>266</v>
      </c>
      <c r="H111" s="4">
        <v>7</v>
      </c>
      <c r="I111" s="4">
        <v>0.47199999999999998</v>
      </c>
      <c r="J111" s="4">
        <v>0.44900000000000001</v>
      </c>
      <c r="K111" s="4">
        <v>1.4E-2</v>
      </c>
      <c r="L111" s="4">
        <v>0.20300000000000001</v>
      </c>
      <c r="M111" s="4">
        <v>10</v>
      </c>
      <c r="N111" s="4">
        <v>12.4</v>
      </c>
      <c r="O111" s="4">
        <v>3.7</v>
      </c>
      <c r="P111" s="4">
        <v>2.1</v>
      </c>
      <c r="Q111" s="4">
        <v>1.4</v>
      </c>
      <c r="R111" s="4">
        <v>21.8</v>
      </c>
      <c r="S111" s="4">
        <v>16.399999999999999</v>
      </c>
      <c r="T111" s="4">
        <v>86</v>
      </c>
      <c r="U111" s="4">
        <v>101</v>
      </c>
      <c r="V111" s="4"/>
      <c r="W111" s="4">
        <v>-0.2</v>
      </c>
      <c r="X111" s="4">
        <v>0.2</v>
      </c>
      <c r="Y111" s="4">
        <v>0</v>
      </c>
      <c r="Z111" s="4">
        <v>7.0000000000000001E-3</v>
      </c>
      <c r="AA111" s="13">
        <f>(I111/TOTAL_BASIC!$D$301)*100</f>
        <v>93.102088148364672</v>
      </c>
      <c r="AB111" s="5">
        <f t="shared" si="21"/>
        <v>0.86</v>
      </c>
      <c r="AC111" s="3">
        <f t="shared" si="33"/>
        <v>-15</v>
      </c>
      <c r="AD111" s="9">
        <f t="shared" si="22"/>
        <v>0.94399999999999995</v>
      </c>
      <c r="AE111" s="16">
        <f t="shared" si="23"/>
        <v>0.22560975609756101</v>
      </c>
      <c r="AF111" s="16">
        <f t="shared" si="24"/>
        <v>0.16972477064220184</v>
      </c>
      <c r="AG111" s="9"/>
      <c r="AH111" s="9"/>
      <c r="AI111" s="12">
        <f t="shared" si="25"/>
        <v>24.4</v>
      </c>
      <c r="AJ111" s="12">
        <f t="shared" si="26"/>
        <v>17.5</v>
      </c>
      <c r="AK111" s="12">
        <f t="shared" si="26"/>
        <v>12.9</v>
      </c>
      <c r="AL111" s="12">
        <f t="shared" si="26"/>
        <v>38.1</v>
      </c>
      <c r="AM111" s="12">
        <f t="shared" si="26"/>
        <v>51.9</v>
      </c>
      <c r="AN111" s="12">
        <f t="shared" si="18"/>
        <v>25.1</v>
      </c>
      <c r="AO111" s="12">
        <f t="shared" si="18"/>
        <v>33.5</v>
      </c>
      <c r="AP111" s="12">
        <f t="shared" si="18"/>
        <v>82.399999999999991</v>
      </c>
      <c r="AQ111" s="12">
        <f t="shared" si="18"/>
        <v>74</v>
      </c>
      <c r="AR111" s="12">
        <f t="shared" si="29"/>
        <v>3.8</v>
      </c>
      <c r="AS111" s="12">
        <f t="shared" si="29"/>
        <v>63.3</v>
      </c>
      <c r="AT111" s="12">
        <f t="shared" si="29"/>
        <v>60.3</v>
      </c>
      <c r="AU111" s="12">
        <f t="shared" si="27"/>
        <v>16.799999999999997</v>
      </c>
      <c r="AV111" s="12">
        <f t="shared" si="30"/>
        <v>32.800000000000004</v>
      </c>
      <c r="AW111" s="12">
        <f t="shared" si="30"/>
        <v>16.7</v>
      </c>
      <c r="AX111" s="12">
        <f t="shared" si="28"/>
        <v>42.800000000000004</v>
      </c>
      <c r="AY111" s="9"/>
      <c r="AZ111" s="12">
        <f t="shared" si="31"/>
        <v>17.5</v>
      </c>
      <c r="BA111" s="12">
        <f t="shared" si="31"/>
        <v>14.499999999999998</v>
      </c>
      <c r="BB111" s="12">
        <f t="shared" si="31"/>
        <v>16.7</v>
      </c>
      <c r="BC111" s="12">
        <f t="shared" si="31"/>
        <v>19</v>
      </c>
      <c r="BD111" s="12">
        <f t="shared" si="32"/>
        <v>38.1</v>
      </c>
      <c r="BE111" s="12">
        <f t="shared" si="19"/>
        <v>16.7</v>
      </c>
      <c r="BF111" s="12">
        <f t="shared" si="19"/>
        <v>17.5</v>
      </c>
      <c r="BG111" s="12">
        <f t="shared" si="19"/>
        <v>38.1</v>
      </c>
      <c r="BH111" s="12">
        <f t="shared" si="19"/>
        <v>3.8</v>
      </c>
      <c r="BI111" s="12">
        <f t="shared" si="20"/>
        <v>3.8</v>
      </c>
    </row>
    <row r="112" spans="1:61" ht="15.75" customHeight="1" x14ac:dyDescent="0.25">
      <c r="A112" s="1" t="s">
        <v>213</v>
      </c>
      <c r="B112" s="3" t="s">
        <v>91</v>
      </c>
      <c r="C112" s="4" t="s">
        <v>92</v>
      </c>
      <c r="D112" s="4">
        <v>30</v>
      </c>
      <c r="E112" s="4">
        <v>263</v>
      </c>
      <c r="F112" s="4">
        <v>30</v>
      </c>
      <c r="G112" s="4">
        <v>263</v>
      </c>
      <c r="H112" s="4">
        <v>8.9</v>
      </c>
      <c r="I112" s="4">
        <v>0.437</v>
      </c>
      <c r="J112" s="4">
        <v>0.38900000000000001</v>
      </c>
      <c r="K112" s="4">
        <v>0.19400000000000001</v>
      </c>
      <c r="L112" s="4">
        <v>0.29199999999999998</v>
      </c>
      <c r="M112" s="4">
        <v>5.0999999999999996</v>
      </c>
      <c r="N112" s="4">
        <v>9.6999999999999993</v>
      </c>
      <c r="O112" s="4">
        <v>10.7</v>
      </c>
      <c r="P112" s="4">
        <v>0.8</v>
      </c>
      <c r="Q112" s="4">
        <v>1.8</v>
      </c>
      <c r="R112" s="4">
        <v>15.6</v>
      </c>
      <c r="S112" s="4">
        <v>16.600000000000001</v>
      </c>
      <c r="T112" s="4">
        <v>91</v>
      </c>
      <c r="U112" s="4">
        <v>99</v>
      </c>
      <c r="V112" s="4"/>
      <c r="W112" s="4">
        <v>0</v>
      </c>
      <c r="X112" s="4">
        <v>0.3</v>
      </c>
      <c r="Y112" s="4">
        <v>0.3</v>
      </c>
      <c r="Z112" s="4">
        <v>5.1999999999999998E-2</v>
      </c>
      <c r="AA112" s="13">
        <f>(I112/TOTAL_BASIC!$D$301)*100</f>
        <v>86.198331611939324</v>
      </c>
      <c r="AB112" s="5">
        <f t="shared" si="21"/>
        <v>0.91</v>
      </c>
      <c r="AC112" s="3">
        <f t="shared" si="33"/>
        <v>-8</v>
      </c>
      <c r="AD112" s="9">
        <f t="shared" si="22"/>
        <v>0.874</v>
      </c>
      <c r="AE112" s="16">
        <f t="shared" si="23"/>
        <v>0.64457831325301196</v>
      </c>
      <c r="AF112" s="16">
        <f t="shared" si="24"/>
        <v>0.6858974358974359</v>
      </c>
      <c r="AG112" s="9"/>
      <c r="AH112" s="9"/>
      <c r="AI112" s="12">
        <f t="shared" si="25"/>
        <v>34.300000000000004</v>
      </c>
      <c r="AJ112" s="12">
        <f t="shared" si="26"/>
        <v>16.7</v>
      </c>
      <c r="AK112" s="12">
        <f t="shared" si="26"/>
        <v>24.4</v>
      </c>
      <c r="AL112" s="12">
        <f t="shared" si="26"/>
        <v>19.8</v>
      </c>
      <c r="AM112" s="12">
        <f t="shared" si="26"/>
        <v>19</v>
      </c>
      <c r="AN112" s="12">
        <f t="shared" si="18"/>
        <v>47.3</v>
      </c>
      <c r="AO112" s="12">
        <f t="shared" si="18"/>
        <v>57.199999999999996</v>
      </c>
      <c r="AP112" s="12">
        <f t="shared" si="18"/>
        <v>53.400000000000006</v>
      </c>
      <c r="AQ112" s="12">
        <f t="shared" si="18"/>
        <v>54.900000000000006</v>
      </c>
      <c r="AR112" s="12">
        <f t="shared" si="29"/>
        <v>44.2</v>
      </c>
      <c r="AS112" s="12">
        <f t="shared" si="29"/>
        <v>3</v>
      </c>
      <c r="AT112" s="12">
        <f t="shared" si="29"/>
        <v>67.900000000000006</v>
      </c>
      <c r="AU112" s="12">
        <f t="shared" si="27"/>
        <v>60.4</v>
      </c>
      <c r="AV112" s="12">
        <f t="shared" si="30"/>
        <v>34.300000000000004</v>
      </c>
      <c r="AW112" s="12">
        <f t="shared" si="30"/>
        <v>30.5</v>
      </c>
      <c r="AX112" s="12">
        <f t="shared" si="28"/>
        <v>63.4</v>
      </c>
      <c r="AY112" s="9"/>
      <c r="AZ112" s="12">
        <f t="shared" si="31"/>
        <v>29.7</v>
      </c>
      <c r="BA112" s="12">
        <f t="shared" si="31"/>
        <v>24.4</v>
      </c>
      <c r="BB112" s="12">
        <f t="shared" si="31"/>
        <v>25.1</v>
      </c>
      <c r="BC112" s="12">
        <f t="shared" si="31"/>
        <v>36.6</v>
      </c>
      <c r="BD112" s="12">
        <f t="shared" si="32"/>
        <v>19.8</v>
      </c>
      <c r="BE112" s="12">
        <f t="shared" si="19"/>
        <v>30.5</v>
      </c>
      <c r="BF112" s="12">
        <f t="shared" si="19"/>
        <v>32.800000000000004</v>
      </c>
      <c r="BG112" s="12">
        <f t="shared" si="19"/>
        <v>19.8</v>
      </c>
      <c r="BH112" s="12">
        <f t="shared" si="19"/>
        <v>52.6</v>
      </c>
      <c r="BI112" s="12">
        <f t="shared" si="20"/>
        <v>43.5</v>
      </c>
    </row>
    <row r="113" spans="1:61" ht="15.75" customHeight="1" x14ac:dyDescent="0.25">
      <c r="A113" s="1" t="s">
        <v>214</v>
      </c>
      <c r="B113" s="3" t="s">
        <v>122</v>
      </c>
      <c r="C113" s="4" t="s">
        <v>8</v>
      </c>
      <c r="D113" s="4">
        <v>15</v>
      </c>
      <c r="E113" s="4">
        <v>259</v>
      </c>
      <c r="F113" s="4">
        <v>15</v>
      </c>
      <c r="G113" s="4">
        <v>259</v>
      </c>
      <c r="H113" s="4">
        <v>7.1</v>
      </c>
      <c r="I113" s="4">
        <v>0.45100000000000001</v>
      </c>
      <c r="J113" s="4">
        <v>0.38300000000000001</v>
      </c>
      <c r="K113" s="4">
        <v>0.317</v>
      </c>
      <c r="L113" s="4">
        <v>0.33300000000000002</v>
      </c>
      <c r="M113" s="4">
        <v>2.1</v>
      </c>
      <c r="N113" s="4">
        <v>4.8</v>
      </c>
      <c r="O113" s="4">
        <v>17.2</v>
      </c>
      <c r="P113" s="4">
        <v>1.4</v>
      </c>
      <c r="Q113" s="4">
        <v>1.1000000000000001</v>
      </c>
      <c r="R113" s="4">
        <v>26.7</v>
      </c>
      <c r="S113" s="4">
        <v>16.100000000000001</v>
      </c>
      <c r="T113" s="4">
        <v>81</v>
      </c>
      <c r="U113" s="4">
        <v>104</v>
      </c>
      <c r="V113" s="4"/>
      <c r="W113" s="4">
        <v>-0.3</v>
      </c>
      <c r="X113" s="4">
        <v>0.1</v>
      </c>
      <c r="Y113" s="4">
        <v>-0.2</v>
      </c>
      <c r="Z113" s="4">
        <v>-3.5999999999999997E-2</v>
      </c>
      <c r="AA113" s="13">
        <f>(I113/TOTAL_BASIC!$D$301)*100</f>
        <v>88.959834226509457</v>
      </c>
      <c r="AB113" s="5">
        <f t="shared" si="21"/>
        <v>0.81</v>
      </c>
      <c r="AC113" s="3">
        <f t="shared" si="33"/>
        <v>-23</v>
      </c>
      <c r="AD113" s="9">
        <f t="shared" si="22"/>
        <v>0.90200000000000002</v>
      </c>
      <c r="AE113" s="16">
        <f t="shared" si="23"/>
        <v>1.0683229813664594</v>
      </c>
      <c r="AF113" s="16">
        <f t="shared" si="24"/>
        <v>0.64419475655430714</v>
      </c>
      <c r="AG113" s="9"/>
      <c r="AH113" s="9"/>
      <c r="AI113" s="12">
        <f t="shared" si="25"/>
        <v>5.3</v>
      </c>
      <c r="AJ113" s="12">
        <f t="shared" si="26"/>
        <v>16</v>
      </c>
      <c r="AK113" s="12">
        <f t="shared" si="26"/>
        <v>14.499999999999998</v>
      </c>
      <c r="AL113" s="12">
        <f t="shared" si="26"/>
        <v>27.400000000000002</v>
      </c>
      <c r="AM113" s="12">
        <f t="shared" si="26"/>
        <v>14.499999999999998</v>
      </c>
      <c r="AN113" s="12">
        <f t="shared" si="18"/>
        <v>69.399999999999991</v>
      </c>
      <c r="AO113" s="12">
        <f t="shared" si="18"/>
        <v>68.7</v>
      </c>
      <c r="AP113" s="12">
        <f t="shared" si="18"/>
        <v>13.700000000000001</v>
      </c>
      <c r="AQ113" s="12">
        <f t="shared" si="18"/>
        <v>9.9</v>
      </c>
      <c r="AR113" s="12">
        <f t="shared" si="29"/>
        <v>74</v>
      </c>
      <c r="AS113" s="12">
        <f t="shared" si="29"/>
        <v>21.3</v>
      </c>
      <c r="AT113" s="12">
        <f t="shared" si="29"/>
        <v>48</v>
      </c>
      <c r="AU113" s="12">
        <f t="shared" si="27"/>
        <v>4.6000000000000085</v>
      </c>
      <c r="AV113" s="12">
        <f t="shared" si="30"/>
        <v>30.5</v>
      </c>
      <c r="AW113" s="12">
        <f t="shared" si="30"/>
        <v>9.9</v>
      </c>
      <c r="AX113" s="12">
        <f t="shared" si="28"/>
        <v>15.299999999999997</v>
      </c>
      <c r="AY113" s="9"/>
      <c r="AZ113" s="12">
        <f t="shared" si="31"/>
        <v>10.6</v>
      </c>
      <c r="BA113" s="12">
        <f t="shared" si="31"/>
        <v>3</v>
      </c>
      <c r="BB113" s="12">
        <f t="shared" si="31"/>
        <v>9.1</v>
      </c>
      <c r="BC113" s="12">
        <f t="shared" si="31"/>
        <v>7.6</v>
      </c>
      <c r="BD113" s="12">
        <f t="shared" si="32"/>
        <v>27.400000000000002</v>
      </c>
      <c r="BE113" s="12">
        <f t="shared" si="19"/>
        <v>9.9</v>
      </c>
      <c r="BF113" s="12">
        <f t="shared" si="19"/>
        <v>8.3000000000000007</v>
      </c>
      <c r="BG113" s="12">
        <f t="shared" si="19"/>
        <v>27.400000000000002</v>
      </c>
      <c r="BH113" s="12">
        <f t="shared" si="19"/>
        <v>83.2</v>
      </c>
      <c r="BI113" s="12">
        <f t="shared" si="20"/>
        <v>39.6</v>
      </c>
    </row>
    <row r="114" spans="1:61" ht="15.75" customHeight="1" x14ac:dyDescent="0.25">
      <c r="A114" s="1" t="s">
        <v>215</v>
      </c>
      <c r="B114" s="3" t="s">
        <v>99</v>
      </c>
      <c r="C114" s="4" t="s">
        <v>8</v>
      </c>
      <c r="D114" s="4">
        <v>26</v>
      </c>
      <c r="E114" s="4">
        <v>244</v>
      </c>
      <c r="F114" s="4">
        <v>26</v>
      </c>
      <c r="G114" s="4">
        <v>244</v>
      </c>
      <c r="H114" s="4">
        <v>0.2</v>
      </c>
      <c r="I114" s="4">
        <v>0.27800000000000002</v>
      </c>
      <c r="J114" s="4">
        <v>0.247</v>
      </c>
      <c r="K114" s="4">
        <v>0.39400000000000002</v>
      </c>
      <c r="L114" s="4">
        <v>0.121</v>
      </c>
      <c r="M114" s="4">
        <v>5</v>
      </c>
      <c r="N114" s="4">
        <v>5.6</v>
      </c>
      <c r="O114" s="4">
        <v>5.0999999999999996</v>
      </c>
      <c r="P114" s="4">
        <v>0.8</v>
      </c>
      <c r="Q114" s="4">
        <v>0.6</v>
      </c>
      <c r="R114" s="4">
        <v>6.3</v>
      </c>
      <c r="S114" s="4">
        <v>19.7</v>
      </c>
      <c r="T114" s="4">
        <v>69</v>
      </c>
      <c r="U114" s="4">
        <v>102</v>
      </c>
      <c r="V114" s="4"/>
      <c r="W114" s="4">
        <v>-0.8</v>
      </c>
      <c r="X114" s="4">
        <v>0.2</v>
      </c>
      <c r="Y114" s="4">
        <v>-0.6</v>
      </c>
      <c r="Z114" s="4">
        <v>-9.8000000000000004E-2</v>
      </c>
      <c r="AA114" s="13">
        <f>(I114/TOTAL_BASIC!$D$301)*100</f>
        <v>54.835551917892758</v>
      </c>
      <c r="AB114" s="5">
        <f t="shared" si="21"/>
        <v>0.69</v>
      </c>
      <c r="AC114" s="3">
        <f t="shared" si="33"/>
        <v>-33</v>
      </c>
      <c r="AD114" s="9">
        <f t="shared" si="22"/>
        <v>0.55600000000000005</v>
      </c>
      <c r="AE114" s="16">
        <f t="shared" si="23"/>
        <v>0.25888324873096447</v>
      </c>
      <c r="AF114" s="16">
        <f t="shared" si="24"/>
        <v>0.80952380952380953</v>
      </c>
      <c r="AG114" s="9"/>
      <c r="AH114" s="9"/>
      <c r="AI114" s="12">
        <f t="shared" si="25"/>
        <v>22.900000000000002</v>
      </c>
      <c r="AJ114" s="12">
        <f t="shared" si="26"/>
        <v>15.2</v>
      </c>
      <c r="AK114" s="12">
        <f t="shared" si="26"/>
        <v>0</v>
      </c>
      <c r="AL114" s="12">
        <f t="shared" si="26"/>
        <v>0.70000000000000007</v>
      </c>
      <c r="AM114" s="12">
        <f t="shared" si="26"/>
        <v>0.70000000000000007</v>
      </c>
      <c r="AN114" s="12">
        <f t="shared" si="18"/>
        <v>81.599999999999994</v>
      </c>
      <c r="AO114" s="12">
        <f t="shared" si="18"/>
        <v>7.6</v>
      </c>
      <c r="AP114" s="12">
        <f t="shared" si="18"/>
        <v>52.6</v>
      </c>
      <c r="AQ114" s="12">
        <f t="shared" si="18"/>
        <v>16</v>
      </c>
      <c r="AR114" s="12">
        <f t="shared" si="29"/>
        <v>9.1</v>
      </c>
      <c r="AS114" s="12">
        <f t="shared" si="29"/>
        <v>3</v>
      </c>
      <c r="AT114" s="12">
        <f t="shared" si="29"/>
        <v>22.900000000000002</v>
      </c>
      <c r="AU114" s="12">
        <f t="shared" si="27"/>
        <v>100</v>
      </c>
      <c r="AV114" s="12">
        <f t="shared" si="30"/>
        <v>55.7</v>
      </c>
      <c r="AW114" s="12">
        <f t="shared" si="30"/>
        <v>2.1999999999999997</v>
      </c>
      <c r="AX114" s="12">
        <f t="shared" si="28"/>
        <v>35.200000000000003</v>
      </c>
      <c r="AY114" s="9"/>
      <c r="AZ114" s="12">
        <f t="shared" si="31"/>
        <v>3</v>
      </c>
      <c r="BA114" s="12">
        <f t="shared" si="31"/>
        <v>14.499999999999998</v>
      </c>
      <c r="BB114" s="12">
        <f t="shared" si="31"/>
        <v>1.5</v>
      </c>
      <c r="BC114" s="12">
        <f t="shared" si="31"/>
        <v>0.70000000000000007</v>
      </c>
      <c r="BD114" s="12">
        <f t="shared" si="32"/>
        <v>0.70000000000000007</v>
      </c>
      <c r="BE114" s="12">
        <f t="shared" si="19"/>
        <v>2.1999999999999997</v>
      </c>
      <c r="BF114" s="12">
        <f t="shared" si="19"/>
        <v>2.1999999999999997</v>
      </c>
      <c r="BG114" s="12">
        <f t="shared" si="19"/>
        <v>0.70000000000000007</v>
      </c>
      <c r="BH114" s="12">
        <f t="shared" si="19"/>
        <v>6.8000000000000007</v>
      </c>
      <c r="BI114" s="12">
        <f t="shared" si="20"/>
        <v>57.199999999999996</v>
      </c>
    </row>
    <row r="115" spans="1:61" ht="15.75" customHeight="1" x14ac:dyDescent="0.25">
      <c r="A115" s="1" t="s">
        <v>216</v>
      </c>
      <c r="B115" s="3" t="s">
        <v>114</v>
      </c>
      <c r="C115" s="4" t="s">
        <v>92</v>
      </c>
      <c r="D115" s="4">
        <v>31</v>
      </c>
      <c r="E115" s="4">
        <v>238</v>
      </c>
      <c r="F115" s="4">
        <v>31</v>
      </c>
      <c r="G115" s="4">
        <v>238</v>
      </c>
      <c r="H115" s="4">
        <v>5.6</v>
      </c>
      <c r="I115" s="4">
        <v>0.42099999999999999</v>
      </c>
      <c r="J115" s="4">
        <v>0.314</v>
      </c>
      <c r="K115" s="4">
        <v>0</v>
      </c>
      <c r="L115" s="4">
        <v>0.58799999999999997</v>
      </c>
      <c r="M115" s="4">
        <v>10.199999999999999</v>
      </c>
      <c r="N115" s="4">
        <v>11.5</v>
      </c>
      <c r="O115" s="4">
        <v>3.3</v>
      </c>
      <c r="P115" s="4">
        <v>1.1000000000000001</v>
      </c>
      <c r="Q115" s="4">
        <v>1.8</v>
      </c>
      <c r="R115" s="4">
        <v>20</v>
      </c>
      <c r="S115" s="4">
        <v>15</v>
      </c>
      <c r="T115" s="4">
        <v>87</v>
      </c>
      <c r="U115" s="4">
        <v>99</v>
      </c>
      <c r="V115" s="4"/>
      <c r="W115" s="4">
        <v>-0.1</v>
      </c>
      <c r="X115" s="4">
        <v>0.3</v>
      </c>
      <c r="Y115" s="4">
        <v>0.2</v>
      </c>
      <c r="Z115" s="4">
        <v>3.1E-2</v>
      </c>
      <c r="AA115" s="13">
        <f>(I115/TOTAL_BASIC!$D$301)*100</f>
        <v>83.042328623859163</v>
      </c>
      <c r="AB115" s="5">
        <f t="shared" si="21"/>
        <v>0.87</v>
      </c>
      <c r="AC115" s="3">
        <f t="shared" si="33"/>
        <v>-12</v>
      </c>
      <c r="AD115" s="9">
        <f t="shared" si="22"/>
        <v>0.84199999999999997</v>
      </c>
      <c r="AE115" s="16">
        <f t="shared" si="23"/>
        <v>0.22</v>
      </c>
      <c r="AF115" s="16">
        <f t="shared" si="24"/>
        <v>0.16499999999999998</v>
      </c>
      <c r="AG115" s="9"/>
      <c r="AH115" s="9"/>
      <c r="AI115" s="12">
        <f t="shared" si="25"/>
        <v>40.400000000000006</v>
      </c>
      <c r="AJ115" s="12">
        <f t="shared" si="26"/>
        <v>14.499999999999998</v>
      </c>
      <c r="AK115" s="12">
        <f t="shared" si="26"/>
        <v>8.3000000000000007</v>
      </c>
      <c r="AL115" s="12">
        <f t="shared" si="26"/>
        <v>12.9</v>
      </c>
      <c r="AM115" s="12">
        <f t="shared" si="26"/>
        <v>3.8</v>
      </c>
      <c r="AN115" s="12">
        <f t="shared" si="18"/>
        <v>0</v>
      </c>
      <c r="AO115" s="12">
        <f t="shared" si="18"/>
        <v>98.4</v>
      </c>
      <c r="AP115" s="12">
        <f t="shared" si="18"/>
        <v>83.899999999999991</v>
      </c>
      <c r="AQ115" s="12">
        <f t="shared" si="18"/>
        <v>70.199999999999989</v>
      </c>
      <c r="AR115" s="12">
        <f t="shared" si="29"/>
        <v>2.1999999999999997</v>
      </c>
      <c r="AS115" s="12">
        <f t="shared" si="29"/>
        <v>13.700000000000001</v>
      </c>
      <c r="AT115" s="12">
        <f t="shared" si="29"/>
        <v>67.900000000000006</v>
      </c>
      <c r="AU115" s="12">
        <f t="shared" si="27"/>
        <v>21.399999999999991</v>
      </c>
      <c r="AV115" s="12">
        <f t="shared" si="30"/>
        <v>24.4</v>
      </c>
      <c r="AW115" s="12">
        <f t="shared" si="30"/>
        <v>19.8</v>
      </c>
      <c r="AX115" s="12">
        <f t="shared" si="28"/>
        <v>63.4</v>
      </c>
      <c r="AY115" s="9"/>
      <c r="AZ115" s="12">
        <f t="shared" si="31"/>
        <v>23.599999999999998</v>
      </c>
      <c r="BA115" s="12">
        <f t="shared" si="31"/>
        <v>24.4</v>
      </c>
      <c r="BB115" s="12">
        <f t="shared" si="31"/>
        <v>20.599999999999998</v>
      </c>
      <c r="BC115" s="12">
        <f t="shared" si="31"/>
        <v>27.400000000000002</v>
      </c>
      <c r="BD115" s="12">
        <f t="shared" si="32"/>
        <v>12.9</v>
      </c>
      <c r="BE115" s="12">
        <f t="shared" si="19"/>
        <v>19.8</v>
      </c>
      <c r="BF115" s="12">
        <f t="shared" si="19"/>
        <v>24.4</v>
      </c>
      <c r="BG115" s="12">
        <f t="shared" si="19"/>
        <v>12.9</v>
      </c>
      <c r="BH115" s="12">
        <f t="shared" si="19"/>
        <v>2.1999999999999997</v>
      </c>
      <c r="BI115" s="12">
        <f t="shared" si="20"/>
        <v>3</v>
      </c>
    </row>
    <row r="116" spans="1:61" ht="15.75" customHeight="1" x14ac:dyDescent="0.25">
      <c r="A116" s="1" t="s">
        <v>217</v>
      </c>
      <c r="B116" s="3" t="s">
        <v>171</v>
      </c>
      <c r="C116" s="4" t="s">
        <v>115</v>
      </c>
      <c r="D116" s="4">
        <v>22</v>
      </c>
      <c r="E116" s="4">
        <v>215</v>
      </c>
      <c r="F116" s="4">
        <v>22</v>
      </c>
      <c r="G116" s="4">
        <v>215</v>
      </c>
      <c r="H116" s="4">
        <v>10.3</v>
      </c>
      <c r="I116" s="4">
        <v>0.46300000000000002</v>
      </c>
      <c r="J116" s="4">
        <v>0.41499999999999998</v>
      </c>
      <c r="K116" s="4">
        <v>0</v>
      </c>
      <c r="L116" s="4">
        <v>0.24399999999999999</v>
      </c>
      <c r="M116" s="4">
        <v>13.3</v>
      </c>
      <c r="N116" s="4">
        <v>18.100000000000001</v>
      </c>
      <c r="O116" s="4">
        <v>1.5</v>
      </c>
      <c r="P116" s="4">
        <v>2</v>
      </c>
      <c r="Q116" s="4">
        <v>2.4</v>
      </c>
      <c r="R116" s="4">
        <v>19.5</v>
      </c>
      <c r="S116" s="4">
        <v>11.7</v>
      </c>
      <c r="T116" s="4">
        <v>95</v>
      </c>
      <c r="U116" s="4">
        <v>94</v>
      </c>
      <c r="V116" s="4"/>
      <c r="W116" s="4">
        <v>0.1</v>
      </c>
      <c r="X116" s="4">
        <v>0.4</v>
      </c>
      <c r="Y116" s="4">
        <v>0.5</v>
      </c>
      <c r="Z116" s="4">
        <v>9.5000000000000001E-2</v>
      </c>
      <c r="AA116" s="13">
        <f>(I116/TOTAL_BASIC!$D$301)*100</f>
        <v>91.326836467569578</v>
      </c>
      <c r="AB116" s="5">
        <f t="shared" si="21"/>
        <v>0.95</v>
      </c>
      <c r="AC116" s="3">
        <f t="shared" si="33"/>
        <v>1</v>
      </c>
      <c r="AD116" s="9">
        <f t="shared" si="22"/>
        <v>0.92600000000000005</v>
      </c>
      <c r="AE116" s="16">
        <f t="shared" si="23"/>
        <v>0.12820512820512822</v>
      </c>
      <c r="AF116" s="16">
        <f t="shared" si="24"/>
        <v>7.6923076923076927E-2</v>
      </c>
      <c r="AG116" s="9"/>
      <c r="AH116" s="9"/>
      <c r="AI116" s="12">
        <f t="shared" si="25"/>
        <v>14.499999999999998</v>
      </c>
      <c r="AJ116" s="12">
        <f t="shared" si="26"/>
        <v>13.700000000000001</v>
      </c>
      <c r="AK116" s="12">
        <f t="shared" si="26"/>
        <v>34.300000000000004</v>
      </c>
      <c r="AL116" s="12">
        <f t="shared" si="26"/>
        <v>33.5</v>
      </c>
      <c r="AM116" s="12">
        <f t="shared" si="26"/>
        <v>30.5</v>
      </c>
      <c r="AN116" s="12">
        <f t="shared" si="18"/>
        <v>0</v>
      </c>
      <c r="AO116" s="12">
        <f t="shared" si="18"/>
        <v>45.800000000000004</v>
      </c>
      <c r="AP116" s="12">
        <f t="shared" si="18"/>
        <v>97.7</v>
      </c>
      <c r="AQ116" s="12">
        <f t="shared" si="18"/>
        <v>96.1</v>
      </c>
      <c r="AR116" s="12">
        <f t="shared" si="29"/>
        <v>0</v>
      </c>
      <c r="AS116" s="12">
        <f t="shared" si="29"/>
        <v>57.199999999999996</v>
      </c>
      <c r="AT116" s="12">
        <f t="shared" si="29"/>
        <v>77.8</v>
      </c>
      <c r="AU116" s="12">
        <f t="shared" si="27"/>
        <v>25.200000000000003</v>
      </c>
      <c r="AV116" s="12">
        <f t="shared" si="30"/>
        <v>7.6</v>
      </c>
      <c r="AW116" s="12">
        <f t="shared" si="30"/>
        <v>44.2</v>
      </c>
      <c r="AX116" s="12">
        <f t="shared" si="28"/>
        <v>90.1</v>
      </c>
      <c r="AY116" s="9"/>
      <c r="AZ116" s="12">
        <f t="shared" si="31"/>
        <v>34.300000000000004</v>
      </c>
      <c r="BA116" s="12">
        <f t="shared" si="31"/>
        <v>35.799999999999997</v>
      </c>
      <c r="BB116" s="12">
        <f t="shared" si="31"/>
        <v>33.5</v>
      </c>
      <c r="BC116" s="12">
        <f t="shared" si="31"/>
        <v>58.699999999999996</v>
      </c>
      <c r="BD116" s="12">
        <f t="shared" si="32"/>
        <v>33.5</v>
      </c>
      <c r="BE116" s="12">
        <f t="shared" si="19"/>
        <v>44.2</v>
      </c>
      <c r="BF116" s="12">
        <f t="shared" si="19"/>
        <v>59.5</v>
      </c>
      <c r="BG116" s="12">
        <f t="shared" si="19"/>
        <v>33.5</v>
      </c>
      <c r="BH116" s="12">
        <f t="shared" si="19"/>
        <v>0.70000000000000007</v>
      </c>
      <c r="BI116" s="12">
        <f t="shared" si="20"/>
        <v>0.70000000000000007</v>
      </c>
    </row>
    <row r="117" spans="1:61" ht="15.75" customHeight="1" x14ac:dyDescent="0.25">
      <c r="A117" s="1" t="s">
        <v>218</v>
      </c>
      <c r="B117" s="3" t="s">
        <v>91</v>
      </c>
      <c r="C117" s="4" t="s">
        <v>8</v>
      </c>
      <c r="D117" s="4">
        <v>28</v>
      </c>
      <c r="E117" s="4">
        <v>212</v>
      </c>
      <c r="F117" s="4">
        <v>28</v>
      </c>
      <c r="G117" s="4">
        <v>212</v>
      </c>
      <c r="H117" s="4">
        <v>10.199999999999999</v>
      </c>
      <c r="I117" s="4">
        <v>0.41199999999999998</v>
      </c>
      <c r="J117" s="4">
        <v>0.4</v>
      </c>
      <c r="K117" s="4">
        <v>0.53300000000000003</v>
      </c>
      <c r="L117" s="4">
        <v>0.11700000000000001</v>
      </c>
      <c r="M117" s="4">
        <v>6.4</v>
      </c>
      <c r="N117" s="4">
        <v>11</v>
      </c>
      <c r="O117" s="4">
        <v>9.1</v>
      </c>
      <c r="P117" s="4">
        <v>3.7</v>
      </c>
      <c r="Q117" s="4">
        <v>3.4</v>
      </c>
      <c r="R117" s="4">
        <v>16</v>
      </c>
      <c r="S117" s="4">
        <v>16</v>
      </c>
      <c r="T117" s="4">
        <v>87</v>
      </c>
      <c r="U117" s="4">
        <v>91</v>
      </c>
      <c r="V117" s="4"/>
      <c r="W117" s="4">
        <v>-0.1</v>
      </c>
      <c r="X117" s="4">
        <v>0.5</v>
      </c>
      <c r="Y117" s="4">
        <v>0.4</v>
      </c>
      <c r="Z117" s="4">
        <v>8.2000000000000003E-2</v>
      </c>
      <c r="AA117" s="13">
        <f>(I117/TOTAL_BASIC!$D$301)*100</f>
        <v>81.267076943064069</v>
      </c>
      <c r="AB117" s="5">
        <f t="shared" si="21"/>
        <v>0.87</v>
      </c>
      <c r="AC117" s="3">
        <f t="shared" si="33"/>
        <v>-4</v>
      </c>
      <c r="AD117" s="9">
        <f t="shared" si="22"/>
        <v>0.82399999999999995</v>
      </c>
      <c r="AE117" s="16">
        <f t="shared" si="23"/>
        <v>0.56874999999999998</v>
      </c>
      <c r="AF117" s="16">
        <f t="shared" si="24"/>
        <v>0.56874999999999998</v>
      </c>
      <c r="AG117" s="9"/>
      <c r="AH117" s="9"/>
      <c r="AI117" s="12">
        <f t="shared" si="25"/>
        <v>27.400000000000002</v>
      </c>
      <c r="AJ117" s="12">
        <f t="shared" si="26"/>
        <v>12.9</v>
      </c>
      <c r="AK117" s="12">
        <f t="shared" si="26"/>
        <v>33.5</v>
      </c>
      <c r="AL117" s="12">
        <f t="shared" si="26"/>
        <v>11.4</v>
      </c>
      <c r="AM117" s="12">
        <f t="shared" si="26"/>
        <v>23.599999999999998</v>
      </c>
      <c r="AN117" s="12">
        <f t="shared" si="18"/>
        <v>93.100000000000009</v>
      </c>
      <c r="AO117" s="12">
        <f t="shared" si="18"/>
        <v>6.1</v>
      </c>
      <c r="AP117" s="12">
        <f t="shared" si="18"/>
        <v>61</v>
      </c>
      <c r="AQ117" s="12">
        <f t="shared" si="18"/>
        <v>64.8</v>
      </c>
      <c r="AR117" s="12">
        <f t="shared" si="29"/>
        <v>33.5</v>
      </c>
      <c r="AS117" s="12">
        <f t="shared" si="29"/>
        <v>94.6</v>
      </c>
      <c r="AT117" s="12">
        <f t="shared" si="29"/>
        <v>88.5</v>
      </c>
      <c r="AU117" s="12">
        <f t="shared" si="27"/>
        <v>55.8</v>
      </c>
      <c r="AV117" s="12">
        <f t="shared" si="30"/>
        <v>28.999999999999996</v>
      </c>
      <c r="AW117" s="12">
        <f t="shared" si="30"/>
        <v>19.8</v>
      </c>
      <c r="AX117" s="12">
        <f t="shared" si="28"/>
        <v>96.2</v>
      </c>
      <c r="AY117" s="9"/>
      <c r="AZ117" s="12">
        <f t="shared" si="31"/>
        <v>23.599999999999998</v>
      </c>
      <c r="BA117" s="12">
        <f t="shared" si="31"/>
        <v>42.699999999999996</v>
      </c>
      <c r="BB117" s="12">
        <f t="shared" si="31"/>
        <v>29.7</v>
      </c>
      <c r="BC117" s="12">
        <f t="shared" si="31"/>
        <v>50.3</v>
      </c>
      <c r="BD117" s="12">
        <f t="shared" si="32"/>
        <v>11.4</v>
      </c>
      <c r="BE117" s="12">
        <f t="shared" si="19"/>
        <v>19.8</v>
      </c>
      <c r="BF117" s="12">
        <f t="shared" si="19"/>
        <v>45</v>
      </c>
      <c r="BG117" s="12">
        <f t="shared" si="19"/>
        <v>11.4</v>
      </c>
      <c r="BH117" s="12">
        <f t="shared" si="19"/>
        <v>41.199999999999996</v>
      </c>
      <c r="BI117" s="12">
        <f t="shared" si="20"/>
        <v>29.7</v>
      </c>
    </row>
    <row r="118" spans="1:61" ht="15.75" customHeight="1" x14ac:dyDescent="0.25">
      <c r="A118" s="1" t="s">
        <v>219</v>
      </c>
      <c r="B118" s="3" t="s">
        <v>95</v>
      </c>
      <c r="C118" s="4" t="s">
        <v>115</v>
      </c>
      <c r="D118" s="4">
        <v>21</v>
      </c>
      <c r="E118" s="4">
        <v>200</v>
      </c>
      <c r="F118" s="4">
        <v>21</v>
      </c>
      <c r="G118" s="4">
        <v>200</v>
      </c>
      <c r="H118" s="4">
        <v>1.3</v>
      </c>
      <c r="I118" s="4">
        <v>0.47899999999999998</v>
      </c>
      <c r="J118" s="4">
        <v>0.44800000000000001</v>
      </c>
      <c r="K118" s="4">
        <v>0</v>
      </c>
      <c r="L118" s="4">
        <v>0.34499999999999997</v>
      </c>
      <c r="M118" s="4">
        <v>7.1</v>
      </c>
      <c r="N118" s="4">
        <v>9.4</v>
      </c>
      <c r="O118" s="4">
        <v>6.2</v>
      </c>
      <c r="P118" s="4">
        <v>0.3</v>
      </c>
      <c r="Q118" s="4">
        <v>3.3</v>
      </c>
      <c r="R118" s="4">
        <v>40.799999999999997</v>
      </c>
      <c r="S118" s="4">
        <v>13.5</v>
      </c>
      <c r="T118" s="4">
        <v>68</v>
      </c>
      <c r="U118" s="4">
        <v>104</v>
      </c>
      <c r="V118" s="4"/>
      <c r="W118" s="4">
        <v>-0.5</v>
      </c>
      <c r="X118" s="4">
        <v>0.1</v>
      </c>
      <c r="Y118" s="4">
        <v>-0.4</v>
      </c>
      <c r="Z118" s="4">
        <v>-8.4000000000000005E-2</v>
      </c>
      <c r="AA118" s="13">
        <f>(I118/TOTAL_BASIC!$D$301)*100</f>
        <v>94.482839455649739</v>
      </c>
      <c r="AB118" s="5">
        <f t="shared" si="21"/>
        <v>0.68</v>
      </c>
      <c r="AC118" s="3">
        <f t="shared" si="33"/>
        <v>-36</v>
      </c>
      <c r="AD118" s="9">
        <f t="shared" si="22"/>
        <v>0.95799999999999996</v>
      </c>
      <c r="AE118" s="16">
        <f t="shared" si="23"/>
        <v>0.45925925925925926</v>
      </c>
      <c r="AF118" s="16">
        <f t="shared" si="24"/>
        <v>0.15196078431372551</v>
      </c>
      <c r="AG118" s="9"/>
      <c r="AH118" s="9"/>
      <c r="AI118" s="12">
        <f t="shared" si="25"/>
        <v>12.9</v>
      </c>
      <c r="AJ118" s="12">
        <f t="shared" si="26"/>
        <v>12.2</v>
      </c>
      <c r="AK118" s="12">
        <f t="shared" si="26"/>
        <v>1.5</v>
      </c>
      <c r="AL118" s="12">
        <f t="shared" si="26"/>
        <v>42.699999999999996</v>
      </c>
      <c r="AM118" s="12">
        <f t="shared" si="26"/>
        <v>51.1</v>
      </c>
      <c r="AN118" s="12">
        <f t="shared" si="18"/>
        <v>0</v>
      </c>
      <c r="AO118" s="12">
        <f t="shared" si="18"/>
        <v>74</v>
      </c>
      <c r="AP118" s="12">
        <f t="shared" si="18"/>
        <v>67.900000000000006</v>
      </c>
      <c r="AQ118" s="12">
        <f t="shared" si="18"/>
        <v>50.3</v>
      </c>
      <c r="AR118" s="12">
        <f t="shared" si="29"/>
        <v>14.499999999999998</v>
      </c>
      <c r="AS118" s="12">
        <f t="shared" si="29"/>
        <v>0</v>
      </c>
      <c r="AT118" s="12">
        <f t="shared" si="29"/>
        <v>87</v>
      </c>
      <c r="AU118" s="12">
        <f t="shared" si="27"/>
        <v>0</v>
      </c>
      <c r="AV118" s="12">
        <f t="shared" si="30"/>
        <v>13.700000000000001</v>
      </c>
      <c r="AW118" s="12">
        <f t="shared" si="30"/>
        <v>1.5</v>
      </c>
      <c r="AX118" s="12">
        <f t="shared" si="28"/>
        <v>15.299999999999997</v>
      </c>
      <c r="AY118" s="9"/>
      <c r="AZ118" s="12">
        <f t="shared" si="31"/>
        <v>6.8000000000000007</v>
      </c>
      <c r="BA118" s="12">
        <f t="shared" si="31"/>
        <v>3</v>
      </c>
      <c r="BB118" s="12">
        <f t="shared" si="31"/>
        <v>3.8</v>
      </c>
      <c r="BC118" s="12">
        <f t="shared" si="31"/>
        <v>1.5</v>
      </c>
      <c r="BD118" s="12">
        <f t="shared" si="32"/>
        <v>42.699999999999996</v>
      </c>
      <c r="BE118" s="12">
        <f t="shared" si="19"/>
        <v>1.5</v>
      </c>
      <c r="BF118" s="12">
        <f t="shared" si="19"/>
        <v>0.70000000000000007</v>
      </c>
      <c r="BG118" s="12">
        <f t="shared" si="19"/>
        <v>42.699999999999996</v>
      </c>
      <c r="BH118" s="12">
        <f t="shared" si="19"/>
        <v>30.5</v>
      </c>
      <c r="BI118" s="12">
        <f t="shared" si="20"/>
        <v>2.1999999999999997</v>
      </c>
    </row>
    <row r="119" spans="1:61" ht="15.75" customHeight="1" x14ac:dyDescent="0.25">
      <c r="A119" s="1" t="s">
        <v>220</v>
      </c>
      <c r="B119" s="3" t="s">
        <v>106</v>
      </c>
      <c r="C119" s="4" t="s">
        <v>8</v>
      </c>
      <c r="D119" s="4">
        <v>13</v>
      </c>
      <c r="E119" s="4">
        <v>191</v>
      </c>
      <c r="F119" s="4">
        <v>13</v>
      </c>
      <c r="G119" s="4">
        <v>191</v>
      </c>
      <c r="H119" s="4">
        <v>7.7</v>
      </c>
      <c r="I119" s="4">
        <v>0.504</v>
      </c>
      <c r="J119" s="4">
        <v>0.46100000000000002</v>
      </c>
      <c r="K119" s="4">
        <v>0.63200000000000001</v>
      </c>
      <c r="L119" s="4">
        <v>0.158</v>
      </c>
      <c r="M119" s="4">
        <v>3.6</v>
      </c>
      <c r="N119" s="4">
        <v>8.1</v>
      </c>
      <c r="O119" s="4">
        <v>3.7</v>
      </c>
      <c r="P119" s="4">
        <v>1.7</v>
      </c>
      <c r="Q119" s="4">
        <v>0.4</v>
      </c>
      <c r="R119" s="4">
        <v>19.7</v>
      </c>
      <c r="S119" s="4">
        <v>12.4</v>
      </c>
      <c r="T119" s="4">
        <v>92</v>
      </c>
      <c r="U119" s="4">
        <v>100</v>
      </c>
      <c r="V119" s="4"/>
      <c r="W119" s="4">
        <v>0</v>
      </c>
      <c r="X119" s="4">
        <v>0.2</v>
      </c>
      <c r="Y119" s="4">
        <v>0.2</v>
      </c>
      <c r="Z119" s="4">
        <v>4.5999999999999999E-2</v>
      </c>
      <c r="AA119" s="13">
        <f>(I119/TOTAL_BASIC!$D$301)*100</f>
        <v>99.414094124524993</v>
      </c>
      <c r="AB119" s="5">
        <f t="shared" si="21"/>
        <v>0.92</v>
      </c>
      <c r="AC119" s="3">
        <f t="shared" si="33"/>
        <v>-8</v>
      </c>
      <c r="AD119" s="9">
        <f t="shared" si="22"/>
        <v>1.008</v>
      </c>
      <c r="AE119" s="16">
        <f t="shared" si="23"/>
        <v>0.29838709677419356</v>
      </c>
      <c r="AF119" s="16">
        <f t="shared" si="24"/>
        <v>0.18781725888324874</v>
      </c>
      <c r="AG119" s="9"/>
      <c r="AH119" s="9"/>
      <c r="AI119" s="12">
        <f t="shared" si="25"/>
        <v>4.5</v>
      </c>
      <c r="AJ119" s="12">
        <f t="shared" si="26"/>
        <v>11.4</v>
      </c>
      <c r="AK119" s="12">
        <f t="shared" si="26"/>
        <v>16.7</v>
      </c>
      <c r="AL119" s="12">
        <f t="shared" si="26"/>
        <v>55.7</v>
      </c>
      <c r="AM119" s="12">
        <f t="shared" si="26"/>
        <v>58.699999999999996</v>
      </c>
      <c r="AN119" s="12">
        <f t="shared" si="18"/>
        <v>97.7</v>
      </c>
      <c r="AO119" s="12">
        <f t="shared" si="18"/>
        <v>18.3</v>
      </c>
      <c r="AP119" s="12">
        <f t="shared" si="18"/>
        <v>35.799999999999997</v>
      </c>
      <c r="AQ119" s="12">
        <f t="shared" si="18"/>
        <v>44.2</v>
      </c>
      <c r="AR119" s="12">
        <f t="shared" si="29"/>
        <v>3.8</v>
      </c>
      <c r="AS119" s="12">
        <f t="shared" si="29"/>
        <v>41.199999999999996</v>
      </c>
      <c r="AT119" s="12">
        <f t="shared" si="29"/>
        <v>12.2</v>
      </c>
      <c r="AU119" s="12">
        <f t="shared" si="27"/>
        <v>22.200000000000003</v>
      </c>
      <c r="AV119" s="12">
        <f t="shared" si="30"/>
        <v>8.3000000000000007</v>
      </c>
      <c r="AW119" s="12">
        <f t="shared" si="30"/>
        <v>32.800000000000004</v>
      </c>
      <c r="AX119" s="12">
        <f t="shared" si="28"/>
        <v>54.199999999999996</v>
      </c>
      <c r="AY119" s="9"/>
      <c r="AZ119" s="12">
        <f t="shared" si="31"/>
        <v>29.7</v>
      </c>
      <c r="BA119" s="12">
        <f t="shared" si="31"/>
        <v>14.499999999999998</v>
      </c>
      <c r="BB119" s="12">
        <f t="shared" si="31"/>
        <v>20.599999999999998</v>
      </c>
      <c r="BC119" s="12">
        <f t="shared" si="31"/>
        <v>33.5</v>
      </c>
      <c r="BD119" s="12">
        <f t="shared" si="32"/>
        <v>55.7</v>
      </c>
      <c r="BE119" s="12">
        <f t="shared" si="19"/>
        <v>32.800000000000004</v>
      </c>
      <c r="BF119" s="12">
        <f t="shared" si="19"/>
        <v>32.800000000000004</v>
      </c>
      <c r="BG119" s="12">
        <f t="shared" si="19"/>
        <v>55.7</v>
      </c>
      <c r="BH119" s="12">
        <f t="shared" si="19"/>
        <v>8.3000000000000007</v>
      </c>
      <c r="BI119" s="12">
        <f t="shared" si="20"/>
        <v>6.1</v>
      </c>
    </row>
    <row r="120" spans="1:61" ht="15.75" customHeight="1" x14ac:dyDescent="0.25">
      <c r="A120" s="1" t="s">
        <v>221</v>
      </c>
      <c r="B120" s="3" t="s">
        <v>86</v>
      </c>
      <c r="C120" s="4" t="s">
        <v>8</v>
      </c>
      <c r="D120" s="4">
        <v>16</v>
      </c>
      <c r="E120" s="4">
        <v>190</v>
      </c>
      <c r="F120" s="4">
        <v>16</v>
      </c>
      <c r="G120" s="4">
        <v>190</v>
      </c>
      <c r="H120" s="4">
        <v>9.3000000000000007</v>
      </c>
      <c r="I120" s="4">
        <v>0.39600000000000002</v>
      </c>
      <c r="J120" s="4">
        <v>0.33300000000000002</v>
      </c>
      <c r="K120" s="4">
        <v>0.14799999999999999</v>
      </c>
      <c r="L120" s="4">
        <v>0.33300000000000002</v>
      </c>
      <c r="M120" s="4">
        <v>3.3</v>
      </c>
      <c r="N120" s="4">
        <v>7</v>
      </c>
      <c r="O120" s="4">
        <v>23.5</v>
      </c>
      <c r="P120" s="4">
        <v>3.8</v>
      </c>
      <c r="Q120" s="4">
        <v>0.4</v>
      </c>
      <c r="R120" s="4">
        <v>23.5</v>
      </c>
      <c r="S120" s="4">
        <v>19.3</v>
      </c>
      <c r="T120" s="4">
        <v>80</v>
      </c>
      <c r="U120" s="4">
        <v>100</v>
      </c>
      <c r="V120" s="4"/>
      <c r="W120" s="4">
        <v>-0.3</v>
      </c>
      <c r="X120" s="4">
        <v>0.2</v>
      </c>
      <c r="Y120" s="4">
        <v>-0.1</v>
      </c>
      <c r="Z120" s="4">
        <v>-0.03</v>
      </c>
      <c r="AA120" s="13">
        <f>(I120/TOTAL_BASIC!$D$301)*100</f>
        <v>78.111073954983922</v>
      </c>
      <c r="AB120" s="5">
        <f t="shared" si="21"/>
        <v>0.8</v>
      </c>
      <c r="AC120" s="3">
        <f t="shared" si="33"/>
        <v>-20</v>
      </c>
      <c r="AD120" s="9">
        <f t="shared" si="22"/>
        <v>0.79200000000000004</v>
      </c>
      <c r="AE120" s="16">
        <f t="shared" si="23"/>
        <v>1.2176165803108807</v>
      </c>
      <c r="AF120" s="16">
        <f t="shared" si="24"/>
        <v>1</v>
      </c>
      <c r="AG120" s="9"/>
      <c r="AH120" s="9"/>
      <c r="AI120" s="12">
        <f t="shared" si="25"/>
        <v>6.8000000000000007</v>
      </c>
      <c r="AJ120" s="12">
        <f t="shared" si="26"/>
        <v>10.6</v>
      </c>
      <c r="AK120" s="12">
        <f t="shared" si="26"/>
        <v>25.900000000000002</v>
      </c>
      <c r="AL120" s="12">
        <f t="shared" si="26"/>
        <v>8.3000000000000007</v>
      </c>
      <c r="AM120" s="12">
        <f t="shared" si="26"/>
        <v>6.1</v>
      </c>
      <c r="AN120" s="12">
        <f t="shared" si="18"/>
        <v>39.6</v>
      </c>
      <c r="AO120" s="12">
        <f t="shared" si="18"/>
        <v>68.7</v>
      </c>
      <c r="AP120" s="12">
        <f t="shared" si="18"/>
        <v>30.5</v>
      </c>
      <c r="AQ120" s="12">
        <f t="shared" si="18"/>
        <v>33.5</v>
      </c>
      <c r="AR120" s="12">
        <f t="shared" si="29"/>
        <v>87.7</v>
      </c>
      <c r="AS120" s="12">
        <f t="shared" si="29"/>
        <v>95.399999999999991</v>
      </c>
      <c r="AT120" s="12">
        <f t="shared" si="29"/>
        <v>12.2</v>
      </c>
      <c r="AU120" s="12">
        <f t="shared" si="27"/>
        <v>10</v>
      </c>
      <c r="AV120" s="12">
        <f t="shared" si="30"/>
        <v>51.1</v>
      </c>
      <c r="AW120" s="12">
        <f t="shared" si="30"/>
        <v>9.1</v>
      </c>
      <c r="AX120" s="12">
        <f t="shared" si="28"/>
        <v>54.199999999999996</v>
      </c>
      <c r="AY120" s="9"/>
      <c r="AZ120" s="12">
        <f t="shared" si="31"/>
        <v>10.6</v>
      </c>
      <c r="BA120" s="12">
        <f t="shared" si="31"/>
        <v>14.499999999999998</v>
      </c>
      <c r="BB120" s="12">
        <f t="shared" si="31"/>
        <v>12.2</v>
      </c>
      <c r="BC120" s="12">
        <f t="shared" si="31"/>
        <v>9.1</v>
      </c>
      <c r="BD120" s="12">
        <f t="shared" si="32"/>
        <v>8.3000000000000007</v>
      </c>
      <c r="BE120" s="12">
        <f t="shared" si="19"/>
        <v>9.1</v>
      </c>
      <c r="BF120" s="12">
        <f t="shared" si="19"/>
        <v>9.9</v>
      </c>
      <c r="BG120" s="12">
        <f t="shared" si="19"/>
        <v>8.3000000000000007</v>
      </c>
      <c r="BH120" s="12">
        <f t="shared" si="19"/>
        <v>87.7</v>
      </c>
      <c r="BI120" s="12">
        <f t="shared" si="20"/>
        <v>69.399999999999991</v>
      </c>
    </row>
    <row r="121" spans="1:61" ht="15.75" customHeight="1" x14ac:dyDescent="0.25">
      <c r="A121" s="1" t="s">
        <v>222</v>
      </c>
      <c r="B121" s="3" t="s">
        <v>106</v>
      </c>
      <c r="C121" s="4" t="s">
        <v>115</v>
      </c>
      <c r="D121" s="4">
        <v>25</v>
      </c>
      <c r="E121" s="4">
        <v>187</v>
      </c>
      <c r="F121" s="4">
        <v>25</v>
      </c>
      <c r="G121" s="4">
        <v>187</v>
      </c>
      <c r="H121" s="4">
        <v>7</v>
      </c>
      <c r="I121" s="4">
        <v>0.39200000000000002</v>
      </c>
      <c r="J121" s="4">
        <v>0.35799999999999998</v>
      </c>
      <c r="K121" s="4">
        <v>0</v>
      </c>
      <c r="L121" s="4">
        <v>0.13200000000000001</v>
      </c>
      <c r="M121" s="4">
        <v>9.8000000000000007</v>
      </c>
      <c r="N121" s="4">
        <v>13.2</v>
      </c>
      <c r="O121" s="4">
        <v>4</v>
      </c>
      <c r="P121" s="4">
        <v>0.6</v>
      </c>
      <c r="Q121" s="4">
        <v>0.9</v>
      </c>
      <c r="R121" s="4">
        <v>15.1</v>
      </c>
      <c r="S121" s="4">
        <v>16.600000000000001</v>
      </c>
      <c r="T121" s="4">
        <v>84</v>
      </c>
      <c r="U121" s="4">
        <v>101</v>
      </c>
      <c r="V121" s="4"/>
      <c r="W121" s="4">
        <v>-0.2</v>
      </c>
      <c r="X121" s="4">
        <v>0.2</v>
      </c>
      <c r="Y121" s="4">
        <v>0</v>
      </c>
      <c r="Z121" s="4">
        <v>-2E-3</v>
      </c>
      <c r="AA121" s="13">
        <f>(I121/TOTAL_BASIC!$D$301)*100</f>
        <v>77.322073207963882</v>
      </c>
      <c r="AB121" s="5">
        <f t="shared" si="21"/>
        <v>0.84</v>
      </c>
      <c r="AC121" s="3">
        <f t="shared" si="33"/>
        <v>-17</v>
      </c>
      <c r="AD121" s="9">
        <f t="shared" si="22"/>
        <v>0.78400000000000003</v>
      </c>
      <c r="AE121" s="16">
        <f t="shared" si="23"/>
        <v>0.24096385542168672</v>
      </c>
      <c r="AF121" s="16">
        <f t="shared" si="24"/>
        <v>0.26490066225165565</v>
      </c>
      <c r="AG121" s="9"/>
      <c r="AH121" s="9"/>
      <c r="AI121" s="12">
        <f t="shared" si="25"/>
        <v>21.3</v>
      </c>
      <c r="AJ121" s="12">
        <f t="shared" si="26"/>
        <v>9.9</v>
      </c>
      <c r="AK121" s="12">
        <f t="shared" si="26"/>
        <v>12.9</v>
      </c>
      <c r="AL121" s="12">
        <f t="shared" si="26"/>
        <v>7.6</v>
      </c>
      <c r="AM121" s="12">
        <f t="shared" si="26"/>
        <v>8.3000000000000007</v>
      </c>
      <c r="AN121" s="12">
        <f t="shared" si="18"/>
        <v>0</v>
      </c>
      <c r="AO121" s="12">
        <f t="shared" si="18"/>
        <v>9.9</v>
      </c>
      <c r="AP121" s="12">
        <f t="shared" si="18"/>
        <v>80.100000000000009</v>
      </c>
      <c r="AQ121" s="12">
        <f t="shared" si="18"/>
        <v>78.600000000000009</v>
      </c>
      <c r="AR121" s="12">
        <f t="shared" si="29"/>
        <v>6.1</v>
      </c>
      <c r="AS121" s="12">
        <f t="shared" si="29"/>
        <v>1.5</v>
      </c>
      <c r="AT121" s="12">
        <f t="shared" si="29"/>
        <v>41.199999999999996</v>
      </c>
      <c r="AU121" s="12">
        <f t="shared" si="27"/>
        <v>61.9</v>
      </c>
      <c r="AV121" s="12">
        <f t="shared" si="30"/>
        <v>34.300000000000004</v>
      </c>
      <c r="AW121" s="12">
        <f t="shared" si="30"/>
        <v>10.6</v>
      </c>
      <c r="AX121" s="12">
        <f t="shared" si="28"/>
        <v>42.800000000000004</v>
      </c>
      <c r="AY121" s="9"/>
      <c r="AZ121" s="12">
        <f t="shared" si="31"/>
        <v>17.5</v>
      </c>
      <c r="BA121" s="12">
        <f t="shared" si="31"/>
        <v>14.499999999999998</v>
      </c>
      <c r="BB121" s="12">
        <f t="shared" si="31"/>
        <v>16.7</v>
      </c>
      <c r="BC121" s="12">
        <f t="shared" si="31"/>
        <v>16.7</v>
      </c>
      <c r="BD121" s="12">
        <f t="shared" si="32"/>
        <v>7.6</v>
      </c>
      <c r="BE121" s="12">
        <f t="shared" si="19"/>
        <v>10.6</v>
      </c>
      <c r="BF121" s="12">
        <f t="shared" si="19"/>
        <v>16</v>
      </c>
      <c r="BG121" s="12">
        <f t="shared" si="19"/>
        <v>7.6</v>
      </c>
      <c r="BH121" s="12">
        <f t="shared" si="19"/>
        <v>4.5</v>
      </c>
      <c r="BI121" s="12">
        <f t="shared" si="20"/>
        <v>9.9</v>
      </c>
    </row>
    <row r="122" spans="1:61" ht="15.75" customHeight="1" x14ac:dyDescent="0.25">
      <c r="A122" s="1" t="s">
        <v>223</v>
      </c>
      <c r="B122" s="3" t="s">
        <v>91</v>
      </c>
      <c r="C122" s="4" t="s">
        <v>92</v>
      </c>
      <c r="D122" s="4">
        <v>27</v>
      </c>
      <c r="E122" s="4">
        <v>184</v>
      </c>
      <c r="F122" s="4">
        <v>27</v>
      </c>
      <c r="G122" s="4">
        <v>184</v>
      </c>
      <c r="H122" s="4">
        <v>7.6</v>
      </c>
      <c r="I122" s="4">
        <v>0.56299999999999994</v>
      </c>
      <c r="J122" s="4">
        <v>0.52800000000000002</v>
      </c>
      <c r="K122" s="4">
        <v>0.27800000000000002</v>
      </c>
      <c r="L122" s="4">
        <v>0.25</v>
      </c>
      <c r="M122" s="4">
        <v>4.7</v>
      </c>
      <c r="N122" s="4">
        <v>6</v>
      </c>
      <c r="O122" s="4">
        <v>8.1999999999999993</v>
      </c>
      <c r="P122" s="4">
        <v>1.4</v>
      </c>
      <c r="Q122" s="4">
        <v>1.8</v>
      </c>
      <c r="R122" s="4">
        <v>24.5</v>
      </c>
      <c r="S122" s="4">
        <v>13</v>
      </c>
      <c r="T122" s="4">
        <v>97</v>
      </c>
      <c r="U122" s="4">
        <v>100</v>
      </c>
      <c r="V122" s="4"/>
      <c r="W122" s="4">
        <v>0.1</v>
      </c>
      <c r="X122" s="4">
        <v>0.2</v>
      </c>
      <c r="Y122" s="4">
        <v>0.3</v>
      </c>
      <c r="Z122" s="4">
        <v>7.0000000000000007E-2</v>
      </c>
      <c r="AA122" s="13">
        <f>(I122/TOTAL_BASIC!$D$301)*100</f>
        <v>111.05185514307057</v>
      </c>
      <c r="AB122" s="5">
        <f t="shared" si="21"/>
        <v>0.97</v>
      </c>
      <c r="AC122" s="3">
        <f t="shared" si="33"/>
        <v>-3</v>
      </c>
      <c r="AD122" s="9">
        <f t="shared" si="22"/>
        <v>1.1259999999999999</v>
      </c>
      <c r="AE122" s="16">
        <f t="shared" si="23"/>
        <v>0.63076923076923075</v>
      </c>
      <c r="AF122" s="16">
        <f t="shared" si="24"/>
        <v>0.33469387755102037</v>
      </c>
      <c r="AG122" s="9"/>
      <c r="AH122" s="9"/>
      <c r="AI122" s="12">
        <f t="shared" si="25"/>
        <v>24.4</v>
      </c>
      <c r="AJ122" s="12">
        <f t="shared" si="26"/>
        <v>8.3000000000000007</v>
      </c>
      <c r="AK122" s="12">
        <f t="shared" si="26"/>
        <v>16</v>
      </c>
      <c r="AL122" s="12">
        <f t="shared" si="26"/>
        <v>85.399999999999991</v>
      </c>
      <c r="AM122" s="12">
        <f t="shared" si="26"/>
        <v>85.399999999999991</v>
      </c>
      <c r="AN122" s="12">
        <f t="shared" si="18"/>
        <v>62.5</v>
      </c>
      <c r="AO122" s="12">
        <f t="shared" si="18"/>
        <v>48</v>
      </c>
      <c r="AP122" s="12">
        <f t="shared" si="18"/>
        <v>48.8</v>
      </c>
      <c r="AQ122" s="12">
        <f t="shared" si="18"/>
        <v>22.1</v>
      </c>
      <c r="AR122" s="12">
        <f t="shared" si="29"/>
        <v>25.1</v>
      </c>
      <c r="AS122" s="12">
        <f t="shared" si="29"/>
        <v>21.3</v>
      </c>
      <c r="AT122" s="12">
        <f t="shared" si="29"/>
        <v>67.900000000000006</v>
      </c>
      <c r="AU122" s="12">
        <f t="shared" si="27"/>
        <v>8.3999999999999915</v>
      </c>
      <c r="AV122" s="12">
        <f t="shared" si="30"/>
        <v>12.2</v>
      </c>
      <c r="AW122" s="12">
        <f t="shared" si="30"/>
        <v>48</v>
      </c>
      <c r="AX122" s="12">
        <f t="shared" si="28"/>
        <v>54.199999999999996</v>
      </c>
      <c r="AY122" s="9"/>
      <c r="AZ122" s="12">
        <f t="shared" si="31"/>
        <v>34.300000000000004</v>
      </c>
      <c r="BA122" s="12">
        <f t="shared" si="31"/>
        <v>14.499999999999998</v>
      </c>
      <c r="BB122" s="12">
        <f t="shared" si="31"/>
        <v>25.1</v>
      </c>
      <c r="BC122" s="12">
        <f t="shared" si="31"/>
        <v>44.2</v>
      </c>
      <c r="BD122" s="12">
        <f t="shared" si="32"/>
        <v>85.399999999999991</v>
      </c>
      <c r="BE122" s="12">
        <f t="shared" si="19"/>
        <v>48</v>
      </c>
      <c r="BF122" s="12">
        <f t="shared" si="19"/>
        <v>47.3</v>
      </c>
      <c r="BG122" s="12">
        <f t="shared" si="19"/>
        <v>85.399999999999991</v>
      </c>
      <c r="BH122" s="12">
        <f t="shared" si="19"/>
        <v>50.3</v>
      </c>
      <c r="BI122" s="12">
        <f t="shared" si="20"/>
        <v>10.6</v>
      </c>
    </row>
    <row r="123" spans="1:61" ht="15.75" customHeight="1" x14ac:dyDescent="0.25">
      <c r="A123" s="1" t="s">
        <v>224</v>
      </c>
      <c r="B123" s="3" t="s">
        <v>114</v>
      </c>
      <c r="C123" s="4" t="s">
        <v>8</v>
      </c>
      <c r="D123" s="4">
        <v>19</v>
      </c>
      <c r="E123" s="4">
        <v>184</v>
      </c>
      <c r="F123" s="4">
        <v>19</v>
      </c>
      <c r="G123" s="4">
        <v>184</v>
      </c>
      <c r="H123" s="4">
        <v>2</v>
      </c>
      <c r="I123" s="4">
        <v>0.27</v>
      </c>
      <c r="J123" s="4">
        <v>0.214</v>
      </c>
      <c r="K123" s="4">
        <v>0.214</v>
      </c>
      <c r="L123" s="4">
        <v>0.28599999999999998</v>
      </c>
      <c r="M123" s="4">
        <v>0</v>
      </c>
      <c r="N123" s="4">
        <v>4.3</v>
      </c>
      <c r="O123" s="4">
        <v>26.6</v>
      </c>
      <c r="P123" s="4">
        <v>0.8</v>
      </c>
      <c r="Q123" s="4">
        <v>0</v>
      </c>
      <c r="R123" s="4">
        <v>33.700000000000003</v>
      </c>
      <c r="S123" s="4">
        <v>11.5</v>
      </c>
      <c r="T123" s="4">
        <v>66</v>
      </c>
      <c r="U123" s="4">
        <v>102</v>
      </c>
      <c r="V123" s="4"/>
      <c r="W123" s="4">
        <v>-0.5</v>
      </c>
      <c r="X123" s="4">
        <v>0.1</v>
      </c>
      <c r="Y123" s="4">
        <v>-0.3</v>
      </c>
      <c r="Z123" s="4">
        <v>-7.1999999999999995E-2</v>
      </c>
      <c r="AA123" s="13">
        <f>(I123/TOTAL_BASIC!$D$301)*100</f>
        <v>53.25755042385267</v>
      </c>
      <c r="AB123" s="5">
        <f t="shared" si="21"/>
        <v>0.66</v>
      </c>
      <c r="AC123" s="3">
        <f t="shared" si="33"/>
        <v>-36</v>
      </c>
      <c r="AD123" s="9">
        <f t="shared" si="22"/>
        <v>0.54</v>
      </c>
      <c r="AE123" s="16">
        <f t="shared" si="23"/>
        <v>2.3130434782608695</v>
      </c>
      <c r="AF123" s="16">
        <f t="shared" si="24"/>
        <v>0.78931750741839757</v>
      </c>
      <c r="AG123" s="9"/>
      <c r="AH123" s="9"/>
      <c r="AI123" s="12">
        <f t="shared" si="25"/>
        <v>10.6</v>
      </c>
      <c r="AJ123" s="12">
        <f t="shared" si="26"/>
        <v>8.3000000000000007</v>
      </c>
      <c r="AK123" s="12">
        <f t="shared" si="26"/>
        <v>3</v>
      </c>
      <c r="AL123" s="12">
        <f t="shared" si="26"/>
        <v>0</v>
      </c>
      <c r="AM123" s="12">
        <f t="shared" si="26"/>
        <v>0</v>
      </c>
      <c r="AN123" s="12">
        <f t="shared" si="18"/>
        <v>50.3</v>
      </c>
      <c r="AO123" s="12">
        <f t="shared" si="18"/>
        <v>56.399999999999991</v>
      </c>
      <c r="AP123" s="12">
        <f t="shared" si="18"/>
        <v>0</v>
      </c>
      <c r="AQ123" s="12">
        <f t="shared" si="18"/>
        <v>3.8</v>
      </c>
      <c r="AR123" s="12">
        <f t="shared" si="29"/>
        <v>93.8</v>
      </c>
      <c r="AS123" s="12">
        <f t="shared" si="29"/>
        <v>3</v>
      </c>
      <c r="AT123" s="12">
        <f t="shared" si="29"/>
        <v>0</v>
      </c>
      <c r="AU123" s="12">
        <f t="shared" si="27"/>
        <v>0.79999999999999716</v>
      </c>
      <c r="AV123" s="12">
        <f t="shared" si="30"/>
        <v>6.8000000000000007</v>
      </c>
      <c r="AW123" s="12">
        <f t="shared" si="30"/>
        <v>0</v>
      </c>
      <c r="AX123" s="12">
        <f t="shared" si="28"/>
        <v>35.200000000000003</v>
      </c>
      <c r="AY123" s="9"/>
      <c r="AZ123" s="12">
        <f t="shared" si="31"/>
        <v>6.8000000000000007</v>
      </c>
      <c r="BA123" s="12">
        <f t="shared" si="31"/>
        <v>3</v>
      </c>
      <c r="BB123" s="12">
        <f t="shared" si="31"/>
        <v>5.3</v>
      </c>
      <c r="BC123" s="12">
        <f t="shared" si="31"/>
        <v>3</v>
      </c>
      <c r="BD123" s="12">
        <f t="shared" si="32"/>
        <v>0</v>
      </c>
      <c r="BE123" s="12">
        <f t="shared" si="19"/>
        <v>0</v>
      </c>
      <c r="BF123" s="12">
        <f t="shared" si="19"/>
        <v>0.70000000000000007</v>
      </c>
      <c r="BG123" s="12">
        <f t="shared" si="19"/>
        <v>0</v>
      </c>
      <c r="BH123" s="12">
        <f t="shared" si="19"/>
        <v>100</v>
      </c>
      <c r="BI123" s="12">
        <f t="shared" si="20"/>
        <v>55.7</v>
      </c>
    </row>
    <row r="124" spans="1:61" ht="15.75" customHeight="1" x14ac:dyDescent="0.25">
      <c r="A124" s="1" t="s">
        <v>225</v>
      </c>
      <c r="B124" s="3" t="s">
        <v>114</v>
      </c>
      <c r="C124" s="4" t="s">
        <v>115</v>
      </c>
      <c r="D124" s="4">
        <v>16</v>
      </c>
      <c r="E124" s="4">
        <v>181</v>
      </c>
      <c r="F124" s="4">
        <v>16</v>
      </c>
      <c r="G124" s="4">
        <v>181</v>
      </c>
      <c r="H124" s="4">
        <v>16.8</v>
      </c>
      <c r="I124" s="4">
        <v>0.64200000000000002</v>
      </c>
      <c r="J124" s="4">
        <v>0.61899999999999999</v>
      </c>
      <c r="K124" s="4">
        <v>0</v>
      </c>
      <c r="L124" s="4">
        <v>0.214</v>
      </c>
      <c r="M124" s="4">
        <v>10.199999999999999</v>
      </c>
      <c r="N124" s="4">
        <v>12.9</v>
      </c>
      <c r="O124" s="4">
        <v>9.8000000000000007</v>
      </c>
      <c r="P124" s="4">
        <v>2.2999999999999998</v>
      </c>
      <c r="Q124" s="4">
        <v>4.8</v>
      </c>
      <c r="R124" s="4">
        <v>23.3</v>
      </c>
      <c r="S124" s="4">
        <v>14.8</v>
      </c>
      <c r="T124" s="4">
        <v>110</v>
      </c>
      <c r="U124" s="4">
        <v>93</v>
      </c>
      <c r="V124" s="4"/>
      <c r="W124" s="4">
        <v>0.4</v>
      </c>
      <c r="X124" s="4">
        <v>0.4</v>
      </c>
      <c r="Y124" s="4">
        <v>0.8</v>
      </c>
      <c r="Z124" s="4">
        <v>0.18</v>
      </c>
      <c r="AA124" s="13">
        <f>(I124/TOTAL_BASIC!$D$301)*100</f>
        <v>126.63461989671636</v>
      </c>
      <c r="AB124" s="5">
        <f t="shared" si="21"/>
        <v>1.1000000000000001</v>
      </c>
      <c r="AC124" s="3">
        <f t="shared" si="33"/>
        <v>17</v>
      </c>
      <c r="AD124" s="9">
        <f t="shared" si="22"/>
        <v>1.284</v>
      </c>
      <c r="AE124" s="16">
        <f t="shared" si="23"/>
        <v>0.66216216216216217</v>
      </c>
      <c r="AF124" s="16">
        <f t="shared" si="24"/>
        <v>0.42060085836909872</v>
      </c>
      <c r="AG124" s="9"/>
      <c r="AH124" s="9"/>
      <c r="AI124" s="12">
        <f t="shared" si="25"/>
        <v>6.8000000000000007</v>
      </c>
      <c r="AJ124" s="12">
        <f t="shared" si="26"/>
        <v>7.6</v>
      </c>
      <c r="AK124" s="12">
        <f t="shared" si="26"/>
        <v>72.5</v>
      </c>
      <c r="AL124" s="12">
        <f t="shared" si="26"/>
        <v>98.4</v>
      </c>
      <c r="AM124" s="12">
        <f t="shared" si="26"/>
        <v>100</v>
      </c>
      <c r="AN124" s="12">
        <f t="shared" si="18"/>
        <v>0</v>
      </c>
      <c r="AO124" s="12">
        <f t="shared" si="18"/>
        <v>37.4</v>
      </c>
      <c r="AP124" s="12">
        <f t="shared" si="18"/>
        <v>83.899999999999991</v>
      </c>
      <c r="AQ124" s="12">
        <f t="shared" si="18"/>
        <v>76.3</v>
      </c>
      <c r="AR124" s="12">
        <f t="shared" si="29"/>
        <v>39.6</v>
      </c>
      <c r="AS124" s="12">
        <f t="shared" si="29"/>
        <v>71.7</v>
      </c>
      <c r="AT124" s="12">
        <f t="shared" si="29"/>
        <v>96.1</v>
      </c>
      <c r="AU124" s="12">
        <f t="shared" si="27"/>
        <v>10.700000000000003</v>
      </c>
      <c r="AV124" s="12">
        <f t="shared" si="30"/>
        <v>22.900000000000002</v>
      </c>
      <c r="AW124" s="12">
        <f t="shared" si="30"/>
        <v>85.399999999999991</v>
      </c>
      <c r="AX124" s="12">
        <f t="shared" si="28"/>
        <v>93.2</v>
      </c>
      <c r="AY124" s="9"/>
      <c r="AZ124" s="12">
        <f t="shared" si="31"/>
        <v>47.3</v>
      </c>
      <c r="BA124" s="12">
        <f t="shared" si="31"/>
        <v>35.799999999999997</v>
      </c>
      <c r="BB124" s="12">
        <f t="shared" si="31"/>
        <v>41.9</v>
      </c>
      <c r="BC124" s="12">
        <f t="shared" si="31"/>
        <v>86.2</v>
      </c>
      <c r="BD124" s="12">
        <f t="shared" si="32"/>
        <v>98.4</v>
      </c>
      <c r="BE124" s="12">
        <f t="shared" si="19"/>
        <v>85.399999999999991</v>
      </c>
      <c r="BF124" s="12">
        <f t="shared" si="19"/>
        <v>90.8</v>
      </c>
      <c r="BG124" s="12">
        <f t="shared" si="19"/>
        <v>98.4</v>
      </c>
      <c r="BH124" s="12">
        <f t="shared" si="19"/>
        <v>53.400000000000006</v>
      </c>
      <c r="BI124" s="12">
        <f t="shared" si="20"/>
        <v>16.7</v>
      </c>
    </row>
    <row r="125" spans="1:61" ht="15.75" customHeight="1" x14ac:dyDescent="0.25">
      <c r="A125" s="1" t="s">
        <v>226</v>
      </c>
      <c r="B125" s="3" t="s">
        <v>99</v>
      </c>
      <c r="C125" s="4" t="s">
        <v>92</v>
      </c>
      <c r="D125" s="4">
        <v>6</v>
      </c>
      <c r="E125" s="4">
        <v>180</v>
      </c>
      <c r="F125" s="4">
        <v>6</v>
      </c>
      <c r="G125" s="4">
        <v>180</v>
      </c>
      <c r="H125" s="4">
        <v>24.4</v>
      </c>
      <c r="I125" s="4">
        <v>0.56100000000000005</v>
      </c>
      <c r="J125" s="4">
        <v>0.54300000000000004</v>
      </c>
      <c r="K125" s="4">
        <v>7.0999999999999994E-2</v>
      </c>
      <c r="L125" s="4">
        <v>0.214</v>
      </c>
      <c r="M125" s="4">
        <v>8.6</v>
      </c>
      <c r="N125" s="4">
        <v>16</v>
      </c>
      <c r="O125" s="4">
        <v>15.9</v>
      </c>
      <c r="P125" s="4">
        <v>3.9</v>
      </c>
      <c r="Q125" s="4">
        <v>3.3</v>
      </c>
      <c r="R125" s="4">
        <v>14.5</v>
      </c>
      <c r="S125" s="4">
        <v>21.5</v>
      </c>
      <c r="T125" s="4">
        <v>107</v>
      </c>
      <c r="U125" s="4">
        <v>88</v>
      </c>
      <c r="V125" s="4"/>
      <c r="W125" s="4">
        <v>0.5</v>
      </c>
      <c r="X125" s="4">
        <v>0.5</v>
      </c>
      <c r="Y125" s="4">
        <v>1</v>
      </c>
      <c r="Z125" s="4">
        <v>0.22700000000000001</v>
      </c>
      <c r="AA125" s="13">
        <f>(I125/TOTAL_BASIC!$D$301)*100</f>
        <v>110.65735476956056</v>
      </c>
      <c r="AB125" s="5">
        <f t="shared" si="21"/>
        <v>1.07</v>
      </c>
      <c r="AC125" s="3">
        <f t="shared" si="33"/>
        <v>19</v>
      </c>
      <c r="AD125" s="9">
        <f t="shared" si="22"/>
        <v>1.1220000000000001</v>
      </c>
      <c r="AE125" s="16">
        <f t="shared" si="23"/>
        <v>0.73953488372093024</v>
      </c>
      <c r="AF125" s="16">
        <f t="shared" si="24"/>
        <v>1.096551724137931</v>
      </c>
      <c r="AG125" s="9"/>
      <c r="AH125" s="9"/>
      <c r="AI125" s="12">
        <f t="shared" si="25"/>
        <v>1.5</v>
      </c>
      <c r="AJ125" s="12">
        <f t="shared" si="26"/>
        <v>6.8000000000000007</v>
      </c>
      <c r="AK125" s="12">
        <f t="shared" si="26"/>
        <v>92.300000000000011</v>
      </c>
      <c r="AL125" s="12">
        <f t="shared" si="26"/>
        <v>84.7</v>
      </c>
      <c r="AM125" s="12">
        <f t="shared" si="26"/>
        <v>88.5</v>
      </c>
      <c r="AN125" s="12">
        <f t="shared" si="18"/>
        <v>33.5</v>
      </c>
      <c r="AO125" s="12">
        <f t="shared" si="18"/>
        <v>37.4</v>
      </c>
      <c r="AP125" s="12">
        <f t="shared" si="18"/>
        <v>76.3</v>
      </c>
      <c r="AQ125" s="12">
        <f t="shared" si="18"/>
        <v>86.2</v>
      </c>
      <c r="AR125" s="12">
        <f t="shared" si="29"/>
        <v>70.199999999999989</v>
      </c>
      <c r="AS125" s="12">
        <f t="shared" si="29"/>
        <v>96.899999999999991</v>
      </c>
      <c r="AT125" s="12">
        <f t="shared" si="29"/>
        <v>87</v>
      </c>
      <c r="AU125" s="12">
        <f t="shared" si="27"/>
        <v>64.900000000000006</v>
      </c>
      <c r="AV125" s="12">
        <f t="shared" si="30"/>
        <v>71.7</v>
      </c>
      <c r="AW125" s="12">
        <f t="shared" si="30"/>
        <v>75.5</v>
      </c>
      <c r="AX125" s="12">
        <f t="shared" si="28"/>
        <v>100</v>
      </c>
      <c r="AY125" s="9"/>
      <c r="AZ125" s="12">
        <f t="shared" si="31"/>
        <v>52.6</v>
      </c>
      <c r="BA125" s="12">
        <f t="shared" si="31"/>
        <v>42.699999999999996</v>
      </c>
      <c r="BB125" s="12">
        <f t="shared" si="31"/>
        <v>46.5</v>
      </c>
      <c r="BC125" s="12">
        <f t="shared" si="31"/>
        <v>93.100000000000009</v>
      </c>
      <c r="BD125" s="12">
        <f t="shared" si="32"/>
        <v>84.7</v>
      </c>
      <c r="BE125" s="12">
        <f t="shared" si="19"/>
        <v>75.5</v>
      </c>
      <c r="BF125" s="12">
        <f t="shared" si="19"/>
        <v>92.300000000000011</v>
      </c>
      <c r="BG125" s="12">
        <f t="shared" si="19"/>
        <v>84.7</v>
      </c>
      <c r="BH125" s="12">
        <f t="shared" si="19"/>
        <v>57.999999999999993</v>
      </c>
      <c r="BI125" s="12">
        <f t="shared" si="20"/>
        <v>74.8</v>
      </c>
    </row>
    <row r="126" spans="1:61" ht="15.75" customHeight="1" x14ac:dyDescent="0.25">
      <c r="A126" s="1" t="s">
        <v>227</v>
      </c>
      <c r="B126" s="3" t="s">
        <v>171</v>
      </c>
      <c r="C126" s="4" t="s">
        <v>92</v>
      </c>
      <c r="D126" s="4">
        <v>22</v>
      </c>
      <c r="E126" s="4">
        <v>162</v>
      </c>
      <c r="F126" s="4">
        <v>22</v>
      </c>
      <c r="G126" s="4">
        <v>162</v>
      </c>
      <c r="H126" s="4">
        <v>2.6</v>
      </c>
      <c r="I126" s="4">
        <v>0.312</v>
      </c>
      <c r="J126" s="4">
        <v>0.27700000000000002</v>
      </c>
      <c r="K126" s="4">
        <v>2.1000000000000001E-2</v>
      </c>
      <c r="L126" s="4">
        <v>0.36199999999999999</v>
      </c>
      <c r="M126" s="4">
        <v>7.1</v>
      </c>
      <c r="N126" s="4">
        <v>7.2</v>
      </c>
      <c r="O126" s="4">
        <v>9</v>
      </c>
      <c r="P126" s="4">
        <v>1.4</v>
      </c>
      <c r="Q126" s="4">
        <v>0.5</v>
      </c>
      <c r="R126" s="4">
        <v>11.4</v>
      </c>
      <c r="S126" s="4">
        <v>17.8</v>
      </c>
      <c r="T126" s="4">
        <v>74</v>
      </c>
      <c r="U126" s="4">
        <v>103</v>
      </c>
      <c r="V126" s="4"/>
      <c r="W126" s="4">
        <v>-0.4</v>
      </c>
      <c r="X126" s="4">
        <v>0.1</v>
      </c>
      <c r="Y126" s="4">
        <v>-0.3</v>
      </c>
      <c r="Z126" s="4">
        <v>-6.7000000000000004E-2</v>
      </c>
      <c r="AA126" s="13">
        <f>(I126/TOTAL_BASIC!$D$301)*100</f>
        <v>61.542058267563085</v>
      </c>
      <c r="AB126" s="5">
        <f t="shared" si="21"/>
        <v>0.74</v>
      </c>
      <c r="AC126" s="3">
        <f t="shared" si="33"/>
        <v>-29</v>
      </c>
      <c r="AD126" s="9">
        <f t="shared" si="22"/>
        <v>0.624</v>
      </c>
      <c r="AE126" s="16">
        <f t="shared" si="23"/>
        <v>0.5056179775280899</v>
      </c>
      <c r="AF126" s="16">
        <f t="shared" si="24"/>
        <v>0.78947368421052633</v>
      </c>
      <c r="AG126" s="9"/>
      <c r="AH126" s="9"/>
      <c r="AI126" s="12">
        <f t="shared" si="25"/>
        <v>14.499999999999998</v>
      </c>
      <c r="AJ126" s="12">
        <f t="shared" si="26"/>
        <v>6.1</v>
      </c>
      <c r="AK126" s="12">
        <f t="shared" si="26"/>
        <v>4.5</v>
      </c>
      <c r="AL126" s="12">
        <f t="shared" si="26"/>
        <v>1.5</v>
      </c>
      <c r="AM126" s="12">
        <f t="shared" si="26"/>
        <v>1.5</v>
      </c>
      <c r="AN126" s="12">
        <f t="shared" si="18"/>
        <v>28.199999999999996</v>
      </c>
      <c r="AO126" s="12">
        <f t="shared" si="18"/>
        <v>79.3</v>
      </c>
      <c r="AP126" s="12">
        <f t="shared" si="18"/>
        <v>67.900000000000006</v>
      </c>
      <c r="AQ126" s="12">
        <f t="shared" si="18"/>
        <v>34.300000000000004</v>
      </c>
      <c r="AR126" s="12">
        <f t="shared" si="29"/>
        <v>32.800000000000004</v>
      </c>
      <c r="AS126" s="12">
        <f t="shared" si="29"/>
        <v>21.3</v>
      </c>
      <c r="AT126" s="12">
        <f t="shared" si="29"/>
        <v>16.7</v>
      </c>
      <c r="AU126" s="12">
        <f t="shared" si="27"/>
        <v>83.3</v>
      </c>
      <c r="AV126" s="12">
        <f t="shared" si="30"/>
        <v>45</v>
      </c>
      <c r="AW126" s="12">
        <f t="shared" si="30"/>
        <v>4.5</v>
      </c>
      <c r="AX126" s="12">
        <f t="shared" si="28"/>
        <v>22.200000000000003</v>
      </c>
      <c r="AY126" s="9"/>
      <c r="AZ126" s="12">
        <f t="shared" si="31"/>
        <v>8.3000000000000007</v>
      </c>
      <c r="BA126" s="12">
        <f t="shared" si="31"/>
        <v>3</v>
      </c>
      <c r="BB126" s="12">
        <f t="shared" si="31"/>
        <v>5.3</v>
      </c>
      <c r="BC126" s="12">
        <f t="shared" si="31"/>
        <v>3.8</v>
      </c>
      <c r="BD126" s="12">
        <f t="shared" si="32"/>
        <v>1.5</v>
      </c>
      <c r="BE126" s="12">
        <f t="shared" si="19"/>
        <v>4.5</v>
      </c>
      <c r="BF126" s="12">
        <f t="shared" si="19"/>
        <v>3</v>
      </c>
      <c r="BG126" s="12">
        <f t="shared" si="19"/>
        <v>1.5</v>
      </c>
      <c r="BH126" s="12">
        <f t="shared" si="19"/>
        <v>34.300000000000004</v>
      </c>
      <c r="BI126" s="12">
        <f t="shared" si="20"/>
        <v>56.399999999999991</v>
      </c>
    </row>
    <row r="127" spans="1:61" ht="15.75" customHeight="1" x14ac:dyDescent="0.25">
      <c r="A127" s="1" t="s">
        <v>228</v>
      </c>
      <c r="B127" s="3" t="s">
        <v>86</v>
      </c>
      <c r="C127" s="4" t="s">
        <v>92</v>
      </c>
      <c r="D127" s="4">
        <v>10</v>
      </c>
      <c r="E127" s="4">
        <v>161</v>
      </c>
      <c r="F127" s="4">
        <v>10</v>
      </c>
      <c r="G127" s="4">
        <v>161</v>
      </c>
      <c r="H127" s="4">
        <v>25.8</v>
      </c>
      <c r="I127" s="4">
        <v>0.64700000000000002</v>
      </c>
      <c r="J127" s="4">
        <v>0.54700000000000004</v>
      </c>
      <c r="K127" s="4">
        <v>0.35799999999999998</v>
      </c>
      <c r="L127" s="4">
        <v>0.50900000000000001</v>
      </c>
      <c r="M127" s="4">
        <v>4.7</v>
      </c>
      <c r="N127" s="4">
        <v>7.6</v>
      </c>
      <c r="O127" s="4">
        <v>18.600000000000001</v>
      </c>
      <c r="P127" s="4">
        <v>2.5</v>
      </c>
      <c r="Q127" s="4">
        <v>0.5</v>
      </c>
      <c r="R127" s="4">
        <v>8.5</v>
      </c>
      <c r="S127" s="4">
        <v>20</v>
      </c>
      <c r="T127" s="4">
        <v>133</v>
      </c>
      <c r="U127" s="4">
        <v>103</v>
      </c>
      <c r="V127" s="4"/>
      <c r="W127" s="4">
        <v>1</v>
      </c>
      <c r="X127" s="4">
        <v>0.1</v>
      </c>
      <c r="Y127" s="4">
        <v>1.1000000000000001</v>
      </c>
      <c r="Z127" s="4">
        <v>0.28299999999999997</v>
      </c>
      <c r="AA127" s="13">
        <f>(I127/TOTAL_BASIC!$D$301)*100</f>
        <v>127.62087083049141</v>
      </c>
      <c r="AB127" s="5">
        <f t="shared" si="21"/>
        <v>1.33</v>
      </c>
      <c r="AC127" s="3">
        <f t="shared" si="33"/>
        <v>30</v>
      </c>
      <c r="AD127" s="9">
        <f t="shared" si="22"/>
        <v>1.294</v>
      </c>
      <c r="AE127" s="16">
        <f t="shared" si="23"/>
        <v>0.93</v>
      </c>
      <c r="AF127" s="16">
        <f t="shared" si="24"/>
        <v>2.1882352941176473</v>
      </c>
      <c r="AG127" s="9"/>
      <c r="AH127" s="9"/>
      <c r="AI127" s="12">
        <f t="shared" si="25"/>
        <v>3</v>
      </c>
      <c r="AJ127" s="12">
        <f t="shared" si="26"/>
        <v>5.3</v>
      </c>
      <c r="AK127" s="12">
        <f t="shared" si="26"/>
        <v>95.399999999999991</v>
      </c>
      <c r="AL127" s="12">
        <f t="shared" si="26"/>
        <v>100</v>
      </c>
      <c r="AM127" s="12">
        <f t="shared" si="26"/>
        <v>90.8</v>
      </c>
      <c r="AN127" s="12">
        <f t="shared" ref="AN127:AQ134" si="34">(PERCENTRANK(K$3:K$298,K127))*100</f>
        <v>76.3</v>
      </c>
      <c r="AO127" s="12">
        <f t="shared" si="34"/>
        <v>94.6</v>
      </c>
      <c r="AP127" s="12">
        <f t="shared" si="34"/>
        <v>48.8</v>
      </c>
      <c r="AQ127" s="12">
        <f t="shared" si="34"/>
        <v>39.6</v>
      </c>
      <c r="AR127" s="12">
        <f t="shared" si="29"/>
        <v>79.3</v>
      </c>
      <c r="AS127" s="12">
        <f t="shared" si="29"/>
        <v>80.900000000000006</v>
      </c>
      <c r="AT127" s="12">
        <f t="shared" si="29"/>
        <v>16.7</v>
      </c>
      <c r="AU127" s="12">
        <f t="shared" si="27"/>
        <v>97</v>
      </c>
      <c r="AV127" s="12">
        <f t="shared" si="30"/>
        <v>59.5</v>
      </c>
      <c r="AW127" s="12">
        <f t="shared" si="30"/>
        <v>100</v>
      </c>
      <c r="AX127" s="12">
        <f t="shared" si="28"/>
        <v>22.200000000000003</v>
      </c>
      <c r="AY127" s="9"/>
      <c r="AZ127" s="12">
        <f t="shared" si="31"/>
        <v>63.3</v>
      </c>
      <c r="BA127" s="12">
        <f t="shared" si="31"/>
        <v>3</v>
      </c>
      <c r="BB127" s="12">
        <f t="shared" si="31"/>
        <v>48.8</v>
      </c>
      <c r="BC127" s="12">
        <f t="shared" si="31"/>
        <v>96.899999999999991</v>
      </c>
      <c r="BD127" s="12">
        <f t="shared" si="32"/>
        <v>100</v>
      </c>
      <c r="BE127" s="12">
        <f t="shared" si="19"/>
        <v>100</v>
      </c>
      <c r="BF127" s="12">
        <f t="shared" si="19"/>
        <v>99.2</v>
      </c>
      <c r="BG127" s="12">
        <f t="shared" si="19"/>
        <v>100</v>
      </c>
      <c r="BH127" s="12">
        <f t="shared" si="19"/>
        <v>76.3</v>
      </c>
      <c r="BI127" s="12">
        <f t="shared" si="20"/>
        <v>99.2</v>
      </c>
    </row>
    <row r="128" spans="1:61" ht="15.75" customHeight="1" x14ac:dyDescent="0.25">
      <c r="A128" s="1" t="s">
        <v>229</v>
      </c>
      <c r="B128" s="4" t="s">
        <v>95</v>
      </c>
      <c r="C128" s="4" t="s">
        <v>157</v>
      </c>
      <c r="D128" s="4">
        <v>15</v>
      </c>
      <c r="E128" s="4">
        <v>153</v>
      </c>
      <c r="F128" s="4">
        <v>15</v>
      </c>
      <c r="G128" s="4">
        <v>153</v>
      </c>
      <c r="H128" s="4">
        <v>2.4</v>
      </c>
      <c r="I128" s="4">
        <v>0.36699999999999999</v>
      </c>
      <c r="J128" s="4">
        <v>0.29599999999999999</v>
      </c>
      <c r="K128" s="4">
        <v>0</v>
      </c>
      <c r="L128" s="4">
        <v>0.59299999999999997</v>
      </c>
      <c r="M128" s="4">
        <v>10.199999999999999</v>
      </c>
      <c r="N128" s="4">
        <v>12.7</v>
      </c>
      <c r="O128" s="4">
        <v>9.1</v>
      </c>
      <c r="P128" s="4">
        <v>0.4</v>
      </c>
      <c r="Q128" s="4">
        <v>2.2000000000000002</v>
      </c>
      <c r="R128" s="4">
        <v>26.1</v>
      </c>
      <c r="S128" s="4">
        <v>14.4</v>
      </c>
      <c r="T128" s="4">
        <v>76</v>
      </c>
      <c r="U128" s="4">
        <v>103</v>
      </c>
      <c r="V128" s="4"/>
      <c r="W128" s="4">
        <v>-0.3</v>
      </c>
      <c r="X128" s="4">
        <v>0.1</v>
      </c>
      <c r="Y128" s="4">
        <v>-0.2</v>
      </c>
      <c r="Z128" s="4">
        <v>-5.2999999999999999E-2</v>
      </c>
      <c r="AA128" s="13">
        <f>(I128/TOTAL_BASIC!$D$301)*100</f>
        <v>72.390818539088627</v>
      </c>
      <c r="AB128" s="5">
        <f t="shared" si="21"/>
        <v>0.76</v>
      </c>
      <c r="AC128" s="3">
        <f t="shared" si="33"/>
        <v>-27</v>
      </c>
      <c r="AD128" s="9">
        <f t="shared" si="22"/>
        <v>0.73399999999999999</v>
      </c>
      <c r="AE128" s="16">
        <f t="shared" si="23"/>
        <v>0.63194444444444442</v>
      </c>
      <c r="AF128" s="16">
        <f t="shared" si="24"/>
        <v>0.34865900383141757</v>
      </c>
      <c r="AG128" s="9"/>
      <c r="AH128" s="9"/>
      <c r="AI128" s="12">
        <f t="shared" si="25"/>
        <v>5.3</v>
      </c>
      <c r="AJ128" s="12">
        <f t="shared" si="26"/>
        <v>4.5</v>
      </c>
      <c r="AK128" s="12">
        <f t="shared" si="26"/>
        <v>3.8</v>
      </c>
      <c r="AL128" s="12">
        <f t="shared" si="26"/>
        <v>5.3</v>
      </c>
      <c r="AM128" s="12">
        <f t="shared" si="26"/>
        <v>2.1999999999999997</v>
      </c>
      <c r="AN128" s="12">
        <f t="shared" si="34"/>
        <v>0</v>
      </c>
      <c r="AO128" s="12">
        <f t="shared" si="34"/>
        <v>99.2</v>
      </c>
      <c r="AP128" s="12">
        <f t="shared" si="34"/>
        <v>83.899999999999991</v>
      </c>
      <c r="AQ128" s="12">
        <f t="shared" si="34"/>
        <v>75.5</v>
      </c>
      <c r="AR128" s="12">
        <f t="shared" si="29"/>
        <v>33.5</v>
      </c>
      <c r="AS128" s="12">
        <f t="shared" si="29"/>
        <v>0.70000000000000007</v>
      </c>
      <c r="AT128" s="12">
        <f t="shared" si="29"/>
        <v>75.5</v>
      </c>
      <c r="AU128" s="12">
        <f t="shared" si="27"/>
        <v>7.6999999999999886</v>
      </c>
      <c r="AV128" s="12">
        <f t="shared" si="30"/>
        <v>19</v>
      </c>
      <c r="AW128" s="12">
        <f t="shared" si="30"/>
        <v>6.1</v>
      </c>
      <c r="AX128" s="12">
        <f t="shared" si="28"/>
        <v>22.200000000000003</v>
      </c>
      <c r="AY128" s="9"/>
      <c r="AZ128" s="12">
        <f t="shared" si="31"/>
        <v>10.6</v>
      </c>
      <c r="BA128" s="12">
        <f t="shared" si="31"/>
        <v>3</v>
      </c>
      <c r="BB128" s="12">
        <f t="shared" si="31"/>
        <v>9.1</v>
      </c>
      <c r="BC128" s="12">
        <f t="shared" si="31"/>
        <v>6.1</v>
      </c>
      <c r="BD128" s="12">
        <f t="shared" si="32"/>
        <v>5.3</v>
      </c>
      <c r="BE128" s="12">
        <f t="shared" si="19"/>
        <v>6.1</v>
      </c>
      <c r="BF128" s="12">
        <f t="shared" si="19"/>
        <v>4.5</v>
      </c>
      <c r="BG128" s="12">
        <f t="shared" si="19"/>
        <v>5.3</v>
      </c>
      <c r="BH128" s="12">
        <f t="shared" si="19"/>
        <v>51.1</v>
      </c>
      <c r="BI128" s="12">
        <f t="shared" si="20"/>
        <v>12.2</v>
      </c>
    </row>
    <row r="129" spans="1:61" ht="15.75" customHeight="1" x14ac:dyDescent="0.25">
      <c r="A129" s="1" t="s">
        <v>230</v>
      </c>
      <c r="B129" s="3" t="s">
        <v>106</v>
      </c>
      <c r="C129" s="4" t="s">
        <v>87</v>
      </c>
      <c r="D129" s="4">
        <v>4</v>
      </c>
      <c r="E129" s="4">
        <v>143</v>
      </c>
      <c r="F129" s="4">
        <v>4</v>
      </c>
      <c r="G129" s="4">
        <v>143</v>
      </c>
      <c r="H129" s="4">
        <v>15.2</v>
      </c>
      <c r="I129" s="4">
        <v>0.51</v>
      </c>
      <c r="J129" s="4">
        <v>0.45400000000000001</v>
      </c>
      <c r="K129" s="4">
        <v>0.5</v>
      </c>
      <c r="L129" s="4">
        <v>0.20399999999999999</v>
      </c>
      <c r="M129" s="4">
        <v>4</v>
      </c>
      <c r="N129" s="4">
        <v>4.7</v>
      </c>
      <c r="O129" s="4">
        <v>8.6999999999999993</v>
      </c>
      <c r="P129" s="4">
        <v>2.7</v>
      </c>
      <c r="Q129" s="4">
        <v>1.2</v>
      </c>
      <c r="R129" s="4">
        <v>15.8</v>
      </c>
      <c r="S129" s="4">
        <v>22.9</v>
      </c>
      <c r="T129" s="4">
        <v>96</v>
      </c>
      <c r="U129" s="4">
        <v>100</v>
      </c>
      <c r="V129" s="4"/>
      <c r="W129" s="4">
        <v>0.1</v>
      </c>
      <c r="X129" s="4">
        <v>0.1</v>
      </c>
      <c r="Y129" s="4">
        <v>0.3</v>
      </c>
      <c r="Z129" s="4">
        <v>0.08</v>
      </c>
      <c r="AA129" s="13">
        <f>(I129/TOTAL_BASIC!$D$301)*100</f>
        <v>100.59759524505505</v>
      </c>
      <c r="AB129" s="5">
        <f t="shared" si="21"/>
        <v>0.96</v>
      </c>
      <c r="AC129" s="3">
        <f t="shared" si="33"/>
        <v>-4</v>
      </c>
      <c r="AD129" s="9">
        <f t="shared" si="22"/>
        <v>1.02</v>
      </c>
      <c r="AE129" s="16">
        <f t="shared" si="23"/>
        <v>0.37991266375545851</v>
      </c>
      <c r="AF129" s="16">
        <f t="shared" si="24"/>
        <v>0.550632911392405</v>
      </c>
      <c r="AG129" s="9"/>
      <c r="AH129" s="9"/>
      <c r="AI129" s="12">
        <f t="shared" si="25"/>
        <v>0</v>
      </c>
      <c r="AJ129" s="12">
        <f t="shared" si="26"/>
        <v>3.8</v>
      </c>
      <c r="AK129" s="12">
        <f t="shared" si="26"/>
        <v>67.100000000000009</v>
      </c>
      <c r="AL129" s="12">
        <f t="shared" si="26"/>
        <v>63.3</v>
      </c>
      <c r="AM129" s="12">
        <f t="shared" si="26"/>
        <v>55.7</v>
      </c>
      <c r="AN129" s="12">
        <f t="shared" si="34"/>
        <v>90.8</v>
      </c>
      <c r="AO129" s="12">
        <f t="shared" si="34"/>
        <v>34.300000000000004</v>
      </c>
      <c r="AP129" s="12">
        <f t="shared" si="34"/>
        <v>40.400000000000006</v>
      </c>
      <c r="AQ129" s="12">
        <f t="shared" si="34"/>
        <v>8.3000000000000007</v>
      </c>
      <c r="AR129" s="12">
        <f t="shared" si="29"/>
        <v>30.5</v>
      </c>
      <c r="AS129" s="12">
        <f t="shared" si="29"/>
        <v>85.399999999999991</v>
      </c>
      <c r="AT129" s="12">
        <f t="shared" si="29"/>
        <v>55.7</v>
      </c>
      <c r="AU129" s="12">
        <f t="shared" si="27"/>
        <v>57.300000000000004</v>
      </c>
      <c r="AV129" s="12">
        <f t="shared" si="30"/>
        <v>81.599999999999994</v>
      </c>
      <c r="AW129" s="12">
        <f t="shared" si="30"/>
        <v>46.5</v>
      </c>
      <c r="AX129" s="12">
        <f t="shared" si="28"/>
        <v>54.199999999999996</v>
      </c>
      <c r="AY129" s="9"/>
      <c r="AZ129" s="12">
        <f t="shared" si="31"/>
        <v>34.300000000000004</v>
      </c>
      <c r="BA129" s="12">
        <f t="shared" si="31"/>
        <v>3</v>
      </c>
      <c r="BB129" s="12">
        <f t="shared" si="31"/>
        <v>25.1</v>
      </c>
      <c r="BC129" s="12">
        <f t="shared" si="31"/>
        <v>48.8</v>
      </c>
      <c r="BD129" s="12">
        <f t="shared" si="32"/>
        <v>63.3</v>
      </c>
      <c r="BE129" s="12">
        <f t="shared" si="19"/>
        <v>46.5</v>
      </c>
      <c r="BF129" s="12">
        <f t="shared" si="19"/>
        <v>45</v>
      </c>
      <c r="BG129" s="12">
        <f t="shared" si="19"/>
        <v>63.3</v>
      </c>
      <c r="BH129" s="12">
        <f t="shared" si="19"/>
        <v>19.8</v>
      </c>
      <c r="BI129" s="12">
        <f t="shared" si="20"/>
        <v>27.400000000000002</v>
      </c>
    </row>
    <row r="130" spans="1:61" ht="15.75" customHeight="1" x14ac:dyDescent="0.25">
      <c r="A130" s="1" t="s">
        <v>231</v>
      </c>
      <c r="B130" s="3" t="s">
        <v>91</v>
      </c>
      <c r="C130" s="4" t="s">
        <v>8</v>
      </c>
      <c r="D130" s="4">
        <v>23</v>
      </c>
      <c r="E130" s="4">
        <v>130</v>
      </c>
      <c r="F130" s="4">
        <v>23</v>
      </c>
      <c r="G130" s="4">
        <v>130</v>
      </c>
      <c r="H130" s="4">
        <v>5.2</v>
      </c>
      <c r="I130" s="4">
        <v>0.33600000000000002</v>
      </c>
      <c r="J130" s="4">
        <v>0.30599999999999999</v>
      </c>
      <c r="K130" s="4">
        <v>0.38700000000000001</v>
      </c>
      <c r="L130" s="4">
        <v>0.129</v>
      </c>
      <c r="M130" s="4">
        <v>0</v>
      </c>
      <c r="N130" s="4">
        <v>5.8</v>
      </c>
      <c r="O130" s="4">
        <v>24.6</v>
      </c>
      <c r="P130" s="4">
        <v>1.2</v>
      </c>
      <c r="Q130" s="4">
        <v>0</v>
      </c>
      <c r="R130" s="4">
        <v>26.8</v>
      </c>
      <c r="S130" s="4">
        <v>15.6</v>
      </c>
      <c r="T130" s="4">
        <v>75</v>
      </c>
      <c r="U130" s="4">
        <v>100</v>
      </c>
      <c r="V130" s="4"/>
      <c r="W130" s="4">
        <v>-0.3</v>
      </c>
      <c r="X130" s="4">
        <v>0.1</v>
      </c>
      <c r="Y130" s="4">
        <v>-0.1</v>
      </c>
      <c r="Z130" s="4">
        <v>-4.5999999999999999E-2</v>
      </c>
      <c r="AA130" s="13">
        <f>(I130/TOTAL_BASIC!$D$301)*100</f>
        <v>66.276062749683334</v>
      </c>
      <c r="AB130" s="5">
        <f t="shared" si="21"/>
        <v>0.75</v>
      </c>
      <c r="AC130" s="3">
        <f t="shared" si="33"/>
        <v>-25</v>
      </c>
      <c r="AD130" s="9">
        <f t="shared" si="22"/>
        <v>0.67200000000000004</v>
      </c>
      <c r="AE130" s="16">
        <f t="shared" si="23"/>
        <v>1.5769230769230771</v>
      </c>
      <c r="AF130" s="16">
        <f t="shared" si="24"/>
        <v>0.91791044776119401</v>
      </c>
      <c r="AG130" s="9"/>
      <c r="AH130" s="9"/>
      <c r="AI130" s="12">
        <f t="shared" si="25"/>
        <v>17.5</v>
      </c>
      <c r="AJ130" s="12">
        <f t="shared" si="26"/>
        <v>3</v>
      </c>
      <c r="AK130" s="12">
        <f t="shared" si="26"/>
        <v>6.8000000000000007</v>
      </c>
      <c r="AL130" s="12">
        <f t="shared" si="26"/>
        <v>2.1999999999999997</v>
      </c>
      <c r="AM130" s="12">
        <f t="shared" si="26"/>
        <v>3</v>
      </c>
      <c r="AN130" s="12">
        <f t="shared" si="34"/>
        <v>78.600000000000009</v>
      </c>
      <c r="AO130" s="12">
        <f t="shared" si="34"/>
        <v>9.1</v>
      </c>
      <c r="AP130" s="12">
        <f t="shared" si="34"/>
        <v>0</v>
      </c>
      <c r="AQ130" s="12">
        <f t="shared" si="34"/>
        <v>20.599999999999998</v>
      </c>
      <c r="AR130" s="12">
        <f t="shared" si="29"/>
        <v>90.8</v>
      </c>
      <c r="AS130" s="12">
        <f t="shared" si="29"/>
        <v>18.3</v>
      </c>
      <c r="AT130" s="12">
        <f t="shared" si="29"/>
        <v>0</v>
      </c>
      <c r="AU130" s="12">
        <f t="shared" si="27"/>
        <v>3.9000000000000057</v>
      </c>
      <c r="AV130" s="12">
        <f t="shared" si="30"/>
        <v>25.900000000000002</v>
      </c>
      <c r="AW130" s="12">
        <f t="shared" si="30"/>
        <v>5.3</v>
      </c>
      <c r="AX130" s="12">
        <f t="shared" si="28"/>
        <v>54.199999999999996</v>
      </c>
      <c r="AY130" s="9"/>
      <c r="AZ130" s="12">
        <f t="shared" si="31"/>
        <v>10.6</v>
      </c>
      <c r="BA130" s="12">
        <f t="shared" si="31"/>
        <v>3</v>
      </c>
      <c r="BB130" s="12">
        <f t="shared" si="31"/>
        <v>12.2</v>
      </c>
      <c r="BC130" s="12">
        <f t="shared" si="31"/>
        <v>6.8000000000000007</v>
      </c>
      <c r="BD130" s="12">
        <f t="shared" si="32"/>
        <v>2.1999999999999997</v>
      </c>
      <c r="BE130" s="12">
        <f t="shared" si="19"/>
        <v>5.3</v>
      </c>
      <c r="BF130" s="12">
        <f t="shared" si="19"/>
        <v>6.1</v>
      </c>
      <c r="BG130" s="12">
        <f t="shared" si="19"/>
        <v>2.1999999999999997</v>
      </c>
      <c r="BH130" s="12">
        <f t="shared" si="19"/>
        <v>96.899999999999991</v>
      </c>
      <c r="BI130" s="12">
        <f t="shared" si="20"/>
        <v>61.8</v>
      </c>
    </row>
    <row r="131" spans="1:61" ht="15.75" customHeight="1" x14ac:dyDescent="0.25">
      <c r="A131" s="1" t="s">
        <v>232</v>
      </c>
      <c r="B131" s="3" t="s">
        <v>108</v>
      </c>
      <c r="C131" s="4" t="s">
        <v>92</v>
      </c>
      <c r="D131" s="4">
        <v>17</v>
      </c>
      <c r="E131" s="4">
        <v>122</v>
      </c>
      <c r="F131" s="4">
        <v>17</v>
      </c>
      <c r="G131" s="4">
        <v>122</v>
      </c>
      <c r="H131" s="4">
        <v>8.5</v>
      </c>
      <c r="I131" s="4">
        <v>0.42899999999999999</v>
      </c>
      <c r="J131" s="4">
        <v>0.38500000000000001</v>
      </c>
      <c r="K131" s="4">
        <v>0</v>
      </c>
      <c r="L131" s="4">
        <v>0.308</v>
      </c>
      <c r="M131" s="4">
        <v>4.0999999999999996</v>
      </c>
      <c r="N131" s="4">
        <v>5.8</v>
      </c>
      <c r="O131" s="4">
        <v>11.2</v>
      </c>
      <c r="P131" s="4">
        <v>0.8</v>
      </c>
      <c r="Q131" s="4">
        <v>0.6</v>
      </c>
      <c r="R131" s="4">
        <v>8.3000000000000007</v>
      </c>
      <c r="S131" s="4">
        <v>17.899999999999999</v>
      </c>
      <c r="T131" s="4">
        <v>95</v>
      </c>
      <c r="U131" s="4">
        <v>102</v>
      </c>
      <c r="V131" s="4"/>
      <c r="W131" s="4">
        <v>0.1</v>
      </c>
      <c r="X131" s="4">
        <v>0.1</v>
      </c>
      <c r="Y131" s="4">
        <v>0.2</v>
      </c>
      <c r="Z131" s="4">
        <v>5.5E-2</v>
      </c>
      <c r="AA131" s="13">
        <f>(I131/TOTAL_BASIC!$D$301)*100</f>
        <v>84.620330117899243</v>
      </c>
      <c r="AB131" s="5">
        <f t="shared" si="21"/>
        <v>0.95</v>
      </c>
      <c r="AC131" s="3">
        <f t="shared" si="33"/>
        <v>-7</v>
      </c>
      <c r="AD131" s="9">
        <f t="shared" si="22"/>
        <v>0.85799999999999998</v>
      </c>
      <c r="AE131" s="16">
        <f t="shared" si="23"/>
        <v>0.62569832402234637</v>
      </c>
      <c r="AF131" s="16">
        <f t="shared" si="24"/>
        <v>1.3493975903614457</v>
      </c>
      <c r="AG131" s="9"/>
      <c r="AH131" s="9"/>
      <c r="AI131" s="12">
        <f t="shared" si="25"/>
        <v>9.1</v>
      </c>
      <c r="AJ131" s="12">
        <f t="shared" si="26"/>
        <v>2.1999999999999997</v>
      </c>
      <c r="AK131" s="12">
        <f t="shared" si="26"/>
        <v>21.3</v>
      </c>
      <c r="AL131" s="12">
        <f t="shared" si="26"/>
        <v>14.499999999999998</v>
      </c>
      <c r="AM131" s="12">
        <f t="shared" ref="AM131:AM134" si="35">(PERCENTRANK(J$3:J$298,J131))*100</f>
        <v>16</v>
      </c>
      <c r="AN131" s="12">
        <f t="shared" si="34"/>
        <v>0</v>
      </c>
      <c r="AO131" s="12">
        <f t="shared" si="34"/>
        <v>61</v>
      </c>
      <c r="AP131" s="12">
        <f t="shared" si="34"/>
        <v>42.699999999999996</v>
      </c>
      <c r="AQ131" s="12">
        <f t="shared" si="34"/>
        <v>20.599999999999998</v>
      </c>
      <c r="AR131" s="12">
        <f t="shared" si="29"/>
        <v>48.8</v>
      </c>
      <c r="AS131" s="12">
        <f t="shared" si="29"/>
        <v>3</v>
      </c>
      <c r="AT131" s="12">
        <f t="shared" si="29"/>
        <v>22.900000000000002</v>
      </c>
      <c r="AU131" s="12">
        <f t="shared" si="27"/>
        <v>97.8</v>
      </c>
      <c r="AV131" s="12">
        <f t="shared" si="30"/>
        <v>46.5</v>
      </c>
      <c r="AW131" s="12">
        <f t="shared" si="30"/>
        <v>44.2</v>
      </c>
      <c r="AX131" s="12">
        <f t="shared" si="28"/>
        <v>35.200000000000003</v>
      </c>
      <c r="AY131" s="9"/>
      <c r="AZ131" s="12">
        <f t="shared" si="31"/>
        <v>34.300000000000004</v>
      </c>
      <c r="BA131" s="12">
        <f t="shared" si="31"/>
        <v>3</v>
      </c>
      <c r="BB131" s="12">
        <f t="shared" si="31"/>
        <v>20.599999999999998</v>
      </c>
      <c r="BC131" s="12">
        <f t="shared" si="31"/>
        <v>37.4</v>
      </c>
      <c r="BD131" s="12">
        <f t="shared" si="32"/>
        <v>14.499999999999998</v>
      </c>
      <c r="BE131" s="12">
        <f t="shared" si="32"/>
        <v>44.2</v>
      </c>
      <c r="BF131" s="12">
        <f t="shared" si="32"/>
        <v>35.099999999999994</v>
      </c>
      <c r="BG131" s="12">
        <f t="shared" si="32"/>
        <v>14.499999999999998</v>
      </c>
      <c r="BH131" s="12">
        <f t="shared" si="32"/>
        <v>49.6</v>
      </c>
      <c r="BI131" s="12">
        <f t="shared" si="32"/>
        <v>83.899999999999991</v>
      </c>
    </row>
    <row r="132" spans="1:61" ht="15.75" customHeight="1" x14ac:dyDescent="0.25">
      <c r="A132" s="1" t="s">
        <v>233</v>
      </c>
      <c r="B132" s="3" t="s">
        <v>99</v>
      </c>
      <c r="C132" s="4" t="s">
        <v>115</v>
      </c>
      <c r="D132" s="4">
        <v>16</v>
      </c>
      <c r="E132" s="4">
        <v>121</v>
      </c>
      <c r="F132" s="4">
        <v>16</v>
      </c>
      <c r="G132" s="4">
        <v>121</v>
      </c>
      <c r="H132" s="4">
        <v>0.4</v>
      </c>
      <c r="I132" s="4">
        <v>0.41599999999999998</v>
      </c>
      <c r="J132" s="4">
        <v>0.36799999999999999</v>
      </c>
      <c r="K132" s="4">
        <v>0.26300000000000001</v>
      </c>
      <c r="L132" s="4">
        <v>0.316</v>
      </c>
      <c r="M132" s="4">
        <v>2.8</v>
      </c>
      <c r="N132" s="4">
        <v>5.6</v>
      </c>
      <c r="O132" s="4">
        <v>3.6</v>
      </c>
      <c r="P132" s="4">
        <v>1.3</v>
      </c>
      <c r="Q132" s="4">
        <v>2.5</v>
      </c>
      <c r="R132" s="4">
        <v>27</v>
      </c>
      <c r="S132" s="4">
        <v>10.6</v>
      </c>
      <c r="T132" s="4">
        <v>71</v>
      </c>
      <c r="U132" s="4">
        <v>99</v>
      </c>
      <c r="V132" s="4"/>
      <c r="W132" s="4">
        <v>-0.2</v>
      </c>
      <c r="X132" s="4">
        <v>0.1</v>
      </c>
      <c r="Y132" s="4">
        <v>-0.1</v>
      </c>
      <c r="Z132" s="4">
        <v>-1.7000000000000001E-2</v>
      </c>
      <c r="AA132" s="13">
        <f>(I132/TOTAL_BASIC!$D$301)*100</f>
        <v>82.056077690084123</v>
      </c>
      <c r="AB132" s="5">
        <f t="shared" ref="AB132:AB134" si="36">(T132/100)</f>
        <v>0.71</v>
      </c>
      <c r="AC132" s="3">
        <f t="shared" si="33"/>
        <v>-28</v>
      </c>
      <c r="AD132" s="9">
        <f t="shared" ref="AD132:AD134" si="37">2*I132</f>
        <v>0.83199999999999996</v>
      </c>
      <c r="AE132" s="16">
        <f t="shared" ref="AE132:AE134" si="38">IF(S132=0,0,O132/S132)</f>
        <v>0.339622641509434</v>
      </c>
      <c r="AF132" s="16">
        <f t="shared" ref="AF132:AF134" si="39">IF(R132=0,0,O132/R132)</f>
        <v>0.13333333333333333</v>
      </c>
      <c r="AG132" s="9"/>
      <c r="AH132" s="9"/>
      <c r="AI132" s="12">
        <f t="shared" ref="AI132:AI134" si="40">(PERCENTRANK(F$3:F$298,F132))*100</f>
        <v>6.8000000000000007</v>
      </c>
      <c r="AJ132" s="12">
        <f t="shared" ref="AJ132:AL134" si="41">(PERCENTRANK(G$3:G$298,G132))*100</f>
        <v>1.5</v>
      </c>
      <c r="AK132" s="12">
        <f t="shared" si="41"/>
        <v>0.70000000000000007</v>
      </c>
      <c r="AL132" s="12">
        <f t="shared" si="41"/>
        <v>12.2</v>
      </c>
      <c r="AM132" s="12">
        <f t="shared" si="35"/>
        <v>11.4</v>
      </c>
      <c r="AN132" s="12">
        <f t="shared" si="34"/>
        <v>61.8</v>
      </c>
      <c r="AO132" s="12">
        <f t="shared" si="34"/>
        <v>64.099999999999994</v>
      </c>
      <c r="AP132" s="12">
        <f t="shared" si="34"/>
        <v>22.900000000000002</v>
      </c>
      <c r="AQ132" s="12">
        <f t="shared" si="34"/>
        <v>16</v>
      </c>
      <c r="AR132" s="12">
        <f t="shared" si="29"/>
        <v>3</v>
      </c>
      <c r="AS132" s="12">
        <f t="shared" si="29"/>
        <v>19</v>
      </c>
      <c r="AT132" s="12">
        <f t="shared" si="29"/>
        <v>80.100000000000009</v>
      </c>
      <c r="AU132" s="12">
        <f t="shared" ref="AU132:AU134" si="42">100-(PERCENTRANK(R$3:R$298,R132))*100</f>
        <v>3.1000000000000085</v>
      </c>
      <c r="AV132" s="12">
        <f t="shared" si="30"/>
        <v>3</v>
      </c>
      <c r="AW132" s="12">
        <f t="shared" si="30"/>
        <v>3</v>
      </c>
      <c r="AX132" s="12">
        <f t="shared" ref="AX132:AX134" si="43">100-(PERCENTRANK(U$3:U$298,U132))*100</f>
        <v>63.4</v>
      </c>
      <c r="AY132" s="9"/>
      <c r="AZ132" s="12">
        <f t="shared" si="31"/>
        <v>17.5</v>
      </c>
      <c r="BA132" s="12">
        <f t="shared" si="31"/>
        <v>3</v>
      </c>
      <c r="BB132" s="12">
        <f t="shared" si="31"/>
        <v>12.2</v>
      </c>
      <c r="BC132" s="12">
        <f t="shared" si="31"/>
        <v>12.9</v>
      </c>
      <c r="BD132" s="12">
        <f t="shared" si="32"/>
        <v>12.2</v>
      </c>
      <c r="BE132" s="12">
        <f t="shared" si="32"/>
        <v>3</v>
      </c>
      <c r="BF132" s="12">
        <f t="shared" si="32"/>
        <v>3.8</v>
      </c>
      <c r="BG132" s="12">
        <f t="shared" si="32"/>
        <v>12.2</v>
      </c>
      <c r="BH132" s="12">
        <f t="shared" si="32"/>
        <v>13.700000000000001</v>
      </c>
      <c r="BI132" s="12">
        <f t="shared" si="32"/>
        <v>1.5</v>
      </c>
    </row>
    <row r="133" spans="1:61" ht="15.75" customHeight="1" x14ac:dyDescent="0.25">
      <c r="A133" s="1" t="s">
        <v>234</v>
      </c>
      <c r="B133" s="3" t="s">
        <v>104</v>
      </c>
      <c r="C133" s="4" t="s">
        <v>8</v>
      </c>
      <c r="D133" s="4">
        <v>4</v>
      </c>
      <c r="E133" s="4">
        <v>118</v>
      </c>
      <c r="F133" s="4">
        <v>4</v>
      </c>
      <c r="G133" s="4">
        <v>118</v>
      </c>
      <c r="H133" s="4">
        <v>19.399999999999999</v>
      </c>
      <c r="I133" s="4">
        <v>0.61699999999999999</v>
      </c>
      <c r="J133" s="4">
        <v>0.56299999999999994</v>
      </c>
      <c r="K133" s="4">
        <v>7.4999999999999997E-2</v>
      </c>
      <c r="L133" s="4">
        <v>0.35</v>
      </c>
      <c r="M133" s="4">
        <v>3.8</v>
      </c>
      <c r="N133" s="4">
        <v>10.4</v>
      </c>
      <c r="O133" s="4">
        <v>12.4</v>
      </c>
      <c r="P133" s="4">
        <v>0.9</v>
      </c>
      <c r="Q133" s="4">
        <v>1.3</v>
      </c>
      <c r="R133" s="4">
        <v>17.8</v>
      </c>
      <c r="S133" s="4">
        <v>21.3</v>
      </c>
      <c r="T133" s="4">
        <v>108</v>
      </c>
      <c r="U133" s="4">
        <v>101</v>
      </c>
      <c r="V133" s="4"/>
      <c r="W133" s="4">
        <v>0.3</v>
      </c>
      <c r="X133" s="4">
        <v>0.1</v>
      </c>
      <c r="Y133" s="4">
        <v>0.4</v>
      </c>
      <c r="Z133" s="4">
        <v>0.14499999999999999</v>
      </c>
      <c r="AA133" s="13">
        <f>(I133/TOTAL_BASIC!$D$301)*100</f>
        <v>121.7033652278411</v>
      </c>
      <c r="AB133" s="5">
        <f t="shared" si="36"/>
        <v>1.08</v>
      </c>
      <c r="AC133" s="3">
        <f t="shared" si="33"/>
        <v>7</v>
      </c>
      <c r="AD133" s="9">
        <f t="shared" si="37"/>
        <v>1.234</v>
      </c>
      <c r="AE133" s="16">
        <f t="shared" si="38"/>
        <v>0.5821596244131455</v>
      </c>
      <c r="AF133" s="16">
        <f t="shared" si="39"/>
        <v>0.6966292134831461</v>
      </c>
      <c r="AG133" s="9"/>
      <c r="AH133" s="9"/>
      <c r="AI133" s="12">
        <f t="shared" si="40"/>
        <v>0</v>
      </c>
      <c r="AJ133" s="12">
        <f t="shared" si="41"/>
        <v>0.70000000000000007</v>
      </c>
      <c r="AK133" s="12">
        <f t="shared" si="41"/>
        <v>83.899999999999991</v>
      </c>
      <c r="AL133" s="12">
        <f t="shared" si="41"/>
        <v>95.399999999999991</v>
      </c>
      <c r="AM133" s="12">
        <f t="shared" si="35"/>
        <v>95.399999999999991</v>
      </c>
      <c r="AN133" s="12">
        <f t="shared" si="34"/>
        <v>35.099999999999994</v>
      </c>
      <c r="AO133" s="12">
        <f t="shared" si="34"/>
        <v>76.3</v>
      </c>
      <c r="AP133" s="12">
        <f t="shared" si="34"/>
        <v>38.1</v>
      </c>
      <c r="AQ133" s="12">
        <f t="shared" si="34"/>
        <v>60.3</v>
      </c>
      <c r="AR133" s="12">
        <f t="shared" si="29"/>
        <v>55.7</v>
      </c>
      <c r="AS133" s="12">
        <f t="shared" si="29"/>
        <v>6.8000000000000007</v>
      </c>
      <c r="AT133" s="12">
        <f t="shared" si="29"/>
        <v>57.999999999999993</v>
      </c>
      <c r="AU133" s="12">
        <f t="shared" si="42"/>
        <v>38.200000000000003</v>
      </c>
      <c r="AV133" s="12">
        <f t="shared" si="30"/>
        <v>69.399999999999991</v>
      </c>
      <c r="AW133" s="12">
        <f t="shared" si="30"/>
        <v>78.600000000000009</v>
      </c>
      <c r="AX133" s="12">
        <f t="shared" si="43"/>
        <v>42.800000000000004</v>
      </c>
      <c r="AY133" s="9"/>
      <c r="AZ133" s="12">
        <f t="shared" si="31"/>
        <v>44.2</v>
      </c>
      <c r="BA133" s="12">
        <f t="shared" si="31"/>
        <v>3</v>
      </c>
      <c r="BB133" s="12">
        <f t="shared" si="31"/>
        <v>29.7</v>
      </c>
      <c r="BC133" s="12">
        <f t="shared" si="31"/>
        <v>80.100000000000009</v>
      </c>
      <c r="BD133" s="12">
        <f t="shared" si="32"/>
        <v>95.399999999999991</v>
      </c>
      <c r="BE133" s="12">
        <f t="shared" si="32"/>
        <v>78.600000000000009</v>
      </c>
      <c r="BF133" s="12">
        <f t="shared" si="32"/>
        <v>77</v>
      </c>
      <c r="BG133" s="12">
        <f t="shared" si="32"/>
        <v>95.399999999999991</v>
      </c>
      <c r="BH133" s="12">
        <f t="shared" si="32"/>
        <v>43.5</v>
      </c>
      <c r="BI133" s="12">
        <f t="shared" si="32"/>
        <v>45</v>
      </c>
    </row>
    <row r="134" spans="1:61" ht="15.75" customHeight="1" x14ac:dyDescent="0.25">
      <c r="A134" s="1" t="s">
        <v>235</v>
      </c>
      <c r="B134" s="3" t="s">
        <v>171</v>
      </c>
      <c r="C134" s="4" t="s">
        <v>8</v>
      </c>
      <c r="D134" s="4">
        <v>11</v>
      </c>
      <c r="E134" s="4">
        <v>109</v>
      </c>
      <c r="F134" s="4">
        <v>11</v>
      </c>
      <c r="G134" s="4">
        <v>109</v>
      </c>
      <c r="H134" s="4">
        <v>1.6</v>
      </c>
      <c r="I134" s="4">
        <v>0.34799999999999998</v>
      </c>
      <c r="J134" s="4">
        <v>0.32</v>
      </c>
      <c r="K134" s="4">
        <v>0.2</v>
      </c>
      <c r="L134" s="4">
        <v>0.08</v>
      </c>
      <c r="M134" s="4">
        <v>1.2</v>
      </c>
      <c r="N134" s="4">
        <v>5.3</v>
      </c>
      <c r="O134" s="4">
        <v>24.2</v>
      </c>
      <c r="P134" s="4">
        <v>1.9</v>
      </c>
      <c r="Q134" s="4">
        <v>0.7</v>
      </c>
      <c r="R134" s="4">
        <v>33.4</v>
      </c>
      <c r="S134" s="4">
        <v>16.2</v>
      </c>
      <c r="T134" s="4">
        <v>67</v>
      </c>
      <c r="U134" s="4">
        <v>104</v>
      </c>
      <c r="V134" s="4"/>
      <c r="W134" s="4">
        <v>-0.4</v>
      </c>
      <c r="X134" s="4">
        <v>0</v>
      </c>
      <c r="Y134" s="4">
        <v>-0.3</v>
      </c>
      <c r="Z134" s="4">
        <v>-0.11899999999999999</v>
      </c>
      <c r="AA134" s="13">
        <f>(I134/TOTAL_BASIC!$D$301)*100</f>
        <v>68.64306499074344</v>
      </c>
      <c r="AB134" s="5">
        <f t="shared" si="36"/>
        <v>0.67</v>
      </c>
      <c r="AC134" s="3">
        <f t="shared" si="33"/>
        <v>-37</v>
      </c>
      <c r="AD134" s="9">
        <f t="shared" si="37"/>
        <v>0.69599999999999995</v>
      </c>
      <c r="AE134" s="16">
        <f t="shared" si="38"/>
        <v>1.4938271604938271</v>
      </c>
      <c r="AF134" s="16">
        <f t="shared" si="39"/>
        <v>0.72455089820359286</v>
      </c>
      <c r="AG134" s="9"/>
      <c r="AH134" s="9"/>
      <c r="AI134" s="12">
        <f t="shared" si="40"/>
        <v>3.8</v>
      </c>
      <c r="AJ134" s="12">
        <f t="shared" si="41"/>
        <v>0</v>
      </c>
      <c r="AK134" s="12">
        <f t="shared" si="41"/>
        <v>2.1999999999999997</v>
      </c>
      <c r="AL134" s="12">
        <f t="shared" si="41"/>
        <v>3</v>
      </c>
      <c r="AM134" s="12">
        <f t="shared" si="35"/>
        <v>4.5</v>
      </c>
      <c r="AN134" s="12">
        <f t="shared" si="34"/>
        <v>48</v>
      </c>
      <c r="AO134" s="12">
        <f t="shared" si="34"/>
        <v>2.1999999999999997</v>
      </c>
      <c r="AP134" s="12">
        <f t="shared" si="34"/>
        <v>3</v>
      </c>
      <c r="AQ134" s="12">
        <f t="shared" si="34"/>
        <v>14.499999999999998</v>
      </c>
      <c r="AR134" s="12">
        <f t="shared" si="29"/>
        <v>89.3</v>
      </c>
      <c r="AS134" s="12">
        <f t="shared" si="29"/>
        <v>54.900000000000006</v>
      </c>
      <c r="AT134" s="12">
        <f t="shared" si="29"/>
        <v>28.199999999999996</v>
      </c>
      <c r="AU134" s="12">
        <f t="shared" si="42"/>
        <v>1.5999999999999943</v>
      </c>
      <c r="AV134" s="12">
        <f t="shared" si="30"/>
        <v>31.2</v>
      </c>
      <c r="AW134" s="12">
        <f t="shared" si="30"/>
        <v>0.70000000000000007</v>
      </c>
      <c r="AX134" s="12">
        <f t="shared" si="43"/>
        <v>15.299999999999997</v>
      </c>
      <c r="AY134" s="9"/>
      <c r="AZ134" s="12">
        <f t="shared" si="31"/>
        <v>8.3000000000000007</v>
      </c>
      <c r="BA134" s="12">
        <f t="shared" si="31"/>
        <v>0.70000000000000007</v>
      </c>
      <c r="BB134" s="12">
        <f t="shared" si="31"/>
        <v>5.3</v>
      </c>
      <c r="BC134" s="12">
        <f t="shared" si="31"/>
        <v>0</v>
      </c>
      <c r="BD134" s="12">
        <f t="shared" si="32"/>
        <v>3</v>
      </c>
      <c r="BE134" s="12">
        <f t="shared" si="32"/>
        <v>0.70000000000000007</v>
      </c>
      <c r="BF134" s="12">
        <f t="shared" si="32"/>
        <v>0</v>
      </c>
      <c r="BG134" s="12">
        <f t="shared" si="32"/>
        <v>3</v>
      </c>
      <c r="BH134" s="12">
        <f t="shared" si="32"/>
        <v>96.1</v>
      </c>
      <c r="BI134" s="12">
        <f t="shared" si="32"/>
        <v>49.6</v>
      </c>
    </row>
    <row r="135" spans="1:61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/>
      <c r="AB135" s="5"/>
      <c r="AC135" s="3"/>
      <c r="AD135" s="9"/>
      <c r="AE135" s="16"/>
      <c r="AF135" s="16"/>
      <c r="AG135" s="9"/>
      <c r="AH135" s="9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9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 spans="1:61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9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34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 x14ac:dyDescent="0.25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x14ac:dyDescent="0.25">
      <c r="A4" s="1" t="s">
        <v>85</v>
      </c>
      <c r="B4" s="3" t="s">
        <v>86</v>
      </c>
      <c r="C4" s="4" t="s">
        <v>87</v>
      </c>
      <c r="D4" s="4">
        <v>34</v>
      </c>
      <c r="E4" s="4">
        <v>1119</v>
      </c>
      <c r="F4" s="4">
        <v>34</v>
      </c>
      <c r="G4" s="4">
        <v>1119</v>
      </c>
      <c r="H4" s="4">
        <v>0.41</v>
      </c>
      <c r="I4" s="4">
        <v>14.9</v>
      </c>
      <c r="J4" s="4"/>
      <c r="K4" s="4">
        <v>0.57399999999999995</v>
      </c>
      <c r="L4" s="4">
        <v>0.25600000000000001</v>
      </c>
      <c r="M4" s="4">
        <v>0.113</v>
      </c>
      <c r="N4" s="4">
        <v>0.09</v>
      </c>
      <c r="O4" s="4">
        <v>0.115</v>
      </c>
      <c r="P4" s="4">
        <v>0.42599999999999999</v>
      </c>
      <c r="Q4" s="4"/>
      <c r="R4" s="4">
        <v>0.47299999999999998</v>
      </c>
      <c r="S4" s="4">
        <v>0.72</v>
      </c>
      <c r="T4" s="4">
        <v>0.25</v>
      </c>
      <c r="U4" s="4">
        <v>0.371</v>
      </c>
      <c r="V4" s="4">
        <v>0.222</v>
      </c>
      <c r="W4" s="4">
        <v>0.32500000000000001</v>
      </c>
      <c r="X4" s="4"/>
      <c r="Y4" s="4">
        <v>0.49099999999999999</v>
      </c>
      <c r="Z4" s="4">
        <v>0.88900000000000001</v>
      </c>
      <c r="AA4" s="4"/>
      <c r="AB4" s="4">
        <v>0.18099999999999999</v>
      </c>
      <c r="AC4" s="4">
        <v>0.433</v>
      </c>
      <c r="AD4" s="10">
        <f>(K4*Y4+P4*Z4)</f>
        <v>0.66054799999999991</v>
      </c>
      <c r="AE4" s="9"/>
      <c r="AF4" s="9"/>
      <c r="AG4" s="12">
        <f>(PERCENTRANK(F$4:F$298,F4))*100</f>
        <v>65.600000000000009</v>
      </c>
      <c r="AH4" s="12">
        <f t="shared" ref="AH4:AX19" si="0">(PERCENTRANK(G$4:G$298,G4))*100</f>
        <v>100</v>
      </c>
      <c r="AI4" s="12">
        <f t="shared" si="0"/>
        <v>50.3</v>
      </c>
      <c r="AJ4" s="12">
        <f t="shared" si="0"/>
        <v>74.8</v>
      </c>
      <c r="AK4" s="12"/>
      <c r="AL4" s="12">
        <f t="shared" si="0"/>
        <v>17.5</v>
      </c>
      <c r="AM4" s="12">
        <f t="shared" si="0"/>
        <v>50.3</v>
      </c>
      <c r="AN4" s="12">
        <f t="shared" si="0"/>
        <v>21.3</v>
      </c>
      <c r="AO4" s="12">
        <f t="shared" si="0"/>
        <v>37.4</v>
      </c>
      <c r="AP4" s="12">
        <f t="shared" si="0"/>
        <v>31.2</v>
      </c>
      <c r="AQ4" s="12">
        <f t="shared" si="0"/>
        <v>82.399999999999991</v>
      </c>
      <c r="AR4" s="12"/>
      <c r="AS4" s="12">
        <f t="shared" si="0"/>
        <v>71.7</v>
      </c>
      <c r="AT4" s="12">
        <f t="shared" si="0"/>
        <v>82.399999999999991</v>
      </c>
      <c r="AU4" s="12">
        <f t="shared" si="0"/>
        <v>16.7</v>
      </c>
      <c r="AV4" s="12">
        <f t="shared" si="0"/>
        <v>66.400000000000006</v>
      </c>
      <c r="AW4" s="12">
        <f t="shared" si="0"/>
        <v>15.2</v>
      </c>
      <c r="AX4" s="12">
        <f t="shared" si="0"/>
        <v>67.900000000000006</v>
      </c>
      <c r="AY4" s="12"/>
      <c r="AZ4" s="12">
        <f>100-(PERCENTRANK(Y$4:Y$298,Y4))*100</f>
        <v>56.5</v>
      </c>
      <c r="BA4" s="12">
        <f>100-(PERCENTRANK(Z$4:Z$298,Z4))*100</f>
        <v>38.200000000000003</v>
      </c>
      <c r="BB4" s="12"/>
      <c r="BC4" s="12">
        <f>(PERCENTRANK(AB$4:AB$298,AB4))*100</f>
        <v>69.399999999999991</v>
      </c>
      <c r="BD4" s="12">
        <f>(PERCENTRANK(AC$4:AC$298,AC4))*100</f>
        <v>81.599999999999994</v>
      </c>
      <c r="BE4" s="12">
        <f>100-(PERCENTRANK(AD$4:AD$298,AD4))*100</f>
        <v>40.5</v>
      </c>
    </row>
    <row r="5" spans="1:57" x14ac:dyDescent="0.25">
      <c r="A5" s="1" t="s">
        <v>88</v>
      </c>
      <c r="B5" s="3" t="s">
        <v>89</v>
      </c>
      <c r="C5" s="4" t="s">
        <v>8</v>
      </c>
      <c r="D5" s="4">
        <v>34</v>
      </c>
      <c r="E5" s="4">
        <v>1072</v>
      </c>
      <c r="F5" s="4">
        <v>34</v>
      </c>
      <c r="G5" s="4">
        <v>1072</v>
      </c>
      <c r="H5" s="4">
        <v>0.39200000000000002</v>
      </c>
      <c r="I5" s="4">
        <v>16.2</v>
      </c>
      <c r="J5" s="4"/>
      <c r="K5" s="4">
        <v>0.54800000000000004</v>
      </c>
      <c r="L5" s="4">
        <v>9.1999999999999998E-2</v>
      </c>
      <c r="M5" s="4">
        <v>0.218</v>
      </c>
      <c r="N5" s="4">
        <v>0.127</v>
      </c>
      <c r="O5" s="4">
        <v>0.112</v>
      </c>
      <c r="P5" s="4">
        <v>0.45200000000000001</v>
      </c>
      <c r="Q5" s="4"/>
      <c r="R5" s="4">
        <v>0.38900000000000001</v>
      </c>
      <c r="S5" s="4">
        <v>0.432</v>
      </c>
      <c r="T5" s="4">
        <v>0.38600000000000001</v>
      </c>
      <c r="U5" s="4">
        <v>0.373</v>
      </c>
      <c r="V5" s="4">
        <v>0.378</v>
      </c>
      <c r="W5" s="4">
        <v>0.39600000000000002</v>
      </c>
      <c r="X5" s="4"/>
      <c r="Y5" s="4">
        <v>0.186</v>
      </c>
      <c r="Z5" s="4">
        <v>0.66700000000000004</v>
      </c>
      <c r="AA5" s="4"/>
      <c r="AB5" s="4">
        <v>9.9000000000000005E-2</v>
      </c>
      <c r="AC5" s="4">
        <v>0.5</v>
      </c>
      <c r="AD5" s="10">
        <f t="shared" ref="AD5:AD68" si="1">(K5*Y5+P5*Z5)</f>
        <v>0.40341200000000005</v>
      </c>
      <c r="AE5" s="9"/>
      <c r="AF5" s="9"/>
      <c r="AG5" s="12">
        <f t="shared" ref="AG5:AJ68" si="2">(PERCENTRANK(F$4:F$298,F5))*100</f>
        <v>65.600000000000009</v>
      </c>
      <c r="AH5" s="12">
        <f t="shared" si="0"/>
        <v>99.2</v>
      </c>
      <c r="AI5" s="12">
        <f t="shared" si="0"/>
        <v>35.799999999999997</v>
      </c>
      <c r="AJ5" s="12">
        <f t="shared" si="0"/>
        <v>83.2</v>
      </c>
      <c r="AK5" s="12"/>
      <c r="AL5" s="12">
        <f t="shared" si="0"/>
        <v>14.499999999999998</v>
      </c>
      <c r="AM5" s="12">
        <f t="shared" si="0"/>
        <v>7.6</v>
      </c>
      <c r="AN5" s="12">
        <f t="shared" si="0"/>
        <v>68.7</v>
      </c>
      <c r="AO5" s="12">
        <f t="shared" si="0"/>
        <v>52.6</v>
      </c>
      <c r="AP5" s="12">
        <f t="shared" si="0"/>
        <v>29.7</v>
      </c>
      <c r="AQ5" s="12">
        <f t="shared" si="0"/>
        <v>85.399999999999991</v>
      </c>
      <c r="AR5" s="12"/>
      <c r="AS5" s="12">
        <f t="shared" si="0"/>
        <v>24.4</v>
      </c>
      <c r="AT5" s="12">
        <f t="shared" si="0"/>
        <v>12.9</v>
      </c>
      <c r="AU5" s="12">
        <f t="shared" si="0"/>
        <v>64.099999999999994</v>
      </c>
      <c r="AV5" s="12">
        <f t="shared" si="0"/>
        <v>67.900000000000006</v>
      </c>
      <c r="AW5" s="12">
        <f t="shared" si="0"/>
        <v>63.3</v>
      </c>
      <c r="AX5" s="12">
        <f t="shared" si="0"/>
        <v>89.3</v>
      </c>
      <c r="AY5" s="12"/>
      <c r="AZ5" s="12">
        <f t="shared" ref="AZ5:AZ68" si="3">100-(PERCENTRANK(Y$4:Y$298,Y5))*100</f>
        <v>92.4</v>
      </c>
      <c r="BA5" s="12">
        <f t="shared" ref="BA5:BA68" si="4">100-(PERCENTRANK(Z$4:Z$298,Z5))*100</f>
        <v>61.9</v>
      </c>
      <c r="BB5" s="12"/>
      <c r="BC5" s="12">
        <f t="shared" ref="BC5:BC68" si="5">(PERCENTRANK(AB$4:AB$298,AB5))*100</f>
        <v>50.3</v>
      </c>
      <c r="BD5" s="12">
        <f t="shared" ref="BD5:BD68" si="6">(PERCENTRANK(AC$4:AC$298,AC5))*100</f>
        <v>87</v>
      </c>
      <c r="BE5" s="12">
        <f t="shared" ref="BE5:BE68" si="7">100-(PERCENTRANK(AD$4:AD$298,AD5))*100</f>
        <v>84</v>
      </c>
    </row>
    <row r="6" spans="1:57" x14ac:dyDescent="0.25">
      <c r="A6" s="1" t="s">
        <v>90</v>
      </c>
      <c r="B6" s="3" t="s">
        <v>91</v>
      </c>
      <c r="C6" s="4" t="s">
        <v>92</v>
      </c>
      <c r="D6" s="4">
        <v>34</v>
      </c>
      <c r="E6" s="4">
        <v>1068</v>
      </c>
      <c r="F6" s="4">
        <v>34</v>
      </c>
      <c r="G6" s="4">
        <v>1068</v>
      </c>
      <c r="H6" s="4">
        <v>0.50900000000000001</v>
      </c>
      <c r="I6" s="4">
        <v>14.4</v>
      </c>
      <c r="J6" s="4"/>
      <c r="K6" s="4">
        <v>0.65300000000000002</v>
      </c>
      <c r="L6" s="4">
        <v>0.253</v>
      </c>
      <c r="M6" s="4">
        <v>6.6000000000000003E-2</v>
      </c>
      <c r="N6" s="4">
        <v>0.13300000000000001</v>
      </c>
      <c r="O6" s="4">
        <v>0.20100000000000001</v>
      </c>
      <c r="P6" s="4">
        <v>0.34699999999999998</v>
      </c>
      <c r="Q6" s="4"/>
      <c r="R6" s="4">
        <v>0.53800000000000003</v>
      </c>
      <c r="S6" s="4">
        <v>0.69</v>
      </c>
      <c r="T6" s="4">
        <v>0.433</v>
      </c>
      <c r="U6" s="4">
        <v>0.47499999999999998</v>
      </c>
      <c r="V6" s="4">
        <v>0.42399999999999999</v>
      </c>
      <c r="W6" s="4">
        <v>0.45300000000000001</v>
      </c>
      <c r="X6" s="4"/>
      <c r="Y6" s="4">
        <v>0.65800000000000003</v>
      </c>
      <c r="Z6" s="4">
        <v>0.88900000000000001</v>
      </c>
      <c r="AA6" s="4"/>
      <c r="AB6" s="4">
        <v>0.126</v>
      </c>
      <c r="AC6" s="4">
        <v>0.65</v>
      </c>
      <c r="AD6" s="10">
        <f t="shared" si="1"/>
        <v>0.73815700000000006</v>
      </c>
      <c r="AE6" s="9"/>
      <c r="AF6" s="9"/>
      <c r="AG6" s="12">
        <f t="shared" si="2"/>
        <v>65.600000000000009</v>
      </c>
      <c r="AH6" s="12">
        <f t="shared" si="0"/>
        <v>98.4</v>
      </c>
      <c r="AI6" s="12">
        <f t="shared" si="0"/>
        <v>87.7</v>
      </c>
      <c r="AJ6" s="12">
        <f t="shared" si="0"/>
        <v>70.899999999999991</v>
      </c>
      <c r="AK6" s="12"/>
      <c r="AL6" s="12">
        <f t="shared" si="0"/>
        <v>25.900000000000002</v>
      </c>
      <c r="AM6" s="12">
        <f t="shared" si="0"/>
        <v>48.8</v>
      </c>
      <c r="AN6" s="12">
        <f t="shared" si="0"/>
        <v>3.8</v>
      </c>
      <c r="AO6" s="12">
        <f t="shared" si="0"/>
        <v>56.399999999999991</v>
      </c>
      <c r="AP6" s="12">
        <f t="shared" si="0"/>
        <v>54.900000000000006</v>
      </c>
      <c r="AQ6" s="12">
        <f t="shared" si="0"/>
        <v>74</v>
      </c>
      <c r="AR6" s="12"/>
      <c r="AS6" s="12">
        <f t="shared" si="0"/>
        <v>89.3</v>
      </c>
      <c r="AT6" s="12">
        <f t="shared" si="0"/>
        <v>73.2</v>
      </c>
      <c r="AU6" s="12">
        <f t="shared" si="0"/>
        <v>79.3</v>
      </c>
      <c r="AV6" s="12">
        <f t="shared" si="0"/>
        <v>87.7</v>
      </c>
      <c r="AW6" s="12">
        <f t="shared" si="0"/>
        <v>79.3</v>
      </c>
      <c r="AX6" s="12">
        <f t="shared" si="0"/>
        <v>96.1</v>
      </c>
      <c r="AY6" s="12"/>
      <c r="AZ6" s="12">
        <f t="shared" si="3"/>
        <v>26</v>
      </c>
      <c r="BA6" s="12">
        <f t="shared" si="4"/>
        <v>38.200000000000003</v>
      </c>
      <c r="BB6" s="12"/>
      <c r="BC6" s="12">
        <f t="shared" si="5"/>
        <v>57.199999999999996</v>
      </c>
      <c r="BD6" s="12">
        <f t="shared" si="6"/>
        <v>93.8</v>
      </c>
      <c r="BE6" s="12">
        <f t="shared" si="7"/>
        <v>19.899999999999991</v>
      </c>
    </row>
    <row r="7" spans="1:57" x14ac:dyDescent="0.25">
      <c r="A7" s="1" t="s">
        <v>93</v>
      </c>
      <c r="B7" s="3" t="s">
        <v>86</v>
      </c>
      <c r="C7" s="4" t="s">
        <v>92</v>
      </c>
      <c r="D7" s="4">
        <v>32</v>
      </c>
      <c r="E7" s="4">
        <v>1057</v>
      </c>
      <c r="F7" s="4">
        <v>32</v>
      </c>
      <c r="G7" s="4">
        <v>1057</v>
      </c>
      <c r="H7" s="4">
        <v>0.51500000000000001</v>
      </c>
      <c r="I7" s="4">
        <v>9.3000000000000007</v>
      </c>
      <c r="J7" s="4"/>
      <c r="K7" s="4">
        <v>0.99199999999999999</v>
      </c>
      <c r="L7" s="4">
        <v>0.30099999999999999</v>
      </c>
      <c r="M7" s="4">
        <v>0.253</v>
      </c>
      <c r="N7" s="4">
        <v>0.20499999999999999</v>
      </c>
      <c r="O7" s="4">
        <v>0.23499999999999999</v>
      </c>
      <c r="P7" s="4">
        <v>8.0000000000000002E-3</v>
      </c>
      <c r="Q7" s="4"/>
      <c r="R7" s="4">
        <v>0.51900000000000002</v>
      </c>
      <c r="S7" s="4">
        <v>0.73099999999999998</v>
      </c>
      <c r="T7" s="4">
        <v>0.39</v>
      </c>
      <c r="U7" s="4">
        <v>0.42</v>
      </c>
      <c r="V7" s="4">
        <v>0.47299999999999998</v>
      </c>
      <c r="W7" s="4">
        <v>0</v>
      </c>
      <c r="X7" s="4"/>
      <c r="Y7" s="4">
        <v>0.69599999999999995</v>
      </c>
      <c r="Z7" s="4">
        <v>0</v>
      </c>
      <c r="AA7" s="4"/>
      <c r="AB7" s="4">
        <v>0</v>
      </c>
      <c r="AC7" s="4">
        <v>0</v>
      </c>
      <c r="AD7" s="10">
        <f t="shared" si="1"/>
        <v>0.69043199999999993</v>
      </c>
      <c r="AE7" s="9"/>
      <c r="AF7" s="9"/>
      <c r="AG7" s="12">
        <f t="shared" si="2"/>
        <v>45</v>
      </c>
      <c r="AH7" s="12">
        <f t="shared" si="0"/>
        <v>97.7</v>
      </c>
      <c r="AI7" s="12">
        <f t="shared" si="0"/>
        <v>88.5</v>
      </c>
      <c r="AJ7" s="12">
        <f t="shared" si="0"/>
        <v>24.4</v>
      </c>
      <c r="AK7" s="12"/>
      <c r="AL7" s="12">
        <f t="shared" si="0"/>
        <v>77.8</v>
      </c>
      <c r="AM7" s="12">
        <f t="shared" si="0"/>
        <v>64.099999999999994</v>
      </c>
      <c r="AN7" s="12">
        <f t="shared" si="0"/>
        <v>80.100000000000009</v>
      </c>
      <c r="AO7" s="12">
        <f t="shared" si="0"/>
        <v>85.399999999999991</v>
      </c>
      <c r="AP7" s="12">
        <f t="shared" si="0"/>
        <v>67.100000000000009</v>
      </c>
      <c r="AQ7" s="12">
        <f t="shared" si="0"/>
        <v>21.3</v>
      </c>
      <c r="AR7" s="12"/>
      <c r="AS7" s="12">
        <f t="shared" si="0"/>
        <v>87</v>
      </c>
      <c r="AT7" s="12">
        <f t="shared" si="0"/>
        <v>86.2</v>
      </c>
      <c r="AU7" s="12">
        <f t="shared" si="0"/>
        <v>67.100000000000009</v>
      </c>
      <c r="AV7" s="12">
        <f t="shared" si="0"/>
        <v>80.100000000000009</v>
      </c>
      <c r="AW7" s="12">
        <f t="shared" si="0"/>
        <v>89.3</v>
      </c>
      <c r="AX7" s="12">
        <f t="shared" si="0"/>
        <v>0</v>
      </c>
      <c r="AY7" s="12"/>
      <c r="AZ7" s="12">
        <f t="shared" si="3"/>
        <v>18.400000000000006</v>
      </c>
      <c r="BA7" s="12">
        <f t="shared" si="4"/>
        <v>100</v>
      </c>
      <c r="BB7" s="12"/>
      <c r="BC7" s="12">
        <f t="shared" si="5"/>
        <v>0</v>
      </c>
      <c r="BD7" s="12">
        <f t="shared" si="6"/>
        <v>0</v>
      </c>
      <c r="BE7" s="12">
        <f t="shared" si="7"/>
        <v>32.099999999999994</v>
      </c>
    </row>
    <row r="8" spans="1:57" x14ac:dyDescent="0.25">
      <c r="A8" s="1" t="s">
        <v>94</v>
      </c>
      <c r="B8" s="3" t="s">
        <v>95</v>
      </c>
      <c r="C8" s="4" t="s">
        <v>8</v>
      </c>
      <c r="D8" s="4">
        <v>34</v>
      </c>
      <c r="E8" s="4">
        <v>1050</v>
      </c>
      <c r="F8" s="4">
        <v>34</v>
      </c>
      <c r="G8" s="4">
        <v>1050</v>
      </c>
      <c r="H8" s="4">
        <v>0.44</v>
      </c>
      <c r="I8" s="4">
        <v>11.5</v>
      </c>
      <c r="J8" s="4"/>
      <c r="K8" s="4">
        <v>0.86099999999999999</v>
      </c>
      <c r="L8" s="4">
        <v>0.29199999999999998</v>
      </c>
      <c r="M8" s="4">
        <v>0.19600000000000001</v>
      </c>
      <c r="N8" s="4">
        <v>8.4000000000000005E-2</v>
      </c>
      <c r="O8" s="4">
        <v>0.28899999999999998</v>
      </c>
      <c r="P8" s="4">
        <v>0.13900000000000001</v>
      </c>
      <c r="Q8" s="4"/>
      <c r="R8" s="4">
        <v>0.46500000000000002</v>
      </c>
      <c r="S8" s="4">
        <v>0.60799999999999998</v>
      </c>
      <c r="T8" s="4">
        <v>0.35399999999999998</v>
      </c>
      <c r="U8" s="4">
        <v>0.32100000000000001</v>
      </c>
      <c r="V8" s="4">
        <v>0.438</v>
      </c>
      <c r="W8" s="4">
        <v>0.28299999999999997</v>
      </c>
      <c r="X8" s="4"/>
      <c r="Y8" s="4">
        <v>0.316</v>
      </c>
      <c r="Z8" s="4">
        <v>0.69199999999999995</v>
      </c>
      <c r="AA8" s="4"/>
      <c r="AB8" s="4">
        <v>0.152</v>
      </c>
      <c r="AC8" s="4">
        <v>0.57099999999999995</v>
      </c>
      <c r="AD8" s="10">
        <f t="shared" si="1"/>
        <v>0.36826399999999998</v>
      </c>
      <c r="AE8" s="9"/>
      <c r="AF8" s="9"/>
      <c r="AG8" s="12">
        <f t="shared" si="2"/>
        <v>65.600000000000009</v>
      </c>
      <c r="AH8" s="12">
        <f t="shared" si="0"/>
        <v>96.899999999999991</v>
      </c>
      <c r="AI8" s="12">
        <f t="shared" si="0"/>
        <v>67.900000000000006</v>
      </c>
      <c r="AJ8" s="12">
        <f t="shared" si="0"/>
        <v>37.4</v>
      </c>
      <c r="AK8" s="12"/>
      <c r="AL8" s="12">
        <f t="shared" si="0"/>
        <v>61</v>
      </c>
      <c r="AM8" s="12">
        <f t="shared" si="0"/>
        <v>60.3</v>
      </c>
      <c r="AN8" s="12">
        <f t="shared" si="0"/>
        <v>57.199999999999996</v>
      </c>
      <c r="AO8" s="12">
        <f t="shared" si="0"/>
        <v>32</v>
      </c>
      <c r="AP8" s="12">
        <f t="shared" si="0"/>
        <v>81.599999999999994</v>
      </c>
      <c r="AQ8" s="12">
        <f t="shared" si="0"/>
        <v>38.9</v>
      </c>
      <c r="AR8" s="12"/>
      <c r="AS8" s="12">
        <f t="shared" si="0"/>
        <v>65.600000000000009</v>
      </c>
      <c r="AT8" s="12">
        <f t="shared" si="0"/>
        <v>51.1</v>
      </c>
      <c r="AU8" s="12">
        <f t="shared" si="0"/>
        <v>53.400000000000006</v>
      </c>
      <c r="AV8" s="12">
        <f t="shared" si="0"/>
        <v>41.199999999999996</v>
      </c>
      <c r="AW8" s="12">
        <f t="shared" si="0"/>
        <v>83.2</v>
      </c>
      <c r="AX8" s="12">
        <f t="shared" si="0"/>
        <v>55.7</v>
      </c>
      <c r="AY8" s="12"/>
      <c r="AZ8" s="12">
        <f t="shared" si="3"/>
        <v>79.400000000000006</v>
      </c>
      <c r="BA8" s="12">
        <f t="shared" si="4"/>
        <v>58.1</v>
      </c>
      <c r="BB8" s="12"/>
      <c r="BC8" s="12">
        <f t="shared" si="5"/>
        <v>61.8</v>
      </c>
      <c r="BD8" s="12">
        <f t="shared" si="6"/>
        <v>93.100000000000009</v>
      </c>
      <c r="BE8" s="12">
        <f t="shared" si="7"/>
        <v>90.1</v>
      </c>
    </row>
    <row r="9" spans="1:57" x14ac:dyDescent="0.25">
      <c r="A9" s="1" t="s">
        <v>96</v>
      </c>
      <c r="B9" s="3" t="s">
        <v>97</v>
      </c>
      <c r="C9" s="4" t="s">
        <v>8</v>
      </c>
      <c r="D9" s="4">
        <v>34</v>
      </c>
      <c r="E9" s="4">
        <v>1037</v>
      </c>
      <c r="F9" s="4">
        <v>34</v>
      </c>
      <c r="G9" s="4">
        <v>1037</v>
      </c>
      <c r="H9" s="4">
        <v>0.4</v>
      </c>
      <c r="I9" s="4">
        <v>14.8</v>
      </c>
      <c r="J9" s="4"/>
      <c r="K9" s="4">
        <v>0.74299999999999999</v>
      </c>
      <c r="L9" s="4">
        <v>0.14399999999999999</v>
      </c>
      <c r="M9" s="4">
        <v>0.13100000000000001</v>
      </c>
      <c r="N9" s="4">
        <v>0.20599999999999999</v>
      </c>
      <c r="O9" s="4">
        <v>0.26300000000000001</v>
      </c>
      <c r="P9" s="4">
        <v>0.25700000000000001</v>
      </c>
      <c r="Q9" s="4"/>
      <c r="R9" s="4">
        <v>0.40500000000000003</v>
      </c>
      <c r="S9" s="4">
        <v>0.56899999999999995</v>
      </c>
      <c r="T9" s="4">
        <v>0.373</v>
      </c>
      <c r="U9" s="4">
        <v>0.35499999999999998</v>
      </c>
      <c r="V9" s="4">
        <v>0.37</v>
      </c>
      <c r="W9" s="4">
        <v>0.38800000000000001</v>
      </c>
      <c r="X9" s="4"/>
      <c r="Y9" s="4">
        <v>0.58799999999999997</v>
      </c>
      <c r="Z9" s="4">
        <v>0.84399999999999997</v>
      </c>
      <c r="AA9" s="4"/>
      <c r="AB9" s="4">
        <v>0.112</v>
      </c>
      <c r="AC9" s="4">
        <v>0.38500000000000001</v>
      </c>
      <c r="AD9" s="10">
        <f t="shared" si="1"/>
        <v>0.65379199999999993</v>
      </c>
      <c r="AE9" s="9"/>
      <c r="AF9" s="9"/>
      <c r="AG9" s="12">
        <f t="shared" si="2"/>
        <v>65.600000000000009</v>
      </c>
      <c r="AH9" s="12">
        <f t="shared" si="0"/>
        <v>96.1</v>
      </c>
      <c r="AI9" s="12">
        <f t="shared" si="0"/>
        <v>43.5</v>
      </c>
      <c r="AJ9" s="12">
        <f t="shared" si="0"/>
        <v>73.2</v>
      </c>
      <c r="AK9" s="12"/>
      <c r="AL9" s="12">
        <f t="shared" si="0"/>
        <v>39.6</v>
      </c>
      <c r="AM9" s="12">
        <f t="shared" si="0"/>
        <v>18.3</v>
      </c>
      <c r="AN9" s="12">
        <f t="shared" si="0"/>
        <v>28.199999999999996</v>
      </c>
      <c r="AO9" s="12">
        <f t="shared" si="0"/>
        <v>86.2</v>
      </c>
      <c r="AP9" s="12">
        <f t="shared" si="0"/>
        <v>75.5</v>
      </c>
      <c r="AQ9" s="12">
        <f t="shared" si="0"/>
        <v>60.3</v>
      </c>
      <c r="AR9" s="12"/>
      <c r="AS9" s="12">
        <f t="shared" si="0"/>
        <v>35.099999999999994</v>
      </c>
      <c r="AT9" s="12">
        <f t="shared" si="0"/>
        <v>37.4</v>
      </c>
      <c r="AU9" s="12">
        <f t="shared" si="0"/>
        <v>61</v>
      </c>
      <c r="AV9" s="12">
        <f t="shared" si="0"/>
        <v>58.699999999999996</v>
      </c>
      <c r="AW9" s="12">
        <f t="shared" si="0"/>
        <v>61</v>
      </c>
      <c r="AX9" s="12">
        <f t="shared" si="0"/>
        <v>87.7</v>
      </c>
      <c r="AY9" s="12"/>
      <c r="AZ9" s="12">
        <f t="shared" si="3"/>
        <v>45.9</v>
      </c>
      <c r="BA9" s="12">
        <f t="shared" si="4"/>
        <v>43.600000000000009</v>
      </c>
      <c r="BB9" s="12"/>
      <c r="BC9" s="12">
        <f t="shared" si="5"/>
        <v>53.400000000000006</v>
      </c>
      <c r="BD9" s="12">
        <f t="shared" si="6"/>
        <v>73.2</v>
      </c>
      <c r="BE9" s="12">
        <f t="shared" si="7"/>
        <v>42.800000000000004</v>
      </c>
    </row>
    <row r="10" spans="1:57" x14ac:dyDescent="0.25">
      <c r="A10" s="1" t="s">
        <v>98</v>
      </c>
      <c r="B10" s="3" t="s">
        <v>99</v>
      </c>
      <c r="C10" s="4" t="s">
        <v>100</v>
      </c>
      <c r="D10" s="4">
        <v>33</v>
      </c>
      <c r="E10" s="4">
        <v>1036</v>
      </c>
      <c r="F10" s="4">
        <v>33</v>
      </c>
      <c r="G10" s="4">
        <v>1036</v>
      </c>
      <c r="H10" s="4">
        <v>0.41299999999999998</v>
      </c>
      <c r="I10" s="4">
        <v>12</v>
      </c>
      <c r="J10" s="4"/>
      <c r="K10" s="4">
        <v>0.81</v>
      </c>
      <c r="L10" s="4">
        <v>0.29499999999999998</v>
      </c>
      <c r="M10" s="4">
        <v>0.159</v>
      </c>
      <c r="N10" s="4">
        <v>0.11700000000000001</v>
      </c>
      <c r="O10" s="4">
        <v>0.23799999999999999</v>
      </c>
      <c r="P10" s="4">
        <v>0.19</v>
      </c>
      <c r="Q10" s="4"/>
      <c r="R10" s="4">
        <v>0.46200000000000002</v>
      </c>
      <c r="S10" s="4">
        <v>0.68799999999999994</v>
      </c>
      <c r="T10" s="4">
        <v>0.36799999999999999</v>
      </c>
      <c r="U10" s="4">
        <v>0.32900000000000001</v>
      </c>
      <c r="V10" s="4">
        <v>0.31</v>
      </c>
      <c r="W10" s="4">
        <v>0.20399999999999999</v>
      </c>
      <c r="X10" s="4"/>
      <c r="Y10" s="4">
        <v>0.377</v>
      </c>
      <c r="Z10" s="4">
        <v>0.73899999999999999</v>
      </c>
      <c r="AA10" s="4"/>
      <c r="AB10" s="4">
        <v>8.7999999999999995E-2</v>
      </c>
      <c r="AC10" s="4">
        <v>0.3</v>
      </c>
      <c r="AD10" s="10">
        <f t="shared" si="1"/>
        <v>0.44578000000000007</v>
      </c>
      <c r="AE10" s="9"/>
      <c r="AF10" s="9"/>
      <c r="AG10" s="12">
        <f t="shared" si="2"/>
        <v>54.900000000000006</v>
      </c>
      <c r="AH10" s="12">
        <f t="shared" si="0"/>
        <v>95.399999999999991</v>
      </c>
      <c r="AI10" s="12">
        <f t="shared" si="0"/>
        <v>52.6</v>
      </c>
      <c r="AJ10" s="12">
        <f t="shared" si="0"/>
        <v>45.800000000000004</v>
      </c>
      <c r="AK10" s="12"/>
      <c r="AL10" s="12">
        <f t="shared" si="0"/>
        <v>54.1</v>
      </c>
      <c r="AM10" s="12">
        <f t="shared" si="0"/>
        <v>62.5</v>
      </c>
      <c r="AN10" s="12">
        <f t="shared" si="0"/>
        <v>42.699999999999996</v>
      </c>
      <c r="AO10" s="12">
        <f t="shared" si="0"/>
        <v>45.800000000000004</v>
      </c>
      <c r="AP10" s="12">
        <f t="shared" si="0"/>
        <v>68.7</v>
      </c>
      <c r="AQ10" s="12">
        <f t="shared" si="0"/>
        <v>45</v>
      </c>
      <c r="AR10" s="12"/>
      <c r="AS10" s="12">
        <f t="shared" si="0"/>
        <v>64.099999999999994</v>
      </c>
      <c r="AT10" s="12">
        <f t="shared" si="0"/>
        <v>71.7</v>
      </c>
      <c r="AU10" s="12">
        <f t="shared" si="0"/>
        <v>60.3</v>
      </c>
      <c r="AV10" s="12">
        <f t="shared" si="0"/>
        <v>44.2</v>
      </c>
      <c r="AW10" s="12">
        <f t="shared" si="0"/>
        <v>37.4</v>
      </c>
      <c r="AX10" s="12">
        <f t="shared" si="0"/>
        <v>38.1</v>
      </c>
      <c r="AY10" s="12"/>
      <c r="AZ10" s="12">
        <f t="shared" si="3"/>
        <v>72.599999999999994</v>
      </c>
      <c r="BA10" s="12">
        <f t="shared" si="4"/>
        <v>52.7</v>
      </c>
      <c r="BB10" s="12"/>
      <c r="BC10" s="12">
        <f t="shared" si="5"/>
        <v>46.5</v>
      </c>
      <c r="BD10" s="12">
        <f t="shared" si="6"/>
        <v>62.5</v>
      </c>
      <c r="BE10" s="12">
        <f t="shared" si="7"/>
        <v>77.099999999999994</v>
      </c>
    </row>
    <row r="11" spans="1:57" x14ac:dyDescent="0.25">
      <c r="A11" s="1" t="s">
        <v>101</v>
      </c>
      <c r="B11" s="3" t="s">
        <v>86</v>
      </c>
      <c r="C11" s="4" t="s">
        <v>8</v>
      </c>
      <c r="D11" s="4">
        <v>32</v>
      </c>
      <c r="E11" s="4">
        <v>1032</v>
      </c>
      <c r="F11" s="4">
        <v>32</v>
      </c>
      <c r="G11" s="4">
        <v>1032</v>
      </c>
      <c r="H11" s="4">
        <v>0.45600000000000002</v>
      </c>
      <c r="I11" s="4">
        <v>16</v>
      </c>
      <c r="J11" s="4"/>
      <c r="K11" s="4">
        <v>0.54700000000000004</v>
      </c>
      <c r="L11" s="4">
        <v>0.16600000000000001</v>
      </c>
      <c r="M11" s="4">
        <v>0.13200000000000001</v>
      </c>
      <c r="N11" s="4">
        <v>8.6999999999999994E-2</v>
      </c>
      <c r="O11" s="4">
        <v>0.16200000000000001</v>
      </c>
      <c r="P11" s="4">
        <v>0.45300000000000001</v>
      </c>
      <c r="Q11" s="4"/>
      <c r="R11" s="4">
        <v>0.54600000000000004</v>
      </c>
      <c r="S11" s="4">
        <v>0.753</v>
      </c>
      <c r="T11" s="4">
        <v>0.44800000000000001</v>
      </c>
      <c r="U11" s="4">
        <v>0.52600000000000002</v>
      </c>
      <c r="V11" s="4">
        <v>0.42299999999999999</v>
      </c>
      <c r="W11" s="4">
        <v>0.34699999999999998</v>
      </c>
      <c r="X11" s="4"/>
      <c r="Y11" s="4">
        <v>0.221</v>
      </c>
      <c r="Z11" s="4">
        <v>0.63800000000000001</v>
      </c>
      <c r="AA11" s="4"/>
      <c r="AB11" s="4">
        <v>7.4999999999999997E-2</v>
      </c>
      <c r="AC11" s="4">
        <v>0.26700000000000002</v>
      </c>
      <c r="AD11" s="10">
        <f t="shared" si="1"/>
        <v>0.40990100000000002</v>
      </c>
      <c r="AE11" s="9"/>
      <c r="AF11" s="9"/>
      <c r="AG11" s="12">
        <f t="shared" si="2"/>
        <v>45</v>
      </c>
      <c r="AH11" s="12">
        <f t="shared" si="0"/>
        <v>94.6</v>
      </c>
      <c r="AI11" s="12">
        <f t="shared" si="0"/>
        <v>76.3</v>
      </c>
      <c r="AJ11" s="12">
        <f t="shared" si="0"/>
        <v>81.599999999999994</v>
      </c>
      <c r="AK11" s="12"/>
      <c r="AL11" s="12">
        <f t="shared" si="0"/>
        <v>13.700000000000001</v>
      </c>
      <c r="AM11" s="12">
        <f t="shared" si="0"/>
        <v>22.1</v>
      </c>
      <c r="AN11" s="12">
        <f t="shared" si="0"/>
        <v>28.999999999999996</v>
      </c>
      <c r="AO11" s="12">
        <f t="shared" si="0"/>
        <v>35.099999999999994</v>
      </c>
      <c r="AP11" s="12">
        <f t="shared" si="0"/>
        <v>41.199999999999996</v>
      </c>
      <c r="AQ11" s="12">
        <f t="shared" si="0"/>
        <v>86.2</v>
      </c>
      <c r="AR11" s="12"/>
      <c r="AS11" s="12">
        <f t="shared" si="0"/>
        <v>91.600000000000009</v>
      </c>
      <c r="AT11" s="12">
        <f t="shared" si="0"/>
        <v>90.8</v>
      </c>
      <c r="AU11" s="12">
        <f t="shared" si="0"/>
        <v>83.899999999999991</v>
      </c>
      <c r="AV11" s="12">
        <f t="shared" si="0"/>
        <v>95.399999999999991</v>
      </c>
      <c r="AW11" s="12">
        <f t="shared" si="0"/>
        <v>78.600000000000009</v>
      </c>
      <c r="AX11" s="12">
        <f t="shared" si="0"/>
        <v>76.3</v>
      </c>
      <c r="AY11" s="12"/>
      <c r="AZ11" s="12">
        <f t="shared" si="3"/>
        <v>88.6</v>
      </c>
      <c r="BA11" s="12">
        <f t="shared" si="4"/>
        <v>62.6</v>
      </c>
      <c r="BB11" s="12"/>
      <c r="BC11" s="12">
        <f t="shared" si="5"/>
        <v>40.400000000000006</v>
      </c>
      <c r="BD11" s="12">
        <f t="shared" si="6"/>
        <v>56.399999999999991</v>
      </c>
      <c r="BE11" s="12">
        <f t="shared" si="7"/>
        <v>83.3</v>
      </c>
    </row>
    <row r="12" spans="1:57" x14ac:dyDescent="0.25">
      <c r="A12" s="1" t="s">
        <v>102</v>
      </c>
      <c r="B12" s="3" t="s">
        <v>95</v>
      </c>
      <c r="C12" s="4" t="s">
        <v>92</v>
      </c>
      <c r="D12" s="4">
        <v>34</v>
      </c>
      <c r="E12" s="4">
        <v>1030</v>
      </c>
      <c r="F12" s="4">
        <v>34</v>
      </c>
      <c r="G12" s="4">
        <v>1030</v>
      </c>
      <c r="H12" s="4">
        <v>0.437</v>
      </c>
      <c r="I12" s="4">
        <v>8.4</v>
      </c>
      <c r="J12" s="4"/>
      <c r="K12" s="4">
        <v>0.83399999999999996</v>
      </c>
      <c r="L12" s="4">
        <v>0.36499999999999999</v>
      </c>
      <c r="M12" s="4">
        <v>0.35699999999999998</v>
      </c>
      <c r="N12" s="4">
        <v>5.8000000000000003E-2</v>
      </c>
      <c r="O12" s="4">
        <v>5.3999999999999999E-2</v>
      </c>
      <c r="P12" s="4">
        <v>0.16600000000000001</v>
      </c>
      <c r="Q12" s="4"/>
      <c r="R12" s="4">
        <v>0.46800000000000003</v>
      </c>
      <c r="S12" s="4">
        <v>0.57399999999999995</v>
      </c>
      <c r="T12" s="4">
        <v>0.39400000000000002</v>
      </c>
      <c r="U12" s="4">
        <v>0.25</v>
      </c>
      <c r="V12" s="4">
        <v>0.46700000000000003</v>
      </c>
      <c r="W12" s="4">
        <v>0.28299999999999997</v>
      </c>
      <c r="X12" s="4"/>
      <c r="Y12" s="4">
        <v>0.49099999999999999</v>
      </c>
      <c r="Z12" s="4">
        <v>0.92300000000000004</v>
      </c>
      <c r="AA12" s="4"/>
      <c r="AB12" s="4">
        <v>8.6999999999999994E-2</v>
      </c>
      <c r="AC12" s="4">
        <v>0.25</v>
      </c>
      <c r="AD12" s="10">
        <f t="shared" si="1"/>
        <v>0.56271199999999999</v>
      </c>
      <c r="AE12" s="9"/>
      <c r="AF12" s="9"/>
      <c r="AG12" s="12">
        <f t="shared" si="2"/>
        <v>65.600000000000009</v>
      </c>
      <c r="AH12" s="12">
        <f t="shared" si="0"/>
        <v>93.8</v>
      </c>
      <c r="AI12" s="12">
        <f t="shared" si="0"/>
        <v>64.8</v>
      </c>
      <c r="AJ12" s="12">
        <f t="shared" si="0"/>
        <v>19</v>
      </c>
      <c r="AK12" s="12"/>
      <c r="AL12" s="12">
        <f t="shared" si="0"/>
        <v>56.399999999999991</v>
      </c>
      <c r="AM12" s="12">
        <f t="shared" si="0"/>
        <v>77.8</v>
      </c>
      <c r="AN12" s="12">
        <f t="shared" si="0"/>
        <v>91.600000000000009</v>
      </c>
      <c r="AO12" s="12">
        <f t="shared" si="0"/>
        <v>14.499999999999998</v>
      </c>
      <c r="AP12" s="12">
        <f t="shared" si="0"/>
        <v>11.4</v>
      </c>
      <c r="AQ12" s="12">
        <f t="shared" si="0"/>
        <v>43.5</v>
      </c>
      <c r="AR12" s="12"/>
      <c r="AS12" s="12">
        <f t="shared" si="0"/>
        <v>69.399999999999991</v>
      </c>
      <c r="AT12" s="12">
        <f t="shared" si="0"/>
        <v>38.1</v>
      </c>
      <c r="AU12" s="12">
        <f t="shared" si="0"/>
        <v>68.7</v>
      </c>
      <c r="AV12" s="12">
        <f t="shared" si="0"/>
        <v>25.900000000000002</v>
      </c>
      <c r="AW12" s="12">
        <f t="shared" si="0"/>
        <v>88.5</v>
      </c>
      <c r="AX12" s="12">
        <f t="shared" si="0"/>
        <v>55.7</v>
      </c>
      <c r="AY12" s="12"/>
      <c r="AZ12" s="12">
        <f t="shared" si="3"/>
        <v>56.5</v>
      </c>
      <c r="BA12" s="12">
        <f t="shared" si="4"/>
        <v>32.899999999999991</v>
      </c>
      <c r="BB12" s="12"/>
      <c r="BC12" s="12">
        <f t="shared" si="5"/>
        <v>43.5</v>
      </c>
      <c r="BD12" s="12">
        <f t="shared" si="6"/>
        <v>54.900000000000006</v>
      </c>
      <c r="BE12" s="12">
        <f t="shared" si="7"/>
        <v>66.5</v>
      </c>
    </row>
    <row r="13" spans="1:57" x14ac:dyDescent="0.25">
      <c r="A13" s="1" t="s">
        <v>103</v>
      </c>
      <c r="B13" s="3" t="s">
        <v>104</v>
      </c>
      <c r="C13" s="4" t="s">
        <v>8</v>
      </c>
      <c r="D13" s="4">
        <v>30</v>
      </c>
      <c r="E13" s="4">
        <v>1027</v>
      </c>
      <c r="F13" s="4">
        <v>30</v>
      </c>
      <c r="G13" s="4">
        <v>1027</v>
      </c>
      <c r="H13" s="4">
        <v>0.36</v>
      </c>
      <c r="I13" s="4">
        <v>14.3</v>
      </c>
      <c r="J13" s="4"/>
      <c r="K13" s="4">
        <v>0.78300000000000003</v>
      </c>
      <c r="L13" s="4">
        <v>0.189</v>
      </c>
      <c r="M13" s="4">
        <v>0.112</v>
      </c>
      <c r="N13" s="4">
        <v>0.16</v>
      </c>
      <c r="O13" s="4">
        <v>0.32200000000000001</v>
      </c>
      <c r="P13" s="4">
        <v>0.217</v>
      </c>
      <c r="Q13" s="4"/>
      <c r="R13" s="4">
        <v>0.35799999999999998</v>
      </c>
      <c r="S13" s="4">
        <v>0.54400000000000004</v>
      </c>
      <c r="T13" s="4">
        <v>0.377</v>
      </c>
      <c r="U13" s="4">
        <v>0.316</v>
      </c>
      <c r="V13" s="4">
        <v>0.26100000000000001</v>
      </c>
      <c r="W13" s="4">
        <v>0.36899999999999999</v>
      </c>
      <c r="X13" s="4"/>
      <c r="Y13" s="4">
        <v>0.33100000000000002</v>
      </c>
      <c r="Z13" s="4">
        <v>0.47399999999999998</v>
      </c>
      <c r="AA13" s="4"/>
      <c r="AB13" s="4">
        <v>8.6999999999999994E-2</v>
      </c>
      <c r="AC13" s="4">
        <v>0.33300000000000002</v>
      </c>
      <c r="AD13" s="10">
        <f t="shared" si="1"/>
        <v>0.36203100000000005</v>
      </c>
      <c r="AE13" s="9"/>
      <c r="AF13" s="9"/>
      <c r="AG13" s="12">
        <f t="shared" si="2"/>
        <v>34.300000000000004</v>
      </c>
      <c r="AH13" s="12">
        <f t="shared" si="0"/>
        <v>93.100000000000009</v>
      </c>
      <c r="AI13" s="12">
        <f t="shared" si="0"/>
        <v>23.599999999999998</v>
      </c>
      <c r="AJ13" s="12">
        <f t="shared" si="0"/>
        <v>70.199999999999989</v>
      </c>
      <c r="AK13" s="12"/>
      <c r="AL13" s="12">
        <f t="shared" si="0"/>
        <v>48</v>
      </c>
      <c r="AM13" s="12">
        <f t="shared" si="0"/>
        <v>28.199999999999996</v>
      </c>
      <c r="AN13" s="12">
        <f t="shared" si="0"/>
        <v>20.599999999999998</v>
      </c>
      <c r="AO13" s="12">
        <f t="shared" si="0"/>
        <v>70.899999999999991</v>
      </c>
      <c r="AP13" s="12">
        <f t="shared" si="0"/>
        <v>89.3</v>
      </c>
      <c r="AQ13" s="12">
        <f t="shared" si="0"/>
        <v>51.9</v>
      </c>
      <c r="AR13" s="12"/>
      <c r="AS13" s="12">
        <f t="shared" si="0"/>
        <v>15.2</v>
      </c>
      <c r="AT13" s="12">
        <f t="shared" si="0"/>
        <v>28.999999999999996</v>
      </c>
      <c r="AU13" s="12">
        <f t="shared" si="0"/>
        <v>61.8</v>
      </c>
      <c r="AV13" s="12">
        <f t="shared" si="0"/>
        <v>38.1</v>
      </c>
      <c r="AW13" s="12">
        <f t="shared" si="0"/>
        <v>25.1</v>
      </c>
      <c r="AX13" s="12">
        <f t="shared" si="0"/>
        <v>82.399999999999991</v>
      </c>
      <c r="AY13" s="12"/>
      <c r="AZ13" s="12">
        <f t="shared" si="3"/>
        <v>78.7</v>
      </c>
      <c r="BA13" s="12">
        <f t="shared" si="4"/>
        <v>68</v>
      </c>
      <c r="BB13" s="12"/>
      <c r="BC13" s="12">
        <f t="shared" si="5"/>
        <v>43.5</v>
      </c>
      <c r="BD13" s="12">
        <f t="shared" si="6"/>
        <v>64.8</v>
      </c>
      <c r="BE13" s="12">
        <f t="shared" si="7"/>
        <v>91.7</v>
      </c>
    </row>
    <row r="14" spans="1:57" x14ac:dyDescent="0.25">
      <c r="A14" s="1" t="s">
        <v>105</v>
      </c>
      <c r="B14" s="3" t="s">
        <v>106</v>
      </c>
      <c r="C14" s="4" t="s">
        <v>92</v>
      </c>
      <c r="D14" s="4">
        <v>34</v>
      </c>
      <c r="E14" s="4">
        <v>1022</v>
      </c>
      <c r="F14" s="4">
        <v>34</v>
      </c>
      <c r="G14" s="4">
        <v>1022</v>
      </c>
      <c r="H14" s="4">
        <v>0.54500000000000004</v>
      </c>
      <c r="I14" s="4">
        <v>3.1</v>
      </c>
      <c r="J14" s="4"/>
      <c r="K14" s="4">
        <v>1</v>
      </c>
      <c r="L14" s="4">
        <v>0.68799999999999994</v>
      </c>
      <c r="M14" s="4">
        <v>0.27500000000000002</v>
      </c>
      <c r="N14" s="4">
        <v>3.2000000000000001E-2</v>
      </c>
      <c r="O14" s="4">
        <v>5.0000000000000001E-3</v>
      </c>
      <c r="P14" s="4">
        <v>0</v>
      </c>
      <c r="Q14" s="4"/>
      <c r="R14" s="4">
        <v>0.54500000000000004</v>
      </c>
      <c r="S14" s="4">
        <v>0.6</v>
      </c>
      <c r="T14" s="4">
        <v>0.46200000000000002</v>
      </c>
      <c r="U14" s="4">
        <v>0.16700000000000001</v>
      </c>
      <c r="V14" s="4">
        <v>0</v>
      </c>
      <c r="W14" s="4">
        <v>0</v>
      </c>
      <c r="X14" s="4"/>
      <c r="Y14" s="4">
        <v>0.60199999999999998</v>
      </c>
      <c r="Z14" s="4">
        <v>0</v>
      </c>
      <c r="AA14" s="4"/>
      <c r="AB14" s="4">
        <v>0</v>
      </c>
      <c r="AC14" s="4">
        <v>0</v>
      </c>
      <c r="AD14" s="10">
        <f t="shared" si="1"/>
        <v>0.60199999999999998</v>
      </c>
      <c r="AE14" s="9"/>
      <c r="AF14" s="9"/>
      <c r="AG14" s="12">
        <f t="shared" si="2"/>
        <v>65.600000000000009</v>
      </c>
      <c r="AH14" s="12">
        <f t="shared" si="0"/>
        <v>92.300000000000011</v>
      </c>
      <c r="AI14" s="12">
        <f t="shared" si="0"/>
        <v>93.100000000000009</v>
      </c>
      <c r="AJ14" s="12">
        <f t="shared" si="0"/>
        <v>0.70000000000000007</v>
      </c>
      <c r="AK14" s="12"/>
      <c r="AL14" s="12">
        <f t="shared" si="0"/>
        <v>83.2</v>
      </c>
      <c r="AM14" s="12">
        <f t="shared" si="0"/>
        <v>98.4</v>
      </c>
      <c r="AN14" s="12">
        <f t="shared" si="0"/>
        <v>84.7</v>
      </c>
      <c r="AO14" s="12">
        <f t="shared" si="0"/>
        <v>4.5</v>
      </c>
      <c r="AP14" s="12">
        <f t="shared" si="0"/>
        <v>2.1999999999999997</v>
      </c>
      <c r="AQ14" s="12">
        <f t="shared" si="0"/>
        <v>0</v>
      </c>
      <c r="AR14" s="12"/>
      <c r="AS14" s="12">
        <f t="shared" si="0"/>
        <v>90.8</v>
      </c>
      <c r="AT14" s="12">
        <f t="shared" si="0"/>
        <v>45.800000000000004</v>
      </c>
      <c r="AU14" s="12">
        <f t="shared" si="0"/>
        <v>85.399999999999991</v>
      </c>
      <c r="AV14" s="12">
        <f t="shared" si="0"/>
        <v>15.2</v>
      </c>
      <c r="AW14" s="12">
        <f t="shared" si="0"/>
        <v>0</v>
      </c>
      <c r="AX14" s="12">
        <f t="shared" si="0"/>
        <v>0</v>
      </c>
      <c r="AY14" s="12"/>
      <c r="AZ14" s="12">
        <f t="shared" si="3"/>
        <v>39.700000000000003</v>
      </c>
      <c r="BA14" s="12">
        <f t="shared" si="4"/>
        <v>100</v>
      </c>
      <c r="BB14" s="12"/>
      <c r="BC14" s="12">
        <f t="shared" si="5"/>
        <v>0</v>
      </c>
      <c r="BD14" s="12">
        <f t="shared" si="6"/>
        <v>0</v>
      </c>
      <c r="BE14" s="12">
        <f t="shared" si="7"/>
        <v>56.5</v>
      </c>
    </row>
    <row r="15" spans="1:57" x14ac:dyDescent="0.25">
      <c r="A15" s="1" t="s">
        <v>107</v>
      </c>
      <c r="B15" s="3" t="s">
        <v>108</v>
      </c>
      <c r="C15" s="4" t="s">
        <v>8</v>
      </c>
      <c r="D15" s="4">
        <v>34</v>
      </c>
      <c r="E15" s="4">
        <v>1019</v>
      </c>
      <c r="F15" s="4">
        <v>34</v>
      </c>
      <c r="G15" s="4">
        <v>1019</v>
      </c>
      <c r="H15" s="4">
        <v>0.45700000000000002</v>
      </c>
      <c r="I15" s="4">
        <v>17</v>
      </c>
      <c r="J15" s="4"/>
      <c r="K15" s="4">
        <v>0.67700000000000005</v>
      </c>
      <c r="L15" s="4">
        <v>0.114</v>
      </c>
      <c r="M15" s="4">
        <v>8.3000000000000004E-2</v>
      </c>
      <c r="N15" s="4">
        <v>0.14899999999999999</v>
      </c>
      <c r="O15" s="4">
        <v>0.33100000000000002</v>
      </c>
      <c r="P15" s="4">
        <v>0.32300000000000001</v>
      </c>
      <c r="Q15" s="4"/>
      <c r="R15" s="4">
        <v>0.49299999999999999</v>
      </c>
      <c r="S15" s="4">
        <v>0.71099999999999997</v>
      </c>
      <c r="T15" s="4">
        <v>0.42399999999999999</v>
      </c>
      <c r="U15" s="4">
        <v>0.64400000000000002</v>
      </c>
      <c r="V15" s="4">
        <v>0.36599999999999999</v>
      </c>
      <c r="W15" s="4">
        <v>0.38300000000000001</v>
      </c>
      <c r="X15" s="4"/>
      <c r="Y15" s="4">
        <v>0.44700000000000001</v>
      </c>
      <c r="Z15" s="4">
        <v>0.69399999999999995</v>
      </c>
      <c r="AA15" s="4"/>
      <c r="AB15" s="4">
        <v>0.188</v>
      </c>
      <c r="AC15" s="4">
        <v>0.45800000000000002</v>
      </c>
      <c r="AD15" s="10">
        <f t="shared" si="1"/>
        <v>0.52678100000000005</v>
      </c>
      <c r="AE15" s="9"/>
      <c r="AF15" s="9"/>
      <c r="AG15" s="12">
        <f t="shared" si="2"/>
        <v>65.600000000000009</v>
      </c>
      <c r="AH15" s="12">
        <f t="shared" si="0"/>
        <v>91.600000000000009</v>
      </c>
      <c r="AI15" s="12">
        <f t="shared" si="0"/>
        <v>77</v>
      </c>
      <c r="AJ15" s="12">
        <f t="shared" si="0"/>
        <v>87</v>
      </c>
      <c r="AK15" s="12"/>
      <c r="AL15" s="12">
        <f t="shared" si="0"/>
        <v>28.199999999999996</v>
      </c>
      <c r="AM15" s="12">
        <f t="shared" si="0"/>
        <v>11.4</v>
      </c>
      <c r="AN15" s="12">
        <f t="shared" si="0"/>
        <v>11.4</v>
      </c>
      <c r="AO15" s="12">
        <f t="shared" si="0"/>
        <v>65.600000000000009</v>
      </c>
      <c r="AP15" s="12">
        <f t="shared" si="0"/>
        <v>90.8</v>
      </c>
      <c r="AQ15" s="12">
        <f t="shared" si="0"/>
        <v>70.899999999999991</v>
      </c>
      <c r="AR15" s="12"/>
      <c r="AS15" s="12">
        <f t="shared" si="0"/>
        <v>80.900000000000006</v>
      </c>
      <c r="AT15" s="12">
        <f t="shared" si="0"/>
        <v>79.3</v>
      </c>
      <c r="AU15" s="12">
        <f t="shared" si="0"/>
        <v>75.5</v>
      </c>
      <c r="AV15" s="12">
        <f t="shared" si="0"/>
        <v>98.4</v>
      </c>
      <c r="AW15" s="12">
        <f t="shared" si="0"/>
        <v>59.5</v>
      </c>
      <c r="AX15" s="12">
        <f t="shared" si="0"/>
        <v>87</v>
      </c>
      <c r="AY15" s="12"/>
      <c r="AZ15" s="12">
        <f t="shared" si="3"/>
        <v>63.4</v>
      </c>
      <c r="BA15" s="12">
        <f t="shared" si="4"/>
        <v>57.300000000000004</v>
      </c>
      <c r="BB15" s="12"/>
      <c r="BC15" s="12">
        <f t="shared" si="5"/>
        <v>70.899999999999991</v>
      </c>
      <c r="BD15" s="12">
        <f t="shared" si="6"/>
        <v>84.7</v>
      </c>
      <c r="BE15" s="12">
        <f t="shared" si="7"/>
        <v>68</v>
      </c>
    </row>
    <row r="16" spans="1:57" x14ac:dyDescent="0.25">
      <c r="A16" s="1" t="s">
        <v>109</v>
      </c>
      <c r="B16" s="3" t="s">
        <v>99</v>
      </c>
      <c r="C16" s="4" t="s">
        <v>110</v>
      </c>
      <c r="D16" s="4">
        <v>34</v>
      </c>
      <c r="E16" s="4">
        <v>1016</v>
      </c>
      <c r="F16" s="4">
        <v>34</v>
      </c>
      <c r="G16" s="4">
        <v>1016</v>
      </c>
      <c r="H16" s="4">
        <v>0.55300000000000005</v>
      </c>
      <c r="I16" s="4">
        <v>5.5</v>
      </c>
      <c r="J16" s="4"/>
      <c r="K16" s="4">
        <v>1</v>
      </c>
      <c r="L16" s="4">
        <v>0.503</v>
      </c>
      <c r="M16" s="4">
        <v>0.28999999999999998</v>
      </c>
      <c r="N16" s="4">
        <v>0.14199999999999999</v>
      </c>
      <c r="O16" s="4">
        <v>6.5000000000000002E-2</v>
      </c>
      <c r="P16" s="4">
        <v>0</v>
      </c>
      <c r="Q16" s="4"/>
      <c r="R16" s="4">
        <v>0.55300000000000005</v>
      </c>
      <c r="S16" s="4">
        <v>0.72399999999999998</v>
      </c>
      <c r="T16" s="4">
        <v>0.35699999999999998</v>
      </c>
      <c r="U16" s="4">
        <v>0.39600000000000002</v>
      </c>
      <c r="V16" s="4">
        <v>0.45500000000000002</v>
      </c>
      <c r="W16" s="4">
        <v>0</v>
      </c>
      <c r="X16" s="4"/>
      <c r="Y16" s="4">
        <v>0.73799999999999999</v>
      </c>
      <c r="Z16" s="4">
        <v>0</v>
      </c>
      <c r="AA16" s="4"/>
      <c r="AB16" s="4">
        <v>0</v>
      </c>
      <c r="AC16" s="4">
        <v>0</v>
      </c>
      <c r="AD16" s="10">
        <f t="shared" si="1"/>
        <v>0.73799999999999999</v>
      </c>
      <c r="AE16" s="9"/>
      <c r="AF16" s="9"/>
      <c r="AG16" s="12">
        <f t="shared" si="2"/>
        <v>65.600000000000009</v>
      </c>
      <c r="AH16" s="12">
        <f t="shared" si="0"/>
        <v>90.8</v>
      </c>
      <c r="AI16" s="12">
        <f t="shared" si="0"/>
        <v>95.399999999999991</v>
      </c>
      <c r="AJ16" s="12">
        <f t="shared" si="0"/>
        <v>10.6</v>
      </c>
      <c r="AK16" s="12"/>
      <c r="AL16" s="12">
        <f t="shared" si="0"/>
        <v>83.2</v>
      </c>
      <c r="AM16" s="12">
        <f t="shared" si="0"/>
        <v>93.8</v>
      </c>
      <c r="AN16" s="12">
        <f t="shared" si="0"/>
        <v>87.7</v>
      </c>
      <c r="AO16" s="12">
        <f t="shared" si="0"/>
        <v>60.3</v>
      </c>
      <c r="AP16" s="12">
        <f t="shared" si="0"/>
        <v>15.2</v>
      </c>
      <c r="AQ16" s="12">
        <f t="shared" si="0"/>
        <v>0</v>
      </c>
      <c r="AR16" s="12"/>
      <c r="AS16" s="12">
        <f t="shared" si="0"/>
        <v>93.100000000000009</v>
      </c>
      <c r="AT16" s="12">
        <f t="shared" si="0"/>
        <v>83.899999999999991</v>
      </c>
      <c r="AU16" s="12">
        <f t="shared" si="0"/>
        <v>54.1</v>
      </c>
      <c r="AV16" s="12">
        <f t="shared" si="0"/>
        <v>71.7</v>
      </c>
      <c r="AW16" s="12">
        <f t="shared" si="0"/>
        <v>85.399999999999991</v>
      </c>
      <c r="AX16" s="12">
        <f t="shared" si="0"/>
        <v>0</v>
      </c>
      <c r="AY16" s="12"/>
      <c r="AZ16" s="12">
        <f t="shared" si="3"/>
        <v>14.600000000000009</v>
      </c>
      <c r="BA16" s="12">
        <f t="shared" si="4"/>
        <v>100</v>
      </c>
      <c r="BB16" s="12"/>
      <c r="BC16" s="12">
        <f t="shared" si="5"/>
        <v>0</v>
      </c>
      <c r="BD16" s="12">
        <f t="shared" si="6"/>
        <v>0</v>
      </c>
      <c r="BE16" s="12">
        <f t="shared" si="7"/>
        <v>20.700000000000003</v>
      </c>
    </row>
    <row r="17" spans="1:57" x14ac:dyDescent="0.25">
      <c r="A17" s="1" t="s">
        <v>111</v>
      </c>
      <c r="B17" s="3" t="s">
        <v>108</v>
      </c>
      <c r="C17" s="4" t="s">
        <v>8</v>
      </c>
      <c r="D17" s="4">
        <v>33</v>
      </c>
      <c r="E17" s="4">
        <v>1011</v>
      </c>
      <c r="F17" s="4">
        <v>33</v>
      </c>
      <c r="G17" s="4">
        <v>1011</v>
      </c>
      <c r="H17" s="4">
        <v>0.441</v>
      </c>
      <c r="I17" s="4">
        <v>12.1</v>
      </c>
      <c r="J17" s="4"/>
      <c r="K17" s="4">
        <v>0.92800000000000005</v>
      </c>
      <c r="L17" s="4">
        <v>0.247</v>
      </c>
      <c r="M17" s="4">
        <v>0.161</v>
      </c>
      <c r="N17" s="4">
        <v>0.16800000000000001</v>
      </c>
      <c r="O17" s="4">
        <v>0.35199999999999998</v>
      </c>
      <c r="P17" s="4">
        <v>7.1999999999999995E-2</v>
      </c>
      <c r="Q17" s="4"/>
      <c r="R17" s="4">
        <v>0.46100000000000002</v>
      </c>
      <c r="S17" s="4">
        <v>0.68</v>
      </c>
      <c r="T17" s="4">
        <v>0.32700000000000001</v>
      </c>
      <c r="U17" s="4">
        <v>0.33300000000000002</v>
      </c>
      <c r="V17" s="4">
        <v>0.43</v>
      </c>
      <c r="W17" s="4">
        <v>0.182</v>
      </c>
      <c r="X17" s="4"/>
      <c r="Y17" s="4">
        <v>0.36899999999999999</v>
      </c>
      <c r="Z17" s="4">
        <v>1</v>
      </c>
      <c r="AA17" s="4"/>
      <c r="AB17" s="4">
        <v>9.0999999999999998E-2</v>
      </c>
      <c r="AC17" s="4">
        <v>0</v>
      </c>
      <c r="AD17" s="10">
        <f t="shared" si="1"/>
        <v>0.41443200000000002</v>
      </c>
      <c r="AE17" s="9"/>
      <c r="AF17" s="9"/>
      <c r="AG17" s="12">
        <f t="shared" si="2"/>
        <v>54.900000000000006</v>
      </c>
      <c r="AH17" s="12">
        <f t="shared" si="0"/>
        <v>90</v>
      </c>
      <c r="AI17" s="12">
        <f t="shared" si="0"/>
        <v>68.7</v>
      </c>
      <c r="AJ17" s="12">
        <f t="shared" si="0"/>
        <v>46.5</v>
      </c>
      <c r="AK17" s="12"/>
      <c r="AL17" s="12">
        <f t="shared" si="0"/>
        <v>65.600000000000009</v>
      </c>
      <c r="AM17" s="12">
        <f t="shared" si="0"/>
        <v>45.800000000000004</v>
      </c>
      <c r="AN17" s="12">
        <f t="shared" si="0"/>
        <v>44.2</v>
      </c>
      <c r="AO17" s="12">
        <f t="shared" si="0"/>
        <v>73.2</v>
      </c>
      <c r="AP17" s="12">
        <f t="shared" si="0"/>
        <v>94.6</v>
      </c>
      <c r="AQ17" s="12">
        <f t="shared" si="0"/>
        <v>34.300000000000004</v>
      </c>
      <c r="AR17" s="12"/>
      <c r="AS17" s="12">
        <f t="shared" si="0"/>
        <v>63.3</v>
      </c>
      <c r="AT17" s="12">
        <f t="shared" si="0"/>
        <v>70.899999999999991</v>
      </c>
      <c r="AU17" s="12">
        <f t="shared" si="0"/>
        <v>37.4</v>
      </c>
      <c r="AV17" s="12">
        <f t="shared" si="0"/>
        <v>45</v>
      </c>
      <c r="AW17" s="12">
        <f t="shared" si="0"/>
        <v>81.599999999999994</v>
      </c>
      <c r="AX17" s="12">
        <f t="shared" si="0"/>
        <v>36.6</v>
      </c>
      <c r="AY17" s="12"/>
      <c r="AZ17" s="12">
        <f t="shared" si="3"/>
        <v>75.599999999999994</v>
      </c>
      <c r="BA17" s="12">
        <f t="shared" si="4"/>
        <v>23</v>
      </c>
      <c r="BB17" s="12"/>
      <c r="BC17" s="12">
        <f t="shared" si="5"/>
        <v>47.3</v>
      </c>
      <c r="BD17" s="12">
        <f t="shared" si="6"/>
        <v>0</v>
      </c>
      <c r="BE17" s="12">
        <f t="shared" si="7"/>
        <v>82.5</v>
      </c>
    </row>
    <row r="18" spans="1:57" x14ac:dyDescent="0.25">
      <c r="A18" s="1" t="s">
        <v>112</v>
      </c>
      <c r="B18" s="3" t="s">
        <v>91</v>
      </c>
      <c r="C18" s="4" t="s">
        <v>8</v>
      </c>
      <c r="D18" s="4">
        <v>34</v>
      </c>
      <c r="E18" s="4">
        <v>1005</v>
      </c>
      <c r="F18" s="4">
        <v>34</v>
      </c>
      <c r="G18" s="4">
        <v>1005</v>
      </c>
      <c r="H18" s="4">
        <v>0.48599999999999999</v>
      </c>
      <c r="I18" s="4">
        <v>9.4</v>
      </c>
      <c r="J18" s="4"/>
      <c r="K18" s="4">
        <v>0.97799999999999998</v>
      </c>
      <c r="L18" s="4">
        <v>0.371</v>
      </c>
      <c r="M18" s="4">
        <v>0.155</v>
      </c>
      <c r="N18" s="4">
        <v>0.221</v>
      </c>
      <c r="O18" s="4">
        <v>0.23100000000000001</v>
      </c>
      <c r="P18" s="4">
        <v>2.1999999999999999E-2</v>
      </c>
      <c r="Q18" s="4"/>
      <c r="R18" s="4">
        <v>0.495</v>
      </c>
      <c r="S18" s="4">
        <v>0.69499999999999995</v>
      </c>
      <c r="T18" s="4">
        <v>0.317</v>
      </c>
      <c r="U18" s="4">
        <v>0.34399999999999997</v>
      </c>
      <c r="V18" s="4">
        <v>0.436</v>
      </c>
      <c r="W18" s="4">
        <v>0.111</v>
      </c>
      <c r="X18" s="4"/>
      <c r="Y18" s="4">
        <v>0.43099999999999999</v>
      </c>
      <c r="Z18" s="4">
        <v>0</v>
      </c>
      <c r="AA18" s="4"/>
      <c r="AB18" s="4">
        <v>0</v>
      </c>
      <c r="AC18" s="4">
        <v>0</v>
      </c>
      <c r="AD18" s="10">
        <f t="shared" si="1"/>
        <v>0.421518</v>
      </c>
      <c r="AE18" s="9"/>
      <c r="AF18" s="9"/>
      <c r="AG18" s="12">
        <f t="shared" si="2"/>
        <v>65.600000000000009</v>
      </c>
      <c r="AH18" s="12">
        <f t="shared" si="0"/>
        <v>89.3</v>
      </c>
      <c r="AI18" s="12">
        <f t="shared" si="0"/>
        <v>83.899999999999991</v>
      </c>
      <c r="AJ18" s="12">
        <f t="shared" si="0"/>
        <v>26.700000000000003</v>
      </c>
      <c r="AK18" s="12"/>
      <c r="AL18" s="12">
        <f t="shared" si="0"/>
        <v>70.899999999999991</v>
      </c>
      <c r="AM18" s="12">
        <f t="shared" si="0"/>
        <v>79.3</v>
      </c>
      <c r="AN18" s="12">
        <f t="shared" si="0"/>
        <v>37.4</v>
      </c>
      <c r="AO18" s="12">
        <f t="shared" si="0"/>
        <v>90.8</v>
      </c>
      <c r="AP18" s="12">
        <f t="shared" si="0"/>
        <v>65.600000000000009</v>
      </c>
      <c r="AQ18" s="12">
        <f t="shared" si="0"/>
        <v>28.999999999999996</v>
      </c>
      <c r="AR18" s="12"/>
      <c r="AS18" s="12">
        <f t="shared" si="0"/>
        <v>82.399999999999991</v>
      </c>
      <c r="AT18" s="12">
        <f t="shared" si="0"/>
        <v>75.5</v>
      </c>
      <c r="AU18" s="12">
        <f t="shared" si="0"/>
        <v>34.300000000000004</v>
      </c>
      <c r="AV18" s="12">
        <f t="shared" si="0"/>
        <v>54.1</v>
      </c>
      <c r="AW18" s="12">
        <f t="shared" si="0"/>
        <v>82.399999999999991</v>
      </c>
      <c r="AX18" s="12">
        <f t="shared" si="0"/>
        <v>30.5</v>
      </c>
      <c r="AY18" s="12"/>
      <c r="AZ18" s="12">
        <f t="shared" si="3"/>
        <v>64.2</v>
      </c>
      <c r="BA18" s="12">
        <f t="shared" si="4"/>
        <v>100</v>
      </c>
      <c r="BB18" s="12"/>
      <c r="BC18" s="12">
        <f t="shared" si="5"/>
        <v>0</v>
      </c>
      <c r="BD18" s="12">
        <f t="shared" si="6"/>
        <v>0</v>
      </c>
      <c r="BE18" s="12">
        <f t="shared" si="7"/>
        <v>81</v>
      </c>
    </row>
    <row r="19" spans="1:57" x14ac:dyDescent="0.25">
      <c r="A19" s="1" t="s">
        <v>113</v>
      </c>
      <c r="B19" s="4" t="s">
        <v>114</v>
      </c>
      <c r="C19" s="4" t="s">
        <v>115</v>
      </c>
      <c r="D19" s="4">
        <v>32</v>
      </c>
      <c r="E19" s="4">
        <v>1001</v>
      </c>
      <c r="F19" s="4">
        <v>32</v>
      </c>
      <c r="G19" s="4">
        <v>1001</v>
      </c>
      <c r="H19" s="4">
        <v>0.58599999999999997</v>
      </c>
      <c r="I19" s="4">
        <v>3.8</v>
      </c>
      <c r="J19" s="4"/>
      <c r="K19" s="4">
        <v>1</v>
      </c>
      <c r="L19" s="4">
        <v>0.66600000000000004</v>
      </c>
      <c r="M19" s="4">
        <v>0.251</v>
      </c>
      <c r="N19" s="4">
        <v>6.5000000000000002E-2</v>
      </c>
      <c r="O19" s="4">
        <v>1.7999999999999999E-2</v>
      </c>
      <c r="P19" s="4">
        <v>0</v>
      </c>
      <c r="Q19" s="4"/>
      <c r="R19" s="4">
        <v>0.58599999999999997</v>
      </c>
      <c r="S19" s="4">
        <v>0.67100000000000004</v>
      </c>
      <c r="T19" s="4">
        <v>0.42399999999999999</v>
      </c>
      <c r="U19" s="4">
        <v>0.45500000000000002</v>
      </c>
      <c r="V19" s="4">
        <v>0.16700000000000001</v>
      </c>
      <c r="W19" s="4">
        <v>0</v>
      </c>
      <c r="X19" s="4"/>
      <c r="Y19" s="4">
        <v>0.66200000000000003</v>
      </c>
      <c r="Z19" s="4">
        <v>0</v>
      </c>
      <c r="AA19" s="4"/>
      <c r="AB19" s="4">
        <v>0</v>
      </c>
      <c r="AC19" s="4">
        <v>0</v>
      </c>
      <c r="AD19" s="10">
        <f t="shared" si="1"/>
        <v>0.66200000000000003</v>
      </c>
      <c r="AE19" s="9"/>
      <c r="AF19" s="9"/>
      <c r="AG19" s="12">
        <f t="shared" si="2"/>
        <v>45</v>
      </c>
      <c r="AH19" s="12">
        <f t="shared" si="0"/>
        <v>88.5</v>
      </c>
      <c r="AI19" s="12">
        <f t="shared" si="0"/>
        <v>99.2</v>
      </c>
      <c r="AJ19" s="12">
        <f t="shared" si="0"/>
        <v>2.1999999999999997</v>
      </c>
      <c r="AK19" s="12"/>
      <c r="AL19" s="12">
        <f t="shared" si="0"/>
        <v>83.2</v>
      </c>
      <c r="AM19" s="12">
        <f t="shared" si="0"/>
        <v>97.7</v>
      </c>
      <c r="AN19" s="12">
        <f t="shared" si="0"/>
        <v>79.3</v>
      </c>
      <c r="AO19" s="12">
        <f t="shared" si="0"/>
        <v>16.7</v>
      </c>
      <c r="AP19" s="12">
        <f t="shared" si="0"/>
        <v>3.8</v>
      </c>
      <c r="AQ19" s="12">
        <f t="shared" si="0"/>
        <v>0</v>
      </c>
      <c r="AR19" s="12"/>
      <c r="AS19" s="12">
        <f t="shared" si="0"/>
        <v>98.4</v>
      </c>
      <c r="AT19" s="12">
        <f t="shared" si="0"/>
        <v>67.900000000000006</v>
      </c>
      <c r="AU19" s="12">
        <f t="shared" si="0"/>
        <v>75.5</v>
      </c>
      <c r="AV19" s="12">
        <f t="shared" si="0"/>
        <v>84.7</v>
      </c>
      <c r="AW19" s="12">
        <f t="shared" si="0"/>
        <v>12.2</v>
      </c>
      <c r="AX19" s="12">
        <f t="shared" si="0"/>
        <v>0</v>
      </c>
      <c r="AY19" s="12"/>
      <c r="AZ19" s="12">
        <f t="shared" si="3"/>
        <v>23.700000000000003</v>
      </c>
      <c r="BA19" s="12">
        <f t="shared" si="4"/>
        <v>100</v>
      </c>
      <c r="BB19" s="12"/>
      <c r="BC19" s="12">
        <f t="shared" si="5"/>
        <v>0</v>
      </c>
      <c r="BD19" s="12">
        <f t="shared" si="6"/>
        <v>0</v>
      </c>
      <c r="BE19" s="12">
        <f t="shared" si="7"/>
        <v>39</v>
      </c>
    </row>
    <row r="20" spans="1:57" x14ac:dyDescent="0.25">
      <c r="A20" s="1" t="s">
        <v>116</v>
      </c>
      <c r="B20" s="3" t="s">
        <v>114</v>
      </c>
      <c r="C20" s="4" t="s">
        <v>8</v>
      </c>
      <c r="D20" s="4">
        <v>33</v>
      </c>
      <c r="E20" s="4">
        <v>985</v>
      </c>
      <c r="F20" s="4">
        <v>33</v>
      </c>
      <c r="G20" s="4">
        <v>985</v>
      </c>
      <c r="H20" s="4">
        <v>0.39600000000000002</v>
      </c>
      <c r="I20" s="4">
        <v>11.6</v>
      </c>
      <c r="J20" s="4"/>
      <c r="K20" s="4">
        <v>0.79100000000000004</v>
      </c>
      <c r="L20" s="4">
        <v>0.36199999999999999</v>
      </c>
      <c r="M20" s="4">
        <v>0.11899999999999999</v>
      </c>
      <c r="N20" s="4">
        <v>0.13400000000000001</v>
      </c>
      <c r="O20" s="4">
        <v>0.17499999999999999</v>
      </c>
      <c r="P20" s="4">
        <v>0.20899999999999999</v>
      </c>
      <c r="Q20" s="4"/>
      <c r="R20" s="4">
        <v>0.42</v>
      </c>
      <c r="S20" s="4">
        <v>0.52600000000000002</v>
      </c>
      <c r="T20" s="4">
        <v>0.219</v>
      </c>
      <c r="U20" s="4">
        <v>0.33300000000000002</v>
      </c>
      <c r="V20" s="4">
        <v>0.40400000000000003</v>
      </c>
      <c r="W20" s="4">
        <v>0.30399999999999999</v>
      </c>
      <c r="X20" s="4"/>
      <c r="Y20" s="4">
        <v>0.21299999999999999</v>
      </c>
      <c r="Z20" s="4">
        <v>0.82399999999999995</v>
      </c>
      <c r="AA20" s="4"/>
      <c r="AB20" s="4">
        <v>0.125</v>
      </c>
      <c r="AC20" s="4">
        <v>0.28599999999999998</v>
      </c>
      <c r="AD20" s="10">
        <f t="shared" si="1"/>
        <v>0.34069899999999997</v>
      </c>
      <c r="AE20" s="9"/>
      <c r="AF20" s="9"/>
      <c r="AG20" s="12">
        <f t="shared" si="2"/>
        <v>54.900000000000006</v>
      </c>
      <c r="AH20" s="12">
        <f t="shared" si="2"/>
        <v>87.7</v>
      </c>
      <c r="AI20" s="12">
        <f t="shared" si="2"/>
        <v>38.9</v>
      </c>
      <c r="AJ20" s="12">
        <f t="shared" si="2"/>
        <v>39.6</v>
      </c>
      <c r="AK20" s="12"/>
      <c r="AL20" s="12">
        <f t="shared" ref="AL20:AO83" si="8">(PERCENTRANK(K$4:K$298,K20))*100</f>
        <v>51.1</v>
      </c>
      <c r="AM20" s="12">
        <f t="shared" si="8"/>
        <v>77</v>
      </c>
      <c r="AN20" s="12">
        <f t="shared" si="8"/>
        <v>23.599999999999998</v>
      </c>
      <c r="AO20" s="12">
        <f t="shared" si="8"/>
        <v>57.199999999999996</v>
      </c>
      <c r="AP20" s="12">
        <f t="shared" ref="AP20:AQ83" si="9">(PERCENTRANK(O$4:O$298,O20))*100</f>
        <v>48</v>
      </c>
      <c r="AQ20" s="12">
        <f t="shared" si="9"/>
        <v>48.8</v>
      </c>
      <c r="AR20" s="12"/>
      <c r="AS20" s="12">
        <f t="shared" ref="AS20:AV83" si="10">(PERCENTRANK(R$4:R$298,R20))*100</f>
        <v>42.699999999999996</v>
      </c>
      <c r="AT20" s="12">
        <f t="shared" si="10"/>
        <v>21.3</v>
      </c>
      <c r="AU20" s="12">
        <f t="shared" si="10"/>
        <v>12.2</v>
      </c>
      <c r="AV20" s="12">
        <f t="shared" si="10"/>
        <v>45</v>
      </c>
      <c r="AW20" s="12">
        <f t="shared" ref="AW20:AX83" si="11">(PERCENTRANK(V$4:V$298,V20))*100</f>
        <v>70.199999999999989</v>
      </c>
      <c r="AX20" s="12">
        <f t="shared" si="11"/>
        <v>60.3</v>
      </c>
      <c r="AY20" s="12"/>
      <c r="AZ20" s="12">
        <f t="shared" si="3"/>
        <v>91.7</v>
      </c>
      <c r="BA20" s="12">
        <f t="shared" si="4"/>
        <v>48.1</v>
      </c>
      <c r="BB20" s="12"/>
      <c r="BC20" s="12">
        <f t="shared" si="5"/>
        <v>56.399999999999991</v>
      </c>
      <c r="BD20" s="12">
        <f t="shared" si="6"/>
        <v>59.5</v>
      </c>
      <c r="BE20" s="12">
        <f t="shared" si="7"/>
        <v>93.2</v>
      </c>
    </row>
    <row r="21" spans="1:57" ht="15.75" customHeight="1" x14ac:dyDescent="0.25">
      <c r="A21" s="1" t="s">
        <v>117</v>
      </c>
      <c r="B21" s="3" t="s">
        <v>95</v>
      </c>
      <c r="C21" s="4" t="s">
        <v>92</v>
      </c>
      <c r="D21" s="4">
        <v>34</v>
      </c>
      <c r="E21" s="4">
        <v>976</v>
      </c>
      <c r="F21" s="4">
        <v>34</v>
      </c>
      <c r="G21" s="4">
        <v>976</v>
      </c>
      <c r="H21" s="4">
        <v>0.41</v>
      </c>
      <c r="I21" s="4">
        <v>15.8</v>
      </c>
      <c r="J21" s="4"/>
      <c r="K21" s="4">
        <v>0.56899999999999995</v>
      </c>
      <c r="L21" s="4">
        <v>0.11700000000000001</v>
      </c>
      <c r="M21" s="4">
        <v>0.19900000000000001</v>
      </c>
      <c r="N21" s="4">
        <v>0.18099999999999999</v>
      </c>
      <c r="O21" s="4">
        <v>7.1999999999999995E-2</v>
      </c>
      <c r="P21" s="4">
        <v>0.43099999999999999</v>
      </c>
      <c r="Q21" s="4"/>
      <c r="R21" s="4">
        <v>0.439</v>
      </c>
      <c r="S21" s="4">
        <v>0.61399999999999999</v>
      </c>
      <c r="T21" s="4">
        <v>0.38700000000000001</v>
      </c>
      <c r="U21" s="4">
        <v>0.39700000000000002</v>
      </c>
      <c r="V21" s="4">
        <v>0.40699999999999997</v>
      </c>
      <c r="W21" s="4">
        <v>0.37</v>
      </c>
      <c r="X21" s="4"/>
      <c r="Y21" s="4">
        <v>0.52100000000000002</v>
      </c>
      <c r="Z21" s="4">
        <v>0.98299999999999998</v>
      </c>
      <c r="AA21" s="4"/>
      <c r="AB21" s="4">
        <v>1.9E-2</v>
      </c>
      <c r="AC21" s="4">
        <v>0</v>
      </c>
      <c r="AD21" s="10">
        <f t="shared" si="1"/>
        <v>0.72012199999999993</v>
      </c>
      <c r="AE21" s="9"/>
      <c r="AF21" s="9"/>
      <c r="AG21" s="12">
        <f t="shared" si="2"/>
        <v>65.600000000000009</v>
      </c>
      <c r="AH21" s="12">
        <f t="shared" si="2"/>
        <v>87</v>
      </c>
      <c r="AI21" s="12">
        <f t="shared" si="2"/>
        <v>50.3</v>
      </c>
      <c r="AJ21" s="12">
        <f t="shared" si="2"/>
        <v>80.100000000000009</v>
      </c>
      <c r="AK21" s="12"/>
      <c r="AL21" s="12">
        <f t="shared" si="8"/>
        <v>16.7</v>
      </c>
      <c r="AM21" s="12">
        <f t="shared" si="8"/>
        <v>12.9</v>
      </c>
      <c r="AN21" s="12">
        <f t="shared" si="8"/>
        <v>59.5</v>
      </c>
      <c r="AO21" s="12">
        <f t="shared" si="8"/>
        <v>76.3</v>
      </c>
      <c r="AP21" s="12">
        <f t="shared" si="9"/>
        <v>17.5</v>
      </c>
      <c r="AQ21" s="12">
        <f t="shared" si="9"/>
        <v>83.2</v>
      </c>
      <c r="AR21" s="12"/>
      <c r="AS21" s="12">
        <f t="shared" si="10"/>
        <v>50.3</v>
      </c>
      <c r="AT21" s="12">
        <f t="shared" si="10"/>
        <v>55.7</v>
      </c>
      <c r="AU21" s="12">
        <f t="shared" si="10"/>
        <v>64.8</v>
      </c>
      <c r="AV21" s="12">
        <f t="shared" si="10"/>
        <v>72.5</v>
      </c>
      <c r="AW21" s="12">
        <f t="shared" si="11"/>
        <v>70.899999999999991</v>
      </c>
      <c r="AX21" s="12">
        <f t="shared" si="11"/>
        <v>83.2</v>
      </c>
      <c r="AY21" s="12"/>
      <c r="AZ21" s="12">
        <f t="shared" si="3"/>
        <v>51.2</v>
      </c>
      <c r="BA21" s="12">
        <f t="shared" si="4"/>
        <v>23.700000000000003</v>
      </c>
      <c r="BB21" s="12"/>
      <c r="BC21" s="12">
        <f t="shared" si="5"/>
        <v>35.099999999999994</v>
      </c>
      <c r="BD21" s="12">
        <f t="shared" si="6"/>
        <v>0</v>
      </c>
      <c r="BE21" s="12">
        <f t="shared" si="7"/>
        <v>23.700000000000003</v>
      </c>
    </row>
    <row r="22" spans="1:57" ht="15.75" customHeight="1" x14ac:dyDescent="0.25">
      <c r="A22" s="1" t="s">
        <v>118</v>
      </c>
      <c r="B22" s="3" t="s">
        <v>89</v>
      </c>
      <c r="C22" s="4" t="s">
        <v>110</v>
      </c>
      <c r="D22" s="4">
        <v>34</v>
      </c>
      <c r="E22" s="4">
        <v>973</v>
      </c>
      <c r="F22" s="4">
        <v>34</v>
      </c>
      <c r="G22" s="4">
        <v>973</v>
      </c>
      <c r="H22" s="4">
        <v>0.51500000000000001</v>
      </c>
      <c r="I22" s="4">
        <v>8.4</v>
      </c>
      <c r="J22" s="4"/>
      <c r="K22" s="4">
        <v>0.97599999999999998</v>
      </c>
      <c r="L22" s="4">
        <v>0.41799999999999998</v>
      </c>
      <c r="M22" s="4">
        <v>0.20699999999999999</v>
      </c>
      <c r="N22" s="4">
        <v>8.5000000000000006E-2</v>
      </c>
      <c r="O22" s="4">
        <v>0.26500000000000001</v>
      </c>
      <c r="P22" s="4">
        <v>2.4E-2</v>
      </c>
      <c r="Q22" s="4"/>
      <c r="R22" s="4">
        <v>0.52500000000000002</v>
      </c>
      <c r="S22" s="4">
        <v>0.69299999999999995</v>
      </c>
      <c r="T22" s="4">
        <v>0.42599999999999999</v>
      </c>
      <c r="U22" s="4">
        <v>0.46400000000000002</v>
      </c>
      <c r="V22" s="4">
        <v>0.35599999999999998</v>
      </c>
      <c r="W22" s="4">
        <v>0.125</v>
      </c>
      <c r="X22" s="4"/>
      <c r="Y22" s="4">
        <v>0.61299999999999999</v>
      </c>
      <c r="Z22" s="4">
        <v>1</v>
      </c>
      <c r="AA22" s="4"/>
      <c r="AB22" s="4">
        <v>0</v>
      </c>
      <c r="AC22" s="4">
        <v>0</v>
      </c>
      <c r="AD22" s="10">
        <f t="shared" si="1"/>
        <v>0.62228799999999995</v>
      </c>
      <c r="AE22" s="9"/>
      <c r="AF22" s="9"/>
      <c r="AG22" s="12">
        <f t="shared" si="2"/>
        <v>65.600000000000009</v>
      </c>
      <c r="AH22" s="12">
        <f t="shared" si="2"/>
        <v>86.2</v>
      </c>
      <c r="AI22" s="12">
        <f t="shared" si="2"/>
        <v>88.5</v>
      </c>
      <c r="AJ22" s="12">
        <f t="shared" si="2"/>
        <v>19</v>
      </c>
      <c r="AK22" s="12"/>
      <c r="AL22" s="12">
        <f t="shared" si="8"/>
        <v>69.399999999999991</v>
      </c>
      <c r="AM22" s="12">
        <f t="shared" si="8"/>
        <v>87</v>
      </c>
      <c r="AN22" s="12">
        <f t="shared" si="8"/>
        <v>64.099999999999994</v>
      </c>
      <c r="AO22" s="12">
        <f t="shared" si="8"/>
        <v>33.5</v>
      </c>
      <c r="AP22" s="12">
        <f t="shared" si="9"/>
        <v>76.3</v>
      </c>
      <c r="AQ22" s="12">
        <f t="shared" si="9"/>
        <v>30.5</v>
      </c>
      <c r="AR22" s="12"/>
      <c r="AS22" s="12">
        <f t="shared" si="10"/>
        <v>88.5</v>
      </c>
      <c r="AT22" s="12">
        <f t="shared" si="10"/>
        <v>74</v>
      </c>
      <c r="AU22" s="12">
        <f t="shared" si="10"/>
        <v>77</v>
      </c>
      <c r="AV22" s="12">
        <f t="shared" si="10"/>
        <v>85.399999999999991</v>
      </c>
      <c r="AW22" s="12">
        <f t="shared" si="11"/>
        <v>56.399999999999991</v>
      </c>
      <c r="AX22" s="12">
        <f t="shared" si="11"/>
        <v>31.2</v>
      </c>
      <c r="AY22" s="12"/>
      <c r="AZ22" s="12">
        <f t="shared" si="3"/>
        <v>38.200000000000003</v>
      </c>
      <c r="BA22" s="12">
        <f t="shared" si="4"/>
        <v>23</v>
      </c>
      <c r="BB22" s="12"/>
      <c r="BC22" s="12">
        <f t="shared" si="5"/>
        <v>0</v>
      </c>
      <c r="BD22" s="12">
        <f t="shared" si="6"/>
        <v>0</v>
      </c>
      <c r="BE22" s="12">
        <f t="shared" si="7"/>
        <v>51.2</v>
      </c>
    </row>
    <row r="23" spans="1:57" ht="15" customHeight="1" x14ac:dyDescent="0.25">
      <c r="A23" s="1" t="s">
        <v>119</v>
      </c>
      <c r="B23" s="3" t="s">
        <v>91</v>
      </c>
      <c r="C23" s="4" t="s">
        <v>92</v>
      </c>
      <c r="D23" s="4">
        <v>33</v>
      </c>
      <c r="E23" s="4">
        <v>965</v>
      </c>
      <c r="F23" s="4">
        <v>33</v>
      </c>
      <c r="G23" s="4">
        <v>965</v>
      </c>
      <c r="H23" s="4">
        <v>0.497</v>
      </c>
      <c r="I23" s="4">
        <v>9.3000000000000007</v>
      </c>
      <c r="J23" s="4"/>
      <c r="K23" s="4">
        <v>0.997</v>
      </c>
      <c r="L23" s="4">
        <v>0.34799999999999998</v>
      </c>
      <c r="M23" s="4">
        <v>0.16600000000000001</v>
      </c>
      <c r="N23" s="4">
        <v>0.21299999999999999</v>
      </c>
      <c r="O23" s="4">
        <v>0.27</v>
      </c>
      <c r="P23" s="4">
        <v>3.0000000000000001E-3</v>
      </c>
      <c r="Q23" s="4"/>
      <c r="R23" s="4">
        <v>0.495</v>
      </c>
      <c r="S23" s="4">
        <v>0.76700000000000002</v>
      </c>
      <c r="T23" s="4">
        <v>0.32700000000000001</v>
      </c>
      <c r="U23" s="4">
        <v>0.41299999999999998</v>
      </c>
      <c r="V23" s="4">
        <v>0.313</v>
      </c>
      <c r="W23" s="4">
        <v>1</v>
      </c>
      <c r="X23" s="4"/>
      <c r="Y23" s="4">
        <v>0.63</v>
      </c>
      <c r="Z23" s="4">
        <v>0</v>
      </c>
      <c r="AA23" s="4"/>
      <c r="AB23" s="4">
        <v>0</v>
      </c>
      <c r="AC23" s="4">
        <v>0</v>
      </c>
      <c r="AD23" s="10">
        <f t="shared" si="1"/>
        <v>0.62811000000000006</v>
      </c>
      <c r="AE23" s="9"/>
      <c r="AF23" s="9"/>
      <c r="AG23" s="12">
        <f t="shared" si="2"/>
        <v>54.900000000000006</v>
      </c>
      <c r="AH23" s="12">
        <f t="shared" si="2"/>
        <v>85.399999999999991</v>
      </c>
      <c r="AI23" s="12">
        <f t="shared" si="2"/>
        <v>86.2</v>
      </c>
      <c r="AJ23" s="12">
        <f t="shared" si="2"/>
        <v>24.4</v>
      </c>
      <c r="AK23" s="12"/>
      <c r="AL23" s="12">
        <f t="shared" si="8"/>
        <v>82.399999999999991</v>
      </c>
      <c r="AM23" s="12">
        <f t="shared" si="8"/>
        <v>75.5</v>
      </c>
      <c r="AN23" s="12">
        <f t="shared" si="8"/>
        <v>47.3</v>
      </c>
      <c r="AO23" s="12">
        <f t="shared" si="8"/>
        <v>88.5</v>
      </c>
      <c r="AP23" s="12">
        <f t="shared" si="9"/>
        <v>77.8</v>
      </c>
      <c r="AQ23" s="12">
        <f t="shared" si="9"/>
        <v>17.5</v>
      </c>
      <c r="AR23" s="12"/>
      <c r="AS23" s="12">
        <f t="shared" si="10"/>
        <v>82.399999999999991</v>
      </c>
      <c r="AT23" s="12">
        <f t="shared" si="10"/>
        <v>93.100000000000009</v>
      </c>
      <c r="AU23" s="12">
        <f t="shared" si="10"/>
        <v>37.4</v>
      </c>
      <c r="AV23" s="12">
        <f t="shared" si="10"/>
        <v>78.600000000000009</v>
      </c>
      <c r="AW23" s="12">
        <f t="shared" si="11"/>
        <v>38.9</v>
      </c>
      <c r="AX23" s="12">
        <f t="shared" si="11"/>
        <v>100</v>
      </c>
      <c r="AY23" s="12"/>
      <c r="AZ23" s="12">
        <f t="shared" si="3"/>
        <v>35.200000000000003</v>
      </c>
      <c r="BA23" s="12">
        <f t="shared" si="4"/>
        <v>100</v>
      </c>
      <c r="BB23" s="12"/>
      <c r="BC23" s="12">
        <f t="shared" si="5"/>
        <v>0</v>
      </c>
      <c r="BD23" s="12">
        <f t="shared" si="6"/>
        <v>0</v>
      </c>
      <c r="BE23" s="12">
        <f t="shared" si="7"/>
        <v>48.1</v>
      </c>
    </row>
    <row r="24" spans="1:57" ht="15.75" customHeight="1" x14ac:dyDescent="0.25">
      <c r="A24" s="1" t="s">
        <v>120</v>
      </c>
      <c r="B24" s="3" t="s">
        <v>114</v>
      </c>
      <c r="C24" s="4" t="s">
        <v>92</v>
      </c>
      <c r="D24" s="4">
        <v>34</v>
      </c>
      <c r="E24" s="4">
        <v>961</v>
      </c>
      <c r="F24" s="4">
        <v>34</v>
      </c>
      <c r="G24" s="4">
        <v>961</v>
      </c>
      <c r="H24" s="4">
        <v>0.41499999999999998</v>
      </c>
      <c r="I24" s="4">
        <v>12.2</v>
      </c>
      <c r="J24" s="4"/>
      <c r="K24" s="4">
        <v>0.77800000000000002</v>
      </c>
      <c r="L24" s="4">
        <v>0.31</v>
      </c>
      <c r="M24" s="4">
        <v>0.14399999999999999</v>
      </c>
      <c r="N24" s="4">
        <v>0.109</v>
      </c>
      <c r="O24" s="4">
        <v>0.215</v>
      </c>
      <c r="P24" s="4">
        <v>0.222</v>
      </c>
      <c r="Q24" s="4"/>
      <c r="R24" s="4">
        <v>0.45700000000000002</v>
      </c>
      <c r="S24" s="4">
        <v>0.57999999999999996</v>
      </c>
      <c r="T24" s="4">
        <v>0.46300000000000002</v>
      </c>
      <c r="U24" s="4">
        <v>0.32300000000000001</v>
      </c>
      <c r="V24" s="4">
        <v>0.34399999999999997</v>
      </c>
      <c r="W24" s="4">
        <v>0.27</v>
      </c>
      <c r="X24" s="4"/>
      <c r="Y24" s="4">
        <v>0.63400000000000001</v>
      </c>
      <c r="Z24" s="4">
        <v>0.88200000000000001</v>
      </c>
      <c r="AA24" s="4"/>
      <c r="AB24" s="4">
        <v>0.28599999999999998</v>
      </c>
      <c r="AC24" s="4">
        <v>0.38900000000000001</v>
      </c>
      <c r="AD24" s="10">
        <f t="shared" si="1"/>
        <v>0.689056</v>
      </c>
      <c r="AE24" s="9"/>
      <c r="AF24" s="9"/>
      <c r="AG24" s="12">
        <f t="shared" si="2"/>
        <v>65.600000000000009</v>
      </c>
      <c r="AH24" s="12">
        <f t="shared" si="2"/>
        <v>84.7</v>
      </c>
      <c r="AI24" s="12">
        <f t="shared" si="2"/>
        <v>53.400000000000006</v>
      </c>
      <c r="AJ24" s="12">
        <f t="shared" si="2"/>
        <v>48</v>
      </c>
      <c r="AK24" s="12"/>
      <c r="AL24" s="12">
        <f t="shared" si="8"/>
        <v>46.5</v>
      </c>
      <c r="AM24" s="12">
        <f t="shared" si="8"/>
        <v>68.7</v>
      </c>
      <c r="AN24" s="12">
        <f t="shared" si="8"/>
        <v>34.300000000000004</v>
      </c>
      <c r="AO24" s="12">
        <f t="shared" si="8"/>
        <v>43.5</v>
      </c>
      <c r="AP24" s="12">
        <f t="shared" si="9"/>
        <v>61</v>
      </c>
      <c r="AQ24" s="12">
        <f t="shared" si="9"/>
        <v>52.6</v>
      </c>
      <c r="AR24" s="12"/>
      <c r="AS24" s="12">
        <f t="shared" si="10"/>
        <v>60.3</v>
      </c>
      <c r="AT24" s="12">
        <f t="shared" si="10"/>
        <v>39.6</v>
      </c>
      <c r="AU24" s="12">
        <f t="shared" si="10"/>
        <v>87</v>
      </c>
      <c r="AV24" s="12">
        <f t="shared" si="10"/>
        <v>42.699999999999996</v>
      </c>
      <c r="AW24" s="12">
        <f t="shared" si="11"/>
        <v>51.1</v>
      </c>
      <c r="AX24" s="12">
        <f t="shared" si="11"/>
        <v>51.9</v>
      </c>
      <c r="AY24" s="12"/>
      <c r="AZ24" s="12">
        <f t="shared" si="3"/>
        <v>34.399999999999991</v>
      </c>
      <c r="BA24" s="12">
        <f t="shared" si="4"/>
        <v>39.700000000000003</v>
      </c>
      <c r="BB24" s="12"/>
      <c r="BC24" s="12">
        <f t="shared" si="5"/>
        <v>84.7</v>
      </c>
      <c r="BD24" s="12">
        <f t="shared" si="6"/>
        <v>74.8</v>
      </c>
      <c r="BE24" s="12">
        <f t="shared" si="7"/>
        <v>33.599999999999994</v>
      </c>
    </row>
    <row r="25" spans="1:57" ht="15.75" customHeight="1" x14ac:dyDescent="0.25">
      <c r="A25" s="1" t="s">
        <v>121</v>
      </c>
      <c r="B25" s="3" t="s">
        <v>122</v>
      </c>
      <c r="C25" s="4" t="s">
        <v>115</v>
      </c>
      <c r="D25" s="4">
        <v>29</v>
      </c>
      <c r="E25" s="4">
        <v>951</v>
      </c>
      <c r="F25" s="4">
        <v>29</v>
      </c>
      <c r="G25" s="4">
        <v>951</v>
      </c>
      <c r="H25" s="4">
        <v>0.4</v>
      </c>
      <c r="I25" s="4">
        <v>9.3000000000000007</v>
      </c>
      <c r="J25" s="4"/>
      <c r="K25" s="4">
        <v>0.99399999999999999</v>
      </c>
      <c r="L25" s="4">
        <v>0.217</v>
      </c>
      <c r="M25" s="4">
        <v>0.32800000000000001</v>
      </c>
      <c r="N25" s="4">
        <v>0.28100000000000003</v>
      </c>
      <c r="O25" s="4">
        <v>0.16900000000000001</v>
      </c>
      <c r="P25" s="4">
        <v>6.0000000000000001E-3</v>
      </c>
      <c r="Q25" s="4"/>
      <c r="R25" s="4">
        <v>0.40200000000000002</v>
      </c>
      <c r="S25" s="4">
        <v>0.55900000000000005</v>
      </c>
      <c r="T25" s="4">
        <v>0.35799999999999998</v>
      </c>
      <c r="U25" s="4">
        <v>0.39200000000000002</v>
      </c>
      <c r="V25" s="4">
        <v>0.30399999999999999</v>
      </c>
      <c r="W25" s="4">
        <v>0</v>
      </c>
      <c r="X25" s="4"/>
      <c r="Y25" s="4">
        <v>0.50900000000000001</v>
      </c>
      <c r="Z25" s="4">
        <v>0</v>
      </c>
      <c r="AA25" s="4"/>
      <c r="AB25" s="4">
        <v>0</v>
      </c>
      <c r="AC25" s="4">
        <v>0</v>
      </c>
      <c r="AD25" s="10">
        <f t="shared" si="1"/>
        <v>0.50594600000000001</v>
      </c>
      <c r="AE25" s="9"/>
      <c r="AF25" s="9"/>
      <c r="AG25" s="12">
        <f t="shared" si="2"/>
        <v>29.7</v>
      </c>
      <c r="AH25" s="12">
        <f t="shared" si="2"/>
        <v>83.899999999999991</v>
      </c>
      <c r="AI25" s="12">
        <f t="shared" si="2"/>
        <v>43.5</v>
      </c>
      <c r="AJ25" s="12">
        <f t="shared" si="2"/>
        <v>24.4</v>
      </c>
      <c r="AK25" s="12"/>
      <c r="AL25" s="12">
        <f t="shared" si="8"/>
        <v>79.3</v>
      </c>
      <c r="AM25" s="12">
        <f t="shared" si="8"/>
        <v>34.300000000000004</v>
      </c>
      <c r="AN25" s="12">
        <f t="shared" si="8"/>
        <v>90</v>
      </c>
      <c r="AO25" s="12">
        <f t="shared" si="8"/>
        <v>94.6</v>
      </c>
      <c r="AP25" s="12">
        <f t="shared" si="9"/>
        <v>44.2</v>
      </c>
      <c r="AQ25" s="12">
        <f t="shared" si="9"/>
        <v>20.599999999999998</v>
      </c>
      <c r="AR25" s="12"/>
      <c r="AS25" s="12">
        <f t="shared" si="10"/>
        <v>32.800000000000004</v>
      </c>
      <c r="AT25" s="12">
        <f t="shared" si="10"/>
        <v>34.300000000000004</v>
      </c>
      <c r="AU25" s="12">
        <f t="shared" si="10"/>
        <v>55.7</v>
      </c>
      <c r="AV25" s="12">
        <f t="shared" si="10"/>
        <v>70.899999999999991</v>
      </c>
      <c r="AW25" s="12">
        <f t="shared" si="11"/>
        <v>35.799999999999997</v>
      </c>
      <c r="AX25" s="12">
        <f t="shared" si="11"/>
        <v>0</v>
      </c>
      <c r="AY25" s="12"/>
      <c r="AZ25" s="12">
        <f t="shared" si="3"/>
        <v>52.7</v>
      </c>
      <c r="BA25" s="12">
        <f t="shared" si="4"/>
        <v>100</v>
      </c>
      <c r="BB25" s="12"/>
      <c r="BC25" s="12">
        <f t="shared" si="5"/>
        <v>0</v>
      </c>
      <c r="BD25" s="12">
        <f t="shared" si="6"/>
        <v>0</v>
      </c>
      <c r="BE25" s="12">
        <f t="shared" si="7"/>
        <v>71.800000000000011</v>
      </c>
    </row>
    <row r="26" spans="1:57" ht="15.75" customHeight="1" x14ac:dyDescent="0.25">
      <c r="A26" s="1" t="s">
        <v>123</v>
      </c>
      <c r="B26" s="3" t="s">
        <v>106</v>
      </c>
      <c r="C26" s="4" t="s">
        <v>8</v>
      </c>
      <c r="D26" s="4">
        <v>32</v>
      </c>
      <c r="E26" s="4">
        <v>946</v>
      </c>
      <c r="F26" s="4">
        <v>32</v>
      </c>
      <c r="G26" s="4">
        <v>946</v>
      </c>
      <c r="H26" s="4">
        <v>0.34799999999999998</v>
      </c>
      <c r="I26" s="4">
        <v>13.9</v>
      </c>
      <c r="J26" s="4"/>
      <c r="K26" s="4">
        <v>0.69</v>
      </c>
      <c r="L26" s="4">
        <v>0.27800000000000002</v>
      </c>
      <c r="M26" s="4">
        <v>0.104</v>
      </c>
      <c r="N26" s="4">
        <v>8.2000000000000003E-2</v>
      </c>
      <c r="O26" s="4">
        <v>0.22500000000000001</v>
      </c>
      <c r="P26" s="4">
        <v>0.31</v>
      </c>
      <c r="Q26" s="4"/>
      <c r="R26" s="4">
        <v>0.34399999999999997</v>
      </c>
      <c r="S26" s="4">
        <v>0.432</v>
      </c>
      <c r="T26" s="4">
        <v>0.21199999999999999</v>
      </c>
      <c r="U26" s="4">
        <v>0.308</v>
      </c>
      <c r="V26" s="4">
        <v>0.31</v>
      </c>
      <c r="W26" s="4">
        <v>0.35699999999999998</v>
      </c>
      <c r="X26" s="4"/>
      <c r="Y26" s="4">
        <v>0.24</v>
      </c>
      <c r="Z26" s="4">
        <v>0.97099999999999997</v>
      </c>
      <c r="AA26" s="4"/>
      <c r="AB26" s="4">
        <v>0.112</v>
      </c>
      <c r="AC26" s="4">
        <v>0.54500000000000004</v>
      </c>
      <c r="AD26" s="10">
        <f t="shared" si="1"/>
        <v>0.46660999999999997</v>
      </c>
      <c r="AE26" s="9"/>
      <c r="AF26" s="9"/>
      <c r="AG26" s="12">
        <f t="shared" si="2"/>
        <v>45</v>
      </c>
      <c r="AH26" s="12">
        <f t="shared" si="2"/>
        <v>83.2</v>
      </c>
      <c r="AI26" s="12">
        <f t="shared" si="2"/>
        <v>17.5</v>
      </c>
      <c r="AJ26" s="12">
        <f t="shared" si="2"/>
        <v>67.100000000000009</v>
      </c>
      <c r="AK26" s="12"/>
      <c r="AL26" s="12">
        <f t="shared" si="8"/>
        <v>31.2</v>
      </c>
      <c r="AM26" s="12">
        <f t="shared" si="8"/>
        <v>57.199999999999996</v>
      </c>
      <c r="AN26" s="12">
        <f t="shared" si="8"/>
        <v>16.7</v>
      </c>
      <c r="AO26" s="12">
        <f t="shared" si="8"/>
        <v>28.199999999999996</v>
      </c>
      <c r="AP26" s="12">
        <f t="shared" si="9"/>
        <v>64.099999999999994</v>
      </c>
      <c r="AQ26" s="12">
        <f t="shared" si="9"/>
        <v>67.900000000000006</v>
      </c>
      <c r="AR26" s="12"/>
      <c r="AS26" s="12">
        <f t="shared" si="10"/>
        <v>12.9</v>
      </c>
      <c r="AT26" s="12">
        <f t="shared" si="10"/>
        <v>12.9</v>
      </c>
      <c r="AU26" s="12">
        <f t="shared" si="10"/>
        <v>9.9</v>
      </c>
      <c r="AV26" s="12">
        <f t="shared" si="10"/>
        <v>35.799999999999997</v>
      </c>
      <c r="AW26" s="12">
        <f t="shared" si="11"/>
        <v>37.4</v>
      </c>
      <c r="AX26" s="12">
        <f t="shared" si="11"/>
        <v>77.8</v>
      </c>
      <c r="AY26" s="12"/>
      <c r="AZ26" s="12">
        <f t="shared" si="3"/>
        <v>86.3</v>
      </c>
      <c r="BA26" s="12">
        <f t="shared" si="4"/>
        <v>25.200000000000003</v>
      </c>
      <c r="BB26" s="12"/>
      <c r="BC26" s="12">
        <f t="shared" si="5"/>
        <v>53.400000000000006</v>
      </c>
      <c r="BD26" s="12">
        <f t="shared" si="6"/>
        <v>92.300000000000011</v>
      </c>
      <c r="BE26" s="12">
        <f t="shared" si="7"/>
        <v>75.599999999999994</v>
      </c>
    </row>
    <row r="27" spans="1:57" ht="15.75" customHeight="1" x14ac:dyDescent="0.25">
      <c r="A27" s="1" t="s">
        <v>124</v>
      </c>
      <c r="B27" s="3" t="s">
        <v>106</v>
      </c>
      <c r="C27" s="4" t="s">
        <v>92</v>
      </c>
      <c r="D27" s="4">
        <v>30</v>
      </c>
      <c r="E27" s="4">
        <v>942</v>
      </c>
      <c r="F27" s="4">
        <v>30</v>
      </c>
      <c r="G27" s="4">
        <v>942</v>
      </c>
      <c r="H27" s="4">
        <v>0.39600000000000002</v>
      </c>
      <c r="I27" s="4">
        <v>13.5</v>
      </c>
      <c r="J27" s="4"/>
      <c r="K27" s="4">
        <v>0.752</v>
      </c>
      <c r="L27" s="4">
        <v>0.30499999999999999</v>
      </c>
      <c r="M27" s="4">
        <v>0.08</v>
      </c>
      <c r="N27" s="4">
        <v>7.2999999999999995E-2</v>
      </c>
      <c r="O27" s="4">
        <v>0.29399999999999998</v>
      </c>
      <c r="P27" s="4">
        <v>0.248</v>
      </c>
      <c r="Q27" s="4"/>
      <c r="R27" s="4">
        <v>0.42099999999999999</v>
      </c>
      <c r="S27" s="4">
        <v>0.59399999999999997</v>
      </c>
      <c r="T27" s="4">
        <v>0.36099999999999999</v>
      </c>
      <c r="U27" s="4">
        <v>0.30299999999999999</v>
      </c>
      <c r="V27" s="4">
        <v>0.28599999999999998</v>
      </c>
      <c r="W27" s="4">
        <v>0.32100000000000001</v>
      </c>
      <c r="X27" s="4"/>
      <c r="Y27" s="4">
        <v>0.39900000000000002</v>
      </c>
      <c r="Z27" s="4">
        <v>0.83299999999999996</v>
      </c>
      <c r="AA27" s="4"/>
      <c r="AB27" s="4">
        <v>2.7E-2</v>
      </c>
      <c r="AC27" s="4">
        <v>0.33300000000000002</v>
      </c>
      <c r="AD27" s="10">
        <f t="shared" si="1"/>
        <v>0.50663199999999997</v>
      </c>
      <c r="AE27" s="9"/>
      <c r="AF27" s="9"/>
      <c r="AG27" s="12">
        <f t="shared" si="2"/>
        <v>34.300000000000004</v>
      </c>
      <c r="AH27" s="12">
        <f t="shared" si="2"/>
        <v>82.399999999999991</v>
      </c>
      <c r="AI27" s="12">
        <f t="shared" si="2"/>
        <v>38.9</v>
      </c>
      <c r="AJ27" s="12">
        <f t="shared" si="2"/>
        <v>60.3</v>
      </c>
      <c r="AK27" s="12"/>
      <c r="AL27" s="12">
        <f t="shared" si="8"/>
        <v>41.199999999999996</v>
      </c>
      <c r="AM27" s="12">
        <f t="shared" si="8"/>
        <v>64.8</v>
      </c>
      <c r="AN27" s="12">
        <f t="shared" si="8"/>
        <v>9.9</v>
      </c>
      <c r="AO27" s="12">
        <f t="shared" si="8"/>
        <v>20.599999999999998</v>
      </c>
      <c r="AP27" s="12">
        <f t="shared" si="9"/>
        <v>83.2</v>
      </c>
      <c r="AQ27" s="12">
        <f t="shared" si="9"/>
        <v>58.699999999999996</v>
      </c>
      <c r="AR27" s="12"/>
      <c r="AS27" s="12">
        <f t="shared" si="10"/>
        <v>43.5</v>
      </c>
      <c r="AT27" s="12">
        <f t="shared" si="10"/>
        <v>44.2</v>
      </c>
      <c r="AU27" s="12">
        <f t="shared" si="10"/>
        <v>57.199999999999996</v>
      </c>
      <c r="AV27" s="12">
        <f t="shared" si="10"/>
        <v>34.300000000000004</v>
      </c>
      <c r="AW27" s="12">
        <f t="shared" si="11"/>
        <v>29.7</v>
      </c>
      <c r="AX27" s="12">
        <f t="shared" si="11"/>
        <v>66.400000000000006</v>
      </c>
      <c r="AY27" s="12"/>
      <c r="AZ27" s="12">
        <f t="shared" si="3"/>
        <v>68.8</v>
      </c>
      <c r="BA27" s="12">
        <f t="shared" si="4"/>
        <v>46.599999999999994</v>
      </c>
      <c r="BB27" s="12"/>
      <c r="BC27" s="12">
        <f t="shared" si="5"/>
        <v>35.799999999999997</v>
      </c>
      <c r="BD27" s="12">
        <f t="shared" si="6"/>
        <v>64.8</v>
      </c>
      <c r="BE27" s="12">
        <f t="shared" si="7"/>
        <v>71</v>
      </c>
    </row>
    <row r="28" spans="1:57" ht="15.75" customHeight="1" x14ac:dyDescent="0.25">
      <c r="A28" s="1" t="s">
        <v>125</v>
      </c>
      <c r="B28" s="3" t="s">
        <v>114</v>
      </c>
      <c r="C28" s="4" t="s">
        <v>100</v>
      </c>
      <c r="D28" s="4">
        <v>30</v>
      </c>
      <c r="E28" s="4">
        <v>941</v>
      </c>
      <c r="F28" s="4">
        <v>30</v>
      </c>
      <c r="G28" s="4">
        <v>941</v>
      </c>
      <c r="H28" s="4">
        <v>0.42599999999999999</v>
      </c>
      <c r="I28" s="4">
        <v>13.4</v>
      </c>
      <c r="J28" s="4"/>
      <c r="K28" s="4">
        <v>0.76200000000000001</v>
      </c>
      <c r="L28" s="4">
        <v>0.14599999999999999</v>
      </c>
      <c r="M28" s="4">
        <v>0.23</v>
      </c>
      <c r="N28" s="4">
        <v>0.20300000000000001</v>
      </c>
      <c r="O28" s="4">
        <v>0.183</v>
      </c>
      <c r="P28" s="4">
        <v>0.23799999999999999</v>
      </c>
      <c r="Q28" s="4"/>
      <c r="R28" s="4">
        <v>0.42199999999999999</v>
      </c>
      <c r="S28" s="4">
        <v>0.55900000000000005</v>
      </c>
      <c r="T28" s="4">
        <v>0.40899999999999997</v>
      </c>
      <c r="U28" s="4">
        <v>0.40200000000000002</v>
      </c>
      <c r="V28" s="4">
        <v>0.35099999999999998</v>
      </c>
      <c r="W28" s="4">
        <v>0.438</v>
      </c>
      <c r="X28" s="4"/>
      <c r="Y28" s="4">
        <v>0.40799999999999997</v>
      </c>
      <c r="Z28" s="4">
        <v>0.83299999999999996</v>
      </c>
      <c r="AA28" s="4"/>
      <c r="AB28" s="4">
        <v>0.104</v>
      </c>
      <c r="AC28" s="4">
        <v>0.4</v>
      </c>
      <c r="AD28" s="10">
        <f t="shared" si="1"/>
        <v>0.50914999999999999</v>
      </c>
      <c r="AE28" s="9"/>
      <c r="AF28" s="9"/>
      <c r="AG28" s="12">
        <f t="shared" si="2"/>
        <v>34.300000000000004</v>
      </c>
      <c r="AH28" s="12">
        <f t="shared" si="2"/>
        <v>81.599999999999994</v>
      </c>
      <c r="AI28" s="12">
        <f t="shared" si="2"/>
        <v>59.5</v>
      </c>
      <c r="AJ28" s="12">
        <f t="shared" si="2"/>
        <v>59.5</v>
      </c>
      <c r="AK28" s="12"/>
      <c r="AL28" s="12">
        <f t="shared" si="8"/>
        <v>41.9</v>
      </c>
      <c r="AM28" s="12">
        <f t="shared" si="8"/>
        <v>19</v>
      </c>
      <c r="AN28" s="12">
        <f t="shared" si="8"/>
        <v>73.2</v>
      </c>
      <c r="AO28" s="12">
        <f t="shared" si="8"/>
        <v>84.7</v>
      </c>
      <c r="AP28" s="12">
        <f t="shared" si="9"/>
        <v>51.1</v>
      </c>
      <c r="AQ28" s="12">
        <f t="shared" si="9"/>
        <v>57.199999999999996</v>
      </c>
      <c r="AR28" s="12"/>
      <c r="AS28" s="12">
        <f t="shared" si="10"/>
        <v>45</v>
      </c>
      <c r="AT28" s="12">
        <f t="shared" si="10"/>
        <v>34.300000000000004</v>
      </c>
      <c r="AU28" s="12">
        <f t="shared" si="10"/>
        <v>72.5</v>
      </c>
      <c r="AV28" s="12">
        <f t="shared" si="10"/>
        <v>76.3</v>
      </c>
      <c r="AW28" s="12">
        <f t="shared" si="11"/>
        <v>53.400000000000006</v>
      </c>
      <c r="AX28" s="12">
        <f t="shared" si="11"/>
        <v>95.399999999999991</v>
      </c>
      <c r="AY28" s="12"/>
      <c r="AZ28" s="12">
        <f t="shared" si="3"/>
        <v>68</v>
      </c>
      <c r="BA28" s="12">
        <f t="shared" si="4"/>
        <v>46.599999999999994</v>
      </c>
      <c r="BB28" s="12"/>
      <c r="BC28" s="12">
        <f t="shared" si="5"/>
        <v>51.1</v>
      </c>
      <c r="BD28" s="12">
        <f t="shared" si="6"/>
        <v>75.5</v>
      </c>
      <c r="BE28" s="12">
        <f t="shared" si="7"/>
        <v>70.3</v>
      </c>
    </row>
    <row r="29" spans="1:57" ht="15.75" customHeight="1" x14ac:dyDescent="0.25">
      <c r="A29" s="1" t="s">
        <v>126</v>
      </c>
      <c r="B29" s="3" t="s">
        <v>99</v>
      </c>
      <c r="C29" s="4" t="s">
        <v>8</v>
      </c>
      <c r="D29" s="4">
        <v>34</v>
      </c>
      <c r="E29" s="4">
        <v>935</v>
      </c>
      <c r="F29" s="4">
        <v>34</v>
      </c>
      <c r="G29" s="4">
        <v>935</v>
      </c>
      <c r="H29" s="4">
        <v>0.35899999999999999</v>
      </c>
      <c r="I29" s="4">
        <v>13.5</v>
      </c>
      <c r="J29" s="4"/>
      <c r="K29" s="4">
        <v>0.77800000000000002</v>
      </c>
      <c r="L29" s="4">
        <v>0.189</v>
      </c>
      <c r="M29" s="4">
        <v>0.19800000000000001</v>
      </c>
      <c r="N29" s="4">
        <v>0.14399999999999999</v>
      </c>
      <c r="O29" s="4">
        <v>0.249</v>
      </c>
      <c r="P29" s="4">
        <v>0.222</v>
      </c>
      <c r="Q29" s="4"/>
      <c r="R29" s="4">
        <v>0.4</v>
      </c>
      <c r="S29" s="4">
        <v>0.55600000000000005</v>
      </c>
      <c r="T29" s="4">
        <v>0.47</v>
      </c>
      <c r="U29" s="4">
        <v>0.27100000000000002</v>
      </c>
      <c r="V29" s="4">
        <v>0.30099999999999999</v>
      </c>
      <c r="W29" s="4">
        <v>0.216</v>
      </c>
      <c r="X29" s="4"/>
      <c r="Y29" s="4">
        <v>0.49</v>
      </c>
      <c r="Z29" s="4">
        <v>1</v>
      </c>
      <c r="AA29" s="4"/>
      <c r="AB29" s="4">
        <v>0.311</v>
      </c>
      <c r="AC29" s="4">
        <v>0.217</v>
      </c>
      <c r="AD29" s="10">
        <f t="shared" si="1"/>
        <v>0.60321999999999998</v>
      </c>
      <c r="AE29" s="9"/>
      <c r="AF29" s="9"/>
      <c r="AG29" s="12">
        <f t="shared" si="2"/>
        <v>65.600000000000009</v>
      </c>
      <c r="AH29" s="12">
        <f t="shared" si="2"/>
        <v>80.900000000000006</v>
      </c>
      <c r="AI29" s="12">
        <f t="shared" si="2"/>
        <v>22.1</v>
      </c>
      <c r="AJ29" s="12">
        <f t="shared" si="2"/>
        <v>60.3</v>
      </c>
      <c r="AK29" s="12"/>
      <c r="AL29" s="12">
        <f t="shared" si="8"/>
        <v>46.5</v>
      </c>
      <c r="AM29" s="12">
        <f t="shared" si="8"/>
        <v>28.199999999999996</v>
      </c>
      <c r="AN29" s="12">
        <f t="shared" si="8"/>
        <v>57.999999999999993</v>
      </c>
      <c r="AO29" s="12">
        <f t="shared" si="8"/>
        <v>61.8</v>
      </c>
      <c r="AP29" s="12">
        <f t="shared" si="9"/>
        <v>70.199999999999989</v>
      </c>
      <c r="AQ29" s="12">
        <f t="shared" si="9"/>
        <v>52.6</v>
      </c>
      <c r="AR29" s="12"/>
      <c r="AS29" s="12">
        <f t="shared" si="10"/>
        <v>30.5</v>
      </c>
      <c r="AT29" s="12">
        <f t="shared" si="10"/>
        <v>32.800000000000004</v>
      </c>
      <c r="AU29" s="12">
        <f t="shared" si="10"/>
        <v>89.3</v>
      </c>
      <c r="AV29" s="12">
        <f t="shared" si="10"/>
        <v>28.999999999999996</v>
      </c>
      <c r="AW29" s="12">
        <f t="shared" si="11"/>
        <v>35.099999999999994</v>
      </c>
      <c r="AX29" s="12">
        <f t="shared" si="11"/>
        <v>40.400000000000006</v>
      </c>
      <c r="AY29" s="12"/>
      <c r="AZ29" s="12">
        <f t="shared" si="3"/>
        <v>57.300000000000004</v>
      </c>
      <c r="BA29" s="12">
        <f t="shared" si="4"/>
        <v>23</v>
      </c>
      <c r="BB29" s="12"/>
      <c r="BC29" s="12">
        <f t="shared" si="5"/>
        <v>86.2</v>
      </c>
      <c r="BD29" s="12">
        <f t="shared" si="6"/>
        <v>54.1</v>
      </c>
      <c r="BE29" s="12">
        <f t="shared" si="7"/>
        <v>55</v>
      </c>
    </row>
    <row r="30" spans="1:57" ht="15.75" customHeight="1" x14ac:dyDescent="0.25">
      <c r="A30" s="1" t="s">
        <v>127</v>
      </c>
      <c r="B30" s="3" t="s">
        <v>114</v>
      </c>
      <c r="C30" s="4" t="s">
        <v>8</v>
      </c>
      <c r="D30" s="4">
        <v>31</v>
      </c>
      <c r="E30" s="4">
        <v>930</v>
      </c>
      <c r="F30" s="4">
        <v>31</v>
      </c>
      <c r="G30" s="4">
        <v>930</v>
      </c>
      <c r="H30" s="4">
        <v>0.376</v>
      </c>
      <c r="I30" s="4">
        <v>16.7</v>
      </c>
      <c r="J30" s="4"/>
      <c r="K30" s="4">
        <v>0.60899999999999999</v>
      </c>
      <c r="L30" s="4">
        <v>0.13700000000000001</v>
      </c>
      <c r="M30" s="4">
        <v>0.127</v>
      </c>
      <c r="N30" s="4">
        <v>8.4000000000000005E-2</v>
      </c>
      <c r="O30" s="4">
        <v>0.26100000000000001</v>
      </c>
      <c r="P30" s="4">
        <v>0.39100000000000001</v>
      </c>
      <c r="Q30" s="4"/>
      <c r="R30" s="4">
        <v>0.36299999999999999</v>
      </c>
      <c r="S30" s="4">
        <v>0.5</v>
      </c>
      <c r="T30" s="4">
        <v>0.28000000000000003</v>
      </c>
      <c r="U30" s="4">
        <v>0.36399999999999999</v>
      </c>
      <c r="V30" s="4">
        <v>0.33</v>
      </c>
      <c r="W30" s="4">
        <v>0.39600000000000002</v>
      </c>
      <c r="X30" s="4"/>
      <c r="Y30" s="4">
        <v>0.14899999999999999</v>
      </c>
      <c r="Z30" s="4">
        <v>0.59</v>
      </c>
      <c r="AA30" s="4"/>
      <c r="AB30" s="4">
        <v>0.123</v>
      </c>
      <c r="AC30" s="4">
        <v>0.36799999999999999</v>
      </c>
      <c r="AD30" s="10">
        <f t="shared" si="1"/>
        <v>0.32143100000000002</v>
      </c>
      <c r="AE30" s="9"/>
      <c r="AF30" s="9"/>
      <c r="AG30" s="12">
        <f t="shared" si="2"/>
        <v>40.400000000000006</v>
      </c>
      <c r="AH30" s="12">
        <f t="shared" si="2"/>
        <v>80.100000000000009</v>
      </c>
      <c r="AI30" s="12">
        <f t="shared" si="2"/>
        <v>31.2</v>
      </c>
      <c r="AJ30" s="12">
        <f t="shared" si="2"/>
        <v>85.399999999999991</v>
      </c>
      <c r="AK30" s="12"/>
      <c r="AL30" s="12">
        <f t="shared" si="8"/>
        <v>19</v>
      </c>
      <c r="AM30" s="12">
        <f t="shared" si="8"/>
        <v>16.7</v>
      </c>
      <c r="AN30" s="12">
        <f t="shared" si="8"/>
        <v>25.900000000000002</v>
      </c>
      <c r="AO30" s="12">
        <f t="shared" si="8"/>
        <v>32</v>
      </c>
      <c r="AP30" s="12">
        <f t="shared" si="9"/>
        <v>74</v>
      </c>
      <c r="AQ30" s="12">
        <f t="shared" si="9"/>
        <v>80.100000000000009</v>
      </c>
      <c r="AR30" s="12"/>
      <c r="AS30" s="12">
        <f t="shared" si="10"/>
        <v>18.3</v>
      </c>
      <c r="AT30" s="12">
        <f t="shared" si="10"/>
        <v>16</v>
      </c>
      <c r="AU30" s="12">
        <f t="shared" si="10"/>
        <v>25.900000000000002</v>
      </c>
      <c r="AV30" s="12">
        <f t="shared" si="10"/>
        <v>61</v>
      </c>
      <c r="AW30" s="12">
        <f t="shared" si="11"/>
        <v>43.5</v>
      </c>
      <c r="AX30" s="12">
        <f t="shared" si="11"/>
        <v>89.3</v>
      </c>
      <c r="AY30" s="12"/>
      <c r="AZ30" s="12">
        <f t="shared" si="3"/>
        <v>98.5</v>
      </c>
      <c r="BA30" s="12">
        <f t="shared" si="4"/>
        <v>65.699999999999989</v>
      </c>
      <c r="BB30" s="12"/>
      <c r="BC30" s="12">
        <f t="shared" si="5"/>
        <v>55.7</v>
      </c>
      <c r="BD30" s="12">
        <f t="shared" si="6"/>
        <v>72.5</v>
      </c>
      <c r="BE30" s="12">
        <f t="shared" si="7"/>
        <v>97</v>
      </c>
    </row>
    <row r="31" spans="1:57" ht="15.75" customHeight="1" x14ac:dyDescent="0.25">
      <c r="A31" s="1" t="s">
        <v>128</v>
      </c>
      <c r="B31" s="3" t="s">
        <v>91</v>
      </c>
      <c r="C31" s="4" t="s">
        <v>87</v>
      </c>
      <c r="D31" s="4">
        <v>31</v>
      </c>
      <c r="E31" s="4">
        <v>922</v>
      </c>
      <c r="F31" s="4">
        <v>31</v>
      </c>
      <c r="G31" s="4">
        <v>922</v>
      </c>
      <c r="H31" s="4">
        <v>0.51600000000000001</v>
      </c>
      <c r="I31" s="4">
        <v>13</v>
      </c>
      <c r="J31" s="4"/>
      <c r="K31" s="4">
        <v>0.83299999999999996</v>
      </c>
      <c r="L31" s="4">
        <v>0.19600000000000001</v>
      </c>
      <c r="M31" s="4">
        <v>0.16200000000000001</v>
      </c>
      <c r="N31" s="4">
        <v>0.16500000000000001</v>
      </c>
      <c r="O31" s="4">
        <v>0.31</v>
      </c>
      <c r="P31" s="4">
        <v>0.16700000000000001</v>
      </c>
      <c r="Q31" s="4"/>
      <c r="R31" s="4">
        <v>0.56100000000000005</v>
      </c>
      <c r="S31" s="4">
        <v>0.76500000000000001</v>
      </c>
      <c r="T31" s="4">
        <v>0.52200000000000002</v>
      </c>
      <c r="U31" s="4">
        <v>0.5</v>
      </c>
      <c r="V31" s="4">
        <v>0.48399999999999999</v>
      </c>
      <c r="W31" s="4">
        <v>0.28999999999999998</v>
      </c>
      <c r="X31" s="4"/>
      <c r="Y31" s="4">
        <v>0.59599999999999997</v>
      </c>
      <c r="Z31" s="4">
        <v>1</v>
      </c>
      <c r="AA31" s="4"/>
      <c r="AB31" s="4">
        <v>0.159</v>
      </c>
      <c r="AC31" s="4">
        <v>0.27300000000000002</v>
      </c>
      <c r="AD31" s="10">
        <f t="shared" si="1"/>
        <v>0.66346799999999995</v>
      </c>
      <c r="AE31" s="9"/>
      <c r="AF31" s="9"/>
      <c r="AG31" s="12">
        <f t="shared" si="2"/>
        <v>40.400000000000006</v>
      </c>
      <c r="AH31" s="12">
        <f t="shared" si="2"/>
        <v>79.3</v>
      </c>
      <c r="AI31" s="12">
        <f t="shared" si="2"/>
        <v>90</v>
      </c>
      <c r="AJ31" s="12">
        <f t="shared" si="2"/>
        <v>57.199999999999996</v>
      </c>
      <c r="AK31" s="12"/>
      <c r="AL31" s="12">
        <f t="shared" si="8"/>
        <v>55.7</v>
      </c>
      <c r="AM31" s="12">
        <f t="shared" si="8"/>
        <v>30.5</v>
      </c>
      <c r="AN31" s="12">
        <f t="shared" si="8"/>
        <v>45</v>
      </c>
      <c r="AO31" s="12">
        <f t="shared" si="8"/>
        <v>71.7</v>
      </c>
      <c r="AP31" s="12">
        <f t="shared" si="9"/>
        <v>87</v>
      </c>
      <c r="AQ31" s="12">
        <f t="shared" si="9"/>
        <v>44.2</v>
      </c>
      <c r="AR31" s="12"/>
      <c r="AS31" s="12">
        <f t="shared" si="10"/>
        <v>94.6</v>
      </c>
      <c r="AT31" s="12">
        <f t="shared" si="10"/>
        <v>92.300000000000011</v>
      </c>
      <c r="AU31" s="12">
        <f t="shared" si="10"/>
        <v>96.899999999999991</v>
      </c>
      <c r="AV31" s="12">
        <f t="shared" si="10"/>
        <v>90.8</v>
      </c>
      <c r="AW31" s="12">
        <f t="shared" si="11"/>
        <v>90</v>
      </c>
      <c r="AX31" s="12">
        <f t="shared" si="11"/>
        <v>57.199999999999996</v>
      </c>
      <c r="AY31" s="12"/>
      <c r="AZ31" s="12">
        <f t="shared" si="3"/>
        <v>44.3</v>
      </c>
      <c r="BA31" s="12">
        <f t="shared" si="4"/>
        <v>23</v>
      </c>
      <c r="BB31" s="12"/>
      <c r="BC31" s="12">
        <f t="shared" si="5"/>
        <v>65.600000000000009</v>
      </c>
      <c r="BD31" s="12">
        <f t="shared" si="6"/>
        <v>57.199999999999996</v>
      </c>
      <c r="BE31" s="12">
        <f t="shared" si="7"/>
        <v>38.200000000000003</v>
      </c>
    </row>
    <row r="32" spans="1:57" ht="15.75" customHeight="1" x14ac:dyDescent="0.25">
      <c r="A32" s="1" t="s">
        <v>129</v>
      </c>
      <c r="B32" s="3" t="s">
        <v>106</v>
      </c>
      <c r="C32" s="4" t="s">
        <v>100</v>
      </c>
      <c r="D32" s="4">
        <v>34</v>
      </c>
      <c r="E32" s="4">
        <v>913</v>
      </c>
      <c r="F32" s="4">
        <v>34</v>
      </c>
      <c r="G32" s="4">
        <v>913</v>
      </c>
      <c r="H32" s="4">
        <v>0.373</v>
      </c>
      <c r="I32" s="4">
        <v>11.7</v>
      </c>
      <c r="J32" s="4"/>
      <c r="K32" s="4">
        <v>0.63100000000000001</v>
      </c>
      <c r="L32" s="4">
        <v>0.376</v>
      </c>
      <c r="M32" s="4">
        <v>0.16600000000000001</v>
      </c>
      <c r="N32" s="4">
        <v>4.3999999999999997E-2</v>
      </c>
      <c r="O32" s="4">
        <v>4.3999999999999997E-2</v>
      </c>
      <c r="P32" s="4">
        <v>0.36899999999999999</v>
      </c>
      <c r="Q32" s="4"/>
      <c r="R32" s="4">
        <v>0.41499999999999998</v>
      </c>
      <c r="S32" s="4">
        <v>0.52</v>
      </c>
      <c r="T32" s="4">
        <v>0.26700000000000002</v>
      </c>
      <c r="U32" s="4">
        <v>8.3000000000000004E-2</v>
      </c>
      <c r="V32" s="4">
        <v>0.41699999999999998</v>
      </c>
      <c r="W32" s="4">
        <v>0.3</v>
      </c>
      <c r="X32" s="4"/>
      <c r="Y32" s="4">
        <v>0.22500000000000001</v>
      </c>
      <c r="Z32" s="4">
        <v>1</v>
      </c>
      <c r="AA32" s="4"/>
      <c r="AB32" s="4">
        <v>0.3</v>
      </c>
      <c r="AC32" s="4">
        <v>0.5</v>
      </c>
      <c r="AD32" s="10">
        <f t="shared" si="1"/>
        <v>0.51097499999999996</v>
      </c>
      <c r="AE32" s="9"/>
      <c r="AF32" s="9"/>
      <c r="AG32" s="12">
        <f t="shared" si="2"/>
        <v>65.600000000000009</v>
      </c>
      <c r="AH32" s="12">
        <f t="shared" si="2"/>
        <v>78.600000000000009</v>
      </c>
      <c r="AI32" s="12">
        <f t="shared" si="2"/>
        <v>28.999999999999996</v>
      </c>
      <c r="AJ32" s="12">
        <f t="shared" si="2"/>
        <v>41.199999999999996</v>
      </c>
      <c r="AK32" s="12"/>
      <c r="AL32" s="12">
        <f t="shared" si="8"/>
        <v>22.900000000000002</v>
      </c>
      <c r="AM32" s="12">
        <f t="shared" si="8"/>
        <v>80.900000000000006</v>
      </c>
      <c r="AN32" s="12">
        <f t="shared" si="8"/>
        <v>47.3</v>
      </c>
      <c r="AO32" s="12">
        <f t="shared" si="8"/>
        <v>9.1</v>
      </c>
      <c r="AP32" s="12">
        <f t="shared" si="9"/>
        <v>9.9</v>
      </c>
      <c r="AQ32" s="12">
        <f t="shared" si="9"/>
        <v>77</v>
      </c>
      <c r="AR32" s="12"/>
      <c r="AS32" s="12">
        <f t="shared" si="10"/>
        <v>37.4</v>
      </c>
      <c r="AT32" s="12">
        <f t="shared" si="10"/>
        <v>20.599999999999998</v>
      </c>
      <c r="AU32" s="12">
        <f t="shared" si="10"/>
        <v>21.3</v>
      </c>
      <c r="AV32" s="12">
        <f t="shared" si="10"/>
        <v>10.6</v>
      </c>
      <c r="AW32" s="12">
        <f t="shared" si="11"/>
        <v>74</v>
      </c>
      <c r="AX32" s="12">
        <f t="shared" si="11"/>
        <v>57.999999999999993</v>
      </c>
      <c r="AY32" s="12"/>
      <c r="AZ32" s="12">
        <f t="shared" si="3"/>
        <v>87.8</v>
      </c>
      <c r="BA32" s="12">
        <f t="shared" si="4"/>
        <v>23</v>
      </c>
      <c r="BB32" s="12"/>
      <c r="BC32" s="12">
        <f t="shared" si="5"/>
        <v>85.399999999999991</v>
      </c>
      <c r="BD32" s="12">
        <f t="shared" si="6"/>
        <v>87</v>
      </c>
      <c r="BE32" s="12">
        <f t="shared" si="7"/>
        <v>69.5</v>
      </c>
    </row>
    <row r="33" spans="1:57" ht="15.75" customHeight="1" x14ac:dyDescent="0.25">
      <c r="A33" s="1" t="s">
        <v>130</v>
      </c>
      <c r="B33" s="3" t="s">
        <v>106</v>
      </c>
      <c r="C33" s="4" t="s">
        <v>8</v>
      </c>
      <c r="D33" s="4">
        <v>29</v>
      </c>
      <c r="E33" s="4">
        <v>908</v>
      </c>
      <c r="F33" s="4">
        <v>29</v>
      </c>
      <c r="G33" s="4">
        <v>908</v>
      </c>
      <c r="H33" s="4">
        <v>0.41499999999999998</v>
      </c>
      <c r="I33" s="4">
        <v>13.8</v>
      </c>
      <c r="J33" s="4"/>
      <c r="K33" s="4">
        <v>0.68200000000000005</v>
      </c>
      <c r="L33" s="4">
        <v>0.27300000000000002</v>
      </c>
      <c r="M33" s="4">
        <v>9.7000000000000003E-2</v>
      </c>
      <c r="N33" s="4">
        <v>0.14499999999999999</v>
      </c>
      <c r="O33" s="4">
        <v>0.16800000000000001</v>
      </c>
      <c r="P33" s="4">
        <v>0.318</v>
      </c>
      <c r="Q33" s="4"/>
      <c r="R33" s="4">
        <v>0.44600000000000001</v>
      </c>
      <c r="S33" s="4">
        <v>0.61499999999999999</v>
      </c>
      <c r="T33" s="4">
        <v>0.41199999999999998</v>
      </c>
      <c r="U33" s="4">
        <v>0.216</v>
      </c>
      <c r="V33" s="4">
        <v>0.39</v>
      </c>
      <c r="W33" s="4">
        <v>0.34799999999999998</v>
      </c>
      <c r="X33" s="4"/>
      <c r="Y33" s="4">
        <v>0.42099999999999999</v>
      </c>
      <c r="Z33" s="4">
        <v>0.94899999999999995</v>
      </c>
      <c r="AA33" s="4"/>
      <c r="AB33" s="4">
        <v>0.20499999999999999</v>
      </c>
      <c r="AC33" s="4">
        <v>0.435</v>
      </c>
      <c r="AD33" s="10">
        <f t="shared" si="1"/>
        <v>0.58890399999999998</v>
      </c>
      <c r="AE33" s="9"/>
      <c r="AF33" s="9"/>
      <c r="AG33" s="12">
        <f t="shared" si="2"/>
        <v>29.7</v>
      </c>
      <c r="AH33" s="12">
        <f t="shared" si="2"/>
        <v>77.8</v>
      </c>
      <c r="AI33" s="12">
        <f t="shared" si="2"/>
        <v>53.400000000000006</v>
      </c>
      <c r="AJ33" s="12">
        <f t="shared" si="2"/>
        <v>65.600000000000009</v>
      </c>
      <c r="AK33" s="12"/>
      <c r="AL33" s="12">
        <f t="shared" si="8"/>
        <v>29.7</v>
      </c>
      <c r="AM33" s="12">
        <f t="shared" si="8"/>
        <v>54.900000000000006</v>
      </c>
      <c r="AN33" s="12">
        <f t="shared" si="8"/>
        <v>14.499999999999998</v>
      </c>
      <c r="AO33" s="12">
        <f t="shared" si="8"/>
        <v>62.5</v>
      </c>
      <c r="AP33" s="12">
        <f t="shared" si="9"/>
        <v>43.5</v>
      </c>
      <c r="AQ33" s="12">
        <f t="shared" si="9"/>
        <v>70.199999999999989</v>
      </c>
      <c r="AR33" s="12"/>
      <c r="AS33" s="12">
        <f t="shared" si="10"/>
        <v>53.400000000000006</v>
      </c>
      <c r="AT33" s="12">
        <f t="shared" si="10"/>
        <v>56.399999999999991</v>
      </c>
      <c r="AU33" s="12">
        <f t="shared" si="10"/>
        <v>74</v>
      </c>
      <c r="AV33" s="12">
        <f t="shared" si="10"/>
        <v>21.3</v>
      </c>
      <c r="AW33" s="12">
        <f t="shared" si="11"/>
        <v>64.099999999999994</v>
      </c>
      <c r="AX33" s="12">
        <f t="shared" si="11"/>
        <v>77</v>
      </c>
      <c r="AY33" s="12"/>
      <c r="AZ33" s="12">
        <f t="shared" si="3"/>
        <v>65.699999999999989</v>
      </c>
      <c r="BA33" s="12">
        <f t="shared" si="4"/>
        <v>28.299999999999997</v>
      </c>
      <c r="BB33" s="12"/>
      <c r="BC33" s="12">
        <f t="shared" si="5"/>
        <v>76.3</v>
      </c>
      <c r="BD33" s="12">
        <f t="shared" si="6"/>
        <v>82.399999999999991</v>
      </c>
      <c r="BE33" s="12">
        <f t="shared" si="7"/>
        <v>61.1</v>
      </c>
    </row>
    <row r="34" spans="1:57" ht="15.75" customHeight="1" x14ac:dyDescent="0.25">
      <c r="A34" s="1" t="s">
        <v>131</v>
      </c>
      <c r="B34" s="3" t="s">
        <v>104</v>
      </c>
      <c r="C34" s="4" t="s">
        <v>8</v>
      </c>
      <c r="D34" s="4">
        <v>34</v>
      </c>
      <c r="E34" s="4">
        <v>904</v>
      </c>
      <c r="F34" s="4">
        <v>34</v>
      </c>
      <c r="G34" s="4">
        <v>904</v>
      </c>
      <c r="H34" s="4">
        <v>0.374</v>
      </c>
      <c r="I34" s="4">
        <v>18.8</v>
      </c>
      <c r="J34" s="4"/>
      <c r="K34" s="4">
        <v>0.56200000000000006</v>
      </c>
      <c r="L34" s="4">
        <v>8.4000000000000005E-2</v>
      </c>
      <c r="M34" s="4">
        <v>0.03</v>
      </c>
      <c r="N34" s="4">
        <v>0.10299999999999999</v>
      </c>
      <c r="O34" s="4">
        <v>0.34499999999999997</v>
      </c>
      <c r="P34" s="4">
        <v>0.438</v>
      </c>
      <c r="Q34" s="4"/>
      <c r="R34" s="4">
        <v>0.42099999999999999</v>
      </c>
      <c r="S34" s="4">
        <v>0.47099999999999997</v>
      </c>
      <c r="T34" s="4">
        <v>0.5</v>
      </c>
      <c r="U34" s="4">
        <v>0.38100000000000001</v>
      </c>
      <c r="V34" s="4">
        <v>0.41399999999999998</v>
      </c>
      <c r="W34" s="4">
        <v>0.315</v>
      </c>
      <c r="X34" s="4"/>
      <c r="Y34" s="4">
        <v>0.70799999999999996</v>
      </c>
      <c r="Z34" s="4">
        <v>0.67900000000000005</v>
      </c>
      <c r="AA34" s="4"/>
      <c r="AB34" s="4">
        <v>5.6000000000000001E-2</v>
      </c>
      <c r="AC34" s="4">
        <v>0.2</v>
      </c>
      <c r="AD34" s="10">
        <f t="shared" si="1"/>
        <v>0.69529799999999997</v>
      </c>
      <c r="AE34" s="9"/>
      <c r="AF34" s="9"/>
      <c r="AG34" s="12">
        <f t="shared" si="2"/>
        <v>65.600000000000009</v>
      </c>
      <c r="AH34" s="12">
        <f t="shared" si="2"/>
        <v>77</v>
      </c>
      <c r="AI34" s="12">
        <f t="shared" si="2"/>
        <v>29.7</v>
      </c>
      <c r="AJ34" s="12">
        <f t="shared" si="2"/>
        <v>95.399999999999991</v>
      </c>
      <c r="AK34" s="12"/>
      <c r="AL34" s="12">
        <f t="shared" si="8"/>
        <v>16</v>
      </c>
      <c r="AM34" s="12">
        <f t="shared" si="8"/>
        <v>6.1</v>
      </c>
      <c r="AN34" s="12">
        <f t="shared" si="8"/>
        <v>0</v>
      </c>
      <c r="AO34" s="12">
        <f t="shared" si="8"/>
        <v>41.199999999999996</v>
      </c>
      <c r="AP34" s="12">
        <f t="shared" si="9"/>
        <v>93.8</v>
      </c>
      <c r="AQ34" s="12">
        <f t="shared" si="9"/>
        <v>83.899999999999991</v>
      </c>
      <c r="AR34" s="12"/>
      <c r="AS34" s="12">
        <f t="shared" si="10"/>
        <v>43.5</v>
      </c>
      <c r="AT34" s="12">
        <f t="shared" si="10"/>
        <v>14.499999999999998</v>
      </c>
      <c r="AU34" s="12">
        <f t="shared" si="10"/>
        <v>92.300000000000011</v>
      </c>
      <c r="AV34" s="12">
        <f t="shared" si="10"/>
        <v>69.399999999999991</v>
      </c>
      <c r="AW34" s="12">
        <f t="shared" si="11"/>
        <v>72.5</v>
      </c>
      <c r="AX34" s="12">
        <f t="shared" si="11"/>
        <v>64.099999999999994</v>
      </c>
      <c r="AY34" s="12"/>
      <c r="AZ34" s="12">
        <f t="shared" si="3"/>
        <v>16.799999999999997</v>
      </c>
      <c r="BA34" s="12">
        <f t="shared" si="4"/>
        <v>58.800000000000004</v>
      </c>
      <c r="BB34" s="12"/>
      <c r="BC34" s="12">
        <f t="shared" si="5"/>
        <v>38.1</v>
      </c>
      <c r="BD34" s="12">
        <f t="shared" si="6"/>
        <v>50.3</v>
      </c>
      <c r="BE34" s="12">
        <f t="shared" si="7"/>
        <v>30.600000000000009</v>
      </c>
    </row>
    <row r="35" spans="1:57" ht="15.75" customHeight="1" x14ac:dyDescent="0.25">
      <c r="A35" s="1" t="s">
        <v>132</v>
      </c>
      <c r="B35" s="3" t="s">
        <v>97</v>
      </c>
      <c r="C35" s="4" t="s">
        <v>8</v>
      </c>
      <c r="D35" s="4">
        <v>33</v>
      </c>
      <c r="E35" s="4">
        <v>901</v>
      </c>
      <c r="F35" s="4">
        <v>33</v>
      </c>
      <c r="G35" s="4">
        <v>901</v>
      </c>
      <c r="H35" s="4">
        <v>0.39500000000000002</v>
      </c>
      <c r="I35" s="4">
        <v>12.9</v>
      </c>
      <c r="J35" s="4"/>
      <c r="K35" s="4">
        <v>0.77</v>
      </c>
      <c r="L35" s="4">
        <v>0.27400000000000002</v>
      </c>
      <c r="M35" s="4">
        <v>0.129</v>
      </c>
      <c r="N35" s="4">
        <v>0.13700000000000001</v>
      </c>
      <c r="O35" s="4">
        <v>0.23</v>
      </c>
      <c r="P35" s="4">
        <v>0.23</v>
      </c>
      <c r="Q35" s="4"/>
      <c r="R35" s="4">
        <v>0.43099999999999999</v>
      </c>
      <c r="S35" s="4">
        <v>0.54</v>
      </c>
      <c r="T35" s="4">
        <v>0.31900000000000001</v>
      </c>
      <c r="U35" s="4">
        <v>0.32</v>
      </c>
      <c r="V35" s="4">
        <v>0.42899999999999999</v>
      </c>
      <c r="W35" s="4">
        <v>0.27400000000000002</v>
      </c>
      <c r="X35" s="4"/>
      <c r="Y35" s="4">
        <v>0.39700000000000002</v>
      </c>
      <c r="Z35" s="4">
        <v>0.78300000000000003</v>
      </c>
      <c r="AA35" s="4"/>
      <c r="AB35" s="4">
        <v>0.13100000000000001</v>
      </c>
      <c r="AC35" s="4">
        <v>0.27300000000000002</v>
      </c>
      <c r="AD35" s="10">
        <f t="shared" si="1"/>
        <v>0.48578000000000005</v>
      </c>
      <c r="AE35" s="9"/>
      <c r="AF35" s="9"/>
      <c r="AG35" s="12">
        <f t="shared" si="2"/>
        <v>54.900000000000006</v>
      </c>
      <c r="AH35" s="12">
        <f t="shared" si="2"/>
        <v>76.3</v>
      </c>
      <c r="AI35" s="12">
        <f t="shared" si="2"/>
        <v>37.4</v>
      </c>
      <c r="AJ35" s="12">
        <f t="shared" si="2"/>
        <v>56.399999999999991</v>
      </c>
      <c r="AK35" s="12"/>
      <c r="AL35" s="12">
        <f t="shared" si="8"/>
        <v>45.800000000000004</v>
      </c>
      <c r="AM35" s="12">
        <f t="shared" si="8"/>
        <v>55.7</v>
      </c>
      <c r="AN35" s="12">
        <f t="shared" si="8"/>
        <v>27.400000000000002</v>
      </c>
      <c r="AO35" s="12">
        <f t="shared" si="8"/>
        <v>58.699999999999996</v>
      </c>
      <c r="AP35" s="12">
        <f t="shared" si="9"/>
        <v>64.8</v>
      </c>
      <c r="AQ35" s="12">
        <f t="shared" si="9"/>
        <v>54.1</v>
      </c>
      <c r="AR35" s="12"/>
      <c r="AS35" s="12">
        <f t="shared" si="10"/>
        <v>48.8</v>
      </c>
      <c r="AT35" s="12">
        <f t="shared" si="10"/>
        <v>25.1</v>
      </c>
      <c r="AU35" s="12">
        <f t="shared" si="10"/>
        <v>35.799999999999997</v>
      </c>
      <c r="AV35" s="12">
        <f t="shared" si="10"/>
        <v>40.400000000000006</v>
      </c>
      <c r="AW35" s="12">
        <f t="shared" si="11"/>
        <v>80.100000000000009</v>
      </c>
      <c r="AX35" s="12">
        <f t="shared" si="11"/>
        <v>52.6</v>
      </c>
      <c r="AY35" s="12"/>
      <c r="AZ35" s="12">
        <f t="shared" si="3"/>
        <v>69.5</v>
      </c>
      <c r="BA35" s="12">
        <f t="shared" si="4"/>
        <v>51.2</v>
      </c>
      <c r="BB35" s="12"/>
      <c r="BC35" s="12">
        <f t="shared" si="5"/>
        <v>58.699999999999996</v>
      </c>
      <c r="BD35" s="12">
        <f t="shared" si="6"/>
        <v>57.199999999999996</v>
      </c>
      <c r="BE35" s="12">
        <f t="shared" si="7"/>
        <v>74.099999999999994</v>
      </c>
    </row>
    <row r="36" spans="1:57" ht="15.75" customHeight="1" x14ac:dyDescent="0.25">
      <c r="A36" s="1" t="s">
        <v>133</v>
      </c>
      <c r="B36" s="3" t="s">
        <v>97</v>
      </c>
      <c r="C36" s="4" t="s">
        <v>110</v>
      </c>
      <c r="D36" s="4">
        <v>34</v>
      </c>
      <c r="E36" s="4">
        <v>899</v>
      </c>
      <c r="F36" s="4">
        <v>34</v>
      </c>
      <c r="G36" s="4">
        <v>899</v>
      </c>
      <c r="H36" s="4">
        <v>0.42599999999999999</v>
      </c>
      <c r="I36" s="4">
        <v>12.5</v>
      </c>
      <c r="J36" s="4"/>
      <c r="K36" s="4">
        <v>0.67700000000000005</v>
      </c>
      <c r="L36" s="4">
        <v>0.26600000000000001</v>
      </c>
      <c r="M36" s="4">
        <v>0.183</v>
      </c>
      <c r="N36" s="4">
        <v>0.158</v>
      </c>
      <c r="O36" s="4">
        <v>7.0000000000000007E-2</v>
      </c>
      <c r="P36" s="4">
        <v>0.32300000000000001</v>
      </c>
      <c r="Q36" s="4"/>
      <c r="R36" s="4">
        <v>0.47399999999999998</v>
      </c>
      <c r="S36" s="4">
        <v>0.69799999999999995</v>
      </c>
      <c r="T36" s="4">
        <v>0.34200000000000003</v>
      </c>
      <c r="U36" s="4">
        <v>0.39700000000000002</v>
      </c>
      <c r="V36" s="4">
        <v>0.14299999999999999</v>
      </c>
      <c r="W36" s="4">
        <v>0.32600000000000001</v>
      </c>
      <c r="X36" s="4"/>
      <c r="Y36" s="4">
        <v>0.56999999999999995</v>
      </c>
      <c r="Z36" s="4">
        <v>0.95199999999999996</v>
      </c>
      <c r="AA36" s="4"/>
      <c r="AB36" s="4">
        <v>7.0000000000000007E-2</v>
      </c>
      <c r="AC36" s="4">
        <v>0.66700000000000004</v>
      </c>
      <c r="AD36" s="10">
        <f t="shared" si="1"/>
        <v>0.69338600000000006</v>
      </c>
      <c r="AE36" s="9"/>
      <c r="AF36" s="9"/>
      <c r="AG36" s="12">
        <f t="shared" si="2"/>
        <v>65.600000000000009</v>
      </c>
      <c r="AH36" s="12">
        <f t="shared" si="2"/>
        <v>75.5</v>
      </c>
      <c r="AI36" s="12">
        <f t="shared" si="2"/>
        <v>59.5</v>
      </c>
      <c r="AJ36" s="12">
        <f t="shared" si="2"/>
        <v>51.1</v>
      </c>
      <c r="AK36" s="12"/>
      <c r="AL36" s="12">
        <f t="shared" si="8"/>
        <v>28.199999999999996</v>
      </c>
      <c r="AM36" s="12">
        <f t="shared" si="8"/>
        <v>51.9</v>
      </c>
      <c r="AN36" s="12">
        <f t="shared" si="8"/>
        <v>53.400000000000006</v>
      </c>
      <c r="AO36" s="12">
        <f t="shared" si="8"/>
        <v>68.7</v>
      </c>
      <c r="AP36" s="12">
        <f t="shared" si="9"/>
        <v>16.7</v>
      </c>
      <c r="AQ36" s="12">
        <f t="shared" si="9"/>
        <v>70.899999999999991</v>
      </c>
      <c r="AR36" s="12"/>
      <c r="AS36" s="12">
        <f t="shared" si="10"/>
        <v>72.5</v>
      </c>
      <c r="AT36" s="12">
        <f t="shared" si="10"/>
        <v>77</v>
      </c>
      <c r="AU36" s="12">
        <f t="shared" si="10"/>
        <v>48.8</v>
      </c>
      <c r="AV36" s="12">
        <f t="shared" si="10"/>
        <v>72.5</v>
      </c>
      <c r="AW36" s="12">
        <f t="shared" si="11"/>
        <v>8.3000000000000007</v>
      </c>
      <c r="AX36" s="12">
        <f t="shared" si="11"/>
        <v>68.7</v>
      </c>
      <c r="AY36" s="12"/>
      <c r="AZ36" s="12">
        <f t="shared" si="3"/>
        <v>48.9</v>
      </c>
      <c r="BA36" s="12">
        <f t="shared" si="4"/>
        <v>26.799999999999997</v>
      </c>
      <c r="BB36" s="12"/>
      <c r="BC36" s="12">
        <f t="shared" si="5"/>
        <v>38.9</v>
      </c>
      <c r="BD36" s="12">
        <f t="shared" si="6"/>
        <v>94.6</v>
      </c>
      <c r="BE36" s="12">
        <f t="shared" si="7"/>
        <v>31.299999999999997</v>
      </c>
    </row>
    <row r="37" spans="1:57" ht="15.75" customHeight="1" x14ac:dyDescent="0.25">
      <c r="A37" s="1" t="s">
        <v>134</v>
      </c>
      <c r="B37" s="3" t="s">
        <v>108</v>
      </c>
      <c r="C37" s="4" t="s">
        <v>110</v>
      </c>
      <c r="D37" s="4">
        <v>31</v>
      </c>
      <c r="E37" s="4">
        <v>889</v>
      </c>
      <c r="F37" s="4">
        <v>31</v>
      </c>
      <c r="G37" s="4">
        <v>889</v>
      </c>
      <c r="H37" s="4">
        <v>0.49299999999999999</v>
      </c>
      <c r="I37" s="4">
        <v>9</v>
      </c>
      <c r="J37" s="4"/>
      <c r="K37" s="4">
        <v>0.91700000000000004</v>
      </c>
      <c r="L37" s="4">
        <v>0.38400000000000001</v>
      </c>
      <c r="M37" s="4">
        <v>0.23899999999999999</v>
      </c>
      <c r="N37" s="4">
        <v>0.128</v>
      </c>
      <c r="O37" s="4">
        <v>0.16600000000000001</v>
      </c>
      <c r="P37" s="4">
        <v>8.3000000000000004E-2</v>
      </c>
      <c r="Q37" s="4"/>
      <c r="R37" s="4">
        <v>0.51400000000000001</v>
      </c>
      <c r="S37" s="4">
        <v>0.67900000000000005</v>
      </c>
      <c r="T37" s="4">
        <v>0.46500000000000002</v>
      </c>
      <c r="U37" s="4">
        <v>0.37</v>
      </c>
      <c r="V37" s="4">
        <v>0.314</v>
      </c>
      <c r="W37" s="4">
        <v>0.25700000000000001</v>
      </c>
      <c r="X37" s="4"/>
      <c r="Y37" s="4">
        <v>0.54800000000000004</v>
      </c>
      <c r="Z37" s="4">
        <v>0.88900000000000001</v>
      </c>
      <c r="AA37" s="4"/>
      <c r="AB37" s="4">
        <v>8.5999999999999993E-2</v>
      </c>
      <c r="AC37" s="4">
        <v>0.66700000000000004</v>
      </c>
      <c r="AD37" s="10">
        <f t="shared" si="1"/>
        <v>0.57630300000000012</v>
      </c>
      <c r="AE37" s="9"/>
      <c r="AF37" s="9"/>
      <c r="AG37" s="12">
        <f t="shared" si="2"/>
        <v>40.400000000000006</v>
      </c>
      <c r="AH37" s="12">
        <f t="shared" si="2"/>
        <v>74.8</v>
      </c>
      <c r="AI37" s="12">
        <f t="shared" si="2"/>
        <v>85.399999999999991</v>
      </c>
      <c r="AJ37" s="12">
        <f t="shared" si="2"/>
        <v>22.900000000000002</v>
      </c>
      <c r="AK37" s="12"/>
      <c r="AL37" s="12">
        <f t="shared" si="8"/>
        <v>64.099999999999994</v>
      </c>
      <c r="AM37" s="12">
        <f t="shared" si="8"/>
        <v>81.599999999999994</v>
      </c>
      <c r="AN37" s="12">
        <f t="shared" si="8"/>
        <v>74</v>
      </c>
      <c r="AO37" s="12">
        <f t="shared" si="8"/>
        <v>53.400000000000006</v>
      </c>
      <c r="AP37" s="12">
        <f t="shared" si="9"/>
        <v>41.9</v>
      </c>
      <c r="AQ37" s="12">
        <f t="shared" si="9"/>
        <v>35.799999999999997</v>
      </c>
      <c r="AR37" s="12"/>
      <c r="AS37" s="12">
        <f t="shared" si="10"/>
        <v>85.399999999999991</v>
      </c>
      <c r="AT37" s="12">
        <f t="shared" si="10"/>
        <v>69.399999999999991</v>
      </c>
      <c r="AU37" s="12">
        <f t="shared" si="10"/>
        <v>87.7</v>
      </c>
      <c r="AV37" s="12">
        <f t="shared" si="10"/>
        <v>64.8</v>
      </c>
      <c r="AW37" s="12">
        <f t="shared" si="11"/>
        <v>41.199999999999996</v>
      </c>
      <c r="AX37" s="12">
        <f t="shared" si="11"/>
        <v>48.8</v>
      </c>
      <c r="AY37" s="12"/>
      <c r="AZ37" s="12">
        <f t="shared" si="3"/>
        <v>50.4</v>
      </c>
      <c r="BA37" s="12">
        <f t="shared" si="4"/>
        <v>38.200000000000003</v>
      </c>
      <c r="BB37" s="12"/>
      <c r="BC37" s="12">
        <f t="shared" si="5"/>
        <v>42.699999999999996</v>
      </c>
      <c r="BD37" s="12">
        <f t="shared" si="6"/>
        <v>94.6</v>
      </c>
      <c r="BE37" s="12">
        <f t="shared" si="7"/>
        <v>63.4</v>
      </c>
    </row>
    <row r="38" spans="1:57" ht="15.75" customHeight="1" x14ac:dyDescent="0.25">
      <c r="A38" s="1" t="s">
        <v>135</v>
      </c>
      <c r="B38" s="3" t="s">
        <v>122</v>
      </c>
      <c r="C38" s="4" t="s">
        <v>8</v>
      </c>
      <c r="D38" s="4">
        <v>34</v>
      </c>
      <c r="E38" s="4">
        <v>888</v>
      </c>
      <c r="F38" s="4">
        <v>34</v>
      </c>
      <c r="G38" s="4">
        <v>888</v>
      </c>
      <c r="H38" s="4">
        <v>0.40699999999999997</v>
      </c>
      <c r="I38" s="4">
        <v>10</v>
      </c>
      <c r="J38" s="4"/>
      <c r="K38" s="4">
        <v>0.84899999999999998</v>
      </c>
      <c r="L38" s="4">
        <v>0.436</v>
      </c>
      <c r="M38" s="4">
        <v>0.157</v>
      </c>
      <c r="N38" s="4">
        <v>8.1000000000000003E-2</v>
      </c>
      <c r="O38" s="4">
        <v>0.17399999999999999</v>
      </c>
      <c r="P38" s="4">
        <v>0.151</v>
      </c>
      <c r="Q38" s="4"/>
      <c r="R38" s="4">
        <v>0.45200000000000001</v>
      </c>
      <c r="S38" s="4">
        <v>0.61299999999999999</v>
      </c>
      <c r="T38" s="4">
        <v>0.185</v>
      </c>
      <c r="U38" s="4">
        <v>0.214</v>
      </c>
      <c r="V38" s="4">
        <v>0.4</v>
      </c>
      <c r="W38" s="4">
        <v>0.154</v>
      </c>
      <c r="X38" s="4"/>
      <c r="Y38" s="4">
        <v>0.39400000000000002</v>
      </c>
      <c r="Z38" s="4">
        <v>1</v>
      </c>
      <c r="AA38" s="4"/>
      <c r="AB38" s="4">
        <v>0.26900000000000002</v>
      </c>
      <c r="AC38" s="4">
        <v>0.28599999999999998</v>
      </c>
      <c r="AD38" s="10">
        <f t="shared" si="1"/>
        <v>0.48550599999999999</v>
      </c>
      <c r="AE38" s="9"/>
      <c r="AF38" s="9"/>
      <c r="AG38" s="12">
        <f t="shared" si="2"/>
        <v>65.600000000000009</v>
      </c>
      <c r="AH38" s="12">
        <f t="shared" si="2"/>
        <v>74</v>
      </c>
      <c r="AI38" s="12">
        <f t="shared" si="2"/>
        <v>49.6</v>
      </c>
      <c r="AJ38" s="12">
        <f t="shared" si="2"/>
        <v>28.999999999999996</v>
      </c>
      <c r="AK38" s="12"/>
      <c r="AL38" s="12">
        <f t="shared" si="8"/>
        <v>59.5</v>
      </c>
      <c r="AM38" s="12">
        <f t="shared" si="8"/>
        <v>87.7</v>
      </c>
      <c r="AN38" s="12">
        <f t="shared" si="8"/>
        <v>39.6</v>
      </c>
      <c r="AO38" s="12">
        <f t="shared" si="8"/>
        <v>26.700000000000003</v>
      </c>
      <c r="AP38" s="12">
        <f t="shared" si="9"/>
        <v>47.3</v>
      </c>
      <c r="AQ38" s="12">
        <f t="shared" si="9"/>
        <v>40.400000000000006</v>
      </c>
      <c r="AR38" s="12"/>
      <c r="AS38" s="12">
        <f t="shared" si="10"/>
        <v>57.199999999999996</v>
      </c>
      <c r="AT38" s="12">
        <f t="shared" si="10"/>
        <v>54.900000000000006</v>
      </c>
      <c r="AU38" s="12">
        <f t="shared" si="10"/>
        <v>6.1</v>
      </c>
      <c r="AV38" s="12">
        <f t="shared" si="10"/>
        <v>19.8</v>
      </c>
      <c r="AW38" s="12">
        <f t="shared" si="11"/>
        <v>67.100000000000009</v>
      </c>
      <c r="AX38" s="12">
        <f t="shared" si="11"/>
        <v>34.300000000000004</v>
      </c>
      <c r="AY38" s="12"/>
      <c r="AZ38" s="12">
        <f t="shared" si="3"/>
        <v>70.3</v>
      </c>
      <c r="BA38" s="12">
        <f t="shared" si="4"/>
        <v>23</v>
      </c>
      <c r="BB38" s="12"/>
      <c r="BC38" s="12">
        <f t="shared" si="5"/>
        <v>82.399999999999991</v>
      </c>
      <c r="BD38" s="12">
        <f t="shared" si="6"/>
        <v>59.5</v>
      </c>
      <c r="BE38" s="12">
        <f t="shared" si="7"/>
        <v>74.900000000000006</v>
      </c>
    </row>
    <row r="39" spans="1:57" ht="15.75" customHeight="1" x14ac:dyDescent="0.25">
      <c r="A39" s="1" t="s">
        <v>136</v>
      </c>
      <c r="B39" s="3" t="s">
        <v>104</v>
      </c>
      <c r="C39" s="4" t="s">
        <v>92</v>
      </c>
      <c r="D39" s="4">
        <v>32</v>
      </c>
      <c r="E39" s="4">
        <v>883</v>
      </c>
      <c r="F39" s="4">
        <v>32</v>
      </c>
      <c r="G39" s="4">
        <v>883</v>
      </c>
      <c r="H39" s="4">
        <v>0.40100000000000002</v>
      </c>
      <c r="I39" s="4">
        <v>8.1999999999999993</v>
      </c>
      <c r="J39" s="4"/>
      <c r="K39" s="4">
        <v>0.98099999999999998</v>
      </c>
      <c r="L39" s="4">
        <v>0.29399999999999998</v>
      </c>
      <c r="M39" s="4">
        <v>0.35099999999999998</v>
      </c>
      <c r="N39" s="4">
        <v>0.16900000000000001</v>
      </c>
      <c r="O39" s="4">
        <v>0.16600000000000001</v>
      </c>
      <c r="P39" s="4">
        <v>1.9E-2</v>
      </c>
      <c r="Q39" s="4"/>
      <c r="R39" s="4">
        <v>0.40799999999999997</v>
      </c>
      <c r="S39" s="4">
        <v>0.56499999999999995</v>
      </c>
      <c r="T39" s="4">
        <v>0.31</v>
      </c>
      <c r="U39" s="4">
        <v>0.371</v>
      </c>
      <c r="V39" s="4">
        <v>0.377</v>
      </c>
      <c r="W39" s="4">
        <v>0</v>
      </c>
      <c r="X39" s="4"/>
      <c r="Y39" s="4">
        <v>0.57799999999999996</v>
      </c>
      <c r="Z39" s="4">
        <v>0</v>
      </c>
      <c r="AA39" s="4"/>
      <c r="AB39" s="4">
        <v>0.14299999999999999</v>
      </c>
      <c r="AC39" s="4">
        <v>0</v>
      </c>
      <c r="AD39" s="10">
        <f t="shared" si="1"/>
        <v>0.56701799999999991</v>
      </c>
      <c r="AE39" s="9"/>
      <c r="AF39" s="9"/>
      <c r="AG39" s="12">
        <f t="shared" si="2"/>
        <v>45</v>
      </c>
      <c r="AH39" s="12">
        <f t="shared" si="2"/>
        <v>73.2</v>
      </c>
      <c r="AI39" s="12">
        <f t="shared" si="2"/>
        <v>45.800000000000004</v>
      </c>
      <c r="AJ39" s="12">
        <f t="shared" si="2"/>
        <v>18.3</v>
      </c>
      <c r="AK39" s="12"/>
      <c r="AL39" s="12">
        <f t="shared" si="8"/>
        <v>72.5</v>
      </c>
      <c r="AM39" s="12">
        <f t="shared" si="8"/>
        <v>61.8</v>
      </c>
      <c r="AN39" s="12">
        <f t="shared" si="8"/>
        <v>90.8</v>
      </c>
      <c r="AO39" s="12">
        <f t="shared" si="8"/>
        <v>74</v>
      </c>
      <c r="AP39" s="12">
        <f t="shared" si="9"/>
        <v>41.9</v>
      </c>
      <c r="AQ39" s="12">
        <f t="shared" si="9"/>
        <v>27.400000000000002</v>
      </c>
      <c r="AR39" s="12"/>
      <c r="AS39" s="12">
        <f t="shared" si="10"/>
        <v>36.6</v>
      </c>
      <c r="AT39" s="12">
        <f t="shared" si="10"/>
        <v>35.799999999999997</v>
      </c>
      <c r="AU39" s="12">
        <f t="shared" si="10"/>
        <v>31.2</v>
      </c>
      <c r="AV39" s="12">
        <f t="shared" si="10"/>
        <v>66.400000000000006</v>
      </c>
      <c r="AW39" s="12">
        <f t="shared" si="11"/>
        <v>62.5</v>
      </c>
      <c r="AX39" s="12">
        <f t="shared" si="11"/>
        <v>0</v>
      </c>
      <c r="AY39" s="12"/>
      <c r="AZ39" s="12">
        <f t="shared" si="3"/>
        <v>47.4</v>
      </c>
      <c r="BA39" s="12">
        <f t="shared" si="4"/>
        <v>100</v>
      </c>
      <c r="BB39" s="12"/>
      <c r="BC39" s="12">
        <f t="shared" si="5"/>
        <v>59.5</v>
      </c>
      <c r="BD39" s="12">
        <f t="shared" si="6"/>
        <v>0</v>
      </c>
      <c r="BE39" s="12">
        <f t="shared" si="7"/>
        <v>65.699999999999989</v>
      </c>
    </row>
    <row r="40" spans="1:57" ht="15.75" customHeight="1" x14ac:dyDescent="0.25">
      <c r="A40" s="1" t="s">
        <v>137</v>
      </c>
      <c r="B40" s="3" t="s">
        <v>89</v>
      </c>
      <c r="C40" s="4" t="s">
        <v>92</v>
      </c>
      <c r="D40" s="4">
        <v>34</v>
      </c>
      <c r="E40" s="4">
        <v>881</v>
      </c>
      <c r="F40" s="4">
        <v>34</v>
      </c>
      <c r="G40" s="4">
        <v>881</v>
      </c>
      <c r="H40" s="4">
        <v>0.40100000000000002</v>
      </c>
      <c r="I40" s="4">
        <v>13.7</v>
      </c>
      <c r="J40" s="4"/>
      <c r="K40" s="4">
        <v>0.78800000000000003</v>
      </c>
      <c r="L40" s="4">
        <v>0.222</v>
      </c>
      <c r="M40" s="4">
        <v>0.13200000000000001</v>
      </c>
      <c r="N40" s="4">
        <v>0.11899999999999999</v>
      </c>
      <c r="O40" s="4">
        <v>0.315</v>
      </c>
      <c r="P40" s="4">
        <v>0.21199999999999999</v>
      </c>
      <c r="Q40" s="4"/>
      <c r="R40" s="4">
        <v>0.41599999999999998</v>
      </c>
      <c r="S40" s="4">
        <v>0.50700000000000001</v>
      </c>
      <c r="T40" s="4">
        <v>0.27500000000000002</v>
      </c>
      <c r="U40" s="4">
        <v>0.33300000000000002</v>
      </c>
      <c r="V40" s="4">
        <v>0.442</v>
      </c>
      <c r="W40" s="4">
        <v>0.34399999999999997</v>
      </c>
      <c r="X40" s="4"/>
      <c r="Y40" s="4">
        <v>0.61599999999999999</v>
      </c>
      <c r="Z40" s="4">
        <v>1</v>
      </c>
      <c r="AA40" s="4"/>
      <c r="AB40" s="4">
        <v>0.219</v>
      </c>
      <c r="AC40" s="4">
        <v>0.5</v>
      </c>
      <c r="AD40" s="10">
        <f t="shared" si="1"/>
        <v>0.69740800000000003</v>
      </c>
      <c r="AE40" s="9"/>
      <c r="AF40" s="9"/>
      <c r="AG40" s="12">
        <f t="shared" si="2"/>
        <v>65.600000000000009</v>
      </c>
      <c r="AH40" s="12">
        <f t="shared" si="2"/>
        <v>72.5</v>
      </c>
      <c r="AI40" s="12">
        <f t="shared" si="2"/>
        <v>45.800000000000004</v>
      </c>
      <c r="AJ40" s="12">
        <f t="shared" si="2"/>
        <v>63.3</v>
      </c>
      <c r="AK40" s="12"/>
      <c r="AL40" s="12">
        <f t="shared" si="8"/>
        <v>50.3</v>
      </c>
      <c r="AM40" s="12">
        <f t="shared" si="8"/>
        <v>36.6</v>
      </c>
      <c r="AN40" s="12">
        <f t="shared" si="8"/>
        <v>28.999999999999996</v>
      </c>
      <c r="AO40" s="12">
        <f t="shared" si="8"/>
        <v>48.8</v>
      </c>
      <c r="AP40" s="12">
        <f t="shared" si="9"/>
        <v>88.5</v>
      </c>
      <c r="AQ40" s="12">
        <f t="shared" si="9"/>
        <v>49.6</v>
      </c>
      <c r="AR40" s="12"/>
      <c r="AS40" s="12">
        <f t="shared" si="10"/>
        <v>39.6</v>
      </c>
      <c r="AT40" s="12">
        <f t="shared" si="10"/>
        <v>18.3</v>
      </c>
      <c r="AU40" s="12">
        <f t="shared" si="10"/>
        <v>24.4</v>
      </c>
      <c r="AV40" s="12">
        <f t="shared" si="10"/>
        <v>45</v>
      </c>
      <c r="AW40" s="12">
        <f t="shared" si="11"/>
        <v>84.7</v>
      </c>
      <c r="AX40" s="12">
        <f t="shared" si="11"/>
        <v>74.8</v>
      </c>
      <c r="AY40" s="12"/>
      <c r="AZ40" s="12">
        <f t="shared" si="3"/>
        <v>37.5</v>
      </c>
      <c r="BA40" s="12">
        <f t="shared" si="4"/>
        <v>23</v>
      </c>
      <c r="BB40" s="12"/>
      <c r="BC40" s="12">
        <f t="shared" si="5"/>
        <v>77.8</v>
      </c>
      <c r="BD40" s="12">
        <f t="shared" si="6"/>
        <v>87</v>
      </c>
      <c r="BE40" s="12">
        <f t="shared" si="7"/>
        <v>29.100000000000009</v>
      </c>
    </row>
    <row r="41" spans="1:57" ht="15.75" customHeight="1" x14ac:dyDescent="0.25">
      <c r="A41" s="1" t="s">
        <v>138</v>
      </c>
      <c r="B41" s="3" t="s">
        <v>108</v>
      </c>
      <c r="C41" s="4" t="s">
        <v>92</v>
      </c>
      <c r="D41" s="4">
        <v>34</v>
      </c>
      <c r="E41" s="4">
        <v>878</v>
      </c>
      <c r="F41" s="4">
        <v>34</v>
      </c>
      <c r="G41" s="4">
        <v>878</v>
      </c>
      <c r="H41" s="4">
        <v>0.56599999999999995</v>
      </c>
      <c r="I41" s="4">
        <v>4.7</v>
      </c>
      <c r="J41" s="4"/>
      <c r="K41" s="4">
        <v>0.98499999999999999</v>
      </c>
      <c r="L41" s="4">
        <v>0.58099999999999996</v>
      </c>
      <c r="M41" s="4">
        <v>0.28299999999999997</v>
      </c>
      <c r="N41" s="4">
        <v>7.0999999999999994E-2</v>
      </c>
      <c r="O41" s="4">
        <v>0.05</v>
      </c>
      <c r="P41" s="4">
        <v>1.4999999999999999E-2</v>
      </c>
      <c r="Q41" s="4"/>
      <c r="R41" s="4">
        <v>0.56899999999999995</v>
      </c>
      <c r="S41" s="4">
        <v>0.74099999999999999</v>
      </c>
      <c r="T41" s="4">
        <v>0.313</v>
      </c>
      <c r="U41" s="4">
        <v>0.33300000000000002</v>
      </c>
      <c r="V41" s="4">
        <v>0.35299999999999998</v>
      </c>
      <c r="W41" s="4">
        <v>0.4</v>
      </c>
      <c r="X41" s="4"/>
      <c r="Y41" s="4">
        <v>0.64700000000000002</v>
      </c>
      <c r="Z41" s="4">
        <v>0.5</v>
      </c>
      <c r="AA41" s="4"/>
      <c r="AB41" s="4">
        <v>0.2</v>
      </c>
      <c r="AC41" s="4">
        <v>0</v>
      </c>
      <c r="AD41" s="10">
        <f t="shared" si="1"/>
        <v>0.64479500000000001</v>
      </c>
      <c r="AE41" s="9"/>
      <c r="AF41" s="9"/>
      <c r="AG41" s="12">
        <f t="shared" si="2"/>
        <v>65.600000000000009</v>
      </c>
      <c r="AH41" s="12">
        <f t="shared" si="2"/>
        <v>71.7</v>
      </c>
      <c r="AI41" s="12">
        <f t="shared" si="2"/>
        <v>97.7</v>
      </c>
      <c r="AJ41" s="12">
        <f t="shared" si="2"/>
        <v>6.1</v>
      </c>
      <c r="AK41" s="12"/>
      <c r="AL41" s="12">
        <f t="shared" si="8"/>
        <v>73.2</v>
      </c>
      <c r="AM41" s="12">
        <f t="shared" si="8"/>
        <v>95.399999999999991</v>
      </c>
      <c r="AN41" s="12">
        <f t="shared" si="8"/>
        <v>87</v>
      </c>
      <c r="AO41" s="12">
        <f t="shared" si="8"/>
        <v>19.8</v>
      </c>
      <c r="AP41" s="12">
        <f t="shared" si="9"/>
        <v>10.6</v>
      </c>
      <c r="AQ41" s="12">
        <f t="shared" si="9"/>
        <v>26.700000000000003</v>
      </c>
      <c r="AR41" s="12"/>
      <c r="AS41" s="12">
        <f t="shared" si="10"/>
        <v>96.899999999999991</v>
      </c>
      <c r="AT41" s="12">
        <f t="shared" si="10"/>
        <v>88.5</v>
      </c>
      <c r="AU41" s="12">
        <f t="shared" si="10"/>
        <v>32</v>
      </c>
      <c r="AV41" s="12">
        <f t="shared" si="10"/>
        <v>45</v>
      </c>
      <c r="AW41" s="12">
        <f t="shared" si="11"/>
        <v>54.900000000000006</v>
      </c>
      <c r="AX41" s="12">
        <f t="shared" si="11"/>
        <v>90.8</v>
      </c>
      <c r="AY41" s="12"/>
      <c r="AZ41" s="12">
        <f t="shared" si="3"/>
        <v>30.600000000000009</v>
      </c>
      <c r="BA41" s="12">
        <f t="shared" si="4"/>
        <v>67.199999999999989</v>
      </c>
      <c r="BB41" s="12"/>
      <c r="BC41" s="12">
        <f t="shared" si="5"/>
        <v>73.2</v>
      </c>
      <c r="BD41" s="12">
        <f t="shared" si="6"/>
        <v>0</v>
      </c>
      <c r="BE41" s="12">
        <f t="shared" si="7"/>
        <v>47.4</v>
      </c>
    </row>
    <row r="42" spans="1:57" ht="15.75" customHeight="1" x14ac:dyDescent="0.25">
      <c r="A42" s="1" t="s">
        <v>139</v>
      </c>
      <c r="B42" s="3" t="s">
        <v>95</v>
      </c>
      <c r="C42" s="4" t="s">
        <v>8</v>
      </c>
      <c r="D42" s="4">
        <v>32</v>
      </c>
      <c r="E42" s="4">
        <v>877</v>
      </c>
      <c r="F42" s="4">
        <v>32</v>
      </c>
      <c r="G42" s="4">
        <v>877</v>
      </c>
      <c r="H42" s="4">
        <v>0.42899999999999999</v>
      </c>
      <c r="I42" s="4">
        <v>11.5</v>
      </c>
      <c r="J42" s="4"/>
      <c r="K42" s="4">
        <v>0.78600000000000003</v>
      </c>
      <c r="L42" s="4">
        <v>0.23699999999999999</v>
      </c>
      <c r="M42" s="4">
        <v>0.27100000000000002</v>
      </c>
      <c r="N42" s="4">
        <v>0.13900000000000001</v>
      </c>
      <c r="O42" s="4">
        <v>0.13900000000000001</v>
      </c>
      <c r="P42" s="4">
        <v>0.214</v>
      </c>
      <c r="Q42" s="4"/>
      <c r="R42" s="4">
        <v>0.44500000000000001</v>
      </c>
      <c r="S42" s="4">
        <v>0.65100000000000002</v>
      </c>
      <c r="T42" s="4">
        <v>0.38900000000000001</v>
      </c>
      <c r="U42" s="4">
        <v>0.29699999999999999</v>
      </c>
      <c r="V42" s="4">
        <v>0.35099999999999998</v>
      </c>
      <c r="W42" s="4">
        <v>0.36799999999999999</v>
      </c>
      <c r="X42" s="4"/>
      <c r="Y42" s="4">
        <v>0.14000000000000001</v>
      </c>
      <c r="Z42" s="4">
        <v>0.81</v>
      </c>
      <c r="AA42" s="4"/>
      <c r="AB42" s="4">
        <v>0.158</v>
      </c>
      <c r="AC42" s="4">
        <v>0.33300000000000002</v>
      </c>
      <c r="AD42" s="10">
        <f t="shared" si="1"/>
        <v>0.28338000000000002</v>
      </c>
      <c r="AE42" s="9"/>
      <c r="AF42" s="9"/>
      <c r="AG42" s="12">
        <f t="shared" si="2"/>
        <v>45</v>
      </c>
      <c r="AH42" s="12">
        <f t="shared" si="2"/>
        <v>70.899999999999991</v>
      </c>
      <c r="AI42" s="12">
        <f t="shared" si="2"/>
        <v>63.3</v>
      </c>
      <c r="AJ42" s="12">
        <f t="shared" si="2"/>
        <v>37.4</v>
      </c>
      <c r="AK42" s="12"/>
      <c r="AL42" s="12">
        <f t="shared" si="8"/>
        <v>48.8</v>
      </c>
      <c r="AM42" s="12">
        <f t="shared" si="8"/>
        <v>40.400000000000006</v>
      </c>
      <c r="AN42" s="12">
        <f t="shared" si="8"/>
        <v>83.899999999999991</v>
      </c>
      <c r="AO42" s="12">
        <f t="shared" si="8"/>
        <v>59.5</v>
      </c>
      <c r="AP42" s="12">
        <f t="shared" si="9"/>
        <v>35.099999999999994</v>
      </c>
      <c r="AQ42" s="12">
        <f t="shared" si="9"/>
        <v>50.3</v>
      </c>
      <c r="AR42" s="12"/>
      <c r="AS42" s="12">
        <f t="shared" si="10"/>
        <v>52.6</v>
      </c>
      <c r="AT42" s="12">
        <f t="shared" si="10"/>
        <v>64.099999999999994</v>
      </c>
      <c r="AU42" s="12">
        <f t="shared" si="10"/>
        <v>66.400000000000006</v>
      </c>
      <c r="AV42" s="12">
        <f t="shared" si="10"/>
        <v>32.800000000000004</v>
      </c>
      <c r="AW42" s="12">
        <f t="shared" si="11"/>
        <v>53.400000000000006</v>
      </c>
      <c r="AX42" s="12">
        <f t="shared" si="11"/>
        <v>81.599999999999994</v>
      </c>
      <c r="AY42" s="12"/>
      <c r="AZ42" s="12">
        <f t="shared" si="3"/>
        <v>99.3</v>
      </c>
      <c r="BA42" s="12">
        <f t="shared" si="4"/>
        <v>48.9</v>
      </c>
      <c r="BB42" s="12"/>
      <c r="BC42" s="12">
        <f t="shared" si="5"/>
        <v>64.8</v>
      </c>
      <c r="BD42" s="12">
        <f t="shared" si="6"/>
        <v>64.8</v>
      </c>
      <c r="BE42" s="12">
        <f t="shared" si="7"/>
        <v>98.5</v>
      </c>
    </row>
    <row r="43" spans="1:57" ht="15.75" customHeight="1" x14ac:dyDescent="0.25">
      <c r="A43" s="1" t="s">
        <v>140</v>
      </c>
      <c r="B43" s="3" t="s">
        <v>141</v>
      </c>
      <c r="C43" s="4" t="s">
        <v>8</v>
      </c>
      <c r="D43" s="4">
        <v>32</v>
      </c>
      <c r="E43" s="4">
        <v>876</v>
      </c>
      <c r="F43" s="4">
        <v>32</v>
      </c>
      <c r="G43" s="4">
        <v>876</v>
      </c>
      <c r="H43" s="4">
        <v>0.36299999999999999</v>
      </c>
      <c r="I43" s="4">
        <v>16.100000000000001</v>
      </c>
      <c r="J43" s="4"/>
      <c r="K43" s="4">
        <v>0.44700000000000001</v>
      </c>
      <c r="L43" s="4">
        <v>0.16900000000000001</v>
      </c>
      <c r="M43" s="4">
        <v>0.14399999999999999</v>
      </c>
      <c r="N43" s="4">
        <v>7.6999999999999999E-2</v>
      </c>
      <c r="O43" s="4">
        <v>5.6000000000000001E-2</v>
      </c>
      <c r="P43" s="4">
        <v>0.55300000000000005</v>
      </c>
      <c r="Q43" s="4"/>
      <c r="R43" s="4">
        <v>0.36199999999999999</v>
      </c>
      <c r="S43" s="4">
        <v>0.54200000000000004</v>
      </c>
      <c r="T43" s="4">
        <v>0.122</v>
      </c>
      <c r="U43" s="4">
        <v>0.63600000000000001</v>
      </c>
      <c r="V43" s="4">
        <v>6.3E-2</v>
      </c>
      <c r="W43" s="4">
        <v>0.36299999999999999</v>
      </c>
      <c r="X43" s="4"/>
      <c r="Y43" s="4">
        <v>0.217</v>
      </c>
      <c r="Z43" s="4">
        <v>0.93</v>
      </c>
      <c r="AA43" s="4"/>
      <c r="AB43" s="4">
        <v>0.33100000000000002</v>
      </c>
      <c r="AC43" s="4">
        <v>0.40400000000000003</v>
      </c>
      <c r="AD43" s="10">
        <f t="shared" si="1"/>
        <v>0.61128899999999997</v>
      </c>
      <c r="AE43" s="9"/>
      <c r="AF43" s="9"/>
      <c r="AG43" s="12">
        <f t="shared" si="2"/>
        <v>45</v>
      </c>
      <c r="AH43" s="12">
        <f t="shared" si="2"/>
        <v>70.199999999999989</v>
      </c>
      <c r="AI43" s="12">
        <f t="shared" si="2"/>
        <v>24.4</v>
      </c>
      <c r="AJ43" s="12">
        <f t="shared" si="2"/>
        <v>82.399999999999991</v>
      </c>
      <c r="AK43" s="12"/>
      <c r="AL43" s="12">
        <f t="shared" si="8"/>
        <v>5.3</v>
      </c>
      <c r="AM43" s="12">
        <f t="shared" si="8"/>
        <v>24.4</v>
      </c>
      <c r="AN43" s="12">
        <f t="shared" si="8"/>
        <v>34.300000000000004</v>
      </c>
      <c r="AO43" s="12">
        <f t="shared" si="8"/>
        <v>24.4</v>
      </c>
      <c r="AP43" s="12">
        <f t="shared" si="9"/>
        <v>12.2</v>
      </c>
      <c r="AQ43" s="12">
        <f t="shared" si="9"/>
        <v>94.6</v>
      </c>
      <c r="AR43" s="12"/>
      <c r="AS43" s="12">
        <f t="shared" si="10"/>
        <v>17.5</v>
      </c>
      <c r="AT43" s="12">
        <f t="shared" si="10"/>
        <v>28.199999999999996</v>
      </c>
      <c r="AU43" s="12">
        <f t="shared" si="10"/>
        <v>3</v>
      </c>
      <c r="AV43" s="12">
        <f t="shared" si="10"/>
        <v>97.7</v>
      </c>
      <c r="AW43" s="12">
        <f t="shared" si="11"/>
        <v>5.3</v>
      </c>
      <c r="AX43" s="12">
        <f t="shared" si="11"/>
        <v>80.100000000000009</v>
      </c>
      <c r="AY43" s="12"/>
      <c r="AZ43" s="12">
        <f t="shared" si="3"/>
        <v>89.4</v>
      </c>
      <c r="BA43" s="12">
        <f t="shared" si="4"/>
        <v>31.299999999999997</v>
      </c>
      <c r="BB43" s="12"/>
      <c r="BC43" s="12">
        <f t="shared" si="5"/>
        <v>88.5</v>
      </c>
      <c r="BD43" s="12">
        <f t="shared" si="6"/>
        <v>79.3</v>
      </c>
      <c r="BE43" s="12">
        <f t="shared" si="7"/>
        <v>54.199999999999996</v>
      </c>
    </row>
    <row r="44" spans="1:57" ht="15.75" customHeight="1" x14ac:dyDescent="0.25">
      <c r="A44" s="1" t="s">
        <v>142</v>
      </c>
      <c r="B44" s="3" t="s">
        <v>141</v>
      </c>
      <c r="C44" s="4" t="s">
        <v>92</v>
      </c>
      <c r="D44" s="4">
        <v>29</v>
      </c>
      <c r="E44" s="4">
        <v>875</v>
      </c>
      <c r="F44" s="4">
        <v>29</v>
      </c>
      <c r="G44" s="4">
        <v>875</v>
      </c>
      <c r="H44" s="4">
        <v>0.44600000000000001</v>
      </c>
      <c r="I44" s="4">
        <v>7</v>
      </c>
      <c r="J44" s="4"/>
      <c r="K44" s="4">
        <v>0.99099999999999999</v>
      </c>
      <c r="L44" s="4">
        <v>0.41099999999999998</v>
      </c>
      <c r="M44" s="4">
        <v>0.29899999999999999</v>
      </c>
      <c r="N44" s="4">
        <v>0.13500000000000001</v>
      </c>
      <c r="O44" s="4">
        <v>0.14699999999999999</v>
      </c>
      <c r="P44" s="4">
        <v>8.9999999999999993E-3</v>
      </c>
      <c r="Q44" s="4"/>
      <c r="R44" s="4">
        <v>0.44700000000000001</v>
      </c>
      <c r="S44" s="4">
        <v>0.59299999999999997</v>
      </c>
      <c r="T44" s="4">
        <v>0.34300000000000003</v>
      </c>
      <c r="U44" s="4">
        <v>0.37</v>
      </c>
      <c r="V44" s="4">
        <v>0.32</v>
      </c>
      <c r="W44" s="4">
        <v>0.33300000000000002</v>
      </c>
      <c r="X44" s="4"/>
      <c r="Y44" s="4">
        <v>0.64900000000000002</v>
      </c>
      <c r="Z44" s="4">
        <v>1</v>
      </c>
      <c r="AA44" s="4"/>
      <c r="AB44" s="4">
        <v>0</v>
      </c>
      <c r="AC44" s="4">
        <v>0</v>
      </c>
      <c r="AD44" s="10">
        <f t="shared" si="1"/>
        <v>0.65215900000000004</v>
      </c>
      <c r="AE44" s="9"/>
      <c r="AF44" s="9"/>
      <c r="AG44" s="12">
        <f t="shared" si="2"/>
        <v>29.7</v>
      </c>
      <c r="AH44" s="12">
        <f t="shared" si="2"/>
        <v>69.399999999999991</v>
      </c>
      <c r="AI44" s="12">
        <f t="shared" si="2"/>
        <v>71.7</v>
      </c>
      <c r="AJ44" s="12">
        <f t="shared" si="2"/>
        <v>14.499999999999998</v>
      </c>
      <c r="AK44" s="12"/>
      <c r="AL44" s="12">
        <f t="shared" si="8"/>
        <v>77</v>
      </c>
      <c r="AM44" s="12">
        <f t="shared" si="8"/>
        <v>83.899999999999991</v>
      </c>
      <c r="AN44" s="12">
        <f t="shared" si="8"/>
        <v>89.3</v>
      </c>
      <c r="AO44" s="12">
        <f t="shared" si="8"/>
        <v>57.999999999999993</v>
      </c>
      <c r="AP44" s="12">
        <f t="shared" si="9"/>
        <v>37.4</v>
      </c>
      <c r="AQ44" s="12">
        <f t="shared" si="9"/>
        <v>22.900000000000002</v>
      </c>
      <c r="AR44" s="12"/>
      <c r="AS44" s="12">
        <f t="shared" si="10"/>
        <v>54.1</v>
      </c>
      <c r="AT44" s="12">
        <f t="shared" si="10"/>
        <v>42.699999999999996</v>
      </c>
      <c r="AU44" s="12">
        <f t="shared" si="10"/>
        <v>50.3</v>
      </c>
      <c r="AV44" s="12">
        <f t="shared" si="10"/>
        <v>64.8</v>
      </c>
      <c r="AW44" s="12">
        <f t="shared" si="11"/>
        <v>42.699999999999996</v>
      </c>
      <c r="AX44" s="12">
        <f t="shared" si="11"/>
        <v>71.7</v>
      </c>
      <c r="AY44" s="12"/>
      <c r="AZ44" s="12">
        <f t="shared" si="3"/>
        <v>28.299999999999997</v>
      </c>
      <c r="BA44" s="12">
        <f t="shared" si="4"/>
        <v>23</v>
      </c>
      <c r="BB44" s="12"/>
      <c r="BC44" s="12">
        <f t="shared" si="5"/>
        <v>0</v>
      </c>
      <c r="BD44" s="12">
        <f t="shared" si="6"/>
        <v>0</v>
      </c>
      <c r="BE44" s="12">
        <f t="shared" si="7"/>
        <v>43.600000000000009</v>
      </c>
    </row>
    <row r="45" spans="1:57" ht="15.75" customHeight="1" x14ac:dyDescent="0.25">
      <c r="A45" s="1" t="s">
        <v>143</v>
      </c>
      <c r="B45" s="3" t="s">
        <v>95</v>
      </c>
      <c r="C45" s="4" t="s">
        <v>8</v>
      </c>
      <c r="D45" s="4">
        <v>34</v>
      </c>
      <c r="E45" s="4">
        <v>870</v>
      </c>
      <c r="F45" s="4">
        <v>34</v>
      </c>
      <c r="G45" s="4">
        <v>870</v>
      </c>
      <c r="H45" s="4">
        <v>0.35399999999999998</v>
      </c>
      <c r="I45" s="4">
        <v>15.2</v>
      </c>
      <c r="J45" s="4"/>
      <c r="K45" s="4">
        <v>0.71699999999999997</v>
      </c>
      <c r="L45" s="4">
        <v>9.0999999999999998E-2</v>
      </c>
      <c r="M45" s="4">
        <v>0.20200000000000001</v>
      </c>
      <c r="N45" s="4">
        <v>0.187</v>
      </c>
      <c r="O45" s="4">
        <v>0.23699999999999999</v>
      </c>
      <c r="P45" s="4">
        <v>0.28299999999999997</v>
      </c>
      <c r="Q45" s="4"/>
      <c r="R45" s="4">
        <v>0.40100000000000002</v>
      </c>
      <c r="S45" s="4">
        <v>0.72199999999999998</v>
      </c>
      <c r="T45" s="4">
        <v>0.4</v>
      </c>
      <c r="U45" s="4">
        <v>0.32400000000000001</v>
      </c>
      <c r="V45" s="4">
        <v>0.34</v>
      </c>
      <c r="W45" s="4">
        <v>0.23200000000000001</v>
      </c>
      <c r="X45" s="4"/>
      <c r="Y45" s="4">
        <v>0.59599999999999997</v>
      </c>
      <c r="Z45" s="4">
        <v>1</v>
      </c>
      <c r="AA45" s="4"/>
      <c r="AB45" s="4">
        <v>0.42899999999999999</v>
      </c>
      <c r="AC45" s="4">
        <v>0.16700000000000001</v>
      </c>
      <c r="AD45" s="10">
        <f t="shared" si="1"/>
        <v>0.71033199999999996</v>
      </c>
      <c r="AE45" s="9"/>
      <c r="AF45" s="9"/>
      <c r="AG45" s="12">
        <f t="shared" si="2"/>
        <v>65.600000000000009</v>
      </c>
      <c r="AH45" s="12">
        <f t="shared" si="2"/>
        <v>68.7</v>
      </c>
      <c r="AI45" s="12">
        <f t="shared" si="2"/>
        <v>20.599999999999998</v>
      </c>
      <c r="AJ45" s="12">
        <f t="shared" si="2"/>
        <v>77</v>
      </c>
      <c r="AK45" s="12"/>
      <c r="AL45" s="12">
        <f t="shared" si="8"/>
        <v>35.099999999999994</v>
      </c>
      <c r="AM45" s="12">
        <f t="shared" si="8"/>
        <v>6.8000000000000007</v>
      </c>
      <c r="AN45" s="12">
        <f t="shared" si="8"/>
        <v>61</v>
      </c>
      <c r="AO45" s="12">
        <f t="shared" si="8"/>
        <v>78.600000000000009</v>
      </c>
      <c r="AP45" s="12">
        <f t="shared" si="9"/>
        <v>67.900000000000006</v>
      </c>
      <c r="AQ45" s="12">
        <f t="shared" si="9"/>
        <v>64.8</v>
      </c>
      <c r="AR45" s="12"/>
      <c r="AS45" s="12">
        <f t="shared" si="10"/>
        <v>32</v>
      </c>
      <c r="AT45" s="12">
        <f t="shared" si="10"/>
        <v>83.2</v>
      </c>
      <c r="AU45" s="12">
        <f t="shared" si="10"/>
        <v>69.399999999999991</v>
      </c>
      <c r="AV45" s="12">
        <f t="shared" si="10"/>
        <v>43.5</v>
      </c>
      <c r="AW45" s="12">
        <f t="shared" si="11"/>
        <v>49.6</v>
      </c>
      <c r="AX45" s="12">
        <f t="shared" si="11"/>
        <v>41.9</v>
      </c>
      <c r="AY45" s="12"/>
      <c r="AZ45" s="12">
        <f t="shared" si="3"/>
        <v>44.3</v>
      </c>
      <c r="BA45" s="12">
        <f t="shared" si="4"/>
        <v>23</v>
      </c>
      <c r="BB45" s="12"/>
      <c r="BC45" s="12">
        <f t="shared" si="5"/>
        <v>95.399999999999991</v>
      </c>
      <c r="BD45" s="12">
        <f t="shared" si="6"/>
        <v>48.8</v>
      </c>
      <c r="BE45" s="12">
        <f t="shared" si="7"/>
        <v>25.200000000000003</v>
      </c>
    </row>
    <row r="46" spans="1:57" ht="15.75" customHeight="1" x14ac:dyDescent="0.25">
      <c r="A46" s="1" t="s">
        <v>144</v>
      </c>
      <c r="B46" s="3" t="s">
        <v>122</v>
      </c>
      <c r="C46" s="4" t="s">
        <v>92</v>
      </c>
      <c r="D46" s="4">
        <v>34</v>
      </c>
      <c r="E46" s="4">
        <v>864</v>
      </c>
      <c r="F46" s="4">
        <v>34</v>
      </c>
      <c r="G46" s="4">
        <v>864</v>
      </c>
      <c r="H46" s="4">
        <v>0.443</v>
      </c>
      <c r="I46" s="4">
        <v>12.2</v>
      </c>
      <c r="J46" s="4"/>
      <c r="K46" s="4">
        <v>0.84099999999999997</v>
      </c>
      <c r="L46" s="4">
        <v>0.30499999999999999</v>
      </c>
      <c r="M46" s="4">
        <v>0.122</v>
      </c>
      <c r="N46" s="4">
        <v>0.11799999999999999</v>
      </c>
      <c r="O46" s="4">
        <v>0.29699999999999999</v>
      </c>
      <c r="P46" s="4">
        <v>0.159</v>
      </c>
      <c r="Q46" s="4"/>
      <c r="R46" s="4">
        <v>0.46899999999999997</v>
      </c>
      <c r="S46" s="4">
        <v>0.66700000000000004</v>
      </c>
      <c r="T46" s="4">
        <v>0.33300000000000002</v>
      </c>
      <c r="U46" s="4">
        <v>0.27600000000000002</v>
      </c>
      <c r="V46" s="4">
        <v>0.39700000000000002</v>
      </c>
      <c r="W46" s="4">
        <v>0.308</v>
      </c>
      <c r="X46" s="4"/>
      <c r="Y46" s="4">
        <v>0.66</v>
      </c>
      <c r="Z46" s="4">
        <v>0.91700000000000004</v>
      </c>
      <c r="AA46" s="4"/>
      <c r="AB46" s="4">
        <v>0.128</v>
      </c>
      <c r="AC46" s="4">
        <v>0.4</v>
      </c>
      <c r="AD46" s="10">
        <f t="shared" si="1"/>
        <v>0.70086300000000001</v>
      </c>
      <c r="AE46" s="9"/>
      <c r="AF46" s="9"/>
      <c r="AG46" s="12">
        <f t="shared" si="2"/>
        <v>65.600000000000009</v>
      </c>
      <c r="AH46" s="12">
        <f t="shared" si="2"/>
        <v>67.900000000000006</v>
      </c>
      <c r="AI46" s="12">
        <f t="shared" si="2"/>
        <v>69.399999999999991</v>
      </c>
      <c r="AJ46" s="12">
        <f t="shared" si="2"/>
        <v>48</v>
      </c>
      <c r="AK46" s="12"/>
      <c r="AL46" s="12">
        <f t="shared" si="8"/>
        <v>57.999999999999993</v>
      </c>
      <c r="AM46" s="12">
        <f t="shared" si="8"/>
        <v>64.8</v>
      </c>
      <c r="AN46" s="12">
        <f t="shared" si="8"/>
        <v>24.4</v>
      </c>
      <c r="AO46" s="12">
        <f t="shared" si="8"/>
        <v>47.3</v>
      </c>
      <c r="AP46" s="12">
        <f t="shared" si="9"/>
        <v>84.7</v>
      </c>
      <c r="AQ46" s="12">
        <f t="shared" si="9"/>
        <v>41.9</v>
      </c>
      <c r="AR46" s="12"/>
      <c r="AS46" s="12">
        <f t="shared" si="10"/>
        <v>70.199999999999989</v>
      </c>
      <c r="AT46" s="12">
        <f t="shared" si="10"/>
        <v>64.8</v>
      </c>
      <c r="AU46" s="12">
        <f t="shared" si="10"/>
        <v>39.6</v>
      </c>
      <c r="AV46" s="12">
        <f t="shared" si="10"/>
        <v>29.7</v>
      </c>
      <c r="AW46" s="12">
        <f t="shared" si="11"/>
        <v>66.400000000000006</v>
      </c>
      <c r="AX46" s="12">
        <f t="shared" si="11"/>
        <v>62.5</v>
      </c>
      <c r="AY46" s="12"/>
      <c r="AZ46" s="12">
        <f t="shared" si="3"/>
        <v>24.5</v>
      </c>
      <c r="BA46" s="12">
        <f t="shared" si="4"/>
        <v>33.599999999999994</v>
      </c>
      <c r="BB46" s="12"/>
      <c r="BC46" s="12">
        <f t="shared" si="5"/>
        <v>57.999999999999993</v>
      </c>
      <c r="BD46" s="12">
        <f t="shared" si="6"/>
        <v>75.5</v>
      </c>
      <c r="BE46" s="12">
        <f t="shared" si="7"/>
        <v>28.299999999999997</v>
      </c>
    </row>
    <row r="47" spans="1:57" ht="15.75" customHeight="1" x14ac:dyDescent="0.25">
      <c r="A47" s="1" t="s">
        <v>145</v>
      </c>
      <c r="B47" s="3" t="s">
        <v>141</v>
      </c>
      <c r="C47" s="4" t="s">
        <v>8</v>
      </c>
      <c r="D47" s="4">
        <v>32</v>
      </c>
      <c r="E47" s="4">
        <v>845</v>
      </c>
      <c r="F47" s="4">
        <v>32</v>
      </c>
      <c r="G47" s="4">
        <v>845</v>
      </c>
      <c r="H47" s="4">
        <v>0.32800000000000001</v>
      </c>
      <c r="I47" s="4">
        <v>12.5</v>
      </c>
      <c r="J47" s="4"/>
      <c r="K47" s="4">
        <v>0.71199999999999997</v>
      </c>
      <c r="L47" s="4">
        <v>0.23200000000000001</v>
      </c>
      <c r="M47" s="4">
        <v>0.247</v>
      </c>
      <c r="N47" s="4">
        <v>0.122</v>
      </c>
      <c r="O47" s="4">
        <v>0.111</v>
      </c>
      <c r="P47" s="4">
        <v>0.28799999999999998</v>
      </c>
      <c r="Q47" s="4"/>
      <c r="R47" s="4">
        <v>0.36299999999999999</v>
      </c>
      <c r="S47" s="4">
        <v>0.54</v>
      </c>
      <c r="T47" s="4">
        <v>0.32800000000000001</v>
      </c>
      <c r="U47" s="4">
        <v>0.30299999999999999</v>
      </c>
      <c r="V47" s="4">
        <v>0.13300000000000001</v>
      </c>
      <c r="W47" s="4">
        <v>0.24399999999999999</v>
      </c>
      <c r="X47" s="4"/>
      <c r="Y47" s="4">
        <v>0.214</v>
      </c>
      <c r="Z47" s="4">
        <v>0.63200000000000001</v>
      </c>
      <c r="AA47" s="4"/>
      <c r="AB47" s="4">
        <v>0.192</v>
      </c>
      <c r="AC47" s="4">
        <v>0.2</v>
      </c>
      <c r="AD47" s="10">
        <f t="shared" si="1"/>
        <v>0.33438400000000001</v>
      </c>
      <c r="AE47" s="9"/>
      <c r="AF47" s="9"/>
      <c r="AG47" s="12">
        <f t="shared" si="2"/>
        <v>45</v>
      </c>
      <c r="AH47" s="12">
        <f t="shared" si="2"/>
        <v>67.100000000000009</v>
      </c>
      <c r="AI47" s="12">
        <f t="shared" si="2"/>
        <v>12.9</v>
      </c>
      <c r="AJ47" s="12">
        <f t="shared" si="2"/>
        <v>51.1</v>
      </c>
      <c r="AK47" s="12"/>
      <c r="AL47" s="12">
        <f t="shared" si="8"/>
        <v>34.300000000000004</v>
      </c>
      <c r="AM47" s="12">
        <f t="shared" si="8"/>
        <v>38.9</v>
      </c>
      <c r="AN47" s="12">
        <f t="shared" si="8"/>
        <v>77.8</v>
      </c>
      <c r="AO47" s="12">
        <f t="shared" si="8"/>
        <v>51.1</v>
      </c>
      <c r="AP47" s="12">
        <f t="shared" si="9"/>
        <v>28.199999999999996</v>
      </c>
      <c r="AQ47" s="12">
        <f t="shared" si="9"/>
        <v>65.600000000000009</v>
      </c>
      <c r="AR47" s="12"/>
      <c r="AS47" s="12">
        <f t="shared" si="10"/>
        <v>18.3</v>
      </c>
      <c r="AT47" s="12">
        <f t="shared" si="10"/>
        <v>25.1</v>
      </c>
      <c r="AU47" s="12">
        <f t="shared" si="10"/>
        <v>38.9</v>
      </c>
      <c r="AV47" s="12">
        <f t="shared" si="10"/>
        <v>34.300000000000004</v>
      </c>
      <c r="AW47" s="12">
        <f t="shared" si="11"/>
        <v>7.6</v>
      </c>
      <c r="AX47" s="12">
        <f t="shared" si="11"/>
        <v>43.5</v>
      </c>
      <c r="AY47" s="12"/>
      <c r="AZ47" s="12">
        <f t="shared" si="3"/>
        <v>90.9</v>
      </c>
      <c r="BA47" s="12">
        <f t="shared" si="4"/>
        <v>63.4</v>
      </c>
      <c r="BB47" s="12"/>
      <c r="BC47" s="12">
        <f t="shared" si="5"/>
        <v>72.5</v>
      </c>
      <c r="BD47" s="12">
        <f t="shared" si="6"/>
        <v>50.3</v>
      </c>
      <c r="BE47" s="12">
        <f t="shared" si="7"/>
        <v>94.7</v>
      </c>
    </row>
    <row r="48" spans="1:57" ht="15.75" customHeight="1" x14ac:dyDescent="0.25">
      <c r="A48" s="1" t="s">
        <v>146</v>
      </c>
      <c r="B48" s="3" t="s">
        <v>99</v>
      </c>
      <c r="C48" s="4" t="s">
        <v>8</v>
      </c>
      <c r="D48" s="4">
        <v>28</v>
      </c>
      <c r="E48" s="4">
        <v>838</v>
      </c>
      <c r="F48" s="4">
        <v>28</v>
      </c>
      <c r="G48" s="4">
        <v>838</v>
      </c>
      <c r="H48" s="4">
        <v>0.46700000000000003</v>
      </c>
      <c r="I48" s="4">
        <v>7</v>
      </c>
      <c r="J48" s="4"/>
      <c r="K48" s="4">
        <v>1</v>
      </c>
      <c r="L48" s="4">
        <v>0.47899999999999998</v>
      </c>
      <c r="M48" s="4">
        <v>0.22800000000000001</v>
      </c>
      <c r="N48" s="4">
        <v>4.8000000000000001E-2</v>
      </c>
      <c r="O48" s="4">
        <v>0.246</v>
      </c>
      <c r="P48" s="4">
        <v>0</v>
      </c>
      <c r="Q48" s="4"/>
      <c r="R48" s="4">
        <v>0.46700000000000003</v>
      </c>
      <c r="S48" s="4">
        <v>0.625</v>
      </c>
      <c r="T48" s="4">
        <v>0.34200000000000003</v>
      </c>
      <c r="U48" s="4">
        <v>0.5</v>
      </c>
      <c r="V48" s="4">
        <v>0.26800000000000002</v>
      </c>
      <c r="W48" s="4">
        <v>0</v>
      </c>
      <c r="X48" s="4"/>
      <c r="Y48" s="4">
        <v>0.66700000000000004</v>
      </c>
      <c r="Z48" s="4">
        <v>0</v>
      </c>
      <c r="AA48" s="4"/>
      <c r="AB48" s="4">
        <v>0</v>
      </c>
      <c r="AC48" s="4">
        <v>0</v>
      </c>
      <c r="AD48" s="10">
        <f t="shared" si="1"/>
        <v>0.66700000000000004</v>
      </c>
      <c r="AE48" s="9"/>
      <c r="AF48" s="9"/>
      <c r="AG48" s="12">
        <f t="shared" si="2"/>
        <v>27.400000000000002</v>
      </c>
      <c r="AH48" s="12">
        <f t="shared" si="2"/>
        <v>66.400000000000006</v>
      </c>
      <c r="AI48" s="12">
        <f t="shared" si="2"/>
        <v>80.100000000000009</v>
      </c>
      <c r="AJ48" s="12">
        <f t="shared" si="2"/>
        <v>14.499999999999998</v>
      </c>
      <c r="AK48" s="12"/>
      <c r="AL48" s="12">
        <f t="shared" si="8"/>
        <v>83.2</v>
      </c>
      <c r="AM48" s="12">
        <f t="shared" si="8"/>
        <v>90</v>
      </c>
      <c r="AN48" s="12">
        <f t="shared" si="8"/>
        <v>72.5</v>
      </c>
      <c r="AO48" s="12">
        <f t="shared" si="8"/>
        <v>10.6</v>
      </c>
      <c r="AP48" s="12">
        <f t="shared" si="9"/>
        <v>69.399999999999991</v>
      </c>
      <c r="AQ48" s="12">
        <f t="shared" si="9"/>
        <v>0</v>
      </c>
      <c r="AR48" s="12"/>
      <c r="AS48" s="12">
        <f t="shared" si="10"/>
        <v>67.900000000000006</v>
      </c>
      <c r="AT48" s="12">
        <f t="shared" si="10"/>
        <v>59.5</v>
      </c>
      <c r="AU48" s="12">
        <f t="shared" si="10"/>
        <v>48.8</v>
      </c>
      <c r="AV48" s="12">
        <f t="shared" si="10"/>
        <v>90.8</v>
      </c>
      <c r="AW48" s="12">
        <f t="shared" si="11"/>
        <v>26.700000000000003</v>
      </c>
      <c r="AX48" s="12">
        <f t="shared" si="11"/>
        <v>0</v>
      </c>
      <c r="AY48" s="12"/>
      <c r="AZ48" s="12">
        <f t="shared" si="3"/>
        <v>23</v>
      </c>
      <c r="BA48" s="12">
        <f t="shared" si="4"/>
        <v>100</v>
      </c>
      <c r="BB48" s="12"/>
      <c r="BC48" s="12">
        <f t="shared" si="5"/>
        <v>0</v>
      </c>
      <c r="BD48" s="12">
        <f t="shared" si="6"/>
        <v>0</v>
      </c>
      <c r="BE48" s="12">
        <f t="shared" si="7"/>
        <v>36.700000000000003</v>
      </c>
    </row>
    <row r="49" spans="1:57" ht="15.75" customHeight="1" x14ac:dyDescent="0.25">
      <c r="A49" s="1" t="s">
        <v>147</v>
      </c>
      <c r="B49" s="3" t="s">
        <v>97</v>
      </c>
      <c r="C49" s="4" t="s">
        <v>8</v>
      </c>
      <c r="D49" s="4">
        <v>25</v>
      </c>
      <c r="E49" s="4">
        <v>812</v>
      </c>
      <c r="F49" s="4">
        <v>25</v>
      </c>
      <c r="G49" s="4">
        <v>812</v>
      </c>
      <c r="H49" s="4">
        <v>0.44400000000000001</v>
      </c>
      <c r="I49" s="4">
        <v>10.7</v>
      </c>
      <c r="J49" s="4"/>
      <c r="K49" s="4">
        <v>0.97699999999999998</v>
      </c>
      <c r="L49" s="4">
        <v>0.39400000000000002</v>
      </c>
      <c r="M49" s="4">
        <v>6.6000000000000003E-2</v>
      </c>
      <c r="N49" s="4">
        <v>0.151</v>
      </c>
      <c r="O49" s="4">
        <v>0.36699999999999999</v>
      </c>
      <c r="P49" s="4">
        <v>2.3E-2</v>
      </c>
      <c r="Q49" s="4"/>
      <c r="R49" s="4">
        <v>0.45500000000000002</v>
      </c>
      <c r="S49" s="4">
        <v>0.59799999999999998</v>
      </c>
      <c r="T49" s="4">
        <v>0.23499999999999999</v>
      </c>
      <c r="U49" s="4">
        <v>0.41</v>
      </c>
      <c r="V49" s="4">
        <v>0.35799999999999998</v>
      </c>
      <c r="W49" s="4">
        <v>0</v>
      </c>
      <c r="X49" s="4"/>
      <c r="Y49" s="4">
        <v>0.374</v>
      </c>
      <c r="Z49" s="4">
        <v>0</v>
      </c>
      <c r="AA49" s="4"/>
      <c r="AB49" s="4">
        <v>0</v>
      </c>
      <c r="AC49" s="4">
        <v>0</v>
      </c>
      <c r="AD49" s="10">
        <f t="shared" si="1"/>
        <v>0.365398</v>
      </c>
      <c r="AE49" s="9"/>
      <c r="AF49" s="9"/>
      <c r="AG49" s="12">
        <f t="shared" si="2"/>
        <v>21.3</v>
      </c>
      <c r="AH49" s="12">
        <f t="shared" si="2"/>
        <v>65.600000000000009</v>
      </c>
      <c r="AI49" s="12">
        <f t="shared" si="2"/>
        <v>70.199999999999989</v>
      </c>
      <c r="AJ49" s="12">
        <f t="shared" si="2"/>
        <v>33.5</v>
      </c>
      <c r="AK49" s="12"/>
      <c r="AL49" s="12">
        <f t="shared" si="8"/>
        <v>70.199999999999989</v>
      </c>
      <c r="AM49" s="12">
        <f t="shared" si="8"/>
        <v>82.399999999999991</v>
      </c>
      <c r="AN49" s="12">
        <f t="shared" si="8"/>
        <v>3.8</v>
      </c>
      <c r="AO49" s="12">
        <f t="shared" si="8"/>
        <v>67.100000000000009</v>
      </c>
      <c r="AP49" s="12">
        <f t="shared" si="9"/>
        <v>95.399999999999991</v>
      </c>
      <c r="AQ49" s="12">
        <f t="shared" si="9"/>
        <v>29.7</v>
      </c>
      <c r="AR49" s="12"/>
      <c r="AS49" s="12">
        <f t="shared" si="10"/>
        <v>58.699999999999996</v>
      </c>
      <c r="AT49" s="12">
        <f t="shared" si="10"/>
        <v>45</v>
      </c>
      <c r="AU49" s="12">
        <f t="shared" si="10"/>
        <v>16</v>
      </c>
      <c r="AV49" s="12">
        <f t="shared" si="10"/>
        <v>77.8</v>
      </c>
      <c r="AW49" s="12">
        <f t="shared" si="11"/>
        <v>57.999999999999993</v>
      </c>
      <c r="AX49" s="12">
        <f t="shared" si="11"/>
        <v>0</v>
      </c>
      <c r="AY49" s="12"/>
      <c r="AZ49" s="12">
        <f t="shared" si="3"/>
        <v>74.900000000000006</v>
      </c>
      <c r="BA49" s="12">
        <f t="shared" si="4"/>
        <v>100</v>
      </c>
      <c r="BB49" s="12"/>
      <c r="BC49" s="12">
        <f t="shared" si="5"/>
        <v>0</v>
      </c>
      <c r="BD49" s="12">
        <f t="shared" si="6"/>
        <v>0</v>
      </c>
      <c r="BE49" s="12">
        <f t="shared" si="7"/>
        <v>90.9</v>
      </c>
    </row>
    <row r="50" spans="1:57" ht="15.75" customHeight="1" x14ac:dyDescent="0.25">
      <c r="A50" s="1" t="s">
        <v>148</v>
      </c>
      <c r="B50" s="3" t="s">
        <v>95</v>
      </c>
      <c r="C50" s="4" t="s">
        <v>92</v>
      </c>
      <c r="D50" s="4">
        <v>34</v>
      </c>
      <c r="E50" s="4">
        <v>797</v>
      </c>
      <c r="F50" s="4">
        <v>34</v>
      </c>
      <c r="G50" s="4">
        <v>797</v>
      </c>
      <c r="H50" s="4">
        <v>0.41099999999999998</v>
      </c>
      <c r="I50" s="4">
        <v>16.3</v>
      </c>
      <c r="J50" s="4"/>
      <c r="K50" s="4">
        <v>0.50800000000000001</v>
      </c>
      <c r="L50" s="4">
        <v>0.16300000000000001</v>
      </c>
      <c r="M50" s="4">
        <v>0.13500000000000001</v>
      </c>
      <c r="N50" s="4">
        <v>8.7999999999999995E-2</v>
      </c>
      <c r="O50" s="4">
        <v>0.122</v>
      </c>
      <c r="P50" s="4">
        <v>0.49199999999999999</v>
      </c>
      <c r="Q50" s="4"/>
      <c r="R50" s="4">
        <v>0.47499999999999998</v>
      </c>
      <c r="S50" s="4">
        <v>0.71199999999999997</v>
      </c>
      <c r="T50" s="4">
        <v>0.442</v>
      </c>
      <c r="U50" s="4">
        <v>0.35699999999999998</v>
      </c>
      <c r="V50" s="4">
        <v>0.28199999999999997</v>
      </c>
      <c r="W50" s="4">
        <v>0.34399999999999997</v>
      </c>
      <c r="X50" s="4"/>
      <c r="Y50" s="4">
        <v>0.48099999999999998</v>
      </c>
      <c r="Z50" s="4">
        <v>0.85199999999999998</v>
      </c>
      <c r="AA50" s="4"/>
      <c r="AB50" s="4">
        <v>0.21</v>
      </c>
      <c r="AC50" s="4">
        <v>0.21199999999999999</v>
      </c>
      <c r="AD50" s="10">
        <f t="shared" si="1"/>
        <v>0.66353200000000001</v>
      </c>
      <c r="AE50" s="9"/>
      <c r="AF50" s="9"/>
      <c r="AG50" s="12">
        <f t="shared" si="2"/>
        <v>65.600000000000009</v>
      </c>
      <c r="AH50" s="12">
        <f t="shared" si="2"/>
        <v>64.8</v>
      </c>
      <c r="AI50" s="12">
        <f t="shared" si="2"/>
        <v>51.9</v>
      </c>
      <c r="AJ50" s="12">
        <f t="shared" si="2"/>
        <v>84.7</v>
      </c>
      <c r="AK50" s="12"/>
      <c r="AL50" s="12">
        <f t="shared" si="8"/>
        <v>10.6</v>
      </c>
      <c r="AM50" s="12">
        <f t="shared" si="8"/>
        <v>21.3</v>
      </c>
      <c r="AN50" s="12">
        <f t="shared" si="8"/>
        <v>30.5</v>
      </c>
      <c r="AO50" s="12">
        <f t="shared" si="8"/>
        <v>35.799999999999997</v>
      </c>
      <c r="AP50" s="12">
        <f t="shared" si="9"/>
        <v>33.5</v>
      </c>
      <c r="AQ50" s="12">
        <f t="shared" si="9"/>
        <v>89.3</v>
      </c>
      <c r="AR50" s="12"/>
      <c r="AS50" s="12">
        <f t="shared" si="10"/>
        <v>74</v>
      </c>
      <c r="AT50" s="12">
        <f t="shared" si="10"/>
        <v>80.900000000000006</v>
      </c>
      <c r="AU50" s="12">
        <f t="shared" si="10"/>
        <v>80.100000000000009</v>
      </c>
      <c r="AV50" s="12">
        <f t="shared" si="10"/>
        <v>59.5</v>
      </c>
      <c r="AW50" s="12">
        <f t="shared" si="11"/>
        <v>28.199999999999996</v>
      </c>
      <c r="AX50" s="12">
        <f t="shared" si="11"/>
        <v>74.8</v>
      </c>
      <c r="AY50" s="12"/>
      <c r="AZ50" s="12">
        <f t="shared" si="3"/>
        <v>58.800000000000004</v>
      </c>
      <c r="BA50" s="12">
        <f t="shared" si="4"/>
        <v>42.800000000000004</v>
      </c>
      <c r="BB50" s="12"/>
      <c r="BC50" s="12">
        <f t="shared" si="5"/>
        <v>77</v>
      </c>
      <c r="BD50" s="12">
        <f t="shared" si="6"/>
        <v>53.400000000000006</v>
      </c>
      <c r="BE50" s="12">
        <f t="shared" si="7"/>
        <v>37.5</v>
      </c>
    </row>
    <row r="51" spans="1:57" ht="15.75" customHeight="1" x14ac:dyDescent="0.25">
      <c r="A51" s="1" t="s">
        <v>149</v>
      </c>
      <c r="B51" s="3" t="s">
        <v>104</v>
      </c>
      <c r="C51" s="4" t="s">
        <v>87</v>
      </c>
      <c r="D51" s="4">
        <v>34</v>
      </c>
      <c r="E51" s="4">
        <v>782</v>
      </c>
      <c r="F51" s="4">
        <v>34</v>
      </c>
      <c r="G51" s="4">
        <v>782</v>
      </c>
      <c r="H51" s="4">
        <v>0.38400000000000001</v>
      </c>
      <c r="I51" s="4">
        <v>13.7</v>
      </c>
      <c r="J51" s="4"/>
      <c r="K51" s="4">
        <v>0.80800000000000005</v>
      </c>
      <c r="L51" s="4">
        <v>0.20100000000000001</v>
      </c>
      <c r="M51" s="4">
        <v>0.17</v>
      </c>
      <c r="N51" s="4">
        <v>9.8000000000000004E-2</v>
      </c>
      <c r="O51" s="4">
        <v>0.33900000000000002</v>
      </c>
      <c r="P51" s="4">
        <v>0.192</v>
      </c>
      <c r="Q51" s="4"/>
      <c r="R51" s="4">
        <v>0.40300000000000002</v>
      </c>
      <c r="S51" s="4">
        <v>0.53300000000000003</v>
      </c>
      <c r="T51" s="4">
        <v>0.316</v>
      </c>
      <c r="U51" s="4">
        <v>0.40899999999999997</v>
      </c>
      <c r="V51" s="4">
        <v>0.36799999999999999</v>
      </c>
      <c r="W51" s="4">
        <v>0.30199999999999999</v>
      </c>
      <c r="X51" s="4"/>
      <c r="Y51" s="4">
        <v>0.64400000000000002</v>
      </c>
      <c r="Z51" s="4">
        <v>0.76900000000000002</v>
      </c>
      <c r="AA51" s="4"/>
      <c r="AB51" s="4">
        <v>0.27900000000000003</v>
      </c>
      <c r="AC51" s="4">
        <v>0.41699999999999998</v>
      </c>
      <c r="AD51" s="10">
        <f t="shared" si="1"/>
        <v>0.66800000000000004</v>
      </c>
      <c r="AE51" s="9"/>
      <c r="AF51" s="9"/>
      <c r="AG51" s="12">
        <f t="shared" si="2"/>
        <v>65.600000000000009</v>
      </c>
      <c r="AH51" s="12">
        <f t="shared" si="2"/>
        <v>64.099999999999994</v>
      </c>
      <c r="AI51" s="12">
        <f t="shared" si="2"/>
        <v>32</v>
      </c>
      <c r="AJ51" s="12">
        <f t="shared" si="2"/>
        <v>63.3</v>
      </c>
      <c r="AK51" s="12"/>
      <c r="AL51" s="12">
        <f t="shared" si="8"/>
        <v>53.400000000000006</v>
      </c>
      <c r="AM51" s="12">
        <f t="shared" si="8"/>
        <v>32</v>
      </c>
      <c r="AN51" s="12">
        <f t="shared" si="8"/>
        <v>49.6</v>
      </c>
      <c r="AO51" s="12">
        <f t="shared" si="8"/>
        <v>38.9</v>
      </c>
      <c r="AP51" s="12">
        <f t="shared" si="9"/>
        <v>92.300000000000011</v>
      </c>
      <c r="AQ51" s="12">
        <f t="shared" si="9"/>
        <v>46.5</v>
      </c>
      <c r="AR51" s="12"/>
      <c r="AS51" s="12">
        <f t="shared" si="10"/>
        <v>34.300000000000004</v>
      </c>
      <c r="AT51" s="12">
        <f t="shared" si="10"/>
        <v>22.1</v>
      </c>
      <c r="AU51" s="12">
        <f t="shared" si="10"/>
        <v>33.5</v>
      </c>
      <c r="AV51" s="12">
        <f t="shared" si="10"/>
        <v>77</v>
      </c>
      <c r="AW51" s="12">
        <f t="shared" si="11"/>
        <v>60.3</v>
      </c>
      <c r="AX51" s="12">
        <f t="shared" si="11"/>
        <v>59.5</v>
      </c>
      <c r="AY51" s="12"/>
      <c r="AZ51" s="12">
        <f t="shared" si="3"/>
        <v>32.099999999999994</v>
      </c>
      <c r="BA51" s="12">
        <f t="shared" si="4"/>
        <v>52</v>
      </c>
      <c r="BB51" s="12"/>
      <c r="BC51" s="12">
        <f t="shared" si="5"/>
        <v>83.899999999999991</v>
      </c>
      <c r="BD51" s="12">
        <f t="shared" si="6"/>
        <v>80.100000000000009</v>
      </c>
      <c r="BE51" s="12">
        <f t="shared" si="7"/>
        <v>35.900000000000006</v>
      </c>
    </row>
    <row r="52" spans="1:57" ht="15.75" customHeight="1" x14ac:dyDescent="0.25">
      <c r="A52" s="1" t="s">
        <v>150</v>
      </c>
      <c r="B52" s="3" t="s">
        <v>89</v>
      </c>
      <c r="C52" s="4" t="s">
        <v>8</v>
      </c>
      <c r="D52" s="4">
        <v>34</v>
      </c>
      <c r="E52" s="4">
        <v>772</v>
      </c>
      <c r="F52" s="4">
        <v>34</v>
      </c>
      <c r="G52" s="4">
        <v>772</v>
      </c>
      <c r="H52" s="4">
        <v>0.36399999999999999</v>
      </c>
      <c r="I52" s="4">
        <v>12.6</v>
      </c>
      <c r="J52" s="4"/>
      <c r="K52" s="4">
        <v>0.76200000000000001</v>
      </c>
      <c r="L52" s="4">
        <v>0.26800000000000002</v>
      </c>
      <c r="M52" s="4">
        <v>0.16900000000000001</v>
      </c>
      <c r="N52" s="4">
        <v>0.11899999999999999</v>
      </c>
      <c r="O52" s="4">
        <v>0.20699999999999999</v>
      </c>
      <c r="P52" s="4">
        <v>0.23799999999999999</v>
      </c>
      <c r="Q52" s="4"/>
      <c r="R52" s="4">
        <v>0.38200000000000001</v>
      </c>
      <c r="S52" s="4">
        <v>0.58599999999999997</v>
      </c>
      <c r="T52" s="4">
        <v>0.27300000000000002</v>
      </c>
      <c r="U52" s="4">
        <v>0.22600000000000001</v>
      </c>
      <c r="V52" s="4">
        <v>0.29599999999999999</v>
      </c>
      <c r="W52" s="4">
        <v>0.30599999999999999</v>
      </c>
      <c r="X52" s="4"/>
      <c r="Y52" s="4">
        <v>0.25</v>
      </c>
      <c r="Z52" s="4">
        <v>0.84199999999999997</v>
      </c>
      <c r="AA52" s="4"/>
      <c r="AB52" s="4">
        <v>9.7000000000000003E-2</v>
      </c>
      <c r="AC52" s="4">
        <v>0.33300000000000002</v>
      </c>
      <c r="AD52" s="10">
        <f t="shared" si="1"/>
        <v>0.39089600000000002</v>
      </c>
      <c r="AE52" s="9"/>
      <c r="AF52" s="9"/>
      <c r="AG52" s="12">
        <f t="shared" si="2"/>
        <v>65.600000000000009</v>
      </c>
      <c r="AH52" s="12">
        <f t="shared" si="2"/>
        <v>63.3</v>
      </c>
      <c r="AI52" s="12">
        <f t="shared" si="2"/>
        <v>25.1</v>
      </c>
      <c r="AJ52" s="12">
        <f t="shared" si="2"/>
        <v>52.6</v>
      </c>
      <c r="AK52" s="12"/>
      <c r="AL52" s="12">
        <f t="shared" si="8"/>
        <v>41.9</v>
      </c>
      <c r="AM52" s="12">
        <f t="shared" si="8"/>
        <v>52.6</v>
      </c>
      <c r="AN52" s="12">
        <f t="shared" si="8"/>
        <v>48.8</v>
      </c>
      <c r="AO52" s="12">
        <f t="shared" si="8"/>
        <v>48.8</v>
      </c>
      <c r="AP52" s="12">
        <f t="shared" si="9"/>
        <v>57.999999999999993</v>
      </c>
      <c r="AQ52" s="12">
        <f t="shared" si="9"/>
        <v>57.199999999999996</v>
      </c>
      <c r="AR52" s="12"/>
      <c r="AS52" s="12">
        <f t="shared" si="10"/>
        <v>20.599999999999998</v>
      </c>
      <c r="AT52" s="12">
        <f t="shared" si="10"/>
        <v>41.199999999999996</v>
      </c>
      <c r="AU52" s="12">
        <f t="shared" si="10"/>
        <v>23.599999999999998</v>
      </c>
      <c r="AV52" s="12">
        <f t="shared" si="10"/>
        <v>22.1</v>
      </c>
      <c r="AW52" s="12">
        <f t="shared" si="11"/>
        <v>32</v>
      </c>
      <c r="AX52" s="12">
        <f t="shared" si="11"/>
        <v>61.8</v>
      </c>
      <c r="AY52" s="12"/>
      <c r="AZ52" s="12">
        <f t="shared" si="3"/>
        <v>85.5</v>
      </c>
      <c r="BA52" s="12">
        <f t="shared" si="4"/>
        <v>44.3</v>
      </c>
      <c r="BB52" s="12"/>
      <c r="BC52" s="12">
        <f t="shared" si="5"/>
        <v>49.6</v>
      </c>
      <c r="BD52" s="12">
        <f t="shared" si="6"/>
        <v>64.8</v>
      </c>
      <c r="BE52" s="12">
        <f t="shared" si="7"/>
        <v>85.5</v>
      </c>
    </row>
    <row r="53" spans="1:57" ht="15.75" customHeight="1" x14ac:dyDescent="0.25">
      <c r="A53" s="1" t="s">
        <v>151</v>
      </c>
      <c r="B53" s="3" t="s">
        <v>97</v>
      </c>
      <c r="C53" s="4" t="s">
        <v>115</v>
      </c>
      <c r="D53" s="4">
        <v>29</v>
      </c>
      <c r="E53" s="4">
        <v>768</v>
      </c>
      <c r="F53" s="4">
        <v>29</v>
      </c>
      <c r="G53" s="4">
        <v>768</v>
      </c>
      <c r="H53" s="4">
        <v>0.57899999999999996</v>
      </c>
      <c r="I53" s="4">
        <v>3.8</v>
      </c>
      <c r="J53" s="4"/>
      <c r="K53" s="4">
        <v>0.97499999999999998</v>
      </c>
      <c r="L53" s="4">
        <v>0.69399999999999995</v>
      </c>
      <c r="M53" s="4">
        <v>0.215</v>
      </c>
      <c r="N53" s="4">
        <v>2.5000000000000001E-2</v>
      </c>
      <c r="O53" s="4">
        <v>4.1000000000000002E-2</v>
      </c>
      <c r="P53" s="4">
        <v>2.5000000000000001E-2</v>
      </c>
      <c r="Q53" s="4"/>
      <c r="R53" s="4">
        <v>0.58499999999999996</v>
      </c>
      <c r="S53" s="4">
        <v>0.64300000000000002</v>
      </c>
      <c r="T53" s="4">
        <v>0.46200000000000002</v>
      </c>
      <c r="U53" s="4">
        <v>0</v>
      </c>
      <c r="V53" s="4">
        <v>0.6</v>
      </c>
      <c r="W53" s="4">
        <v>0.33300000000000002</v>
      </c>
      <c r="X53" s="4"/>
      <c r="Y53" s="4">
        <v>0.63800000000000001</v>
      </c>
      <c r="Z53" s="4">
        <v>0</v>
      </c>
      <c r="AA53" s="4"/>
      <c r="AB53" s="4">
        <v>0</v>
      </c>
      <c r="AC53" s="4">
        <v>0</v>
      </c>
      <c r="AD53" s="10">
        <f t="shared" si="1"/>
        <v>0.62204999999999999</v>
      </c>
      <c r="AE53" s="9"/>
      <c r="AF53" s="9"/>
      <c r="AG53" s="12">
        <f t="shared" si="2"/>
        <v>29.7</v>
      </c>
      <c r="AH53" s="12">
        <f t="shared" si="2"/>
        <v>62.5</v>
      </c>
      <c r="AI53" s="12">
        <f t="shared" si="2"/>
        <v>98.4</v>
      </c>
      <c r="AJ53" s="12">
        <f t="shared" si="2"/>
        <v>2.1999999999999997</v>
      </c>
      <c r="AK53" s="12"/>
      <c r="AL53" s="12">
        <f t="shared" si="8"/>
        <v>68.7</v>
      </c>
      <c r="AM53" s="12">
        <f t="shared" si="8"/>
        <v>99.2</v>
      </c>
      <c r="AN53" s="12">
        <f t="shared" si="8"/>
        <v>67.900000000000006</v>
      </c>
      <c r="AO53" s="12">
        <f t="shared" si="8"/>
        <v>3</v>
      </c>
      <c r="AP53" s="12">
        <f t="shared" si="9"/>
        <v>9.1</v>
      </c>
      <c r="AQ53" s="12">
        <f t="shared" si="9"/>
        <v>31.2</v>
      </c>
      <c r="AR53" s="12"/>
      <c r="AS53" s="12">
        <f t="shared" si="10"/>
        <v>97.7</v>
      </c>
      <c r="AT53" s="12">
        <f t="shared" si="10"/>
        <v>63.3</v>
      </c>
      <c r="AU53" s="12">
        <f t="shared" si="10"/>
        <v>85.399999999999991</v>
      </c>
      <c r="AV53" s="12">
        <f t="shared" si="10"/>
        <v>0</v>
      </c>
      <c r="AW53" s="12">
        <f t="shared" si="11"/>
        <v>97.7</v>
      </c>
      <c r="AX53" s="12">
        <f t="shared" si="11"/>
        <v>71.7</v>
      </c>
      <c r="AY53" s="12"/>
      <c r="AZ53" s="12">
        <f t="shared" si="3"/>
        <v>33.599999999999994</v>
      </c>
      <c r="BA53" s="12">
        <f t="shared" si="4"/>
        <v>100</v>
      </c>
      <c r="BB53" s="12"/>
      <c r="BC53" s="12">
        <f t="shared" si="5"/>
        <v>0</v>
      </c>
      <c r="BD53" s="12">
        <f t="shared" si="6"/>
        <v>0</v>
      </c>
      <c r="BE53" s="12">
        <f t="shared" si="7"/>
        <v>52</v>
      </c>
    </row>
    <row r="54" spans="1:57" ht="15.75" customHeight="1" x14ac:dyDescent="0.25">
      <c r="A54" s="1" t="s">
        <v>152</v>
      </c>
      <c r="B54" s="4" t="s">
        <v>86</v>
      </c>
      <c r="C54" s="4" t="s">
        <v>8</v>
      </c>
      <c r="D54" s="4">
        <v>34</v>
      </c>
      <c r="E54" s="4">
        <v>763</v>
      </c>
      <c r="F54" s="4">
        <v>34</v>
      </c>
      <c r="G54" s="4">
        <v>763</v>
      </c>
      <c r="H54" s="4">
        <v>0.39500000000000002</v>
      </c>
      <c r="I54" s="4">
        <v>14.4</v>
      </c>
      <c r="J54" s="4"/>
      <c r="K54" s="4">
        <v>0.66400000000000003</v>
      </c>
      <c r="L54" s="4">
        <v>0.23699999999999999</v>
      </c>
      <c r="M54" s="4">
        <v>7.9000000000000001E-2</v>
      </c>
      <c r="N54" s="4">
        <v>0.14499999999999999</v>
      </c>
      <c r="O54" s="4">
        <v>0.20399999999999999</v>
      </c>
      <c r="P54" s="4">
        <v>0.33600000000000002</v>
      </c>
      <c r="Q54" s="4"/>
      <c r="R54" s="4">
        <v>0.46500000000000002</v>
      </c>
      <c r="S54" s="4">
        <v>0.69399999999999995</v>
      </c>
      <c r="T54" s="4">
        <v>0.33300000000000002</v>
      </c>
      <c r="U54" s="4">
        <v>0.318</v>
      </c>
      <c r="V54" s="4">
        <v>0.35499999999999998</v>
      </c>
      <c r="W54" s="4">
        <v>0.255</v>
      </c>
      <c r="X54" s="4"/>
      <c r="Y54" s="4">
        <v>0.68100000000000005</v>
      </c>
      <c r="Z54" s="4">
        <v>1</v>
      </c>
      <c r="AA54" s="4"/>
      <c r="AB54" s="4">
        <v>0.49</v>
      </c>
      <c r="AC54" s="4">
        <v>0.16</v>
      </c>
      <c r="AD54" s="10">
        <f t="shared" si="1"/>
        <v>0.788184</v>
      </c>
      <c r="AE54" s="9"/>
      <c r="AF54" s="9"/>
      <c r="AG54" s="12">
        <f t="shared" si="2"/>
        <v>65.600000000000009</v>
      </c>
      <c r="AH54" s="12">
        <f t="shared" si="2"/>
        <v>61.8</v>
      </c>
      <c r="AI54" s="12">
        <f t="shared" si="2"/>
        <v>37.4</v>
      </c>
      <c r="AJ54" s="12">
        <f t="shared" si="2"/>
        <v>70.899999999999991</v>
      </c>
      <c r="AK54" s="12"/>
      <c r="AL54" s="12">
        <f t="shared" si="8"/>
        <v>27.400000000000002</v>
      </c>
      <c r="AM54" s="12">
        <f t="shared" si="8"/>
        <v>40.400000000000006</v>
      </c>
      <c r="AN54" s="12">
        <f t="shared" si="8"/>
        <v>9.1</v>
      </c>
      <c r="AO54" s="12">
        <f t="shared" si="8"/>
        <v>62.5</v>
      </c>
      <c r="AP54" s="12">
        <f t="shared" si="9"/>
        <v>55.7</v>
      </c>
      <c r="AQ54" s="12">
        <f t="shared" si="9"/>
        <v>72.5</v>
      </c>
      <c r="AR54" s="12"/>
      <c r="AS54" s="12">
        <f t="shared" si="10"/>
        <v>65.600000000000009</v>
      </c>
      <c r="AT54" s="12">
        <f t="shared" si="10"/>
        <v>74.8</v>
      </c>
      <c r="AU54" s="12">
        <f t="shared" si="10"/>
        <v>39.6</v>
      </c>
      <c r="AV54" s="12">
        <f t="shared" si="10"/>
        <v>39.6</v>
      </c>
      <c r="AW54" s="12">
        <f t="shared" si="11"/>
        <v>55.7</v>
      </c>
      <c r="AX54" s="12">
        <f t="shared" si="11"/>
        <v>47.3</v>
      </c>
      <c r="AY54" s="12"/>
      <c r="AZ54" s="12">
        <f t="shared" si="3"/>
        <v>20.700000000000003</v>
      </c>
      <c r="BA54" s="12">
        <f t="shared" si="4"/>
        <v>23</v>
      </c>
      <c r="BB54" s="12"/>
      <c r="BC54" s="12">
        <f t="shared" si="5"/>
        <v>96.1</v>
      </c>
      <c r="BD54" s="12">
        <f t="shared" si="6"/>
        <v>48</v>
      </c>
      <c r="BE54" s="12">
        <f t="shared" si="7"/>
        <v>13</v>
      </c>
    </row>
    <row r="55" spans="1:57" ht="15.75" customHeight="1" x14ac:dyDescent="0.25">
      <c r="A55" s="1" t="s">
        <v>153</v>
      </c>
      <c r="B55" s="3" t="s">
        <v>99</v>
      </c>
      <c r="C55" s="4" t="s">
        <v>92</v>
      </c>
      <c r="D55" s="4">
        <v>34</v>
      </c>
      <c r="E55" s="4">
        <v>755</v>
      </c>
      <c r="F55" s="4">
        <v>34</v>
      </c>
      <c r="G55" s="4">
        <v>755</v>
      </c>
      <c r="H55" s="4">
        <v>0.42399999999999999</v>
      </c>
      <c r="I55" s="4">
        <v>12.6</v>
      </c>
      <c r="J55" s="4"/>
      <c r="K55" s="4">
        <v>0.65200000000000002</v>
      </c>
      <c r="L55" s="4">
        <v>0.32600000000000001</v>
      </c>
      <c r="M55" s="4">
        <v>0.13600000000000001</v>
      </c>
      <c r="N55" s="4">
        <v>8.3000000000000004E-2</v>
      </c>
      <c r="O55" s="4">
        <v>0.106</v>
      </c>
      <c r="P55" s="4">
        <v>0.34799999999999998</v>
      </c>
      <c r="Q55" s="4"/>
      <c r="R55" s="4">
        <v>0.48799999999999999</v>
      </c>
      <c r="S55" s="4">
        <v>0.60499999999999998</v>
      </c>
      <c r="T55" s="4">
        <v>0.27800000000000002</v>
      </c>
      <c r="U55" s="4">
        <v>0.36399999999999999</v>
      </c>
      <c r="V55" s="4">
        <v>0.5</v>
      </c>
      <c r="W55" s="4">
        <v>0.30399999999999999</v>
      </c>
      <c r="X55" s="4"/>
      <c r="Y55" s="4">
        <v>0.76200000000000001</v>
      </c>
      <c r="Z55" s="4">
        <v>0.92900000000000005</v>
      </c>
      <c r="AA55" s="4"/>
      <c r="AB55" s="4">
        <v>8.6999999999999994E-2</v>
      </c>
      <c r="AC55" s="4">
        <v>0</v>
      </c>
      <c r="AD55" s="10">
        <f t="shared" si="1"/>
        <v>0.82011600000000007</v>
      </c>
      <c r="AE55" s="9"/>
      <c r="AF55" s="9"/>
      <c r="AG55" s="12">
        <f t="shared" si="2"/>
        <v>65.600000000000009</v>
      </c>
      <c r="AH55" s="12">
        <f t="shared" si="2"/>
        <v>61</v>
      </c>
      <c r="AI55" s="12">
        <f t="shared" si="2"/>
        <v>57.199999999999996</v>
      </c>
      <c r="AJ55" s="12">
        <f t="shared" si="2"/>
        <v>52.6</v>
      </c>
      <c r="AK55" s="12"/>
      <c r="AL55" s="12">
        <f t="shared" si="8"/>
        <v>25.1</v>
      </c>
      <c r="AM55" s="12">
        <f t="shared" si="8"/>
        <v>70.899999999999991</v>
      </c>
      <c r="AN55" s="12">
        <f t="shared" si="8"/>
        <v>31.2</v>
      </c>
      <c r="AO55" s="12">
        <f t="shared" si="8"/>
        <v>28.999999999999996</v>
      </c>
      <c r="AP55" s="12">
        <f t="shared" si="9"/>
        <v>26.700000000000003</v>
      </c>
      <c r="AQ55" s="12">
        <f t="shared" si="9"/>
        <v>74.8</v>
      </c>
      <c r="AR55" s="12"/>
      <c r="AS55" s="12">
        <f t="shared" si="10"/>
        <v>79.3</v>
      </c>
      <c r="AT55" s="12">
        <f t="shared" si="10"/>
        <v>49.6</v>
      </c>
      <c r="AU55" s="12">
        <f t="shared" si="10"/>
        <v>25.1</v>
      </c>
      <c r="AV55" s="12">
        <f t="shared" si="10"/>
        <v>61</v>
      </c>
      <c r="AW55" s="12">
        <f t="shared" si="11"/>
        <v>90.8</v>
      </c>
      <c r="AX55" s="12">
        <f t="shared" si="11"/>
        <v>60.3</v>
      </c>
      <c r="AY55" s="12"/>
      <c r="AZ55" s="12">
        <f t="shared" si="3"/>
        <v>11.5</v>
      </c>
      <c r="BA55" s="12">
        <f t="shared" si="4"/>
        <v>32.099999999999994</v>
      </c>
      <c r="BB55" s="12"/>
      <c r="BC55" s="12">
        <f t="shared" si="5"/>
        <v>43.5</v>
      </c>
      <c r="BD55" s="12">
        <f t="shared" si="6"/>
        <v>0</v>
      </c>
      <c r="BE55" s="12">
        <f t="shared" si="7"/>
        <v>10</v>
      </c>
    </row>
    <row r="56" spans="1:57" ht="15.75" customHeight="1" x14ac:dyDescent="0.25">
      <c r="A56" s="1" t="s">
        <v>154</v>
      </c>
      <c r="B56" s="3" t="s">
        <v>99</v>
      </c>
      <c r="C56" s="4" t="s">
        <v>8</v>
      </c>
      <c r="D56" s="4">
        <v>34</v>
      </c>
      <c r="E56" s="4">
        <v>753</v>
      </c>
      <c r="F56" s="4">
        <v>34</v>
      </c>
      <c r="G56" s="4">
        <v>753</v>
      </c>
      <c r="H56" s="4">
        <v>0.39800000000000002</v>
      </c>
      <c r="I56" s="4">
        <v>14.9</v>
      </c>
      <c r="J56" s="4"/>
      <c r="K56" s="4">
        <v>0.70099999999999996</v>
      </c>
      <c r="L56" s="4">
        <v>0.151</v>
      </c>
      <c r="M56" s="4">
        <v>0.14799999999999999</v>
      </c>
      <c r="N56" s="4">
        <v>0.187</v>
      </c>
      <c r="O56" s="4">
        <v>0.215</v>
      </c>
      <c r="P56" s="4">
        <v>0.29899999999999999</v>
      </c>
      <c r="Q56" s="4"/>
      <c r="R56" s="4">
        <v>0.42699999999999999</v>
      </c>
      <c r="S56" s="4">
        <v>0.51200000000000001</v>
      </c>
      <c r="T56" s="4">
        <v>0.42899999999999999</v>
      </c>
      <c r="U56" s="4">
        <v>0.32100000000000001</v>
      </c>
      <c r="V56" s="4">
        <v>0.45900000000000002</v>
      </c>
      <c r="W56" s="4">
        <v>0.32900000000000001</v>
      </c>
      <c r="X56" s="4"/>
      <c r="Y56" s="4">
        <v>0.23499999999999999</v>
      </c>
      <c r="Z56" s="4">
        <v>0.53600000000000003</v>
      </c>
      <c r="AA56" s="4"/>
      <c r="AB56" s="4">
        <v>8.2000000000000003E-2</v>
      </c>
      <c r="AC56" s="4">
        <v>0.42899999999999999</v>
      </c>
      <c r="AD56" s="10">
        <f t="shared" si="1"/>
        <v>0.32499899999999998</v>
      </c>
      <c r="AE56" s="9"/>
      <c r="AF56" s="9"/>
      <c r="AG56" s="12">
        <f t="shared" si="2"/>
        <v>65.600000000000009</v>
      </c>
      <c r="AH56" s="12">
        <f t="shared" si="2"/>
        <v>60.3</v>
      </c>
      <c r="AI56" s="12">
        <f t="shared" si="2"/>
        <v>41.9</v>
      </c>
      <c r="AJ56" s="12">
        <f t="shared" si="2"/>
        <v>74.8</v>
      </c>
      <c r="AK56" s="12"/>
      <c r="AL56" s="12">
        <f t="shared" si="8"/>
        <v>32.800000000000004</v>
      </c>
      <c r="AM56" s="12">
        <f t="shared" si="8"/>
        <v>19.8</v>
      </c>
      <c r="AN56" s="12">
        <f t="shared" si="8"/>
        <v>35.799999999999997</v>
      </c>
      <c r="AO56" s="12">
        <f t="shared" si="8"/>
        <v>78.600000000000009</v>
      </c>
      <c r="AP56" s="12">
        <f t="shared" si="9"/>
        <v>61</v>
      </c>
      <c r="AQ56" s="12">
        <f t="shared" si="9"/>
        <v>67.100000000000009</v>
      </c>
      <c r="AR56" s="12"/>
      <c r="AS56" s="12">
        <f t="shared" si="10"/>
        <v>46.5</v>
      </c>
      <c r="AT56" s="12">
        <f t="shared" si="10"/>
        <v>19</v>
      </c>
      <c r="AU56" s="12">
        <f t="shared" si="10"/>
        <v>77.8</v>
      </c>
      <c r="AV56" s="12">
        <f t="shared" si="10"/>
        <v>41.199999999999996</v>
      </c>
      <c r="AW56" s="12">
        <f t="shared" si="11"/>
        <v>86.2</v>
      </c>
      <c r="AX56" s="12">
        <f t="shared" si="11"/>
        <v>70.899999999999991</v>
      </c>
      <c r="AY56" s="12"/>
      <c r="AZ56" s="12">
        <f t="shared" si="3"/>
        <v>87.1</v>
      </c>
      <c r="BA56" s="12">
        <f t="shared" si="4"/>
        <v>66.5</v>
      </c>
      <c r="BB56" s="12"/>
      <c r="BC56" s="12">
        <f t="shared" si="5"/>
        <v>41.199999999999996</v>
      </c>
      <c r="BD56" s="12">
        <f t="shared" si="6"/>
        <v>80.900000000000006</v>
      </c>
      <c r="BE56" s="12">
        <f t="shared" si="7"/>
        <v>96.2</v>
      </c>
    </row>
    <row r="57" spans="1:57" ht="15.75" customHeight="1" x14ac:dyDescent="0.25">
      <c r="A57" s="1" t="s">
        <v>155</v>
      </c>
      <c r="B57" s="3" t="s">
        <v>91</v>
      </c>
      <c r="C57" s="4" t="s">
        <v>8</v>
      </c>
      <c r="D57" s="4">
        <v>33</v>
      </c>
      <c r="E57" s="4">
        <v>743</v>
      </c>
      <c r="F57" s="4">
        <v>33</v>
      </c>
      <c r="G57" s="4">
        <v>743</v>
      </c>
      <c r="H57" s="4">
        <v>0.42799999999999999</v>
      </c>
      <c r="I57" s="4">
        <v>12.3</v>
      </c>
      <c r="J57" s="4"/>
      <c r="K57" s="4">
        <v>0.84799999999999998</v>
      </c>
      <c r="L57" s="4">
        <v>0.245</v>
      </c>
      <c r="M57" s="4">
        <v>0.113</v>
      </c>
      <c r="N57" s="4">
        <v>0.29599999999999999</v>
      </c>
      <c r="O57" s="4">
        <v>0.19500000000000001</v>
      </c>
      <c r="P57" s="4">
        <v>0.152</v>
      </c>
      <c r="Q57" s="4"/>
      <c r="R57" s="4">
        <v>0.45900000000000002</v>
      </c>
      <c r="S57" s="4">
        <v>0.54</v>
      </c>
      <c r="T57" s="4">
        <v>0.34499999999999997</v>
      </c>
      <c r="U57" s="4">
        <v>0.44700000000000001</v>
      </c>
      <c r="V57" s="4">
        <v>0.44</v>
      </c>
      <c r="W57" s="4">
        <v>0.25600000000000001</v>
      </c>
      <c r="X57" s="4"/>
      <c r="Y57" s="4">
        <v>0.38</v>
      </c>
      <c r="Z57" s="4">
        <v>0.8</v>
      </c>
      <c r="AA57" s="4"/>
      <c r="AB57" s="4">
        <v>0.17899999999999999</v>
      </c>
      <c r="AC57" s="4">
        <v>0.28599999999999998</v>
      </c>
      <c r="AD57" s="10">
        <f t="shared" si="1"/>
        <v>0.44383999999999996</v>
      </c>
      <c r="AE57" s="9"/>
      <c r="AF57" s="9"/>
      <c r="AG57" s="12">
        <f t="shared" si="2"/>
        <v>54.900000000000006</v>
      </c>
      <c r="AH57" s="12">
        <f t="shared" si="2"/>
        <v>59.5</v>
      </c>
      <c r="AI57" s="12">
        <f t="shared" si="2"/>
        <v>62.5</v>
      </c>
      <c r="AJ57" s="12">
        <f t="shared" si="2"/>
        <v>49.6</v>
      </c>
      <c r="AK57" s="12"/>
      <c r="AL57" s="12">
        <f t="shared" si="8"/>
        <v>58.699999999999996</v>
      </c>
      <c r="AM57" s="12">
        <f t="shared" si="8"/>
        <v>45</v>
      </c>
      <c r="AN57" s="12">
        <f t="shared" si="8"/>
        <v>21.3</v>
      </c>
      <c r="AO57" s="12">
        <f t="shared" si="8"/>
        <v>96.899999999999991</v>
      </c>
      <c r="AP57" s="12">
        <f t="shared" si="9"/>
        <v>54.1</v>
      </c>
      <c r="AQ57" s="12">
        <f t="shared" si="9"/>
        <v>41.199999999999996</v>
      </c>
      <c r="AR57" s="12"/>
      <c r="AS57" s="12">
        <f t="shared" si="10"/>
        <v>62.5</v>
      </c>
      <c r="AT57" s="12">
        <f t="shared" si="10"/>
        <v>25.1</v>
      </c>
      <c r="AU57" s="12">
        <f t="shared" si="10"/>
        <v>51.1</v>
      </c>
      <c r="AV57" s="12">
        <f t="shared" si="10"/>
        <v>83.899999999999991</v>
      </c>
      <c r="AW57" s="12">
        <f t="shared" si="11"/>
        <v>83.899999999999991</v>
      </c>
      <c r="AX57" s="12">
        <f t="shared" si="11"/>
        <v>48</v>
      </c>
      <c r="AY57" s="12"/>
      <c r="AZ57" s="12">
        <f t="shared" si="3"/>
        <v>71.800000000000011</v>
      </c>
      <c r="BA57" s="12">
        <f t="shared" si="4"/>
        <v>50.4</v>
      </c>
      <c r="BB57" s="12"/>
      <c r="BC57" s="12">
        <f t="shared" si="5"/>
        <v>67.900000000000006</v>
      </c>
      <c r="BD57" s="12">
        <f t="shared" si="6"/>
        <v>59.5</v>
      </c>
      <c r="BE57" s="12">
        <f t="shared" si="7"/>
        <v>77.900000000000006</v>
      </c>
    </row>
    <row r="58" spans="1:57" ht="15.75" customHeight="1" x14ac:dyDescent="0.25">
      <c r="A58" s="1" t="s">
        <v>156</v>
      </c>
      <c r="B58" s="3" t="s">
        <v>104</v>
      </c>
      <c r="C58" s="4" t="s">
        <v>157</v>
      </c>
      <c r="D58" s="4">
        <v>34</v>
      </c>
      <c r="E58" s="4">
        <v>740</v>
      </c>
      <c r="F58" s="4">
        <v>34</v>
      </c>
      <c r="G58" s="4">
        <v>740</v>
      </c>
      <c r="H58" s="4">
        <v>0.48099999999999998</v>
      </c>
      <c r="I58" s="4">
        <v>4.8</v>
      </c>
      <c r="J58" s="4"/>
      <c r="K58" s="4">
        <v>1</v>
      </c>
      <c r="L58" s="4">
        <v>0.49299999999999999</v>
      </c>
      <c r="M58" s="4">
        <v>0.37</v>
      </c>
      <c r="N58" s="4">
        <v>0.107</v>
      </c>
      <c r="O58" s="4">
        <v>0.03</v>
      </c>
      <c r="P58" s="4">
        <v>0</v>
      </c>
      <c r="Q58" s="4"/>
      <c r="R58" s="4">
        <v>0.48099999999999998</v>
      </c>
      <c r="S58" s="4">
        <v>0.60899999999999999</v>
      </c>
      <c r="T58" s="4">
        <v>0.41</v>
      </c>
      <c r="U58" s="4">
        <v>0.24099999999999999</v>
      </c>
      <c r="V58" s="4">
        <v>0.125</v>
      </c>
      <c r="W58" s="4">
        <v>0</v>
      </c>
      <c r="X58" s="4"/>
      <c r="Y58" s="4">
        <v>0.64600000000000002</v>
      </c>
      <c r="Z58" s="4">
        <v>0</v>
      </c>
      <c r="AA58" s="4"/>
      <c r="AB58" s="4">
        <v>0</v>
      </c>
      <c r="AC58" s="4">
        <v>0</v>
      </c>
      <c r="AD58" s="10">
        <f t="shared" si="1"/>
        <v>0.64600000000000002</v>
      </c>
      <c r="AE58" s="9"/>
      <c r="AF58" s="9"/>
      <c r="AG58" s="12">
        <f t="shared" si="2"/>
        <v>65.600000000000009</v>
      </c>
      <c r="AH58" s="12">
        <f t="shared" si="2"/>
        <v>57.999999999999993</v>
      </c>
      <c r="AI58" s="12">
        <f t="shared" si="2"/>
        <v>83.2</v>
      </c>
      <c r="AJ58" s="12">
        <f t="shared" si="2"/>
        <v>6.8000000000000007</v>
      </c>
      <c r="AK58" s="12"/>
      <c r="AL58" s="12">
        <f t="shared" si="8"/>
        <v>83.2</v>
      </c>
      <c r="AM58" s="12">
        <f t="shared" si="8"/>
        <v>93.100000000000009</v>
      </c>
      <c r="AN58" s="12">
        <f t="shared" si="8"/>
        <v>94.6</v>
      </c>
      <c r="AO58" s="12">
        <f t="shared" si="8"/>
        <v>42.699999999999996</v>
      </c>
      <c r="AP58" s="12">
        <f t="shared" si="9"/>
        <v>7.6</v>
      </c>
      <c r="AQ58" s="12">
        <f t="shared" si="9"/>
        <v>0</v>
      </c>
      <c r="AR58" s="12"/>
      <c r="AS58" s="12">
        <f t="shared" si="10"/>
        <v>78.600000000000009</v>
      </c>
      <c r="AT58" s="12">
        <f t="shared" si="10"/>
        <v>51.9</v>
      </c>
      <c r="AU58" s="12">
        <f t="shared" si="10"/>
        <v>73.2</v>
      </c>
      <c r="AV58" s="12">
        <f t="shared" si="10"/>
        <v>24.4</v>
      </c>
      <c r="AW58" s="12">
        <f t="shared" si="11"/>
        <v>6.1</v>
      </c>
      <c r="AX58" s="12">
        <f t="shared" si="11"/>
        <v>0</v>
      </c>
      <c r="AY58" s="12"/>
      <c r="AZ58" s="12">
        <f t="shared" si="3"/>
        <v>31.299999999999997</v>
      </c>
      <c r="BA58" s="12">
        <f t="shared" si="4"/>
        <v>100</v>
      </c>
      <c r="BB58" s="12"/>
      <c r="BC58" s="12">
        <f t="shared" si="5"/>
        <v>0</v>
      </c>
      <c r="BD58" s="12">
        <f t="shared" si="6"/>
        <v>0</v>
      </c>
      <c r="BE58" s="12">
        <f t="shared" si="7"/>
        <v>46.599999999999994</v>
      </c>
    </row>
    <row r="59" spans="1:57" ht="15.75" customHeight="1" x14ac:dyDescent="0.25">
      <c r="A59" s="1" t="s">
        <v>158</v>
      </c>
      <c r="B59" s="3" t="s">
        <v>97</v>
      </c>
      <c r="C59" s="4" t="s">
        <v>8</v>
      </c>
      <c r="D59" s="4">
        <v>33</v>
      </c>
      <c r="E59" s="4">
        <v>740</v>
      </c>
      <c r="F59" s="4">
        <v>33</v>
      </c>
      <c r="G59" s="4">
        <v>740</v>
      </c>
      <c r="H59" s="4">
        <v>0.307</v>
      </c>
      <c r="I59" s="4">
        <v>20.3</v>
      </c>
      <c r="J59" s="4"/>
      <c r="K59" s="4">
        <v>0.41599999999999998</v>
      </c>
      <c r="L59" s="4">
        <v>0.03</v>
      </c>
      <c r="M59" s="4">
        <v>7.4999999999999997E-2</v>
      </c>
      <c r="N59" s="4">
        <v>4.1000000000000002E-2</v>
      </c>
      <c r="O59" s="4">
        <v>0.27</v>
      </c>
      <c r="P59" s="4">
        <v>0.58399999999999996</v>
      </c>
      <c r="Q59" s="4"/>
      <c r="R59" s="4">
        <v>0.28799999999999998</v>
      </c>
      <c r="S59" s="4">
        <v>0.125</v>
      </c>
      <c r="T59" s="4">
        <v>0.25</v>
      </c>
      <c r="U59" s="4">
        <v>0.182</v>
      </c>
      <c r="V59" s="4">
        <v>0.33300000000000002</v>
      </c>
      <c r="W59" s="4">
        <v>0.32100000000000001</v>
      </c>
      <c r="X59" s="4"/>
      <c r="Y59" s="4">
        <v>0.65600000000000003</v>
      </c>
      <c r="Z59" s="4">
        <v>0.96</v>
      </c>
      <c r="AA59" s="4"/>
      <c r="AB59" s="4">
        <v>0.109</v>
      </c>
      <c r="AC59" s="4">
        <v>0.47099999999999997</v>
      </c>
      <c r="AD59" s="10">
        <f t="shared" si="1"/>
        <v>0.83353599999999983</v>
      </c>
      <c r="AE59" s="9"/>
      <c r="AF59" s="9"/>
      <c r="AG59" s="12">
        <f t="shared" si="2"/>
        <v>54.900000000000006</v>
      </c>
      <c r="AH59" s="12">
        <f t="shared" si="2"/>
        <v>57.999999999999993</v>
      </c>
      <c r="AI59" s="12">
        <f t="shared" si="2"/>
        <v>5.3</v>
      </c>
      <c r="AJ59" s="12">
        <f t="shared" si="2"/>
        <v>98.4</v>
      </c>
      <c r="AK59" s="12"/>
      <c r="AL59" s="12">
        <f t="shared" si="8"/>
        <v>3.8</v>
      </c>
      <c r="AM59" s="12">
        <f t="shared" si="8"/>
        <v>0.70000000000000007</v>
      </c>
      <c r="AN59" s="12">
        <f t="shared" si="8"/>
        <v>6.8000000000000007</v>
      </c>
      <c r="AO59" s="12">
        <f t="shared" si="8"/>
        <v>8.3000000000000007</v>
      </c>
      <c r="AP59" s="12">
        <f t="shared" si="9"/>
        <v>77.8</v>
      </c>
      <c r="AQ59" s="12">
        <f t="shared" si="9"/>
        <v>96.1</v>
      </c>
      <c r="AR59" s="12"/>
      <c r="AS59" s="12">
        <f t="shared" si="10"/>
        <v>5.3</v>
      </c>
      <c r="AT59" s="12">
        <f t="shared" si="10"/>
        <v>2.1999999999999997</v>
      </c>
      <c r="AU59" s="12">
        <f t="shared" si="10"/>
        <v>16.7</v>
      </c>
      <c r="AV59" s="12">
        <f t="shared" si="10"/>
        <v>16.7</v>
      </c>
      <c r="AW59" s="12">
        <f t="shared" si="11"/>
        <v>44.2</v>
      </c>
      <c r="AX59" s="12">
        <f t="shared" si="11"/>
        <v>66.400000000000006</v>
      </c>
      <c r="AY59" s="12"/>
      <c r="AZ59" s="12">
        <f t="shared" si="3"/>
        <v>26.799999999999997</v>
      </c>
      <c r="BA59" s="12">
        <f t="shared" si="4"/>
        <v>26</v>
      </c>
      <c r="BB59" s="12"/>
      <c r="BC59" s="12">
        <f t="shared" si="5"/>
        <v>52.6</v>
      </c>
      <c r="BD59" s="12">
        <f t="shared" si="6"/>
        <v>86.2</v>
      </c>
      <c r="BE59" s="12">
        <f t="shared" si="7"/>
        <v>6.2000000000000028</v>
      </c>
    </row>
    <row r="60" spans="1:57" ht="15.75" customHeight="1" x14ac:dyDescent="0.25">
      <c r="A60" s="1" t="s">
        <v>159</v>
      </c>
      <c r="B60" s="4" t="s">
        <v>141</v>
      </c>
      <c r="C60" s="4" t="s">
        <v>92</v>
      </c>
      <c r="D60" s="4">
        <v>32</v>
      </c>
      <c r="E60" s="4">
        <v>715</v>
      </c>
      <c r="F60" s="4">
        <v>32</v>
      </c>
      <c r="G60" s="4">
        <v>715</v>
      </c>
      <c r="H60" s="4">
        <v>0.40600000000000003</v>
      </c>
      <c r="I60" s="4">
        <v>19</v>
      </c>
      <c r="J60" s="4"/>
      <c r="K60" s="4">
        <v>0.41699999999999998</v>
      </c>
      <c r="L60" s="4">
        <v>0.05</v>
      </c>
      <c r="M60" s="4">
        <v>0.1</v>
      </c>
      <c r="N60" s="4">
        <v>0.128</v>
      </c>
      <c r="O60" s="4">
        <v>0.13900000000000001</v>
      </c>
      <c r="P60" s="4">
        <v>0.58299999999999996</v>
      </c>
      <c r="Q60" s="4"/>
      <c r="R60" s="4">
        <v>0.46700000000000003</v>
      </c>
      <c r="S60" s="4">
        <v>0.66700000000000004</v>
      </c>
      <c r="T60" s="4">
        <v>0.44400000000000001</v>
      </c>
      <c r="U60" s="4">
        <v>0.34799999999999998</v>
      </c>
      <c r="V60" s="4">
        <v>0.52</v>
      </c>
      <c r="W60" s="4">
        <v>0.36199999999999999</v>
      </c>
      <c r="X60" s="4"/>
      <c r="Y60" s="4">
        <v>0.48599999999999999</v>
      </c>
      <c r="Z60" s="4">
        <v>0.94699999999999995</v>
      </c>
      <c r="AA60" s="4"/>
      <c r="AB60" s="4">
        <v>0.19</v>
      </c>
      <c r="AC60" s="4">
        <v>0.45</v>
      </c>
      <c r="AD60" s="10">
        <f t="shared" si="1"/>
        <v>0.75476299999999996</v>
      </c>
      <c r="AE60" s="9"/>
      <c r="AF60" s="9"/>
      <c r="AG60" s="12">
        <f t="shared" si="2"/>
        <v>45</v>
      </c>
      <c r="AH60" s="12">
        <f t="shared" si="2"/>
        <v>57.199999999999996</v>
      </c>
      <c r="AI60" s="12">
        <f t="shared" si="2"/>
        <v>47.3</v>
      </c>
      <c r="AJ60" s="12">
        <f t="shared" si="2"/>
        <v>96.1</v>
      </c>
      <c r="AK60" s="12"/>
      <c r="AL60" s="12">
        <f t="shared" si="8"/>
        <v>4.5</v>
      </c>
      <c r="AM60" s="12">
        <f t="shared" si="8"/>
        <v>3</v>
      </c>
      <c r="AN60" s="12">
        <f t="shared" si="8"/>
        <v>15.2</v>
      </c>
      <c r="AO60" s="12">
        <f t="shared" si="8"/>
        <v>53.400000000000006</v>
      </c>
      <c r="AP60" s="12">
        <f t="shared" si="9"/>
        <v>35.099999999999994</v>
      </c>
      <c r="AQ60" s="12">
        <f t="shared" si="9"/>
        <v>95.399999999999991</v>
      </c>
      <c r="AR60" s="12"/>
      <c r="AS60" s="12">
        <f t="shared" si="10"/>
        <v>67.900000000000006</v>
      </c>
      <c r="AT60" s="12">
        <f t="shared" si="10"/>
        <v>64.8</v>
      </c>
      <c r="AU60" s="12">
        <f t="shared" si="10"/>
        <v>81.599999999999994</v>
      </c>
      <c r="AV60" s="12">
        <f t="shared" si="10"/>
        <v>55.7</v>
      </c>
      <c r="AW60" s="12">
        <f t="shared" si="11"/>
        <v>95.399999999999991</v>
      </c>
      <c r="AX60" s="12">
        <f t="shared" si="11"/>
        <v>79.3</v>
      </c>
      <c r="AY60" s="12"/>
      <c r="AZ60" s="12">
        <f t="shared" si="3"/>
        <v>58.1</v>
      </c>
      <c r="BA60" s="12">
        <f t="shared" si="4"/>
        <v>29.100000000000009</v>
      </c>
      <c r="BB60" s="12"/>
      <c r="BC60" s="12">
        <f t="shared" si="5"/>
        <v>71.7</v>
      </c>
      <c r="BD60" s="12">
        <f t="shared" si="6"/>
        <v>83.2</v>
      </c>
      <c r="BE60" s="12">
        <f t="shared" si="7"/>
        <v>17.600000000000009</v>
      </c>
    </row>
    <row r="61" spans="1:57" ht="15.75" customHeight="1" x14ac:dyDescent="0.25">
      <c r="A61" s="1" t="s">
        <v>160</v>
      </c>
      <c r="B61" s="3" t="s">
        <v>108</v>
      </c>
      <c r="C61" s="4" t="s">
        <v>87</v>
      </c>
      <c r="D61" s="4">
        <v>32</v>
      </c>
      <c r="E61" s="4">
        <v>703</v>
      </c>
      <c r="F61" s="4">
        <v>32</v>
      </c>
      <c r="G61" s="4">
        <v>703</v>
      </c>
      <c r="H61" s="4">
        <v>0.45900000000000002</v>
      </c>
      <c r="I61" s="4">
        <v>12.1</v>
      </c>
      <c r="J61" s="4"/>
      <c r="K61" s="4">
        <v>0.95699999999999996</v>
      </c>
      <c r="L61" s="4">
        <v>0.24299999999999999</v>
      </c>
      <c r="M61" s="4">
        <v>0.124</v>
      </c>
      <c r="N61" s="4">
        <v>0.21099999999999999</v>
      </c>
      <c r="O61" s="4">
        <v>0.378</v>
      </c>
      <c r="P61" s="4">
        <v>4.2999999999999997E-2</v>
      </c>
      <c r="Q61" s="4"/>
      <c r="R61" s="4">
        <v>0.47499999999999998</v>
      </c>
      <c r="S61" s="4">
        <v>0.68899999999999995</v>
      </c>
      <c r="T61" s="4">
        <v>0.217</v>
      </c>
      <c r="U61" s="4">
        <v>0.48699999999999999</v>
      </c>
      <c r="V61" s="4">
        <v>0.41399999999999998</v>
      </c>
      <c r="W61" s="4">
        <v>0.125</v>
      </c>
      <c r="X61" s="4"/>
      <c r="Y61" s="4">
        <v>0.56000000000000005</v>
      </c>
      <c r="Z61" s="4">
        <v>1</v>
      </c>
      <c r="AA61" s="4"/>
      <c r="AB61" s="4">
        <v>0.25</v>
      </c>
      <c r="AC61" s="4">
        <v>0</v>
      </c>
      <c r="AD61" s="10">
        <f t="shared" si="1"/>
        <v>0.5789200000000001</v>
      </c>
      <c r="AE61" s="9"/>
      <c r="AF61" s="9"/>
      <c r="AG61" s="12">
        <f t="shared" si="2"/>
        <v>45</v>
      </c>
      <c r="AH61" s="12">
        <f t="shared" si="2"/>
        <v>56.399999999999991</v>
      </c>
      <c r="AI61" s="12">
        <f t="shared" si="2"/>
        <v>77.8</v>
      </c>
      <c r="AJ61" s="12">
        <f t="shared" si="2"/>
        <v>46.5</v>
      </c>
      <c r="AK61" s="12"/>
      <c r="AL61" s="12">
        <f t="shared" si="8"/>
        <v>67.900000000000006</v>
      </c>
      <c r="AM61" s="12">
        <f t="shared" si="8"/>
        <v>44.2</v>
      </c>
      <c r="AN61" s="12">
        <f t="shared" si="8"/>
        <v>25.1</v>
      </c>
      <c r="AO61" s="12">
        <f t="shared" si="8"/>
        <v>87.7</v>
      </c>
      <c r="AP61" s="12">
        <f t="shared" si="9"/>
        <v>96.1</v>
      </c>
      <c r="AQ61" s="12">
        <f t="shared" si="9"/>
        <v>32</v>
      </c>
      <c r="AR61" s="12"/>
      <c r="AS61" s="12">
        <f t="shared" si="10"/>
        <v>74</v>
      </c>
      <c r="AT61" s="12">
        <f t="shared" si="10"/>
        <v>72.5</v>
      </c>
      <c r="AU61" s="12">
        <f t="shared" si="10"/>
        <v>11.4</v>
      </c>
      <c r="AV61" s="12">
        <f t="shared" si="10"/>
        <v>90</v>
      </c>
      <c r="AW61" s="12">
        <f t="shared" si="11"/>
        <v>72.5</v>
      </c>
      <c r="AX61" s="12">
        <f t="shared" si="11"/>
        <v>31.2</v>
      </c>
      <c r="AY61" s="12"/>
      <c r="AZ61" s="12">
        <f t="shared" si="3"/>
        <v>49.7</v>
      </c>
      <c r="BA61" s="12">
        <f t="shared" si="4"/>
        <v>23</v>
      </c>
      <c r="BB61" s="12"/>
      <c r="BC61" s="12">
        <f t="shared" si="5"/>
        <v>80.900000000000006</v>
      </c>
      <c r="BD61" s="12">
        <f t="shared" si="6"/>
        <v>0</v>
      </c>
      <c r="BE61" s="12">
        <f t="shared" si="7"/>
        <v>62.6</v>
      </c>
    </row>
    <row r="62" spans="1:57" ht="15.75" customHeight="1" x14ac:dyDescent="0.25">
      <c r="A62" s="1" t="s">
        <v>161</v>
      </c>
      <c r="B62" s="3" t="s">
        <v>91</v>
      </c>
      <c r="C62" s="4" t="s">
        <v>110</v>
      </c>
      <c r="D62" s="4">
        <v>32</v>
      </c>
      <c r="E62" s="4">
        <v>700</v>
      </c>
      <c r="F62" s="4">
        <v>32</v>
      </c>
      <c r="G62" s="4">
        <v>700</v>
      </c>
      <c r="H62" s="4">
        <v>0.48799999999999999</v>
      </c>
      <c r="I62" s="4">
        <v>11.9</v>
      </c>
      <c r="J62" s="4"/>
      <c r="K62" s="4">
        <v>0.91400000000000003</v>
      </c>
      <c r="L62" s="4">
        <v>0.309</v>
      </c>
      <c r="M62" s="4">
        <v>0.08</v>
      </c>
      <c r="N62" s="4">
        <v>0.185</v>
      </c>
      <c r="O62" s="4">
        <v>0.34</v>
      </c>
      <c r="P62" s="4">
        <v>8.5999999999999993E-2</v>
      </c>
      <c r="Q62" s="4"/>
      <c r="R62" s="4">
        <v>0.49299999999999999</v>
      </c>
      <c r="S62" s="4">
        <v>0.74</v>
      </c>
      <c r="T62" s="4">
        <v>0.308</v>
      </c>
      <c r="U62" s="4">
        <v>0.4</v>
      </c>
      <c r="V62" s="4">
        <v>0.36399999999999999</v>
      </c>
      <c r="W62" s="4">
        <v>0.42899999999999999</v>
      </c>
      <c r="X62" s="4"/>
      <c r="Y62" s="4">
        <v>0.80800000000000005</v>
      </c>
      <c r="Z62" s="4">
        <v>1</v>
      </c>
      <c r="AA62" s="4"/>
      <c r="AB62" s="4">
        <v>0</v>
      </c>
      <c r="AC62" s="4">
        <v>0</v>
      </c>
      <c r="AD62" s="10">
        <f t="shared" si="1"/>
        <v>0.82451200000000002</v>
      </c>
      <c r="AE62" s="9"/>
      <c r="AF62" s="9"/>
      <c r="AG62" s="12">
        <f t="shared" si="2"/>
        <v>45</v>
      </c>
      <c r="AH62" s="12">
        <f t="shared" si="2"/>
        <v>55.7</v>
      </c>
      <c r="AI62" s="12">
        <f t="shared" si="2"/>
        <v>84.7</v>
      </c>
      <c r="AJ62" s="12">
        <f t="shared" si="2"/>
        <v>44.2</v>
      </c>
      <c r="AK62" s="12"/>
      <c r="AL62" s="12">
        <f t="shared" si="8"/>
        <v>63.3</v>
      </c>
      <c r="AM62" s="12">
        <f t="shared" si="8"/>
        <v>67.900000000000006</v>
      </c>
      <c r="AN62" s="12">
        <f t="shared" si="8"/>
        <v>9.9</v>
      </c>
      <c r="AO62" s="12">
        <f t="shared" si="8"/>
        <v>77.8</v>
      </c>
      <c r="AP62" s="12">
        <f t="shared" si="9"/>
        <v>93.100000000000009</v>
      </c>
      <c r="AQ62" s="12">
        <f t="shared" si="9"/>
        <v>36.6</v>
      </c>
      <c r="AR62" s="12"/>
      <c r="AS62" s="12">
        <f t="shared" si="10"/>
        <v>80.900000000000006</v>
      </c>
      <c r="AT62" s="12">
        <f t="shared" si="10"/>
        <v>87.7</v>
      </c>
      <c r="AU62" s="12">
        <f t="shared" si="10"/>
        <v>30.5</v>
      </c>
      <c r="AV62" s="12">
        <f t="shared" si="10"/>
        <v>74</v>
      </c>
      <c r="AW62" s="12">
        <f t="shared" si="11"/>
        <v>58.699999999999996</v>
      </c>
      <c r="AX62" s="12">
        <f t="shared" si="11"/>
        <v>94.6</v>
      </c>
      <c r="AY62" s="12"/>
      <c r="AZ62" s="12">
        <f t="shared" si="3"/>
        <v>5.4000000000000057</v>
      </c>
      <c r="BA62" s="12">
        <f t="shared" si="4"/>
        <v>23</v>
      </c>
      <c r="BB62" s="12"/>
      <c r="BC62" s="12">
        <f t="shared" si="5"/>
        <v>0</v>
      </c>
      <c r="BD62" s="12">
        <f t="shared" si="6"/>
        <v>0</v>
      </c>
      <c r="BE62" s="12">
        <f t="shared" si="7"/>
        <v>8.3999999999999915</v>
      </c>
    </row>
    <row r="63" spans="1:57" ht="15.75" customHeight="1" x14ac:dyDescent="0.25">
      <c r="A63" s="1" t="s">
        <v>162</v>
      </c>
      <c r="B63" s="3" t="s">
        <v>86</v>
      </c>
      <c r="C63" s="4" t="s">
        <v>115</v>
      </c>
      <c r="D63" s="4">
        <v>27</v>
      </c>
      <c r="E63" s="4">
        <v>699</v>
      </c>
      <c r="F63" s="4">
        <v>27</v>
      </c>
      <c r="G63" s="4">
        <v>699</v>
      </c>
      <c r="H63" s="4">
        <v>0.55600000000000005</v>
      </c>
      <c r="I63" s="4">
        <v>5.9</v>
      </c>
      <c r="J63" s="4"/>
      <c r="K63" s="4">
        <v>1</v>
      </c>
      <c r="L63" s="4">
        <v>0.308</v>
      </c>
      <c r="M63" s="4">
        <v>0.56000000000000005</v>
      </c>
      <c r="N63" s="4">
        <v>0.104</v>
      </c>
      <c r="O63" s="4">
        <v>2.8000000000000001E-2</v>
      </c>
      <c r="P63" s="4">
        <v>0</v>
      </c>
      <c r="Q63" s="4"/>
      <c r="R63" s="4">
        <v>0.55600000000000005</v>
      </c>
      <c r="S63" s="4">
        <v>0.753</v>
      </c>
      <c r="T63" s="4">
        <v>0.5</v>
      </c>
      <c r="U63" s="4">
        <v>0.38500000000000001</v>
      </c>
      <c r="V63" s="4">
        <v>0.14299999999999999</v>
      </c>
      <c r="W63" s="4">
        <v>0</v>
      </c>
      <c r="X63" s="4"/>
      <c r="Y63" s="4">
        <v>0.71199999999999997</v>
      </c>
      <c r="Z63" s="4">
        <v>0</v>
      </c>
      <c r="AA63" s="4"/>
      <c r="AB63" s="4">
        <v>0</v>
      </c>
      <c r="AC63" s="4">
        <v>0</v>
      </c>
      <c r="AD63" s="10">
        <f t="shared" si="1"/>
        <v>0.71199999999999997</v>
      </c>
      <c r="AE63" s="9"/>
      <c r="AF63" s="9"/>
      <c r="AG63" s="12">
        <f t="shared" si="2"/>
        <v>24.4</v>
      </c>
      <c r="AH63" s="12">
        <f t="shared" si="2"/>
        <v>54.900000000000006</v>
      </c>
      <c r="AI63" s="12">
        <f t="shared" si="2"/>
        <v>96.1</v>
      </c>
      <c r="AJ63" s="12">
        <f t="shared" si="2"/>
        <v>12.2</v>
      </c>
      <c r="AK63" s="12"/>
      <c r="AL63" s="12">
        <f t="shared" si="8"/>
        <v>83.2</v>
      </c>
      <c r="AM63" s="12">
        <f t="shared" si="8"/>
        <v>66.400000000000006</v>
      </c>
      <c r="AN63" s="12">
        <f t="shared" si="8"/>
        <v>100</v>
      </c>
      <c r="AO63" s="12">
        <f t="shared" si="8"/>
        <v>41.9</v>
      </c>
      <c r="AP63" s="12">
        <f t="shared" si="9"/>
        <v>6.8000000000000007</v>
      </c>
      <c r="AQ63" s="12">
        <f t="shared" si="9"/>
        <v>0</v>
      </c>
      <c r="AR63" s="12"/>
      <c r="AS63" s="12">
        <f t="shared" si="10"/>
        <v>93.8</v>
      </c>
      <c r="AT63" s="12">
        <f t="shared" si="10"/>
        <v>90.8</v>
      </c>
      <c r="AU63" s="12">
        <f t="shared" si="10"/>
        <v>92.300000000000011</v>
      </c>
      <c r="AV63" s="12">
        <f t="shared" si="10"/>
        <v>70.199999999999989</v>
      </c>
      <c r="AW63" s="12">
        <f t="shared" si="11"/>
        <v>8.3000000000000007</v>
      </c>
      <c r="AX63" s="12">
        <f t="shared" si="11"/>
        <v>0</v>
      </c>
      <c r="AY63" s="12"/>
      <c r="AZ63" s="12">
        <f t="shared" si="3"/>
        <v>16.100000000000009</v>
      </c>
      <c r="BA63" s="12">
        <f t="shared" si="4"/>
        <v>100</v>
      </c>
      <c r="BB63" s="12"/>
      <c r="BC63" s="12">
        <f t="shared" si="5"/>
        <v>0</v>
      </c>
      <c r="BD63" s="12">
        <f t="shared" si="6"/>
        <v>0</v>
      </c>
      <c r="BE63" s="12">
        <f t="shared" si="7"/>
        <v>24.5</v>
      </c>
    </row>
    <row r="64" spans="1:57" ht="15.75" customHeight="1" x14ac:dyDescent="0.25">
      <c r="A64" s="1" t="s">
        <v>163</v>
      </c>
      <c r="B64" s="3" t="s">
        <v>141</v>
      </c>
      <c r="C64" s="4" t="s">
        <v>8</v>
      </c>
      <c r="D64" s="4">
        <v>31</v>
      </c>
      <c r="E64" s="4">
        <v>680</v>
      </c>
      <c r="F64" s="4">
        <v>31</v>
      </c>
      <c r="G64" s="4">
        <v>680</v>
      </c>
      <c r="H64" s="4">
        <v>0.42299999999999999</v>
      </c>
      <c r="I64" s="4">
        <v>10.6</v>
      </c>
      <c r="J64" s="4"/>
      <c r="K64" s="4">
        <v>0.76600000000000001</v>
      </c>
      <c r="L64" s="4">
        <v>0.24099999999999999</v>
      </c>
      <c r="M64" s="4">
        <v>0.35799999999999998</v>
      </c>
      <c r="N64" s="4">
        <v>8.7999999999999995E-2</v>
      </c>
      <c r="O64" s="4">
        <v>0.08</v>
      </c>
      <c r="P64" s="4">
        <v>0.23400000000000001</v>
      </c>
      <c r="Q64" s="4"/>
      <c r="R64" s="4">
        <v>0.47599999999999998</v>
      </c>
      <c r="S64" s="4">
        <v>0.72699999999999998</v>
      </c>
      <c r="T64" s="4">
        <v>0.36699999999999999</v>
      </c>
      <c r="U64" s="4">
        <v>0.5</v>
      </c>
      <c r="V64" s="4">
        <v>0.182</v>
      </c>
      <c r="W64" s="4">
        <v>0.25</v>
      </c>
      <c r="X64" s="4"/>
      <c r="Y64" s="4">
        <v>0.18</v>
      </c>
      <c r="Z64" s="4">
        <v>1</v>
      </c>
      <c r="AA64" s="4"/>
      <c r="AB64" s="4">
        <v>0.34399999999999997</v>
      </c>
      <c r="AC64" s="4">
        <v>0.27300000000000002</v>
      </c>
      <c r="AD64" s="10">
        <f t="shared" si="1"/>
        <v>0.37187999999999999</v>
      </c>
      <c r="AE64" s="9"/>
      <c r="AF64" s="9"/>
      <c r="AG64" s="12">
        <f t="shared" si="2"/>
        <v>40.400000000000006</v>
      </c>
      <c r="AH64" s="12">
        <f t="shared" si="2"/>
        <v>53.400000000000006</v>
      </c>
      <c r="AI64" s="12">
        <f t="shared" si="2"/>
        <v>56.399999999999991</v>
      </c>
      <c r="AJ64" s="12">
        <f t="shared" si="2"/>
        <v>32.800000000000004</v>
      </c>
      <c r="AK64" s="12"/>
      <c r="AL64" s="12">
        <f t="shared" si="8"/>
        <v>44.2</v>
      </c>
      <c r="AM64" s="12">
        <f t="shared" si="8"/>
        <v>42.699999999999996</v>
      </c>
      <c r="AN64" s="12">
        <f t="shared" si="8"/>
        <v>92.300000000000011</v>
      </c>
      <c r="AO64" s="12">
        <f t="shared" si="8"/>
        <v>35.799999999999997</v>
      </c>
      <c r="AP64" s="12">
        <f t="shared" si="9"/>
        <v>20.599999999999998</v>
      </c>
      <c r="AQ64" s="12">
        <f t="shared" si="9"/>
        <v>55.7</v>
      </c>
      <c r="AR64" s="12"/>
      <c r="AS64" s="12">
        <f t="shared" si="10"/>
        <v>75.5</v>
      </c>
      <c r="AT64" s="12">
        <f t="shared" si="10"/>
        <v>84.7</v>
      </c>
      <c r="AU64" s="12">
        <f t="shared" si="10"/>
        <v>59.5</v>
      </c>
      <c r="AV64" s="12">
        <f t="shared" si="10"/>
        <v>90.8</v>
      </c>
      <c r="AW64" s="12">
        <f t="shared" si="11"/>
        <v>12.9</v>
      </c>
      <c r="AX64" s="12">
        <f t="shared" si="11"/>
        <v>44.2</v>
      </c>
      <c r="AY64" s="12"/>
      <c r="AZ64" s="12">
        <f t="shared" si="3"/>
        <v>94.7</v>
      </c>
      <c r="BA64" s="12">
        <f t="shared" si="4"/>
        <v>23</v>
      </c>
      <c r="BB64" s="12"/>
      <c r="BC64" s="12">
        <f t="shared" si="5"/>
        <v>90.8</v>
      </c>
      <c r="BD64" s="12">
        <f t="shared" si="6"/>
        <v>57.199999999999996</v>
      </c>
      <c r="BE64" s="12">
        <f t="shared" si="7"/>
        <v>88.6</v>
      </c>
    </row>
    <row r="65" spans="1:57" ht="15.75" customHeight="1" x14ac:dyDescent="0.25">
      <c r="A65" s="1" t="s">
        <v>164</v>
      </c>
      <c r="B65" s="3" t="s">
        <v>89</v>
      </c>
      <c r="C65" s="4" t="s">
        <v>115</v>
      </c>
      <c r="D65" s="4">
        <v>34</v>
      </c>
      <c r="E65" s="4">
        <v>680</v>
      </c>
      <c r="F65" s="4">
        <v>34</v>
      </c>
      <c r="G65" s="4">
        <v>680</v>
      </c>
      <c r="H65" s="4">
        <v>0.42499999999999999</v>
      </c>
      <c r="I65" s="4">
        <v>9.4</v>
      </c>
      <c r="J65" s="4"/>
      <c r="K65" s="4">
        <v>0.996</v>
      </c>
      <c r="L65" s="4">
        <v>0.23599999999999999</v>
      </c>
      <c r="M65" s="4">
        <v>0.29199999999999998</v>
      </c>
      <c r="N65" s="4">
        <v>0.28299999999999997</v>
      </c>
      <c r="O65" s="4">
        <v>0.185</v>
      </c>
      <c r="P65" s="4">
        <v>4.0000000000000001E-3</v>
      </c>
      <c r="Q65" s="4"/>
      <c r="R65" s="4">
        <v>0.42699999999999999</v>
      </c>
      <c r="S65" s="4">
        <v>0.63600000000000001</v>
      </c>
      <c r="T65" s="4">
        <v>0.38200000000000001</v>
      </c>
      <c r="U65" s="4">
        <v>0.34799999999999998</v>
      </c>
      <c r="V65" s="4">
        <v>0.34899999999999998</v>
      </c>
      <c r="W65" s="4">
        <v>0</v>
      </c>
      <c r="X65" s="4"/>
      <c r="Y65" s="4">
        <v>0.747</v>
      </c>
      <c r="Z65" s="4">
        <v>0</v>
      </c>
      <c r="AA65" s="4"/>
      <c r="AB65" s="4">
        <v>0</v>
      </c>
      <c r="AC65" s="4">
        <v>0</v>
      </c>
      <c r="AD65" s="10">
        <f t="shared" si="1"/>
        <v>0.74401200000000001</v>
      </c>
      <c r="AE65" s="9"/>
      <c r="AF65" s="9"/>
      <c r="AG65" s="12">
        <f t="shared" si="2"/>
        <v>65.600000000000009</v>
      </c>
      <c r="AH65" s="12">
        <f t="shared" si="2"/>
        <v>53.400000000000006</v>
      </c>
      <c r="AI65" s="12">
        <f t="shared" si="2"/>
        <v>58.699999999999996</v>
      </c>
      <c r="AJ65" s="12">
        <f t="shared" si="2"/>
        <v>26.700000000000003</v>
      </c>
      <c r="AK65" s="12"/>
      <c r="AL65" s="12">
        <f t="shared" si="8"/>
        <v>81.599999999999994</v>
      </c>
      <c r="AM65" s="12">
        <f t="shared" si="8"/>
        <v>39.6</v>
      </c>
      <c r="AN65" s="12">
        <f t="shared" si="8"/>
        <v>88.5</v>
      </c>
      <c r="AO65" s="12">
        <f t="shared" si="8"/>
        <v>95.399999999999991</v>
      </c>
      <c r="AP65" s="12">
        <f t="shared" si="9"/>
        <v>52.6</v>
      </c>
      <c r="AQ65" s="12">
        <f t="shared" si="9"/>
        <v>18.3</v>
      </c>
      <c r="AR65" s="12"/>
      <c r="AS65" s="12">
        <f t="shared" si="10"/>
        <v>46.5</v>
      </c>
      <c r="AT65" s="12">
        <f t="shared" si="10"/>
        <v>61.8</v>
      </c>
      <c r="AU65" s="12">
        <f t="shared" si="10"/>
        <v>62.5</v>
      </c>
      <c r="AV65" s="12">
        <f t="shared" si="10"/>
        <v>55.7</v>
      </c>
      <c r="AW65" s="12">
        <f t="shared" si="11"/>
        <v>52.6</v>
      </c>
      <c r="AX65" s="12">
        <f t="shared" si="11"/>
        <v>0</v>
      </c>
      <c r="AY65" s="12"/>
      <c r="AZ65" s="12">
        <f t="shared" si="3"/>
        <v>13</v>
      </c>
      <c r="BA65" s="12">
        <f t="shared" si="4"/>
        <v>100</v>
      </c>
      <c r="BB65" s="12"/>
      <c r="BC65" s="12">
        <f t="shared" si="5"/>
        <v>0</v>
      </c>
      <c r="BD65" s="12">
        <f t="shared" si="6"/>
        <v>0</v>
      </c>
      <c r="BE65" s="12">
        <f t="shared" si="7"/>
        <v>19.099999999999994</v>
      </c>
    </row>
    <row r="66" spans="1:57" ht="15.75" customHeight="1" x14ac:dyDescent="0.25">
      <c r="A66" s="1" t="s">
        <v>165</v>
      </c>
      <c r="B66" s="3" t="s">
        <v>122</v>
      </c>
      <c r="C66" s="4" t="s">
        <v>8</v>
      </c>
      <c r="D66" s="4">
        <v>21</v>
      </c>
      <c r="E66" s="4">
        <v>672</v>
      </c>
      <c r="F66" s="4">
        <v>21</v>
      </c>
      <c r="G66" s="4">
        <v>672</v>
      </c>
      <c r="H66" s="4">
        <v>0.42399999999999999</v>
      </c>
      <c r="I66" s="4">
        <v>14.5</v>
      </c>
      <c r="J66" s="4"/>
      <c r="K66" s="4">
        <v>0.74099999999999999</v>
      </c>
      <c r="L66" s="4">
        <v>0.11799999999999999</v>
      </c>
      <c r="M66" s="4">
        <v>0.20399999999999999</v>
      </c>
      <c r="N66" s="4">
        <v>0.216</v>
      </c>
      <c r="O66" s="4">
        <v>0.20399999999999999</v>
      </c>
      <c r="P66" s="4">
        <v>0.25900000000000001</v>
      </c>
      <c r="Q66" s="4"/>
      <c r="R66" s="4">
        <v>0.44400000000000001</v>
      </c>
      <c r="S66" s="4">
        <v>0.66700000000000004</v>
      </c>
      <c r="T66" s="4">
        <v>0.26900000000000002</v>
      </c>
      <c r="U66" s="4">
        <v>0.47299999999999998</v>
      </c>
      <c r="V66" s="4">
        <v>0.46200000000000002</v>
      </c>
      <c r="W66" s="4">
        <v>0.36399999999999999</v>
      </c>
      <c r="X66" s="4"/>
      <c r="Y66" s="4">
        <v>0.27400000000000002</v>
      </c>
      <c r="Z66" s="4">
        <v>0.83299999999999996</v>
      </c>
      <c r="AA66" s="4"/>
      <c r="AB66" s="4">
        <v>9.0999999999999998E-2</v>
      </c>
      <c r="AC66" s="4">
        <v>0.33300000000000002</v>
      </c>
      <c r="AD66" s="10">
        <f t="shared" si="1"/>
        <v>0.41878100000000001</v>
      </c>
      <c r="AE66" s="9"/>
      <c r="AF66" s="9"/>
      <c r="AG66" s="12">
        <f t="shared" si="2"/>
        <v>12.9</v>
      </c>
      <c r="AH66" s="12">
        <f t="shared" si="2"/>
        <v>52.6</v>
      </c>
      <c r="AI66" s="12">
        <f t="shared" si="2"/>
        <v>57.199999999999996</v>
      </c>
      <c r="AJ66" s="12">
        <f t="shared" si="2"/>
        <v>72.5</v>
      </c>
      <c r="AK66" s="12"/>
      <c r="AL66" s="12">
        <f t="shared" si="8"/>
        <v>38.9</v>
      </c>
      <c r="AM66" s="12">
        <f t="shared" si="8"/>
        <v>13.700000000000001</v>
      </c>
      <c r="AN66" s="12">
        <f t="shared" si="8"/>
        <v>61.8</v>
      </c>
      <c r="AO66" s="12">
        <f t="shared" si="8"/>
        <v>90</v>
      </c>
      <c r="AP66" s="12">
        <f t="shared" si="9"/>
        <v>55.7</v>
      </c>
      <c r="AQ66" s="12">
        <f t="shared" si="9"/>
        <v>61</v>
      </c>
      <c r="AR66" s="12"/>
      <c r="AS66" s="12">
        <f t="shared" si="10"/>
        <v>51.9</v>
      </c>
      <c r="AT66" s="12">
        <f t="shared" si="10"/>
        <v>64.8</v>
      </c>
      <c r="AU66" s="12">
        <f t="shared" si="10"/>
        <v>22.900000000000002</v>
      </c>
      <c r="AV66" s="12">
        <f t="shared" si="10"/>
        <v>87</v>
      </c>
      <c r="AW66" s="12">
        <f t="shared" si="11"/>
        <v>87</v>
      </c>
      <c r="AX66" s="12">
        <f t="shared" si="11"/>
        <v>80.900000000000006</v>
      </c>
      <c r="AY66" s="12"/>
      <c r="AZ66" s="12">
        <f t="shared" si="3"/>
        <v>84</v>
      </c>
      <c r="BA66" s="12">
        <f t="shared" si="4"/>
        <v>46.599999999999994</v>
      </c>
      <c r="BB66" s="12"/>
      <c r="BC66" s="12">
        <f t="shared" si="5"/>
        <v>47.3</v>
      </c>
      <c r="BD66" s="12">
        <f t="shared" si="6"/>
        <v>64.8</v>
      </c>
      <c r="BE66" s="12">
        <f t="shared" si="7"/>
        <v>81.7</v>
      </c>
    </row>
    <row r="67" spans="1:57" ht="15.75" customHeight="1" x14ac:dyDescent="0.25">
      <c r="A67" s="1" t="s">
        <v>166</v>
      </c>
      <c r="B67" s="3" t="s">
        <v>104</v>
      </c>
      <c r="C67" s="4" t="s">
        <v>115</v>
      </c>
      <c r="D67" s="4">
        <v>34</v>
      </c>
      <c r="E67" s="4">
        <v>663</v>
      </c>
      <c r="F67" s="4">
        <v>34</v>
      </c>
      <c r="G67" s="4">
        <v>663</v>
      </c>
      <c r="H67" s="4">
        <v>0.46</v>
      </c>
      <c r="I67" s="4">
        <v>4.8</v>
      </c>
      <c r="J67" s="4"/>
      <c r="K67" s="4">
        <v>0.995</v>
      </c>
      <c r="L67" s="4">
        <v>0.48799999999999999</v>
      </c>
      <c r="M67" s="4">
        <v>0.39100000000000001</v>
      </c>
      <c r="N67" s="4">
        <v>7.9000000000000001E-2</v>
      </c>
      <c r="O67" s="4">
        <v>3.6999999999999998E-2</v>
      </c>
      <c r="P67" s="4">
        <v>5.0000000000000001E-3</v>
      </c>
      <c r="Q67" s="4"/>
      <c r="R67" s="4">
        <v>0.46300000000000002</v>
      </c>
      <c r="S67" s="4">
        <v>0.61</v>
      </c>
      <c r="T67" s="4">
        <v>0.32100000000000001</v>
      </c>
      <c r="U67" s="4">
        <v>0.35299999999999998</v>
      </c>
      <c r="V67" s="4">
        <v>0.25</v>
      </c>
      <c r="W67" s="4">
        <v>0</v>
      </c>
      <c r="X67" s="4"/>
      <c r="Y67" s="4">
        <v>0.57599999999999996</v>
      </c>
      <c r="Z67" s="4">
        <v>0</v>
      </c>
      <c r="AA67" s="4"/>
      <c r="AB67" s="4">
        <v>0</v>
      </c>
      <c r="AC67" s="4">
        <v>0</v>
      </c>
      <c r="AD67" s="10">
        <f t="shared" si="1"/>
        <v>0.57311999999999996</v>
      </c>
      <c r="AE67" s="9"/>
      <c r="AF67" s="9"/>
      <c r="AG67" s="12">
        <f t="shared" si="2"/>
        <v>65.600000000000009</v>
      </c>
      <c r="AH67" s="12">
        <f t="shared" si="2"/>
        <v>51.9</v>
      </c>
      <c r="AI67" s="12">
        <f t="shared" si="2"/>
        <v>78.600000000000009</v>
      </c>
      <c r="AJ67" s="12">
        <f t="shared" si="2"/>
        <v>6.8000000000000007</v>
      </c>
      <c r="AK67" s="12"/>
      <c r="AL67" s="12">
        <f t="shared" si="8"/>
        <v>80.100000000000009</v>
      </c>
      <c r="AM67" s="12">
        <f t="shared" si="8"/>
        <v>92.300000000000011</v>
      </c>
      <c r="AN67" s="12">
        <f t="shared" si="8"/>
        <v>95.399999999999991</v>
      </c>
      <c r="AO67" s="12">
        <f t="shared" si="8"/>
        <v>25.900000000000002</v>
      </c>
      <c r="AP67" s="12">
        <f t="shared" si="9"/>
        <v>8.3000000000000007</v>
      </c>
      <c r="AQ67" s="12">
        <f t="shared" si="9"/>
        <v>19</v>
      </c>
      <c r="AR67" s="12"/>
      <c r="AS67" s="12">
        <f t="shared" si="10"/>
        <v>64.8</v>
      </c>
      <c r="AT67" s="12">
        <f t="shared" si="10"/>
        <v>53.400000000000006</v>
      </c>
      <c r="AU67" s="12">
        <f t="shared" si="10"/>
        <v>36.6</v>
      </c>
      <c r="AV67" s="12">
        <f t="shared" si="10"/>
        <v>57.999999999999993</v>
      </c>
      <c r="AW67" s="12">
        <f t="shared" si="11"/>
        <v>20.599999999999998</v>
      </c>
      <c r="AX67" s="12">
        <f t="shared" si="11"/>
        <v>0</v>
      </c>
      <c r="AY67" s="12"/>
      <c r="AZ67" s="12">
        <f t="shared" si="3"/>
        <v>48.1</v>
      </c>
      <c r="BA67" s="12">
        <f t="shared" si="4"/>
        <v>100</v>
      </c>
      <c r="BB67" s="12"/>
      <c r="BC67" s="12">
        <f t="shared" si="5"/>
        <v>0</v>
      </c>
      <c r="BD67" s="12">
        <f t="shared" si="6"/>
        <v>0</v>
      </c>
      <c r="BE67" s="12">
        <f t="shared" si="7"/>
        <v>64.2</v>
      </c>
    </row>
    <row r="68" spans="1:57" ht="15.75" customHeight="1" x14ac:dyDescent="0.25">
      <c r="A68" s="1" t="s">
        <v>167</v>
      </c>
      <c r="B68" s="4" t="s">
        <v>104</v>
      </c>
      <c r="C68" s="4" t="s">
        <v>8</v>
      </c>
      <c r="D68" s="4">
        <v>34</v>
      </c>
      <c r="E68" s="4">
        <v>633</v>
      </c>
      <c r="F68" s="4">
        <v>34</v>
      </c>
      <c r="G68" s="4">
        <v>633</v>
      </c>
      <c r="H68" s="4">
        <v>0.40600000000000003</v>
      </c>
      <c r="I68" s="4">
        <v>19.2</v>
      </c>
      <c r="J68" s="4"/>
      <c r="K68" s="4">
        <v>0.36099999999999999</v>
      </c>
      <c r="L68" s="4">
        <v>0.113</v>
      </c>
      <c r="M68" s="4">
        <v>7.4999999999999997E-2</v>
      </c>
      <c r="N68" s="4">
        <v>9.8000000000000004E-2</v>
      </c>
      <c r="O68" s="4">
        <v>7.4999999999999997E-2</v>
      </c>
      <c r="P68" s="4">
        <v>0.63900000000000001</v>
      </c>
      <c r="Q68" s="4"/>
      <c r="R68" s="4">
        <v>0.45800000000000002</v>
      </c>
      <c r="S68" s="4">
        <v>0.53300000000000003</v>
      </c>
      <c r="T68" s="4">
        <v>0.5</v>
      </c>
      <c r="U68" s="4">
        <v>0.23100000000000001</v>
      </c>
      <c r="V68" s="4">
        <v>0.6</v>
      </c>
      <c r="W68" s="4">
        <v>0.376</v>
      </c>
      <c r="X68" s="4"/>
      <c r="Y68" s="4">
        <v>0.36399999999999999</v>
      </c>
      <c r="Z68" s="4">
        <v>0.71899999999999997</v>
      </c>
      <c r="AA68" s="4"/>
      <c r="AB68" s="4">
        <v>0.11799999999999999</v>
      </c>
      <c r="AC68" s="4">
        <v>0.7</v>
      </c>
      <c r="AD68" s="10">
        <f t="shared" si="1"/>
        <v>0.59084499999999995</v>
      </c>
      <c r="AE68" s="9"/>
      <c r="AF68" s="9"/>
      <c r="AG68" s="12">
        <f t="shared" si="2"/>
        <v>65.600000000000009</v>
      </c>
      <c r="AH68" s="12">
        <f t="shared" si="2"/>
        <v>51.1</v>
      </c>
      <c r="AI68" s="12">
        <f t="shared" si="2"/>
        <v>47.3</v>
      </c>
      <c r="AJ68" s="12">
        <f t="shared" si="2"/>
        <v>96.899999999999991</v>
      </c>
      <c r="AK68" s="12"/>
      <c r="AL68" s="12">
        <f t="shared" si="8"/>
        <v>1.5</v>
      </c>
      <c r="AM68" s="12">
        <f t="shared" si="8"/>
        <v>9.9</v>
      </c>
      <c r="AN68" s="12">
        <f t="shared" si="8"/>
        <v>6.8000000000000007</v>
      </c>
      <c r="AO68" s="12">
        <f t="shared" si="8"/>
        <v>38.9</v>
      </c>
      <c r="AP68" s="12">
        <f t="shared" si="9"/>
        <v>19</v>
      </c>
      <c r="AQ68" s="12">
        <f t="shared" si="9"/>
        <v>98.4</v>
      </c>
      <c r="AR68" s="12"/>
      <c r="AS68" s="12">
        <f t="shared" si="10"/>
        <v>61</v>
      </c>
      <c r="AT68" s="12">
        <f t="shared" si="10"/>
        <v>22.1</v>
      </c>
      <c r="AU68" s="12">
        <f t="shared" si="10"/>
        <v>92.300000000000011</v>
      </c>
      <c r="AV68" s="12">
        <f t="shared" si="10"/>
        <v>22.900000000000002</v>
      </c>
      <c r="AW68" s="12">
        <f t="shared" si="11"/>
        <v>97.7</v>
      </c>
      <c r="AX68" s="12">
        <f t="shared" si="11"/>
        <v>84.7</v>
      </c>
      <c r="AY68" s="12"/>
      <c r="AZ68" s="12">
        <f t="shared" si="3"/>
        <v>76.400000000000006</v>
      </c>
      <c r="BA68" s="12">
        <f t="shared" si="4"/>
        <v>54.199999999999996</v>
      </c>
      <c r="BB68" s="12"/>
      <c r="BC68" s="12">
        <f t="shared" si="5"/>
        <v>54.900000000000006</v>
      </c>
      <c r="BD68" s="12">
        <f t="shared" si="6"/>
        <v>96.1</v>
      </c>
      <c r="BE68" s="12">
        <f t="shared" si="7"/>
        <v>60.4</v>
      </c>
    </row>
    <row r="69" spans="1:57" ht="15.75" customHeight="1" x14ac:dyDescent="0.25">
      <c r="A69" s="1" t="s">
        <v>168</v>
      </c>
      <c r="B69" s="3" t="s">
        <v>91</v>
      </c>
      <c r="C69" s="4" t="s">
        <v>92</v>
      </c>
      <c r="D69" s="4">
        <v>34</v>
      </c>
      <c r="E69" s="4">
        <v>631</v>
      </c>
      <c r="F69" s="4">
        <v>34</v>
      </c>
      <c r="G69" s="4">
        <v>631</v>
      </c>
      <c r="H69" s="4">
        <v>0.39600000000000002</v>
      </c>
      <c r="I69" s="4">
        <v>9</v>
      </c>
      <c r="J69" s="4"/>
      <c r="K69" s="4">
        <v>1</v>
      </c>
      <c r="L69" s="4">
        <v>0.33600000000000002</v>
      </c>
      <c r="M69" s="4">
        <v>0.20799999999999999</v>
      </c>
      <c r="N69" s="4">
        <v>0.19500000000000001</v>
      </c>
      <c r="O69" s="4">
        <v>0.26200000000000001</v>
      </c>
      <c r="P69" s="4">
        <v>0</v>
      </c>
      <c r="Q69" s="4"/>
      <c r="R69" s="4">
        <v>0.39600000000000002</v>
      </c>
      <c r="S69" s="4">
        <v>0.57999999999999996</v>
      </c>
      <c r="T69" s="4">
        <v>0.22600000000000001</v>
      </c>
      <c r="U69" s="4">
        <v>0.41399999999999998</v>
      </c>
      <c r="V69" s="4">
        <v>0.28199999999999997</v>
      </c>
      <c r="W69" s="4">
        <v>0</v>
      </c>
      <c r="X69" s="4"/>
      <c r="Y69" s="4">
        <v>0.86399999999999999</v>
      </c>
      <c r="Z69" s="4">
        <v>0</v>
      </c>
      <c r="AA69" s="4"/>
      <c r="AB69" s="4">
        <v>0</v>
      </c>
      <c r="AC69" s="4">
        <v>0</v>
      </c>
      <c r="AD69" s="10">
        <f t="shared" ref="AD69:AD132" si="12">(K69*Y69+P69*Z69)</f>
        <v>0.86399999999999999</v>
      </c>
      <c r="AE69" s="9"/>
      <c r="AF69" s="9"/>
      <c r="AG69" s="12">
        <f t="shared" ref="AG69:AJ132" si="13">(PERCENTRANK(F$4:F$298,F69))*100</f>
        <v>65.600000000000009</v>
      </c>
      <c r="AH69" s="12">
        <f t="shared" si="13"/>
        <v>50.3</v>
      </c>
      <c r="AI69" s="12">
        <f t="shared" si="13"/>
        <v>38.9</v>
      </c>
      <c r="AJ69" s="12">
        <f t="shared" si="13"/>
        <v>22.900000000000002</v>
      </c>
      <c r="AK69" s="12"/>
      <c r="AL69" s="12">
        <f t="shared" si="8"/>
        <v>83.2</v>
      </c>
      <c r="AM69" s="12">
        <f t="shared" si="8"/>
        <v>73.2</v>
      </c>
      <c r="AN69" s="12">
        <f t="shared" si="8"/>
        <v>65.600000000000009</v>
      </c>
      <c r="AO69" s="12">
        <f t="shared" si="8"/>
        <v>80.900000000000006</v>
      </c>
      <c r="AP69" s="12">
        <f t="shared" si="9"/>
        <v>74.8</v>
      </c>
      <c r="AQ69" s="12">
        <f t="shared" si="9"/>
        <v>0</v>
      </c>
      <c r="AR69" s="12"/>
      <c r="AS69" s="12">
        <f t="shared" si="10"/>
        <v>28.999999999999996</v>
      </c>
      <c r="AT69" s="12">
        <f t="shared" si="10"/>
        <v>39.6</v>
      </c>
      <c r="AU69" s="12">
        <f t="shared" si="10"/>
        <v>13.700000000000001</v>
      </c>
      <c r="AV69" s="12">
        <f t="shared" si="10"/>
        <v>79.3</v>
      </c>
      <c r="AW69" s="12">
        <f t="shared" si="11"/>
        <v>28.199999999999996</v>
      </c>
      <c r="AX69" s="12">
        <f t="shared" si="11"/>
        <v>0</v>
      </c>
      <c r="AY69" s="12"/>
      <c r="AZ69" s="12">
        <f t="shared" ref="AZ69:AZ132" si="14">100-(PERCENTRANK(Y$4:Y$298,Y69))*100</f>
        <v>1.5999999999999943</v>
      </c>
      <c r="BA69" s="12">
        <f t="shared" ref="BA69:BA132" si="15">100-(PERCENTRANK(Z$4:Z$298,Z69))*100</f>
        <v>100</v>
      </c>
      <c r="BB69" s="12"/>
      <c r="BC69" s="12">
        <f t="shared" ref="BC69:BC132" si="16">(PERCENTRANK(AB$4:AB$298,AB69))*100</f>
        <v>0</v>
      </c>
      <c r="BD69" s="12">
        <f t="shared" ref="BD69:BD132" si="17">(PERCENTRANK(AC$4:AC$298,AC69))*100</f>
        <v>0</v>
      </c>
      <c r="BE69" s="12">
        <f t="shared" ref="BE69:BE132" si="18">100-(PERCENTRANK(AD$4:AD$298,AD69))*100</f>
        <v>3.9000000000000057</v>
      </c>
    </row>
    <row r="70" spans="1:57" ht="15.75" customHeight="1" x14ac:dyDescent="0.25">
      <c r="A70" s="1" t="s">
        <v>169</v>
      </c>
      <c r="B70" s="3" t="s">
        <v>122</v>
      </c>
      <c r="C70" s="4" t="s">
        <v>8</v>
      </c>
      <c r="D70" s="4">
        <v>23</v>
      </c>
      <c r="E70" s="4">
        <v>625</v>
      </c>
      <c r="F70" s="4">
        <v>23</v>
      </c>
      <c r="G70" s="4">
        <v>625</v>
      </c>
      <c r="H70" s="4">
        <v>0.36499999999999999</v>
      </c>
      <c r="I70" s="4">
        <v>18.2</v>
      </c>
      <c r="J70" s="4"/>
      <c r="K70" s="4">
        <v>0.505</v>
      </c>
      <c r="L70" s="4">
        <v>0.113</v>
      </c>
      <c r="M70" s="4">
        <v>9.5000000000000001E-2</v>
      </c>
      <c r="N70" s="4">
        <v>7.6999999999999999E-2</v>
      </c>
      <c r="O70" s="4">
        <v>0.221</v>
      </c>
      <c r="P70" s="4">
        <v>0.495</v>
      </c>
      <c r="Q70" s="4"/>
      <c r="R70" s="4">
        <v>0.40200000000000002</v>
      </c>
      <c r="S70" s="4">
        <v>0.8</v>
      </c>
      <c r="T70" s="4">
        <v>0.47599999999999998</v>
      </c>
      <c r="U70" s="4">
        <v>0.23499999999999999</v>
      </c>
      <c r="V70" s="4">
        <v>0.224</v>
      </c>
      <c r="W70" s="4">
        <v>0.32700000000000001</v>
      </c>
      <c r="X70" s="4"/>
      <c r="Y70" s="4">
        <v>0.13300000000000001</v>
      </c>
      <c r="Z70" s="4">
        <v>0.61099999999999999</v>
      </c>
      <c r="AA70" s="4"/>
      <c r="AB70" s="4">
        <v>2.7E-2</v>
      </c>
      <c r="AC70" s="4">
        <v>0.33300000000000002</v>
      </c>
      <c r="AD70" s="10">
        <f t="shared" si="12"/>
        <v>0.36960999999999999</v>
      </c>
      <c r="AE70" s="9"/>
      <c r="AF70" s="9"/>
      <c r="AG70" s="12">
        <f t="shared" si="13"/>
        <v>17.5</v>
      </c>
      <c r="AH70" s="12">
        <f t="shared" si="13"/>
        <v>49.6</v>
      </c>
      <c r="AI70" s="12">
        <f t="shared" si="13"/>
        <v>25.900000000000002</v>
      </c>
      <c r="AJ70" s="12">
        <f t="shared" si="13"/>
        <v>93.100000000000009</v>
      </c>
      <c r="AK70" s="12"/>
      <c r="AL70" s="12">
        <f t="shared" si="8"/>
        <v>9.9</v>
      </c>
      <c r="AM70" s="12">
        <f t="shared" si="8"/>
        <v>9.9</v>
      </c>
      <c r="AN70" s="12">
        <f t="shared" si="8"/>
        <v>13.700000000000001</v>
      </c>
      <c r="AO70" s="12">
        <f t="shared" si="8"/>
        <v>24.4</v>
      </c>
      <c r="AP70" s="12">
        <f t="shared" si="9"/>
        <v>63.3</v>
      </c>
      <c r="AQ70" s="12">
        <f t="shared" si="9"/>
        <v>90</v>
      </c>
      <c r="AR70" s="12"/>
      <c r="AS70" s="12">
        <f t="shared" si="10"/>
        <v>32.800000000000004</v>
      </c>
      <c r="AT70" s="12">
        <f t="shared" si="10"/>
        <v>94.6</v>
      </c>
      <c r="AU70" s="12">
        <f t="shared" si="10"/>
        <v>90.8</v>
      </c>
      <c r="AV70" s="12">
        <f t="shared" si="10"/>
        <v>23.599999999999998</v>
      </c>
      <c r="AW70" s="12">
        <f t="shared" si="11"/>
        <v>17.5</v>
      </c>
      <c r="AX70" s="12">
        <f t="shared" si="11"/>
        <v>70.199999999999989</v>
      </c>
      <c r="AY70" s="12"/>
      <c r="AZ70" s="12">
        <f t="shared" si="14"/>
        <v>100</v>
      </c>
      <c r="BA70" s="12">
        <f t="shared" si="15"/>
        <v>64.2</v>
      </c>
      <c r="BB70" s="12"/>
      <c r="BC70" s="12">
        <f t="shared" si="16"/>
        <v>35.799999999999997</v>
      </c>
      <c r="BD70" s="12">
        <f t="shared" si="17"/>
        <v>64.8</v>
      </c>
      <c r="BE70" s="12">
        <f t="shared" si="18"/>
        <v>89.4</v>
      </c>
    </row>
    <row r="71" spans="1:57" ht="15.75" customHeight="1" x14ac:dyDescent="0.25">
      <c r="A71" s="1" t="s">
        <v>170</v>
      </c>
      <c r="B71" s="3" t="s">
        <v>171</v>
      </c>
      <c r="C71" s="4" t="s">
        <v>92</v>
      </c>
      <c r="D71" s="4">
        <v>26</v>
      </c>
      <c r="E71" s="4">
        <v>622</v>
      </c>
      <c r="F71" s="4">
        <v>26</v>
      </c>
      <c r="G71" s="4">
        <v>622</v>
      </c>
      <c r="H71" s="4">
        <v>0.39800000000000002</v>
      </c>
      <c r="I71" s="4">
        <v>11.4</v>
      </c>
      <c r="J71" s="4"/>
      <c r="K71" s="4">
        <v>0.88300000000000001</v>
      </c>
      <c r="L71" s="4">
        <v>0.29099999999999998</v>
      </c>
      <c r="M71" s="4">
        <v>0.16</v>
      </c>
      <c r="N71" s="4">
        <v>0.18</v>
      </c>
      <c r="O71" s="4">
        <v>0.252</v>
      </c>
      <c r="P71" s="4">
        <v>0.11700000000000001</v>
      </c>
      <c r="Q71" s="4"/>
      <c r="R71" s="4">
        <v>0.42299999999999999</v>
      </c>
      <c r="S71" s="4">
        <v>0.56699999999999995</v>
      </c>
      <c r="T71" s="4">
        <v>0.36399999999999999</v>
      </c>
      <c r="U71" s="4">
        <v>0.35099999999999998</v>
      </c>
      <c r="V71" s="4">
        <v>0.34599999999999997</v>
      </c>
      <c r="W71" s="4">
        <v>0.20799999999999999</v>
      </c>
      <c r="X71" s="4"/>
      <c r="Y71" s="4">
        <v>0.64900000000000002</v>
      </c>
      <c r="Z71" s="4">
        <v>1</v>
      </c>
      <c r="AA71" s="4"/>
      <c r="AB71" s="4">
        <v>8.3000000000000004E-2</v>
      </c>
      <c r="AC71" s="4">
        <v>0</v>
      </c>
      <c r="AD71" s="10">
        <f t="shared" si="12"/>
        <v>0.69006699999999999</v>
      </c>
      <c r="AE71" s="9"/>
      <c r="AF71" s="9"/>
      <c r="AG71" s="12">
        <f t="shared" si="13"/>
        <v>22.900000000000002</v>
      </c>
      <c r="AH71" s="12">
        <f t="shared" si="13"/>
        <v>48.8</v>
      </c>
      <c r="AI71" s="12">
        <f t="shared" si="13"/>
        <v>41.9</v>
      </c>
      <c r="AJ71" s="12">
        <f t="shared" si="13"/>
        <v>36.6</v>
      </c>
      <c r="AK71" s="12"/>
      <c r="AL71" s="12">
        <f t="shared" si="8"/>
        <v>62.5</v>
      </c>
      <c r="AM71" s="12">
        <f t="shared" si="8"/>
        <v>59.5</v>
      </c>
      <c r="AN71" s="12">
        <f t="shared" si="8"/>
        <v>43.5</v>
      </c>
      <c r="AO71" s="12">
        <f t="shared" si="8"/>
        <v>75.5</v>
      </c>
      <c r="AP71" s="12">
        <f t="shared" si="9"/>
        <v>71.7</v>
      </c>
      <c r="AQ71" s="12">
        <f t="shared" si="9"/>
        <v>37.4</v>
      </c>
      <c r="AR71" s="12"/>
      <c r="AS71" s="12">
        <f t="shared" si="10"/>
        <v>45.800000000000004</v>
      </c>
      <c r="AT71" s="12">
        <f t="shared" si="10"/>
        <v>36.6</v>
      </c>
      <c r="AU71" s="12">
        <f t="shared" si="10"/>
        <v>58.699999999999996</v>
      </c>
      <c r="AV71" s="12">
        <f t="shared" si="10"/>
        <v>57.199999999999996</v>
      </c>
      <c r="AW71" s="12">
        <f t="shared" si="11"/>
        <v>51.9</v>
      </c>
      <c r="AX71" s="12">
        <f t="shared" si="11"/>
        <v>38.9</v>
      </c>
      <c r="AY71" s="12"/>
      <c r="AZ71" s="12">
        <f t="shared" si="14"/>
        <v>28.299999999999997</v>
      </c>
      <c r="BA71" s="12">
        <f t="shared" si="15"/>
        <v>23</v>
      </c>
      <c r="BB71" s="12"/>
      <c r="BC71" s="12">
        <f t="shared" si="16"/>
        <v>41.9</v>
      </c>
      <c r="BD71" s="12">
        <f t="shared" si="17"/>
        <v>0</v>
      </c>
      <c r="BE71" s="12">
        <f t="shared" si="18"/>
        <v>32.899999999999991</v>
      </c>
    </row>
    <row r="72" spans="1:57" ht="15.75" customHeight="1" x14ac:dyDescent="0.25">
      <c r="A72" s="1" t="s">
        <v>172</v>
      </c>
      <c r="B72" s="3" t="s">
        <v>141</v>
      </c>
      <c r="C72" s="4" t="s">
        <v>8</v>
      </c>
      <c r="D72" s="4">
        <v>27</v>
      </c>
      <c r="E72" s="4">
        <v>612</v>
      </c>
      <c r="F72" s="4">
        <v>27</v>
      </c>
      <c r="G72" s="4">
        <v>612</v>
      </c>
      <c r="H72" s="4">
        <v>0.39700000000000002</v>
      </c>
      <c r="I72" s="4">
        <v>14</v>
      </c>
      <c r="J72" s="4"/>
      <c r="K72" s="4">
        <v>0.66300000000000003</v>
      </c>
      <c r="L72" s="4">
        <v>0.183</v>
      </c>
      <c r="M72" s="4">
        <v>0.22</v>
      </c>
      <c r="N72" s="4">
        <v>8.3000000000000004E-2</v>
      </c>
      <c r="O72" s="4">
        <v>0.17699999999999999</v>
      </c>
      <c r="P72" s="4">
        <v>0.33700000000000002</v>
      </c>
      <c r="Q72" s="4"/>
      <c r="R72" s="4">
        <v>0.40500000000000003</v>
      </c>
      <c r="S72" s="4">
        <v>0.70299999999999996</v>
      </c>
      <c r="T72" s="4">
        <v>0.29899999999999999</v>
      </c>
      <c r="U72" s="4">
        <v>0.24099999999999999</v>
      </c>
      <c r="V72" s="4">
        <v>0.30599999999999999</v>
      </c>
      <c r="W72" s="4">
        <v>0.38100000000000001</v>
      </c>
      <c r="X72" s="4"/>
      <c r="Y72" s="4">
        <v>0.16</v>
      </c>
      <c r="Z72" s="4">
        <v>0.71099999999999997</v>
      </c>
      <c r="AA72" s="4"/>
      <c r="AB72" s="4">
        <v>0.254</v>
      </c>
      <c r="AC72" s="4">
        <v>0.36699999999999999</v>
      </c>
      <c r="AD72" s="10">
        <f t="shared" si="12"/>
        <v>0.34568700000000002</v>
      </c>
      <c r="AE72" s="9"/>
      <c r="AF72" s="9"/>
      <c r="AG72" s="12">
        <f t="shared" si="13"/>
        <v>24.4</v>
      </c>
      <c r="AH72" s="12">
        <f t="shared" si="13"/>
        <v>48</v>
      </c>
      <c r="AI72" s="12">
        <f t="shared" si="13"/>
        <v>41.199999999999996</v>
      </c>
      <c r="AJ72" s="12">
        <f t="shared" si="13"/>
        <v>68.7</v>
      </c>
      <c r="AK72" s="12"/>
      <c r="AL72" s="12">
        <f t="shared" si="8"/>
        <v>26.700000000000003</v>
      </c>
      <c r="AM72" s="12">
        <f t="shared" si="8"/>
        <v>26.700000000000003</v>
      </c>
      <c r="AN72" s="12">
        <f t="shared" si="8"/>
        <v>70.199999999999989</v>
      </c>
      <c r="AO72" s="12">
        <f t="shared" si="8"/>
        <v>28.999999999999996</v>
      </c>
      <c r="AP72" s="12">
        <f t="shared" si="9"/>
        <v>49.6</v>
      </c>
      <c r="AQ72" s="12">
        <f t="shared" si="9"/>
        <v>73.2</v>
      </c>
      <c r="AR72" s="12"/>
      <c r="AS72" s="12">
        <f t="shared" si="10"/>
        <v>35.099999999999994</v>
      </c>
      <c r="AT72" s="12">
        <f t="shared" si="10"/>
        <v>77.8</v>
      </c>
      <c r="AU72" s="12">
        <f t="shared" si="10"/>
        <v>27.400000000000002</v>
      </c>
      <c r="AV72" s="12">
        <f t="shared" si="10"/>
        <v>24.4</v>
      </c>
      <c r="AW72" s="12">
        <f t="shared" si="11"/>
        <v>36.6</v>
      </c>
      <c r="AX72" s="12">
        <f t="shared" si="11"/>
        <v>86.2</v>
      </c>
      <c r="AY72" s="12"/>
      <c r="AZ72" s="12">
        <f t="shared" si="14"/>
        <v>97</v>
      </c>
      <c r="BA72" s="12">
        <f t="shared" si="15"/>
        <v>55.8</v>
      </c>
      <c r="BB72" s="12"/>
      <c r="BC72" s="12">
        <f t="shared" si="16"/>
        <v>81.599999999999994</v>
      </c>
      <c r="BD72" s="12">
        <f t="shared" si="17"/>
        <v>71.7</v>
      </c>
      <c r="BE72" s="12">
        <f t="shared" si="18"/>
        <v>92.4</v>
      </c>
    </row>
    <row r="73" spans="1:57" ht="15.75" customHeight="1" x14ac:dyDescent="0.25">
      <c r="A73" s="1" t="s">
        <v>173</v>
      </c>
      <c r="B73" s="3" t="s">
        <v>114</v>
      </c>
      <c r="C73" s="4" t="s">
        <v>92</v>
      </c>
      <c r="D73" s="4">
        <v>33</v>
      </c>
      <c r="E73" s="4">
        <v>596</v>
      </c>
      <c r="F73" s="4">
        <v>33</v>
      </c>
      <c r="G73" s="4">
        <v>596</v>
      </c>
      <c r="H73" s="4">
        <v>0.42599999999999999</v>
      </c>
      <c r="I73" s="4">
        <v>10</v>
      </c>
      <c r="J73" s="4"/>
      <c r="K73" s="4">
        <v>0.995</v>
      </c>
      <c r="L73" s="4">
        <v>0.33200000000000002</v>
      </c>
      <c r="M73" s="4">
        <v>0.14199999999999999</v>
      </c>
      <c r="N73" s="4">
        <v>0.23200000000000001</v>
      </c>
      <c r="O73" s="4">
        <v>0.28899999999999998</v>
      </c>
      <c r="P73" s="4">
        <v>5.0000000000000001E-3</v>
      </c>
      <c r="Q73" s="4"/>
      <c r="R73" s="4">
        <v>0.42899999999999999</v>
      </c>
      <c r="S73" s="4">
        <v>0.54</v>
      </c>
      <c r="T73" s="4">
        <v>0.222</v>
      </c>
      <c r="U73" s="4">
        <v>0.432</v>
      </c>
      <c r="V73" s="4">
        <v>0.4</v>
      </c>
      <c r="W73" s="4">
        <v>0</v>
      </c>
      <c r="X73" s="4"/>
      <c r="Y73" s="4">
        <v>0.67900000000000005</v>
      </c>
      <c r="Z73" s="4">
        <v>0</v>
      </c>
      <c r="AA73" s="4"/>
      <c r="AB73" s="4">
        <v>0</v>
      </c>
      <c r="AC73" s="4">
        <v>0</v>
      </c>
      <c r="AD73" s="10">
        <f t="shared" si="12"/>
        <v>0.67560500000000001</v>
      </c>
      <c r="AE73" s="9"/>
      <c r="AF73" s="9"/>
      <c r="AG73" s="12">
        <f t="shared" si="13"/>
        <v>54.900000000000006</v>
      </c>
      <c r="AH73" s="12">
        <f t="shared" si="13"/>
        <v>47.3</v>
      </c>
      <c r="AI73" s="12">
        <f t="shared" si="13"/>
        <v>59.5</v>
      </c>
      <c r="AJ73" s="12">
        <f t="shared" si="13"/>
        <v>28.999999999999996</v>
      </c>
      <c r="AK73" s="12"/>
      <c r="AL73" s="12">
        <f t="shared" si="8"/>
        <v>80.100000000000009</v>
      </c>
      <c r="AM73" s="12">
        <f t="shared" si="8"/>
        <v>71.7</v>
      </c>
      <c r="AN73" s="12">
        <f t="shared" si="8"/>
        <v>33.5</v>
      </c>
      <c r="AO73" s="12">
        <f t="shared" si="8"/>
        <v>91.600000000000009</v>
      </c>
      <c r="AP73" s="12">
        <f t="shared" si="9"/>
        <v>81.599999999999994</v>
      </c>
      <c r="AQ73" s="12">
        <f t="shared" si="9"/>
        <v>19</v>
      </c>
      <c r="AR73" s="12"/>
      <c r="AS73" s="12">
        <f t="shared" si="10"/>
        <v>48</v>
      </c>
      <c r="AT73" s="12">
        <f t="shared" si="10"/>
        <v>25.1</v>
      </c>
      <c r="AU73" s="12">
        <f t="shared" si="10"/>
        <v>12.9</v>
      </c>
      <c r="AV73" s="12">
        <f t="shared" si="10"/>
        <v>83.2</v>
      </c>
      <c r="AW73" s="12">
        <f t="shared" si="11"/>
        <v>67.100000000000009</v>
      </c>
      <c r="AX73" s="12">
        <f t="shared" si="11"/>
        <v>0</v>
      </c>
      <c r="AY73" s="12"/>
      <c r="AZ73" s="12">
        <f t="shared" si="14"/>
        <v>21.399999999999991</v>
      </c>
      <c r="BA73" s="12">
        <f t="shared" si="15"/>
        <v>100</v>
      </c>
      <c r="BB73" s="12"/>
      <c r="BC73" s="12">
        <f t="shared" si="16"/>
        <v>0</v>
      </c>
      <c r="BD73" s="12">
        <f t="shared" si="17"/>
        <v>0</v>
      </c>
      <c r="BE73" s="12">
        <f t="shared" si="18"/>
        <v>35.200000000000003</v>
      </c>
    </row>
    <row r="74" spans="1:57" ht="15.75" customHeight="1" x14ac:dyDescent="0.25">
      <c r="A74" s="1" t="s">
        <v>174</v>
      </c>
      <c r="B74" s="3" t="s">
        <v>108</v>
      </c>
      <c r="C74" s="4" t="s">
        <v>87</v>
      </c>
      <c r="D74" s="4">
        <v>34</v>
      </c>
      <c r="E74" s="4">
        <v>595</v>
      </c>
      <c r="F74" s="4">
        <v>34</v>
      </c>
      <c r="G74" s="4">
        <v>595</v>
      </c>
      <c r="H74" s="4">
        <v>0.43</v>
      </c>
      <c r="I74" s="4">
        <v>15.3</v>
      </c>
      <c r="J74" s="4"/>
      <c r="K74" s="4">
        <v>0.63</v>
      </c>
      <c r="L74" s="4">
        <v>0.2</v>
      </c>
      <c r="M74" s="4">
        <v>8.8999999999999996E-2</v>
      </c>
      <c r="N74" s="4">
        <v>8.1000000000000003E-2</v>
      </c>
      <c r="O74" s="4">
        <v>0.25900000000000001</v>
      </c>
      <c r="P74" s="4">
        <v>0.37</v>
      </c>
      <c r="Q74" s="4"/>
      <c r="R74" s="4">
        <v>0.44700000000000001</v>
      </c>
      <c r="S74" s="4">
        <v>0.59299999999999997</v>
      </c>
      <c r="T74" s="4">
        <v>0.33300000000000002</v>
      </c>
      <c r="U74" s="4">
        <v>0.36399999999999999</v>
      </c>
      <c r="V74" s="4">
        <v>0.4</v>
      </c>
      <c r="W74" s="4">
        <v>0.4</v>
      </c>
      <c r="X74" s="4"/>
      <c r="Y74" s="4">
        <v>0.42099999999999999</v>
      </c>
      <c r="Z74" s="4">
        <v>0.9</v>
      </c>
      <c r="AA74" s="4"/>
      <c r="AB74" s="4">
        <v>0.4</v>
      </c>
      <c r="AC74" s="4">
        <v>0.3</v>
      </c>
      <c r="AD74" s="10">
        <f t="shared" si="12"/>
        <v>0.59823000000000004</v>
      </c>
      <c r="AE74" s="9"/>
      <c r="AF74" s="9"/>
      <c r="AG74" s="12">
        <f t="shared" si="13"/>
        <v>65.600000000000009</v>
      </c>
      <c r="AH74" s="12">
        <f t="shared" si="13"/>
        <v>46.5</v>
      </c>
      <c r="AI74" s="12">
        <f t="shared" si="13"/>
        <v>64.099999999999994</v>
      </c>
      <c r="AJ74" s="12">
        <f t="shared" si="13"/>
        <v>77.8</v>
      </c>
      <c r="AK74" s="12"/>
      <c r="AL74" s="12">
        <f t="shared" si="8"/>
        <v>22.1</v>
      </c>
      <c r="AM74" s="12">
        <f t="shared" si="8"/>
        <v>31.2</v>
      </c>
      <c r="AN74" s="12">
        <f t="shared" si="8"/>
        <v>12.2</v>
      </c>
      <c r="AO74" s="12">
        <f t="shared" si="8"/>
        <v>26.700000000000003</v>
      </c>
      <c r="AP74" s="12">
        <f t="shared" si="9"/>
        <v>73.2</v>
      </c>
      <c r="AQ74" s="12">
        <f t="shared" si="9"/>
        <v>77.8</v>
      </c>
      <c r="AR74" s="12"/>
      <c r="AS74" s="12">
        <f t="shared" si="10"/>
        <v>54.1</v>
      </c>
      <c r="AT74" s="12">
        <f t="shared" si="10"/>
        <v>42.699999999999996</v>
      </c>
      <c r="AU74" s="12">
        <f t="shared" si="10"/>
        <v>39.6</v>
      </c>
      <c r="AV74" s="12">
        <f t="shared" si="10"/>
        <v>61</v>
      </c>
      <c r="AW74" s="12">
        <f t="shared" si="11"/>
        <v>67.100000000000009</v>
      </c>
      <c r="AX74" s="12">
        <f t="shared" si="11"/>
        <v>90.8</v>
      </c>
      <c r="AY74" s="12"/>
      <c r="AZ74" s="12">
        <f t="shared" si="14"/>
        <v>65.699999999999989</v>
      </c>
      <c r="BA74" s="12">
        <f t="shared" si="15"/>
        <v>35.200000000000003</v>
      </c>
      <c r="BB74" s="12"/>
      <c r="BC74" s="12">
        <f t="shared" si="16"/>
        <v>93.8</v>
      </c>
      <c r="BD74" s="12">
        <f t="shared" si="17"/>
        <v>62.5</v>
      </c>
      <c r="BE74" s="12">
        <f t="shared" si="18"/>
        <v>58.1</v>
      </c>
    </row>
    <row r="75" spans="1:57" ht="15.75" customHeight="1" x14ac:dyDescent="0.25">
      <c r="A75" s="1" t="s">
        <v>175</v>
      </c>
      <c r="B75" s="3" t="s">
        <v>122</v>
      </c>
      <c r="C75" s="4" t="s">
        <v>92</v>
      </c>
      <c r="D75" s="4">
        <v>33</v>
      </c>
      <c r="E75" s="4">
        <v>593</v>
      </c>
      <c r="F75" s="4">
        <v>33</v>
      </c>
      <c r="G75" s="4">
        <v>593</v>
      </c>
      <c r="H75" s="4">
        <v>0.55000000000000004</v>
      </c>
      <c r="I75" s="4">
        <v>4.5999999999999996</v>
      </c>
      <c r="J75" s="4"/>
      <c r="K75" s="4">
        <v>1</v>
      </c>
      <c r="L75" s="4">
        <v>0.56699999999999995</v>
      </c>
      <c r="M75" s="4">
        <v>0.27500000000000002</v>
      </c>
      <c r="N75" s="4">
        <v>7.0000000000000007E-2</v>
      </c>
      <c r="O75" s="4">
        <v>8.7999999999999995E-2</v>
      </c>
      <c r="P75" s="4">
        <v>0</v>
      </c>
      <c r="Q75" s="4"/>
      <c r="R75" s="4">
        <v>0.55000000000000004</v>
      </c>
      <c r="S75" s="4">
        <v>0.71099999999999997</v>
      </c>
      <c r="T75" s="4">
        <v>0.36199999999999999</v>
      </c>
      <c r="U75" s="4">
        <v>0.25</v>
      </c>
      <c r="V75" s="4">
        <v>0.33300000000000002</v>
      </c>
      <c r="W75" s="4">
        <v>0</v>
      </c>
      <c r="X75" s="4"/>
      <c r="Y75" s="4">
        <v>0.755</v>
      </c>
      <c r="Z75" s="4">
        <v>0</v>
      </c>
      <c r="AA75" s="4"/>
      <c r="AB75" s="4">
        <v>0</v>
      </c>
      <c r="AC75" s="4">
        <v>0</v>
      </c>
      <c r="AD75" s="10">
        <f t="shared" si="12"/>
        <v>0.755</v>
      </c>
      <c r="AE75" s="9"/>
      <c r="AF75" s="9"/>
      <c r="AG75" s="12">
        <f t="shared" si="13"/>
        <v>54.900000000000006</v>
      </c>
      <c r="AH75" s="12">
        <f t="shared" si="13"/>
        <v>45</v>
      </c>
      <c r="AI75" s="12">
        <f t="shared" si="13"/>
        <v>93.8</v>
      </c>
      <c r="AJ75" s="12">
        <f t="shared" si="13"/>
        <v>5.3</v>
      </c>
      <c r="AK75" s="12"/>
      <c r="AL75" s="12">
        <f t="shared" si="8"/>
        <v>83.2</v>
      </c>
      <c r="AM75" s="12">
        <f t="shared" si="8"/>
        <v>94.6</v>
      </c>
      <c r="AN75" s="12">
        <f t="shared" si="8"/>
        <v>84.7</v>
      </c>
      <c r="AO75" s="12">
        <f t="shared" si="8"/>
        <v>19</v>
      </c>
      <c r="AP75" s="12">
        <f t="shared" si="9"/>
        <v>22.900000000000002</v>
      </c>
      <c r="AQ75" s="12">
        <f t="shared" si="9"/>
        <v>0</v>
      </c>
      <c r="AR75" s="12"/>
      <c r="AS75" s="12">
        <f t="shared" si="10"/>
        <v>92.300000000000011</v>
      </c>
      <c r="AT75" s="12">
        <f t="shared" si="10"/>
        <v>79.3</v>
      </c>
      <c r="AU75" s="12">
        <f t="shared" si="10"/>
        <v>57.999999999999993</v>
      </c>
      <c r="AV75" s="12">
        <f t="shared" si="10"/>
        <v>25.900000000000002</v>
      </c>
      <c r="AW75" s="12">
        <f t="shared" si="11"/>
        <v>44.2</v>
      </c>
      <c r="AX75" s="12">
        <f t="shared" si="11"/>
        <v>0</v>
      </c>
      <c r="AY75" s="12"/>
      <c r="AZ75" s="12">
        <f t="shared" si="14"/>
        <v>12.299999999999997</v>
      </c>
      <c r="BA75" s="12">
        <f t="shared" si="15"/>
        <v>100</v>
      </c>
      <c r="BB75" s="12"/>
      <c r="BC75" s="12">
        <f t="shared" si="16"/>
        <v>0</v>
      </c>
      <c r="BD75" s="12">
        <f t="shared" si="17"/>
        <v>0</v>
      </c>
      <c r="BE75" s="12">
        <f t="shared" si="18"/>
        <v>16.799999999999997</v>
      </c>
    </row>
    <row r="76" spans="1:57" ht="15.75" customHeight="1" x14ac:dyDescent="0.25">
      <c r="A76" s="1" t="s">
        <v>176</v>
      </c>
      <c r="B76" s="3" t="s">
        <v>89</v>
      </c>
      <c r="C76" s="4" t="s">
        <v>8</v>
      </c>
      <c r="D76" s="4">
        <v>34</v>
      </c>
      <c r="E76" s="4">
        <v>593</v>
      </c>
      <c r="F76" s="4">
        <v>34</v>
      </c>
      <c r="G76" s="4">
        <v>593</v>
      </c>
      <c r="H76" s="4">
        <v>0.32800000000000001</v>
      </c>
      <c r="I76" s="4">
        <v>17.100000000000001</v>
      </c>
      <c r="J76" s="4"/>
      <c r="K76" s="4">
        <v>0.45300000000000001</v>
      </c>
      <c r="L76" s="4">
        <v>0.13500000000000001</v>
      </c>
      <c r="M76" s="4">
        <v>0.156</v>
      </c>
      <c r="N76" s="4">
        <v>7.2999999999999995E-2</v>
      </c>
      <c r="O76" s="4">
        <v>8.8999999999999996E-2</v>
      </c>
      <c r="P76" s="4">
        <v>0.54700000000000004</v>
      </c>
      <c r="Q76" s="4"/>
      <c r="R76" s="4">
        <v>0.32200000000000001</v>
      </c>
      <c r="S76" s="4">
        <v>0.42299999999999999</v>
      </c>
      <c r="T76" s="4">
        <v>0.26700000000000002</v>
      </c>
      <c r="U76" s="4">
        <v>0.14299999999999999</v>
      </c>
      <c r="V76" s="4">
        <v>0.41199999999999998</v>
      </c>
      <c r="W76" s="4">
        <v>0.33300000000000002</v>
      </c>
      <c r="X76" s="4"/>
      <c r="Y76" s="4">
        <v>0.214</v>
      </c>
      <c r="Z76" s="4">
        <v>0.88600000000000001</v>
      </c>
      <c r="AA76" s="4"/>
      <c r="AB76" s="4">
        <v>0.248</v>
      </c>
      <c r="AC76" s="4">
        <v>0.46200000000000002</v>
      </c>
      <c r="AD76" s="10">
        <f t="shared" si="12"/>
        <v>0.58158399999999999</v>
      </c>
      <c r="AE76" s="9"/>
      <c r="AF76" s="9"/>
      <c r="AG76" s="12">
        <f t="shared" si="13"/>
        <v>65.600000000000009</v>
      </c>
      <c r="AH76" s="12">
        <f t="shared" si="13"/>
        <v>45</v>
      </c>
      <c r="AI76" s="12">
        <f t="shared" si="13"/>
        <v>12.9</v>
      </c>
      <c r="AJ76" s="12">
        <f t="shared" si="13"/>
        <v>87.7</v>
      </c>
      <c r="AK76" s="12"/>
      <c r="AL76" s="12">
        <f t="shared" si="8"/>
        <v>6.1</v>
      </c>
      <c r="AM76" s="12">
        <f t="shared" si="8"/>
        <v>16</v>
      </c>
      <c r="AN76" s="12">
        <f t="shared" si="8"/>
        <v>38.1</v>
      </c>
      <c r="AO76" s="12">
        <f t="shared" si="8"/>
        <v>20.599999999999998</v>
      </c>
      <c r="AP76" s="12">
        <f t="shared" si="9"/>
        <v>23.599999999999998</v>
      </c>
      <c r="AQ76" s="12">
        <f t="shared" si="9"/>
        <v>93.8</v>
      </c>
      <c r="AR76" s="12"/>
      <c r="AS76" s="12">
        <f t="shared" si="10"/>
        <v>9.1</v>
      </c>
      <c r="AT76" s="12">
        <f t="shared" si="10"/>
        <v>10.6</v>
      </c>
      <c r="AU76" s="12">
        <f t="shared" si="10"/>
        <v>21.3</v>
      </c>
      <c r="AV76" s="12">
        <f t="shared" si="10"/>
        <v>12.2</v>
      </c>
      <c r="AW76" s="12">
        <f t="shared" si="11"/>
        <v>71.7</v>
      </c>
      <c r="AX76" s="12">
        <f t="shared" si="11"/>
        <v>71.7</v>
      </c>
      <c r="AY76" s="12"/>
      <c r="AZ76" s="12">
        <f t="shared" si="14"/>
        <v>90.9</v>
      </c>
      <c r="BA76" s="12">
        <f t="shared" si="15"/>
        <v>39</v>
      </c>
      <c r="BB76" s="12"/>
      <c r="BC76" s="12">
        <f t="shared" si="16"/>
        <v>80.100000000000009</v>
      </c>
      <c r="BD76" s="12">
        <f t="shared" si="17"/>
        <v>85.399999999999991</v>
      </c>
      <c r="BE76" s="12">
        <f t="shared" si="18"/>
        <v>61.9</v>
      </c>
    </row>
    <row r="77" spans="1:57" ht="15.75" customHeight="1" x14ac:dyDescent="0.25">
      <c r="A77" s="1" t="s">
        <v>177</v>
      </c>
      <c r="B77" s="3" t="s">
        <v>86</v>
      </c>
      <c r="C77" s="4" t="s">
        <v>92</v>
      </c>
      <c r="D77" s="4">
        <v>34</v>
      </c>
      <c r="E77" s="4">
        <v>586</v>
      </c>
      <c r="F77" s="4">
        <v>34</v>
      </c>
      <c r="G77" s="4">
        <v>586</v>
      </c>
      <c r="H77" s="4">
        <v>0.4</v>
      </c>
      <c r="I77" s="4">
        <v>11.1</v>
      </c>
      <c r="J77" s="4"/>
      <c r="K77" s="4">
        <v>0.74399999999999999</v>
      </c>
      <c r="L77" s="4">
        <v>0.27200000000000002</v>
      </c>
      <c r="M77" s="4">
        <v>0.26200000000000001</v>
      </c>
      <c r="N77" s="4">
        <v>0.128</v>
      </c>
      <c r="O77" s="4">
        <v>8.2000000000000003E-2</v>
      </c>
      <c r="P77" s="4">
        <v>0.25600000000000001</v>
      </c>
      <c r="Q77" s="4"/>
      <c r="R77" s="4">
        <v>0.47599999999999998</v>
      </c>
      <c r="S77" s="4">
        <v>0.64200000000000002</v>
      </c>
      <c r="T77" s="4">
        <v>0.35299999999999998</v>
      </c>
      <c r="U77" s="4">
        <v>0.48</v>
      </c>
      <c r="V77" s="4">
        <v>0.313</v>
      </c>
      <c r="W77" s="4">
        <v>0.18</v>
      </c>
      <c r="X77" s="4"/>
      <c r="Y77" s="4">
        <v>0.27500000000000002</v>
      </c>
      <c r="Z77" s="4">
        <v>0.88900000000000001</v>
      </c>
      <c r="AA77" s="4"/>
      <c r="AB77" s="4">
        <v>0.34</v>
      </c>
      <c r="AC77" s="4">
        <v>0.11799999999999999</v>
      </c>
      <c r="AD77" s="10">
        <f t="shared" si="12"/>
        <v>0.43218400000000001</v>
      </c>
      <c r="AE77" s="9"/>
      <c r="AF77" s="9"/>
      <c r="AG77" s="12">
        <f t="shared" si="13"/>
        <v>65.600000000000009</v>
      </c>
      <c r="AH77" s="12">
        <f t="shared" si="13"/>
        <v>44.2</v>
      </c>
      <c r="AI77" s="12">
        <f t="shared" si="13"/>
        <v>43.5</v>
      </c>
      <c r="AJ77" s="12">
        <f t="shared" si="13"/>
        <v>34.300000000000004</v>
      </c>
      <c r="AK77" s="12"/>
      <c r="AL77" s="12">
        <f t="shared" si="8"/>
        <v>40.400000000000006</v>
      </c>
      <c r="AM77" s="12">
        <f t="shared" si="8"/>
        <v>54.1</v>
      </c>
      <c r="AN77" s="12">
        <f t="shared" si="8"/>
        <v>83.2</v>
      </c>
      <c r="AO77" s="12">
        <f t="shared" si="8"/>
        <v>53.400000000000006</v>
      </c>
      <c r="AP77" s="12">
        <f t="shared" si="9"/>
        <v>22.1</v>
      </c>
      <c r="AQ77" s="12">
        <f t="shared" si="9"/>
        <v>59.5</v>
      </c>
      <c r="AR77" s="12"/>
      <c r="AS77" s="12">
        <f t="shared" si="10"/>
        <v>75.5</v>
      </c>
      <c r="AT77" s="12">
        <f t="shared" si="10"/>
        <v>62.5</v>
      </c>
      <c r="AU77" s="12">
        <f t="shared" si="10"/>
        <v>51.9</v>
      </c>
      <c r="AV77" s="12">
        <f t="shared" si="10"/>
        <v>88.5</v>
      </c>
      <c r="AW77" s="12">
        <f t="shared" si="11"/>
        <v>38.9</v>
      </c>
      <c r="AX77" s="12">
        <f t="shared" si="11"/>
        <v>35.799999999999997</v>
      </c>
      <c r="AY77" s="12"/>
      <c r="AZ77" s="12">
        <f t="shared" si="14"/>
        <v>83.3</v>
      </c>
      <c r="BA77" s="12">
        <f t="shared" si="15"/>
        <v>38.200000000000003</v>
      </c>
      <c r="BB77" s="12"/>
      <c r="BC77" s="12">
        <f t="shared" si="16"/>
        <v>90</v>
      </c>
      <c r="BD77" s="12">
        <f t="shared" si="17"/>
        <v>45.800000000000004</v>
      </c>
      <c r="BE77" s="12">
        <f t="shared" si="18"/>
        <v>80.2</v>
      </c>
    </row>
    <row r="78" spans="1:57" ht="15.75" customHeight="1" x14ac:dyDescent="0.25">
      <c r="A78" s="1" t="s">
        <v>178</v>
      </c>
      <c r="B78" s="3" t="s">
        <v>106</v>
      </c>
      <c r="C78" s="4" t="s">
        <v>8</v>
      </c>
      <c r="D78" s="4">
        <v>30</v>
      </c>
      <c r="E78" s="4">
        <v>582</v>
      </c>
      <c r="F78" s="4">
        <v>30</v>
      </c>
      <c r="G78" s="4">
        <v>582</v>
      </c>
      <c r="H78" s="4">
        <v>0.33100000000000002</v>
      </c>
      <c r="I78" s="4">
        <v>11.7</v>
      </c>
      <c r="J78" s="4"/>
      <c r="K78" s="4">
        <v>0.83699999999999997</v>
      </c>
      <c r="L78" s="4">
        <v>0.24099999999999999</v>
      </c>
      <c r="M78" s="4">
        <v>0.27700000000000002</v>
      </c>
      <c r="N78" s="4">
        <v>0.14499999999999999</v>
      </c>
      <c r="O78" s="4">
        <v>0.17499999999999999</v>
      </c>
      <c r="P78" s="4">
        <v>0.16300000000000001</v>
      </c>
      <c r="Q78" s="4"/>
      <c r="R78" s="4">
        <v>0.34499999999999997</v>
      </c>
      <c r="S78" s="4">
        <v>0.57499999999999996</v>
      </c>
      <c r="T78" s="4">
        <v>0.30399999999999999</v>
      </c>
      <c r="U78" s="4">
        <v>0.125</v>
      </c>
      <c r="V78" s="4">
        <v>0.27600000000000002</v>
      </c>
      <c r="W78" s="4">
        <v>0.25900000000000001</v>
      </c>
      <c r="X78" s="4"/>
      <c r="Y78" s="4">
        <v>0.313</v>
      </c>
      <c r="Z78" s="4">
        <v>0.85699999999999998</v>
      </c>
      <c r="AA78" s="4"/>
      <c r="AB78" s="4">
        <v>0.33300000000000002</v>
      </c>
      <c r="AC78" s="4">
        <v>0.33300000000000002</v>
      </c>
      <c r="AD78" s="10">
        <f t="shared" si="12"/>
        <v>0.40167199999999997</v>
      </c>
      <c r="AE78" s="9"/>
      <c r="AF78" s="9"/>
      <c r="AG78" s="12">
        <f t="shared" si="13"/>
        <v>34.300000000000004</v>
      </c>
      <c r="AH78" s="12">
        <f t="shared" si="13"/>
        <v>43.5</v>
      </c>
      <c r="AI78" s="12">
        <f t="shared" si="13"/>
        <v>15.2</v>
      </c>
      <c r="AJ78" s="12">
        <f t="shared" si="13"/>
        <v>41.199999999999996</v>
      </c>
      <c r="AK78" s="12"/>
      <c r="AL78" s="12">
        <f t="shared" si="8"/>
        <v>57.199999999999996</v>
      </c>
      <c r="AM78" s="12">
        <f t="shared" si="8"/>
        <v>42.699999999999996</v>
      </c>
      <c r="AN78" s="12">
        <f t="shared" si="8"/>
        <v>86.2</v>
      </c>
      <c r="AO78" s="12">
        <f t="shared" si="8"/>
        <v>62.5</v>
      </c>
      <c r="AP78" s="12">
        <f t="shared" si="9"/>
        <v>48</v>
      </c>
      <c r="AQ78" s="12">
        <f t="shared" si="9"/>
        <v>42.699999999999996</v>
      </c>
      <c r="AR78" s="12"/>
      <c r="AS78" s="12">
        <f t="shared" si="10"/>
        <v>13.700000000000001</v>
      </c>
      <c r="AT78" s="12">
        <f t="shared" si="10"/>
        <v>38.9</v>
      </c>
      <c r="AU78" s="12">
        <f t="shared" si="10"/>
        <v>28.999999999999996</v>
      </c>
      <c r="AV78" s="12">
        <f t="shared" si="10"/>
        <v>11.4</v>
      </c>
      <c r="AW78" s="12">
        <f t="shared" si="11"/>
        <v>27.400000000000002</v>
      </c>
      <c r="AX78" s="12">
        <f t="shared" si="11"/>
        <v>49.6</v>
      </c>
      <c r="AY78" s="12"/>
      <c r="AZ78" s="12">
        <f t="shared" si="14"/>
        <v>80.2</v>
      </c>
      <c r="BA78" s="12">
        <f t="shared" si="15"/>
        <v>42.000000000000007</v>
      </c>
      <c r="BB78" s="12"/>
      <c r="BC78" s="12">
        <f t="shared" si="16"/>
        <v>89.3</v>
      </c>
      <c r="BD78" s="12">
        <f t="shared" si="17"/>
        <v>64.8</v>
      </c>
      <c r="BE78" s="12">
        <f t="shared" si="18"/>
        <v>84.8</v>
      </c>
    </row>
    <row r="79" spans="1:57" ht="15.75" customHeight="1" x14ac:dyDescent="0.25">
      <c r="A79" s="1" t="s">
        <v>179</v>
      </c>
      <c r="B79" s="3" t="s">
        <v>108</v>
      </c>
      <c r="C79" s="4" t="s">
        <v>92</v>
      </c>
      <c r="D79" s="4">
        <v>34</v>
      </c>
      <c r="E79" s="4">
        <v>571</v>
      </c>
      <c r="F79" s="4">
        <v>34</v>
      </c>
      <c r="G79" s="4">
        <v>571</v>
      </c>
      <c r="H79" s="4">
        <v>0.50700000000000001</v>
      </c>
      <c r="I79" s="4">
        <v>8</v>
      </c>
      <c r="J79" s="4"/>
      <c r="K79" s="4">
        <v>1</v>
      </c>
      <c r="L79" s="4">
        <v>0.308</v>
      </c>
      <c r="M79" s="4">
        <v>0.36</v>
      </c>
      <c r="N79" s="4">
        <v>0.152</v>
      </c>
      <c r="O79" s="4">
        <v>0.18</v>
      </c>
      <c r="P79" s="4">
        <v>0</v>
      </c>
      <c r="Q79" s="4"/>
      <c r="R79" s="4">
        <v>0.50700000000000001</v>
      </c>
      <c r="S79" s="4">
        <v>0.70799999999999996</v>
      </c>
      <c r="T79" s="4">
        <v>0.48699999999999999</v>
      </c>
      <c r="U79" s="4">
        <v>0.34399999999999997</v>
      </c>
      <c r="V79" s="4">
        <v>0.34200000000000003</v>
      </c>
      <c r="W79" s="4">
        <v>0</v>
      </c>
      <c r="X79" s="4"/>
      <c r="Y79" s="4">
        <v>0.78500000000000003</v>
      </c>
      <c r="Z79" s="4">
        <v>0</v>
      </c>
      <c r="AA79" s="4"/>
      <c r="AB79" s="4">
        <v>0</v>
      </c>
      <c r="AC79" s="4">
        <v>0</v>
      </c>
      <c r="AD79" s="10">
        <f t="shared" si="12"/>
        <v>0.78500000000000003</v>
      </c>
      <c r="AE79" s="9"/>
      <c r="AF79" s="9"/>
      <c r="AG79" s="12">
        <f t="shared" si="13"/>
        <v>65.600000000000009</v>
      </c>
      <c r="AH79" s="12">
        <f t="shared" si="13"/>
        <v>41.9</v>
      </c>
      <c r="AI79" s="12">
        <f t="shared" si="13"/>
        <v>87</v>
      </c>
      <c r="AJ79" s="12">
        <f t="shared" si="13"/>
        <v>17.5</v>
      </c>
      <c r="AK79" s="12"/>
      <c r="AL79" s="12">
        <f t="shared" si="8"/>
        <v>83.2</v>
      </c>
      <c r="AM79" s="12">
        <f t="shared" si="8"/>
        <v>66.400000000000006</v>
      </c>
      <c r="AN79" s="12">
        <f t="shared" si="8"/>
        <v>93.8</v>
      </c>
      <c r="AO79" s="12">
        <f t="shared" si="8"/>
        <v>67.900000000000006</v>
      </c>
      <c r="AP79" s="12">
        <f t="shared" si="9"/>
        <v>50.3</v>
      </c>
      <c r="AQ79" s="12">
        <f t="shared" si="9"/>
        <v>0</v>
      </c>
      <c r="AR79" s="12"/>
      <c r="AS79" s="12">
        <f t="shared" si="10"/>
        <v>84.7</v>
      </c>
      <c r="AT79" s="12">
        <f t="shared" si="10"/>
        <v>78.600000000000009</v>
      </c>
      <c r="AU79" s="12">
        <f t="shared" si="10"/>
        <v>91.600000000000009</v>
      </c>
      <c r="AV79" s="12">
        <f t="shared" si="10"/>
        <v>54.1</v>
      </c>
      <c r="AW79" s="12">
        <f t="shared" si="11"/>
        <v>50.3</v>
      </c>
      <c r="AX79" s="12">
        <f t="shared" si="11"/>
        <v>0</v>
      </c>
      <c r="AY79" s="12"/>
      <c r="AZ79" s="12">
        <f t="shared" si="14"/>
        <v>7.6999999999999886</v>
      </c>
      <c r="BA79" s="12">
        <f t="shared" si="15"/>
        <v>100</v>
      </c>
      <c r="BB79" s="12"/>
      <c r="BC79" s="12">
        <f t="shared" si="16"/>
        <v>0</v>
      </c>
      <c r="BD79" s="12">
        <f t="shared" si="17"/>
        <v>0</v>
      </c>
      <c r="BE79" s="12">
        <f t="shared" si="18"/>
        <v>13.799999999999997</v>
      </c>
    </row>
    <row r="80" spans="1:57" ht="15.75" customHeight="1" x14ac:dyDescent="0.25">
      <c r="A80" s="1" t="s">
        <v>180</v>
      </c>
      <c r="B80" s="4" t="s">
        <v>89</v>
      </c>
      <c r="C80" s="4" t="s">
        <v>115</v>
      </c>
      <c r="D80" s="4">
        <v>34</v>
      </c>
      <c r="E80" s="4">
        <v>571</v>
      </c>
      <c r="F80" s="4">
        <v>34</v>
      </c>
      <c r="G80" s="4">
        <v>571</v>
      </c>
      <c r="H80" s="4">
        <v>0.47399999999999998</v>
      </c>
      <c r="I80" s="4">
        <v>10.199999999999999</v>
      </c>
      <c r="J80" s="4"/>
      <c r="K80" s="4">
        <v>1</v>
      </c>
      <c r="L80" s="4">
        <v>0.19500000000000001</v>
      </c>
      <c r="M80" s="4">
        <v>0.26</v>
      </c>
      <c r="N80" s="4">
        <v>0.33100000000000002</v>
      </c>
      <c r="O80" s="4">
        <v>0.214</v>
      </c>
      <c r="P80" s="4">
        <v>0</v>
      </c>
      <c r="Q80" s="4"/>
      <c r="R80" s="4">
        <v>0.47399999999999998</v>
      </c>
      <c r="S80" s="4">
        <v>0.6</v>
      </c>
      <c r="T80" s="4">
        <v>0.45</v>
      </c>
      <c r="U80" s="4">
        <v>0.47099999999999997</v>
      </c>
      <c r="V80" s="4">
        <v>0.39400000000000002</v>
      </c>
      <c r="W80" s="4">
        <v>0</v>
      </c>
      <c r="X80" s="4"/>
      <c r="Y80" s="4">
        <v>0.60299999999999998</v>
      </c>
      <c r="Z80" s="4">
        <v>0</v>
      </c>
      <c r="AA80" s="4"/>
      <c r="AB80" s="4">
        <v>0</v>
      </c>
      <c r="AC80" s="4">
        <v>0</v>
      </c>
      <c r="AD80" s="10">
        <f t="shared" si="12"/>
        <v>0.60299999999999998</v>
      </c>
      <c r="AE80" s="9"/>
      <c r="AF80" s="9"/>
      <c r="AG80" s="12">
        <f t="shared" si="13"/>
        <v>65.600000000000009</v>
      </c>
      <c r="AH80" s="12">
        <f t="shared" si="13"/>
        <v>41.9</v>
      </c>
      <c r="AI80" s="12">
        <f t="shared" si="13"/>
        <v>81.599999999999994</v>
      </c>
      <c r="AJ80" s="12">
        <f t="shared" si="13"/>
        <v>30.5</v>
      </c>
      <c r="AK80" s="12"/>
      <c r="AL80" s="12">
        <f t="shared" si="8"/>
        <v>83.2</v>
      </c>
      <c r="AM80" s="12">
        <f t="shared" si="8"/>
        <v>29.7</v>
      </c>
      <c r="AN80" s="12">
        <f t="shared" si="8"/>
        <v>81.599999999999994</v>
      </c>
      <c r="AO80" s="12">
        <f t="shared" si="8"/>
        <v>99.2</v>
      </c>
      <c r="AP80" s="12">
        <f t="shared" si="9"/>
        <v>59.5</v>
      </c>
      <c r="AQ80" s="12">
        <f t="shared" si="9"/>
        <v>0</v>
      </c>
      <c r="AR80" s="12"/>
      <c r="AS80" s="12">
        <f t="shared" si="10"/>
        <v>72.5</v>
      </c>
      <c r="AT80" s="12">
        <f t="shared" si="10"/>
        <v>45.800000000000004</v>
      </c>
      <c r="AU80" s="12">
        <f t="shared" si="10"/>
        <v>84.7</v>
      </c>
      <c r="AV80" s="12">
        <f t="shared" si="10"/>
        <v>86.2</v>
      </c>
      <c r="AW80" s="12">
        <f t="shared" si="11"/>
        <v>65.600000000000009</v>
      </c>
      <c r="AX80" s="12">
        <f t="shared" si="11"/>
        <v>0</v>
      </c>
      <c r="AY80" s="12"/>
      <c r="AZ80" s="12">
        <f t="shared" si="14"/>
        <v>39</v>
      </c>
      <c r="BA80" s="12">
        <f t="shared" si="15"/>
        <v>100</v>
      </c>
      <c r="BB80" s="12"/>
      <c r="BC80" s="12">
        <f t="shared" si="16"/>
        <v>0</v>
      </c>
      <c r="BD80" s="12">
        <f t="shared" si="17"/>
        <v>0</v>
      </c>
      <c r="BE80" s="12">
        <f t="shared" si="18"/>
        <v>55.8</v>
      </c>
    </row>
    <row r="81" spans="1:57" ht="15.75" customHeight="1" x14ac:dyDescent="0.25">
      <c r="A81" s="1" t="s">
        <v>181</v>
      </c>
      <c r="B81" s="3" t="s">
        <v>141</v>
      </c>
      <c r="C81" s="4" t="s">
        <v>8</v>
      </c>
      <c r="D81" s="4">
        <v>33</v>
      </c>
      <c r="E81" s="4">
        <v>567</v>
      </c>
      <c r="F81" s="4">
        <v>33</v>
      </c>
      <c r="G81" s="4">
        <v>567</v>
      </c>
      <c r="H81" s="4">
        <v>0.38700000000000001</v>
      </c>
      <c r="I81" s="4">
        <v>20.399999999999999</v>
      </c>
      <c r="J81" s="4"/>
      <c r="K81" s="4">
        <v>0.24</v>
      </c>
      <c r="L81" s="4">
        <v>7.2999999999999995E-2</v>
      </c>
      <c r="M81" s="4">
        <v>0.04</v>
      </c>
      <c r="N81" s="4">
        <v>4.7E-2</v>
      </c>
      <c r="O81" s="4">
        <v>0.08</v>
      </c>
      <c r="P81" s="4">
        <v>0.76</v>
      </c>
      <c r="Q81" s="4"/>
      <c r="R81" s="4">
        <v>0.47199999999999998</v>
      </c>
      <c r="S81" s="4">
        <v>0.72699999999999998</v>
      </c>
      <c r="T81" s="4">
        <v>0.16700000000000001</v>
      </c>
      <c r="U81" s="4">
        <v>0.42899999999999999</v>
      </c>
      <c r="V81" s="4">
        <v>0.41699999999999998</v>
      </c>
      <c r="W81" s="4">
        <v>0.36</v>
      </c>
      <c r="X81" s="4"/>
      <c r="Y81" s="4">
        <v>0.64700000000000002</v>
      </c>
      <c r="Z81" s="4">
        <v>0.97599999999999998</v>
      </c>
      <c r="AA81" s="4"/>
      <c r="AB81" s="4">
        <v>0.54400000000000004</v>
      </c>
      <c r="AC81" s="4">
        <v>0.38700000000000001</v>
      </c>
      <c r="AD81" s="10">
        <f t="shared" si="12"/>
        <v>0.89703999999999995</v>
      </c>
      <c r="AE81" s="9"/>
      <c r="AF81" s="9"/>
      <c r="AG81" s="12">
        <f t="shared" si="13"/>
        <v>54.900000000000006</v>
      </c>
      <c r="AH81" s="12">
        <f t="shared" si="13"/>
        <v>41.199999999999996</v>
      </c>
      <c r="AI81" s="12">
        <f t="shared" si="13"/>
        <v>34.300000000000004</v>
      </c>
      <c r="AJ81" s="12">
        <f t="shared" si="13"/>
        <v>100</v>
      </c>
      <c r="AK81" s="12"/>
      <c r="AL81" s="12">
        <f t="shared" si="8"/>
        <v>0</v>
      </c>
      <c r="AM81" s="12">
        <f t="shared" si="8"/>
        <v>4.5</v>
      </c>
      <c r="AN81" s="12">
        <f t="shared" si="8"/>
        <v>0.70000000000000007</v>
      </c>
      <c r="AO81" s="12">
        <f t="shared" si="8"/>
        <v>9.9</v>
      </c>
      <c r="AP81" s="12">
        <f t="shared" si="9"/>
        <v>20.599999999999998</v>
      </c>
      <c r="AQ81" s="12">
        <f t="shared" si="9"/>
        <v>100</v>
      </c>
      <c r="AR81" s="12"/>
      <c r="AS81" s="12">
        <f t="shared" si="10"/>
        <v>70.899999999999991</v>
      </c>
      <c r="AT81" s="12">
        <f t="shared" si="10"/>
        <v>84.7</v>
      </c>
      <c r="AU81" s="12">
        <f t="shared" si="10"/>
        <v>5.3</v>
      </c>
      <c r="AV81" s="12">
        <f t="shared" si="10"/>
        <v>80.900000000000006</v>
      </c>
      <c r="AW81" s="12">
        <f t="shared" si="11"/>
        <v>74</v>
      </c>
      <c r="AX81" s="12">
        <f t="shared" si="11"/>
        <v>78.600000000000009</v>
      </c>
      <c r="AY81" s="12"/>
      <c r="AZ81" s="12">
        <f t="shared" si="14"/>
        <v>30.600000000000009</v>
      </c>
      <c r="BA81" s="12">
        <f t="shared" si="15"/>
        <v>24.5</v>
      </c>
      <c r="BB81" s="12"/>
      <c r="BC81" s="12">
        <f t="shared" si="16"/>
        <v>97.7</v>
      </c>
      <c r="BD81" s="12">
        <f t="shared" si="17"/>
        <v>74</v>
      </c>
      <c r="BE81" s="12">
        <f t="shared" si="18"/>
        <v>1.5999999999999943</v>
      </c>
    </row>
    <row r="82" spans="1:57" ht="15.75" customHeight="1" x14ac:dyDescent="0.25">
      <c r="A82" s="1" t="s">
        <v>182</v>
      </c>
      <c r="B82" s="3" t="s">
        <v>122</v>
      </c>
      <c r="C82" s="4" t="s">
        <v>8</v>
      </c>
      <c r="D82" s="4">
        <v>22</v>
      </c>
      <c r="E82" s="4">
        <v>549</v>
      </c>
      <c r="F82" s="4">
        <v>22</v>
      </c>
      <c r="G82" s="4">
        <v>549</v>
      </c>
      <c r="H82" s="4">
        <v>0.32900000000000001</v>
      </c>
      <c r="I82" s="4">
        <v>14</v>
      </c>
      <c r="J82" s="4"/>
      <c r="K82" s="4">
        <v>0.70199999999999996</v>
      </c>
      <c r="L82" s="4">
        <v>0.184</v>
      </c>
      <c r="M82" s="4">
        <v>0.18</v>
      </c>
      <c r="N82" s="4">
        <v>0.16500000000000001</v>
      </c>
      <c r="O82" s="4">
        <v>0.17299999999999999</v>
      </c>
      <c r="P82" s="4">
        <v>0.29799999999999999</v>
      </c>
      <c r="Q82" s="4"/>
      <c r="R82" s="4">
        <v>0.38500000000000001</v>
      </c>
      <c r="S82" s="4">
        <v>0.61699999999999999</v>
      </c>
      <c r="T82" s="4">
        <v>0.39100000000000001</v>
      </c>
      <c r="U82" s="4">
        <v>0.214</v>
      </c>
      <c r="V82" s="4">
        <v>0.29499999999999998</v>
      </c>
      <c r="W82" s="4">
        <v>0.19700000000000001</v>
      </c>
      <c r="X82" s="4"/>
      <c r="Y82" s="4">
        <v>0.159</v>
      </c>
      <c r="Z82" s="4">
        <v>0.73299999999999998</v>
      </c>
      <c r="AA82" s="4"/>
      <c r="AB82" s="4">
        <v>0.23699999999999999</v>
      </c>
      <c r="AC82" s="4">
        <v>0.16700000000000001</v>
      </c>
      <c r="AD82" s="10">
        <f t="shared" si="12"/>
        <v>0.33005200000000001</v>
      </c>
      <c r="AE82" s="9"/>
      <c r="AF82" s="9"/>
      <c r="AG82" s="12">
        <f t="shared" si="13"/>
        <v>14.499999999999998</v>
      </c>
      <c r="AH82" s="12">
        <f t="shared" si="13"/>
        <v>40.400000000000006</v>
      </c>
      <c r="AI82" s="12">
        <f t="shared" si="13"/>
        <v>14.499999999999998</v>
      </c>
      <c r="AJ82" s="12">
        <f t="shared" si="13"/>
        <v>68.7</v>
      </c>
      <c r="AK82" s="12"/>
      <c r="AL82" s="12">
        <f t="shared" si="8"/>
        <v>33.5</v>
      </c>
      <c r="AM82" s="12">
        <f t="shared" si="8"/>
        <v>27.400000000000002</v>
      </c>
      <c r="AN82" s="12">
        <f t="shared" si="8"/>
        <v>52.6</v>
      </c>
      <c r="AO82" s="12">
        <f t="shared" si="8"/>
        <v>71.7</v>
      </c>
      <c r="AP82" s="12">
        <f t="shared" si="9"/>
        <v>45.800000000000004</v>
      </c>
      <c r="AQ82" s="12">
        <f t="shared" si="9"/>
        <v>66.400000000000006</v>
      </c>
      <c r="AR82" s="12"/>
      <c r="AS82" s="12">
        <f t="shared" si="10"/>
        <v>21.3</v>
      </c>
      <c r="AT82" s="12">
        <f t="shared" si="10"/>
        <v>57.999999999999993</v>
      </c>
      <c r="AU82" s="12">
        <f t="shared" si="10"/>
        <v>67.900000000000006</v>
      </c>
      <c r="AV82" s="12">
        <f t="shared" si="10"/>
        <v>19.8</v>
      </c>
      <c r="AW82" s="12">
        <f t="shared" si="11"/>
        <v>31.2</v>
      </c>
      <c r="AX82" s="12">
        <f t="shared" si="11"/>
        <v>37.4</v>
      </c>
      <c r="AY82" s="12"/>
      <c r="AZ82" s="12">
        <f t="shared" si="14"/>
        <v>97.8</v>
      </c>
      <c r="BA82" s="12">
        <f t="shared" si="15"/>
        <v>53.5</v>
      </c>
      <c r="BB82" s="12"/>
      <c r="BC82" s="12">
        <f t="shared" si="16"/>
        <v>79.3</v>
      </c>
      <c r="BD82" s="12">
        <f t="shared" si="17"/>
        <v>48.8</v>
      </c>
      <c r="BE82" s="12">
        <f t="shared" si="18"/>
        <v>95.5</v>
      </c>
    </row>
    <row r="83" spans="1:57" ht="15.75" customHeight="1" x14ac:dyDescent="0.25">
      <c r="A83" s="1" t="s">
        <v>183</v>
      </c>
      <c r="B83" s="3" t="s">
        <v>99</v>
      </c>
      <c r="C83" s="4" t="s">
        <v>8</v>
      </c>
      <c r="D83" s="4">
        <v>23</v>
      </c>
      <c r="E83" s="4">
        <v>513</v>
      </c>
      <c r="F83" s="4">
        <v>23</v>
      </c>
      <c r="G83" s="4">
        <v>513</v>
      </c>
      <c r="H83" s="4">
        <v>0.40600000000000003</v>
      </c>
      <c r="I83" s="4">
        <v>11.3</v>
      </c>
      <c r="J83" s="4"/>
      <c r="K83" s="4">
        <v>0.69</v>
      </c>
      <c r="L83" s="4">
        <v>0.36</v>
      </c>
      <c r="M83" s="4">
        <v>0.19800000000000001</v>
      </c>
      <c r="N83" s="4">
        <v>7.5999999999999998E-2</v>
      </c>
      <c r="O83" s="4">
        <v>5.6000000000000001E-2</v>
      </c>
      <c r="P83" s="4">
        <v>0.31</v>
      </c>
      <c r="Q83" s="4"/>
      <c r="R83" s="4">
        <v>0.41899999999999998</v>
      </c>
      <c r="S83" s="4">
        <v>0.53500000000000003</v>
      </c>
      <c r="T83" s="4">
        <v>0.35899999999999999</v>
      </c>
      <c r="U83" s="4">
        <v>0.2</v>
      </c>
      <c r="V83" s="4">
        <v>0.182</v>
      </c>
      <c r="W83" s="4">
        <v>0.377</v>
      </c>
      <c r="X83" s="4"/>
      <c r="Y83" s="4">
        <v>0.49099999999999999</v>
      </c>
      <c r="Z83" s="4">
        <v>0.82599999999999996</v>
      </c>
      <c r="AA83" s="4"/>
      <c r="AB83" s="4">
        <v>0.16400000000000001</v>
      </c>
      <c r="AC83" s="4">
        <v>0.5</v>
      </c>
      <c r="AD83" s="10">
        <f t="shared" si="12"/>
        <v>0.59484999999999999</v>
      </c>
      <c r="AE83" s="9"/>
      <c r="AF83" s="9"/>
      <c r="AG83" s="12">
        <f t="shared" si="13"/>
        <v>17.5</v>
      </c>
      <c r="AH83" s="12">
        <f t="shared" si="13"/>
        <v>39.6</v>
      </c>
      <c r="AI83" s="12">
        <f t="shared" si="13"/>
        <v>47.3</v>
      </c>
      <c r="AJ83" s="12">
        <f t="shared" si="13"/>
        <v>35.799999999999997</v>
      </c>
      <c r="AK83" s="12"/>
      <c r="AL83" s="12">
        <f t="shared" si="8"/>
        <v>31.2</v>
      </c>
      <c r="AM83" s="12">
        <f t="shared" si="8"/>
        <v>76.3</v>
      </c>
      <c r="AN83" s="12">
        <f t="shared" si="8"/>
        <v>57.999999999999993</v>
      </c>
      <c r="AO83" s="12">
        <f t="shared" ref="AO83:AQ135" si="19">(PERCENTRANK(N$4:N$298,N83))*100</f>
        <v>23.599999999999998</v>
      </c>
      <c r="AP83" s="12">
        <f t="shared" si="9"/>
        <v>12.2</v>
      </c>
      <c r="AQ83" s="12">
        <f t="shared" si="9"/>
        <v>67.900000000000006</v>
      </c>
      <c r="AR83" s="12"/>
      <c r="AS83" s="12">
        <f t="shared" si="10"/>
        <v>41.9</v>
      </c>
      <c r="AT83" s="12">
        <f t="shared" si="10"/>
        <v>23.599999999999998</v>
      </c>
      <c r="AU83" s="12">
        <f t="shared" si="10"/>
        <v>56.399999999999991</v>
      </c>
      <c r="AV83" s="12">
        <f t="shared" ref="AV83:AX135" si="20">(PERCENTRANK(U$4:U$298,U83))*100</f>
        <v>18.3</v>
      </c>
      <c r="AW83" s="12">
        <f t="shared" si="11"/>
        <v>12.9</v>
      </c>
      <c r="AX83" s="12">
        <f t="shared" si="11"/>
        <v>85.399999999999991</v>
      </c>
      <c r="AY83" s="12"/>
      <c r="AZ83" s="12">
        <f t="shared" si="14"/>
        <v>56.5</v>
      </c>
      <c r="BA83" s="12">
        <f t="shared" si="15"/>
        <v>47.4</v>
      </c>
      <c r="BB83" s="12"/>
      <c r="BC83" s="12">
        <f t="shared" si="16"/>
        <v>66.400000000000006</v>
      </c>
      <c r="BD83" s="12">
        <f t="shared" si="17"/>
        <v>87</v>
      </c>
      <c r="BE83" s="12">
        <f t="shared" si="18"/>
        <v>58.800000000000004</v>
      </c>
    </row>
    <row r="84" spans="1:57" ht="15.75" customHeight="1" x14ac:dyDescent="0.25">
      <c r="A84" s="1" t="s">
        <v>184</v>
      </c>
      <c r="B84" s="3" t="s">
        <v>95</v>
      </c>
      <c r="C84" s="4" t="s">
        <v>92</v>
      </c>
      <c r="D84" s="4">
        <v>33</v>
      </c>
      <c r="E84" s="4">
        <v>505</v>
      </c>
      <c r="F84" s="4">
        <v>33</v>
      </c>
      <c r="G84" s="4">
        <v>505</v>
      </c>
      <c r="H84" s="4">
        <v>0.45300000000000001</v>
      </c>
      <c r="I84" s="4">
        <v>12.6</v>
      </c>
      <c r="J84" s="4"/>
      <c r="K84" s="4">
        <v>0.61299999999999999</v>
      </c>
      <c r="L84" s="4">
        <v>0.29199999999999998</v>
      </c>
      <c r="M84" s="4">
        <v>0.245</v>
      </c>
      <c r="N84" s="4">
        <v>8.9999999999999993E-3</v>
      </c>
      <c r="O84" s="4">
        <v>6.6000000000000003E-2</v>
      </c>
      <c r="P84" s="4">
        <v>0.38700000000000001</v>
      </c>
      <c r="Q84" s="4"/>
      <c r="R84" s="4">
        <v>0.49199999999999999</v>
      </c>
      <c r="S84" s="4">
        <v>0.67700000000000005</v>
      </c>
      <c r="T84" s="4">
        <v>0.38500000000000001</v>
      </c>
      <c r="U84" s="4">
        <v>0</v>
      </c>
      <c r="V84" s="4">
        <v>0.14299999999999999</v>
      </c>
      <c r="W84" s="4">
        <v>0.39</v>
      </c>
      <c r="X84" s="4"/>
      <c r="Y84" s="4">
        <v>0.46899999999999997</v>
      </c>
      <c r="Z84" s="4">
        <v>0.93799999999999994</v>
      </c>
      <c r="AA84" s="4"/>
      <c r="AB84" s="4">
        <v>0.56100000000000005</v>
      </c>
      <c r="AC84" s="4">
        <v>0.34799999999999998</v>
      </c>
      <c r="AD84" s="10">
        <f t="shared" si="12"/>
        <v>0.65050300000000005</v>
      </c>
      <c r="AE84" s="9"/>
      <c r="AF84" s="9"/>
      <c r="AG84" s="12">
        <f t="shared" si="13"/>
        <v>54.900000000000006</v>
      </c>
      <c r="AH84" s="12">
        <f t="shared" si="13"/>
        <v>38.9</v>
      </c>
      <c r="AI84" s="12">
        <f t="shared" si="13"/>
        <v>75.5</v>
      </c>
      <c r="AJ84" s="12">
        <f t="shared" si="13"/>
        <v>52.6</v>
      </c>
      <c r="AK84" s="12"/>
      <c r="AL84" s="12">
        <f t="shared" ref="AL84:AN135" si="21">(PERCENTRANK(K$4:K$298,K84))*100</f>
        <v>20.599999999999998</v>
      </c>
      <c r="AM84" s="12">
        <f t="shared" si="21"/>
        <v>60.3</v>
      </c>
      <c r="AN84" s="12">
        <f t="shared" si="21"/>
        <v>76.3</v>
      </c>
      <c r="AO84" s="12">
        <f t="shared" si="19"/>
        <v>0.70000000000000007</v>
      </c>
      <c r="AP84" s="12">
        <f t="shared" si="19"/>
        <v>16</v>
      </c>
      <c r="AQ84" s="12">
        <f t="shared" si="19"/>
        <v>78.600000000000009</v>
      </c>
      <c r="AR84" s="12"/>
      <c r="AS84" s="12">
        <f t="shared" ref="AS84:AU135" si="22">(PERCENTRANK(R$4:R$298,R84))*100</f>
        <v>80.100000000000009</v>
      </c>
      <c r="AT84" s="12">
        <f t="shared" si="22"/>
        <v>68.7</v>
      </c>
      <c r="AU84" s="12">
        <f t="shared" si="22"/>
        <v>63.3</v>
      </c>
      <c r="AV84" s="12">
        <f t="shared" si="20"/>
        <v>0</v>
      </c>
      <c r="AW84" s="12">
        <f t="shared" si="20"/>
        <v>8.3000000000000007</v>
      </c>
      <c r="AX84" s="12">
        <f t="shared" si="20"/>
        <v>88.5</v>
      </c>
      <c r="AY84" s="12"/>
      <c r="AZ84" s="12">
        <f t="shared" si="14"/>
        <v>59.599999999999994</v>
      </c>
      <c r="BA84" s="12">
        <f t="shared" si="15"/>
        <v>30.600000000000009</v>
      </c>
      <c r="BB84" s="12"/>
      <c r="BC84" s="12">
        <f t="shared" si="16"/>
        <v>98.4</v>
      </c>
      <c r="BD84" s="12">
        <f t="shared" si="17"/>
        <v>70.199999999999989</v>
      </c>
      <c r="BE84" s="12">
        <f t="shared" si="18"/>
        <v>45.099999999999994</v>
      </c>
    </row>
    <row r="85" spans="1:57" ht="15.75" customHeight="1" x14ac:dyDescent="0.25">
      <c r="A85" s="1" t="s">
        <v>185</v>
      </c>
      <c r="B85" s="3" t="s">
        <v>89</v>
      </c>
      <c r="C85" s="4" t="s">
        <v>8</v>
      </c>
      <c r="D85" s="4">
        <v>34</v>
      </c>
      <c r="E85" s="4">
        <v>503</v>
      </c>
      <c r="F85" s="4">
        <v>34</v>
      </c>
      <c r="G85" s="4">
        <v>503</v>
      </c>
      <c r="H85" s="4">
        <v>0.35899999999999999</v>
      </c>
      <c r="I85" s="4">
        <v>11.7</v>
      </c>
      <c r="J85" s="4"/>
      <c r="K85" s="4">
        <v>0.95099999999999996</v>
      </c>
      <c r="L85" s="4">
        <v>0.26800000000000002</v>
      </c>
      <c r="M85" s="4">
        <v>0.127</v>
      </c>
      <c r="N85" s="4">
        <v>0.28899999999999998</v>
      </c>
      <c r="O85" s="4">
        <v>0.26800000000000002</v>
      </c>
      <c r="P85" s="4">
        <v>4.9000000000000002E-2</v>
      </c>
      <c r="Q85" s="4"/>
      <c r="R85" s="4">
        <v>0.37</v>
      </c>
      <c r="S85" s="4">
        <v>0.34200000000000003</v>
      </c>
      <c r="T85" s="4">
        <v>0.33300000000000002</v>
      </c>
      <c r="U85" s="4">
        <v>0.29299999999999998</v>
      </c>
      <c r="V85" s="4">
        <v>0.5</v>
      </c>
      <c r="W85" s="4">
        <v>0.14299999999999999</v>
      </c>
      <c r="X85" s="4"/>
      <c r="Y85" s="4">
        <v>0.6</v>
      </c>
      <c r="Z85" s="4">
        <v>1</v>
      </c>
      <c r="AA85" s="4"/>
      <c r="AB85" s="4">
        <v>0.14299999999999999</v>
      </c>
      <c r="AC85" s="4">
        <v>1</v>
      </c>
      <c r="AD85" s="10">
        <f t="shared" si="12"/>
        <v>0.61960000000000004</v>
      </c>
      <c r="AE85" s="9"/>
      <c r="AF85" s="9"/>
      <c r="AG85" s="12">
        <f t="shared" si="13"/>
        <v>65.600000000000009</v>
      </c>
      <c r="AH85" s="12">
        <f t="shared" si="13"/>
        <v>38.1</v>
      </c>
      <c r="AI85" s="12">
        <f t="shared" si="13"/>
        <v>22.1</v>
      </c>
      <c r="AJ85" s="12">
        <f t="shared" si="13"/>
        <v>41.199999999999996</v>
      </c>
      <c r="AK85" s="12"/>
      <c r="AL85" s="12">
        <f t="shared" si="21"/>
        <v>67.100000000000009</v>
      </c>
      <c r="AM85" s="12">
        <f t="shared" si="21"/>
        <v>52.6</v>
      </c>
      <c r="AN85" s="12">
        <f t="shared" si="21"/>
        <v>25.900000000000002</v>
      </c>
      <c r="AO85" s="12">
        <f t="shared" si="19"/>
        <v>96.1</v>
      </c>
      <c r="AP85" s="12">
        <f t="shared" si="19"/>
        <v>77</v>
      </c>
      <c r="AQ85" s="12">
        <f t="shared" si="19"/>
        <v>32.800000000000004</v>
      </c>
      <c r="AR85" s="12"/>
      <c r="AS85" s="12">
        <f t="shared" si="22"/>
        <v>19.8</v>
      </c>
      <c r="AT85" s="12">
        <f t="shared" si="22"/>
        <v>7.6</v>
      </c>
      <c r="AU85" s="12">
        <f t="shared" si="22"/>
        <v>39.6</v>
      </c>
      <c r="AV85" s="12">
        <f t="shared" si="20"/>
        <v>32</v>
      </c>
      <c r="AW85" s="12">
        <f t="shared" si="20"/>
        <v>90.8</v>
      </c>
      <c r="AX85" s="12">
        <f t="shared" si="20"/>
        <v>32.800000000000004</v>
      </c>
      <c r="AY85" s="12"/>
      <c r="AZ85" s="12">
        <f t="shared" si="14"/>
        <v>42.800000000000004</v>
      </c>
      <c r="BA85" s="12">
        <f t="shared" si="15"/>
        <v>23</v>
      </c>
      <c r="BB85" s="12"/>
      <c r="BC85" s="12">
        <f t="shared" si="16"/>
        <v>59.5</v>
      </c>
      <c r="BD85" s="12">
        <f t="shared" si="17"/>
        <v>99.2</v>
      </c>
      <c r="BE85" s="12">
        <f t="shared" si="18"/>
        <v>52.7</v>
      </c>
    </row>
    <row r="86" spans="1:57" ht="15.75" customHeight="1" x14ac:dyDescent="0.25">
      <c r="A86" s="1" t="s">
        <v>186</v>
      </c>
      <c r="B86" s="3" t="s">
        <v>141</v>
      </c>
      <c r="C86" s="4" t="s">
        <v>115</v>
      </c>
      <c r="D86" s="4">
        <v>20</v>
      </c>
      <c r="E86" s="4">
        <v>499</v>
      </c>
      <c r="F86" s="4">
        <v>20</v>
      </c>
      <c r="G86" s="4">
        <v>499</v>
      </c>
      <c r="H86" s="4">
        <v>0.56100000000000005</v>
      </c>
      <c r="I86" s="4">
        <v>4.3</v>
      </c>
      <c r="J86" s="4"/>
      <c r="K86" s="4">
        <v>1</v>
      </c>
      <c r="L86" s="4">
        <v>0.47099999999999997</v>
      </c>
      <c r="M86" s="4">
        <v>0.45500000000000002</v>
      </c>
      <c r="N86" s="4">
        <v>5.2999999999999999E-2</v>
      </c>
      <c r="O86" s="4">
        <v>2.1000000000000001E-2</v>
      </c>
      <c r="P86" s="4">
        <v>0</v>
      </c>
      <c r="Q86" s="4"/>
      <c r="R86" s="4">
        <v>0.56100000000000005</v>
      </c>
      <c r="S86" s="4">
        <v>0.69699999999999995</v>
      </c>
      <c r="T86" s="4">
        <v>0.46500000000000002</v>
      </c>
      <c r="U86" s="4">
        <v>0.2</v>
      </c>
      <c r="V86" s="4">
        <v>0.5</v>
      </c>
      <c r="W86" s="4">
        <v>0</v>
      </c>
      <c r="X86" s="4"/>
      <c r="Y86" s="4">
        <v>0.59399999999999997</v>
      </c>
      <c r="Z86" s="4">
        <v>0</v>
      </c>
      <c r="AA86" s="4"/>
      <c r="AB86" s="4">
        <v>0</v>
      </c>
      <c r="AC86" s="4">
        <v>0</v>
      </c>
      <c r="AD86" s="10">
        <f t="shared" si="12"/>
        <v>0.59399999999999997</v>
      </c>
      <c r="AE86" s="9"/>
      <c r="AF86" s="9"/>
      <c r="AG86" s="12">
        <f t="shared" si="13"/>
        <v>12.2</v>
      </c>
      <c r="AH86" s="12">
        <f t="shared" si="13"/>
        <v>37.4</v>
      </c>
      <c r="AI86" s="12">
        <f t="shared" si="13"/>
        <v>96.899999999999991</v>
      </c>
      <c r="AJ86" s="12">
        <f t="shared" si="13"/>
        <v>3.8</v>
      </c>
      <c r="AK86" s="12"/>
      <c r="AL86" s="12">
        <f t="shared" si="21"/>
        <v>83.2</v>
      </c>
      <c r="AM86" s="12">
        <f t="shared" si="21"/>
        <v>89.3</v>
      </c>
      <c r="AN86" s="12">
        <f t="shared" si="21"/>
        <v>97.7</v>
      </c>
      <c r="AO86" s="12">
        <f t="shared" si="19"/>
        <v>12.2</v>
      </c>
      <c r="AP86" s="12">
        <f t="shared" si="19"/>
        <v>5.3</v>
      </c>
      <c r="AQ86" s="12">
        <f t="shared" si="19"/>
        <v>0</v>
      </c>
      <c r="AR86" s="12"/>
      <c r="AS86" s="12">
        <f t="shared" si="22"/>
        <v>94.6</v>
      </c>
      <c r="AT86" s="12">
        <f t="shared" si="22"/>
        <v>76.3</v>
      </c>
      <c r="AU86" s="12">
        <f t="shared" si="22"/>
        <v>87.7</v>
      </c>
      <c r="AV86" s="12">
        <f t="shared" si="20"/>
        <v>18.3</v>
      </c>
      <c r="AW86" s="12">
        <f t="shared" si="20"/>
        <v>90.8</v>
      </c>
      <c r="AX86" s="12">
        <f t="shared" si="20"/>
        <v>0</v>
      </c>
      <c r="AY86" s="12"/>
      <c r="AZ86" s="12">
        <f t="shared" si="14"/>
        <v>45.099999999999994</v>
      </c>
      <c r="BA86" s="12">
        <f t="shared" si="15"/>
        <v>100</v>
      </c>
      <c r="BB86" s="12"/>
      <c r="BC86" s="12">
        <f t="shared" si="16"/>
        <v>0</v>
      </c>
      <c r="BD86" s="12">
        <f t="shared" si="17"/>
        <v>0</v>
      </c>
      <c r="BE86" s="12">
        <f t="shared" si="18"/>
        <v>59.599999999999994</v>
      </c>
    </row>
    <row r="87" spans="1:57" ht="15.75" customHeight="1" x14ac:dyDescent="0.25">
      <c r="A87" s="1" t="s">
        <v>187</v>
      </c>
      <c r="B87" s="3" t="s">
        <v>89</v>
      </c>
      <c r="C87" s="4" t="s">
        <v>92</v>
      </c>
      <c r="D87" s="4">
        <v>34</v>
      </c>
      <c r="E87" s="4">
        <v>498</v>
      </c>
      <c r="F87" s="4">
        <v>34</v>
      </c>
      <c r="G87" s="4">
        <v>498</v>
      </c>
      <c r="H87" s="4">
        <v>0.44600000000000001</v>
      </c>
      <c r="I87" s="4">
        <v>12.3</v>
      </c>
      <c r="J87" s="4"/>
      <c r="K87" s="4">
        <v>0.98599999999999999</v>
      </c>
      <c r="L87" s="4">
        <v>0.155</v>
      </c>
      <c r="M87" s="4">
        <v>0.20899999999999999</v>
      </c>
      <c r="N87" s="4">
        <v>0.24299999999999999</v>
      </c>
      <c r="O87" s="4">
        <v>0.378</v>
      </c>
      <c r="P87" s="4">
        <v>1.4E-2</v>
      </c>
      <c r="Q87" s="4"/>
      <c r="R87" s="4">
        <v>0.45200000000000001</v>
      </c>
      <c r="S87" s="4">
        <v>0.60899999999999999</v>
      </c>
      <c r="T87" s="4">
        <v>0.38700000000000001</v>
      </c>
      <c r="U87" s="4">
        <v>0.52800000000000002</v>
      </c>
      <c r="V87" s="4">
        <v>0.375</v>
      </c>
      <c r="W87" s="4">
        <v>0</v>
      </c>
      <c r="X87" s="4"/>
      <c r="Y87" s="4">
        <v>0.83299999999999996</v>
      </c>
      <c r="Z87" s="4">
        <v>0</v>
      </c>
      <c r="AA87" s="4"/>
      <c r="AB87" s="4">
        <v>0</v>
      </c>
      <c r="AC87" s="4">
        <v>0</v>
      </c>
      <c r="AD87" s="10">
        <f t="shared" si="12"/>
        <v>0.8213379999999999</v>
      </c>
      <c r="AE87" s="9"/>
      <c r="AF87" s="9"/>
      <c r="AG87" s="12">
        <f t="shared" si="13"/>
        <v>65.600000000000009</v>
      </c>
      <c r="AH87" s="12">
        <f t="shared" si="13"/>
        <v>36.6</v>
      </c>
      <c r="AI87" s="12">
        <f t="shared" si="13"/>
        <v>71.7</v>
      </c>
      <c r="AJ87" s="12">
        <f t="shared" si="13"/>
        <v>49.6</v>
      </c>
      <c r="AK87" s="12"/>
      <c r="AL87" s="12">
        <f t="shared" si="21"/>
        <v>74</v>
      </c>
      <c r="AM87" s="12">
        <f t="shared" si="21"/>
        <v>20.599999999999998</v>
      </c>
      <c r="AN87" s="12">
        <f t="shared" si="21"/>
        <v>66.400000000000006</v>
      </c>
      <c r="AO87" s="12">
        <f t="shared" si="19"/>
        <v>93.100000000000009</v>
      </c>
      <c r="AP87" s="12">
        <f t="shared" si="19"/>
        <v>96.1</v>
      </c>
      <c r="AQ87" s="12">
        <f t="shared" si="19"/>
        <v>25.1</v>
      </c>
      <c r="AR87" s="12"/>
      <c r="AS87" s="12">
        <f t="shared" si="22"/>
        <v>57.199999999999996</v>
      </c>
      <c r="AT87" s="12">
        <f t="shared" si="22"/>
        <v>51.9</v>
      </c>
      <c r="AU87" s="12">
        <f t="shared" si="22"/>
        <v>64.8</v>
      </c>
      <c r="AV87" s="12">
        <f t="shared" si="20"/>
        <v>96.1</v>
      </c>
      <c r="AW87" s="12">
        <f t="shared" si="20"/>
        <v>61.8</v>
      </c>
      <c r="AX87" s="12">
        <f t="shared" si="20"/>
        <v>0</v>
      </c>
      <c r="AY87" s="12"/>
      <c r="AZ87" s="12">
        <f t="shared" si="14"/>
        <v>2.2999999999999972</v>
      </c>
      <c r="BA87" s="12">
        <f t="shared" si="15"/>
        <v>100</v>
      </c>
      <c r="BB87" s="12"/>
      <c r="BC87" s="12">
        <f t="shared" si="16"/>
        <v>0</v>
      </c>
      <c r="BD87" s="12">
        <f t="shared" si="17"/>
        <v>0</v>
      </c>
      <c r="BE87" s="12">
        <f t="shared" si="18"/>
        <v>9.2000000000000028</v>
      </c>
    </row>
    <row r="88" spans="1:57" ht="15.75" customHeight="1" x14ac:dyDescent="0.25">
      <c r="A88" s="1" t="s">
        <v>188</v>
      </c>
      <c r="B88" s="3" t="s">
        <v>86</v>
      </c>
      <c r="C88" s="4" t="s">
        <v>115</v>
      </c>
      <c r="D88" s="4">
        <v>34</v>
      </c>
      <c r="E88" s="4">
        <v>477</v>
      </c>
      <c r="F88" s="4">
        <v>34</v>
      </c>
      <c r="G88" s="4">
        <v>477</v>
      </c>
      <c r="H88" s="4">
        <v>0.51600000000000001</v>
      </c>
      <c r="I88" s="4">
        <v>2.4</v>
      </c>
      <c r="J88" s="4"/>
      <c r="K88" s="4">
        <v>1</v>
      </c>
      <c r="L88" s="4">
        <v>0.73399999999999999</v>
      </c>
      <c r="M88" s="4">
        <v>0.25</v>
      </c>
      <c r="N88" s="4">
        <v>1.6E-2</v>
      </c>
      <c r="O88" s="4">
        <v>0</v>
      </c>
      <c r="P88" s="4">
        <v>0</v>
      </c>
      <c r="Q88" s="4"/>
      <c r="R88" s="4">
        <v>0.51600000000000001</v>
      </c>
      <c r="S88" s="4">
        <v>0.61699999999999999</v>
      </c>
      <c r="T88" s="4">
        <v>0.25</v>
      </c>
      <c r="U88" s="4">
        <v>0</v>
      </c>
      <c r="V88" s="4">
        <v>0</v>
      </c>
      <c r="W88" s="4">
        <v>0</v>
      </c>
      <c r="X88" s="4"/>
      <c r="Y88" s="4">
        <v>0.81799999999999995</v>
      </c>
      <c r="Z88" s="4">
        <v>0</v>
      </c>
      <c r="AA88" s="4"/>
      <c r="AB88" s="4">
        <v>0</v>
      </c>
      <c r="AC88" s="4">
        <v>0</v>
      </c>
      <c r="AD88" s="10">
        <f t="shared" si="12"/>
        <v>0.81799999999999995</v>
      </c>
      <c r="AE88" s="9"/>
      <c r="AF88" s="9"/>
      <c r="AG88" s="12">
        <f t="shared" si="13"/>
        <v>65.600000000000009</v>
      </c>
      <c r="AH88" s="12">
        <f t="shared" si="13"/>
        <v>35.799999999999997</v>
      </c>
      <c r="AI88" s="12">
        <f t="shared" si="13"/>
        <v>90</v>
      </c>
      <c r="AJ88" s="12">
        <f t="shared" si="13"/>
        <v>0</v>
      </c>
      <c r="AK88" s="12"/>
      <c r="AL88" s="12">
        <f t="shared" si="21"/>
        <v>83.2</v>
      </c>
      <c r="AM88" s="12">
        <f t="shared" si="21"/>
        <v>100</v>
      </c>
      <c r="AN88" s="12">
        <f t="shared" si="21"/>
        <v>78.600000000000009</v>
      </c>
      <c r="AO88" s="12">
        <f t="shared" si="19"/>
        <v>2.1999999999999997</v>
      </c>
      <c r="AP88" s="12">
        <f t="shared" si="19"/>
        <v>0</v>
      </c>
      <c r="AQ88" s="12">
        <f t="shared" si="19"/>
        <v>0</v>
      </c>
      <c r="AR88" s="12"/>
      <c r="AS88" s="12">
        <f t="shared" si="22"/>
        <v>86.2</v>
      </c>
      <c r="AT88" s="12">
        <f t="shared" si="22"/>
        <v>57.999999999999993</v>
      </c>
      <c r="AU88" s="12">
        <f t="shared" si="22"/>
        <v>16.7</v>
      </c>
      <c r="AV88" s="12">
        <f t="shared" si="20"/>
        <v>0</v>
      </c>
      <c r="AW88" s="12">
        <f t="shared" si="20"/>
        <v>0</v>
      </c>
      <c r="AX88" s="12">
        <f t="shared" si="20"/>
        <v>0</v>
      </c>
      <c r="AY88" s="12"/>
      <c r="AZ88" s="12">
        <f t="shared" si="14"/>
        <v>3.1000000000000085</v>
      </c>
      <c r="BA88" s="12">
        <f t="shared" si="15"/>
        <v>100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10.700000000000003</v>
      </c>
    </row>
    <row r="89" spans="1:57" ht="15.75" customHeight="1" x14ac:dyDescent="0.25">
      <c r="A89" s="1" t="s">
        <v>189</v>
      </c>
      <c r="B89" s="3" t="s">
        <v>104</v>
      </c>
      <c r="C89" s="4" t="s">
        <v>8</v>
      </c>
      <c r="D89" s="4">
        <v>34</v>
      </c>
      <c r="E89" s="4">
        <v>453</v>
      </c>
      <c r="F89" s="4">
        <v>34</v>
      </c>
      <c r="G89" s="4">
        <v>453</v>
      </c>
      <c r="H89" s="4">
        <v>0.32200000000000001</v>
      </c>
      <c r="I89" s="4">
        <v>13.5</v>
      </c>
      <c r="J89" s="4"/>
      <c r="K89" s="4">
        <v>0.81</v>
      </c>
      <c r="L89" s="4">
        <v>0.17399999999999999</v>
      </c>
      <c r="M89" s="4">
        <v>0.24</v>
      </c>
      <c r="N89" s="4">
        <v>9.9000000000000005E-2</v>
      </c>
      <c r="O89" s="4">
        <v>0.29799999999999999</v>
      </c>
      <c r="P89" s="4">
        <v>0.19</v>
      </c>
      <c r="Q89" s="4"/>
      <c r="R89" s="4">
        <v>0.33700000000000002</v>
      </c>
      <c r="S89" s="4">
        <v>0.71399999999999997</v>
      </c>
      <c r="T89" s="4">
        <v>0.10299999999999999</v>
      </c>
      <c r="U89" s="4">
        <v>0.5</v>
      </c>
      <c r="V89" s="4">
        <v>0.25</v>
      </c>
      <c r="W89" s="4">
        <v>0.26100000000000001</v>
      </c>
      <c r="X89" s="4"/>
      <c r="Y89" s="4">
        <v>0.45500000000000002</v>
      </c>
      <c r="Z89" s="4">
        <v>0.66700000000000004</v>
      </c>
      <c r="AA89" s="4"/>
      <c r="AB89" s="4">
        <v>8.6999999999999994E-2</v>
      </c>
      <c r="AC89" s="4">
        <v>0</v>
      </c>
      <c r="AD89" s="10">
        <f t="shared" si="12"/>
        <v>0.49528000000000005</v>
      </c>
      <c r="AE89" s="9"/>
      <c r="AF89" s="9"/>
      <c r="AG89" s="12">
        <f t="shared" si="13"/>
        <v>65.600000000000009</v>
      </c>
      <c r="AH89" s="12">
        <f t="shared" si="13"/>
        <v>35.099999999999994</v>
      </c>
      <c r="AI89" s="12">
        <f t="shared" si="13"/>
        <v>9.9</v>
      </c>
      <c r="AJ89" s="12">
        <f t="shared" si="13"/>
        <v>60.3</v>
      </c>
      <c r="AK89" s="12"/>
      <c r="AL89" s="12">
        <f t="shared" si="21"/>
        <v>54.1</v>
      </c>
      <c r="AM89" s="12">
        <f t="shared" si="21"/>
        <v>25.900000000000002</v>
      </c>
      <c r="AN89" s="12">
        <f t="shared" si="21"/>
        <v>74.8</v>
      </c>
      <c r="AO89" s="12">
        <f t="shared" si="19"/>
        <v>40.400000000000006</v>
      </c>
      <c r="AP89" s="12">
        <f t="shared" si="19"/>
        <v>85.399999999999991</v>
      </c>
      <c r="AQ89" s="12">
        <f t="shared" si="19"/>
        <v>45</v>
      </c>
      <c r="AR89" s="12"/>
      <c r="AS89" s="12">
        <f t="shared" si="22"/>
        <v>11.4</v>
      </c>
      <c r="AT89" s="12">
        <f t="shared" si="22"/>
        <v>81.599999999999994</v>
      </c>
      <c r="AU89" s="12">
        <f t="shared" si="22"/>
        <v>2.1999999999999997</v>
      </c>
      <c r="AV89" s="12">
        <f t="shared" si="20"/>
        <v>90.8</v>
      </c>
      <c r="AW89" s="12">
        <f t="shared" si="20"/>
        <v>20.599999999999998</v>
      </c>
      <c r="AX89" s="12">
        <f t="shared" si="20"/>
        <v>51.1</v>
      </c>
      <c r="AY89" s="12"/>
      <c r="AZ89" s="12">
        <f t="shared" si="14"/>
        <v>62.6</v>
      </c>
      <c r="BA89" s="12">
        <f t="shared" si="15"/>
        <v>61.9</v>
      </c>
      <c r="BB89" s="12"/>
      <c r="BC89" s="12">
        <f t="shared" si="16"/>
        <v>43.5</v>
      </c>
      <c r="BD89" s="12">
        <f t="shared" si="17"/>
        <v>0</v>
      </c>
      <c r="BE89" s="12">
        <f t="shared" si="18"/>
        <v>73.3</v>
      </c>
    </row>
    <row r="90" spans="1:57" ht="15.75" customHeight="1" x14ac:dyDescent="0.25">
      <c r="A90" s="1" t="s">
        <v>190</v>
      </c>
      <c r="B90" s="3" t="s">
        <v>141</v>
      </c>
      <c r="C90" s="4" t="s">
        <v>92</v>
      </c>
      <c r="D90" s="4">
        <v>32</v>
      </c>
      <c r="E90" s="4">
        <v>450</v>
      </c>
      <c r="F90" s="4">
        <v>32</v>
      </c>
      <c r="G90" s="4">
        <v>450</v>
      </c>
      <c r="H90" s="4">
        <v>0.32400000000000001</v>
      </c>
      <c r="I90" s="4">
        <v>16.899999999999999</v>
      </c>
      <c r="J90" s="4"/>
      <c r="K90" s="4">
        <v>0.48899999999999999</v>
      </c>
      <c r="L90" s="4">
        <v>0.115</v>
      </c>
      <c r="M90" s="4">
        <v>0.16500000000000001</v>
      </c>
      <c r="N90" s="4">
        <v>3.5999999999999997E-2</v>
      </c>
      <c r="O90" s="4">
        <v>0.17299999999999999</v>
      </c>
      <c r="P90" s="4">
        <v>0.51100000000000001</v>
      </c>
      <c r="Q90" s="4"/>
      <c r="R90" s="4">
        <v>0.39700000000000002</v>
      </c>
      <c r="S90" s="4">
        <v>0.5</v>
      </c>
      <c r="T90" s="4">
        <v>0.30399999999999999</v>
      </c>
      <c r="U90" s="4">
        <v>0.4</v>
      </c>
      <c r="V90" s="4">
        <v>0.41699999999999998</v>
      </c>
      <c r="W90" s="4">
        <v>0.254</v>
      </c>
      <c r="X90" s="4"/>
      <c r="Y90" s="4">
        <v>0.74099999999999999</v>
      </c>
      <c r="Z90" s="4">
        <v>1</v>
      </c>
      <c r="AA90" s="4"/>
      <c r="AB90" s="4">
        <v>0.155</v>
      </c>
      <c r="AC90" s="4">
        <v>0.45500000000000002</v>
      </c>
      <c r="AD90" s="10">
        <f t="shared" si="12"/>
        <v>0.87334899999999993</v>
      </c>
      <c r="AE90" s="9"/>
      <c r="AF90" s="9"/>
      <c r="AG90" s="12">
        <f t="shared" si="13"/>
        <v>45</v>
      </c>
      <c r="AH90" s="12">
        <f t="shared" si="13"/>
        <v>34.300000000000004</v>
      </c>
      <c r="AI90" s="12">
        <f t="shared" si="13"/>
        <v>11.4</v>
      </c>
      <c r="AJ90" s="12">
        <f t="shared" si="13"/>
        <v>86.2</v>
      </c>
      <c r="AK90" s="12"/>
      <c r="AL90" s="12">
        <f t="shared" si="21"/>
        <v>7.6</v>
      </c>
      <c r="AM90" s="12">
        <f t="shared" si="21"/>
        <v>12.2</v>
      </c>
      <c r="AN90" s="12">
        <f t="shared" si="21"/>
        <v>46.5</v>
      </c>
      <c r="AO90" s="12">
        <f t="shared" si="19"/>
        <v>6.1</v>
      </c>
      <c r="AP90" s="12">
        <f t="shared" si="19"/>
        <v>45.800000000000004</v>
      </c>
      <c r="AQ90" s="12">
        <f t="shared" si="19"/>
        <v>92.300000000000011</v>
      </c>
      <c r="AR90" s="12"/>
      <c r="AS90" s="12">
        <f t="shared" si="22"/>
        <v>29.7</v>
      </c>
      <c r="AT90" s="12">
        <f t="shared" si="22"/>
        <v>16</v>
      </c>
      <c r="AU90" s="12">
        <f t="shared" si="22"/>
        <v>28.999999999999996</v>
      </c>
      <c r="AV90" s="12">
        <f t="shared" si="20"/>
        <v>74</v>
      </c>
      <c r="AW90" s="12">
        <f t="shared" si="20"/>
        <v>74</v>
      </c>
      <c r="AX90" s="12">
        <f t="shared" si="20"/>
        <v>46.5</v>
      </c>
      <c r="AY90" s="12"/>
      <c r="AZ90" s="12">
        <f t="shared" si="14"/>
        <v>13.799999999999997</v>
      </c>
      <c r="BA90" s="12">
        <f t="shared" si="15"/>
        <v>23</v>
      </c>
      <c r="BB90" s="12"/>
      <c r="BC90" s="12">
        <f t="shared" si="16"/>
        <v>63.3</v>
      </c>
      <c r="BD90" s="12">
        <f t="shared" si="17"/>
        <v>83.899999999999991</v>
      </c>
      <c r="BE90" s="12">
        <f t="shared" si="18"/>
        <v>3.1000000000000085</v>
      </c>
    </row>
    <row r="91" spans="1:57" ht="15.75" customHeight="1" x14ac:dyDescent="0.25">
      <c r="A91" s="1" t="s">
        <v>191</v>
      </c>
      <c r="B91" s="3" t="s">
        <v>122</v>
      </c>
      <c r="C91" s="4" t="s">
        <v>100</v>
      </c>
      <c r="D91" s="4">
        <v>28</v>
      </c>
      <c r="E91" s="4">
        <v>441</v>
      </c>
      <c r="F91" s="4">
        <v>28</v>
      </c>
      <c r="G91" s="4">
        <v>441</v>
      </c>
      <c r="H91" s="4">
        <v>0.35199999999999998</v>
      </c>
      <c r="I91" s="4">
        <v>12.8</v>
      </c>
      <c r="J91" s="4"/>
      <c r="K91" s="4">
        <v>0.72099999999999997</v>
      </c>
      <c r="L91" s="4">
        <v>0.248</v>
      </c>
      <c r="M91" s="4">
        <v>0.19400000000000001</v>
      </c>
      <c r="N91" s="4">
        <v>0.17</v>
      </c>
      <c r="O91" s="4">
        <v>0.109</v>
      </c>
      <c r="P91" s="4">
        <v>0.27900000000000003</v>
      </c>
      <c r="Q91" s="4"/>
      <c r="R91" s="4">
        <v>0.36099999999999999</v>
      </c>
      <c r="S91" s="4">
        <v>0.41499999999999998</v>
      </c>
      <c r="T91" s="4">
        <v>0.313</v>
      </c>
      <c r="U91" s="4">
        <v>0.35699999999999998</v>
      </c>
      <c r="V91" s="4">
        <v>0.33300000000000002</v>
      </c>
      <c r="W91" s="4">
        <v>0.32600000000000001</v>
      </c>
      <c r="X91" s="4"/>
      <c r="Y91" s="4">
        <v>0.30199999999999999</v>
      </c>
      <c r="Z91" s="4">
        <v>0.8</v>
      </c>
      <c r="AA91" s="4"/>
      <c r="AB91" s="4">
        <v>0.152</v>
      </c>
      <c r="AC91" s="4">
        <v>0.14299999999999999</v>
      </c>
      <c r="AD91" s="10">
        <f t="shared" si="12"/>
        <v>0.44094200000000006</v>
      </c>
      <c r="AE91" s="9"/>
      <c r="AF91" s="9"/>
      <c r="AG91" s="12">
        <f t="shared" si="13"/>
        <v>27.400000000000002</v>
      </c>
      <c r="AH91" s="12">
        <f t="shared" si="13"/>
        <v>33.5</v>
      </c>
      <c r="AI91" s="12">
        <f t="shared" si="13"/>
        <v>19</v>
      </c>
      <c r="AJ91" s="12">
        <f t="shared" si="13"/>
        <v>55.7</v>
      </c>
      <c r="AK91" s="12"/>
      <c r="AL91" s="12">
        <f t="shared" si="21"/>
        <v>36.6</v>
      </c>
      <c r="AM91" s="12">
        <f t="shared" si="21"/>
        <v>46.5</v>
      </c>
      <c r="AN91" s="12">
        <f t="shared" si="21"/>
        <v>54.900000000000006</v>
      </c>
      <c r="AO91" s="12">
        <f t="shared" si="19"/>
        <v>74.8</v>
      </c>
      <c r="AP91" s="12">
        <f t="shared" si="19"/>
        <v>27.400000000000002</v>
      </c>
      <c r="AQ91" s="12">
        <f t="shared" si="19"/>
        <v>63.3</v>
      </c>
      <c r="AR91" s="12"/>
      <c r="AS91" s="12">
        <f t="shared" si="22"/>
        <v>16.7</v>
      </c>
      <c r="AT91" s="12">
        <f t="shared" si="22"/>
        <v>9.9</v>
      </c>
      <c r="AU91" s="12">
        <f t="shared" si="22"/>
        <v>32</v>
      </c>
      <c r="AV91" s="12">
        <f t="shared" si="20"/>
        <v>59.5</v>
      </c>
      <c r="AW91" s="12">
        <f t="shared" si="20"/>
        <v>44.2</v>
      </c>
      <c r="AX91" s="12">
        <f t="shared" si="20"/>
        <v>68.7</v>
      </c>
      <c r="AY91" s="12"/>
      <c r="AZ91" s="12">
        <f t="shared" si="14"/>
        <v>81</v>
      </c>
      <c r="BA91" s="12">
        <f t="shared" si="15"/>
        <v>50.4</v>
      </c>
      <c r="BB91" s="12"/>
      <c r="BC91" s="12">
        <f t="shared" si="16"/>
        <v>61.8</v>
      </c>
      <c r="BD91" s="12">
        <f t="shared" si="17"/>
        <v>46.5</v>
      </c>
      <c r="BE91" s="12">
        <f t="shared" si="18"/>
        <v>78.7</v>
      </c>
    </row>
    <row r="92" spans="1:57" ht="15.75" customHeight="1" x14ac:dyDescent="0.25">
      <c r="A92" s="1" t="s">
        <v>192</v>
      </c>
      <c r="B92" s="3" t="s">
        <v>106</v>
      </c>
      <c r="C92" s="4" t="s">
        <v>92</v>
      </c>
      <c r="D92" s="4">
        <v>30</v>
      </c>
      <c r="E92" s="4">
        <v>439</v>
      </c>
      <c r="F92" s="4">
        <v>30</v>
      </c>
      <c r="G92" s="4">
        <v>439</v>
      </c>
      <c r="H92" s="4">
        <v>0.439</v>
      </c>
      <c r="I92" s="4">
        <v>8.6999999999999993</v>
      </c>
      <c r="J92" s="4"/>
      <c r="K92" s="4">
        <v>1</v>
      </c>
      <c r="L92" s="4">
        <v>0.32500000000000001</v>
      </c>
      <c r="M92" s="4">
        <v>0.26100000000000001</v>
      </c>
      <c r="N92" s="4">
        <v>0.159</v>
      </c>
      <c r="O92" s="4">
        <v>0.255</v>
      </c>
      <c r="P92" s="4">
        <v>0</v>
      </c>
      <c r="Q92" s="4"/>
      <c r="R92" s="4">
        <v>0.439</v>
      </c>
      <c r="S92" s="4">
        <v>0.54900000000000004</v>
      </c>
      <c r="T92" s="4">
        <v>0.41499999999999998</v>
      </c>
      <c r="U92" s="4">
        <v>0.48</v>
      </c>
      <c r="V92" s="4">
        <v>0.3</v>
      </c>
      <c r="W92" s="4">
        <v>0</v>
      </c>
      <c r="X92" s="4"/>
      <c r="Y92" s="4">
        <v>0.623</v>
      </c>
      <c r="Z92" s="4">
        <v>0</v>
      </c>
      <c r="AA92" s="4"/>
      <c r="AB92" s="4">
        <v>0</v>
      </c>
      <c r="AC92" s="4">
        <v>0</v>
      </c>
      <c r="AD92" s="10">
        <f t="shared" si="12"/>
        <v>0.623</v>
      </c>
      <c r="AE92" s="9"/>
      <c r="AF92" s="9"/>
      <c r="AG92" s="12">
        <f t="shared" si="13"/>
        <v>34.300000000000004</v>
      </c>
      <c r="AH92" s="12">
        <f t="shared" si="13"/>
        <v>32.800000000000004</v>
      </c>
      <c r="AI92" s="12">
        <f t="shared" si="13"/>
        <v>67.100000000000009</v>
      </c>
      <c r="AJ92" s="12">
        <f t="shared" si="13"/>
        <v>21.3</v>
      </c>
      <c r="AK92" s="12"/>
      <c r="AL92" s="12">
        <f t="shared" si="21"/>
        <v>83.2</v>
      </c>
      <c r="AM92" s="12">
        <f t="shared" si="21"/>
        <v>70.199999999999989</v>
      </c>
      <c r="AN92" s="12">
        <f t="shared" si="21"/>
        <v>82.399999999999991</v>
      </c>
      <c r="AO92" s="12">
        <f t="shared" si="19"/>
        <v>70.199999999999989</v>
      </c>
      <c r="AP92" s="12">
        <f t="shared" si="19"/>
        <v>72.5</v>
      </c>
      <c r="AQ92" s="12">
        <f t="shared" si="19"/>
        <v>0</v>
      </c>
      <c r="AR92" s="12"/>
      <c r="AS92" s="12">
        <f t="shared" si="22"/>
        <v>50.3</v>
      </c>
      <c r="AT92" s="12">
        <f t="shared" si="22"/>
        <v>32</v>
      </c>
      <c r="AU92" s="12">
        <f t="shared" si="22"/>
        <v>74.8</v>
      </c>
      <c r="AV92" s="12">
        <f t="shared" si="20"/>
        <v>88.5</v>
      </c>
      <c r="AW92" s="12">
        <f t="shared" si="20"/>
        <v>32.800000000000004</v>
      </c>
      <c r="AX92" s="12">
        <f t="shared" si="20"/>
        <v>0</v>
      </c>
      <c r="AY92" s="12"/>
      <c r="AZ92" s="12">
        <f t="shared" si="14"/>
        <v>36.700000000000003</v>
      </c>
      <c r="BA92" s="12">
        <f t="shared" si="15"/>
        <v>100</v>
      </c>
      <c r="BB92" s="12"/>
      <c r="BC92" s="12">
        <f t="shared" si="16"/>
        <v>0</v>
      </c>
      <c r="BD92" s="12">
        <f t="shared" si="17"/>
        <v>0</v>
      </c>
      <c r="BE92" s="12">
        <f t="shared" si="18"/>
        <v>49.7</v>
      </c>
    </row>
    <row r="93" spans="1:57" ht="15.75" customHeight="1" x14ac:dyDescent="0.25">
      <c r="A93" s="1" t="s">
        <v>193</v>
      </c>
      <c r="B93" s="3" t="s">
        <v>99</v>
      </c>
      <c r="C93" s="4" t="s">
        <v>110</v>
      </c>
      <c r="D93" s="4">
        <v>34</v>
      </c>
      <c r="E93" s="4">
        <v>434</v>
      </c>
      <c r="F93" s="4">
        <v>34</v>
      </c>
      <c r="G93" s="4">
        <v>434</v>
      </c>
      <c r="H93" s="4">
        <v>0.45</v>
      </c>
      <c r="I93" s="4">
        <v>6.9</v>
      </c>
      <c r="J93" s="4"/>
      <c r="K93" s="4">
        <v>1</v>
      </c>
      <c r="L93" s="4">
        <v>0.36699999999999999</v>
      </c>
      <c r="M93" s="4">
        <v>0.35799999999999998</v>
      </c>
      <c r="N93" s="4">
        <v>0.2</v>
      </c>
      <c r="O93" s="4">
        <v>7.4999999999999997E-2</v>
      </c>
      <c r="P93" s="4">
        <v>0</v>
      </c>
      <c r="Q93" s="4"/>
      <c r="R93" s="4">
        <v>0.45</v>
      </c>
      <c r="S93" s="4">
        <v>0.59099999999999997</v>
      </c>
      <c r="T93" s="4">
        <v>0.442</v>
      </c>
      <c r="U93" s="4">
        <v>0.29199999999999998</v>
      </c>
      <c r="V93" s="4">
        <v>0.222</v>
      </c>
      <c r="W93" s="4">
        <v>0</v>
      </c>
      <c r="X93" s="4"/>
      <c r="Y93" s="4">
        <v>0.70399999999999996</v>
      </c>
      <c r="Z93" s="4">
        <v>0</v>
      </c>
      <c r="AA93" s="4"/>
      <c r="AB93" s="4">
        <v>0</v>
      </c>
      <c r="AC93" s="4">
        <v>0</v>
      </c>
      <c r="AD93" s="10">
        <f t="shared" si="12"/>
        <v>0.70399999999999996</v>
      </c>
      <c r="AE93" s="9"/>
      <c r="AF93" s="9"/>
      <c r="AG93" s="12">
        <f t="shared" si="13"/>
        <v>65.600000000000009</v>
      </c>
      <c r="AH93" s="12">
        <f t="shared" si="13"/>
        <v>32</v>
      </c>
      <c r="AI93" s="12">
        <f t="shared" si="13"/>
        <v>74.8</v>
      </c>
      <c r="AJ93" s="12">
        <f t="shared" si="13"/>
        <v>13.700000000000001</v>
      </c>
      <c r="AK93" s="12"/>
      <c r="AL93" s="12">
        <f t="shared" si="21"/>
        <v>83.2</v>
      </c>
      <c r="AM93" s="12">
        <f t="shared" si="21"/>
        <v>78.600000000000009</v>
      </c>
      <c r="AN93" s="12">
        <f t="shared" si="21"/>
        <v>92.300000000000011</v>
      </c>
      <c r="AO93" s="12">
        <f t="shared" si="19"/>
        <v>83.2</v>
      </c>
      <c r="AP93" s="12">
        <f t="shared" si="19"/>
        <v>19</v>
      </c>
      <c r="AQ93" s="12">
        <f t="shared" si="19"/>
        <v>0</v>
      </c>
      <c r="AR93" s="12"/>
      <c r="AS93" s="12">
        <f t="shared" si="22"/>
        <v>56.399999999999991</v>
      </c>
      <c r="AT93" s="12">
        <f t="shared" si="22"/>
        <v>41.9</v>
      </c>
      <c r="AU93" s="12">
        <f t="shared" si="22"/>
        <v>80.100000000000009</v>
      </c>
      <c r="AV93" s="12">
        <f t="shared" si="20"/>
        <v>31.2</v>
      </c>
      <c r="AW93" s="12">
        <f t="shared" si="20"/>
        <v>15.2</v>
      </c>
      <c r="AX93" s="12">
        <f t="shared" si="20"/>
        <v>0</v>
      </c>
      <c r="AY93" s="12"/>
      <c r="AZ93" s="12">
        <f t="shared" si="14"/>
        <v>17.600000000000009</v>
      </c>
      <c r="BA93" s="12">
        <f t="shared" si="15"/>
        <v>100</v>
      </c>
      <c r="BB93" s="12"/>
      <c r="BC93" s="12">
        <f t="shared" si="16"/>
        <v>0</v>
      </c>
      <c r="BD93" s="12">
        <f t="shared" si="17"/>
        <v>0</v>
      </c>
      <c r="BE93" s="12">
        <f t="shared" si="18"/>
        <v>27.5</v>
      </c>
    </row>
    <row r="94" spans="1:57" ht="15.75" customHeight="1" x14ac:dyDescent="0.25">
      <c r="A94" s="1" t="s">
        <v>194</v>
      </c>
      <c r="B94" s="3" t="s">
        <v>97</v>
      </c>
      <c r="C94" s="4" t="s">
        <v>8</v>
      </c>
      <c r="D94" s="4">
        <v>29</v>
      </c>
      <c r="E94" s="4">
        <v>433</v>
      </c>
      <c r="F94" s="4">
        <v>29</v>
      </c>
      <c r="G94" s="4">
        <v>433</v>
      </c>
      <c r="H94" s="4">
        <v>0.32300000000000001</v>
      </c>
      <c r="I94" s="4">
        <v>15.3</v>
      </c>
      <c r="J94" s="4"/>
      <c r="K94" s="4">
        <v>0.53800000000000003</v>
      </c>
      <c r="L94" s="4">
        <v>0.215</v>
      </c>
      <c r="M94" s="4">
        <v>0.13800000000000001</v>
      </c>
      <c r="N94" s="4">
        <v>8.5000000000000006E-2</v>
      </c>
      <c r="O94" s="4">
        <v>0.1</v>
      </c>
      <c r="P94" s="4">
        <v>0.46200000000000002</v>
      </c>
      <c r="Q94" s="4"/>
      <c r="R94" s="4">
        <v>0.34300000000000003</v>
      </c>
      <c r="S94" s="4">
        <v>0.39300000000000002</v>
      </c>
      <c r="T94" s="4">
        <v>0.33300000000000002</v>
      </c>
      <c r="U94" s="4">
        <v>0.36399999999999999</v>
      </c>
      <c r="V94" s="4">
        <v>0.23100000000000001</v>
      </c>
      <c r="W94" s="4">
        <v>0.3</v>
      </c>
      <c r="X94" s="4"/>
      <c r="Y94" s="4">
        <v>0.41699999999999998</v>
      </c>
      <c r="Z94" s="4">
        <v>0.94399999999999995</v>
      </c>
      <c r="AA94" s="4"/>
      <c r="AB94" s="4">
        <v>0.23300000000000001</v>
      </c>
      <c r="AC94" s="4">
        <v>0.28599999999999998</v>
      </c>
      <c r="AD94" s="10">
        <f t="shared" si="12"/>
        <v>0.66047400000000001</v>
      </c>
      <c r="AE94" s="9"/>
      <c r="AF94" s="9"/>
      <c r="AG94" s="12">
        <f t="shared" si="13"/>
        <v>29.7</v>
      </c>
      <c r="AH94" s="12">
        <f t="shared" si="13"/>
        <v>31.2</v>
      </c>
      <c r="AI94" s="12">
        <f t="shared" si="13"/>
        <v>10.6</v>
      </c>
      <c r="AJ94" s="12">
        <f t="shared" si="13"/>
        <v>77.8</v>
      </c>
      <c r="AK94" s="12"/>
      <c r="AL94" s="12">
        <f t="shared" si="21"/>
        <v>12.9</v>
      </c>
      <c r="AM94" s="12">
        <f t="shared" si="21"/>
        <v>33.5</v>
      </c>
      <c r="AN94" s="12">
        <f t="shared" si="21"/>
        <v>32</v>
      </c>
      <c r="AO94" s="12">
        <f t="shared" si="19"/>
        <v>33.5</v>
      </c>
      <c r="AP94" s="12">
        <f t="shared" si="19"/>
        <v>25.900000000000002</v>
      </c>
      <c r="AQ94" s="12">
        <f t="shared" si="19"/>
        <v>87</v>
      </c>
      <c r="AR94" s="12"/>
      <c r="AS94" s="12">
        <f t="shared" si="22"/>
        <v>12.2</v>
      </c>
      <c r="AT94" s="12">
        <f t="shared" si="22"/>
        <v>9.1</v>
      </c>
      <c r="AU94" s="12">
        <f t="shared" si="22"/>
        <v>39.6</v>
      </c>
      <c r="AV94" s="12">
        <f t="shared" si="20"/>
        <v>61</v>
      </c>
      <c r="AW94" s="12">
        <f t="shared" si="20"/>
        <v>18.3</v>
      </c>
      <c r="AX94" s="12">
        <f t="shared" si="20"/>
        <v>57.999999999999993</v>
      </c>
      <c r="AY94" s="12"/>
      <c r="AZ94" s="12">
        <f t="shared" si="14"/>
        <v>66.5</v>
      </c>
      <c r="BA94" s="12">
        <f t="shared" si="15"/>
        <v>29.800000000000011</v>
      </c>
      <c r="BB94" s="12"/>
      <c r="BC94" s="12">
        <f t="shared" si="16"/>
        <v>78.600000000000009</v>
      </c>
      <c r="BD94" s="12">
        <f t="shared" si="17"/>
        <v>59.5</v>
      </c>
      <c r="BE94" s="12">
        <f t="shared" si="18"/>
        <v>41.300000000000004</v>
      </c>
    </row>
    <row r="95" spans="1:57" ht="15.75" customHeight="1" x14ac:dyDescent="0.25">
      <c r="A95" s="1" t="s">
        <v>195</v>
      </c>
      <c r="B95" s="3" t="s">
        <v>171</v>
      </c>
      <c r="C95" s="4" t="s">
        <v>92</v>
      </c>
      <c r="D95" s="4">
        <v>34</v>
      </c>
      <c r="E95" s="4">
        <v>431</v>
      </c>
      <c r="F95" s="4">
        <v>34</v>
      </c>
      <c r="G95" s="4">
        <v>431</v>
      </c>
      <c r="H95" s="4">
        <v>0.38600000000000001</v>
      </c>
      <c r="I95" s="4">
        <v>7.8</v>
      </c>
      <c r="J95" s="4"/>
      <c r="K95" s="4">
        <v>0.99</v>
      </c>
      <c r="L95" s="4">
        <v>0.41599999999999998</v>
      </c>
      <c r="M95" s="4">
        <v>0.218</v>
      </c>
      <c r="N95" s="4">
        <v>0.19800000000000001</v>
      </c>
      <c r="O95" s="4">
        <v>0.158</v>
      </c>
      <c r="P95" s="4">
        <v>0.01</v>
      </c>
      <c r="Q95" s="4"/>
      <c r="R95" s="4">
        <v>0.39</v>
      </c>
      <c r="S95" s="4">
        <v>0.54800000000000004</v>
      </c>
      <c r="T95" s="4">
        <v>0.22700000000000001</v>
      </c>
      <c r="U95" s="4">
        <v>0.3</v>
      </c>
      <c r="V95" s="4">
        <v>0.313</v>
      </c>
      <c r="W95" s="4">
        <v>0</v>
      </c>
      <c r="X95" s="4"/>
      <c r="Y95" s="4">
        <v>0.76900000000000002</v>
      </c>
      <c r="Z95" s="4">
        <v>0</v>
      </c>
      <c r="AA95" s="4"/>
      <c r="AB95" s="4">
        <v>0</v>
      </c>
      <c r="AC95" s="4">
        <v>0</v>
      </c>
      <c r="AD95" s="10">
        <f t="shared" si="12"/>
        <v>0.76131000000000004</v>
      </c>
      <c r="AE95" s="9"/>
      <c r="AF95" s="9"/>
      <c r="AG95" s="12">
        <f t="shared" si="13"/>
        <v>65.600000000000009</v>
      </c>
      <c r="AH95" s="12">
        <f t="shared" si="13"/>
        <v>30.5</v>
      </c>
      <c r="AI95" s="12">
        <f t="shared" si="13"/>
        <v>33.5</v>
      </c>
      <c r="AJ95" s="12">
        <f t="shared" si="13"/>
        <v>16.7</v>
      </c>
      <c r="AK95" s="12"/>
      <c r="AL95" s="12">
        <f t="shared" si="21"/>
        <v>76.3</v>
      </c>
      <c r="AM95" s="12">
        <f t="shared" si="21"/>
        <v>84.7</v>
      </c>
      <c r="AN95" s="12">
        <f t="shared" si="21"/>
        <v>68.7</v>
      </c>
      <c r="AO95" s="12">
        <f t="shared" si="19"/>
        <v>82.399999999999991</v>
      </c>
      <c r="AP95" s="12">
        <f t="shared" si="19"/>
        <v>40.400000000000006</v>
      </c>
      <c r="AQ95" s="12">
        <f t="shared" si="19"/>
        <v>23.599999999999998</v>
      </c>
      <c r="AR95" s="12"/>
      <c r="AS95" s="12">
        <f t="shared" si="22"/>
        <v>25.900000000000002</v>
      </c>
      <c r="AT95" s="12">
        <f t="shared" si="22"/>
        <v>31.2</v>
      </c>
      <c r="AU95" s="12">
        <f t="shared" si="22"/>
        <v>14.499999999999998</v>
      </c>
      <c r="AV95" s="12">
        <f t="shared" si="20"/>
        <v>33.5</v>
      </c>
      <c r="AW95" s="12">
        <f t="shared" si="20"/>
        <v>38.9</v>
      </c>
      <c r="AX95" s="12">
        <f t="shared" si="20"/>
        <v>0</v>
      </c>
      <c r="AY95" s="12"/>
      <c r="AZ95" s="12">
        <f t="shared" si="14"/>
        <v>10.700000000000003</v>
      </c>
      <c r="BA95" s="12">
        <f t="shared" si="15"/>
        <v>100</v>
      </c>
      <c r="BB95" s="12"/>
      <c r="BC95" s="12">
        <f t="shared" si="16"/>
        <v>0</v>
      </c>
      <c r="BD95" s="12">
        <f t="shared" si="17"/>
        <v>0</v>
      </c>
      <c r="BE95" s="12">
        <f t="shared" si="18"/>
        <v>16.100000000000009</v>
      </c>
    </row>
    <row r="96" spans="1:57" ht="15.75" customHeight="1" x14ac:dyDescent="0.25">
      <c r="A96" s="1" t="s">
        <v>196</v>
      </c>
      <c r="B96" s="3" t="s">
        <v>108</v>
      </c>
      <c r="C96" s="4" t="s">
        <v>92</v>
      </c>
      <c r="D96" s="4">
        <v>33</v>
      </c>
      <c r="E96" s="4">
        <v>412</v>
      </c>
      <c r="F96" s="4">
        <v>33</v>
      </c>
      <c r="G96" s="4">
        <v>412</v>
      </c>
      <c r="H96" s="4">
        <v>0.42599999999999999</v>
      </c>
      <c r="I96" s="4">
        <v>13.8</v>
      </c>
      <c r="J96" s="4"/>
      <c r="K96" s="4">
        <v>0.87</v>
      </c>
      <c r="L96" s="4">
        <v>0.16700000000000001</v>
      </c>
      <c r="M96" s="4">
        <v>0.157</v>
      </c>
      <c r="N96" s="4">
        <v>0.14799999999999999</v>
      </c>
      <c r="O96" s="4">
        <v>0.39800000000000002</v>
      </c>
      <c r="P96" s="4">
        <v>0.13</v>
      </c>
      <c r="Q96" s="4"/>
      <c r="R96" s="4">
        <v>0.47899999999999998</v>
      </c>
      <c r="S96" s="4">
        <v>0.77800000000000002</v>
      </c>
      <c r="T96" s="4">
        <v>0.35299999999999998</v>
      </c>
      <c r="U96" s="4">
        <v>0.313</v>
      </c>
      <c r="V96" s="4">
        <v>0.46500000000000002</v>
      </c>
      <c r="W96" s="4">
        <v>7.0999999999999994E-2</v>
      </c>
      <c r="X96" s="4"/>
      <c r="Y96" s="4">
        <v>0.8</v>
      </c>
      <c r="Z96" s="4">
        <v>1</v>
      </c>
      <c r="AA96" s="4"/>
      <c r="AB96" s="4">
        <v>7.0999999999999994E-2</v>
      </c>
      <c r="AC96" s="4">
        <v>0</v>
      </c>
      <c r="AD96" s="10">
        <f t="shared" si="12"/>
        <v>0.82600000000000007</v>
      </c>
      <c r="AE96" s="9"/>
      <c r="AF96" s="9"/>
      <c r="AG96" s="12">
        <f t="shared" si="13"/>
        <v>54.900000000000006</v>
      </c>
      <c r="AH96" s="12">
        <f t="shared" si="13"/>
        <v>29.7</v>
      </c>
      <c r="AI96" s="12">
        <f t="shared" si="13"/>
        <v>59.5</v>
      </c>
      <c r="AJ96" s="12">
        <f t="shared" si="13"/>
        <v>65.600000000000009</v>
      </c>
      <c r="AK96" s="12"/>
      <c r="AL96" s="12">
        <f t="shared" si="21"/>
        <v>61.8</v>
      </c>
      <c r="AM96" s="12">
        <f t="shared" si="21"/>
        <v>22.900000000000002</v>
      </c>
      <c r="AN96" s="12">
        <f t="shared" si="21"/>
        <v>39.6</v>
      </c>
      <c r="AO96" s="12">
        <f t="shared" si="19"/>
        <v>64.8</v>
      </c>
      <c r="AP96" s="12">
        <f t="shared" si="19"/>
        <v>97.7</v>
      </c>
      <c r="AQ96" s="12">
        <f t="shared" si="19"/>
        <v>38.1</v>
      </c>
      <c r="AR96" s="12"/>
      <c r="AS96" s="12">
        <f t="shared" si="22"/>
        <v>77</v>
      </c>
      <c r="AT96" s="12">
        <f t="shared" si="22"/>
        <v>93.8</v>
      </c>
      <c r="AU96" s="12">
        <f t="shared" si="22"/>
        <v>51.9</v>
      </c>
      <c r="AV96" s="12">
        <f t="shared" si="20"/>
        <v>37.4</v>
      </c>
      <c r="AW96" s="12">
        <f t="shared" si="20"/>
        <v>87.7</v>
      </c>
      <c r="AX96" s="12">
        <f t="shared" si="20"/>
        <v>29.7</v>
      </c>
      <c r="AY96" s="12"/>
      <c r="AZ96" s="12">
        <f t="shared" si="14"/>
        <v>6.8999999999999915</v>
      </c>
      <c r="BA96" s="12">
        <f t="shared" si="15"/>
        <v>23</v>
      </c>
      <c r="BB96" s="12"/>
      <c r="BC96" s="12">
        <f t="shared" si="16"/>
        <v>39.6</v>
      </c>
      <c r="BD96" s="12">
        <f t="shared" si="17"/>
        <v>0</v>
      </c>
      <c r="BE96" s="12">
        <f t="shared" si="18"/>
        <v>7.6999999999999886</v>
      </c>
    </row>
    <row r="97" spans="1:57" ht="15.75" customHeight="1" x14ac:dyDescent="0.25">
      <c r="A97" s="1" t="s">
        <v>197</v>
      </c>
      <c r="B97" s="3" t="s">
        <v>108</v>
      </c>
      <c r="C97" s="4" t="s">
        <v>92</v>
      </c>
      <c r="D97" s="4">
        <v>29</v>
      </c>
      <c r="E97" s="4">
        <v>398</v>
      </c>
      <c r="F97" s="4">
        <v>29</v>
      </c>
      <c r="G97" s="4">
        <v>398</v>
      </c>
      <c r="H97" s="4">
        <v>0.438</v>
      </c>
      <c r="I97" s="4">
        <v>18</v>
      </c>
      <c r="J97" s="4"/>
      <c r="K97" s="4">
        <v>0.375</v>
      </c>
      <c r="L97" s="4">
        <v>9.4E-2</v>
      </c>
      <c r="M97" s="4">
        <v>0.156</v>
      </c>
      <c r="N97" s="4">
        <v>6.3E-2</v>
      </c>
      <c r="O97" s="4">
        <v>6.3E-2</v>
      </c>
      <c r="P97" s="4">
        <v>0.625</v>
      </c>
      <c r="Q97" s="4"/>
      <c r="R97" s="4">
        <v>0.33300000000000002</v>
      </c>
      <c r="S97" s="4">
        <v>0.33300000000000002</v>
      </c>
      <c r="T97" s="4">
        <v>0.3</v>
      </c>
      <c r="U97" s="4">
        <v>0.25</v>
      </c>
      <c r="V97" s="4">
        <v>0.5</v>
      </c>
      <c r="W97" s="4">
        <v>0.5</v>
      </c>
      <c r="X97" s="4"/>
      <c r="Y97" s="4">
        <v>0.625</v>
      </c>
      <c r="Z97" s="4">
        <v>0.95</v>
      </c>
      <c r="AA97" s="4"/>
      <c r="AB97" s="4">
        <v>0.32500000000000001</v>
      </c>
      <c r="AC97" s="4">
        <v>0.308</v>
      </c>
      <c r="AD97" s="10">
        <f t="shared" si="12"/>
        <v>0.828125</v>
      </c>
      <c r="AE97" s="9"/>
      <c r="AF97" s="9"/>
      <c r="AG97" s="12">
        <f t="shared" si="13"/>
        <v>29.7</v>
      </c>
      <c r="AH97" s="12">
        <f t="shared" si="13"/>
        <v>28.999999999999996</v>
      </c>
      <c r="AI97" s="12">
        <f t="shared" si="13"/>
        <v>66.400000000000006</v>
      </c>
      <c r="AJ97" s="12">
        <f t="shared" si="13"/>
        <v>91.600000000000009</v>
      </c>
      <c r="AK97" s="12"/>
      <c r="AL97" s="12">
        <f t="shared" si="21"/>
        <v>3</v>
      </c>
      <c r="AM97" s="12">
        <f t="shared" si="21"/>
        <v>8.3000000000000007</v>
      </c>
      <c r="AN97" s="12">
        <f t="shared" si="21"/>
        <v>38.1</v>
      </c>
      <c r="AO97" s="12">
        <f t="shared" si="19"/>
        <v>16</v>
      </c>
      <c r="AP97" s="12">
        <f t="shared" si="19"/>
        <v>14.499999999999998</v>
      </c>
      <c r="AQ97" s="12">
        <f t="shared" si="19"/>
        <v>96.899999999999991</v>
      </c>
      <c r="AR97" s="12"/>
      <c r="AS97" s="12">
        <f t="shared" si="22"/>
        <v>9.9</v>
      </c>
      <c r="AT97" s="12">
        <f t="shared" si="22"/>
        <v>6.8000000000000007</v>
      </c>
      <c r="AU97" s="12">
        <f t="shared" si="22"/>
        <v>28.199999999999996</v>
      </c>
      <c r="AV97" s="12">
        <f t="shared" si="20"/>
        <v>25.900000000000002</v>
      </c>
      <c r="AW97" s="12">
        <f t="shared" si="20"/>
        <v>90.8</v>
      </c>
      <c r="AX97" s="12">
        <f t="shared" si="20"/>
        <v>98.4</v>
      </c>
      <c r="AY97" s="12"/>
      <c r="AZ97" s="12">
        <f t="shared" si="14"/>
        <v>35.900000000000006</v>
      </c>
      <c r="BA97" s="12">
        <f t="shared" si="15"/>
        <v>27.5</v>
      </c>
      <c r="BB97" s="12"/>
      <c r="BC97" s="12">
        <f t="shared" si="16"/>
        <v>87.7</v>
      </c>
      <c r="BD97" s="12">
        <f t="shared" si="17"/>
        <v>64.099999999999994</v>
      </c>
      <c r="BE97" s="12">
        <f t="shared" si="18"/>
        <v>6.8999999999999915</v>
      </c>
    </row>
    <row r="98" spans="1:57" ht="15.75" customHeight="1" x14ac:dyDescent="0.25">
      <c r="A98" s="1" t="s">
        <v>198</v>
      </c>
      <c r="B98" s="3" t="s">
        <v>141</v>
      </c>
      <c r="C98" s="4" t="s">
        <v>92</v>
      </c>
      <c r="D98" s="4">
        <v>19</v>
      </c>
      <c r="E98" s="4">
        <v>393</v>
      </c>
      <c r="F98" s="4">
        <v>19</v>
      </c>
      <c r="G98" s="4">
        <v>393</v>
      </c>
      <c r="H98" s="4">
        <v>0.39300000000000002</v>
      </c>
      <c r="I98" s="4">
        <v>5.2</v>
      </c>
      <c r="J98" s="4"/>
      <c r="K98" s="4">
        <v>1</v>
      </c>
      <c r="L98" s="4">
        <v>0.41699999999999998</v>
      </c>
      <c r="M98" s="4">
        <v>0.44</v>
      </c>
      <c r="N98" s="4">
        <v>8.3000000000000004E-2</v>
      </c>
      <c r="O98" s="4">
        <v>0.06</v>
      </c>
      <c r="P98" s="4">
        <v>0</v>
      </c>
      <c r="Q98" s="4"/>
      <c r="R98" s="4">
        <v>0.39300000000000002</v>
      </c>
      <c r="S98" s="4">
        <v>0.6</v>
      </c>
      <c r="T98" s="4">
        <v>0.216</v>
      </c>
      <c r="U98" s="4">
        <v>0.14299999999999999</v>
      </c>
      <c r="V98" s="4">
        <v>0.6</v>
      </c>
      <c r="W98" s="4">
        <v>0</v>
      </c>
      <c r="X98" s="4"/>
      <c r="Y98" s="4">
        <v>0.51500000000000001</v>
      </c>
      <c r="Z98" s="4">
        <v>0</v>
      </c>
      <c r="AA98" s="4"/>
      <c r="AB98" s="4">
        <v>0</v>
      </c>
      <c r="AC98" s="4">
        <v>0</v>
      </c>
      <c r="AD98" s="10">
        <f t="shared" si="12"/>
        <v>0.51500000000000001</v>
      </c>
      <c r="AE98" s="9"/>
      <c r="AF98" s="9"/>
      <c r="AG98" s="12">
        <f t="shared" si="13"/>
        <v>10.6</v>
      </c>
      <c r="AH98" s="12">
        <f t="shared" si="13"/>
        <v>28.199999999999996</v>
      </c>
      <c r="AI98" s="12">
        <f t="shared" si="13"/>
        <v>36.6</v>
      </c>
      <c r="AJ98" s="12">
        <f t="shared" si="13"/>
        <v>9.1</v>
      </c>
      <c r="AK98" s="12"/>
      <c r="AL98" s="12">
        <f t="shared" si="21"/>
        <v>83.2</v>
      </c>
      <c r="AM98" s="12">
        <f t="shared" si="21"/>
        <v>85.399999999999991</v>
      </c>
      <c r="AN98" s="12">
        <f t="shared" si="21"/>
        <v>96.1</v>
      </c>
      <c r="AO98" s="12">
        <f t="shared" si="19"/>
        <v>28.999999999999996</v>
      </c>
      <c r="AP98" s="12">
        <f t="shared" si="19"/>
        <v>13.700000000000001</v>
      </c>
      <c r="AQ98" s="12">
        <f t="shared" si="19"/>
        <v>0</v>
      </c>
      <c r="AR98" s="12"/>
      <c r="AS98" s="12">
        <f t="shared" si="22"/>
        <v>27.400000000000002</v>
      </c>
      <c r="AT98" s="12">
        <f t="shared" si="22"/>
        <v>45.800000000000004</v>
      </c>
      <c r="AU98" s="12">
        <f t="shared" si="22"/>
        <v>10.6</v>
      </c>
      <c r="AV98" s="12">
        <f t="shared" si="20"/>
        <v>12.2</v>
      </c>
      <c r="AW98" s="12">
        <f t="shared" si="20"/>
        <v>97.7</v>
      </c>
      <c r="AX98" s="12">
        <f t="shared" si="20"/>
        <v>0</v>
      </c>
      <c r="AY98" s="12"/>
      <c r="AZ98" s="12">
        <f t="shared" si="14"/>
        <v>52</v>
      </c>
      <c r="BA98" s="12">
        <f t="shared" si="15"/>
        <v>100</v>
      </c>
      <c r="BB98" s="12"/>
      <c r="BC98" s="12">
        <f t="shared" si="16"/>
        <v>0</v>
      </c>
      <c r="BD98" s="12">
        <f t="shared" si="17"/>
        <v>0</v>
      </c>
      <c r="BE98" s="12">
        <f t="shared" si="18"/>
        <v>68.8</v>
      </c>
    </row>
    <row r="99" spans="1:57" ht="15.75" customHeight="1" x14ac:dyDescent="0.25">
      <c r="A99" s="1" t="s">
        <v>199</v>
      </c>
      <c r="B99" s="4" t="s">
        <v>106</v>
      </c>
      <c r="C99" s="4" t="s">
        <v>8</v>
      </c>
      <c r="D99" s="4">
        <v>18</v>
      </c>
      <c r="E99" s="4">
        <v>383</v>
      </c>
      <c r="F99" s="4">
        <v>18</v>
      </c>
      <c r="G99" s="4">
        <v>383</v>
      </c>
      <c r="H99" s="4">
        <v>0.36699999999999999</v>
      </c>
      <c r="I99" s="4">
        <v>18.2</v>
      </c>
      <c r="J99" s="4"/>
      <c r="K99" s="4">
        <v>0.51</v>
      </c>
      <c r="L99" s="4">
        <v>0.10199999999999999</v>
      </c>
      <c r="M99" s="4">
        <v>5.0999999999999997E-2</v>
      </c>
      <c r="N99" s="4">
        <v>6.0999999999999999E-2</v>
      </c>
      <c r="O99" s="4">
        <v>0.29599999999999999</v>
      </c>
      <c r="P99" s="4">
        <v>0.49</v>
      </c>
      <c r="Q99" s="4"/>
      <c r="R99" s="4">
        <v>0.26</v>
      </c>
      <c r="S99" s="4">
        <v>0.5</v>
      </c>
      <c r="T99" s="4">
        <v>0.2</v>
      </c>
      <c r="U99" s="4">
        <v>0</v>
      </c>
      <c r="V99" s="4">
        <v>0.24099999999999999</v>
      </c>
      <c r="W99" s="4">
        <v>0.47899999999999998</v>
      </c>
      <c r="X99" s="4"/>
      <c r="Y99" s="4">
        <v>0.46200000000000002</v>
      </c>
      <c r="Z99" s="4">
        <v>0.87</v>
      </c>
      <c r="AA99" s="4"/>
      <c r="AB99" s="4">
        <v>0.375</v>
      </c>
      <c r="AC99" s="4">
        <v>0.5</v>
      </c>
      <c r="AD99" s="10">
        <f t="shared" si="12"/>
        <v>0.66192000000000006</v>
      </c>
      <c r="AE99" s="9"/>
      <c r="AF99" s="9"/>
      <c r="AG99" s="12">
        <f t="shared" si="13"/>
        <v>9.9</v>
      </c>
      <c r="AH99" s="12">
        <f t="shared" si="13"/>
        <v>27.400000000000002</v>
      </c>
      <c r="AI99" s="12">
        <f t="shared" si="13"/>
        <v>26.700000000000003</v>
      </c>
      <c r="AJ99" s="12">
        <f t="shared" si="13"/>
        <v>93.100000000000009</v>
      </c>
      <c r="AK99" s="12"/>
      <c r="AL99" s="12">
        <f t="shared" si="21"/>
        <v>11.4</v>
      </c>
      <c r="AM99" s="12">
        <f t="shared" si="21"/>
        <v>9.1</v>
      </c>
      <c r="AN99" s="12">
        <f t="shared" si="21"/>
        <v>2.1999999999999997</v>
      </c>
      <c r="AO99" s="12">
        <f t="shared" si="19"/>
        <v>15.2</v>
      </c>
      <c r="AP99" s="12">
        <f t="shared" si="19"/>
        <v>83.899999999999991</v>
      </c>
      <c r="AQ99" s="12">
        <f t="shared" si="19"/>
        <v>88.5</v>
      </c>
      <c r="AR99" s="12"/>
      <c r="AS99" s="12">
        <f t="shared" si="22"/>
        <v>0.70000000000000007</v>
      </c>
      <c r="AT99" s="12">
        <f t="shared" si="22"/>
        <v>16</v>
      </c>
      <c r="AU99" s="12">
        <f t="shared" si="22"/>
        <v>7.6</v>
      </c>
      <c r="AV99" s="12">
        <f t="shared" si="20"/>
        <v>0</v>
      </c>
      <c r="AW99" s="12">
        <f t="shared" si="20"/>
        <v>19.8</v>
      </c>
      <c r="AX99" s="12">
        <f t="shared" si="20"/>
        <v>97.7</v>
      </c>
      <c r="AY99" s="12"/>
      <c r="AZ99" s="12">
        <f t="shared" si="14"/>
        <v>61.1</v>
      </c>
      <c r="BA99" s="12">
        <f t="shared" si="15"/>
        <v>40.5</v>
      </c>
      <c r="BB99" s="12"/>
      <c r="BC99" s="12">
        <f t="shared" si="16"/>
        <v>93.100000000000009</v>
      </c>
      <c r="BD99" s="12">
        <f t="shared" si="17"/>
        <v>87</v>
      </c>
      <c r="BE99" s="12">
        <f t="shared" si="18"/>
        <v>39.700000000000003</v>
      </c>
    </row>
    <row r="100" spans="1:57" ht="15.75" customHeight="1" x14ac:dyDescent="0.25">
      <c r="A100" s="1" t="s">
        <v>200</v>
      </c>
      <c r="B100" s="3" t="s">
        <v>114</v>
      </c>
      <c r="C100" s="4" t="s">
        <v>8</v>
      </c>
      <c r="D100" s="4">
        <v>34</v>
      </c>
      <c r="E100" s="4">
        <v>379</v>
      </c>
      <c r="F100" s="4">
        <v>34</v>
      </c>
      <c r="G100" s="4">
        <v>379</v>
      </c>
      <c r="H100" s="4">
        <v>0.29199999999999998</v>
      </c>
      <c r="I100" s="4">
        <v>15.7</v>
      </c>
      <c r="J100" s="4"/>
      <c r="K100" s="4">
        <v>0.55400000000000005</v>
      </c>
      <c r="L100" s="4">
        <v>0.254</v>
      </c>
      <c r="M100" s="4">
        <v>0.108</v>
      </c>
      <c r="N100" s="4">
        <v>3.7999999999999999E-2</v>
      </c>
      <c r="O100" s="4">
        <v>0.154</v>
      </c>
      <c r="P100" s="4">
        <v>0.44600000000000001</v>
      </c>
      <c r="Q100" s="4"/>
      <c r="R100" s="4">
        <v>0.38900000000000001</v>
      </c>
      <c r="S100" s="4">
        <v>0.54500000000000004</v>
      </c>
      <c r="T100" s="4">
        <v>0.35699999999999998</v>
      </c>
      <c r="U100" s="4">
        <v>0</v>
      </c>
      <c r="V100" s="4">
        <v>0.25</v>
      </c>
      <c r="W100" s="4">
        <v>0.17199999999999999</v>
      </c>
      <c r="X100" s="4"/>
      <c r="Y100" s="4">
        <v>0.46400000000000002</v>
      </c>
      <c r="Z100" s="4">
        <v>0.9</v>
      </c>
      <c r="AA100" s="4"/>
      <c r="AB100" s="4">
        <v>0.34499999999999997</v>
      </c>
      <c r="AC100" s="4">
        <v>0.25</v>
      </c>
      <c r="AD100" s="10">
        <f t="shared" si="12"/>
        <v>0.65845600000000015</v>
      </c>
      <c r="AE100" s="9"/>
      <c r="AF100" s="9"/>
      <c r="AG100" s="12">
        <f t="shared" si="13"/>
        <v>65.600000000000009</v>
      </c>
      <c r="AH100" s="12">
        <f t="shared" si="13"/>
        <v>26.700000000000003</v>
      </c>
      <c r="AI100" s="12">
        <f t="shared" si="13"/>
        <v>3.8</v>
      </c>
      <c r="AJ100" s="12">
        <f t="shared" si="13"/>
        <v>79.3</v>
      </c>
      <c r="AK100" s="12"/>
      <c r="AL100" s="12">
        <f t="shared" si="21"/>
        <v>15.2</v>
      </c>
      <c r="AM100" s="12">
        <f t="shared" si="21"/>
        <v>49.6</v>
      </c>
      <c r="AN100" s="12">
        <f t="shared" si="21"/>
        <v>19</v>
      </c>
      <c r="AO100" s="12">
        <f t="shared" si="19"/>
        <v>6.8000000000000007</v>
      </c>
      <c r="AP100" s="12">
        <f t="shared" si="19"/>
        <v>39.6</v>
      </c>
      <c r="AQ100" s="12">
        <f t="shared" si="19"/>
        <v>84.7</v>
      </c>
      <c r="AR100" s="12"/>
      <c r="AS100" s="12">
        <f t="shared" si="22"/>
        <v>24.4</v>
      </c>
      <c r="AT100" s="12">
        <f t="shared" si="22"/>
        <v>29.7</v>
      </c>
      <c r="AU100" s="12">
        <f t="shared" si="22"/>
        <v>54.1</v>
      </c>
      <c r="AV100" s="12">
        <f t="shared" si="20"/>
        <v>0</v>
      </c>
      <c r="AW100" s="12">
        <f t="shared" si="20"/>
        <v>20.599999999999998</v>
      </c>
      <c r="AX100" s="12">
        <f t="shared" si="20"/>
        <v>35.099999999999994</v>
      </c>
      <c r="AY100" s="12"/>
      <c r="AZ100" s="12">
        <f t="shared" si="14"/>
        <v>60.4</v>
      </c>
      <c r="BA100" s="12">
        <f t="shared" si="15"/>
        <v>35.200000000000003</v>
      </c>
      <c r="BB100" s="12"/>
      <c r="BC100" s="12">
        <f t="shared" si="16"/>
        <v>91.600000000000009</v>
      </c>
      <c r="BD100" s="12">
        <f t="shared" si="17"/>
        <v>54.900000000000006</v>
      </c>
      <c r="BE100" s="12">
        <f t="shared" si="18"/>
        <v>42.000000000000007</v>
      </c>
    </row>
    <row r="101" spans="1:57" ht="15.75" customHeight="1" x14ac:dyDescent="0.25">
      <c r="A101" s="1" t="s">
        <v>201</v>
      </c>
      <c r="B101" s="3" t="s">
        <v>86</v>
      </c>
      <c r="C101" s="4" t="s">
        <v>8</v>
      </c>
      <c r="D101" s="4">
        <v>30</v>
      </c>
      <c r="E101" s="4">
        <v>373</v>
      </c>
      <c r="F101" s="4">
        <v>30</v>
      </c>
      <c r="G101" s="4">
        <v>373</v>
      </c>
      <c r="H101" s="4">
        <v>0.32600000000000001</v>
      </c>
      <c r="I101" s="4">
        <v>14.8</v>
      </c>
      <c r="J101" s="4"/>
      <c r="K101" s="4">
        <v>0.60899999999999999</v>
      </c>
      <c r="L101" s="4">
        <v>0.22800000000000001</v>
      </c>
      <c r="M101" s="4">
        <v>0.16300000000000001</v>
      </c>
      <c r="N101" s="4">
        <v>6.5000000000000002E-2</v>
      </c>
      <c r="O101" s="4">
        <v>0.152</v>
      </c>
      <c r="P101" s="4">
        <v>0.39100000000000001</v>
      </c>
      <c r="Q101" s="4"/>
      <c r="R101" s="4">
        <v>0.35699999999999998</v>
      </c>
      <c r="S101" s="4">
        <v>0.47599999999999998</v>
      </c>
      <c r="T101" s="4">
        <v>0.2</v>
      </c>
      <c r="U101" s="4">
        <v>0.33300000000000002</v>
      </c>
      <c r="V101" s="4">
        <v>0.35699999999999998</v>
      </c>
      <c r="W101" s="4">
        <v>0.27800000000000002</v>
      </c>
      <c r="X101" s="4"/>
      <c r="Y101" s="4">
        <v>0.5</v>
      </c>
      <c r="Z101" s="4">
        <v>1</v>
      </c>
      <c r="AA101" s="4"/>
      <c r="AB101" s="4">
        <v>0.27800000000000002</v>
      </c>
      <c r="AC101" s="4">
        <v>0.2</v>
      </c>
      <c r="AD101" s="10">
        <f t="shared" si="12"/>
        <v>0.69550000000000001</v>
      </c>
      <c r="AE101" s="9"/>
      <c r="AF101" s="9"/>
      <c r="AG101" s="12">
        <f t="shared" si="13"/>
        <v>34.300000000000004</v>
      </c>
      <c r="AH101" s="12">
        <f t="shared" si="13"/>
        <v>25.900000000000002</v>
      </c>
      <c r="AI101" s="12">
        <f t="shared" si="13"/>
        <v>12.2</v>
      </c>
      <c r="AJ101" s="12">
        <f t="shared" si="13"/>
        <v>73.2</v>
      </c>
      <c r="AK101" s="12"/>
      <c r="AL101" s="12">
        <f t="shared" si="21"/>
        <v>19</v>
      </c>
      <c r="AM101" s="12">
        <f t="shared" si="21"/>
        <v>38.1</v>
      </c>
      <c r="AN101" s="12">
        <f t="shared" si="21"/>
        <v>45.800000000000004</v>
      </c>
      <c r="AO101" s="12">
        <f t="shared" si="19"/>
        <v>16.7</v>
      </c>
      <c r="AP101" s="12">
        <f t="shared" si="19"/>
        <v>38.9</v>
      </c>
      <c r="AQ101" s="12">
        <f t="shared" si="19"/>
        <v>80.100000000000009</v>
      </c>
      <c r="AR101" s="12"/>
      <c r="AS101" s="12">
        <f t="shared" si="22"/>
        <v>14.499999999999998</v>
      </c>
      <c r="AT101" s="12">
        <f t="shared" si="22"/>
        <v>15.2</v>
      </c>
      <c r="AU101" s="12">
        <f t="shared" si="22"/>
        <v>7.6</v>
      </c>
      <c r="AV101" s="12">
        <f t="shared" si="20"/>
        <v>45</v>
      </c>
      <c r="AW101" s="12">
        <f t="shared" si="20"/>
        <v>57.199999999999996</v>
      </c>
      <c r="AX101" s="12">
        <f t="shared" si="20"/>
        <v>54.1</v>
      </c>
      <c r="AY101" s="12"/>
      <c r="AZ101" s="12">
        <f t="shared" si="14"/>
        <v>54.199999999999996</v>
      </c>
      <c r="BA101" s="12">
        <f t="shared" si="15"/>
        <v>23</v>
      </c>
      <c r="BB101" s="12"/>
      <c r="BC101" s="12">
        <f t="shared" si="16"/>
        <v>83.2</v>
      </c>
      <c r="BD101" s="12">
        <f t="shared" si="17"/>
        <v>50.3</v>
      </c>
      <c r="BE101" s="12">
        <f t="shared" si="18"/>
        <v>29.800000000000011</v>
      </c>
    </row>
    <row r="102" spans="1:57" ht="15.75" customHeight="1" x14ac:dyDescent="0.25">
      <c r="A102" s="1" t="s">
        <v>202</v>
      </c>
      <c r="B102" s="3" t="s">
        <v>97</v>
      </c>
      <c r="C102" s="4" t="s">
        <v>115</v>
      </c>
      <c r="D102" s="4">
        <v>33</v>
      </c>
      <c r="E102" s="4">
        <v>371</v>
      </c>
      <c r="F102" s="4">
        <v>33</v>
      </c>
      <c r="G102" s="4">
        <v>371</v>
      </c>
      <c r="H102" s="4">
        <v>0.41699999999999998</v>
      </c>
      <c r="I102" s="4">
        <v>4.8</v>
      </c>
      <c r="J102" s="4"/>
      <c r="K102" s="4">
        <v>1</v>
      </c>
      <c r="L102" s="4">
        <v>0.41699999999999998</v>
      </c>
      <c r="M102" s="4">
        <v>0.48799999999999999</v>
      </c>
      <c r="N102" s="4">
        <v>8.3000000000000004E-2</v>
      </c>
      <c r="O102" s="4">
        <v>1.2E-2</v>
      </c>
      <c r="P102" s="4">
        <v>0</v>
      </c>
      <c r="Q102" s="4"/>
      <c r="R102" s="4">
        <v>0.41699999999999998</v>
      </c>
      <c r="S102" s="4">
        <v>0.6</v>
      </c>
      <c r="T102" s="4">
        <v>0.317</v>
      </c>
      <c r="U102" s="4">
        <v>0.14299999999999999</v>
      </c>
      <c r="V102" s="4">
        <v>0</v>
      </c>
      <c r="W102" s="4">
        <v>0</v>
      </c>
      <c r="X102" s="4"/>
      <c r="Y102" s="4">
        <v>0.6</v>
      </c>
      <c r="Z102" s="4">
        <v>0</v>
      </c>
      <c r="AA102" s="4"/>
      <c r="AB102" s="4">
        <v>0</v>
      </c>
      <c r="AC102" s="4">
        <v>0</v>
      </c>
      <c r="AD102" s="10">
        <f t="shared" si="12"/>
        <v>0.6</v>
      </c>
      <c r="AE102" s="9"/>
      <c r="AF102" s="9"/>
      <c r="AG102" s="12">
        <f t="shared" si="13"/>
        <v>54.900000000000006</v>
      </c>
      <c r="AH102" s="12">
        <f t="shared" si="13"/>
        <v>25.1</v>
      </c>
      <c r="AI102" s="12">
        <f t="shared" si="13"/>
        <v>55.7</v>
      </c>
      <c r="AJ102" s="12">
        <f t="shared" si="13"/>
        <v>6.8000000000000007</v>
      </c>
      <c r="AK102" s="12"/>
      <c r="AL102" s="12">
        <f t="shared" si="21"/>
        <v>83.2</v>
      </c>
      <c r="AM102" s="12">
        <f t="shared" si="21"/>
        <v>85.399999999999991</v>
      </c>
      <c r="AN102" s="12">
        <f t="shared" si="21"/>
        <v>98.4</v>
      </c>
      <c r="AO102" s="12">
        <f t="shared" si="19"/>
        <v>28.999999999999996</v>
      </c>
      <c r="AP102" s="12">
        <f t="shared" si="19"/>
        <v>3</v>
      </c>
      <c r="AQ102" s="12">
        <f t="shared" si="19"/>
        <v>0</v>
      </c>
      <c r="AR102" s="12"/>
      <c r="AS102" s="12">
        <f t="shared" si="22"/>
        <v>40.400000000000006</v>
      </c>
      <c r="AT102" s="12">
        <f t="shared" si="22"/>
        <v>45.800000000000004</v>
      </c>
      <c r="AU102" s="12">
        <f t="shared" si="22"/>
        <v>34.300000000000004</v>
      </c>
      <c r="AV102" s="12">
        <f t="shared" si="20"/>
        <v>12.2</v>
      </c>
      <c r="AW102" s="12">
        <f t="shared" si="20"/>
        <v>0</v>
      </c>
      <c r="AX102" s="12">
        <f t="shared" si="20"/>
        <v>0</v>
      </c>
      <c r="AY102" s="12"/>
      <c r="AZ102" s="12">
        <f t="shared" si="14"/>
        <v>42.800000000000004</v>
      </c>
      <c r="BA102" s="12">
        <f t="shared" si="15"/>
        <v>100</v>
      </c>
      <c r="BB102" s="12"/>
      <c r="BC102" s="12">
        <f t="shared" si="16"/>
        <v>0</v>
      </c>
      <c r="BD102" s="12">
        <f t="shared" si="17"/>
        <v>0</v>
      </c>
      <c r="BE102" s="12">
        <f t="shared" si="18"/>
        <v>57.300000000000004</v>
      </c>
    </row>
    <row r="103" spans="1:57" ht="15.75" customHeight="1" x14ac:dyDescent="0.25">
      <c r="A103" s="1" t="s">
        <v>203</v>
      </c>
      <c r="B103" s="3" t="s">
        <v>104</v>
      </c>
      <c r="C103" s="4" t="s">
        <v>92</v>
      </c>
      <c r="D103" s="4">
        <v>31</v>
      </c>
      <c r="E103" s="4">
        <v>344</v>
      </c>
      <c r="F103" s="4">
        <v>31</v>
      </c>
      <c r="G103" s="4">
        <v>344</v>
      </c>
      <c r="H103" s="4">
        <v>0.47499999999999998</v>
      </c>
      <c r="I103" s="4">
        <v>9.6</v>
      </c>
      <c r="J103" s="4"/>
      <c r="K103" s="4">
        <v>0.99199999999999999</v>
      </c>
      <c r="L103" s="4">
        <v>0.23799999999999999</v>
      </c>
      <c r="M103" s="4">
        <v>0.246</v>
      </c>
      <c r="N103" s="4">
        <v>0.39300000000000002</v>
      </c>
      <c r="O103" s="4">
        <v>0.115</v>
      </c>
      <c r="P103" s="4">
        <v>8.0000000000000002E-3</v>
      </c>
      <c r="Q103" s="4"/>
      <c r="R103" s="4">
        <v>0.47899999999999998</v>
      </c>
      <c r="S103" s="4">
        <v>0.82799999999999996</v>
      </c>
      <c r="T103" s="4">
        <v>0.4</v>
      </c>
      <c r="U103" s="4">
        <v>0.375</v>
      </c>
      <c r="V103" s="4">
        <v>0.28599999999999998</v>
      </c>
      <c r="W103" s="4">
        <v>0</v>
      </c>
      <c r="X103" s="4"/>
      <c r="Y103" s="4">
        <v>0.69</v>
      </c>
      <c r="Z103" s="4">
        <v>0</v>
      </c>
      <c r="AA103" s="4"/>
      <c r="AB103" s="4">
        <v>0</v>
      </c>
      <c r="AC103" s="4">
        <v>0</v>
      </c>
      <c r="AD103" s="10">
        <f t="shared" si="12"/>
        <v>0.68447999999999998</v>
      </c>
      <c r="AE103" s="9"/>
      <c r="AF103" s="9"/>
      <c r="AG103" s="12">
        <f t="shared" si="13"/>
        <v>40.400000000000006</v>
      </c>
      <c r="AH103" s="12">
        <f t="shared" si="13"/>
        <v>24.4</v>
      </c>
      <c r="AI103" s="12">
        <f t="shared" si="13"/>
        <v>82.399999999999991</v>
      </c>
      <c r="AJ103" s="12">
        <f t="shared" si="13"/>
        <v>28.199999999999996</v>
      </c>
      <c r="AK103" s="12"/>
      <c r="AL103" s="12">
        <f t="shared" si="21"/>
        <v>77.8</v>
      </c>
      <c r="AM103" s="12">
        <f t="shared" si="21"/>
        <v>41.9</v>
      </c>
      <c r="AN103" s="12">
        <f t="shared" si="21"/>
        <v>77</v>
      </c>
      <c r="AO103" s="12">
        <f t="shared" si="19"/>
        <v>100</v>
      </c>
      <c r="AP103" s="12">
        <f t="shared" si="19"/>
        <v>31.2</v>
      </c>
      <c r="AQ103" s="12">
        <f t="shared" si="19"/>
        <v>21.3</v>
      </c>
      <c r="AR103" s="12"/>
      <c r="AS103" s="12">
        <f t="shared" si="22"/>
        <v>77</v>
      </c>
      <c r="AT103" s="12">
        <f t="shared" si="22"/>
        <v>96.899999999999991</v>
      </c>
      <c r="AU103" s="12">
        <f t="shared" si="22"/>
        <v>69.399999999999991</v>
      </c>
      <c r="AV103" s="12">
        <f t="shared" si="20"/>
        <v>68.7</v>
      </c>
      <c r="AW103" s="12">
        <f t="shared" si="20"/>
        <v>29.7</v>
      </c>
      <c r="AX103" s="12">
        <f t="shared" si="20"/>
        <v>0</v>
      </c>
      <c r="AY103" s="12"/>
      <c r="AZ103" s="12">
        <f t="shared" si="14"/>
        <v>19.099999999999994</v>
      </c>
      <c r="BA103" s="12">
        <f t="shared" si="15"/>
        <v>100</v>
      </c>
      <c r="BB103" s="12"/>
      <c r="BC103" s="12">
        <f t="shared" si="16"/>
        <v>0</v>
      </c>
      <c r="BD103" s="12">
        <f t="shared" si="17"/>
        <v>0</v>
      </c>
      <c r="BE103" s="12">
        <f t="shared" si="18"/>
        <v>34.399999999999991</v>
      </c>
    </row>
    <row r="104" spans="1:57" ht="15.75" customHeight="1" x14ac:dyDescent="0.25">
      <c r="A104" s="1" t="s">
        <v>204</v>
      </c>
      <c r="B104" s="3" t="s">
        <v>122</v>
      </c>
      <c r="C104" s="4" t="s">
        <v>8</v>
      </c>
      <c r="D104" s="4">
        <v>24</v>
      </c>
      <c r="E104" s="4">
        <v>338</v>
      </c>
      <c r="F104" s="4">
        <v>24</v>
      </c>
      <c r="G104" s="4">
        <v>338</v>
      </c>
      <c r="H104" s="4">
        <v>0.36699999999999999</v>
      </c>
      <c r="I104" s="4">
        <v>18</v>
      </c>
      <c r="J104" s="4"/>
      <c r="K104" s="4">
        <v>0.49</v>
      </c>
      <c r="L104" s="4">
        <v>0.14299999999999999</v>
      </c>
      <c r="M104" s="4">
        <v>6.0999999999999999E-2</v>
      </c>
      <c r="N104" s="4">
        <v>0.14299999999999999</v>
      </c>
      <c r="O104" s="4">
        <v>0.14299999999999999</v>
      </c>
      <c r="P104" s="4">
        <v>0.51</v>
      </c>
      <c r="Q104" s="4"/>
      <c r="R104" s="4">
        <v>0.45800000000000002</v>
      </c>
      <c r="S104" s="4">
        <v>0.85699999999999998</v>
      </c>
      <c r="T104" s="4">
        <v>0.33300000000000002</v>
      </c>
      <c r="U104" s="4">
        <v>0.42899999999999999</v>
      </c>
      <c r="V104" s="4">
        <v>0.14299999999999999</v>
      </c>
      <c r="W104" s="4">
        <v>0.28000000000000003</v>
      </c>
      <c r="X104" s="4"/>
      <c r="Y104" s="4">
        <v>0.45500000000000002</v>
      </c>
      <c r="Z104" s="4">
        <v>1</v>
      </c>
      <c r="AA104" s="4"/>
      <c r="AB104" s="4">
        <v>0.2</v>
      </c>
      <c r="AC104" s="4">
        <v>0.2</v>
      </c>
      <c r="AD104" s="10">
        <f t="shared" si="12"/>
        <v>0.73294999999999999</v>
      </c>
      <c r="AE104" s="9"/>
      <c r="AF104" s="9"/>
      <c r="AG104" s="12">
        <f t="shared" si="13"/>
        <v>20.599999999999998</v>
      </c>
      <c r="AH104" s="12">
        <f t="shared" si="13"/>
        <v>23.599999999999998</v>
      </c>
      <c r="AI104" s="12">
        <f t="shared" si="13"/>
        <v>26.700000000000003</v>
      </c>
      <c r="AJ104" s="12">
        <f t="shared" si="13"/>
        <v>91.600000000000009</v>
      </c>
      <c r="AK104" s="12"/>
      <c r="AL104" s="12">
        <f t="shared" si="21"/>
        <v>8.3000000000000007</v>
      </c>
      <c r="AM104" s="12">
        <f t="shared" si="21"/>
        <v>17.5</v>
      </c>
      <c r="AN104" s="12">
        <f t="shared" si="21"/>
        <v>3</v>
      </c>
      <c r="AO104" s="12">
        <f t="shared" si="19"/>
        <v>61</v>
      </c>
      <c r="AP104" s="12">
        <f t="shared" si="19"/>
        <v>36.6</v>
      </c>
      <c r="AQ104" s="12">
        <f t="shared" si="19"/>
        <v>91.600000000000009</v>
      </c>
      <c r="AR104" s="12"/>
      <c r="AS104" s="12">
        <f t="shared" si="22"/>
        <v>61</v>
      </c>
      <c r="AT104" s="12">
        <f t="shared" si="22"/>
        <v>97.7</v>
      </c>
      <c r="AU104" s="12">
        <f t="shared" si="22"/>
        <v>39.6</v>
      </c>
      <c r="AV104" s="12">
        <f t="shared" si="20"/>
        <v>80.900000000000006</v>
      </c>
      <c r="AW104" s="12">
        <f t="shared" si="20"/>
        <v>8.3000000000000007</v>
      </c>
      <c r="AX104" s="12">
        <f t="shared" si="20"/>
        <v>54.900000000000006</v>
      </c>
      <c r="AY104" s="12"/>
      <c r="AZ104" s="12">
        <f t="shared" si="14"/>
        <v>62.6</v>
      </c>
      <c r="BA104" s="12">
        <f t="shared" si="15"/>
        <v>23</v>
      </c>
      <c r="BB104" s="12"/>
      <c r="BC104" s="12">
        <f t="shared" si="16"/>
        <v>73.2</v>
      </c>
      <c r="BD104" s="12">
        <f t="shared" si="17"/>
        <v>50.3</v>
      </c>
      <c r="BE104" s="12">
        <f t="shared" si="18"/>
        <v>22.200000000000003</v>
      </c>
    </row>
    <row r="105" spans="1:57" ht="15.75" customHeight="1" x14ac:dyDescent="0.25">
      <c r="A105" s="1" t="s">
        <v>205</v>
      </c>
      <c r="B105" s="3" t="s">
        <v>95</v>
      </c>
      <c r="C105" s="4" t="s">
        <v>92</v>
      </c>
      <c r="D105" s="4">
        <v>33</v>
      </c>
      <c r="E105" s="4">
        <v>321</v>
      </c>
      <c r="F105" s="4">
        <v>33</v>
      </c>
      <c r="G105" s="4">
        <v>321</v>
      </c>
      <c r="H105" s="4">
        <v>0.52700000000000002</v>
      </c>
      <c r="I105" s="4">
        <v>11.6</v>
      </c>
      <c r="J105" s="4"/>
      <c r="K105" s="4">
        <v>0.76900000000000002</v>
      </c>
      <c r="L105" s="4">
        <v>0.34100000000000003</v>
      </c>
      <c r="M105" s="4">
        <v>0.187</v>
      </c>
      <c r="N105" s="4">
        <v>3.3000000000000002E-2</v>
      </c>
      <c r="O105" s="4">
        <v>0.20899999999999999</v>
      </c>
      <c r="P105" s="4">
        <v>0.23100000000000001</v>
      </c>
      <c r="Q105" s="4"/>
      <c r="R105" s="4">
        <v>0.61399999999999999</v>
      </c>
      <c r="S105" s="4">
        <v>0.80600000000000005</v>
      </c>
      <c r="T105" s="4">
        <v>0.47099999999999997</v>
      </c>
      <c r="U105" s="4">
        <v>0.66700000000000004</v>
      </c>
      <c r="V105" s="4">
        <v>0.42099999999999999</v>
      </c>
      <c r="W105" s="4">
        <v>0.23799999999999999</v>
      </c>
      <c r="X105" s="4"/>
      <c r="Y105" s="4">
        <v>0.81399999999999995</v>
      </c>
      <c r="Z105" s="4">
        <v>1</v>
      </c>
      <c r="AA105" s="4"/>
      <c r="AB105" s="4">
        <v>4.8000000000000001E-2</v>
      </c>
      <c r="AC105" s="4">
        <v>1</v>
      </c>
      <c r="AD105" s="10">
        <f t="shared" si="12"/>
        <v>0.85696600000000001</v>
      </c>
      <c r="AE105" s="9"/>
      <c r="AF105" s="9"/>
      <c r="AG105" s="12">
        <f t="shared" si="13"/>
        <v>54.900000000000006</v>
      </c>
      <c r="AH105" s="12">
        <f t="shared" si="13"/>
        <v>22.900000000000002</v>
      </c>
      <c r="AI105" s="12">
        <f t="shared" si="13"/>
        <v>91.600000000000009</v>
      </c>
      <c r="AJ105" s="12">
        <f t="shared" si="13"/>
        <v>39.6</v>
      </c>
      <c r="AK105" s="12"/>
      <c r="AL105" s="12">
        <f t="shared" si="21"/>
        <v>45</v>
      </c>
      <c r="AM105" s="12">
        <f t="shared" si="21"/>
        <v>74.8</v>
      </c>
      <c r="AN105" s="12">
        <f t="shared" si="21"/>
        <v>54.1</v>
      </c>
      <c r="AO105" s="12">
        <f t="shared" si="19"/>
        <v>5.3</v>
      </c>
      <c r="AP105" s="12">
        <f t="shared" si="19"/>
        <v>58.699999999999996</v>
      </c>
      <c r="AQ105" s="12">
        <f t="shared" si="19"/>
        <v>54.900000000000006</v>
      </c>
      <c r="AR105" s="12"/>
      <c r="AS105" s="12">
        <f t="shared" si="22"/>
        <v>99.2</v>
      </c>
      <c r="AT105" s="12">
        <f t="shared" si="22"/>
        <v>96.1</v>
      </c>
      <c r="AU105" s="12">
        <f t="shared" si="22"/>
        <v>90</v>
      </c>
      <c r="AV105" s="12">
        <f t="shared" si="20"/>
        <v>99.2</v>
      </c>
      <c r="AW105" s="12">
        <f t="shared" si="20"/>
        <v>77.8</v>
      </c>
      <c r="AX105" s="12">
        <f t="shared" si="20"/>
        <v>42.699999999999996</v>
      </c>
      <c r="AY105" s="12"/>
      <c r="AZ105" s="12">
        <f t="shared" si="14"/>
        <v>3.9000000000000057</v>
      </c>
      <c r="BA105" s="12">
        <f t="shared" si="15"/>
        <v>23</v>
      </c>
      <c r="BB105" s="12"/>
      <c r="BC105" s="12">
        <f t="shared" si="16"/>
        <v>37.4</v>
      </c>
      <c r="BD105" s="12">
        <f t="shared" si="17"/>
        <v>99.2</v>
      </c>
      <c r="BE105" s="12">
        <f t="shared" si="18"/>
        <v>4.6000000000000085</v>
      </c>
    </row>
    <row r="106" spans="1:57" ht="15.75" customHeight="1" x14ac:dyDescent="0.25">
      <c r="A106" s="1" t="s">
        <v>206</v>
      </c>
      <c r="B106" s="3" t="s">
        <v>114</v>
      </c>
      <c r="C106" s="4" t="s">
        <v>8</v>
      </c>
      <c r="D106" s="4">
        <v>34</v>
      </c>
      <c r="E106" s="4">
        <v>318</v>
      </c>
      <c r="F106" s="4">
        <v>34</v>
      </c>
      <c r="G106" s="4">
        <v>318</v>
      </c>
      <c r="H106" s="4">
        <v>0.316</v>
      </c>
      <c r="I106" s="4">
        <v>17.5</v>
      </c>
      <c r="J106" s="4"/>
      <c r="K106" s="4">
        <v>0.64500000000000002</v>
      </c>
      <c r="L106" s="4">
        <v>0.125</v>
      </c>
      <c r="M106" s="4">
        <v>6.6000000000000003E-2</v>
      </c>
      <c r="N106" s="4">
        <v>0.11799999999999999</v>
      </c>
      <c r="O106" s="4">
        <v>0.33600000000000002</v>
      </c>
      <c r="P106" s="4">
        <v>0.35499999999999998</v>
      </c>
      <c r="Q106" s="4"/>
      <c r="R106" s="4">
        <v>0.316</v>
      </c>
      <c r="S106" s="4">
        <v>0.316</v>
      </c>
      <c r="T106" s="4">
        <v>0.4</v>
      </c>
      <c r="U106" s="4">
        <v>0.27800000000000002</v>
      </c>
      <c r="V106" s="4">
        <v>0.314</v>
      </c>
      <c r="W106" s="4">
        <v>0.315</v>
      </c>
      <c r="X106" s="4"/>
      <c r="Y106" s="4">
        <v>0.38700000000000001</v>
      </c>
      <c r="Z106" s="4">
        <v>0.70599999999999996</v>
      </c>
      <c r="AA106" s="4"/>
      <c r="AB106" s="4">
        <v>0.20399999999999999</v>
      </c>
      <c r="AC106" s="4">
        <v>0.36399999999999999</v>
      </c>
      <c r="AD106" s="10">
        <f t="shared" si="12"/>
        <v>0.50024499999999994</v>
      </c>
      <c r="AE106" s="9"/>
      <c r="AF106" s="9"/>
      <c r="AG106" s="12">
        <f t="shared" si="13"/>
        <v>65.600000000000009</v>
      </c>
      <c r="AH106" s="12">
        <f t="shared" si="13"/>
        <v>22.1</v>
      </c>
      <c r="AI106" s="12">
        <f t="shared" si="13"/>
        <v>6.8000000000000007</v>
      </c>
      <c r="AJ106" s="12">
        <f t="shared" si="13"/>
        <v>89.3</v>
      </c>
      <c r="AK106" s="12"/>
      <c r="AL106" s="12">
        <f t="shared" si="21"/>
        <v>24.4</v>
      </c>
      <c r="AM106" s="12">
        <f t="shared" si="21"/>
        <v>15.2</v>
      </c>
      <c r="AN106" s="12">
        <f t="shared" si="21"/>
        <v>3.8</v>
      </c>
      <c r="AO106" s="12">
        <f t="shared" si="19"/>
        <v>47.3</v>
      </c>
      <c r="AP106" s="12">
        <f t="shared" si="19"/>
        <v>91.600000000000009</v>
      </c>
      <c r="AQ106" s="12">
        <f t="shared" si="19"/>
        <v>75.5</v>
      </c>
      <c r="AR106" s="12"/>
      <c r="AS106" s="12">
        <f t="shared" si="22"/>
        <v>7.6</v>
      </c>
      <c r="AT106" s="12">
        <f t="shared" si="22"/>
        <v>5.3</v>
      </c>
      <c r="AU106" s="12">
        <f t="shared" si="22"/>
        <v>69.399999999999991</v>
      </c>
      <c r="AV106" s="12">
        <f t="shared" si="20"/>
        <v>30.5</v>
      </c>
      <c r="AW106" s="12">
        <f t="shared" si="20"/>
        <v>41.199999999999996</v>
      </c>
      <c r="AX106" s="12">
        <f t="shared" si="20"/>
        <v>64.099999999999994</v>
      </c>
      <c r="AY106" s="12"/>
      <c r="AZ106" s="12">
        <f t="shared" si="14"/>
        <v>71</v>
      </c>
      <c r="BA106" s="12">
        <f t="shared" si="15"/>
        <v>56.5</v>
      </c>
      <c r="BB106" s="12"/>
      <c r="BC106" s="12">
        <f t="shared" si="16"/>
        <v>75.5</v>
      </c>
      <c r="BD106" s="12">
        <f t="shared" si="17"/>
        <v>70.899999999999991</v>
      </c>
      <c r="BE106" s="12">
        <f t="shared" si="18"/>
        <v>72.599999999999994</v>
      </c>
    </row>
    <row r="107" spans="1:57" ht="15.75" customHeight="1" x14ac:dyDescent="0.25">
      <c r="A107" s="1" t="s">
        <v>207</v>
      </c>
      <c r="B107" s="3" t="s">
        <v>97</v>
      </c>
      <c r="C107" s="4" t="s">
        <v>92</v>
      </c>
      <c r="D107" s="4">
        <v>22</v>
      </c>
      <c r="E107" s="4">
        <v>285</v>
      </c>
      <c r="F107" s="4">
        <v>22</v>
      </c>
      <c r="G107" s="4">
        <v>285</v>
      </c>
      <c r="H107" s="4">
        <v>0.29099999999999998</v>
      </c>
      <c r="I107" s="4">
        <v>20.3</v>
      </c>
      <c r="J107" s="4"/>
      <c r="K107" s="4">
        <v>0.27300000000000002</v>
      </c>
      <c r="L107" s="4">
        <v>3.5999999999999997E-2</v>
      </c>
      <c r="M107" s="4">
        <v>9.0999999999999998E-2</v>
      </c>
      <c r="N107" s="4">
        <v>5.5E-2</v>
      </c>
      <c r="O107" s="4">
        <v>9.0999999999999998E-2</v>
      </c>
      <c r="P107" s="4">
        <v>0.72699999999999998</v>
      </c>
      <c r="Q107" s="4"/>
      <c r="R107" s="4">
        <v>0.33300000000000002</v>
      </c>
      <c r="S107" s="4">
        <v>1</v>
      </c>
      <c r="T107" s="4">
        <v>0</v>
      </c>
      <c r="U107" s="4">
        <v>0.33300000000000002</v>
      </c>
      <c r="V107" s="4">
        <v>0.4</v>
      </c>
      <c r="W107" s="4">
        <v>0.27500000000000002</v>
      </c>
      <c r="X107" s="4"/>
      <c r="Y107" s="4">
        <v>0.6</v>
      </c>
      <c r="Z107" s="4">
        <v>1</v>
      </c>
      <c r="AA107" s="4"/>
      <c r="AB107" s="4">
        <v>0.17499999999999999</v>
      </c>
      <c r="AC107" s="4">
        <v>0.71399999999999997</v>
      </c>
      <c r="AD107" s="10">
        <f t="shared" si="12"/>
        <v>0.89080000000000004</v>
      </c>
      <c r="AE107" s="9"/>
      <c r="AF107" s="9"/>
      <c r="AG107" s="12">
        <f t="shared" si="13"/>
        <v>14.499999999999998</v>
      </c>
      <c r="AH107" s="12">
        <f t="shared" si="13"/>
        <v>21.3</v>
      </c>
      <c r="AI107" s="12">
        <f t="shared" si="13"/>
        <v>3</v>
      </c>
      <c r="AJ107" s="12">
        <f t="shared" si="13"/>
        <v>98.4</v>
      </c>
      <c r="AK107" s="12"/>
      <c r="AL107" s="12">
        <f t="shared" si="21"/>
        <v>0.70000000000000007</v>
      </c>
      <c r="AM107" s="12">
        <f t="shared" si="21"/>
        <v>1.5</v>
      </c>
      <c r="AN107" s="12">
        <f t="shared" si="21"/>
        <v>12.9</v>
      </c>
      <c r="AO107" s="12">
        <f t="shared" si="19"/>
        <v>12.9</v>
      </c>
      <c r="AP107" s="12">
        <f t="shared" si="19"/>
        <v>24.4</v>
      </c>
      <c r="AQ107" s="12">
        <f t="shared" si="19"/>
        <v>99.2</v>
      </c>
      <c r="AR107" s="12"/>
      <c r="AS107" s="12">
        <f t="shared" si="22"/>
        <v>9.9</v>
      </c>
      <c r="AT107" s="12">
        <f t="shared" si="22"/>
        <v>99.2</v>
      </c>
      <c r="AU107" s="12">
        <f t="shared" si="22"/>
        <v>0</v>
      </c>
      <c r="AV107" s="12">
        <f t="shared" si="20"/>
        <v>45</v>
      </c>
      <c r="AW107" s="12">
        <f t="shared" si="20"/>
        <v>67.100000000000009</v>
      </c>
      <c r="AX107" s="12">
        <f t="shared" si="20"/>
        <v>53.400000000000006</v>
      </c>
      <c r="AY107" s="12"/>
      <c r="AZ107" s="12">
        <f t="shared" si="14"/>
        <v>42.800000000000004</v>
      </c>
      <c r="BA107" s="12">
        <f t="shared" si="15"/>
        <v>23</v>
      </c>
      <c r="BB107" s="12"/>
      <c r="BC107" s="12">
        <f t="shared" si="16"/>
        <v>67.100000000000009</v>
      </c>
      <c r="BD107" s="12">
        <f t="shared" si="17"/>
        <v>96.899999999999991</v>
      </c>
      <c r="BE107" s="12">
        <f t="shared" si="18"/>
        <v>2.2999999999999972</v>
      </c>
    </row>
    <row r="108" spans="1:57" ht="15.75" customHeight="1" x14ac:dyDescent="0.25">
      <c r="A108" s="1" t="s">
        <v>208</v>
      </c>
      <c r="B108" s="3" t="s">
        <v>89</v>
      </c>
      <c r="C108" s="4" t="s">
        <v>8</v>
      </c>
      <c r="D108" s="4">
        <v>32</v>
      </c>
      <c r="E108" s="4">
        <v>282</v>
      </c>
      <c r="F108" s="4">
        <v>32</v>
      </c>
      <c r="G108" s="4">
        <v>282</v>
      </c>
      <c r="H108" s="4">
        <v>0.372</v>
      </c>
      <c r="I108" s="4">
        <v>13.1</v>
      </c>
      <c r="J108" s="4"/>
      <c r="K108" s="4">
        <v>0.71799999999999997</v>
      </c>
      <c r="L108" s="4">
        <v>0.28199999999999997</v>
      </c>
      <c r="M108" s="4">
        <v>0.20499999999999999</v>
      </c>
      <c r="N108" s="4">
        <v>0.115</v>
      </c>
      <c r="O108" s="4">
        <v>0.115</v>
      </c>
      <c r="P108" s="4">
        <v>0.28199999999999997</v>
      </c>
      <c r="Q108" s="4"/>
      <c r="R108" s="4">
        <v>0.39300000000000002</v>
      </c>
      <c r="S108" s="4">
        <v>0.54500000000000004</v>
      </c>
      <c r="T108" s="4">
        <v>0.125</v>
      </c>
      <c r="U108" s="4">
        <v>0.33300000000000002</v>
      </c>
      <c r="V108" s="4">
        <v>0.55600000000000005</v>
      </c>
      <c r="W108" s="4">
        <v>0.318</v>
      </c>
      <c r="X108" s="4"/>
      <c r="Y108" s="4">
        <v>0.182</v>
      </c>
      <c r="Z108" s="4">
        <v>0.85699999999999998</v>
      </c>
      <c r="AA108" s="4"/>
      <c r="AB108" s="4">
        <v>9.0999999999999998E-2</v>
      </c>
      <c r="AC108" s="4">
        <v>0.5</v>
      </c>
      <c r="AD108" s="10">
        <f t="shared" si="12"/>
        <v>0.37234999999999996</v>
      </c>
      <c r="AE108" s="9"/>
      <c r="AF108" s="9"/>
      <c r="AG108" s="12">
        <f t="shared" si="13"/>
        <v>45</v>
      </c>
      <c r="AH108" s="12">
        <f t="shared" si="13"/>
        <v>20.599999999999998</v>
      </c>
      <c r="AI108" s="12">
        <f t="shared" si="13"/>
        <v>28.199999999999996</v>
      </c>
      <c r="AJ108" s="12">
        <f t="shared" si="13"/>
        <v>57.999999999999993</v>
      </c>
      <c r="AK108" s="12"/>
      <c r="AL108" s="12">
        <f t="shared" si="21"/>
        <v>35.799999999999997</v>
      </c>
      <c r="AM108" s="12">
        <f t="shared" si="21"/>
        <v>58.699999999999996</v>
      </c>
      <c r="AN108" s="12">
        <f t="shared" si="21"/>
        <v>62.5</v>
      </c>
      <c r="AO108" s="12">
        <f t="shared" si="19"/>
        <v>45</v>
      </c>
      <c r="AP108" s="12">
        <f t="shared" si="19"/>
        <v>31.2</v>
      </c>
      <c r="AQ108" s="12">
        <f t="shared" si="19"/>
        <v>64.099999999999994</v>
      </c>
      <c r="AR108" s="12"/>
      <c r="AS108" s="12">
        <f t="shared" si="22"/>
        <v>27.400000000000002</v>
      </c>
      <c r="AT108" s="12">
        <f t="shared" si="22"/>
        <v>29.7</v>
      </c>
      <c r="AU108" s="12">
        <f t="shared" si="22"/>
        <v>3.8</v>
      </c>
      <c r="AV108" s="12">
        <f t="shared" si="20"/>
        <v>45</v>
      </c>
      <c r="AW108" s="12">
        <f t="shared" si="20"/>
        <v>96.899999999999991</v>
      </c>
      <c r="AX108" s="12">
        <f t="shared" si="20"/>
        <v>65.600000000000009</v>
      </c>
      <c r="AY108" s="12"/>
      <c r="AZ108" s="12">
        <f t="shared" si="14"/>
        <v>93.9</v>
      </c>
      <c r="BA108" s="12">
        <f t="shared" si="15"/>
        <v>42.000000000000007</v>
      </c>
      <c r="BB108" s="12"/>
      <c r="BC108" s="12">
        <f t="shared" si="16"/>
        <v>47.3</v>
      </c>
      <c r="BD108" s="12">
        <f t="shared" si="17"/>
        <v>87</v>
      </c>
      <c r="BE108" s="12">
        <f t="shared" si="18"/>
        <v>87.8</v>
      </c>
    </row>
    <row r="109" spans="1:57" ht="15.75" customHeight="1" x14ac:dyDescent="0.25">
      <c r="A109" s="1" t="s">
        <v>209</v>
      </c>
      <c r="B109" s="4" t="s">
        <v>108</v>
      </c>
      <c r="C109" s="4" t="s">
        <v>8</v>
      </c>
      <c r="D109" s="4">
        <v>30</v>
      </c>
      <c r="E109" s="4">
        <v>276</v>
      </c>
      <c r="F109" s="4">
        <v>30</v>
      </c>
      <c r="G109" s="4">
        <v>276</v>
      </c>
      <c r="H109" s="4">
        <v>0.35299999999999998</v>
      </c>
      <c r="I109" s="4">
        <v>12.7</v>
      </c>
      <c r="J109" s="4"/>
      <c r="K109" s="4">
        <v>0.76500000000000001</v>
      </c>
      <c r="L109" s="4">
        <v>0.221</v>
      </c>
      <c r="M109" s="4">
        <v>0.20599999999999999</v>
      </c>
      <c r="N109" s="4">
        <v>0.13200000000000001</v>
      </c>
      <c r="O109" s="4">
        <v>0.20599999999999999</v>
      </c>
      <c r="P109" s="4">
        <v>0.23499999999999999</v>
      </c>
      <c r="Q109" s="4"/>
      <c r="R109" s="4">
        <v>0.38500000000000001</v>
      </c>
      <c r="S109" s="4">
        <v>0.73299999999999998</v>
      </c>
      <c r="T109" s="4">
        <v>0.28599999999999998</v>
      </c>
      <c r="U109" s="4">
        <v>0.33300000000000002</v>
      </c>
      <c r="V109" s="4">
        <v>0.14299999999999999</v>
      </c>
      <c r="W109" s="4">
        <v>0.25</v>
      </c>
      <c r="X109" s="4"/>
      <c r="Y109" s="4">
        <v>0.5</v>
      </c>
      <c r="Z109" s="4">
        <v>1</v>
      </c>
      <c r="AA109" s="4"/>
      <c r="AB109" s="4">
        <v>0.313</v>
      </c>
      <c r="AC109" s="4">
        <v>0.4</v>
      </c>
      <c r="AD109" s="10">
        <f t="shared" si="12"/>
        <v>0.61749999999999994</v>
      </c>
      <c r="AE109" s="9"/>
      <c r="AF109" s="9"/>
      <c r="AG109" s="12">
        <f t="shared" si="13"/>
        <v>34.300000000000004</v>
      </c>
      <c r="AH109" s="12">
        <f t="shared" si="13"/>
        <v>19</v>
      </c>
      <c r="AI109" s="12">
        <f t="shared" si="13"/>
        <v>19.8</v>
      </c>
      <c r="AJ109" s="12">
        <f t="shared" si="13"/>
        <v>54.900000000000006</v>
      </c>
      <c r="AK109" s="12"/>
      <c r="AL109" s="12">
        <f t="shared" si="21"/>
        <v>43.5</v>
      </c>
      <c r="AM109" s="12">
        <f t="shared" si="21"/>
        <v>35.799999999999997</v>
      </c>
      <c r="AN109" s="12">
        <f t="shared" si="21"/>
        <v>63.3</v>
      </c>
      <c r="AO109" s="12">
        <f t="shared" si="19"/>
        <v>55.7</v>
      </c>
      <c r="AP109" s="12">
        <f t="shared" si="19"/>
        <v>57.199999999999996</v>
      </c>
      <c r="AQ109" s="12">
        <f t="shared" si="19"/>
        <v>56.399999999999991</v>
      </c>
      <c r="AR109" s="12"/>
      <c r="AS109" s="12">
        <f t="shared" si="22"/>
        <v>21.3</v>
      </c>
      <c r="AT109" s="12">
        <f t="shared" si="22"/>
        <v>87</v>
      </c>
      <c r="AU109" s="12">
        <f t="shared" si="22"/>
        <v>26.700000000000003</v>
      </c>
      <c r="AV109" s="12">
        <f t="shared" si="20"/>
        <v>45</v>
      </c>
      <c r="AW109" s="12">
        <f t="shared" si="20"/>
        <v>8.3000000000000007</v>
      </c>
      <c r="AX109" s="12">
        <f t="shared" si="20"/>
        <v>44.2</v>
      </c>
      <c r="AY109" s="12"/>
      <c r="AZ109" s="12">
        <f t="shared" si="14"/>
        <v>54.199999999999996</v>
      </c>
      <c r="BA109" s="12">
        <f t="shared" si="15"/>
        <v>23</v>
      </c>
      <c r="BB109" s="12"/>
      <c r="BC109" s="12">
        <f t="shared" si="16"/>
        <v>87</v>
      </c>
      <c r="BD109" s="12">
        <f t="shared" si="17"/>
        <v>75.5</v>
      </c>
      <c r="BE109" s="12">
        <f t="shared" si="18"/>
        <v>53.5</v>
      </c>
    </row>
    <row r="110" spans="1:57" ht="15.75" customHeight="1" x14ac:dyDescent="0.25">
      <c r="A110" s="1" t="s">
        <v>210</v>
      </c>
      <c r="B110" s="3" t="s">
        <v>141</v>
      </c>
      <c r="C110" s="4" t="s">
        <v>115</v>
      </c>
      <c r="D110" s="4">
        <v>23</v>
      </c>
      <c r="E110" s="4">
        <v>276</v>
      </c>
      <c r="F110" s="4">
        <v>23</v>
      </c>
      <c r="G110" s="4">
        <v>276</v>
      </c>
      <c r="H110" s="4">
        <v>0.46100000000000002</v>
      </c>
      <c r="I110" s="4">
        <v>3.5</v>
      </c>
      <c r="J110" s="4"/>
      <c r="K110" s="4">
        <v>0.98899999999999999</v>
      </c>
      <c r="L110" s="4">
        <v>0.48299999999999998</v>
      </c>
      <c r="M110" s="4">
        <v>0.49399999999999999</v>
      </c>
      <c r="N110" s="4">
        <v>1.0999999999999999E-2</v>
      </c>
      <c r="O110" s="4">
        <v>0</v>
      </c>
      <c r="P110" s="4">
        <v>1.0999999999999999E-2</v>
      </c>
      <c r="Q110" s="4"/>
      <c r="R110" s="4">
        <v>0.46600000000000003</v>
      </c>
      <c r="S110" s="4">
        <v>0.60499999999999998</v>
      </c>
      <c r="T110" s="4">
        <v>0.34100000000000003</v>
      </c>
      <c r="U110" s="4">
        <v>0</v>
      </c>
      <c r="V110" s="4">
        <v>0</v>
      </c>
      <c r="W110" s="4">
        <v>0</v>
      </c>
      <c r="X110" s="4"/>
      <c r="Y110" s="4">
        <v>0.65900000000000003</v>
      </c>
      <c r="Z110" s="4">
        <v>0</v>
      </c>
      <c r="AA110" s="4"/>
      <c r="AB110" s="4">
        <v>0</v>
      </c>
      <c r="AC110" s="4">
        <v>0</v>
      </c>
      <c r="AD110" s="10">
        <f t="shared" si="12"/>
        <v>0.65175099999999997</v>
      </c>
      <c r="AE110" s="9"/>
      <c r="AF110" s="9"/>
      <c r="AG110" s="12">
        <f t="shared" si="13"/>
        <v>17.5</v>
      </c>
      <c r="AH110" s="12">
        <f t="shared" si="13"/>
        <v>19</v>
      </c>
      <c r="AI110" s="12">
        <f t="shared" si="13"/>
        <v>79.3</v>
      </c>
      <c r="AJ110" s="12">
        <f t="shared" si="13"/>
        <v>1.5</v>
      </c>
      <c r="AK110" s="12"/>
      <c r="AL110" s="12">
        <f t="shared" si="21"/>
        <v>75.5</v>
      </c>
      <c r="AM110" s="12">
        <f t="shared" si="21"/>
        <v>91.600000000000009</v>
      </c>
      <c r="AN110" s="12">
        <f t="shared" si="21"/>
        <v>99.2</v>
      </c>
      <c r="AO110" s="12">
        <f t="shared" si="19"/>
        <v>1.5</v>
      </c>
      <c r="AP110" s="12">
        <f t="shared" si="19"/>
        <v>0</v>
      </c>
      <c r="AQ110" s="12">
        <f t="shared" si="19"/>
        <v>24.4</v>
      </c>
      <c r="AR110" s="12"/>
      <c r="AS110" s="12">
        <f t="shared" si="22"/>
        <v>67.100000000000009</v>
      </c>
      <c r="AT110" s="12">
        <f t="shared" si="22"/>
        <v>49.6</v>
      </c>
      <c r="AU110" s="12">
        <f t="shared" si="22"/>
        <v>48</v>
      </c>
      <c r="AV110" s="12">
        <f t="shared" si="20"/>
        <v>0</v>
      </c>
      <c r="AW110" s="12">
        <f t="shared" si="20"/>
        <v>0</v>
      </c>
      <c r="AX110" s="12">
        <f t="shared" si="20"/>
        <v>0</v>
      </c>
      <c r="AY110" s="12"/>
      <c r="AZ110" s="12">
        <f t="shared" si="14"/>
        <v>25.200000000000003</v>
      </c>
      <c r="BA110" s="12">
        <f t="shared" si="15"/>
        <v>100</v>
      </c>
      <c r="BB110" s="12"/>
      <c r="BC110" s="12">
        <f t="shared" si="16"/>
        <v>0</v>
      </c>
      <c r="BD110" s="12">
        <f t="shared" si="17"/>
        <v>0</v>
      </c>
      <c r="BE110" s="12">
        <f t="shared" si="18"/>
        <v>44.3</v>
      </c>
    </row>
    <row r="111" spans="1:57" ht="15.75" customHeight="1" x14ac:dyDescent="0.25">
      <c r="A111" s="1" t="s">
        <v>211</v>
      </c>
      <c r="B111" s="3" t="s">
        <v>122</v>
      </c>
      <c r="C111" s="4" t="s">
        <v>8</v>
      </c>
      <c r="D111" s="4">
        <v>9</v>
      </c>
      <c r="E111" s="4">
        <v>271</v>
      </c>
      <c r="F111" s="4">
        <v>9</v>
      </c>
      <c r="G111" s="4">
        <v>271</v>
      </c>
      <c r="H111" s="4">
        <v>0.437</v>
      </c>
      <c r="I111" s="4">
        <v>18.7</v>
      </c>
      <c r="J111" s="4"/>
      <c r="K111" s="4">
        <v>0.53400000000000003</v>
      </c>
      <c r="L111" s="4">
        <v>3.9E-2</v>
      </c>
      <c r="M111" s="4">
        <v>7.8E-2</v>
      </c>
      <c r="N111" s="4">
        <v>0.184</v>
      </c>
      <c r="O111" s="4">
        <v>0.23300000000000001</v>
      </c>
      <c r="P111" s="4">
        <v>0.46600000000000003</v>
      </c>
      <c r="Q111" s="4"/>
      <c r="R111" s="4">
        <v>0.41799999999999998</v>
      </c>
      <c r="S111" s="4">
        <v>0.75</v>
      </c>
      <c r="T111" s="4">
        <v>0.5</v>
      </c>
      <c r="U111" s="4">
        <v>0.316</v>
      </c>
      <c r="V111" s="4">
        <v>0.41699999999999998</v>
      </c>
      <c r="W111" s="4">
        <v>0.45800000000000002</v>
      </c>
      <c r="X111" s="4"/>
      <c r="Y111" s="4">
        <v>0.34799999999999998</v>
      </c>
      <c r="Z111" s="4">
        <v>0.59099999999999997</v>
      </c>
      <c r="AA111" s="4"/>
      <c r="AB111" s="4">
        <v>0</v>
      </c>
      <c r="AC111" s="4">
        <v>0</v>
      </c>
      <c r="AD111" s="10">
        <f t="shared" si="12"/>
        <v>0.46123799999999998</v>
      </c>
      <c r="AE111" s="9"/>
      <c r="AF111" s="9"/>
      <c r="AG111" s="12">
        <f t="shared" si="13"/>
        <v>2.1999999999999997</v>
      </c>
      <c r="AH111" s="12">
        <f t="shared" si="13"/>
        <v>18.3</v>
      </c>
      <c r="AI111" s="12">
        <f t="shared" si="13"/>
        <v>64.8</v>
      </c>
      <c r="AJ111" s="12">
        <f t="shared" si="13"/>
        <v>94.6</v>
      </c>
      <c r="AK111" s="12"/>
      <c r="AL111" s="12">
        <f t="shared" si="21"/>
        <v>12.2</v>
      </c>
      <c r="AM111" s="12">
        <f t="shared" si="21"/>
        <v>2.1999999999999997</v>
      </c>
      <c r="AN111" s="12">
        <f t="shared" si="21"/>
        <v>8.3000000000000007</v>
      </c>
      <c r="AO111" s="12">
        <f t="shared" si="19"/>
        <v>77</v>
      </c>
      <c r="AP111" s="12">
        <f t="shared" si="19"/>
        <v>66.400000000000006</v>
      </c>
      <c r="AQ111" s="12">
        <f t="shared" si="19"/>
        <v>87.7</v>
      </c>
      <c r="AR111" s="12"/>
      <c r="AS111" s="12">
        <f t="shared" si="22"/>
        <v>41.199999999999996</v>
      </c>
      <c r="AT111" s="12">
        <f t="shared" si="22"/>
        <v>89.3</v>
      </c>
      <c r="AU111" s="12">
        <f t="shared" si="22"/>
        <v>92.300000000000011</v>
      </c>
      <c r="AV111" s="12">
        <f t="shared" si="20"/>
        <v>38.1</v>
      </c>
      <c r="AW111" s="12">
        <f t="shared" si="20"/>
        <v>74</v>
      </c>
      <c r="AX111" s="12">
        <f t="shared" si="20"/>
        <v>96.899999999999991</v>
      </c>
      <c r="AY111" s="12"/>
      <c r="AZ111" s="12">
        <f t="shared" si="14"/>
        <v>77.900000000000006</v>
      </c>
      <c r="BA111" s="12">
        <f t="shared" si="15"/>
        <v>64.900000000000006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76.400000000000006</v>
      </c>
    </row>
    <row r="112" spans="1:57" ht="15.75" customHeight="1" x14ac:dyDescent="0.25">
      <c r="A112" s="1" t="s">
        <v>212</v>
      </c>
      <c r="B112" s="3" t="s">
        <v>86</v>
      </c>
      <c r="C112" s="4" t="s">
        <v>92</v>
      </c>
      <c r="D112" s="4">
        <v>27</v>
      </c>
      <c r="E112" s="4">
        <v>266</v>
      </c>
      <c r="F112" s="4">
        <v>27</v>
      </c>
      <c r="G112" s="4">
        <v>266</v>
      </c>
      <c r="H112" s="4">
        <v>0.44900000000000001</v>
      </c>
      <c r="I112" s="4">
        <v>8.4</v>
      </c>
      <c r="J112" s="4"/>
      <c r="K112" s="4">
        <v>0.98599999999999999</v>
      </c>
      <c r="L112" s="4">
        <v>0.40600000000000003</v>
      </c>
      <c r="M112" s="4">
        <v>0.17399999999999999</v>
      </c>
      <c r="N112" s="4">
        <v>0.188</v>
      </c>
      <c r="O112" s="4">
        <v>0.217</v>
      </c>
      <c r="P112" s="4">
        <v>1.4E-2</v>
      </c>
      <c r="Q112" s="4"/>
      <c r="R112" s="4">
        <v>0.45600000000000002</v>
      </c>
      <c r="S112" s="4">
        <v>0.67900000000000005</v>
      </c>
      <c r="T112" s="4">
        <v>0.33300000000000002</v>
      </c>
      <c r="U112" s="4">
        <v>0.308</v>
      </c>
      <c r="V112" s="4">
        <v>0.26700000000000002</v>
      </c>
      <c r="W112" s="4">
        <v>0</v>
      </c>
      <c r="X112" s="4"/>
      <c r="Y112" s="4">
        <v>0.58099999999999996</v>
      </c>
      <c r="Z112" s="4">
        <v>0</v>
      </c>
      <c r="AA112" s="4"/>
      <c r="AB112" s="4">
        <v>1</v>
      </c>
      <c r="AC112" s="4">
        <v>0</v>
      </c>
      <c r="AD112" s="10">
        <f t="shared" si="12"/>
        <v>0.57286599999999999</v>
      </c>
      <c r="AE112" s="9"/>
      <c r="AF112" s="9"/>
      <c r="AG112" s="12">
        <f t="shared" si="13"/>
        <v>24.4</v>
      </c>
      <c r="AH112" s="12">
        <f t="shared" si="13"/>
        <v>17.5</v>
      </c>
      <c r="AI112" s="12">
        <f t="shared" si="13"/>
        <v>74</v>
      </c>
      <c r="AJ112" s="12">
        <f t="shared" si="13"/>
        <v>19</v>
      </c>
      <c r="AK112" s="12"/>
      <c r="AL112" s="12">
        <f t="shared" si="21"/>
        <v>74</v>
      </c>
      <c r="AM112" s="12">
        <f t="shared" si="21"/>
        <v>83.2</v>
      </c>
      <c r="AN112" s="12">
        <f t="shared" si="21"/>
        <v>51.1</v>
      </c>
      <c r="AO112" s="12">
        <f t="shared" si="19"/>
        <v>80.100000000000009</v>
      </c>
      <c r="AP112" s="12">
        <f t="shared" si="19"/>
        <v>62.5</v>
      </c>
      <c r="AQ112" s="12">
        <f t="shared" si="19"/>
        <v>25.1</v>
      </c>
      <c r="AR112" s="12"/>
      <c r="AS112" s="12">
        <f t="shared" si="22"/>
        <v>59.5</v>
      </c>
      <c r="AT112" s="12">
        <f t="shared" si="22"/>
        <v>69.399999999999991</v>
      </c>
      <c r="AU112" s="12">
        <f t="shared" si="22"/>
        <v>39.6</v>
      </c>
      <c r="AV112" s="12">
        <f t="shared" si="20"/>
        <v>35.799999999999997</v>
      </c>
      <c r="AW112" s="12">
        <f t="shared" si="20"/>
        <v>25.900000000000002</v>
      </c>
      <c r="AX112" s="12">
        <f t="shared" si="20"/>
        <v>0</v>
      </c>
      <c r="AY112" s="12"/>
      <c r="AZ112" s="12">
        <f t="shared" si="14"/>
        <v>46.599999999999994</v>
      </c>
      <c r="BA112" s="12">
        <f t="shared" si="15"/>
        <v>100</v>
      </c>
      <c r="BB112" s="12"/>
      <c r="BC112" s="12">
        <f t="shared" si="16"/>
        <v>99.2</v>
      </c>
      <c r="BD112" s="12">
        <f t="shared" si="17"/>
        <v>0</v>
      </c>
      <c r="BE112" s="12">
        <f t="shared" si="18"/>
        <v>64.900000000000006</v>
      </c>
    </row>
    <row r="113" spans="1:57" ht="15.75" customHeight="1" x14ac:dyDescent="0.25">
      <c r="A113" s="1" t="s">
        <v>213</v>
      </c>
      <c r="B113" s="3" t="s">
        <v>91</v>
      </c>
      <c r="C113" s="4" t="s">
        <v>92</v>
      </c>
      <c r="D113" s="4">
        <v>30</v>
      </c>
      <c r="E113" s="4">
        <v>263</v>
      </c>
      <c r="F113" s="4">
        <v>30</v>
      </c>
      <c r="G113" s="4">
        <v>263</v>
      </c>
      <c r="H113" s="4">
        <v>0.375</v>
      </c>
      <c r="I113" s="4">
        <v>11.5</v>
      </c>
      <c r="J113" s="4"/>
      <c r="K113" s="4">
        <v>0.80600000000000005</v>
      </c>
      <c r="L113" s="4">
        <v>0.33300000000000002</v>
      </c>
      <c r="M113" s="4">
        <v>0.153</v>
      </c>
      <c r="N113" s="4">
        <v>0.125</v>
      </c>
      <c r="O113" s="4">
        <v>0.19400000000000001</v>
      </c>
      <c r="P113" s="4">
        <v>0.19400000000000001</v>
      </c>
      <c r="Q113" s="4"/>
      <c r="R113" s="4">
        <v>0.43099999999999999</v>
      </c>
      <c r="S113" s="4">
        <v>0.625</v>
      </c>
      <c r="T113" s="4">
        <v>0.63600000000000001</v>
      </c>
      <c r="U113" s="4">
        <v>0</v>
      </c>
      <c r="V113" s="4">
        <v>0.214</v>
      </c>
      <c r="W113" s="4">
        <v>0.14299999999999999</v>
      </c>
      <c r="X113" s="4"/>
      <c r="Y113" s="4">
        <v>0.64</v>
      </c>
      <c r="Z113" s="4">
        <v>1</v>
      </c>
      <c r="AA113" s="4"/>
      <c r="AB113" s="4">
        <v>0.14299999999999999</v>
      </c>
      <c r="AC113" s="4">
        <v>0</v>
      </c>
      <c r="AD113" s="10">
        <f t="shared" si="12"/>
        <v>0.70984000000000003</v>
      </c>
      <c r="AE113" s="9"/>
      <c r="AF113" s="9"/>
      <c r="AG113" s="12">
        <f t="shared" si="13"/>
        <v>34.300000000000004</v>
      </c>
      <c r="AH113" s="12">
        <f t="shared" si="13"/>
        <v>16.7</v>
      </c>
      <c r="AI113" s="12">
        <f t="shared" si="13"/>
        <v>30.5</v>
      </c>
      <c r="AJ113" s="12">
        <f t="shared" si="13"/>
        <v>37.4</v>
      </c>
      <c r="AK113" s="12"/>
      <c r="AL113" s="12">
        <f t="shared" si="21"/>
        <v>52.6</v>
      </c>
      <c r="AM113" s="12">
        <f t="shared" si="21"/>
        <v>72.5</v>
      </c>
      <c r="AN113" s="12">
        <f t="shared" si="21"/>
        <v>36.6</v>
      </c>
      <c r="AO113" s="12">
        <f t="shared" si="19"/>
        <v>51.9</v>
      </c>
      <c r="AP113" s="12">
        <f t="shared" si="19"/>
        <v>53.400000000000006</v>
      </c>
      <c r="AQ113" s="12">
        <f t="shared" si="19"/>
        <v>47.3</v>
      </c>
      <c r="AR113" s="12"/>
      <c r="AS113" s="12">
        <f t="shared" si="22"/>
        <v>48.8</v>
      </c>
      <c r="AT113" s="12">
        <f t="shared" si="22"/>
        <v>59.5</v>
      </c>
      <c r="AU113" s="12">
        <f t="shared" si="22"/>
        <v>99.2</v>
      </c>
      <c r="AV113" s="12">
        <f t="shared" si="20"/>
        <v>0</v>
      </c>
      <c r="AW113" s="12">
        <f t="shared" si="20"/>
        <v>14.499999999999998</v>
      </c>
      <c r="AX113" s="12">
        <f t="shared" si="20"/>
        <v>32.800000000000004</v>
      </c>
      <c r="AY113" s="12"/>
      <c r="AZ113" s="12">
        <f t="shared" si="14"/>
        <v>32.899999999999991</v>
      </c>
      <c r="BA113" s="12">
        <f t="shared" si="15"/>
        <v>23</v>
      </c>
      <c r="BB113" s="12"/>
      <c r="BC113" s="12">
        <f t="shared" si="16"/>
        <v>59.5</v>
      </c>
      <c r="BD113" s="12">
        <f t="shared" si="17"/>
        <v>0</v>
      </c>
      <c r="BE113" s="12">
        <f t="shared" si="18"/>
        <v>26</v>
      </c>
    </row>
    <row r="114" spans="1:57" ht="15.75" customHeight="1" x14ac:dyDescent="0.25">
      <c r="A114" s="1" t="s">
        <v>214</v>
      </c>
      <c r="B114" s="3" t="s">
        <v>122</v>
      </c>
      <c r="C114" s="4" t="s">
        <v>8</v>
      </c>
      <c r="D114" s="4">
        <v>15</v>
      </c>
      <c r="E114" s="4">
        <v>259</v>
      </c>
      <c r="F114" s="4">
        <v>15</v>
      </c>
      <c r="G114" s="4">
        <v>259</v>
      </c>
      <c r="H114" s="4">
        <v>0.35</v>
      </c>
      <c r="I114" s="4">
        <v>15.9</v>
      </c>
      <c r="J114" s="4"/>
      <c r="K114" s="4">
        <v>0.68300000000000005</v>
      </c>
      <c r="L114" s="4">
        <v>0.217</v>
      </c>
      <c r="M114" s="4">
        <v>6.7000000000000004E-2</v>
      </c>
      <c r="N114" s="4">
        <v>0.11700000000000001</v>
      </c>
      <c r="O114" s="4">
        <v>0.28299999999999997</v>
      </c>
      <c r="P114" s="4">
        <v>0.317</v>
      </c>
      <c r="Q114" s="4"/>
      <c r="R114" s="4">
        <v>0.41499999999999998</v>
      </c>
      <c r="S114" s="4">
        <v>0.61499999999999999</v>
      </c>
      <c r="T114" s="4">
        <v>0.5</v>
      </c>
      <c r="U114" s="4">
        <v>0.42899999999999999</v>
      </c>
      <c r="V114" s="4">
        <v>0.23499999999999999</v>
      </c>
      <c r="W114" s="4">
        <v>0.21099999999999999</v>
      </c>
      <c r="X114" s="4"/>
      <c r="Y114" s="4">
        <v>0.17599999999999999</v>
      </c>
      <c r="Z114" s="4">
        <v>1</v>
      </c>
      <c r="AA114" s="4"/>
      <c r="AB114" s="4">
        <v>0.105</v>
      </c>
      <c r="AC114" s="4">
        <v>0.5</v>
      </c>
      <c r="AD114" s="10">
        <f t="shared" si="12"/>
        <v>0.43720799999999999</v>
      </c>
      <c r="AE114" s="9"/>
      <c r="AF114" s="9"/>
      <c r="AG114" s="12">
        <f t="shared" si="13"/>
        <v>5.3</v>
      </c>
      <c r="AH114" s="12">
        <f t="shared" si="13"/>
        <v>16</v>
      </c>
      <c r="AI114" s="12">
        <f t="shared" si="13"/>
        <v>18.3</v>
      </c>
      <c r="AJ114" s="12">
        <f t="shared" si="13"/>
        <v>80.900000000000006</v>
      </c>
      <c r="AK114" s="12"/>
      <c r="AL114" s="12">
        <f t="shared" si="21"/>
        <v>30.5</v>
      </c>
      <c r="AM114" s="12">
        <f t="shared" si="21"/>
        <v>34.300000000000004</v>
      </c>
      <c r="AN114" s="12">
        <f t="shared" si="21"/>
        <v>6.1</v>
      </c>
      <c r="AO114" s="12">
        <f t="shared" si="19"/>
        <v>45.800000000000004</v>
      </c>
      <c r="AP114" s="12">
        <f t="shared" si="19"/>
        <v>80.900000000000006</v>
      </c>
      <c r="AQ114" s="12">
        <f t="shared" si="19"/>
        <v>69.399999999999991</v>
      </c>
      <c r="AR114" s="12"/>
      <c r="AS114" s="12">
        <f t="shared" si="22"/>
        <v>37.4</v>
      </c>
      <c r="AT114" s="12">
        <f t="shared" si="22"/>
        <v>56.399999999999991</v>
      </c>
      <c r="AU114" s="12">
        <f t="shared" si="22"/>
        <v>92.300000000000011</v>
      </c>
      <c r="AV114" s="12">
        <f t="shared" si="20"/>
        <v>80.900000000000006</v>
      </c>
      <c r="AW114" s="12">
        <f t="shared" si="20"/>
        <v>19</v>
      </c>
      <c r="AX114" s="12">
        <f t="shared" si="20"/>
        <v>39.6</v>
      </c>
      <c r="AY114" s="12"/>
      <c r="AZ114" s="12">
        <f t="shared" si="14"/>
        <v>95.5</v>
      </c>
      <c r="BA114" s="12">
        <f t="shared" si="15"/>
        <v>23</v>
      </c>
      <c r="BB114" s="12"/>
      <c r="BC114" s="12">
        <f t="shared" si="16"/>
        <v>51.9</v>
      </c>
      <c r="BD114" s="12">
        <f t="shared" si="17"/>
        <v>87</v>
      </c>
      <c r="BE114" s="12">
        <f t="shared" si="18"/>
        <v>79.400000000000006</v>
      </c>
    </row>
    <row r="115" spans="1:57" ht="15.75" customHeight="1" x14ac:dyDescent="0.25">
      <c r="A115" s="1" t="s">
        <v>215</v>
      </c>
      <c r="B115" s="3" t="s">
        <v>99</v>
      </c>
      <c r="C115" s="4" t="s">
        <v>8</v>
      </c>
      <c r="D115" s="4">
        <v>26</v>
      </c>
      <c r="E115" s="4">
        <v>244</v>
      </c>
      <c r="F115" s="4">
        <v>26</v>
      </c>
      <c r="G115" s="4">
        <v>244</v>
      </c>
      <c r="H115" s="4">
        <v>0.20200000000000001</v>
      </c>
      <c r="I115" s="4">
        <v>17.5</v>
      </c>
      <c r="J115" s="4"/>
      <c r="K115" s="4">
        <v>0.60599999999999998</v>
      </c>
      <c r="L115" s="4">
        <v>0.121</v>
      </c>
      <c r="M115" s="4">
        <v>0.04</v>
      </c>
      <c r="N115" s="4">
        <v>0.121</v>
      </c>
      <c r="O115" s="4">
        <v>0.32300000000000001</v>
      </c>
      <c r="P115" s="4">
        <v>0.39400000000000002</v>
      </c>
      <c r="Q115" s="4"/>
      <c r="R115" s="4">
        <v>0.183</v>
      </c>
      <c r="S115" s="4">
        <v>8.3000000000000004E-2</v>
      </c>
      <c r="T115" s="4">
        <v>0</v>
      </c>
      <c r="U115" s="4">
        <v>0.16700000000000001</v>
      </c>
      <c r="V115" s="4">
        <v>0.25</v>
      </c>
      <c r="W115" s="4">
        <v>0.23100000000000001</v>
      </c>
      <c r="X115" s="4"/>
      <c r="Y115" s="4">
        <v>0.182</v>
      </c>
      <c r="Z115" s="4">
        <v>0.66700000000000004</v>
      </c>
      <c r="AA115" s="4"/>
      <c r="AB115" s="4">
        <v>0.17899999999999999</v>
      </c>
      <c r="AC115" s="4">
        <v>0.14299999999999999</v>
      </c>
      <c r="AD115" s="10">
        <f t="shared" si="12"/>
        <v>0.37309000000000003</v>
      </c>
      <c r="AE115" s="9"/>
      <c r="AF115" s="9"/>
      <c r="AG115" s="12">
        <f t="shared" si="13"/>
        <v>22.900000000000002</v>
      </c>
      <c r="AH115" s="12">
        <f t="shared" si="13"/>
        <v>15.2</v>
      </c>
      <c r="AI115" s="12">
        <f t="shared" si="13"/>
        <v>0</v>
      </c>
      <c r="AJ115" s="12">
        <f t="shared" si="13"/>
        <v>89.3</v>
      </c>
      <c r="AK115" s="12"/>
      <c r="AL115" s="12">
        <f t="shared" si="21"/>
        <v>18.3</v>
      </c>
      <c r="AM115" s="12">
        <f t="shared" si="21"/>
        <v>14.499999999999998</v>
      </c>
      <c r="AN115" s="12">
        <f t="shared" si="21"/>
        <v>0.70000000000000007</v>
      </c>
      <c r="AO115" s="12">
        <f t="shared" si="19"/>
        <v>50.3</v>
      </c>
      <c r="AP115" s="12">
        <f t="shared" si="19"/>
        <v>90</v>
      </c>
      <c r="AQ115" s="12">
        <f t="shared" si="19"/>
        <v>81.599999999999994</v>
      </c>
      <c r="AR115" s="12"/>
      <c r="AS115" s="12">
        <f t="shared" si="22"/>
        <v>0</v>
      </c>
      <c r="AT115" s="12">
        <f t="shared" si="22"/>
        <v>1.5</v>
      </c>
      <c r="AU115" s="12">
        <f t="shared" si="22"/>
        <v>0</v>
      </c>
      <c r="AV115" s="12">
        <f t="shared" si="20"/>
        <v>15.2</v>
      </c>
      <c r="AW115" s="12">
        <f t="shared" si="20"/>
        <v>20.599999999999998</v>
      </c>
      <c r="AX115" s="12">
        <f t="shared" si="20"/>
        <v>41.199999999999996</v>
      </c>
      <c r="AY115" s="12"/>
      <c r="AZ115" s="12">
        <f t="shared" si="14"/>
        <v>93.9</v>
      </c>
      <c r="BA115" s="12">
        <f t="shared" si="15"/>
        <v>61.9</v>
      </c>
      <c r="BB115" s="12"/>
      <c r="BC115" s="12">
        <f t="shared" si="16"/>
        <v>67.900000000000006</v>
      </c>
      <c r="BD115" s="12">
        <f t="shared" si="17"/>
        <v>46.5</v>
      </c>
      <c r="BE115" s="12">
        <f t="shared" si="18"/>
        <v>87.1</v>
      </c>
    </row>
    <row r="116" spans="1:57" ht="15.75" customHeight="1" x14ac:dyDescent="0.25">
      <c r="A116" s="1" t="s">
        <v>216</v>
      </c>
      <c r="B116" s="4" t="s">
        <v>114</v>
      </c>
      <c r="C116" s="4" t="s">
        <v>92</v>
      </c>
      <c r="D116" s="4">
        <v>31</v>
      </c>
      <c r="E116" s="4">
        <v>238</v>
      </c>
      <c r="F116" s="4">
        <v>31</v>
      </c>
      <c r="G116" s="4">
        <v>238</v>
      </c>
      <c r="H116" s="4">
        <v>0.314</v>
      </c>
      <c r="I116" s="4">
        <v>10.199999999999999</v>
      </c>
      <c r="J116" s="4"/>
      <c r="K116" s="4">
        <v>1</v>
      </c>
      <c r="L116" s="4">
        <v>0.373</v>
      </c>
      <c r="M116" s="4">
        <v>0.11799999999999999</v>
      </c>
      <c r="N116" s="4">
        <v>0.19600000000000001</v>
      </c>
      <c r="O116" s="4">
        <v>0.314</v>
      </c>
      <c r="P116" s="4">
        <v>0</v>
      </c>
      <c r="Q116" s="4"/>
      <c r="R116" s="4">
        <v>0.314</v>
      </c>
      <c r="S116" s="4">
        <v>0.316</v>
      </c>
      <c r="T116" s="4">
        <v>0.33300000000000002</v>
      </c>
      <c r="U116" s="4">
        <v>0.4</v>
      </c>
      <c r="V116" s="4">
        <v>0.25</v>
      </c>
      <c r="W116" s="4">
        <v>0</v>
      </c>
      <c r="X116" s="4"/>
      <c r="Y116" s="4">
        <v>0.81299999999999994</v>
      </c>
      <c r="Z116" s="4">
        <v>0</v>
      </c>
      <c r="AA116" s="4"/>
      <c r="AB116" s="4">
        <v>0</v>
      </c>
      <c r="AC116" s="4">
        <v>0</v>
      </c>
      <c r="AD116" s="10">
        <f t="shared" si="12"/>
        <v>0.81299999999999994</v>
      </c>
      <c r="AE116" s="9"/>
      <c r="AF116" s="9"/>
      <c r="AG116" s="12">
        <f t="shared" si="13"/>
        <v>40.400000000000006</v>
      </c>
      <c r="AH116" s="12">
        <f t="shared" si="13"/>
        <v>14.499999999999998</v>
      </c>
      <c r="AI116" s="12">
        <f t="shared" si="13"/>
        <v>6.1</v>
      </c>
      <c r="AJ116" s="12">
        <f t="shared" si="13"/>
        <v>30.5</v>
      </c>
      <c r="AK116" s="12"/>
      <c r="AL116" s="12">
        <f t="shared" si="21"/>
        <v>83.2</v>
      </c>
      <c r="AM116" s="12">
        <f t="shared" si="21"/>
        <v>80.100000000000009</v>
      </c>
      <c r="AN116" s="12">
        <f t="shared" si="21"/>
        <v>22.900000000000002</v>
      </c>
      <c r="AO116" s="12">
        <f t="shared" si="19"/>
        <v>81.599999999999994</v>
      </c>
      <c r="AP116" s="12">
        <f t="shared" si="19"/>
        <v>87.7</v>
      </c>
      <c r="AQ116" s="12">
        <f t="shared" si="19"/>
        <v>0</v>
      </c>
      <c r="AR116" s="12"/>
      <c r="AS116" s="12">
        <f t="shared" si="22"/>
        <v>6.8000000000000007</v>
      </c>
      <c r="AT116" s="12">
        <f t="shared" si="22"/>
        <v>5.3</v>
      </c>
      <c r="AU116" s="12">
        <f t="shared" si="22"/>
        <v>39.6</v>
      </c>
      <c r="AV116" s="12">
        <f t="shared" si="20"/>
        <v>74</v>
      </c>
      <c r="AW116" s="12">
        <f t="shared" si="20"/>
        <v>20.599999999999998</v>
      </c>
      <c r="AX116" s="12">
        <f t="shared" si="20"/>
        <v>0</v>
      </c>
      <c r="AY116" s="12"/>
      <c r="AZ116" s="12">
        <f t="shared" si="14"/>
        <v>4.6000000000000085</v>
      </c>
      <c r="BA116" s="12">
        <f t="shared" si="15"/>
        <v>100</v>
      </c>
      <c r="BB116" s="12"/>
      <c r="BC116" s="12">
        <f t="shared" si="16"/>
        <v>0</v>
      </c>
      <c r="BD116" s="12">
        <f t="shared" si="17"/>
        <v>0</v>
      </c>
      <c r="BE116" s="12">
        <f t="shared" si="18"/>
        <v>11.5</v>
      </c>
    </row>
    <row r="117" spans="1:57" ht="15.75" customHeight="1" x14ac:dyDescent="0.25">
      <c r="A117" s="1" t="s">
        <v>217</v>
      </c>
      <c r="B117" s="3" t="s">
        <v>171</v>
      </c>
      <c r="C117" s="4" t="s">
        <v>115</v>
      </c>
      <c r="D117" s="4">
        <v>22</v>
      </c>
      <c r="E117" s="4">
        <v>215</v>
      </c>
      <c r="F117" s="4">
        <v>22</v>
      </c>
      <c r="G117" s="4">
        <v>215</v>
      </c>
      <c r="H117" s="4">
        <v>0.41499999999999998</v>
      </c>
      <c r="I117" s="4">
        <v>4.4000000000000004</v>
      </c>
      <c r="J117" s="4"/>
      <c r="K117" s="4">
        <v>1</v>
      </c>
      <c r="L117" s="4">
        <v>0.65900000000000003</v>
      </c>
      <c r="M117" s="4">
        <v>0.19500000000000001</v>
      </c>
      <c r="N117" s="4">
        <v>7.2999999999999995E-2</v>
      </c>
      <c r="O117" s="4">
        <v>7.2999999999999995E-2</v>
      </c>
      <c r="P117" s="4">
        <v>0</v>
      </c>
      <c r="Q117" s="4"/>
      <c r="R117" s="4">
        <v>0.41499999999999998</v>
      </c>
      <c r="S117" s="4">
        <v>0.51900000000000002</v>
      </c>
      <c r="T117" s="4">
        <v>0.25</v>
      </c>
      <c r="U117" s="4">
        <v>0</v>
      </c>
      <c r="V117" s="4">
        <v>0.33300000000000002</v>
      </c>
      <c r="W117" s="4">
        <v>0</v>
      </c>
      <c r="X117" s="4"/>
      <c r="Y117" s="4">
        <v>0.64700000000000002</v>
      </c>
      <c r="Z117" s="4">
        <v>0</v>
      </c>
      <c r="AA117" s="4"/>
      <c r="AB117" s="4">
        <v>0</v>
      </c>
      <c r="AC117" s="4">
        <v>0</v>
      </c>
      <c r="AD117" s="10">
        <f t="shared" si="12"/>
        <v>0.64700000000000002</v>
      </c>
      <c r="AE117" s="9"/>
      <c r="AF117" s="9"/>
      <c r="AG117" s="12">
        <f t="shared" si="13"/>
        <v>14.499999999999998</v>
      </c>
      <c r="AH117" s="12">
        <f t="shared" si="13"/>
        <v>13.700000000000001</v>
      </c>
      <c r="AI117" s="12">
        <f t="shared" si="13"/>
        <v>53.400000000000006</v>
      </c>
      <c r="AJ117" s="12">
        <f t="shared" si="13"/>
        <v>4.5</v>
      </c>
      <c r="AK117" s="12"/>
      <c r="AL117" s="12">
        <f t="shared" si="21"/>
        <v>83.2</v>
      </c>
      <c r="AM117" s="12">
        <f t="shared" si="21"/>
        <v>96.899999999999991</v>
      </c>
      <c r="AN117" s="12">
        <f t="shared" si="21"/>
        <v>56.399999999999991</v>
      </c>
      <c r="AO117" s="12">
        <f t="shared" si="19"/>
        <v>20.599999999999998</v>
      </c>
      <c r="AP117" s="12">
        <f t="shared" si="19"/>
        <v>18.3</v>
      </c>
      <c r="AQ117" s="12">
        <f t="shared" si="19"/>
        <v>0</v>
      </c>
      <c r="AR117" s="12"/>
      <c r="AS117" s="12">
        <f t="shared" si="22"/>
        <v>37.4</v>
      </c>
      <c r="AT117" s="12">
        <f t="shared" si="22"/>
        <v>19.8</v>
      </c>
      <c r="AU117" s="12">
        <f t="shared" si="22"/>
        <v>16.7</v>
      </c>
      <c r="AV117" s="12">
        <f t="shared" si="20"/>
        <v>0</v>
      </c>
      <c r="AW117" s="12">
        <f t="shared" si="20"/>
        <v>44.2</v>
      </c>
      <c r="AX117" s="12">
        <f t="shared" si="20"/>
        <v>0</v>
      </c>
      <c r="AY117" s="12"/>
      <c r="AZ117" s="12">
        <f t="shared" si="14"/>
        <v>30.600000000000009</v>
      </c>
      <c r="BA117" s="12">
        <f t="shared" si="15"/>
        <v>100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45.9</v>
      </c>
    </row>
    <row r="118" spans="1:57" ht="15.75" customHeight="1" x14ac:dyDescent="0.25">
      <c r="A118" s="1" t="s">
        <v>218</v>
      </c>
      <c r="B118" s="3" t="s">
        <v>91</v>
      </c>
      <c r="C118" s="4" t="s">
        <v>8</v>
      </c>
      <c r="D118" s="4">
        <v>28</v>
      </c>
      <c r="E118" s="4">
        <v>212</v>
      </c>
      <c r="F118" s="4">
        <v>28</v>
      </c>
      <c r="G118" s="4">
        <v>212</v>
      </c>
      <c r="H118" s="4">
        <v>0.317</v>
      </c>
      <c r="I118" s="4">
        <v>17.2</v>
      </c>
      <c r="J118" s="4"/>
      <c r="K118" s="4">
        <v>0.46700000000000003</v>
      </c>
      <c r="L118" s="4">
        <v>0.16700000000000001</v>
      </c>
      <c r="M118" s="4">
        <v>0.1</v>
      </c>
      <c r="N118" s="4">
        <v>0.05</v>
      </c>
      <c r="O118" s="4">
        <v>0.15</v>
      </c>
      <c r="P118" s="4">
        <v>0.53300000000000003</v>
      </c>
      <c r="Q118" s="4"/>
      <c r="R118" s="4">
        <v>0.32100000000000001</v>
      </c>
      <c r="S118" s="4">
        <v>0.6</v>
      </c>
      <c r="T118" s="4">
        <v>0</v>
      </c>
      <c r="U118" s="4">
        <v>0.33300000000000002</v>
      </c>
      <c r="V118" s="4">
        <v>0.222</v>
      </c>
      <c r="W118" s="4">
        <v>0.313</v>
      </c>
      <c r="X118" s="4"/>
      <c r="Y118" s="4">
        <v>0.66700000000000004</v>
      </c>
      <c r="Z118" s="4">
        <v>1</v>
      </c>
      <c r="AA118" s="4"/>
      <c r="AB118" s="4">
        <v>0.156</v>
      </c>
      <c r="AC118" s="4">
        <v>0.4</v>
      </c>
      <c r="AD118" s="10">
        <f t="shared" si="12"/>
        <v>0.84448900000000005</v>
      </c>
      <c r="AE118" s="9"/>
      <c r="AF118" s="9"/>
      <c r="AG118" s="12">
        <f t="shared" si="13"/>
        <v>27.400000000000002</v>
      </c>
      <c r="AH118" s="12">
        <f t="shared" si="13"/>
        <v>12.9</v>
      </c>
      <c r="AI118" s="12">
        <f t="shared" si="13"/>
        <v>8.3000000000000007</v>
      </c>
      <c r="AJ118" s="12">
        <f t="shared" si="13"/>
        <v>88.5</v>
      </c>
      <c r="AK118" s="12"/>
      <c r="AL118" s="12">
        <f t="shared" si="21"/>
        <v>6.8000000000000007</v>
      </c>
      <c r="AM118" s="12">
        <f t="shared" si="21"/>
        <v>22.900000000000002</v>
      </c>
      <c r="AN118" s="12">
        <f t="shared" si="21"/>
        <v>15.2</v>
      </c>
      <c r="AO118" s="12">
        <f t="shared" si="19"/>
        <v>11.4</v>
      </c>
      <c r="AP118" s="12">
        <f t="shared" si="19"/>
        <v>38.1</v>
      </c>
      <c r="AQ118" s="12">
        <f t="shared" si="19"/>
        <v>93.100000000000009</v>
      </c>
      <c r="AR118" s="12"/>
      <c r="AS118" s="12">
        <f t="shared" si="22"/>
        <v>8.3000000000000007</v>
      </c>
      <c r="AT118" s="12">
        <f t="shared" si="22"/>
        <v>45.800000000000004</v>
      </c>
      <c r="AU118" s="12">
        <f t="shared" si="22"/>
        <v>0</v>
      </c>
      <c r="AV118" s="12">
        <f t="shared" si="20"/>
        <v>45</v>
      </c>
      <c r="AW118" s="12">
        <f t="shared" si="20"/>
        <v>15.2</v>
      </c>
      <c r="AX118" s="12">
        <f t="shared" si="20"/>
        <v>63.3</v>
      </c>
      <c r="AY118" s="12"/>
      <c r="AZ118" s="12">
        <f t="shared" si="14"/>
        <v>23</v>
      </c>
      <c r="BA118" s="12">
        <f t="shared" si="15"/>
        <v>23</v>
      </c>
      <c r="BB118" s="12"/>
      <c r="BC118" s="12">
        <f t="shared" si="16"/>
        <v>64.099999999999994</v>
      </c>
      <c r="BD118" s="12">
        <f t="shared" si="17"/>
        <v>75.5</v>
      </c>
      <c r="BE118" s="12">
        <f t="shared" si="18"/>
        <v>5.4000000000000057</v>
      </c>
    </row>
    <row r="119" spans="1:57" ht="15.75" customHeight="1" x14ac:dyDescent="0.25">
      <c r="A119" s="1" t="s">
        <v>219</v>
      </c>
      <c r="B119" s="3" t="s">
        <v>95</v>
      </c>
      <c r="C119" s="4" t="s">
        <v>115</v>
      </c>
      <c r="D119" s="4">
        <v>21</v>
      </c>
      <c r="E119" s="4">
        <v>200</v>
      </c>
      <c r="F119" s="4">
        <v>21</v>
      </c>
      <c r="G119" s="4">
        <v>200</v>
      </c>
      <c r="H119" s="4">
        <v>0.44800000000000001</v>
      </c>
      <c r="I119" s="4">
        <v>8.8000000000000007</v>
      </c>
      <c r="J119" s="4"/>
      <c r="K119" s="4">
        <v>1</v>
      </c>
      <c r="L119" s="4">
        <v>0.31</v>
      </c>
      <c r="M119" s="4">
        <v>0.20699999999999999</v>
      </c>
      <c r="N119" s="4">
        <v>0.31</v>
      </c>
      <c r="O119" s="4">
        <v>0.17199999999999999</v>
      </c>
      <c r="P119" s="4">
        <v>0</v>
      </c>
      <c r="Q119" s="4"/>
      <c r="R119" s="4">
        <v>0.44800000000000001</v>
      </c>
      <c r="S119" s="4">
        <v>0.222</v>
      </c>
      <c r="T119" s="4">
        <v>0.5</v>
      </c>
      <c r="U119" s="4">
        <v>0.55600000000000005</v>
      </c>
      <c r="V119" s="4">
        <v>0.6</v>
      </c>
      <c r="W119" s="4">
        <v>0</v>
      </c>
      <c r="X119" s="4"/>
      <c r="Y119" s="4">
        <v>0.76900000000000002</v>
      </c>
      <c r="Z119" s="4">
        <v>0</v>
      </c>
      <c r="AA119" s="4"/>
      <c r="AB119" s="4">
        <v>0</v>
      </c>
      <c r="AC119" s="4">
        <v>0</v>
      </c>
      <c r="AD119" s="10">
        <f t="shared" si="12"/>
        <v>0.76900000000000002</v>
      </c>
      <c r="AE119" s="9"/>
      <c r="AF119" s="9"/>
      <c r="AG119" s="12">
        <f t="shared" si="13"/>
        <v>12.9</v>
      </c>
      <c r="AH119" s="12">
        <f t="shared" si="13"/>
        <v>12.2</v>
      </c>
      <c r="AI119" s="12">
        <f t="shared" si="13"/>
        <v>73.2</v>
      </c>
      <c r="AJ119" s="12">
        <f t="shared" si="13"/>
        <v>22.1</v>
      </c>
      <c r="AK119" s="12"/>
      <c r="AL119" s="12">
        <f t="shared" si="21"/>
        <v>83.2</v>
      </c>
      <c r="AM119" s="12">
        <f t="shared" si="21"/>
        <v>68.7</v>
      </c>
      <c r="AN119" s="12">
        <f t="shared" si="21"/>
        <v>64.099999999999994</v>
      </c>
      <c r="AO119" s="12">
        <f t="shared" si="19"/>
        <v>98.4</v>
      </c>
      <c r="AP119" s="12">
        <f t="shared" si="19"/>
        <v>45</v>
      </c>
      <c r="AQ119" s="12">
        <f t="shared" si="19"/>
        <v>0</v>
      </c>
      <c r="AR119" s="12"/>
      <c r="AS119" s="12">
        <f t="shared" si="22"/>
        <v>55.7</v>
      </c>
      <c r="AT119" s="12">
        <f t="shared" si="22"/>
        <v>3</v>
      </c>
      <c r="AU119" s="12">
        <f t="shared" si="22"/>
        <v>92.300000000000011</v>
      </c>
      <c r="AV119" s="12">
        <f t="shared" si="20"/>
        <v>96.899999999999991</v>
      </c>
      <c r="AW119" s="12">
        <f t="shared" si="20"/>
        <v>97.7</v>
      </c>
      <c r="AX119" s="12">
        <f t="shared" si="20"/>
        <v>0</v>
      </c>
      <c r="AY119" s="12"/>
      <c r="AZ119" s="12">
        <f t="shared" si="14"/>
        <v>10.700000000000003</v>
      </c>
      <c r="BA119" s="12">
        <f t="shared" si="15"/>
        <v>100</v>
      </c>
      <c r="BB119" s="12"/>
      <c r="BC119" s="12">
        <f t="shared" si="16"/>
        <v>0</v>
      </c>
      <c r="BD119" s="12">
        <f t="shared" si="17"/>
        <v>0</v>
      </c>
      <c r="BE119" s="12">
        <f t="shared" si="18"/>
        <v>15.299999999999997</v>
      </c>
    </row>
    <row r="120" spans="1:57" ht="15.75" customHeight="1" x14ac:dyDescent="0.25">
      <c r="A120" s="1" t="s">
        <v>220</v>
      </c>
      <c r="B120" s="3" t="s">
        <v>106</v>
      </c>
      <c r="C120" s="4" t="s">
        <v>8</v>
      </c>
      <c r="D120" s="4">
        <v>13</v>
      </c>
      <c r="E120" s="4">
        <v>191</v>
      </c>
      <c r="F120" s="4">
        <v>13</v>
      </c>
      <c r="G120" s="4">
        <v>191</v>
      </c>
      <c r="H120" s="4">
        <v>0.34200000000000003</v>
      </c>
      <c r="I120" s="4">
        <v>19.7</v>
      </c>
      <c r="J120" s="4"/>
      <c r="K120" s="4">
        <v>0.36799999999999999</v>
      </c>
      <c r="L120" s="4">
        <v>5.2999999999999999E-2</v>
      </c>
      <c r="M120" s="4">
        <v>0.105</v>
      </c>
      <c r="N120" s="4">
        <v>2.5999999999999999E-2</v>
      </c>
      <c r="O120" s="4">
        <v>0.184</v>
      </c>
      <c r="P120" s="4">
        <v>0.63200000000000001</v>
      </c>
      <c r="Q120" s="4"/>
      <c r="R120" s="4">
        <v>0.28599999999999998</v>
      </c>
      <c r="S120" s="4">
        <v>0</v>
      </c>
      <c r="T120" s="4">
        <v>0.25</v>
      </c>
      <c r="U120" s="4">
        <v>0</v>
      </c>
      <c r="V120" s="4">
        <v>0.42899999999999999</v>
      </c>
      <c r="W120" s="4">
        <v>0.375</v>
      </c>
      <c r="X120" s="4"/>
      <c r="Y120" s="4">
        <v>0.25</v>
      </c>
      <c r="Z120" s="4">
        <v>1</v>
      </c>
      <c r="AA120" s="4"/>
      <c r="AB120" s="4">
        <v>0.41699999999999998</v>
      </c>
      <c r="AC120" s="4">
        <v>0.4</v>
      </c>
      <c r="AD120" s="10">
        <f t="shared" si="12"/>
        <v>0.72399999999999998</v>
      </c>
      <c r="AE120" s="9"/>
      <c r="AF120" s="9"/>
      <c r="AG120" s="12">
        <f t="shared" si="13"/>
        <v>4.5</v>
      </c>
      <c r="AH120" s="12">
        <f t="shared" si="13"/>
        <v>11.4</v>
      </c>
      <c r="AI120" s="12">
        <f t="shared" si="13"/>
        <v>16.7</v>
      </c>
      <c r="AJ120" s="12">
        <f t="shared" si="13"/>
        <v>97.7</v>
      </c>
      <c r="AK120" s="12"/>
      <c r="AL120" s="12">
        <f t="shared" si="21"/>
        <v>2.1999999999999997</v>
      </c>
      <c r="AM120" s="12">
        <f t="shared" si="21"/>
        <v>3.8</v>
      </c>
      <c r="AN120" s="12">
        <f t="shared" si="21"/>
        <v>17.5</v>
      </c>
      <c r="AO120" s="12">
        <f t="shared" si="19"/>
        <v>3.8</v>
      </c>
      <c r="AP120" s="12">
        <f t="shared" si="19"/>
        <v>51.9</v>
      </c>
      <c r="AQ120" s="12">
        <f t="shared" si="19"/>
        <v>97.7</v>
      </c>
      <c r="AR120" s="12"/>
      <c r="AS120" s="12">
        <f t="shared" si="22"/>
        <v>3.8</v>
      </c>
      <c r="AT120" s="12">
        <f t="shared" si="22"/>
        <v>0</v>
      </c>
      <c r="AU120" s="12">
        <f t="shared" si="22"/>
        <v>16.7</v>
      </c>
      <c r="AV120" s="12">
        <f t="shared" si="20"/>
        <v>0</v>
      </c>
      <c r="AW120" s="12">
        <f t="shared" si="20"/>
        <v>80.100000000000009</v>
      </c>
      <c r="AX120" s="12">
        <f t="shared" si="20"/>
        <v>83.899999999999991</v>
      </c>
      <c r="AY120" s="12"/>
      <c r="AZ120" s="12">
        <f t="shared" si="14"/>
        <v>85.5</v>
      </c>
      <c r="BA120" s="12">
        <f t="shared" si="15"/>
        <v>23</v>
      </c>
      <c r="BB120" s="12"/>
      <c r="BC120" s="12">
        <f t="shared" si="16"/>
        <v>94.6</v>
      </c>
      <c r="BD120" s="12">
        <f t="shared" si="17"/>
        <v>75.5</v>
      </c>
      <c r="BE120" s="12">
        <f t="shared" si="18"/>
        <v>23</v>
      </c>
    </row>
    <row r="121" spans="1:57" ht="15.75" customHeight="1" x14ac:dyDescent="0.25">
      <c r="A121" s="1" t="s">
        <v>221</v>
      </c>
      <c r="B121" s="3" t="s">
        <v>86</v>
      </c>
      <c r="C121" s="4" t="s">
        <v>8</v>
      </c>
      <c r="D121" s="4">
        <v>16</v>
      </c>
      <c r="E121" s="4">
        <v>190</v>
      </c>
      <c r="F121" s="4">
        <v>16</v>
      </c>
      <c r="G121" s="4">
        <v>190</v>
      </c>
      <c r="H121" s="4">
        <v>0.33300000000000002</v>
      </c>
      <c r="I121" s="4">
        <v>11.9</v>
      </c>
      <c r="J121" s="4"/>
      <c r="K121" s="4">
        <v>0.85199999999999998</v>
      </c>
      <c r="L121" s="4">
        <v>0.25900000000000001</v>
      </c>
      <c r="M121" s="4">
        <v>0.24099999999999999</v>
      </c>
      <c r="N121" s="4">
        <v>7.3999999999999996E-2</v>
      </c>
      <c r="O121" s="4">
        <v>0.27800000000000002</v>
      </c>
      <c r="P121" s="4">
        <v>0.14799999999999999</v>
      </c>
      <c r="Q121" s="4"/>
      <c r="R121" s="4">
        <v>0.39100000000000001</v>
      </c>
      <c r="S121" s="4">
        <v>0.42899999999999999</v>
      </c>
      <c r="T121" s="4">
        <v>0.23100000000000001</v>
      </c>
      <c r="U121" s="4">
        <v>0.25</v>
      </c>
      <c r="V121" s="4">
        <v>0.53300000000000003</v>
      </c>
      <c r="W121" s="4">
        <v>0</v>
      </c>
      <c r="X121" s="4"/>
      <c r="Y121" s="4">
        <v>0.27800000000000002</v>
      </c>
      <c r="Z121" s="4">
        <v>0</v>
      </c>
      <c r="AA121" s="4"/>
      <c r="AB121" s="4">
        <v>0</v>
      </c>
      <c r="AC121" s="4">
        <v>0</v>
      </c>
      <c r="AD121" s="10">
        <f t="shared" si="12"/>
        <v>0.23685600000000001</v>
      </c>
      <c r="AE121" s="9"/>
      <c r="AF121" s="9"/>
      <c r="AG121" s="12">
        <f t="shared" si="13"/>
        <v>6.8000000000000007</v>
      </c>
      <c r="AH121" s="12">
        <f t="shared" si="13"/>
        <v>10.6</v>
      </c>
      <c r="AI121" s="12">
        <f t="shared" si="13"/>
        <v>16</v>
      </c>
      <c r="AJ121" s="12">
        <f t="shared" si="13"/>
        <v>44.2</v>
      </c>
      <c r="AK121" s="12"/>
      <c r="AL121" s="12">
        <f t="shared" si="21"/>
        <v>60.3</v>
      </c>
      <c r="AM121" s="12">
        <f t="shared" si="21"/>
        <v>51.1</v>
      </c>
      <c r="AN121" s="12">
        <f t="shared" si="21"/>
        <v>75.5</v>
      </c>
      <c r="AO121" s="12">
        <f t="shared" si="19"/>
        <v>22.900000000000002</v>
      </c>
      <c r="AP121" s="12">
        <f t="shared" si="19"/>
        <v>79.3</v>
      </c>
      <c r="AQ121" s="12">
        <f t="shared" si="19"/>
        <v>39.6</v>
      </c>
      <c r="AR121" s="12"/>
      <c r="AS121" s="12">
        <f t="shared" si="22"/>
        <v>26.700000000000003</v>
      </c>
      <c r="AT121" s="12">
        <f t="shared" si="22"/>
        <v>11.4</v>
      </c>
      <c r="AU121" s="12">
        <f t="shared" si="22"/>
        <v>15.2</v>
      </c>
      <c r="AV121" s="12">
        <f t="shared" si="20"/>
        <v>25.900000000000002</v>
      </c>
      <c r="AW121" s="12">
        <f t="shared" si="20"/>
        <v>96.1</v>
      </c>
      <c r="AX121" s="12">
        <f t="shared" si="20"/>
        <v>0</v>
      </c>
      <c r="AY121" s="12"/>
      <c r="AZ121" s="12">
        <f t="shared" si="14"/>
        <v>82.5</v>
      </c>
      <c r="BA121" s="12">
        <f t="shared" si="15"/>
        <v>100</v>
      </c>
      <c r="BB121" s="12"/>
      <c r="BC121" s="12">
        <f t="shared" si="16"/>
        <v>0</v>
      </c>
      <c r="BD121" s="12">
        <f t="shared" si="17"/>
        <v>0</v>
      </c>
      <c r="BE121" s="12">
        <f t="shared" si="18"/>
        <v>99.3</v>
      </c>
    </row>
    <row r="122" spans="1:57" ht="15.75" customHeight="1" x14ac:dyDescent="0.25">
      <c r="A122" s="1" t="s">
        <v>222</v>
      </c>
      <c r="B122" s="3" t="s">
        <v>106</v>
      </c>
      <c r="C122" s="4" t="s">
        <v>115</v>
      </c>
      <c r="D122" s="4">
        <v>25</v>
      </c>
      <c r="E122" s="4">
        <v>187</v>
      </c>
      <c r="F122" s="4">
        <v>25</v>
      </c>
      <c r="G122" s="4">
        <v>187</v>
      </c>
      <c r="H122" s="4">
        <v>0.35799999999999998</v>
      </c>
      <c r="I122" s="4">
        <v>6.8</v>
      </c>
      <c r="J122" s="4"/>
      <c r="K122" s="4">
        <v>1</v>
      </c>
      <c r="L122" s="4">
        <v>0.45300000000000001</v>
      </c>
      <c r="M122" s="4">
        <v>0.22600000000000001</v>
      </c>
      <c r="N122" s="4">
        <v>0.20799999999999999</v>
      </c>
      <c r="O122" s="4">
        <v>0.113</v>
      </c>
      <c r="P122" s="4">
        <v>0</v>
      </c>
      <c r="Q122" s="4"/>
      <c r="R122" s="4">
        <v>0.35799999999999998</v>
      </c>
      <c r="S122" s="4">
        <v>0.375</v>
      </c>
      <c r="T122" s="4">
        <v>0.25</v>
      </c>
      <c r="U122" s="4">
        <v>0.36399999999999999</v>
      </c>
      <c r="V122" s="4">
        <v>0.5</v>
      </c>
      <c r="W122" s="4">
        <v>0</v>
      </c>
      <c r="X122" s="4"/>
      <c r="Y122" s="4">
        <v>0.73699999999999999</v>
      </c>
      <c r="Z122" s="4">
        <v>0</v>
      </c>
      <c r="AA122" s="4"/>
      <c r="AB122" s="4">
        <v>0</v>
      </c>
      <c r="AC122" s="4">
        <v>0</v>
      </c>
      <c r="AD122" s="10">
        <f t="shared" si="12"/>
        <v>0.73699999999999999</v>
      </c>
      <c r="AE122" s="9"/>
      <c r="AF122" s="9"/>
      <c r="AG122" s="12">
        <f t="shared" si="13"/>
        <v>21.3</v>
      </c>
      <c r="AH122" s="12">
        <f t="shared" si="13"/>
        <v>9.9</v>
      </c>
      <c r="AI122" s="12">
        <f t="shared" si="13"/>
        <v>21.3</v>
      </c>
      <c r="AJ122" s="12">
        <f t="shared" si="13"/>
        <v>12.9</v>
      </c>
      <c r="AK122" s="12"/>
      <c r="AL122" s="12">
        <f t="shared" si="21"/>
        <v>83.2</v>
      </c>
      <c r="AM122" s="12">
        <f t="shared" si="21"/>
        <v>88.5</v>
      </c>
      <c r="AN122" s="12">
        <f t="shared" si="21"/>
        <v>71.7</v>
      </c>
      <c r="AO122" s="12">
        <f t="shared" si="19"/>
        <v>87</v>
      </c>
      <c r="AP122" s="12">
        <f t="shared" si="19"/>
        <v>30.5</v>
      </c>
      <c r="AQ122" s="12">
        <f t="shared" si="19"/>
        <v>0</v>
      </c>
      <c r="AR122" s="12"/>
      <c r="AS122" s="12">
        <f t="shared" si="22"/>
        <v>15.2</v>
      </c>
      <c r="AT122" s="12">
        <f t="shared" si="22"/>
        <v>8.3000000000000007</v>
      </c>
      <c r="AU122" s="12">
        <f t="shared" si="22"/>
        <v>16.7</v>
      </c>
      <c r="AV122" s="12">
        <f t="shared" si="20"/>
        <v>61</v>
      </c>
      <c r="AW122" s="12">
        <f t="shared" si="20"/>
        <v>90.8</v>
      </c>
      <c r="AX122" s="12">
        <f t="shared" si="20"/>
        <v>0</v>
      </c>
      <c r="AY122" s="12"/>
      <c r="AZ122" s="12">
        <f t="shared" si="14"/>
        <v>15.299999999999997</v>
      </c>
      <c r="BA122" s="12">
        <f t="shared" si="15"/>
        <v>100</v>
      </c>
      <c r="BB122" s="12"/>
      <c r="BC122" s="12">
        <f t="shared" si="16"/>
        <v>0</v>
      </c>
      <c r="BD122" s="12">
        <f t="shared" si="17"/>
        <v>0</v>
      </c>
      <c r="BE122" s="12">
        <f t="shared" si="18"/>
        <v>21.399999999999991</v>
      </c>
    </row>
    <row r="123" spans="1:57" ht="15.75" customHeight="1" x14ac:dyDescent="0.25">
      <c r="A123" s="1" t="s">
        <v>224</v>
      </c>
      <c r="B123" s="3" t="s">
        <v>114</v>
      </c>
      <c r="C123" s="4" t="s">
        <v>8</v>
      </c>
      <c r="D123" s="4">
        <v>19</v>
      </c>
      <c r="E123" s="4">
        <v>184</v>
      </c>
      <c r="F123" s="4">
        <v>19</v>
      </c>
      <c r="G123" s="4">
        <v>184</v>
      </c>
      <c r="H123" s="4">
        <v>0.214</v>
      </c>
      <c r="I123" s="4">
        <v>13.7</v>
      </c>
      <c r="J123" s="4"/>
      <c r="K123" s="4">
        <v>0.78600000000000003</v>
      </c>
      <c r="L123" s="4">
        <v>0.25</v>
      </c>
      <c r="M123" s="4">
        <v>0.107</v>
      </c>
      <c r="N123" s="4">
        <v>0.214</v>
      </c>
      <c r="O123" s="4">
        <v>0.214</v>
      </c>
      <c r="P123" s="4">
        <v>0.214</v>
      </c>
      <c r="Q123" s="4"/>
      <c r="R123" s="4">
        <v>0.27300000000000002</v>
      </c>
      <c r="S123" s="4">
        <v>0.42899999999999999</v>
      </c>
      <c r="T123" s="4">
        <v>0.33300000000000002</v>
      </c>
      <c r="U123" s="4">
        <v>0</v>
      </c>
      <c r="V123" s="4">
        <v>0.33300000000000002</v>
      </c>
      <c r="W123" s="4">
        <v>0</v>
      </c>
      <c r="X123" s="4"/>
      <c r="Y123" s="4">
        <v>0.16700000000000001</v>
      </c>
      <c r="Z123" s="4">
        <v>0</v>
      </c>
      <c r="AA123" s="4"/>
      <c r="AB123" s="4">
        <v>0</v>
      </c>
      <c r="AC123" s="4">
        <v>0</v>
      </c>
      <c r="AD123" s="10">
        <f t="shared" si="12"/>
        <v>0.13126200000000002</v>
      </c>
      <c r="AE123" s="9"/>
      <c r="AF123" s="9"/>
      <c r="AG123" s="12">
        <f t="shared" si="13"/>
        <v>10.6</v>
      </c>
      <c r="AH123" s="12">
        <f t="shared" si="13"/>
        <v>8.3000000000000007</v>
      </c>
      <c r="AI123" s="12">
        <f t="shared" si="13"/>
        <v>0.70000000000000007</v>
      </c>
      <c r="AJ123" s="12">
        <f t="shared" si="13"/>
        <v>63.3</v>
      </c>
      <c r="AK123" s="12"/>
      <c r="AL123" s="12">
        <f t="shared" si="21"/>
        <v>48.8</v>
      </c>
      <c r="AM123" s="12">
        <f t="shared" si="21"/>
        <v>47.3</v>
      </c>
      <c r="AN123" s="12">
        <f t="shared" si="21"/>
        <v>18.3</v>
      </c>
      <c r="AO123" s="12">
        <f t="shared" si="19"/>
        <v>89.3</v>
      </c>
      <c r="AP123" s="12">
        <f t="shared" si="19"/>
        <v>59.5</v>
      </c>
      <c r="AQ123" s="12">
        <f t="shared" si="19"/>
        <v>50.3</v>
      </c>
      <c r="AR123" s="12"/>
      <c r="AS123" s="12">
        <f t="shared" si="22"/>
        <v>2.1999999999999997</v>
      </c>
      <c r="AT123" s="12">
        <f t="shared" si="22"/>
        <v>11.4</v>
      </c>
      <c r="AU123" s="12">
        <f t="shared" si="22"/>
        <v>39.6</v>
      </c>
      <c r="AV123" s="12">
        <f t="shared" si="20"/>
        <v>0</v>
      </c>
      <c r="AW123" s="12">
        <f t="shared" si="20"/>
        <v>44.2</v>
      </c>
      <c r="AX123" s="12">
        <f t="shared" si="20"/>
        <v>0</v>
      </c>
      <c r="AY123" s="12"/>
      <c r="AZ123" s="12">
        <f t="shared" si="14"/>
        <v>96.2</v>
      </c>
      <c r="BA123" s="12">
        <f t="shared" si="15"/>
        <v>100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100</v>
      </c>
    </row>
    <row r="124" spans="1:57" ht="15.75" customHeight="1" x14ac:dyDescent="0.25">
      <c r="A124" s="1" t="s">
        <v>223</v>
      </c>
      <c r="B124" s="3" t="s">
        <v>91</v>
      </c>
      <c r="C124" s="4" t="s">
        <v>92</v>
      </c>
      <c r="D124" s="4">
        <v>27</v>
      </c>
      <c r="E124" s="4">
        <v>184</v>
      </c>
      <c r="F124" s="4">
        <v>27</v>
      </c>
      <c r="G124" s="4">
        <v>184</v>
      </c>
      <c r="H124" s="4">
        <v>0.44400000000000001</v>
      </c>
      <c r="I124" s="4">
        <v>13.6</v>
      </c>
      <c r="J124" s="4"/>
      <c r="K124" s="4">
        <v>0.72199999999999998</v>
      </c>
      <c r="L124" s="4">
        <v>0.25</v>
      </c>
      <c r="M124" s="4">
        <v>0.13900000000000001</v>
      </c>
      <c r="N124" s="4">
        <v>5.6000000000000001E-2</v>
      </c>
      <c r="O124" s="4">
        <v>0.27800000000000002</v>
      </c>
      <c r="P124" s="4">
        <v>0.27800000000000002</v>
      </c>
      <c r="Q124" s="4"/>
      <c r="R124" s="4">
        <v>0.38500000000000001</v>
      </c>
      <c r="S124" s="4">
        <v>0.55600000000000005</v>
      </c>
      <c r="T124" s="4">
        <v>0.2</v>
      </c>
      <c r="U124" s="4">
        <v>0.5</v>
      </c>
      <c r="V124" s="4">
        <v>0.3</v>
      </c>
      <c r="W124" s="4">
        <v>0.6</v>
      </c>
      <c r="X124" s="4"/>
      <c r="Y124" s="4">
        <v>0.9</v>
      </c>
      <c r="Z124" s="4">
        <v>1</v>
      </c>
      <c r="AA124" s="4"/>
      <c r="AB124" s="4">
        <v>0.5</v>
      </c>
      <c r="AC124" s="4">
        <v>0.8</v>
      </c>
      <c r="AD124" s="10">
        <f t="shared" si="12"/>
        <v>0.92780000000000007</v>
      </c>
      <c r="AE124" s="9"/>
      <c r="AF124" s="9"/>
      <c r="AG124" s="12">
        <f t="shared" si="13"/>
        <v>24.4</v>
      </c>
      <c r="AH124" s="12">
        <f t="shared" si="13"/>
        <v>8.3000000000000007</v>
      </c>
      <c r="AI124" s="12">
        <f t="shared" si="13"/>
        <v>70.199999999999989</v>
      </c>
      <c r="AJ124" s="12">
        <f t="shared" si="13"/>
        <v>62.5</v>
      </c>
      <c r="AK124" s="12"/>
      <c r="AL124" s="12">
        <f t="shared" si="21"/>
        <v>37.4</v>
      </c>
      <c r="AM124" s="12">
        <f t="shared" si="21"/>
        <v>47.3</v>
      </c>
      <c r="AN124" s="12">
        <f t="shared" si="21"/>
        <v>32.800000000000004</v>
      </c>
      <c r="AO124" s="12">
        <f t="shared" si="19"/>
        <v>13.700000000000001</v>
      </c>
      <c r="AP124" s="12">
        <f t="shared" si="19"/>
        <v>79.3</v>
      </c>
      <c r="AQ124" s="12">
        <f t="shared" si="19"/>
        <v>62.5</v>
      </c>
      <c r="AR124" s="12"/>
      <c r="AS124" s="12">
        <f t="shared" si="22"/>
        <v>21.3</v>
      </c>
      <c r="AT124" s="12">
        <f t="shared" si="22"/>
        <v>32.800000000000004</v>
      </c>
      <c r="AU124" s="12">
        <f t="shared" si="22"/>
        <v>7.6</v>
      </c>
      <c r="AV124" s="12">
        <f t="shared" si="20"/>
        <v>90.8</v>
      </c>
      <c r="AW124" s="12">
        <f t="shared" si="20"/>
        <v>32.800000000000004</v>
      </c>
      <c r="AX124" s="12">
        <f t="shared" si="20"/>
        <v>99.2</v>
      </c>
      <c r="AY124" s="12"/>
      <c r="AZ124" s="12">
        <f t="shared" si="14"/>
        <v>0.79999999999999716</v>
      </c>
      <c r="BA124" s="12">
        <f t="shared" si="15"/>
        <v>23</v>
      </c>
      <c r="BB124" s="12"/>
      <c r="BC124" s="12">
        <f t="shared" si="16"/>
        <v>96.899999999999991</v>
      </c>
      <c r="BD124" s="12">
        <f t="shared" si="17"/>
        <v>98.4</v>
      </c>
      <c r="BE124" s="12">
        <f t="shared" si="18"/>
        <v>0.79999999999999716</v>
      </c>
    </row>
    <row r="125" spans="1:57" ht="15.75" customHeight="1" x14ac:dyDescent="0.25">
      <c r="A125" s="1" t="s">
        <v>225</v>
      </c>
      <c r="B125" s="3" t="s">
        <v>114</v>
      </c>
      <c r="C125" s="4" t="s">
        <v>115</v>
      </c>
      <c r="D125" s="4">
        <v>16</v>
      </c>
      <c r="E125" s="4">
        <v>181</v>
      </c>
      <c r="F125" s="4">
        <v>16</v>
      </c>
      <c r="G125" s="4">
        <v>181</v>
      </c>
      <c r="H125" s="4">
        <v>0.61899999999999999</v>
      </c>
      <c r="I125" s="4">
        <v>5.3</v>
      </c>
      <c r="J125" s="4"/>
      <c r="K125" s="4">
        <v>1</v>
      </c>
      <c r="L125" s="4">
        <v>0.59499999999999997</v>
      </c>
      <c r="M125" s="4">
        <v>0.214</v>
      </c>
      <c r="N125" s="4">
        <v>9.5000000000000001E-2</v>
      </c>
      <c r="O125" s="4">
        <v>9.5000000000000001E-2</v>
      </c>
      <c r="P125" s="4">
        <v>0</v>
      </c>
      <c r="Q125" s="4"/>
      <c r="R125" s="4">
        <v>0.61899999999999999</v>
      </c>
      <c r="S125" s="4">
        <v>0.8</v>
      </c>
      <c r="T125" s="4">
        <v>0.44400000000000001</v>
      </c>
      <c r="U125" s="4">
        <v>0</v>
      </c>
      <c r="V125" s="4">
        <v>0.5</v>
      </c>
      <c r="W125" s="4">
        <v>0</v>
      </c>
      <c r="X125" s="4"/>
      <c r="Y125" s="4">
        <v>0.76900000000000002</v>
      </c>
      <c r="Z125" s="4">
        <v>0</v>
      </c>
      <c r="AA125" s="4"/>
      <c r="AB125" s="4">
        <v>0</v>
      </c>
      <c r="AC125" s="4">
        <v>0</v>
      </c>
      <c r="AD125" s="10">
        <f t="shared" si="12"/>
        <v>0.76900000000000002</v>
      </c>
      <c r="AE125" s="9"/>
      <c r="AF125" s="9"/>
      <c r="AG125" s="12">
        <f t="shared" si="13"/>
        <v>6.8000000000000007</v>
      </c>
      <c r="AH125" s="12">
        <f t="shared" si="13"/>
        <v>7.6</v>
      </c>
      <c r="AI125" s="12">
        <f t="shared" si="13"/>
        <v>100</v>
      </c>
      <c r="AJ125" s="12">
        <f t="shared" si="13"/>
        <v>9.9</v>
      </c>
      <c r="AK125" s="12"/>
      <c r="AL125" s="12">
        <f t="shared" si="21"/>
        <v>83.2</v>
      </c>
      <c r="AM125" s="12">
        <f t="shared" si="21"/>
        <v>96.1</v>
      </c>
      <c r="AN125" s="12">
        <f t="shared" si="21"/>
        <v>67.100000000000009</v>
      </c>
      <c r="AO125" s="12">
        <f t="shared" si="19"/>
        <v>38.1</v>
      </c>
      <c r="AP125" s="12">
        <f t="shared" si="19"/>
        <v>25.1</v>
      </c>
      <c r="AQ125" s="12">
        <f t="shared" si="19"/>
        <v>0</v>
      </c>
      <c r="AR125" s="12"/>
      <c r="AS125" s="12">
        <f t="shared" si="22"/>
        <v>100</v>
      </c>
      <c r="AT125" s="12">
        <f t="shared" si="22"/>
        <v>94.6</v>
      </c>
      <c r="AU125" s="12">
        <f t="shared" si="22"/>
        <v>81.599999999999994</v>
      </c>
      <c r="AV125" s="12">
        <f t="shared" si="20"/>
        <v>0</v>
      </c>
      <c r="AW125" s="12">
        <f t="shared" si="20"/>
        <v>90.8</v>
      </c>
      <c r="AX125" s="12">
        <f t="shared" si="20"/>
        <v>0</v>
      </c>
      <c r="AY125" s="12"/>
      <c r="AZ125" s="12">
        <f t="shared" si="14"/>
        <v>10.700000000000003</v>
      </c>
      <c r="BA125" s="12">
        <f t="shared" si="15"/>
        <v>100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15.299999999999997</v>
      </c>
    </row>
    <row r="126" spans="1:57" ht="15.75" customHeight="1" x14ac:dyDescent="0.25">
      <c r="A126" s="1" t="s">
        <v>226</v>
      </c>
      <c r="B126" s="4" t="s">
        <v>99</v>
      </c>
      <c r="C126" s="4" t="s">
        <v>92</v>
      </c>
      <c r="D126" s="4">
        <v>6</v>
      </c>
      <c r="E126" s="4">
        <v>180</v>
      </c>
      <c r="F126" s="4">
        <v>6</v>
      </c>
      <c r="G126" s="4">
        <v>180</v>
      </c>
      <c r="H126" s="4">
        <v>0.52900000000000003</v>
      </c>
      <c r="I126" s="4">
        <v>13.1</v>
      </c>
      <c r="J126" s="4"/>
      <c r="K126" s="4">
        <v>0.92900000000000005</v>
      </c>
      <c r="L126" s="4">
        <v>0.17100000000000001</v>
      </c>
      <c r="M126" s="4">
        <v>0.157</v>
      </c>
      <c r="N126" s="4">
        <v>0.2</v>
      </c>
      <c r="O126" s="4">
        <v>0.4</v>
      </c>
      <c r="P126" s="4">
        <v>7.0999999999999994E-2</v>
      </c>
      <c r="Q126" s="4"/>
      <c r="R126" s="4">
        <v>0.53800000000000003</v>
      </c>
      <c r="S126" s="4">
        <v>0.91700000000000004</v>
      </c>
      <c r="T126" s="4">
        <v>0.54500000000000004</v>
      </c>
      <c r="U126" s="4">
        <v>0.5</v>
      </c>
      <c r="V126" s="4">
        <v>0.39300000000000002</v>
      </c>
      <c r="W126" s="4">
        <v>0.4</v>
      </c>
      <c r="X126" s="4"/>
      <c r="Y126" s="4">
        <v>0.68600000000000005</v>
      </c>
      <c r="Z126" s="4">
        <v>1</v>
      </c>
      <c r="AA126" s="4"/>
      <c r="AB126" s="4">
        <v>0</v>
      </c>
      <c r="AC126" s="4">
        <v>0</v>
      </c>
      <c r="AD126" s="10">
        <f t="shared" si="12"/>
        <v>0.70829400000000009</v>
      </c>
      <c r="AE126" s="9"/>
      <c r="AF126" s="9"/>
      <c r="AG126" s="12">
        <f t="shared" si="13"/>
        <v>1.5</v>
      </c>
      <c r="AH126" s="12">
        <f t="shared" si="13"/>
        <v>6.8000000000000007</v>
      </c>
      <c r="AI126" s="12">
        <f t="shared" si="13"/>
        <v>92.300000000000011</v>
      </c>
      <c r="AJ126" s="12">
        <f t="shared" si="13"/>
        <v>57.999999999999993</v>
      </c>
      <c r="AK126" s="12"/>
      <c r="AL126" s="12">
        <f t="shared" si="21"/>
        <v>66.400000000000006</v>
      </c>
      <c r="AM126" s="12">
        <f t="shared" si="21"/>
        <v>25.1</v>
      </c>
      <c r="AN126" s="12">
        <f t="shared" si="21"/>
        <v>39.6</v>
      </c>
      <c r="AO126" s="12">
        <f t="shared" si="19"/>
        <v>83.2</v>
      </c>
      <c r="AP126" s="12">
        <f t="shared" si="19"/>
        <v>98.4</v>
      </c>
      <c r="AQ126" s="12">
        <f t="shared" si="19"/>
        <v>33.5</v>
      </c>
      <c r="AR126" s="12"/>
      <c r="AS126" s="12">
        <f t="shared" si="22"/>
        <v>89.3</v>
      </c>
      <c r="AT126" s="12">
        <f t="shared" si="22"/>
        <v>98.4</v>
      </c>
      <c r="AU126" s="12">
        <f t="shared" si="22"/>
        <v>97.7</v>
      </c>
      <c r="AV126" s="12">
        <f t="shared" si="20"/>
        <v>90.8</v>
      </c>
      <c r="AW126" s="12">
        <f t="shared" si="20"/>
        <v>64.8</v>
      </c>
      <c r="AX126" s="12">
        <f t="shared" si="20"/>
        <v>90.8</v>
      </c>
      <c r="AY126" s="12"/>
      <c r="AZ126" s="12">
        <f t="shared" si="14"/>
        <v>19.899999999999991</v>
      </c>
      <c r="BA126" s="12">
        <f t="shared" si="15"/>
        <v>23</v>
      </c>
      <c r="BB126" s="12"/>
      <c r="BC126" s="12">
        <f t="shared" si="16"/>
        <v>0</v>
      </c>
      <c r="BD126" s="12">
        <f t="shared" si="17"/>
        <v>0</v>
      </c>
      <c r="BE126" s="12">
        <f t="shared" si="18"/>
        <v>26.799999999999997</v>
      </c>
    </row>
    <row r="127" spans="1:57" ht="15.75" customHeight="1" x14ac:dyDescent="0.25">
      <c r="A127" s="1" t="s">
        <v>227</v>
      </c>
      <c r="B127" s="3" t="s">
        <v>171</v>
      </c>
      <c r="C127" s="4" t="s">
        <v>92</v>
      </c>
      <c r="D127" s="4">
        <v>22</v>
      </c>
      <c r="E127" s="4">
        <v>162</v>
      </c>
      <c r="F127" s="4">
        <v>22</v>
      </c>
      <c r="G127" s="4">
        <v>162</v>
      </c>
      <c r="H127" s="4">
        <v>0.27700000000000002</v>
      </c>
      <c r="I127" s="4">
        <v>7</v>
      </c>
      <c r="J127" s="4"/>
      <c r="K127" s="4">
        <v>0.97899999999999998</v>
      </c>
      <c r="L127" s="4">
        <v>0.27700000000000002</v>
      </c>
      <c r="M127" s="4">
        <v>0.44700000000000001</v>
      </c>
      <c r="N127" s="4">
        <v>0.23400000000000001</v>
      </c>
      <c r="O127" s="4">
        <v>2.1000000000000001E-2</v>
      </c>
      <c r="P127" s="4">
        <v>2.1000000000000001E-2</v>
      </c>
      <c r="Q127" s="4"/>
      <c r="R127" s="4">
        <v>0.28299999999999997</v>
      </c>
      <c r="S127" s="4">
        <v>0.53800000000000003</v>
      </c>
      <c r="T127" s="4">
        <v>0.19</v>
      </c>
      <c r="U127" s="4">
        <v>0.182</v>
      </c>
      <c r="V127" s="4">
        <v>0</v>
      </c>
      <c r="W127" s="4">
        <v>0</v>
      </c>
      <c r="X127" s="4"/>
      <c r="Y127" s="4">
        <v>0.76900000000000002</v>
      </c>
      <c r="Z127" s="4">
        <v>0</v>
      </c>
      <c r="AA127" s="4"/>
      <c r="AB127" s="4">
        <v>1</v>
      </c>
      <c r="AC127" s="4">
        <v>0</v>
      </c>
      <c r="AD127" s="10">
        <f t="shared" si="12"/>
        <v>0.75285100000000005</v>
      </c>
      <c r="AE127" s="9"/>
      <c r="AF127" s="9"/>
      <c r="AG127" s="12">
        <f t="shared" si="13"/>
        <v>14.499999999999998</v>
      </c>
      <c r="AH127" s="12">
        <f t="shared" si="13"/>
        <v>6.1</v>
      </c>
      <c r="AI127" s="12">
        <f t="shared" si="13"/>
        <v>2.1999999999999997</v>
      </c>
      <c r="AJ127" s="12">
        <f t="shared" si="13"/>
        <v>14.499999999999998</v>
      </c>
      <c r="AK127" s="12"/>
      <c r="AL127" s="12">
        <f t="shared" si="21"/>
        <v>71.7</v>
      </c>
      <c r="AM127" s="12">
        <f t="shared" si="21"/>
        <v>56.399999999999991</v>
      </c>
      <c r="AN127" s="12">
        <f t="shared" si="21"/>
        <v>96.899999999999991</v>
      </c>
      <c r="AO127" s="12">
        <f t="shared" si="19"/>
        <v>92.300000000000011</v>
      </c>
      <c r="AP127" s="12">
        <f t="shared" si="19"/>
        <v>5.3</v>
      </c>
      <c r="AQ127" s="12">
        <f t="shared" si="19"/>
        <v>28.199999999999996</v>
      </c>
      <c r="AR127" s="12"/>
      <c r="AS127" s="12">
        <f t="shared" si="22"/>
        <v>3</v>
      </c>
      <c r="AT127" s="12">
        <f t="shared" si="22"/>
        <v>24.4</v>
      </c>
      <c r="AU127" s="12">
        <f t="shared" si="22"/>
        <v>6.8000000000000007</v>
      </c>
      <c r="AV127" s="12">
        <f t="shared" si="20"/>
        <v>16.7</v>
      </c>
      <c r="AW127" s="12">
        <f t="shared" si="20"/>
        <v>0</v>
      </c>
      <c r="AX127" s="12">
        <f t="shared" si="20"/>
        <v>0</v>
      </c>
      <c r="AY127" s="12"/>
      <c r="AZ127" s="12">
        <f t="shared" si="14"/>
        <v>10.700000000000003</v>
      </c>
      <c r="BA127" s="12">
        <f t="shared" si="15"/>
        <v>100</v>
      </c>
      <c r="BB127" s="12"/>
      <c r="BC127" s="12">
        <f t="shared" si="16"/>
        <v>99.2</v>
      </c>
      <c r="BD127" s="12">
        <f t="shared" si="17"/>
        <v>0</v>
      </c>
      <c r="BE127" s="12">
        <f t="shared" si="18"/>
        <v>18.400000000000006</v>
      </c>
    </row>
    <row r="128" spans="1:57" ht="15.75" customHeight="1" x14ac:dyDescent="0.25">
      <c r="A128" s="1" t="s">
        <v>228</v>
      </c>
      <c r="B128" s="3" t="s">
        <v>86</v>
      </c>
      <c r="C128" s="4" t="s">
        <v>92</v>
      </c>
      <c r="D128" s="4">
        <v>10</v>
      </c>
      <c r="E128" s="4">
        <v>161</v>
      </c>
      <c r="F128" s="4">
        <v>10</v>
      </c>
      <c r="G128" s="4">
        <v>161</v>
      </c>
      <c r="H128" s="4">
        <v>0.47199999999999998</v>
      </c>
      <c r="I128" s="4">
        <v>11.8</v>
      </c>
      <c r="J128" s="4"/>
      <c r="K128" s="4">
        <v>0.64200000000000002</v>
      </c>
      <c r="L128" s="4">
        <v>0.34</v>
      </c>
      <c r="M128" s="4">
        <v>0.17</v>
      </c>
      <c r="N128" s="4">
        <v>0.113</v>
      </c>
      <c r="O128" s="4">
        <v>1.9E-2</v>
      </c>
      <c r="P128" s="4">
        <v>0.35799999999999998</v>
      </c>
      <c r="Q128" s="4"/>
      <c r="R128" s="4">
        <v>0.5</v>
      </c>
      <c r="S128" s="4">
        <v>0.61099999999999999</v>
      </c>
      <c r="T128" s="4">
        <v>0.44400000000000001</v>
      </c>
      <c r="U128" s="4">
        <v>0.33300000000000002</v>
      </c>
      <c r="V128" s="4">
        <v>0</v>
      </c>
      <c r="W128" s="4">
        <v>0.42099999999999999</v>
      </c>
      <c r="X128" s="4"/>
      <c r="Y128" s="4">
        <v>0.41199999999999998</v>
      </c>
      <c r="Z128" s="4">
        <v>1</v>
      </c>
      <c r="AA128" s="4"/>
      <c r="AB128" s="4">
        <v>0.36799999999999999</v>
      </c>
      <c r="AC128" s="4">
        <v>0.71399999999999997</v>
      </c>
      <c r="AD128" s="10">
        <f t="shared" si="12"/>
        <v>0.62250399999999995</v>
      </c>
      <c r="AE128" s="9"/>
      <c r="AF128" s="9"/>
      <c r="AG128" s="12">
        <f t="shared" si="13"/>
        <v>3</v>
      </c>
      <c r="AH128" s="12">
        <f t="shared" si="13"/>
        <v>5.3</v>
      </c>
      <c r="AI128" s="12">
        <f t="shared" si="13"/>
        <v>80.900000000000006</v>
      </c>
      <c r="AJ128" s="12">
        <f t="shared" si="13"/>
        <v>43.5</v>
      </c>
      <c r="AK128" s="12"/>
      <c r="AL128" s="12">
        <f t="shared" si="21"/>
        <v>23.599999999999998</v>
      </c>
      <c r="AM128" s="12">
        <f t="shared" si="21"/>
        <v>74</v>
      </c>
      <c r="AN128" s="12">
        <f t="shared" si="21"/>
        <v>49.6</v>
      </c>
      <c r="AO128" s="12">
        <f t="shared" si="19"/>
        <v>44.2</v>
      </c>
      <c r="AP128" s="12">
        <f t="shared" si="19"/>
        <v>4.5</v>
      </c>
      <c r="AQ128" s="12">
        <f t="shared" si="19"/>
        <v>76.3</v>
      </c>
      <c r="AR128" s="12"/>
      <c r="AS128" s="12">
        <f t="shared" si="22"/>
        <v>83.899999999999991</v>
      </c>
      <c r="AT128" s="12">
        <f t="shared" si="22"/>
        <v>54.1</v>
      </c>
      <c r="AU128" s="12">
        <f t="shared" si="22"/>
        <v>81.599999999999994</v>
      </c>
      <c r="AV128" s="12">
        <f t="shared" si="20"/>
        <v>45</v>
      </c>
      <c r="AW128" s="12">
        <f t="shared" si="20"/>
        <v>0</v>
      </c>
      <c r="AX128" s="12">
        <f t="shared" si="20"/>
        <v>93.8</v>
      </c>
      <c r="AY128" s="12"/>
      <c r="AZ128" s="12">
        <f t="shared" si="14"/>
        <v>67.199999999999989</v>
      </c>
      <c r="BA128" s="12">
        <f t="shared" si="15"/>
        <v>23</v>
      </c>
      <c r="BB128" s="12"/>
      <c r="BC128" s="12">
        <f t="shared" si="16"/>
        <v>92.300000000000011</v>
      </c>
      <c r="BD128" s="12">
        <f t="shared" si="17"/>
        <v>96.899999999999991</v>
      </c>
      <c r="BE128" s="12">
        <f t="shared" si="18"/>
        <v>50.4</v>
      </c>
    </row>
    <row r="129" spans="1:57" ht="15.75" customHeight="1" x14ac:dyDescent="0.25">
      <c r="A129" s="1" t="s">
        <v>229</v>
      </c>
      <c r="B129" s="3" t="s">
        <v>95</v>
      </c>
      <c r="C129" s="4" t="s">
        <v>157</v>
      </c>
      <c r="D129" s="4">
        <v>15</v>
      </c>
      <c r="E129" s="4">
        <v>153</v>
      </c>
      <c r="F129" s="4">
        <v>15</v>
      </c>
      <c r="G129" s="4">
        <v>153</v>
      </c>
      <c r="H129" s="4">
        <v>0.29599999999999999</v>
      </c>
      <c r="I129" s="4">
        <v>5.7</v>
      </c>
      <c r="J129" s="4"/>
      <c r="K129" s="4">
        <v>1</v>
      </c>
      <c r="L129" s="4">
        <v>0.48099999999999998</v>
      </c>
      <c r="M129" s="4">
        <v>0.25900000000000001</v>
      </c>
      <c r="N129" s="4">
        <v>0.25900000000000001</v>
      </c>
      <c r="O129" s="4">
        <v>0</v>
      </c>
      <c r="P129" s="4">
        <v>0</v>
      </c>
      <c r="Q129" s="4"/>
      <c r="R129" s="4">
        <v>0.29599999999999999</v>
      </c>
      <c r="S129" s="4">
        <v>0.308</v>
      </c>
      <c r="T129" s="4">
        <v>0.42899999999999999</v>
      </c>
      <c r="U129" s="4">
        <v>0.14299999999999999</v>
      </c>
      <c r="V129" s="4">
        <v>0</v>
      </c>
      <c r="W129" s="4">
        <v>0</v>
      </c>
      <c r="X129" s="4"/>
      <c r="Y129" s="4">
        <v>0.375</v>
      </c>
      <c r="Z129" s="4">
        <v>0</v>
      </c>
      <c r="AA129" s="4"/>
      <c r="AB129" s="4">
        <v>0</v>
      </c>
      <c r="AC129" s="4">
        <v>0</v>
      </c>
      <c r="AD129" s="10">
        <f t="shared" si="12"/>
        <v>0.375</v>
      </c>
      <c r="AE129" s="9"/>
      <c r="AF129" s="9"/>
      <c r="AG129" s="12">
        <f t="shared" si="13"/>
        <v>5.3</v>
      </c>
      <c r="AH129" s="12">
        <f t="shared" si="13"/>
        <v>4.5</v>
      </c>
      <c r="AI129" s="12">
        <f t="shared" si="13"/>
        <v>4.5</v>
      </c>
      <c r="AJ129" s="12">
        <f t="shared" si="13"/>
        <v>11.4</v>
      </c>
      <c r="AK129" s="12"/>
      <c r="AL129" s="12">
        <f t="shared" si="21"/>
        <v>83.2</v>
      </c>
      <c r="AM129" s="12">
        <f t="shared" si="21"/>
        <v>90.8</v>
      </c>
      <c r="AN129" s="12">
        <f t="shared" si="21"/>
        <v>80.900000000000006</v>
      </c>
      <c r="AO129" s="12">
        <f t="shared" si="19"/>
        <v>93.8</v>
      </c>
      <c r="AP129" s="12">
        <f t="shared" si="19"/>
        <v>0</v>
      </c>
      <c r="AQ129" s="12">
        <f t="shared" si="19"/>
        <v>0</v>
      </c>
      <c r="AR129" s="12"/>
      <c r="AS129" s="12">
        <f t="shared" si="22"/>
        <v>6.1</v>
      </c>
      <c r="AT129" s="12">
        <f t="shared" si="22"/>
        <v>4.5</v>
      </c>
      <c r="AU129" s="12">
        <f t="shared" si="22"/>
        <v>77.8</v>
      </c>
      <c r="AV129" s="12">
        <f t="shared" si="20"/>
        <v>12.2</v>
      </c>
      <c r="AW129" s="12">
        <f t="shared" si="20"/>
        <v>0</v>
      </c>
      <c r="AX129" s="12">
        <f t="shared" si="20"/>
        <v>0</v>
      </c>
      <c r="AY129" s="12"/>
      <c r="AZ129" s="12">
        <f t="shared" si="14"/>
        <v>74.099999999999994</v>
      </c>
      <c r="BA129" s="12">
        <f t="shared" si="15"/>
        <v>100</v>
      </c>
      <c r="BB129" s="12"/>
      <c r="BC129" s="12">
        <f t="shared" si="16"/>
        <v>0</v>
      </c>
      <c r="BD129" s="12">
        <f t="shared" si="17"/>
        <v>0</v>
      </c>
      <c r="BE129" s="12">
        <f t="shared" si="18"/>
        <v>86.3</v>
      </c>
    </row>
    <row r="130" spans="1:57" ht="15.75" customHeight="1" x14ac:dyDescent="0.25">
      <c r="A130" s="1" t="s">
        <v>230</v>
      </c>
      <c r="B130" s="4" t="s">
        <v>106</v>
      </c>
      <c r="C130" s="4" t="s">
        <v>87</v>
      </c>
      <c r="D130" s="4">
        <v>4</v>
      </c>
      <c r="E130" s="4">
        <v>143</v>
      </c>
      <c r="F130" s="4">
        <v>4</v>
      </c>
      <c r="G130" s="4">
        <v>143</v>
      </c>
      <c r="H130" s="4">
        <v>0.38900000000000001</v>
      </c>
      <c r="I130" s="4">
        <v>15</v>
      </c>
      <c r="J130" s="4"/>
      <c r="K130" s="4">
        <v>0.5</v>
      </c>
      <c r="L130" s="4">
        <v>0.27800000000000002</v>
      </c>
      <c r="M130" s="4">
        <v>0.111</v>
      </c>
      <c r="N130" s="4">
        <v>0</v>
      </c>
      <c r="O130" s="4">
        <v>0.111</v>
      </c>
      <c r="P130" s="4">
        <v>0.5</v>
      </c>
      <c r="Q130" s="4"/>
      <c r="R130" s="4">
        <v>0.51900000000000002</v>
      </c>
      <c r="S130" s="4">
        <v>0.66700000000000004</v>
      </c>
      <c r="T130" s="4">
        <v>0.33300000000000002</v>
      </c>
      <c r="U130" s="4">
        <v>0</v>
      </c>
      <c r="V130" s="4">
        <v>0.33300000000000002</v>
      </c>
      <c r="W130" s="4">
        <v>0.25900000000000001</v>
      </c>
      <c r="X130" s="4"/>
      <c r="Y130" s="4">
        <v>0.35699999999999998</v>
      </c>
      <c r="Z130" s="4">
        <v>0.71399999999999997</v>
      </c>
      <c r="AA130" s="4"/>
      <c r="AB130" s="4">
        <v>0.185</v>
      </c>
      <c r="AC130" s="4">
        <v>0</v>
      </c>
      <c r="AD130" s="10">
        <f t="shared" si="12"/>
        <v>0.53549999999999998</v>
      </c>
      <c r="AE130" s="9"/>
      <c r="AF130" s="9"/>
      <c r="AG130" s="12">
        <f t="shared" si="13"/>
        <v>0</v>
      </c>
      <c r="AH130" s="12">
        <f t="shared" si="13"/>
        <v>3.8</v>
      </c>
      <c r="AI130" s="12">
        <f t="shared" si="13"/>
        <v>35.099999999999994</v>
      </c>
      <c r="AJ130" s="12">
        <f t="shared" si="13"/>
        <v>76.3</v>
      </c>
      <c r="AK130" s="12"/>
      <c r="AL130" s="12">
        <f t="shared" si="21"/>
        <v>9.1</v>
      </c>
      <c r="AM130" s="12">
        <f t="shared" si="21"/>
        <v>57.199999999999996</v>
      </c>
      <c r="AN130" s="12">
        <f t="shared" si="21"/>
        <v>19.8</v>
      </c>
      <c r="AO130" s="12">
        <f t="shared" si="19"/>
        <v>0</v>
      </c>
      <c r="AP130" s="12">
        <f t="shared" si="19"/>
        <v>28.199999999999996</v>
      </c>
      <c r="AQ130" s="12">
        <f t="shared" si="19"/>
        <v>90.8</v>
      </c>
      <c r="AR130" s="12"/>
      <c r="AS130" s="12">
        <f t="shared" si="22"/>
        <v>87</v>
      </c>
      <c r="AT130" s="12">
        <f t="shared" si="22"/>
        <v>64.8</v>
      </c>
      <c r="AU130" s="12">
        <f t="shared" si="22"/>
        <v>39.6</v>
      </c>
      <c r="AV130" s="12">
        <f t="shared" si="20"/>
        <v>0</v>
      </c>
      <c r="AW130" s="12">
        <f t="shared" si="20"/>
        <v>44.2</v>
      </c>
      <c r="AX130" s="12">
        <f t="shared" si="20"/>
        <v>49.6</v>
      </c>
      <c r="AY130" s="12"/>
      <c r="AZ130" s="12">
        <f t="shared" si="14"/>
        <v>77.099999999999994</v>
      </c>
      <c r="BA130" s="12">
        <f t="shared" si="15"/>
        <v>55</v>
      </c>
      <c r="BB130" s="12"/>
      <c r="BC130" s="12">
        <f t="shared" si="16"/>
        <v>70.199999999999989</v>
      </c>
      <c r="BD130" s="12">
        <f t="shared" si="17"/>
        <v>0</v>
      </c>
      <c r="BE130" s="12">
        <f t="shared" si="18"/>
        <v>67.199999999999989</v>
      </c>
    </row>
    <row r="131" spans="1:57" ht="15.75" customHeight="1" x14ac:dyDescent="0.25">
      <c r="A131" s="1" t="s">
        <v>231</v>
      </c>
      <c r="B131" s="3" t="s">
        <v>91</v>
      </c>
      <c r="C131" s="4" t="s">
        <v>8</v>
      </c>
      <c r="D131" s="4">
        <v>23</v>
      </c>
      <c r="E131" s="4">
        <v>130</v>
      </c>
      <c r="F131" s="4">
        <v>23</v>
      </c>
      <c r="G131" s="4">
        <v>130</v>
      </c>
      <c r="H131" s="4">
        <v>0.25800000000000001</v>
      </c>
      <c r="I131" s="4">
        <v>13.9</v>
      </c>
      <c r="J131" s="4"/>
      <c r="K131" s="4">
        <v>0.61299999999999999</v>
      </c>
      <c r="L131" s="4">
        <v>0.22600000000000001</v>
      </c>
      <c r="M131" s="4">
        <v>0.19400000000000001</v>
      </c>
      <c r="N131" s="4">
        <v>6.5000000000000002E-2</v>
      </c>
      <c r="O131" s="4">
        <v>0.129</v>
      </c>
      <c r="P131" s="4">
        <v>0.38700000000000001</v>
      </c>
      <c r="Q131" s="4"/>
      <c r="R131" s="4">
        <v>0.26300000000000001</v>
      </c>
      <c r="S131" s="4">
        <v>0.28599999999999998</v>
      </c>
      <c r="T131" s="4">
        <v>0.33300000000000002</v>
      </c>
      <c r="U131" s="4">
        <v>0</v>
      </c>
      <c r="V131" s="4">
        <v>0.25</v>
      </c>
      <c r="W131" s="4">
        <v>0.25</v>
      </c>
      <c r="X131" s="4"/>
      <c r="Y131" s="4">
        <v>0.6</v>
      </c>
      <c r="Z131" s="4">
        <v>0.66700000000000004</v>
      </c>
      <c r="AA131" s="4"/>
      <c r="AB131" s="4">
        <v>0</v>
      </c>
      <c r="AC131" s="4">
        <v>0</v>
      </c>
      <c r="AD131" s="10">
        <f t="shared" si="12"/>
        <v>0.62592899999999996</v>
      </c>
      <c r="AE131" s="9"/>
      <c r="AF131" s="9"/>
      <c r="AG131" s="12">
        <f t="shared" si="13"/>
        <v>17.5</v>
      </c>
      <c r="AH131" s="12">
        <f t="shared" si="13"/>
        <v>3</v>
      </c>
      <c r="AI131" s="12">
        <f t="shared" si="13"/>
        <v>1.5</v>
      </c>
      <c r="AJ131" s="12">
        <f t="shared" si="13"/>
        <v>67.100000000000009</v>
      </c>
      <c r="AK131" s="12"/>
      <c r="AL131" s="12">
        <f t="shared" si="21"/>
        <v>20.599999999999998</v>
      </c>
      <c r="AM131" s="12">
        <f t="shared" si="21"/>
        <v>37.4</v>
      </c>
      <c r="AN131" s="12">
        <f t="shared" si="21"/>
        <v>54.900000000000006</v>
      </c>
      <c r="AO131" s="12">
        <f t="shared" si="19"/>
        <v>16.7</v>
      </c>
      <c r="AP131" s="12">
        <f t="shared" si="19"/>
        <v>34.300000000000004</v>
      </c>
      <c r="AQ131" s="12">
        <f t="shared" si="19"/>
        <v>78.600000000000009</v>
      </c>
      <c r="AR131" s="12"/>
      <c r="AS131" s="12">
        <f t="shared" si="22"/>
        <v>1.5</v>
      </c>
      <c r="AT131" s="12">
        <f t="shared" si="22"/>
        <v>3.8</v>
      </c>
      <c r="AU131" s="12">
        <f t="shared" si="22"/>
        <v>39.6</v>
      </c>
      <c r="AV131" s="12">
        <f t="shared" si="20"/>
        <v>0</v>
      </c>
      <c r="AW131" s="12">
        <f t="shared" si="20"/>
        <v>20.599999999999998</v>
      </c>
      <c r="AX131" s="12">
        <f t="shared" si="20"/>
        <v>44.2</v>
      </c>
      <c r="AY131" s="12"/>
      <c r="AZ131" s="12">
        <f t="shared" si="14"/>
        <v>42.800000000000004</v>
      </c>
      <c r="BA131" s="12">
        <f t="shared" si="15"/>
        <v>61.9</v>
      </c>
      <c r="BB131" s="12"/>
      <c r="BC131" s="12">
        <f t="shared" si="16"/>
        <v>0</v>
      </c>
      <c r="BD131" s="12">
        <f t="shared" si="17"/>
        <v>0</v>
      </c>
      <c r="BE131" s="12">
        <f t="shared" si="18"/>
        <v>48.9</v>
      </c>
    </row>
    <row r="132" spans="1:57" ht="15.75" customHeight="1" x14ac:dyDescent="0.25">
      <c r="A132" s="1" t="s">
        <v>232</v>
      </c>
      <c r="B132" s="3" t="s">
        <v>108</v>
      </c>
      <c r="C132" s="4" t="s">
        <v>92</v>
      </c>
      <c r="D132" s="4">
        <v>17</v>
      </c>
      <c r="E132" s="4">
        <v>122</v>
      </c>
      <c r="F132" s="4">
        <v>17</v>
      </c>
      <c r="G132" s="4">
        <v>122</v>
      </c>
      <c r="H132" s="4">
        <v>0.38500000000000001</v>
      </c>
      <c r="I132" s="4">
        <v>11.1</v>
      </c>
      <c r="J132" s="4"/>
      <c r="K132" s="4">
        <v>1</v>
      </c>
      <c r="L132" s="4">
        <v>0.20499999999999999</v>
      </c>
      <c r="M132" s="4">
        <v>0.17899999999999999</v>
      </c>
      <c r="N132" s="4">
        <v>0.308</v>
      </c>
      <c r="O132" s="4">
        <v>0.308</v>
      </c>
      <c r="P132" s="4">
        <v>0</v>
      </c>
      <c r="Q132" s="4"/>
      <c r="R132" s="4">
        <v>0.38500000000000001</v>
      </c>
      <c r="S132" s="4">
        <v>0.625</v>
      </c>
      <c r="T132" s="4">
        <v>0.14299999999999999</v>
      </c>
      <c r="U132" s="4">
        <v>0.33300000000000002</v>
      </c>
      <c r="V132" s="4">
        <v>0.41699999999999998</v>
      </c>
      <c r="W132" s="4">
        <v>0</v>
      </c>
      <c r="X132" s="4"/>
      <c r="Y132" s="4">
        <v>0.8</v>
      </c>
      <c r="Z132" s="4">
        <v>0</v>
      </c>
      <c r="AA132" s="4"/>
      <c r="AB132" s="4">
        <v>0</v>
      </c>
      <c r="AC132" s="4">
        <v>0</v>
      </c>
      <c r="AD132" s="10">
        <f t="shared" si="12"/>
        <v>0.8</v>
      </c>
      <c r="AE132" s="9"/>
      <c r="AF132" s="9"/>
      <c r="AG132" s="12">
        <f t="shared" si="13"/>
        <v>9.1</v>
      </c>
      <c r="AH132" s="12">
        <f t="shared" si="13"/>
        <v>2.1999999999999997</v>
      </c>
      <c r="AI132" s="12">
        <f t="shared" si="13"/>
        <v>32.800000000000004</v>
      </c>
      <c r="AJ132" s="12">
        <f t="shared" ref="AJ132:AJ135" si="23">(PERCENTRANK(I$4:I$298,I132))*100</f>
        <v>34.300000000000004</v>
      </c>
      <c r="AK132" s="12"/>
      <c r="AL132" s="12">
        <f t="shared" si="21"/>
        <v>83.2</v>
      </c>
      <c r="AM132" s="12">
        <f t="shared" si="21"/>
        <v>32.800000000000004</v>
      </c>
      <c r="AN132" s="12">
        <f t="shared" si="21"/>
        <v>51.9</v>
      </c>
      <c r="AO132" s="12">
        <f t="shared" si="19"/>
        <v>97.7</v>
      </c>
      <c r="AP132" s="12">
        <f t="shared" si="19"/>
        <v>86.2</v>
      </c>
      <c r="AQ132" s="12">
        <f t="shared" si="19"/>
        <v>0</v>
      </c>
      <c r="AR132" s="12"/>
      <c r="AS132" s="12">
        <f t="shared" si="22"/>
        <v>21.3</v>
      </c>
      <c r="AT132" s="12">
        <f t="shared" si="22"/>
        <v>59.5</v>
      </c>
      <c r="AU132" s="12">
        <f t="shared" si="22"/>
        <v>4.5</v>
      </c>
      <c r="AV132" s="12">
        <f t="shared" si="20"/>
        <v>45</v>
      </c>
      <c r="AW132" s="12">
        <f t="shared" si="20"/>
        <v>74</v>
      </c>
      <c r="AX132" s="12">
        <f t="shared" si="20"/>
        <v>0</v>
      </c>
      <c r="AY132" s="12"/>
      <c r="AZ132" s="12">
        <f t="shared" si="14"/>
        <v>6.8999999999999915</v>
      </c>
      <c r="BA132" s="12">
        <f t="shared" si="15"/>
        <v>100</v>
      </c>
      <c r="BB132" s="12"/>
      <c r="BC132" s="12">
        <f t="shared" si="16"/>
        <v>0</v>
      </c>
      <c r="BD132" s="12">
        <f t="shared" si="17"/>
        <v>0</v>
      </c>
      <c r="BE132" s="12">
        <f t="shared" si="18"/>
        <v>12.299999999999997</v>
      </c>
    </row>
    <row r="133" spans="1:57" ht="15.75" customHeight="1" x14ac:dyDescent="0.25">
      <c r="A133" s="1" t="s">
        <v>233</v>
      </c>
      <c r="B133" s="3" t="s">
        <v>99</v>
      </c>
      <c r="C133" s="4" t="s">
        <v>115</v>
      </c>
      <c r="D133" s="4">
        <v>16</v>
      </c>
      <c r="E133" s="4">
        <v>121</v>
      </c>
      <c r="F133" s="4">
        <v>16</v>
      </c>
      <c r="G133" s="4">
        <v>121</v>
      </c>
      <c r="H133" s="4">
        <v>0.316</v>
      </c>
      <c r="I133" s="4">
        <v>17.5</v>
      </c>
      <c r="J133" s="4"/>
      <c r="K133" s="4">
        <v>0.73699999999999999</v>
      </c>
      <c r="L133" s="4">
        <v>0</v>
      </c>
      <c r="M133" s="4">
        <v>0.158</v>
      </c>
      <c r="N133" s="4">
        <v>0.158</v>
      </c>
      <c r="O133" s="4">
        <v>0.42099999999999999</v>
      </c>
      <c r="P133" s="4">
        <v>0.26300000000000001</v>
      </c>
      <c r="Q133" s="4"/>
      <c r="R133" s="4">
        <v>0.28599999999999998</v>
      </c>
      <c r="S133" s="4">
        <v>0</v>
      </c>
      <c r="T133" s="4">
        <v>0.66700000000000004</v>
      </c>
      <c r="U133" s="4">
        <v>0.33300000000000002</v>
      </c>
      <c r="V133" s="4">
        <v>0.125</v>
      </c>
      <c r="W133" s="4">
        <v>0.4</v>
      </c>
      <c r="X133" s="4"/>
      <c r="Y133" s="4">
        <v>1</v>
      </c>
      <c r="Z133" s="4">
        <v>1</v>
      </c>
      <c r="AA133" s="4"/>
      <c r="AB133" s="4">
        <v>0</v>
      </c>
      <c r="AC133" s="4">
        <v>0</v>
      </c>
      <c r="AD133" s="10">
        <f t="shared" ref="AD133:AD135" si="24">(K133*Y133+P133*Z133)</f>
        <v>1</v>
      </c>
      <c r="AE133" s="9"/>
      <c r="AF133" s="9"/>
      <c r="AG133" s="12">
        <f t="shared" ref="AG133:AI135" si="25">(PERCENTRANK(F$4:F$298,F133))*100</f>
        <v>6.8000000000000007</v>
      </c>
      <c r="AH133" s="12">
        <f t="shared" si="25"/>
        <v>1.5</v>
      </c>
      <c r="AI133" s="12">
        <f t="shared" si="25"/>
        <v>6.8000000000000007</v>
      </c>
      <c r="AJ133" s="12">
        <f t="shared" si="23"/>
        <v>89.3</v>
      </c>
      <c r="AK133" s="12"/>
      <c r="AL133" s="12">
        <f t="shared" si="21"/>
        <v>38.1</v>
      </c>
      <c r="AM133" s="12">
        <f t="shared" si="21"/>
        <v>0</v>
      </c>
      <c r="AN133" s="12">
        <f t="shared" si="21"/>
        <v>41.9</v>
      </c>
      <c r="AO133" s="12">
        <f t="shared" si="19"/>
        <v>68.7</v>
      </c>
      <c r="AP133" s="12">
        <f t="shared" si="19"/>
        <v>99.2</v>
      </c>
      <c r="AQ133" s="12">
        <f t="shared" si="19"/>
        <v>61.8</v>
      </c>
      <c r="AR133" s="12"/>
      <c r="AS133" s="12">
        <f t="shared" si="22"/>
        <v>3.8</v>
      </c>
      <c r="AT133" s="12">
        <f t="shared" si="22"/>
        <v>0</v>
      </c>
      <c r="AU133" s="12">
        <f t="shared" si="22"/>
        <v>100</v>
      </c>
      <c r="AV133" s="12">
        <f t="shared" si="20"/>
        <v>45</v>
      </c>
      <c r="AW133" s="12">
        <f t="shared" si="20"/>
        <v>6.1</v>
      </c>
      <c r="AX133" s="12">
        <f t="shared" si="20"/>
        <v>90.8</v>
      </c>
      <c r="AY133" s="12"/>
      <c r="AZ133" s="12">
        <f t="shared" ref="AZ133:AZ135" si="26">100-(PERCENTRANK(Y$4:Y$298,Y133))*100</f>
        <v>0</v>
      </c>
      <c r="BA133" s="12">
        <f t="shared" ref="BA133:BA135" si="27">100-(PERCENTRANK(Z$4:Z$298,Z133))*100</f>
        <v>23</v>
      </c>
      <c r="BB133" s="12"/>
      <c r="BC133" s="12">
        <f t="shared" ref="BC133:BC135" si="28">(PERCENTRANK(AB$4:AB$298,AB133))*100</f>
        <v>0</v>
      </c>
      <c r="BD133" s="12">
        <f t="shared" ref="BD133:BD135" si="29">(PERCENTRANK(AC$4:AC$298,AC133))*100</f>
        <v>0</v>
      </c>
      <c r="BE133" s="12">
        <f t="shared" ref="BE133:BE135" si="30">100-(PERCENTRANK(AD$4:AD$298,AD133))*100</f>
        <v>0</v>
      </c>
    </row>
    <row r="134" spans="1:57" ht="15.75" customHeight="1" x14ac:dyDescent="0.25">
      <c r="A134" s="1" t="s">
        <v>234</v>
      </c>
      <c r="B134" s="3" t="s">
        <v>104</v>
      </c>
      <c r="C134" s="4" t="s">
        <v>8</v>
      </c>
      <c r="D134" s="4">
        <v>4</v>
      </c>
      <c r="E134" s="4">
        <v>118</v>
      </c>
      <c r="F134" s="4">
        <v>4</v>
      </c>
      <c r="G134" s="4">
        <v>118</v>
      </c>
      <c r="H134" s="4">
        <v>0.55000000000000004</v>
      </c>
      <c r="I134" s="4">
        <v>10.4</v>
      </c>
      <c r="J134" s="4"/>
      <c r="K134" s="4">
        <v>0.92500000000000004</v>
      </c>
      <c r="L134" s="4">
        <v>0.3</v>
      </c>
      <c r="M134" s="4">
        <v>0.22500000000000001</v>
      </c>
      <c r="N134" s="4">
        <v>0.15</v>
      </c>
      <c r="O134" s="4">
        <v>0.25</v>
      </c>
      <c r="P134" s="4">
        <v>7.4999999999999997E-2</v>
      </c>
      <c r="Q134" s="4"/>
      <c r="R134" s="4">
        <v>0.56799999999999995</v>
      </c>
      <c r="S134" s="4">
        <v>0.75</v>
      </c>
      <c r="T134" s="4">
        <v>0.55600000000000005</v>
      </c>
      <c r="U134" s="4">
        <v>0.66700000000000004</v>
      </c>
      <c r="V134" s="4">
        <v>0.3</v>
      </c>
      <c r="W134" s="4">
        <v>0.33300000000000002</v>
      </c>
      <c r="X134" s="4"/>
      <c r="Y134" s="4">
        <v>0.28599999999999998</v>
      </c>
      <c r="Z134" s="4">
        <v>1</v>
      </c>
      <c r="AA134" s="4"/>
      <c r="AB134" s="4">
        <v>0</v>
      </c>
      <c r="AC134" s="4">
        <v>0</v>
      </c>
      <c r="AD134" s="10">
        <f t="shared" si="24"/>
        <v>0.33955000000000002</v>
      </c>
      <c r="AE134" s="9"/>
      <c r="AF134" s="9"/>
      <c r="AG134" s="12">
        <f t="shared" si="25"/>
        <v>0</v>
      </c>
      <c r="AH134" s="12">
        <f t="shared" si="25"/>
        <v>0.70000000000000007</v>
      </c>
      <c r="AI134" s="12">
        <f t="shared" si="25"/>
        <v>93.8</v>
      </c>
      <c r="AJ134" s="12">
        <f t="shared" si="23"/>
        <v>32</v>
      </c>
      <c r="AK134" s="12"/>
      <c r="AL134" s="12">
        <f t="shared" si="21"/>
        <v>64.8</v>
      </c>
      <c r="AM134" s="12">
        <f t="shared" si="21"/>
        <v>63.3</v>
      </c>
      <c r="AN134" s="12">
        <f t="shared" si="21"/>
        <v>70.899999999999991</v>
      </c>
      <c r="AO134" s="12">
        <f t="shared" si="19"/>
        <v>66.400000000000006</v>
      </c>
      <c r="AP134" s="12">
        <f t="shared" si="19"/>
        <v>70.899999999999991</v>
      </c>
      <c r="AQ134" s="12">
        <f t="shared" si="19"/>
        <v>35.099999999999994</v>
      </c>
      <c r="AR134" s="12"/>
      <c r="AS134" s="12">
        <f t="shared" si="22"/>
        <v>96.1</v>
      </c>
      <c r="AT134" s="12">
        <f t="shared" si="22"/>
        <v>89.3</v>
      </c>
      <c r="AU134" s="12">
        <f t="shared" si="22"/>
        <v>98.4</v>
      </c>
      <c r="AV134" s="12">
        <f t="shared" si="20"/>
        <v>99.2</v>
      </c>
      <c r="AW134" s="12">
        <f t="shared" si="20"/>
        <v>32.800000000000004</v>
      </c>
      <c r="AX134" s="12">
        <f t="shared" si="20"/>
        <v>71.7</v>
      </c>
      <c r="AY134" s="12"/>
      <c r="AZ134" s="12">
        <f t="shared" si="26"/>
        <v>81.7</v>
      </c>
      <c r="BA134" s="12">
        <f t="shared" si="27"/>
        <v>23</v>
      </c>
      <c r="BB134" s="12"/>
      <c r="BC134" s="12">
        <f t="shared" si="28"/>
        <v>0</v>
      </c>
      <c r="BD134" s="12">
        <f t="shared" si="29"/>
        <v>0</v>
      </c>
      <c r="BE134" s="12">
        <f t="shared" si="30"/>
        <v>93.9</v>
      </c>
    </row>
    <row r="135" spans="1:57" ht="15.75" customHeight="1" x14ac:dyDescent="0.25">
      <c r="A135" s="1" t="s">
        <v>235</v>
      </c>
      <c r="B135" s="3" t="s">
        <v>171</v>
      </c>
      <c r="C135" s="4" t="s">
        <v>8</v>
      </c>
      <c r="D135" s="4">
        <v>11</v>
      </c>
      <c r="E135" s="4">
        <v>109</v>
      </c>
      <c r="F135" s="4">
        <v>11</v>
      </c>
      <c r="G135" s="4">
        <v>109</v>
      </c>
      <c r="H135" s="4">
        <v>0.32</v>
      </c>
      <c r="I135" s="4">
        <v>16.2</v>
      </c>
      <c r="J135" s="4"/>
      <c r="K135" s="4">
        <v>0.8</v>
      </c>
      <c r="L135" s="4">
        <v>0.08</v>
      </c>
      <c r="M135" s="4">
        <v>0.2</v>
      </c>
      <c r="N135" s="4">
        <v>0.04</v>
      </c>
      <c r="O135" s="4">
        <v>0.48</v>
      </c>
      <c r="P135" s="4">
        <v>0.2</v>
      </c>
      <c r="Q135" s="4"/>
      <c r="R135" s="4">
        <v>0.4</v>
      </c>
      <c r="S135" s="4">
        <v>1</v>
      </c>
      <c r="T135" s="4">
        <v>0.4</v>
      </c>
      <c r="U135" s="4">
        <v>0</v>
      </c>
      <c r="V135" s="4">
        <v>0.33300000000000002</v>
      </c>
      <c r="W135" s="4">
        <v>0</v>
      </c>
      <c r="X135" s="4"/>
      <c r="Y135" s="4">
        <v>0.375</v>
      </c>
      <c r="Z135" s="4">
        <v>0</v>
      </c>
      <c r="AA135" s="4"/>
      <c r="AB135" s="4">
        <v>0.2</v>
      </c>
      <c r="AC135" s="4">
        <v>0</v>
      </c>
      <c r="AD135" s="10">
        <f t="shared" si="24"/>
        <v>0.30000000000000004</v>
      </c>
      <c r="AE135" s="9"/>
      <c r="AF135" s="9"/>
      <c r="AG135" s="12">
        <f t="shared" si="25"/>
        <v>3.8</v>
      </c>
      <c r="AH135" s="12">
        <f t="shared" si="25"/>
        <v>0</v>
      </c>
      <c r="AI135" s="12">
        <f t="shared" si="25"/>
        <v>9.1</v>
      </c>
      <c r="AJ135" s="12">
        <f t="shared" si="23"/>
        <v>83.2</v>
      </c>
      <c r="AK135" s="12"/>
      <c r="AL135" s="12">
        <f t="shared" si="21"/>
        <v>51.9</v>
      </c>
      <c r="AM135" s="12">
        <f t="shared" si="21"/>
        <v>5.3</v>
      </c>
      <c r="AN135" s="12">
        <f t="shared" si="21"/>
        <v>60.3</v>
      </c>
      <c r="AO135" s="12">
        <f t="shared" si="19"/>
        <v>7.6</v>
      </c>
      <c r="AP135" s="12">
        <f t="shared" si="19"/>
        <v>100</v>
      </c>
      <c r="AQ135" s="12">
        <f t="shared" si="19"/>
        <v>48</v>
      </c>
      <c r="AR135" s="12"/>
      <c r="AS135" s="12">
        <f t="shared" si="22"/>
        <v>30.5</v>
      </c>
      <c r="AT135" s="12">
        <f t="shared" si="22"/>
        <v>99.2</v>
      </c>
      <c r="AU135" s="12">
        <f t="shared" si="22"/>
        <v>69.399999999999991</v>
      </c>
      <c r="AV135" s="12">
        <f t="shared" si="20"/>
        <v>0</v>
      </c>
      <c r="AW135" s="12">
        <f t="shared" si="20"/>
        <v>44.2</v>
      </c>
      <c r="AX135" s="12">
        <f t="shared" si="20"/>
        <v>0</v>
      </c>
      <c r="AY135" s="12"/>
      <c r="AZ135" s="12">
        <f t="shared" si="26"/>
        <v>74.099999999999994</v>
      </c>
      <c r="BA135" s="12">
        <f t="shared" si="27"/>
        <v>100</v>
      </c>
      <c r="BB135" s="12"/>
      <c r="BC135" s="12">
        <f t="shared" si="28"/>
        <v>73.2</v>
      </c>
      <c r="BD135" s="12">
        <f t="shared" si="29"/>
        <v>0</v>
      </c>
      <c r="BE135" s="12">
        <f t="shared" si="30"/>
        <v>97.8</v>
      </c>
    </row>
    <row r="136" spans="1:57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/>
      <c r="AE136" s="9"/>
      <c r="AF136" s="9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2026-04-02T12:22:48Z</dcterms:modified>
</cp:coreProperties>
</file>