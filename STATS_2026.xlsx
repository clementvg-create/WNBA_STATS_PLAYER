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D:\Swish Swish\"/>
    </mc:Choice>
  </mc:AlternateContent>
  <xr:revisionPtr revIDLastSave="0" documentId="13_ncr:1_{9F752463-430B-46BF-9803-D34599BB27F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BE142" i="6" l="1"/>
  <c r="BE143" i="6"/>
  <c r="BE144" i="6"/>
  <c r="BE145" i="6"/>
  <c r="BE146" i="6"/>
  <c r="BE147" i="6"/>
  <c r="BE148" i="6"/>
  <c r="BE149" i="6"/>
  <c r="BE150" i="6"/>
  <c r="BE151" i="6"/>
  <c r="BE152" i="6"/>
  <c r="BE153" i="6"/>
  <c r="BE154" i="6"/>
  <c r="BE155" i="6"/>
  <c r="BE156" i="6"/>
  <c r="BE157" i="6"/>
  <c r="BE158" i="6"/>
  <c r="BE159" i="6"/>
  <c r="BE160" i="6"/>
  <c r="BE161" i="6"/>
  <c r="BE162" i="6"/>
  <c r="BE163" i="6"/>
  <c r="BE164" i="6"/>
  <c r="BE165" i="6"/>
  <c r="BD142" i="6"/>
  <c r="BD143" i="6"/>
  <c r="BD144" i="6"/>
  <c r="BD145" i="6"/>
  <c r="BD146" i="6"/>
  <c r="BD147" i="6"/>
  <c r="BD148" i="6"/>
  <c r="BD149" i="6"/>
  <c r="BD150" i="6"/>
  <c r="BD151" i="6"/>
  <c r="BD152" i="6"/>
  <c r="BD153" i="6"/>
  <c r="BD154" i="6"/>
  <c r="BD155" i="6"/>
  <c r="BD156" i="6"/>
  <c r="BD157" i="6"/>
  <c r="BD158" i="6"/>
  <c r="BD159" i="6"/>
  <c r="BD160" i="6"/>
  <c r="BD161" i="6"/>
  <c r="BD162" i="6"/>
  <c r="BD163" i="6"/>
  <c r="BD164" i="6"/>
  <c r="BD165" i="6"/>
  <c r="BC142" i="6"/>
  <c r="BC143" i="6"/>
  <c r="BC144" i="6"/>
  <c r="BC145" i="6"/>
  <c r="BC146" i="6"/>
  <c r="BC147" i="6"/>
  <c r="BC148" i="6"/>
  <c r="BC149" i="6"/>
  <c r="BC150" i="6"/>
  <c r="BC151" i="6"/>
  <c r="BC152" i="6"/>
  <c r="BC153" i="6"/>
  <c r="BC154" i="6"/>
  <c r="BC155" i="6"/>
  <c r="BC156" i="6"/>
  <c r="BC157" i="6"/>
  <c r="BC158" i="6"/>
  <c r="BC159" i="6"/>
  <c r="BC160" i="6"/>
  <c r="BC161" i="6"/>
  <c r="BC162" i="6"/>
  <c r="BC163" i="6"/>
  <c r="BC164" i="6"/>
  <c r="BC165" i="6"/>
  <c r="BA142" i="6"/>
  <c r="BA143" i="6"/>
  <c r="BA144" i="6"/>
  <c r="BA145" i="6"/>
  <c r="BA146" i="6"/>
  <c r="BA147" i="6"/>
  <c r="BA148" i="6"/>
  <c r="BA149" i="6"/>
  <c r="BA150" i="6"/>
  <c r="BA151" i="6"/>
  <c r="BA152" i="6"/>
  <c r="BA153" i="6"/>
  <c r="BA154" i="6"/>
  <c r="BA155" i="6"/>
  <c r="BA156" i="6"/>
  <c r="BA157" i="6"/>
  <c r="BA158" i="6"/>
  <c r="BA159" i="6"/>
  <c r="BA160" i="6"/>
  <c r="BA161" i="6"/>
  <c r="BA162" i="6"/>
  <c r="BA163" i="6"/>
  <c r="BA164" i="6"/>
  <c r="BA165" i="6"/>
  <c r="AZ142" i="6"/>
  <c r="AZ143" i="6"/>
  <c r="AZ144" i="6"/>
  <c r="AZ145" i="6"/>
  <c r="AZ146" i="6"/>
  <c r="AZ147" i="6"/>
  <c r="AZ148" i="6"/>
  <c r="AZ149" i="6"/>
  <c r="AZ150" i="6"/>
  <c r="AZ151" i="6"/>
  <c r="AZ152" i="6"/>
  <c r="AZ153" i="6"/>
  <c r="AZ154" i="6"/>
  <c r="AZ155" i="6"/>
  <c r="AZ156" i="6"/>
  <c r="AZ157" i="6"/>
  <c r="AZ158" i="6"/>
  <c r="AZ159" i="6"/>
  <c r="AZ160" i="6"/>
  <c r="AZ161" i="6"/>
  <c r="AZ162" i="6"/>
  <c r="AZ163" i="6"/>
  <c r="AZ164" i="6"/>
  <c r="AZ165" i="6"/>
  <c r="AX142" i="6"/>
  <c r="AX143" i="6"/>
  <c r="AX144" i="6"/>
  <c r="AX145" i="6"/>
  <c r="AX146" i="6"/>
  <c r="AX147" i="6"/>
  <c r="AX148" i="6"/>
  <c r="AX149" i="6"/>
  <c r="AX150" i="6"/>
  <c r="AX151" i="6"/>
  <c r="AX152" i="6"/>
  <c r="AX153" i="6"/>
  <c r="AX154" i="6"/>
  <c r="AX155" i="6"/>
  <c r="AX156" i="6"/>
  <c r="AX157" i="6"/>
  <c r="AX158" i="6"/>
  <c r="AX159" i="6"/>
  <c r="AX160" i="6"/>
  <c r="AX161" i="6"/>
  <c r="AX162" i="6"/>
  <c r="AX163" i="6"/>
  <c r="AX164" i="6"/>
  <c r="AX165" i="6"/>
  <c r="AW142" i="6"/>
  <c r="AW143" i="6"/>
  <c r="AW144" i="6"/>
  <c r="AW145" i="6"/>
  <c r="AW146" i="6"/>
  <c r="AW147" i="6"/>
  <c r="AW148" i="6"/>
  <c r="AW149" i="6"/>
  <c r="AW150" i="6"/>
  <c r="AW151" i="6"/>
  <c r="AW152" i="6"/>
  <c r="AW153" i="6"/>
  <c r="AW154" i="6"/>
  <c r="AW155" i="6"/>
  <c r="AW156" i="6"/>
  <c r="AW157" i="6"/>
  <c r="AW158" i="6"/>
  <c r="AW159" i="6"/>
  <c r="AW160" i="6"/>
  <c r="AW161" i="6"/>
  <c r="AW162" i="6"/>
  <c r="AW163" i="6"/>
  <c r="AW164" i="6"/>
  <c r="AW165" i="6"/>
  <c r="AV142" i="6"/>
  <c r="AV143" i="6"/>
  <c r="AV144" i="6"/>
  <c r="AV145" i="6"/>
  <c r="AV146" i="6"/>
  <c r="AV147" i="6"/>
  <c r="AV148" i="6"/>
  <c r="AV149" i="6"/>
  <c r="AV150" i="6"/>
  <c r="AV151" i="6"/>
  <c r="AV152" i="6"/>
  <c r="AV153" i="6"/>
  <c r="AV154" i="6"/>
  <c r="AV155" i="6"/>
  <c r="AV156" i="6"/>
  <c r="AV157" i="6"/>
  <c r="AV158" i="6"/>
  <c r="AV159" i="6"/>
  <c r="AV160" i="6"/>
  <c r="AV161" i="6"/>
  <c r="AV162" i="6"/>
  <c r="AV163" i="6"/>
  <c r="AV164" i="6"/>
  <c r="AV165" i="6"/>
  <c r="AU142" i="6"/>
  <c r="AU143" i="6"/>
  <c r="AU144" i="6"/>
  <c r="AU145" i="6"/>
  <c r="AU146" i="6"/>
  <c r="AU147" i="6"/>
  <c r="AU148" i="6"/>
  <c r="AU149" i="6"/>
  <c r="AU150" i="6"/>
  <c r="AU151" i="6"/>
  <c r="AU152" i="6"/>
  <c r="AU153" i="6"/>
  <c r="AU154" i="6"/>
  <c r="AU155" i="6"/>
  <c r="AU156" i="6"/>
  <c r="AU157" i="6"/>
  <c r="AU158" i="6"/>
  <c r="AU159" i="6"/>
  <c r="AU160" i="6"/>
  <c r="AU161" i="6"/>
  <c r="AU162" i="6"/>
  <c r="AU163" i="6"/>
  <c r="AU164" i="6"/>
  <c r="AU165" i="6"/>
  <c r="AT142" i="6"/>
  <c r="AT143" i="6"/>
  <c r="AT144" i="6"/>
  <c r="AT145" i="6"/>
  <c r="AT146" i="6"/>
  <c r="AT147" i="6"/>
  <c r="AT148" i="6"/>
  <c r="AT149" i="6"/>
  <c r="AT150" i="6"/>
  <c r="AT151" i="6"/>
  <c r="AT152" i="6"/>
  <c r="AT153" i="6"/>
  <c r="AT154" i="6"/>
  <c r="AT155" i="6"/>
  <c r="AT156" i="6"/>
  <c r="AT157" i="6"/>
  <c r="AT158" i="6"/>
  <c r="AT159" i="6"/>
  <c r="AT160" i="6"/>
  <c r="AT161" i="6"/>
  <c r="AT162" i="6"/>
  <c r="AT163" i="6"/>
  <c r="AT164" i="6"/>
  <c r="AT165" i="6"/>
  <c r="AS142" i="6"/>
  <c r="AS143" i="6"/>
  <c r="AS144" i="6"/>
  <c r="AS145" i="6"/>
  <c r="AS146" i="6"/>
  <c r="AS147" i="6"/>
  <c r="AS148" i="6"/>
  <c r="AS149" i="6"/>
  <c r="AS150" i="6"/>
  <c r="AS151" i="6"/>
  <c r="AS152" i="6"/>
  <c r="AS153" i="6"/>
  <c r="AS154" i="6"/>
  <c r="AS155" i="6"/>
  <c r="AS156" i="6"/>
  <c r="AS157" i="6"/>
  <c r="AS158" i="6"/>
  <c r="AS159" i="6"/>
  <c r="AS160" i="6"/>
  <c r="AS161" i="6"/>
  <c r="AS162" i="6"/>
  <c r="AS163" i="6"/>
  <c r="AS164" i="6"/>
  <c r="AS165" i="6"/>
  <c r="AQ142" i="6"/>
  <c r="AQ143" i="6"/>
  <c r="AQ144" i="6"/>
  <c r="AQ145" i="6"/>
  <c r="AQ146" i="6"/>
  <c r="AQ147" i="6"/>
  <c r="AQ148" i="6"/>
  <c r="AQ149" i="6"/>
  <c r="AQ150" i="6"/>
  <c r="AQ151" i="6"/>
  <c r="AQ152" i="6"/>
  <c r="AQ153" i="6"/>
  <c r="AQ154" i="6"/>
  <c r="AQ155" i="6"/>
  <c r="AQ156" i="6"/>
  <c r="AQ157" i="6"/>
  <c r="AQ158" i="6"/>
  <c r="AQ159" i="6"/>
  <c r="AQ160" i="6"/>
  <c r="AQ161" i="6"/>
  <c r="AQ162" i="6"/>
  <c r="AQ163" i="6"/>
  <c r="AQ164" i="6"/>
  <c r="AQ165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P160" i="6"/>
  <c r="AP161" i="6"/>
  <c r="AP162" i="6"/>
  <c r="AP163" i="6"/>
  <c r="AP164" i="6"/>
  <c r="AP165" i="6"/>
  <c r="AO142" i="6"/>
  <c r="AO143" i="6"/>
  <c r="AO144" i="6"/>
  <c r="AO145" i="6"/>
  <c r="AO146" i="6"/>
  <c r="AO147" i="6"/>
  <c r="AO148" i="6"/>
  <c r="AO149" i="6"/>
  <c r="AO150" i="6"/>
  <c r="AO151" i="6"/>
  <c r="AO152" i="6"/>
  <c r="AO153" i="6"/>
  <c r="AO154" i="6"/>
  <c r="AO155" i="6"/>
  <c r="AO156" i="6"/>
  <c r="AO157" i="6"/>
  <c r="AO158" i="6"/>
  <c r="AO159" i="6"/>
  <c r="AO160" i="6"/>
  <c r="AO161" i="6"/>
  <c r="AO162" i="6"/>
  <c r="AO163" i="6"/>
  <c r="AO164" i="6"/>
  <c r="AO165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N160" i="6"/>
  <c r="AN161" i="6"/>
  <c r="AN162" i="6"/>
  <c r="AN163" i="6"/>
  <c r="AN164" i="6"/>
  <c r="AN165" i="6"/>
  <c r="AM142" i="6"/>
  <c r="AM143" i="6"/>
  <c r="AM144" i="6"/>
  <c r="AM145" i="6"/>
  <c r="AM146" i="6"/>
  <c r="AM147" i="6"/>
  <c r="AM148" i="6"/>
  <c r="AM149" i="6"/>
  <c r="AM150" i="6"/>
  <c r="AM151" i="6"/>
  <c r="AM152" i="6"/>
  <c r="AM153" i="6"/>
  <c r="AM154" i="6"/>
  <c r="AM155" i="6"/>
  <c r="AM156" i="6"/>
  <c r="AM157" i="6"/>
  <c r="AM158" i="6"/>
  <c r="AM159" i="6"/>
  <c r="AM160" i="6"/>
  <c r="AM161" i="6"/>
  <c r="AM162" i="6"/>
  <c r="AM163" i="6"/>
  <c r="AM164" i="6"/>
  <c r="AM165" i="6"/>
  <c r="AL142" i="6"/>
  <c r="AL143" i="6"/>
  <c r="AL144" i="6"/>
  <c r="AL145" i="6"/>
  <c r="AL146" i="6"/>
  <c r="AL147" i="6"/>
  <c r="AL148" i="6"/>
  <c r="AL149" i="6"/>
  <c r="AL150" i="6"/>
  <c r="AL151" i="6"/>
  <c r="AL152" i="6"/>
  <c r="AL153" i="6"/>
  <c r="AL154" i="6"/>
  <c r="AL155" i="6"/>
  <c r="AL156" i="6"/>
  <c r="AL157" i="6"/>
  <c r="AL158" i="6"/>
  <c r="AL159" i="6"/>
  <c r="AL160" i="6"/>
  <c r="AL161" i="6"/>
  <c r="AL162" i="6"/>
  <c r="AL163" i="6"/>
  <c r="AL164" i="6"/>
  <c r="AL165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J158" i="6"/>
  <c r="AJ159" i="6"/>
  <c r="AJ160" i="6"/>
  <c r="AJ161" i="6"/>
  <c r="AJ162" i="6"/>
  <c r="AJ163" i="6"/>
  <c r="AJ164" i="6"/>
  <c r="AJ165" i="6"/>
  <c r="AI142" i="6"/>
  <c r="AI143" i="6"/>
  <c r="AI144" i="6"/>
  <c r="AI145" i="6"/>
  <c r="AI146" i="6"/>
  <c r="AI147" i="6"/>
  <c r="AI148" i="6"/>
  <c r="AI149" i="6"/>
  <c r="AI150" i="6"/>
  <c r="AI151" i="6"/>
  <c r="AI152" i="6"/>
  <c r="AI153" i="6"/>
  <c r="AI154" i="6"/>
  <c r="AI155" i="6"/>
  <c r="AI156" i="6"/>
  <c r="AI157" i="6"/>
  <c r="AI158" i="6"/>
  <c r="AI159" i="6"/>
  <c r="AI160" i="6"/>
  <c r="AI161" i="6"/>
  <c r="AI162" i="6"/>
  <c r="AI163" i="6"/>
  <c r="AI164" i="6"/>
  <c r="AI165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H160" i="6"/>
  <c r="AH161" i="6"/>
  <c r="AH162" i="6"/>
  <c r="AH163" i="6"/>
  <c r="AH164" i="6"/>
  <c r="AH165" i="6"/>
  <c r="AG142" i="6"/>
  <c r="AG143" i="6"/>
  <c r="AG144" i="6"/>
  <c r="AG145" i="6"/>
  <c r="AG146" i="6"/>
  <c r="AG147" i="6"/>
  <c r="AG148" i="6"/>
  <c r="AG149" i="6"/>
  <c r="AG150" i="6"/>
  <c r="AG151" i="6"/>
  <c r="AG152" i="6"/>
  <c r="AG153" i="6"/>
  <c r="AG154" i="6"/>
  <c r="AG155" i="6"/>
  <c r="AG156" i="6"/>
  <c r="AG157" i="6"/>
  <c r="AG158" i="6"/>
  <c r="AG159" i="6"/>
  <c r="AG160" i="6"/>
  <c r="AG161" i="6"/>
  <c r="AG162" i="6"/>
  <c r="AG163" i="6"/>
  <c r="AG164" i="6"/>
  <c r="AG165" i="6"/>
  <c r="AD142" i="6"/>
  <c r="AD143" i="6"/>
  <c r="AD144" i="6"/>
  <c r="AD145" i="6"/>
  <c r="AD146" i="6"/>
  <c r="AD147" i="6"/>
  <c r="AD148" i="6"/>
  <c r="AD149" i="6"/>
  <c r="AD150" i="6"/>
  <c r="AD151" i="6"/>
  <c r="AD152" i="6"/>
  <c r="AD153" i="6"/>
  <c r="AD154" i="6"/>
  <c r="AD155" i="6"/>
  <c r="AD156" i="6"/>
  <c r="AD157" i="6"/>
  <c r="AD158" i="6"/>
  <c r="AD159" i="6"/>
  <c r="AD160" i="6"/>
  <c r="AD161" i="6"/>
  <c r="AD162" i="6"/>
  <c r="AD163" i="6"/>
  <c r="AD164" i="6"/>
  <c r="AD165" i="6"/>
  <c r="BI141" i="4"/>
  <c r="BI142" i="4"/>
  <c r="BI143" i="4"/>
  <c r="BI144" i="4"/>
  <c r="BI145" i="4"/>
  <c r="BI146" i="4"/>
  <c r="BI147" i="4"/>
  <c r="BI148" i="4"/>
  <c r="BI149" i="4"/>
  <c r="BI150" i="4"/>
  <c r="BI151" i="4"/>
  <c r="BI152" i="4"/>
  <c r="BI153" i="4"/>
  <c r="BI154" i="4"/>
  <c r="BI155" i="4"/>
  <c r="BI156" i="4"/>
  <c r="BI157" i="4"/>
  <c r="BI158" i="4"/>
  <c r="BI159" i="4"/>
  <c r="BI160" i="4"/>
  <c r="BI161" i="4"/>
  <c r="BI162" i="4"/>
  <c r="BI163" i="4"/>
  <c r="BI164" i="4"/>
  <c r="BH141" i="4"/>
  <c r="BH142" i="4"/>
  <c r="BH143" i="4"/>
  <c r="BH144" i="4"/>
  <c r="BH145" i="4"/>
  <c r="BH146" i="4"/>
  <c r="BH147" i="4"/>
  <c r="BH148" i="4"/>
  <c r="BH149" i="4"/>
  <c r="BH150" i="4"/>
  <c r="BH151" i="4"/>
  <c r="BH152" i="4"/>
  <c r="BH153" i="4"/>
  <c r="BH154" i="4"/>
  <c r="BH155" i="4"/>
  <c r="BH156" i="4"/>
  <c r="BH157" i="4"/>
  <c r="BH158" i="4"/>
  <c r="BH159" i="4"/>
  <c r="BH160" i="4"/>
  <c r="BH161" i="4"/>
  <c r="BH162" i="4"/>
  <c r="BH163" i="4"/>
  <c r="BH164" i="4"/>
  <c r="BG141" i="4"/>
  <c r="BG142" i="4"/>
  <c r="BG143" i="4"/>
  <c r="BG144" i="4"/>
  <c r="BG145" i="4"/>
  <c r="BG146" i="4"/>
  <c r="BG147" i="4"/>
  <c r="BG148" i="4"/>
  <c r="BG149" i="4"/>
  <c r="BG150" i="4"/>
  <c r="BG151" i="4"/>
  <c r="BG152" i="4"/>
  <c r="BG153" i="4"/>
  <c r="BG154" i="4"/>
  <c r="BG155" i="4"/>
  <c r="BG156" i="4"/>
  <c r="BG157" i="4"/>
  <c r="BG158" i="4"/>
  <c r="BG159" i="4"/>
  <c r="BG160" i="4"/>
  <c r="BG161" i="4"/>
  <c r="BG162" i="4"/>
  <c r="BG163" i="4"/>
  <c r="BG164" i="4"/>
  <c r="BF141" i="4"/>
  <c r="BF142" i="4"/>
  <c r="BF143" i="4"/>
  <c r="BF144" i="4"/>
  <c r="BF145" i="4"/>
  <c r="BF146" i="4"/>
  <c r="BF147" i="4"/>
  <c r="BF148" i="4"/>
  <c r="BF149" i="4"/>
  <c r="BF150" i="4"/>
  <c r="BF151" i="4"/>
  <c r="BF152" i="4"/>
  <c r="BF153" i="4"/>
  <c r="BF154" i="4"/>
  <c r="BF155" i="4"/>
  <c r="BF156" i="4"/>
  <c r="BF157" i="4"/>
  <c r="BF158" i="4"/>
  <c r="BF159" i="4"/>
  <c r="BF160" i="4"/>
  <c r="BF161" i="4"/>
  <c r="BF162" i="4"/>
  <c r="BF163" i="4"/>
  <c r="BF164" i="4"/>
  <c r="BE141" i="4"/>
  <c r="BE142" i="4"/>
  <c r="BE143" i="4"/>
  <c r="BE144" i="4"/>
  <c r="BE145" i="4"/>
  <c r="BE146" i="4"/>
  <c r="BE147" i="4"/>
  <c r="BE148" i="4"/>
  <c r="BE149" i="4"/>
  <c r="BE150" i="4"/>
  <c r="BE151" i="4"/>
  <c r="BE152" i="4"/>
  <c r="BE153" i="4"/>
  <c r="BE154" i="4"/>
  <c r="BE155" i="4"/>
  <c r="BE156" i="4"/>
  <c r="BE157" i="4"/>
  <c r="BE158" i="4"/>
  <c r="BE159" i="4"/>
  <c r="BE160" i="4"/>
  <c r="BE161" i="4"/>
  <c r="BE162" i="4"/>
  <c r="BE163" i="4"/>
  <c r="BE164" i="4"/>
  <c r="BD141" i="4"/>
  <c r="BD142" i="4"/>
  <c r="BD143" i="4"/>
  <c r="BD144" i="4"/>
  <c r="BD145" i="4"/>
  <c r="BD146" i="4"/>
  <c r="BD147" i="4"/>
  <c r="BD148" i="4"/>
  <c r="BD149" i="4"/>
  <c r="BD150" i="4"/>
  <c r="BD151" i="4"/>
  <c r="BD152" i="4"/>
  <c r="BD153" i="4"/>
  <c r="BD154" i="4"/>
  <c r="BD155" i="4"/>
  <c r="BD156" i="4"/>
  <c r="BD157" i="4"/>
  <c r="BD158" i="4"/>
  <c r="BD159" i="4"/>
  <c r="BD160" i="4"/>
  <c r="BD161" i="4"/>
  <c r="BD162" i="4"/>
  <c r="BD163" i="4"/>
  <c r="BD164" i="4"/>
  <c r="BC141" i="4"/>
  <c r="BC142" i="4"/>
  <c r="BC143" i="4"/>
  <c r="BC144" i="4"/>
  <c r="BC145" i="4"/>
  <c r="BC146" i="4"/>
  <c r="BC147" i="4"/>
  <c r="BC148" i="4"/>
  <c r="BC149" i="4"/>
  <c r="BC150" i="4"/>
  <c r="BC151" i="4"/>
  <c r="BC152" i="4"/>
  <c r="BC153" i="4"/>
  <c r="BC154" i="4"/>
  <c r="BC155" i="4"/>
  <c r="BC156" i="4"/>
  <c r="BC157" i="4"/>
  <c r="BC158" i="4"/>
  <c r="BC159" i="4"/>
  <c r="BC160" i="4"/>
  <c r="BC161" i="4"/>
  <c r="BC162" i="4"/>
  <c r="BC163" i="4"/>
  <c r="BC164" i="4"/>
  <c r="BB141" i="4"/>
  <c r="BB142" i="4"/>
  <c r="BB143" i="4"/>
  <c r="BB144" i="4"/>
  <c r="BB145" i="4"/>
  <c r="BB146" i="4"/>
  <c r="BB147" i="4"/>
  <c r="BB148" i="4"/>
  <c r="BB149" i="4"/>
  <c r="BB150" i="4"/>
  <c r="BB151" i="4"/>
  <c r="BB152" i="4"/>
  <c r="BB153" i="4"/>
  <c r="BB154" i="4"/>
  <c r="BB155" i="4"/>
  <c r="BB156" i="4"/>
  <c r="BB157" i="4"/>
  <c r="BB158" i="4"/>
  <c r="BB159" i="4"/>
  <c r="BB160" i="4"/>
  <c r="BB161" i="4"/>
  <c r="BB162" i="4"/>
  <c r="BB163" i="4"/>
  <c r="BB164" i="4"/>
  <c r="BA141" i="4"/>
  <c r="BA142" i="4"/>
  <c r="BA143" i="4"/>
  <c r="BA144" i="4"/>
  <c r="BA145" i="4"/>
  <c r="BA146" i="4"/>
  <c r="BA147" i="4"/>
  <c r="BA148" i="4"/>
  <c r="BA149" i="4"/>
  <c r="BA150" i="4"/>
  <c r="BA151" i="4"/>
  <c r="BA152" i="4"/>
  <c r="BA153" i="4"/>
  <c r="BA154" i="4"/>
  <c r="BA155" i="4"/>
  <c r="BA156" i="4"/>
  <c r="BA157" i="4"/>
  <c r="BA158" i="4"/>
  <c r="BA159" i="4"/>
  <c r="BA160" i="4"/>
  <c r="BA161" i="4"/>
  <c r="BA162" i="4"/>
  <c r="BA163" i="4"/>
  <c r="BA164" i="4"/>
  <c r="AZ141" i="4"/>
  <c r="AZ142" i="4"/>
  <c r="AZ143" i="4"/>
  <c r="AZ144" i="4"/>
  <c r="AZ145" i="4"/>
  <c r="AZ146" i="4"/>
  <c r="AZ147" i="4"/>
  <c r="AZ148" i="4"/>
  <c r="AZ149" i="4"/>
  <c r="AZ150" i="4"/>
  <c r="AZ151" i="4"/>
  <c r="AZ152" i="4"/>
  <c r="AZ153" i="4"/>
  <c r="AZ154" i="4"/>
  <c r="AZ155" i="4"/>
  <c r="AZ156" i="4"/>
  <c r="AZ157" i="4"/>
  <c r="AZ158" i="4"/>
  <c r="AZ159" i="4"/>
  <c r="AZ160" i="4"/>
  <c r="AZ161" i="4"/>
  <c r="AZ162" i="4"/>
  <c r="AZ163" i="4"/>
  <c r="AZ164" i="4"/>
  <c r="AX141" i="4"/>
  <c r="AX142" i="4"/>
  <c r="AX143" i="4"/>
  <c r="AX144" i="4"/>
  <c r="AX145" i="4"/>
  <c r="AX146" i="4"/>
  <c r="AX147" i="4"/>
  <c r="AX148" i="4"/>
  <c r="AX149" i="4"/>
  <c r="AX150" i="4"/>
  <c r="AX151" i="4"/>
  <c r="AX152" i="4"/>
  <c r="AX153" i="4"/>
  <c r="AX154" i="4"/>
  <c r="AX155" i="4"/>
  <c r="AX156" i="4"/>
  <c r="AX157" i="4"/>
  <c r="AX158" i="4"/>
  <c r="AX159" i="4"/>
  <c r="AX160" i="4"/>
  <c r="AX161" i="4"/>
  <c r="AX162" i="4"/>
  <c r="AX163" i="4"/>
  <c r="AX164" i="4"/>
  <c r="AW141" i="4"/>
  <c r="AW142" i="4"/>
  <c r="AW143" i="4"/>
  <c r="AW144" i="4"/>
  <c r="AW145" i="4"/>
  <c r="AW146" i="4"/>
  <c r="AW147" i="4"/>
  <c r="AW148" i="4"/>
  <c r="AW149" i="4"/>
  <c r="AW150" i="4"/>
  <c r="AW151" i="4"/>
  <c r="AW152" i="4"/>
  <c r="AW153" i="4"/>
  <c r="AW154" i="4"/>
  <c r="AW155" i="4"/>
  <c r="AW156" i="4"/>
  <c r="AW157" i="4"/>
  <c r="AW158" i="4"/>
  <c r="AW159" i="4"/>
  <c r="AW160" i="4"/>
  <c r="AW161" i="4"/>
  <c r="AW162" i="4"/>
  <c r="AW163" i="4"/>
  <c r="AW164" i="4"/>
  <c r="AV141" i="4"/>
  <c r="AV142" i="4"/>
  <c r="AV143" i="4"/>
  <c r="AV144" i="4"/>
  <c r="AV145" i="4"/>
  <c r="AV146" i="4"/>
  <c r="AV147" i="4"/>
  <c r="AV148" i="4"/>
  <c r="AV149" i="4"/>
  <c r="AV150" i="4"/>
  <c r="AV151" i="4"/>
  <c r="AV152" i="4"/>
  <c r="AV153" i="4"/>
  <c r="AV154" i="4"/>
  <c r="AV155" i="4"/>
  <c r="AV156" i="4"/>
  <c r="AV157" i="4"/>
  <c r="AV158" i="4"/>
  <c r="AV159" i="4"/>
  <c r="AV160" i="4"/>
  <c r="AV161" i="4"/>
  <c r="AV162" i="4"/>
  <c r="AV163" i="4"/>
  <c r="AV164" i="4"/>
  <c r="AU141" i="4"/>
  <c r="AU142" i="4"/>
  <c r="AU143" i="4"/>
  <c r="AU144" i="4"/>
  <c r="AU145" i="4"/>
  <c r="AU146" i="4"/>
  <c r="AU147" i="4"/>
  <c r="AU148" i="4"/>
  <c r="AU149" i="4"/>
  <c r="AU150" i="4"/>
  <c r="AU151" i="4"/>
  <c r="AU152" i="4"/>
  <c r="AU153" i="4"/>
  <c r="AU154" i="4"/>
  <c r="AU155" i="4"/>
  <c r="AU156" i="4"/>
  <c r="AU157" i="4"/>
  <c r="AU158" i="4"/>
  <c r="AU159" i="4"/>
  <c r="AU160" i="4"/>
  <c r="AU161" i="4"/>
  <c r="AU162" i="4"/>
  <c r="AU163" i="4"/>
  <c r="AU164" i="4"/>
  <c r="AT141" i="4"/>
  <c r="AT142" i="4"/>
  <c r="AT143" i="4"/>
  <c r="AT144" i="4"/>
  <c r="AT145" i="4"/>
  <c r="AT146" i="4"/>
  <c r="AT147" i="4"/>
  <c r="AT148" i="4"/>
  <c r="AT149" i="4"/>
  <c r="AT150" i="4"/>
  <c r="AT151" i="4"/>
  <c r="AT152" i="4"/>
  <c r="AT153" i="4"/>
  <c r="AT154" i="4"/>
  <c r="AT155" i="4"/>
  <c r="AT156" i="4"/>
  <c r="AT157" i="4"/>
  <c r="AT158" i="4"/>
  <c r="AT159" i="4"/>
  <c r="AT160" i="4"/>
  <c r="AT161" i="4"/>
  <c r="AT162" i="4"/>
  <c r="AT163" i="4"/>
  <c r="AT164" i="4"/>
  <c r="AS141" i="4"/>
  <c r="AS142" i="4"/>
  <c r="AS143" i="4"/>
  <c r="AS144" i="4"/>
  <c r="AS145" i="4"/>
  <c r="AS146" i="4"/>
  <c r="AS147" i="4"/>
  <c r="AS148" i="4"/>
  <c r="AS149" i="4"/>
  <c r="AS150" i="4"/>
  <c r="AS151" i="4"/>
  <c r="AS152" i="4"/>
  <c r="AS153" i="4"/>
  <c r="AS154" i="4"/>
  <c r="AS155" i="4"/>
  <c r="AS156" i="4"/>
  <c r="AS157" i="4"/>
  <c r="AS158" i="4"/>
  <c r="AS159" i="4"/>
  <c r="AS160" i="4"/>
  <c r="AS161" i="4"/>
  <c r="AS162" i="4"/>
  <c r="AS163" i="4"/>
  <c r="AS164" i="4"/>
  <c r="AR141" i="4"/>
  <c r="AR142" i="4"/>
  <c r="AR143" i="4"/>
  <c r="AR144" i="4"/>
  <c r="AR145" i="4"/>
  <c r="AR146" i="4"/>
  <c r="AR147" i="4"/>
  <c r="AR148" i="4"/>
  <c r="AR149" i="4"/>
  <c r="AR150" i="4"/>
  <c r="AR151" i="4"/>
  <c r="AR152" i="4"/>
  <c r="AR153" i="4"/>
  <c r="AR154" i="4"/>
  <c r="AR155" i="4"/>
  <c r="AR156" i="4"/>
  <c r="AR157" i="4"/>
  <c r="AR158" i="4"/>
  <c r="AR159" i="4"/>
  <c r="AR160" i="4"/>
  <c r="AR161" i="4"/>
  <c r="AR162" i="4"/>
  <c r="AR163" i="4"/>
  <c r="AR164" i="4"/>
  <c r="AQ141" i="4"/>
  <c r="AQ142" i="4"/>
  <c r="AQ143" i="4"/>
  <c r="AQ144" i="4"/>
  <c r="AQ145" i="4"/>
  <c r="AQ146" i="4"/>
  <c r="AQ147" i="4"/>
  <c r="AQ148" i="4"/>
  <c r="AQ149" i="4"/>
  <c r="AQ150" i="4"/>
  <c r="AQ151" i="4"/>
  <c r="AQ152" i="4"/>
  <c r="AQ153" i="4"/>
  <c r="AQ154" i="4"/>
  <c r="AQ155" i="4"/>
  <c r="AQ156" i="4"/>
  <c r="AQ157" i="4"/>
  <c r="AQ158" i="4"/>
  <c r="AQ159" i="4"/>
  <c r="AQ160" i="4"/>
  <c r="AQ161" i="4"/>
  <c r="AQ162" i="4"/>
  <c r="AQ163" i="4"/>
  <c r="AQ164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P159" i="4"/>
  <c r="AP160" i="4"/>
  <c r="AP161" i="4"/>
  <c r="AP162" i="4"/>
  <c r="AP163" i="4"/>
  <c r="AP164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O157" i="4"/>
  <c r="AO158" i="4"/>
  <c r="AO159" i="4"/>
  <c r="AO160" i="4"/>
  <c r="AO161" i="4"/>
  <c r="AO162" i="4"/>
  <c r="AO163" i="4"/>
  <c r="AO164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N159" i="4"/>
  <c r="AN160" i="4"/>
  <c r="AN161" i="4"/>
  <c r="AN162" i="4"/>
  <c r="AN163" i="4"/>
  <c r="AN164" i="4"/>
  <c r="AM141" i="4"/>
  <c r="AM142" i="4"/>
  <c r="AM143" i="4"/>
  <c r="AM144" i="4"/>
  <c r="AM145" i="4"/>
  <c r="AM146" i="4"/>
  <c r="AM147" i="4"/>
  <c r="AM148" i="4"/>
  <c r="AM149" i="4"/>
  <c r="AM150" i="4"/>
  <c r="AM151" i="4"/>
  <c r="AM152" i="4"/>
  <c r="AM153" i="4"/>
  <c r="AM154" i="4"/>
  <c r="AM155" i="4"/>
  <c r="AM156" i="4"/>
  <c r="AM157" i="4"/>
  <c r="AM158" i="4"/>
  <c r="AM159" i="4"/>
  <c r="AM160" i="4"/>
  <c r="AM161" i="4"/>
  <c r="AM162" i="4"/>
  <c r="AM163" i="4"/>
  <c r="AM164" i="4"/>
  <c r="AL141" i="4"/>
  <c r="AL142" i="4"/>
  <c r="AL143" i="4"/>
  <c r="AL144" i="4"/>
  <c r="AL145" i="4"/>
  <c r="AL146" i="4"/>
  <c r="AL147" i="4"/>
  <c r="AL148" i="4"/>
  <c r="AL149" i="4"/>
  <c r="AL150" i="4"/>
  <c r="AL151" i="4"/>
  <c r="AL152" i="4"/>
  <c r="AL153" i="4"/>
  <c r="AL154" i="4"/>
  <c r="AL155" i="4"/>
  <c r="AL156" i="4"/>
  <c r="AL157" i="4"/>
  <c r="AL158" i="4"/>
  <c r="AL159" i="4"/>
  <c r="AL160" i="4"/>
  <c r="AL161" i="4"/>
  <c r="AL162" i="4"/>
  <c r="AL163" i="4"/>
  <c r="AL164" i="4"/>
  <c r="AK141" i="4"/>
  <c r="AK142" i="4"/>
  <c r="AK143" i="4"/>
  <c r="AK144" i="4"/>
  <c r="AK145" i="4"/>
  <c r="AK146" i="4"/>
  <c r="AK147" i="4"/>
  <c r="AK148" i="4"/>
  <c r="AK149" i="4"/>
  <c r="AK150" i="4"/>
  <c r="AK151" i="4"/>
  <c r="AK152" i="4"/>
  <c r="AK153" i="4"/>
  <c r="AK154" i="4"/>
  <c r="AK155" i="4"/>
  <c r="AK156" i="4"/>
  <c r="AK157" i="4"/>
  <c r="AK158" i="4"/>
  <c r="AK159" i="4"/>
  <c r="AK160" i="4"/>
  <c r="AK161" i="4"/>
  <c r="AK162" i="4"/>
  <c r="AK163" i="4"/>
  <c r="AK164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J159" i="4"/>
  <c r="AJ160" i="4"/>
  <c r="AJ161" i="4"/>
  <c r="AJ162" i="4"/>
  <c r="AJ163" i="4"/>
  <c r="AJ164" i="4"/>
  <c r="AI141" i="4"/>
  <c r="AI142" i="4"/>
  <c r="AI143" i="4"/>
  <c r="AI144" i="4"/>
  <c r="AI145" i="4"/>
  <c r="AI146" i="4"/>
  <c r="AI147" i="4"/>
  <c r="AI148" i="4"/>
  <c r="AI149" i="4"/>
  <c r="AI150" i="4"/>
  <c r="AI151" i="4"/>
  <c r="AI152" i="4"/>
  <c r="AI153" i="4"/>
  <c r="AI154" i="4"/>
  <c r="AI155" i="4"/>
  <c r="AI156" i="4"/>
  <c r="AI157" i="4"/>
  <c r="AI158" i="4"/>
  <c r="AI159" i="4"/>
  <c r="AI160" i="4"/>
  <c r="AI161" i="4"/>
  <c r="AI162" i="4"/>
  <c r="AI163" i="4"/>
  <c r="AI164" i="4"/>
  <c r="AF141" i="4"/>
  <c r="AF142" i="4"/>
  <c r="AF143" i="4"/>
  <c r="AF144" i="4"/>
  <c r="AF145" i="4"/>
  <c r="AF146" i="4"/>
  <c r="AF147" i="4"/>
  <c r="AF148" i="4"/>
  <c r="AF149" i="4"/>
  <c r="AF150" i="4"/>
  <c r="AF151" i="4"/>
  <c r="AF152" i="4"/>
  <c r="AF153" i="4"/>
  <c r="AF154" i="4"/>
  <c r="AF155" i="4"/>
  <c r="AF156" i="4"/>
  <c r="AF157" i="4"/>
  <c r="AF158" i="4"/>
  <c r="AF159" i="4"/>
  <c r="AF160" i="4"/>
  <c r="AF161" i="4"/>
  <c r="AF162" i="4"/>
  <c r="AF163" i="4"/>
  <c r="AF164" i="4"/>
  <c r="AE141" i="4"/>
  <c r="AE142" i="4"/>
  <c r="AE143" i="4"/>
  <c r="AE144" i="4"/>
  <c r="AE145" i="4"/>
  <c r="AE146" i="4"/>
  <c r="AE147" i="4"/>
  <c r="AE148" i="4"/>
  <c r="AE149" i="4"/>
  <c r="AE150" i="4"/>
  <c r="AE151" i="4"/>
  <c r="AE152" i="4"/>
  <c r="AE153" i="4"/>
  <c r="AE154" i="4"/>
  <c r="AE155" i="4"/>
  <c r="AE156" i="4"/>
  <c r="AE157" i="4"/>
  <c r="AE158" i="4"/>
  <c r="AE159" i="4"/>
  <c r="AE160" i="4"/>
  <c r="AE161" i="4"/>
  <c r="AE162" i="4"/>
  <c r="AE163" i="4"/>
  <c r="AE164" i="4"/>
  <c r="AD141" i="4"/>
  <c r="AD142" i="4"/>
  <c r="AD143" i="4"/>
  <c r="AD144" i="4"/>
  <c r="AD145" i="4"/>
  <c r="AD146" i="4"/>
  <c r="AD147" i="4"/>
  <c r="AD148" i="4"/>
  <c r="AD149" i="4"/>
  <c r="AD150" i="4"/>
  <c r="AD151" i="4"/>
  <c r="AD152" i="4"/>
  <c r="AD153" i="4"/>
  <c r="AD154" i="4"/>
  <c r="AD155" i="4"/>
  <c r="AD156" i="4"/>
  <c r="AD157" i="4"/>
  <c r="AD158" i="4"/>
  <c r="AD159" i="4"/>
  <c r="AD160" i="4"/>
  <c r="AD161" i="4"/>
  <c r="AD162" i="4"/>
  <c r="AD163" i="4"/>
  <c r="AD164" i="4"/>
  <c r="AC141" i="4"/>
  <c r="AC142" i="4"/>
  <c r="AC143" i="4"/>
  <c r="AC144" i="4"/>
  <c r="AC145" i="4"/>
  <c r="AC146" i="4"/>
  <c r="AC147" i="4"/>
  <c r="AC148" i="4"/>
  <c r="AC149" i="4"/>
  <c r="AC150" i="4"/>
  <c r="AC151" i="4"/>
  <c r="AC152" i="4"/>
  <c r="AC153" i="4"/>
  <c r="AC154" i="4"/>
  <c r="AC155" i="4"/>
  <c r="AC156" i="4"/>
  <c r="AC157" i="4"/>
  <c r="AC158" i="4"/>
  <c r="AC159" i="4"/>
  <c r="AC160" i="4"/>
  <c r="AC161" i="4"/>
  <c r="AC162" i="4"/>
  <c r="AC163" i="4"/>
  <c r="AC164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A141" i="4"/>
  <c r="AA142" i="4"/>
  <c r="AA143" i="4"/>
  <c r="AA144" i="4"/>
  <c r="AA145" i="4"/>
  <c r="AA146" i="4"/>
  <c r="AA147" i="4"/>
  <c r="AA148" i="4"/>
  <c r="AA149" i="4"/>
  <c r="AA150" i="4"/>
  <c r="AA151" i="4"/>
  <c r="AA152" i="4"/>
  <c r="AA153" i="4"/>
  <c r="AA154" i="4"/>
  <c r="AA155" i="4"/>
  <c r="AA156" i="4"/>
  <c r="AA157" i="4"/>
  <c r="AA158" i="4"/>
  <c r="AA159" i="4"/>
  <c r="AA160" i="4"/>
  <c r="AA161" i="4"/>
  <c r="AA162" i="4"/>
  <c r="AA163" i="4"/>
  <c r="AA164" i="4"/>
  <c r="AL141" i="3"/>
  <c r="AL142" i="3"/>
  <c r="AL143" i="3"/>
  <c r="AL144" i="3"/>
  <c r="AL145" i="3"/>
  <c r="AL146" i="3"/>
  <c r="AL147" i="3"/>
  <c r="AL148" i="3"/>
  <c r="AL149" i="3"/>
  <c r="AL150" i="3"/>
  <c r="AL151" i="3"/>
  <c r="AL152" i="3"/>
  <c r="AL153" i="3"/>
  <c r="AL154" i="3"/>
  <c r="AL155" i="3"/>
  <c r="AL156" i="3"/>
  <c r="AL157" i="3"/>
  <c r="AL158" i="3"/>
  <c r="AL159" i="3"/>
  <c r="AL160" i="3"/>
  <c r="AL161" i="3"/>
  <c r="AL162" i="3"/>
  <c r="AL163" i="3"/>
  <c r="AL164" i="3"/>
  <c r="AK141" i="3"/>
  <c r="AK142" i="3"/>
  <c r="AK143" i="3"/>
  <c r="AK144" i="3"/>
  <c r="AK145" i="3"/>
  <c r="AK146" i="3"/>
  <c r="AK147" i="3"/>
  <c r="AK148" i="3"/>
  <c r="AK149" i="3"/>
  <c r="AK150" i="3"/>
  <c r="AK151" i="3"/>
  <c r="AK152" i="3"/>
  <c r="AK153" i="3"/>
  <c r="AK154" i="3"/>
  <c r="AK155" i="3"/>
  <c r="AK156" i="3"/>
  <c r="AK157" i="3"/>
  <c r="AK158" i="3"/>
  <c r="AK159" i="3"/>
  <c r="AK160" i="3"/>
  <c r="AK161" i="3"/>
  <c r="AK162" i="3"/>
  <c r="AK163" i="3"/>
  <c r="AK164" i="3"/>
  <c r="AJ141" i="3"/>
  <c r="AJ142" i="3"/>
  <c r="AJ143" i="3"/>
  <c r="AJ144" i="3"/>
  <c r="AJ145" i="3"/>
  <c r="AJ146" i="3"/>
  <c r="AJ147" i="3"/>
  <c r="AJ148" i="3"/>
  <c r="AJ149" i="3"/>
  <c r="AJ150" i="3"/>
  <c r="AJ151" i="3"/>
  <c r="AJ152" i="3"/>
  <c r="AJ153" i="3"/>
  <c r="AJ154" i="3"/>
  <c r="AJ155" i="3"/>
  <c r="AJ156" i="3"/>
  <c r="AJ157" i="3"/>
  <c r="AJ158" i="3"/>
  <c r="AJ159" i="3"/>
  <c r="AJ160" i="3"/>
  <c r="AJ161" i="3"/>
  <c r="AJ162" i="3"/>
  <c r="AJ163" i="3"/>
  <c r="AJ164" i="3"/>
  <c r="AI141" i="3"/>
  <c r="AI142" i="3"/>
  <c r="AI143" i="3"/>
  <c r="AI144" i="3"/>
  <c r="AI145" i="3"/>
  <c r="AI146" i="3"/>
  <c r="AI147" i="3"/>
  <c r="AI148" i="3"/>
  <c r="AI149" i="3"/>
  <c r="AI150" i="3"/>
  <c r="AI151" i="3"/>
  <c r="AI152" i="3"/>
  <c r="AI153" i="3"/>
  <c r="AI154" i="3"/>
  <c r="AI155" i="3"/>
  <c r="AI156" i="3"/>
  <c r="AI157" i="3"/>
  <c r="AI158" i="3"/>
  <c r="AI159" i="3"/>
  <c r="AI160" i="3"/>
  <c r="AI161" i="3"/>
  <c r="AI162" i="3"/>
  <c r="AI163" i="3"/>
  <c r="AI164" i="3"/>
  <c r="AH141" i="3"/>
  <c r="AH142" i="3"/>
  <c r="AH143" i="3"/>
  <c r="AH144" i="3"/>
  <c r="AH145" i="3"/>
  <c r="AH146" i="3"/>
  <c r="AH147" i="3"/>
  <c r="AH148" i="3"/>
  <c r="AH149" i="3"/>
  <c r="AH150" i="3"/>
  <c r="AH151" i="3"/>
  <c r="AH152" i="3"/>
  <c r="AH153" i="3"/>
  <c r="AH154" i="3"/>
  <c r="AH155" i="3"/>
  <c r="AH156" i="3"/>
  <c r="AH157" i="3"/>
  <c r="AH158" i="3"/>
  <c r="AH159" i="3"/>
  <c r="AH160" i="3"/>
  <c r="AH161" i="3"/>
  <c r="AH162" i="3"/>
  <c r="AH163" i="3"/>
  <c r="AH164" i="3"/>
  <c r="AE141" i="3"/>
  <c r="AE142" i="3"/>
  <c r="AE143" i="3"/>
  <c r="AE144" i="3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E161" i="3"/>
  <c r="AE162" i="3"/>
  <c r="AE163" i="3"/>
  <c r="AE164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D159" i="3"/>
  <c r="AD160" i="3"/>
  <c r="AD161" i="3"/>
  <c r="AD162" i="3"/>
  <c r="AD163" i="3"/>
  <c r="AD164" i="3"/>
  <c r="AC141" i="3"/>
  <c r="AC142" i="3"/>
  <c r="AC143" i="3"/>
  <c r="AC144" i="3"/>
  <c r="AC145" i="3"/>
  <c r="AC146" i="3"/>
  <c r="AC147" i="3"/>
  <c r="AC148" i="3"/>
  <c r="AC149" i="3"/>
  <c r="AC150" i="3"/>
  <c r="AC151" i="3"/>
  <c r="AC152" i="3"/>
  <c r="AC153" i="3"/>
  <c r="AC154" i="3"/>
  <c r="AC155" i="3"/>
  <c r="AC156" i="3"/>
  <c r="AC157" i="3"/>
  <c r="AC158" i="3"/>
  <c r="AC159" i="3"/>
  <c r="AC160" i="3"/>
  <c r="AC161" i="3"/>
  <c r="AC162" i="3"/>
  <c r="AC163" i="3"/>
  <c r="AC164" i="3"/>
  <c r="AD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134" i="3"/>
  <c r="AC135" i="3"/>
  <c r="AC136" i="3"/>
  <c r="AC137" i="3"/>
  <c r="AC138" i="3"/>
  <c r="AC139" i="3"/>
  <c r="AC140" i="3"/>
  <c r="AC56" i="2"/>
  <c r="AC78" i="2"/>
  <c r="AC99" i="2"/>
  <c r="AC103" i="2"/>
  <c r="AC104" i="2"/>
  <c r="AC106" i="2"/>
  <c r="AC113" i="2"/>
  <c r="AC114" i="2"/>
  <c r="AL4" i="3"/>
  <c r="AL5" i="3"/>
  <c r="AL6" i="3"/>
  <c r="AL7" i="3"/>
  <c r="AL8" i="3"/>
  <c r="AL9" i="3"/>
  <c r="AL10" i="3"/>
  <c r="AL11" i="3"/>
  <c r="AL12" i="3"/>
  <c r="AL13" i="3"/>
  <c r="AL14" i="3"/>
  <c r="AL15" i="3"/>
  <c r="AL16" i="3"/>
  <c r="AL17" i="3"/>
  <c r="AL18" i="3"/>
  <c r="AL19" i="3"/>
  <c r="AL20" i="3"/>
  <c r="AL21" i="3"/>
  <c r="AL22" i="3"/>
  <c r="AL23" i="3"/>
  <c r="AL24" i="3"/>
  <c r="AL25" i="3"/>
  <c r="AL26" i="3"/>
  <c r="AL27" i="3"/>
  <c r="AL28" i="3"/>
  <c r="AL29" i="3"/>
  <c r="AL30" i="3"/>
  <c r="AL31" i="3"/>
  <c r="AL32" i="3"/>
  <c r="AL33" i="3"/>
  <c r="AL34" i="3"/>
  <c r="AL35" i="3"/>
  <c r="AL36" i="3"/>
  <c r="AL37" i="3"/>
  <c r="AL38" i="3"/>
  <c r="AL39" i="3"/>
  <c r="AL40" i="3"/>
  <c r="AL41" i="3"/>
  <c r="AL42" i="3"/>
  <c r="AL43" i="3"/>
  <c r="AL44" i="3"/>
  <c r="AL45" i="3"/>
  <c r="AL46" i="3"/>
  <c r="AL47" i="3"/>
  <c r="AL48" i="3"/>
  <c r="AL49" i="3"/>
  <c r="AL50" i="3"/>
  <c r="AL51" i="3"/>
  <c r="AL52" i="3"/>
  <c r="AL53" i="3"/>
  <c r="AL54" i="3"/>
  <c r="AL55" i="3"/>
  <c r="AL56" i="3"/>
  <c r="AL57" i="3"/>
  <c r="AL58" i="3"/>
  <c r="AL59" i="3"/>
  <c r="AL60" i="3"/>
  <c r="AL61" i="3"/>
  <c r="AL62" i="3"/>
  <c r="AL63" i="3"/>
  <c r="AL64" i="3"/>
  <c r="AL65" i="3"/>
  <c r="AL66" i="3"/>
  <c r="AL67" i="3"/>
  <c r="AL68" i="3"/>
  <c r="AL69" i="3"/>
  <c r="AL70" i="3"/>
  <c r="AL71" i="3"/>
  <c r="AL72" i="3"/>
  <c r="AL73" i="3"/>
  <c r="AL74" i="3"/>
  <c r="AL75" i="3"/>
  <c r="AL76" i="3"/>
  <c r="AL77" i="3"/>
  <c r="AL78" i="3"/>
  <c r="AL79" i="3"/>
  <c r="AL80" i="3"/>
  <c r="AL81" i="3"/>
  <c r="AL82" i="3"/>
  <c r="AL83" i="3"/>
  <c r="AL84" i="3"/>
  <c r="AL85" i="3"/>
  <c r="AL86" i="3"/>
  <c r="AL87" i="3"/>
  <c r="AL88" i="3"/>
  <c r="AL89" i="3"/>
  <c r="AL90" i="3"/>
  <c r="AL91" i="3"/>
  <c r="AL92" i="3"/>
  <c r="AL93" i="3"/>
  <c r="AL94" i="3"/>
  <c r="AL95" i="3"/>
  <c r="AL96" i="3"/>
  <c r="AL97" i="3"/>
  <c r="AL98" i="3"/>
  <c r="AL99" i="3"/>
  <c r="AL100" i="3"/>
  <c r="AL101" i="3"/>
  <c r="AL102" i="3"/>
  <c r="AL103" i="3"/>
  <c r="AL104" i="3"/>
  <c r="AL105" i="3"/>
  <c r="AL106" i="3"/>
  <c r="AL107" i="3"/>
  <c r="AL108" i="3"/>
  <c r="AL109" i="3"/>
  <c r="AL110" i="3"/>
  <c r="AL111" i="3"/>
  <c r="AL112" i="3"/>
  <c r="AL113" i="3"/>
  <c r="AL114" i="3"/>
  <c r="AL115" i="3"/>
  <c r="AL116" i="3"/>
  <c r="AL117" i="3"/>
  <c r="AL118" i="3"/>
  <c r="AL119" i="3"/>
  <c r="AL120" i="3"/>
  <c r="AL121" i="3"/>
  <c r="AL122" i="3"/>
  <c r="AL123" i="3"/>
  <c r="AL124" i="3"/>
  <c r="AL125" i="3"/>
  <c r="AL126" i="3"/>
  <c r="AL127" i="3"/>
  <c r="AL128" i="3"/>
  <c r="AL129" i="3"/>
  <c r="AL130" i="3"/>
  <c r="AL131" i="3"/>
  <c r="AL132" i="3"/>
  <c r="AL133" i="3"/>
  <c r="AL134" i="3"/>
  <c r="AL135" i="3"/>
  <c r="AL136" i="3"/>
  <c r="AL137" i="3"/>
  <c r="AL138" i="3"/>
  <c r="AL139" i="3"/>
  <c r="AL140" i="3"/>
  <c r="AL3" i="3"/>
  <c r="AK4" i="3"/>
  <c r="AK5" i="3"/>
  <c r="AK6" i="3"/>
  <c r="AK7" i="3"/>
  <c r="AK8" i="3"/>
  <c r="AK9" i="3"/>
  <c r="AK10" i="3"/>
  <c r="AK11" i="3"/>
  <c r="AK12" i="3"/>
  <c r="AK13" i="3"/>
  <c r="AK14" i="3"/>
  <c r="AK15" i="3"/>
  <c r="AK16" i="3"/>
  <c r="AK17" i="3"/>
  <c r="AK18" i="3"/>
  <c r="AK19" i="3"/>
  <c r="AK20" i="3"/>
  <c r="AK21" i="3"/>
  <c r="AK22" i="3"/>
  <c r="AK23" i="3"/>
  <c r="AK24" i="3"/>
  <c r="AK25" i="3"/>
  <c r="AK26" i="3"/>
  <c r="AK27" i="3"/>
  <c r="AK28" i="3"/>
  <c r="AK29" i="3"/>
  <c r="AK30" i="3"/>
  <c r="AK31" i="3"/>
  <c r="AK32" i="3"/>
  <c r="AK33" i="3"/>
  <c r="AK34" i="3"/>
  <c r="AK35" i="3"/>
  <c r="AK36" i="3"/>
  <c r="AK37" i="3"/>
  <c r="AK38" i="3"/>
  <c r="AK39" i="3"/>
  <c r="AK40" i="3"/>
  <c r="AK41" i="3"/>
  <c r="AK42" i="3"/>
  <c r="AK43" i="3"/>
  <c r="AK44" i="3"/>
  <c r="AK45" i="3"/>
  <c r="AK46" i="3"/>
  <c r="AK47" i="3"/>
  <c r="AK48" i="3"/>
  <c r="AK49" i="3"/>
  <c r="AK50" i="3"/>
  <c r="AK51" i="3"/>
  <c r="AK52" i="3"/>
  <c r="AK53" i="3"/>
  <c r="AK54" i="3"/>
  <c r="AK55" i="3"/>
  <c r="AK56" i="3"/>
  <c r="AK57" i="3"/>
  <c r="AK58" i="3"/>
  <c r="AK59" i="3"/>
  <c r="AK60" i="3"/>
  <c r="AK61" i="3"/>
  <c r="AK62" i="3"/>
  <c r="AK63" i="3"/>
  <c r="AK64" i="3"/>
  <c r="AK65" i="3"/>
  <c r="AK66" i="3"/>
  <c r="AK67" i="3"/>
  <c r="AK68" i="3"/>
  <c r="AK69" i="3"/>
  <c r="AK70" i="3"/>
  <c r="AK71" i="3"/>
  <c r="AK72" i="3"/>
  <c r="AK73" i="3"/>
  <c r="AK74" i="3"/>
  <c r="AK75" i="3"/>
  <c r="AK76" i="3"/>
  <c r="AK77" i="3"/>
  <c r="AK78" i="3"/>
  <c r="AK79" i="3"/>
  <c r="AK80" i="3"/>
  <c r="AK81" i="3"/>
  <c r="AK82" i="3"/>
  <c r="AK83" i="3"/>
  <c r="AK84" i="3"/>
  <c r="AK85" i="3"/>
  <c r="AK86" i="3"/>
  <c r="AK87" i="3"/>
  <c r="AK88" i="3"/>
  <c r="AK89" i="3"/>
  <c r="AK90" i="3"/>
  <c r="AK91" i="3"/>
  <c r="AK92" i="3"/>
  <c r="AK93" i="3"/>
  <c r="AK94" i="3"/>
  <c r="AK95" i="3"/>
  <c r="AK96" i="3"/>
  <c r="AK97" i="3"/>
  <c r="AK98" i="3"/>
  <c r="AK99" i="3"/>
  <c r="AK100" i="3"/>
  <c r="AK101" i="3"/>
  <c r="AK102" i="3"/>
  <c r="AK103" i="3"/>
  <c r="AK104" i="3"/>
  <c r="AK105" i="3"/>
  <c r="AK106" i="3"/>
  <c r="AK107" i="3"/>
  <c r="AK108" i="3"/>
  <c r="AK109" i="3"/>
  <c r="AK110" i="3"/>
  <c r="AK111" i="3"/>
  <c r="AK112" i="3"/>
  <c r="AK113" i="3"/>
  <c r="AK114" i="3"/>
  <c r="AK115" i="3"/>
  <c r="AK116" i="3"/>
  <c r="AK117" i="3"/>
  <c r="AK118" i="3"/>
  <c r="AK119" i="3"/>
  <c r="AK120" i="3"/>
  <c r="AK121" i="3"/>
  <c r="AK122" i="3"/>
  <c r="AK123" i="3"/>
  <c r="AK124" i="3"/>
  <c r="AK125" i="3"/>
  <c r="AK126" i="3"/>
  <c r="AK127" i="3"/>
  <c r="AK128" i="3"/>
  <c r="AK129" i="3"/>
  <c r="AK130" i="3"/>
  <c r="AK131" i="3"/>
  <c r="AK132" i="3"/>
  <c r="AK133" i="3"/>
  <c r="AK134" i="3"/>
  <c r="AK135" i="3"/>
  <c r="AK136" i="3"/>
  <c r="AK137" i="3"/>
  <c r="AK138" i="3"/>
  <c r="AK139" i="3"/>
  <c r="AK140" i="3"/>
  <c r="AK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41" i="3"/>
  <c r="AJ42" i="3"/>
  <c r="AJ43" i="3"/>
  <c r="AJ44" i="3"/>
  <c r="AJ45" i="3"/>
  <c r="AJ46" i="3"/>
  <c r="AJ47" i="3"/>
  <c r="AJ48" i="3"/>
  <c r="AJ49" i="3"/>
  <c r="AJ50" i="3"/>
  <c r="AJ51" i="3"/>
  <c r="AJ52" i="3"/>
  <c r="AJ53" i="3"/>
  <c r="AJ54" i="3"/>
  <c r="AJ55" i="3"/>
  <c r="AJ56" i="3"/>
  <c r="AJ57" i="3"/>
  <c r="AJ58" i="3"/>
  <c r="AJ59" i="3"/>
  <c r="AJ60" i="3"/>
  <c r="AJ61" i="3"/>
  <c r="AJ62" i="3"/>
  <c r="AJ63" i="3"/>
  <c r="AJ64" i="3"/>
  <c r="AJ65" i="3"/>
  <c r="AJ66" i="3"/>
  <c r="AJ67" i="3"/>
  <c r="AJ68" i="3"/>
  <c r="AJ69" i="3"/>
  <c r="AJ70" i="3"/>
  <c r="AJ71" i="3"/>
  <c r="AJ72" i="3"/>
  <c r="AJ73" i="3"/>
  <c r="AJ74" i="3"/>
  <c r="AJ75" i="3"/>
  <c r="AJ76" i="3"/>
  <c r="AJ77" i="3"/>
  <c r="AJ78" i="3"/>
  <c r="AJ79" i="3"/>
  <c r="AJ80" i="3"/>
  <c r="AJ81" i="3"/>
  <c r="AJ82" i="3"/>
  <c r="AJ83" i="3"/>
  <c r="AJ84" i="3"/>
  <c r="AJ85" i="3"/>
  <c r="AJ86" i="3"/>
  <c r="AJ87" i="3"/>
  <c r="AJ88" i="3"/>
  <c r="AJ89" i="3"/>
  <c r="AJ90" i="3"/>
  <c r="AJ91" i="3"/>
  <c r="AJ92" i="3"/>
  <c r="AJ93" i="3"/>
  <c r="AJ94" i="3"/>
  <c r="AJ95" i="3"/>
  <c r="AJ96" i="3"/>
  <c r="AJ97" i="3"/>
  <c r="AJ98" i="3"/>
  <c r="AJ99" i="3"/>
  <c r="AJ100" i="3"/>
  <c r="AJ101" i="3"/>
  <c r="AJ102" i="3"/>
  <c r="AJ103" i="3"/>
  <c r="AJ104" i="3"/>
  <c r="AJ105" i="3"/>
  <c r="AJ106" i="3"/>
  <c r="AJ107" i="3"/>
  <c r="AJ108" i="3"/>
  <c r="AJ109" i="3"/>
  <c r="AJ110" i="3"/>
  <c r="AJ111" i="3"/>
  <c r="AJ112" i="3"/>
  <c r="AJ113" i="3"/>
  <c r="AJ114" i="3"/>
  <c r="AJ115" i="3"/>
  <c r="AJ116" i="3"/>
  <c r="AJ117" i="3"/>
  <c r="AJ118" i="3"/>
  <c r="AJ119" i="3"/>
  <c r="AJ120" i="3"/>
  <c r="AJ121" i="3"/>
  <c r="AJ122" i="3"/>
  <c r="AJ123" i="3"/>
  <c r="AJ124" i="3"/>
  <c r="AJ125" i="3"/>
  <c r="AJ126" i="3"/>
  <c r="AJ127" i="3"/>
  <c r="AJ128" i="3"/>
  <c r="AJ129" i="3"/>
  <c r="AJ130" i="3"/>
  <c r="AJ131" i="3"/>
  <c r="AJ132" i="3"/>
  <c r="AJ133" i="3"/>
  <c r="AJ134" i="3"/>
  <c r="AJ135" i="3"/>
  <c r="AJ136" i="3"/>
  <c r="AJ137" i="3"/>
  <c r="AJ138" i="3"/>
  <c r="AJ139" i="3"/>
  <c r="AJ140" i="3"/>
  <c r="AJ3" i="3"/>
  <c r="E300" i="2" l="1"/>
  <c r="F300" i="2"/>
  <c r="G300" i="2"/>
  <c r="H300" i="2"/>
  <c r="I300" i="2"/>
  <c r="J300" i="2"/>
  <c r="K300" i="2"/>
  <c r="L300" i="2"/>
  <c r="M300" i="2"/>
  <c r="N300" i="2"/>
  <c r="O300" i="2"/>
  <c r="P300" i="2"/>
  <c r="Q300" i="2"/>
  <c r="R300" i="2"/>
  <c r="S300" i="2"/>
  <c r="T300" i="2"/>
  <c r="U300" i="2"/>
  <c r="V300" i="2"/>
  <c r="W300" i="2"/>
  <c r="X300" i="2"/>
  <c r="Y300" i="2"/>
  <c r="Z300" i="2"/>
  <c r="AA300" i="2"/>
  <c r="AB300" i="2"/>
  <c r="D300" i="2"/>
  <c r="AX4" i="4"/>
  <c r="AX5" i="4"/>
  <c r="AX6" i="4"/>
  <c r="AX7" i="4"/>
  <c r="AX8" i="4"/>
  <c r="AX9" i="4"/>
  <c r="AX10" i="4"/>
  <c r="AX11" i="4"/>
  <c r="AX12" i="4"/>
  <c r="AX13" i="4"/>
  <c r="AX14" i="4"/>
  <c r="AX15" i="4"/>
  <c r="AX16" i="4"/>
  <c r="AX17" i="4"/>
  <c r="AX18" i="4"/>
  <c r="AX19" i="4"/>
  <c r="AX20" i="4"/>
  <c r="AX21" i="4"/>
  <c r="AX22" i="4"/>
  <c r="AX23" i="4"/>
  <c r="AX24" i="4"/>
  <c r="AX25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41" i="4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99" i="4"/>
  <c r="AX100" i="4"/>
  <c r="AX101" i="4"/>
  <c r="AX102" i="4"/>
  <c r="AX103" i="4"/>
  <c r="AX104" i="4"/>
  <c r="AX105" i="4"/>
  <c r="AX106" i="4"/>
  <c r="AX107" i="4"/>
  <c r="AX108" i="4"/>
  <c r="AX109" i="4"/>
  <c r="AX110" i="4"/>
  <c r="AX111" i="4"/>
  <c r="AX112" i="4"/>
  <c r="AX113" i="4"/>
  <c r="AX114" i="4"/>
  <c r="AX115" i="4"/>
  <c r="AX116" i="4"/>
  <c r="AX117" i="4"/>
  <c r="AX118" i="4"/>
  <c r="AX119" i="4"/>
  <c r="AX120" i="4"/>
  <c r="AX121" i="4"/>
  <c r="AX122" i="4"/>
  <c r="AX123" i="4"/>
  <c r="AX124" i="4"/>
  <c r="AX125" i="4"/>
  <c r="AX126" i="4"/>
  <c r="AX127" i="4"/>
  <c r="AX128" i="4"/>
  <c r="AX129" i="4"/>
  <c r="AX130" i="4"/>
  <c r="AX131" i="4"/>
  <c r="AX132" i="4"/>
  <c r="AX133" i="4"/>
  <c r="AX134" i="4"/>
  <c r="AX135" i="4"/>
  <c r="AX136" i="4"/>
  <c r="AX137" i="4"/>
  <c r="AX138" i="4"/>
  <c r="AX139" i="4"/>
  <c r="AX140" i="4"/>
  <c r="AX3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25" i="4"/>
  <c r="AU26" i="4"/>
  <c r="AU27" i="4"/>
  <c r="AU28" i="4"/>
  <c r="AU29" i="4"/>
  <c r="AU30" i="4"/>
  <c r="AU31" i="4"/>
  <c r="AU32" i="4"/>
  <c r="AU33" i="4"/>
  <c r="AU34" i="4"/>
  <c r="AU35" i="4"/>
  <c r="AU36" i="4"/>
  <c r="AU37" i="4"/>
  <c r="AU38" i="4"/>
  <c r="AU39" i="4"/>
  <c r="AU40" i="4"/>
  <c r="AU41" i="4"/>
  <c r="AU42" i="4"/>
  <c r="AU43" i="4"/>
  <c r="AU44" i="4"/>
  <c r="AU45" i="4"/>
  <c r="AU46" i="4"/>
  <c r="AU47" i="4"/>
  <c r="AU48" i="4"/>
  <c r="AU49" i="4"/>
  <c r="AU50" i="4"/>
  <c r="AU51" i="4"/>
  <c r="AU52" i="4"/>
  <c r="AU53" i="4"/>
  <c r="AU54" i="4"/>
  <c r="AU55" i="4"/>
  <c r="AU56" i="4"/>
  <c r="AU57" i="4"/>
  <c r="AU58" i="4"/>
  <c r="AU59" i="4"/>
  <c r="AU60" i="4"/>
  <c r="AU61" i="4"/>
  <c r="AU62" i="4"/>
  <c r="AU63" i="4"/>
  <c r="AU64" i="4"/>
  <c r="AU65" i="4"/>
  <c r="AU66" i="4"/>
  <c r="AU67" i="4"/>
  <c r="AU68" i="4"/>
  <c r="AU69" i="4"/>
  <c r="AU70" i="4"/>
  <c r="AU71" i="4"/>
  <c r="AU72" i="4"/>
  <c r="AU73" i="4"/>
  <c r="AU74" i="4"/>
  <c r="AU75" i="4"/>
  <c r="AU76" i="4"/>
  <c r="AU77" i="4"/>
  <c r="AU78" i="4"/>
  <c r="AU79" i="4"/>
  <c r="AU80" i="4"/>
  <c r="AU81" i="4"/>
  <c r="AU82" i="4"/>
  <c r="AU83" i="4"/>
  <c r="AU84" i="4"/>
  <c r="AU85" i="4"/>
  <c r="AU86" i="4"/>
  <c r="AU87" i="4"/>
  <c r="AU88" i="4"/>
  <c r="AU89" i="4"/>
  <c r="AU90" i="4"/>
  <c r="AU91" i="4"/>
  <c r="AU92" i="4"/>
  <c r="AU93" i="4"/>
  <c r="AU94" i="4"/>
  <c r="AU95" i="4"/>
  <c r="AU96" i="4"/>
  <c r="AU97" i="4"/>
  <c r="AU98" i="4"/>
  <c r="AU99" i="4"/>
  <c r="AU100" i="4"/>
  <c r="AU101" i="4"/>
  <c r="AU102" i="4"/>
  <c r="AU103" i="4"/>
  <c r="AU104" i="4"/>
  <c r="AU105" i="4"/>
  <c r="AU106" i="4"/>
  <c r="AU107" i="4"/>
  <c r="AU108" i="4"/>
  <c r="AU109" i="4"/>
  <c r="AU110" i="4"/>
  <c r="AU111" i="4"/>
  <c r="AU112" i="4"/>
  <c r="AU113" i="4"/>
  <c r="AU114" i="4"/>
  <c r="AU115" i="4"/>
  <c r="AU116" i="4"/>
  <c r="AU117" i="4"/>
  <c r="AU118" i="4"/>
  <c r="AU119" i="4"/>
  <c r="AU120" i="4"/>
  <c r="AU121" i="4"/>
  <c r="AU122" i="4"/>
  <c r="AU123" i="4"/>
  <c r="AU124" i="4"/>
  <c r="AU125" i="4"/>
  <c r="AU126" i="4"/>
  <c r="AU127" i="4"/>
  <c r="AU128" i="4"/>
  <c r="AU129" i="4"/>
  <c r="AU130" i="4"/>
  <c r="AU131" i="4"/>
  <c r="AU132" i="4"/>
  <c r="AU133" i="4"/>
  <c r="AU134" i="4"/>
  <c r="AU135" i="4"/>
  <c r="AU136" i="4"/>
  <c r="AU137" i="4"/>
  <c r="AU138" i="4"/>
  <c r="AU139" i="4"/>
  <c r="AU140" i="4"/>
  <c r="AU3" i="4"/>
  <c r="BD5" i="6"/>
  <c r="BD6" i="6"/>
  <c r="BD7" i="6"/>
  <c r="BD8" i="6"/>
  <c r="BD9" i="6"/>
  <c r="BD10" i="6"/>
  <c r="BD11" i="6"/>
  <c r="BD12" i="6"/>
  <c r="BD13" i="6"/>
  <c r="BD14" i="6"/>
  <c r="BD15" i="6"/>
  <c r="BD16" i="6"/>
  <c r="BD17" i="6"/>
  <c r="BD18" i="6"/>
  <c r="BD19" i="6"/>
  <c r="BD20" i="6"/>
  <c r="BD21" i="6"/>
  <c r="BD22" i="6"/>
  <c r="BD23" i="6"/>
  <c r="BD24" i="6"/>
  <c r="BD25" i="6"/>
  <c r="BD26" i="6"/>
  <c r="BD27" i="6"/>
  <c r="BD28" i="6"/>
  <c r="BD29" i="6"/>
  <c r="BD30" i="6"/>
  <c r="BD31" i="6"/>
  <c r="BD32" i="6"/>
  <c r="BD33" i="6"/>
  <c r="BD34" i="6"/>
  <c r="BD35" i="6"/>
  <c r="BD36" i="6"/>
  <c r="BD37" i="6"/>
  <c r="BD38" i="6"/>
  <c r="BD39" i="6"/>
  <c r="BD40" i="6"/>
  <c r="BD41" i="6"/>
  <c r="BD42" i="6"/>
  <c r="BD43" i="6"/>
  <c r="BD44" i="6"/>
  <c r="BD45" i="6"/>
  <c r="BD46" i="6"/>
  <c r="BD47" i="6"/>
  <c r="BD48" i="6"/>
  <c r="BD49" i="6"/>
  <c r="BD50" i="6"/>
  <c r="BD51" i="6"/>
  <c r="BD52" i="6"/>
  <c r="BD53" i="6"/>
  <c r="BD54" i="6"/>
  <c r="BD55" i="6"/>
  <c r="BD56" i="6"/>
  <c r="BD57" i="6"/>
  <c r="BD58" i="6"/>
  <c r="BD59" i="6"/>
  <c r="BD60" i="6"/>
  <c r="BD61" i="6"/>
  <c r="BD62" i="6"/>
  <c r="BD63" i="6"/>
  <c r="BD64" i="6"/>
  <c r="BD65" i="6"/>
  <c r="BD66" i="6"/>
  <c r="BD67" i="6"/>
  <c r="BD68" i="6"/>
  <c r="BD69" i="6"/>
  <c r="BD70" i="6"/>
  <c r="BD71" i="6"/>
  <c r="BD72" i="6"/>
  <c r="BD73" i="6"/>
  <c r="BD74" i="6"/>
  <c r="BD75" i="6"/>
  <c r="BD76" i="6"/>
  <c r="BD77" i="6"/>
  <c r="BD78" i="6"/>
  <c r="BD79" i="6"/>
  <c r="BD80" i="6"/>
  <c r="BD81" i="6"/>
  <c r="BD82" i="6"/>
  <c r="BD83" i="6"/>
  <c r="BD84" i="6"/>
  <c r="BD85" i="6"/>
  <c r="BD86" i="6"/>
  <c r="BD87" i="6"/>
  <c r="BD88" i="6"/>
  <c r="BD89" i="6"/>
  <c r="BD90" i="6"/>
  <c r="BD91" i="6"/>
  <c r="BD92" i="6"/>
  <c r="BD93" i="6"/>
  <c r="BD94" i="6"/>
  <c r="BD95" i="6"/>
  <c r="BD96" i="6"/>
  <c r="BD97" i="6"/>
  <c r="BD98" i="6"/>
  <c r="BD99" i="6"/>
  <c r="BD100" i="6"/>
  <c r="BD101" i="6"/>
  <c r="BD102" i="6"/>
  <c r="BD103" i="6"/>
  <c r="BD104" i="6"/>
  <c r="BD105" i="6"/>
  <c r="BD106" i="6"/>
  <c r="BD107" i="6"/>
  <c r="BD108" i="6"/>
  <c r="BD109" i="6"/>
  <c r="BD110" i="6"/>
  <c r="BD111" i="6"/>
  <c r="BD112" i="6"/>
  <c r="BD113" i="6"/>
  <c r="BD114" i="6"/>
  <c r="BD115" i="6"/>
  <c r="BD116" i="6"/>
  <c r="BD117" i="6"/>
  <c r="BD118" i="6"/>
  <c r="BD119" i="6"/>
  <c r="BD120" i="6"/>
  <c r="BD121" i="6"/>
  <c r="BD122" i="6"/>
  <c r="BD123" i="6"/>
  <c r="BD124" i="6"/>
  <c r="BD125" i="6"/>
  <c r="BD126" i="6"/>
  <c r="BD127" i="6"/>
  <c r="BD128" i="6"/>
  <c r="BD129" i="6"/>
  <c r="BD130" i="6"/>
  <c r="BD131" i="6"/>
  <c r="BD132" i="6"/>
  <c r="BD133" i="6"/>
  <c r="BD134" i="6"/>
  <c r="BD135" i="6"/>
  <c r="BD136" i="6"/>
  <c r="BD137" i="6"/>
  <c r="BD138" i="6"/>
  <c r="BD139" i="6"/>
  <c r="BD140" i="6"/>
  <c r="BD141" i="6"/>
  <c r="BC5" i="6"/>
  <c r="BC6" i="6"/>
  <c r="BC7" i="6"/>
  <c r="BC8" i="6"/>
  <c r="BC9" i="6"/>
  <c r="BC10" i="6"/>
  <c r="BC11" i="6"/>
  <c r="BC12" i="6"/>
  <c r="BC13" i="6"/>
  <c r="BC14" i="6"/>
  <c r="BC15" i="6"/>
  <c r="BC16" i="6"/>
  <c r="BC17" i="6"/>
  <c r="BC18" i="6"/>
  <c r="BC19" i="6"/>
  <c r="BC20" i="6"/>
  <c r="BC21" i="6"/>
  <c r="BC22" i="6"/>
  <c r="BC23" i="6"/>
  <c r="BC24" i="6"/>
  <c r="BC25" i="6"/>
  <c r="BC26" i="6"/>
  <c r="BC27" i="6"/>
  <c r="BC28" i="6"/>
  <c r="BC29" i="6"/>
  <c r="BC30" i="6"/>
  <c r="BC31" i="6"/>
  <c r="BC32" i="6"/>
  <c r="BC33" i="6"/>
  <c r="BC34" i="6"/>
  <c r="BC35" i="6"/>
  <c r="BC36" i="6"/>
  <c r="BC37" i="6"/>
  <c r="BC38" i="6"/>
  <c r="BC39" i="6"/>
  <c r="BC40" i="6"/>
  <c r="BC41" i="6"/>
  <c r="BC42" i="6"/>
  <c r="BC43" i="6"/>
  <c r="BC44" i="6"/>
  <c r="BC45" i="6"/>
  <c r="BC46" i="6"/>
  <c r="BC47" i="6"/>
  <c r="BC48" i="6"/>
  <c r="BC49" i="6"/>
  <c r="BC50" i="6"/>
  <c r="BC51" i="6"/>
  <c r="BC52" i="6"/>
  <c r="BC53" i="6"/>
  <c r="BC54" i="6"/>
  <c r="BC55" i="6"/>
  <c r="BC56" i="6"/>
  <c r="BC57" i="6"/>
  <c r="BC58" i="6"/>
  <c r="BC59" i="6"/>
  <c r="BC60" i="6"/>
  <c r="BC61" i="6"/>
  <c r="BC62" i="6"/>
  <c r="BC63" i="6"/>
  <c r="BC64" i="6"/>
  <c r="BC65" i="6"/>
  <c r="BC66" i="6"/>
  <c r="BC67" i="6"/>
  <c r="BC68" i="6"/>
  <c r="BC69" i="6"/>
  <c r="BC70" i="6"/>
  <c r="BC71" i="6"/>
  <c r="BC72" i="6"/>
  <c r="BC73" i="6"/>
  <c r="BC74" i="6"/>
  <c r="BC75" i="6"/>
  <c r="BC76" i="6"/>
  <c r="BC77" i="6"/>
  <c r="BC78" i="6"/>
  <c r="BC79" i="6"/>
  <c r="BC80" i="6"/>
  <c r="BC81" i="6"/>
  <c r="BC82" i="6"/>
  <c r="BC83" i="6"/>
  <c r="BC84" i="6"/>
  <c r="BC85" i="6"/>
  <c r="BC86" i="6"/>
  <c r="BC87" i="6"/>
  <c r="BC88" i="6"/>
  <c r="BC89" i="6"/>
  <c r="BC90" i="6"/>
  <c r="BC91" i="6"/>
  <c r="BC92" i="6"/>
  <c r="BC93" i="6"/>
  <c r="BC94" i="6"/>
  <c r="BC95" i="6"/>
  <c r="BC96" i="6"/>
  <c r="BC97" i="6"/>
  <c r="BC98" i="6"/>
  <c r="BC99" i="6"/>
  <c r="BC100" i="6"/>
  <c r="BC101" i="6"/>
  <c r="BC102" i="6"/>
  <c r="BC103" i="6"/>
  <c r="BC104" i="6"/>
  <c r="BC105" i="6"/>
  <c r="BC106" i="6"/>
  <c r="BC107" i="6"/>
  <c r="BC108" i="6"/>
  <c r="BC109" i="6"/>
  <c r="BC110" i="6"/>
  <c r="BC111" i="6"/>
  <c r="BC112" i="6"/>
  <c r="BC113" i="6"/>
  <c r="BC114" i="6"/>
  <c r="BC115" i="6"/>
  <c r="BC116" i="6"/>
  <c r="BC117" i="6"/>
  <c r="BC118" i="6"/>
  <c r="BC119" i="6"/>
  <c r="BC120" i="6"/>
  <c r="BC121" i="6"/>
  <c r="BC122" i="6"/>
  <c r="BC123" i="6"/>
  <c r="BC124" i="6"/>
  <c r="BC125" i="6"/>
  <c r="BC126" i="6"/>
  <c r="BC127" i="6"/>
  <c r="BC128" i="6"/>
  <c r="BC129" i="6"/>
  <c r="BC130" i="6"/>
  <c r="BC131" i="6"/>
  <c r="BC132" i="6"/>
  <c r="BC133" i="6"/>
  <c r="BC134" i="6"/>
  <c r="BC135" i="6"/>
  <c r="BC136" i="6"/>
  <c r="BC137" i="6"/>
  <c r="BC138" i="6"/>
  <c r="BC139" i="6"/>
  <c r="BC140" i="6"/>
  <c r="BC141" i="6"/>
  <c r="BA5" i="6"/>
  <c r="BA6" i="6"/>
  <c r="BA7" i="6"/>
  <c r="BA8" i="6"/>
  <c r="BA9" i="6"/>
  <c r="BA10" i="6"/>
  <c r="BA11" i="6"/>
  <c r="BA12" i="6"/>
  <c r="BA13" i="6"/>
  <c r="BA14" i="6"/>
  <c r="BA15" i="6"/>
  <c r="BA16" i="6"/>
  <c r="BA17" i="6"/>
  <c r="BA18" i="6"/>
  <c r="BA19" i="6"/>
  <c r="BA20" i="6"/>
  <c r="BA21" i="6"/>
  <c r="BA22" i="6"/>
  <c r="BA23" i="6"/>
  <c r="BA24" i="6"/>
  <c r="BA25" i="6"/>
  <c r="BA26" i="6"/>
  <c r="BA27" i="6"/>
  <c r="BA28" i="6"/>
  <c r="BA29" i="6"/>
  <c r="BA30" i="6"/>
  <c r="BA31" i="6"/>
  <c r="BA32" i="6"/>
  <c r="BA33" i="6"/>
  <c r="BA34" i="6"/>
  <c r="BA35" i="6"/>
  <c r="BA36" i="6"/>
  <c r="BA37" i="6"/>
  <c r="BA38" i="6"/>
  <c r="BA39" i="6"/>
  <c r="BA40" i="6"/>
  <c r="BA41" i="6"/>
  <c r="BA42" i="6"/>
  <c r="BA43" i="6"/>
  <c r="BA44" i="6"/>
  <c r="BA45" i="6"/>
  <c r="BA46" i="6"/>
  <c r="BA47" i="6"/>
  <c r="BA48" i="6"/>
  <c r="BA49" i="6"/>
  <c r="BA50" i="6"/>
  <c r="BA51" i="6"/>
  <c r="BA52" i="6"/>
  <c r="BA53" i="6"/>
  <c r="BA54" i="6"/>
  <c r="BA55" i="6"/>
  <c r="BA56" i="6"/>
  <c r="BA57" i="6"/>
  <c r="BA58" i="6"/>
  <c r="BA59" i="6"/>
  <c r="BA60" i="6"/>
  <c r="BA61" i="6"/>
  <c r="BA62" i="6"/>
  <c r="BA63" i="6"/>
  <c r="BA64" i="6"/>
  <c r="BA65" i="6"/>
  <c r="BA66" i="6"/>
  <c r="BA67" i="6"/>
  <c r="BA68" i="6"/>
  <c r="BA69" i="6"/>
  <c r="BA70" i="6"/>
  <c r="BA71" i="6"/>
  <c r="BA72" i="6"/>
  <c r="BA73" i="6"/>
  <c r="BA74" i="6"/>
  <c r="BA75" i="6"/>
  <c r="BA76" i="6"/>
  <c r="BA77" i="6"/>
  <c r="BA78" i="6"/>
  <c r="BA79" i="6"/>
  <c r="BA80" i="6"/>
  <c r="BA81" i="6"/>
  <c r="BA82" i="6"/>
  <c r="BA83" i="6"/>
  <c r="BA84" i="6"/>
  <c r="BA85" i="6"/>
  <c r="BA86" i="6"/>
  <c r="BA87" i="6"/>
  <c r="BA88" i="6"/>
  <c r="BA89" i="6"/>
  <c r="BA90" i="6"/>
  <c r="BA91" i="6"/>
  <c r="BA92" i="6"/>
  <c r="BA93" i="6"/>
  <c r="BA94" i="6"/>
  <c r="BA95" i="6"/>
  <c r="BA96" i="6"/>
  <c r="BA97" i="6"/>
  <c r="BA98" i="6"/>
  <c r="BA99" i="6"/>
  <c r="BA100" i="6"/>
  <c r="BA101" i="6"/>
  <c r="BA102" i="6"/>
  <c r="BA103" i="6"/>
  <c r="BA104" i="6"/>
  <c r="BA105" i="6"/>
  <c r="BA106" i="6"/>
  <c r="BA107" i="6"/>
  <c r="BA108" i="6"/>
  <c r="BA109" i="6"/>
  <c r="BA110" i="6"/>
  <c r="BA111" i="6"/>
  <c r="BA112" i="6"/>
  <c r="BA113" i="6"/>
  <c r="BA114" i="6"/>
  <c r="BA115" i="6"/>
  <c r="BA116" i="6"/>
  <c r="BA117" i="6"/>
  <c r="BA118" i="6"/>
  <c r="BA119" i="6"/>
  <c r="BA120" i="6"/>
  <c r="BA121" i="6"/>
  <c r="BA122" i="6"/>
  <c r="BA123" i="6"/>
  <c r="BA124" i="6"/>
  <c r="BA125" i="6"/>
  <c r="BA126" i="6"/>
  <c r="BA127" i="6"/>
  <c r="BA128" i="6"/>
  <c r="BA129" i="6"/>
  <c r="BA130" i="6"/>
  <c r="BA131" i="6"/>
  <c r="BA132" i="6"/>
  <c r="BA133" i="6"/>
  <c r="BA134" i="6"/>
  <c r="BA135" i="6"/>
  <c r="BA136" i="6"/>
  <c r="BA137" i="6"/>
  <c r="BA138" i="6"/>
  <c r="BA139" i="6"/>
  <c r="BA140" i="6"/>
  <c r="BA141" i="6"/>
  <c r="AZ5" i="6"/>
  <c r="AZ6" i="6"/>
  <c r="AZ7" i="6"/>
  <c r="AZ8" i="6"/>
  <c r="AZ9" i="6"/>
  <c r="AZ10" i="6"/>
  <c r="AZ11" i="6"/>
  <c r="AZ12" i="6"/>
  <c r="AZ13" i="6"/>
  <c r="AZ14" i="6"/>
  <c r="AZ15" i="6"/>
  <c r="AZ16" i="6"/>
  <c r="AZ17" i="6"/>
  <c r="AZ18" i="6"/>
  <c r="AZ19" i="6"/>
  <c r="AZ20" i="6"/>
  <c r="AZ21" i="6"/>
  <c r="AZ22" i="6"/>
  <c r="AZ23" i="6"/>
  <c r="AZ24" i="6"/>
  <c r="AZ25" i="6"/>
  <c r="AZ26" i="6"/>
  <c r="AZ27" i="6"/>
  <c r="AZ28" i="6"/>
  <c r="AZ29" i="6"/>
  <c r="AZ30" i="6"/>
  <c r="AZ31" i="6"/>
  <c r="AZ32" i="6"/>
  <c r="AZ33" i="6"/>
  <c r="AZ34" i="6"/>
  <c r="AZ35" i="6"/>
  <c r="AZ36" i="6"/>
  <c r="AZ37" i="6"/>
  <c r="AZ38" i="6"/>
  <c r="AZ39" i="6"/>
  <c r="AZ40" i="6"/>
  <c r="AZ41" i="6"/>
  <c r="AZ42" i="6"/>
  <c r="AZ43" i="6"/>
  <c r="AZ44" i="6"/>
  <c r="AZ45" i="6"/>
  <c r="AZ46" i="6"/>
  <c r="AZ47" i="6"/>
  <c r="AZ48" i="6"/>
  <c r="AZ49" i="6"/>
  <c r="AZ50" i="6"/>
  <c r="AZ51" i="6"/>
  <c r="AZ52" i="6"/>
  <c r="AZ53" i="6"/>
  <c r="AZ54" i="6"/>
  <c r="AZ55" i="6"/>
  <c r="AZ56" i="6"/>
  <c r="AZ57" i="6"/>
  <c r="AZ58" i="6"/>
  <c r="AZ59" i="6"/>
  <c r="AZ60" i="6"/>
  <c r="AZ61" i="6"/>
  <c r="AZ62" i="6"/>
  <c r="AZ63" i="6"/>
  <c r="AZ64" i="6"/>
  <c r="AZ65" i="6"/>
  <c r="AZ66" i="6"/>
  <c r="AZ67" i="6"/>
  <c r="AZ68" i="6"/>
  <c r="AZ69" i="6"/>
  <c r="AZ70" i="6"/>
  <c r="AZ71" i="6"/>
  <c r="AZ72" i="6"/>
  <c r="AZ73" i="6"/>
  <c r="AZ74" i="6"/>
  <c r="AZ75" i="6"/>
  <c r="AZ76" i="6"/>
  <c r="AZ77" i="6"/>
  <c r="AZ78" i="6"/>
  <c r="AZ79" i="6"/>
  <c r="AZ80" i="6"/>
  <c r="AZ81" i="6"/>
  <c r="AZ82" i="6"/>
  <c r="AZ83" i="6"/>
  <c r="AZ84" i="6"/>
  <c r="AZ85" i="6"/>
  <c r="AZ86" i="6"/>
  <c r="AZ87" i="6"/>
  <c r="AZ88" i="6"/>
  <c r="AZ89" i="6"/>
  <c r="AZ90" i="6"/>
  <c r="AZ91" i="6"/>
  <c r="AZ92" i="6"/>
  <c r="AZ93" i="6"/>
  <c r="AZ94" i="6"/>
  <c r="AZ95" i="6"/>
  <c r="AZ96" i="6"/>
  <c r="AZ97" i="6"/>
  <c r="AZ98" i="6"/>
  <c r="AZ99" i="6"/>
  <c r="AZ100" i="6"/>
  <c r="AZ101" i="6"/>
  <c r="AZ102" i="6"/>
  <c r="AZ103" i="6"/>
  <c r="AZ104" i="6"/>
  <c r="AZ105" i="6"/>
  <c r="AZ106" i="6"/>
  <c r="AZ107" i="6"/>
  <c r="AZ108" i="6"/>
  <c r="AZ109" i="6"/>
  <c r="AZ110" i="6"/>
  <c r="AZ111" i="6"/>
  <c r="AZ112" i="6"/>
  <c r="AZ113" i="6"/>
  <c r="AZ114" i="6"/>
  <c r="AZ115" i="6"/>
  <c r="AZ116" i="6"/>
  <c r="AZ117" i="6"/>
  <c r="AZ118" i="6"/>
  <c r="AZ119" i="6"/>
  <c r="AZ120" i="6"/>
  <c r="AZ121" i="6"/>
  <c r="AZ122" i="6"/>
  <c r="AZ123" i="6"/>
  <c r="AZ124" i="6"/>
  <c r="AZ125" i="6"/>
  <c r="AZ126" i="6"/>
  <c r="AZ127" i="6"/>
  <c r="AZ128" i="6"/>
  <c r="AZ129" i="6"/>
  <c r="AZ130" i="6"/>
  <c r="AZ131" i="6"/>
  <c r="AZ132" i="6"/>
  <c r="AZ133" i="6"/>
  <c r="AZ134" i="6"/>
  <c r="AZ135" i="6"/>
  <c r="AZ136" i="6"/>
  <c r="AZ137" i="6"/>
  <c r="AZ138" i="6"/>
  <c r="AZ139" i="6"/>
  <c r="AZ140" i="6"/>
  <c r="AZ141" i="6"/>
  <c r="AX5" i="6"/>
  <c r="AX6" i="6"/>
  <c r="AX7" i="6"/>
  <c r="AX8" i="6"/>
  <c r="AX9" i="6"/>
  <c r="AX10" i="6"/>
  <c r="AX11" i="6"/>
  <c r="AX12" i="6"/>
  <c r="AX13" i="6"/>
  <c r="AX14" i="6"/>
  <c r="AX15" i="6"/>
  <c r="AX16" i="6"/>
  <c r="AX17" i="6"/>
  <c r="AX18" i="6"/>
  <c r="AX19" i="6"/>
  <c r="AX20" i="6"/>
  <c r="AX21" i="6"/>
  <c r="AX22" i="6"/>
  <c r="AX23" i="6"/>
  <c r="AX24" i="6"/>
  <c r="AX25" i="6"/>
  <c r="AX26" i="6"/>
  <c r="AX27" i="6"/>
  <c r="AX28" i="6"/>
  <c r="AX29" i="6"/>
  <c r="AX30" i="6"/>
  <c r="AX31" i="6"/>
  <c r="AX32" i="6"/>
  <c r="AX33" i="6"/>
  <c r="AX34" i="6"/>
  <c r="AX35" i="6"/>
  <c r="AX36" i="6"/>
  <c r="AX37" i="6"/>
  <c r="AX38" i="6"/>
  <c r="AX39" i="6"/>
  <c r="AX40" i="6"/>
  <c r="AX41" i="6"/>
  <c r="AX42" i="6"/>
  <c r="AX43" i="6"/>
  <c r="AX44" i="6"/>
  <c r="AX45" i="6"/>
  <c r="AX46" i="6"/>
  <c r="AX47" i="6"/>
  <c r="AX48" i="6"/>
  <c r="AX49" i="6"/>
  <c r="AX50" i="6"/>
  <c r="AX51" i="6"/>
  <c r="AX52" i="6"/>
  <c r="AX53" i="6"/>
  <c r="AX54" i="6"/>
  <c r="AX55" i="6"/>
  <c r="AX56" i="6"/>
  <c r="AX57" i="6"/>
  <c r="AX58" i="6"/>
  <c r="AX59" i="6"/>
  <c r="AX60" i="6"/>
  <c r="AX61" i="6"/>
  <c r="AX62" i="6"/>
  <c r="AX63" i="6"/>
  <c r="AX64" i="6"/>
  <c r="AX65" i="6"/>
  <c r="AX66" i="6"/>
  <c r="AX67" i="6"/>
  <c r="AX68" i="6"/>
  <c r="AX69" i="6"/>
  <c r="AX70" i="6"/>
  <c r="AX71" i="6"/>
  <c r="AX72" i="6"/>
  <c r="AX73" i="6"/>
  <c r="AX74" i="6"/>
  <c r="AX75" i="6"/>
  <c r="AX76" i="6"/>
  <c r="AX77" i="6"/>
  <c r="AX78" i="6"/>
  <c r="AX79" i="6"/>
  <c r="AX80" i="6"/>
  <c r="AX81" i="6"/>
  <c r="AX82" i="6"/>
  <c r="AX83" i="6"/>
  <c r="AX84" i="6"/>
  <c r="AX85" i="6"/>
  <c r="AX86" i="6"/>
  <c r="AX87" i="6"/>
  <c r="AX88" i="6"/>
  <c r="AX89" i="6"/>
  <c r="AX90" i="6"/>
  <c r="AX91" i="6"/>
  <c r="AX92" i="6"/>
  <c r="AX93" i="6"/>
  <c r="AX94" i="6"/>
  <c r="AX95" i="6"/>
  <c r="AX96" i="6"/>
  <c r="AX97" i="6"/>
  <c r="AX98" i="6"/>
  <c r="AX99" i="6"/>
  <c r="AX100" i="6"/>
  <c r="AX101" i="6"/>
  <c r="AX102" i="6"/>
  <c r="AX103" i="6"/>
  <c r="AX104" i="6"/>
  <c r="AX105" i="6"/>
  <c r="AX106" i="6"/>
  <c r="AX107" i="6"/>
  <c r="AX108" i="6"/>
  <c r="AX109" i="6"/>
  <c r="AX110" i="6"/>
  <c r="AX111" i="6"/>
  <c r="AX112" i="6"/>
  <c r="AX113" i="6"/>
  <c r="AX114" i="6"/>
  <c r="AX115" i="6"/>
  <c r="AX116" i="6"/>
  <c r="AX117" i="6"/>
  <c r="AX118" i="6"/>
  <c r="AX119" i="6"/>
  <c r="AX120" i="6"/>
  <c r="AX121" i="6"/>
  <c r="AX122" i="6"/>
  <c r="AX123" i="6"/>
  <c r="AX124" i="6"/>
  <c r="AX125" i="6"/>
  <c r="AX126" i="6"/>
  <c r="AX127" i="6"/>
  <c r="AX128" i="6"/>
  <c r="AX129" i="6"/>
  <c r="AX130" i="6"/>
  <c r="AX131" i="6"/>
  <c r="AX132" i="6"/>
  <c r="AX133" i="6"/>
  <c r="AX134" i="6"/>
  <c r="AX135" i="6"/>
  <c r="AX136" i="6"/>
  <c r="AX137" i="6"/>
  <c r="AX138" i="6"/>
  <c r="AX139" i="6"/>
  <c r="AX140" i="6"/>
  <c r="AX141" i="6"/>
  <c r="AW5" i="6"/>
  <c r="AW6" i="6"/>
  <c r="AW7" i="6"/>
  <c r="AW8" i="6"/>
  <c r="AW9" i="6"/>
  <c r="AW10" i="6"/>
  <c r="AW11" i="6"/>
  <c r="AW12" i="6"/>
  <c r="AW13" i="6"/>
  <c r="AW14" i="6"/>
  <c r="AW15" i="6"/>
  <c r="AW16" i="6"/>
  <c r="AW17" i="6"/>
  <c r="AW18" i="6"/>
  <c r="AW19" i="6"/>
  <c r="AW20" i="6"/>
  <c r="AW21" i="6"/>
  <c r="AW22" i="6"/>
  <c r="AW23" i="6"/>
  <c r="AW24" i="6"/>
  <c r="AW25" i="6"/>
  <c r="AW26" i="6"/>
  <c r="AW27" i="6"/>
  <c r="AW28" i="6"/>
  <c r="AW29" i="6"/>
  <c r="AW30" i="6"/>
  <c r="AW31" i="6"/>
  <c r="AW32" i="6"/>
  <c r="AW33" i="6"/>
  <c r="AW34" i="6"/>
  <c r="AW35" i="6"/>
  <c r="AW36" i="6"/>
  <c r="AW37" i="6"/>
  <c r="AW38" i="6"/>
  <c r="AW39" i="6"/>
  <c r="AW40" i="6"/>
  <c r="AW41" i="6"/>
  <c r="AW42" i="6"/>
  <c r="AW43" i="6"/>
  <c r="AW44" i="6"/>
  <c r="AW45" i="6"/>
  <c r="AW46" i="6"/>
  <c r="AW47" i="6"/>
  <c r="AW48" i="6"/>
  <c r="AW49" i="6"/>
  <c r="AW50" i="6"/>
  <c r="AW51" i="6"/>
  <c r="AW52" i="6"/>
  <c r="AW53" i="6"/>
  <c r="AW54" i="6"/>
  <c r="AW55" i="6"/>
  <c r="AW56" i="6"/>
  <c r="AW57" i="6"/>
  <c r="AW58" i="6"/>
  <c r="AW59" i="6"/>
  <c r="AW60" i="6"/>
  <c r="AW61" i="6"/>
  <c r="AW62" i="6"/>
  <c r="AW63" i="6"/>
  <c r="AW64" i="6"/>
  <c r="AW65" i="6"/>
  <c r="AW66" i="6"/>
  <c r="AW67" i="6"/>
  <c r="AW68" i="6"/>
  <c r="AW69" i="6"/>
  <c r="AW70" i="6"/>
  <c r="AW71" i="6"/>
  <c r="AW72" i="6"/>
  <c r="AW73" i="6"/>
  <c r="AW74" i="6"/>
  <c r="AW75" i="6"/>
  <c r="AW76" i="6"/>
  <c r="AW77" i="6"/>
  <c r="AW78" i="6"/>
  <c r="AW79" i="6"/>
  <c r="AW80" i="6"/>
  <c r="AW81" i="6"/>
  <c r="AW82" i="6"/>
  <c r="AW83" i="6"/>
  <c r="AW84" i="6"/>
  <c r="AW85" i="6"/>
  <c r="AW86" i="6"/>
  <c r="AW87" i="6"/>
  <c r="AW88" i="6"/>
  <c r="AW89" i="6"/>
  <c r="AW90" i="6"/>
  <c r="AW91" i="6"/>
  <c r="AW92" i="6"/>
  <c r="AW93" i="6"/>
  <c r="AW94" i="6"/>
  <c r="AW95" i="6"/>
  <c r="AW96" i="6"/>
  <c r="AW97" i="6"/>
  <c r="AW98" i="6"/>
  <c r="AW99" i="6"/>
  <c r="AW100" i="6"/>
  <c r="AW101" i="6"/>
  <c r="AW102" i="6"/>
  <c r="AW103" i="6"/>
  <c r="AW104" i="6"/>
  <c r="AW105" i="6"/>
  <c r="AW106" i="6"/>
  <c r="AW107" i="6"/>
  <c r="AW108" i="6"/>
  <c r="AW109" i="6"/>
  <c r="AW110" i="6"/>
  <c r="AW111" i="6"/>
  <c r="AW112" i="6"/>
  <c r="AW113" i="6"/>
  <c r="AW114" i="6"/>
  <c r="AW115" i="6"/>
  <c r="AW116" i="6"/>
  <c r="AW117" i="6"/>
  <c r="AW118" i="6"/>
  <c r="AW119" i="6"/>
  <c r="AW120" i="6"/>
  <c r="AW121" i="6"/>
  <c r="AW122" i="6"/>
  <c r="AW123" i="6"/>
  <c r="AW124" i="6"/>
  <c r="AW125" i="6"/>
  <c r="AW126" i="6"/>
  <c r="AW127" i="6"/>
  <c r="AW128" i="6"/>
  <c r="AW129" i="6"/>
  <c r="AW130" i="6"/>
  <c r="AW131" i="6"/>
  <c r="AW132" i="6"/>
  <c r="AW133" i="6"/>
  <c r="AW134" i="6"/>
  <c r="AW135" i="6"/>
  <c r="AW136" i="6"/>
  <c r="AW137" i="6"/>
  <c r="AW138" i="6"/>
  <c r="AW139" i="6"/>
  <c r="AW140" i="6"/>
  <c r="AW141" i="6"/>
  <c r="AV5" i="6"/>
  <c r="AV6" i="6"/>
  <c r="AV7" i="6"/>
  <c r="AV8" i="6"/>
  <c r="AV9" i="6"/>
  <c r="AV10" i="6"/>
  <c r="AV11" i="6"/>
  <c r="AV12" i="6"/>
  <c r="AV13" i="6"/>
  <c r="AV14" i="6"/>
  <c r="AV15" i="6"/>
  <c r="AV16" i="6"/>
  <c r="AV17" i="6"/>
  <c r="AV18" i="6"/>
  <c r="AV19" i="6"/>
  <c r="AV20" i="6"/>
  <c r="AV21" i="6"/>
  <c r="AV22" i="6"/>
  <c r="AV23" i="6"/>
  <c r="AV24" i="6"/>
  <c r="AV25" i="6"/>
  <c r="AV26" i="6"/>
  <c r="AV27" i="6"/>
  <c r="AV28" i="6"/>
  <c r="AV29" i="6"/>
  <c r="AV30" i="6"/>
  <c r="AV31" i="6"/>
  <c r="AV32" i="6"/>
  <c r="AV33" i="6"/>
  <c r="AV34" i="6"/>
  <c r="AV35" i="6"/>
  <c r="AV36" i="6"/>
  <c r="AV37" i="6"/>
  <c r="AV38" i="6"/>
  <c r="AV39" i="6"/>
  <c r="AV40" i="6"/>
  <c r="AV41" i="6"/>
  <c r="AV42" i="6"/>
  <c r="AV43" i="6"/>
  <c r="AV44" i="6"/>
  <c r="AV45" i="6"/>
  <c r="AV46" i="6"/>
  <c r="AV47" i="6"/>
  <c r="AV48" i="6"/>
  <c r="AV49" i="6"/>
  <c r="AV50" i="6"/>
  <c r="AV51" i="6"/>
  <c r="AV52" i="6"/>
  <c r="AV53" i="6"/>
  <c r="AV54" i="6"/>
  <c r="AV55" i="6"/>
  <c r="AV56" i="6"/>
  <c r="AV57" i="6"/>
  <c r="AV58" i="6"/>
  <c r="AV59" i="6"/>
  <c r="AV60" i="6"/>
  <c r="AV61" i="6"/>
  <c r="AV62" i="6"/>
  <c r="AV63" i="6"/>
  <c r="AV64" i="6"/>
  <c r="AV65" i="6"/>
  <c r="AV66" i="6"/>
  <c r="AV67" i="6"/>
  <c r="AV68" i="6"/>
  <c r="AV69" i="6"/>
  <c r="AV70" i="6"/>
  <c r="AV71" i="6"/>
  <c r="AV72" i="6"/>
  <c r="AV73" i="6"/>
  <c r="AV74" i="6"/>
  <c r="AV75" i="6"/>
  <c r="AV76" i="6"/>
  <c r="AV77" i="6"/>
  <c r="AV78" i="6"/>
  <c r="AV79" i="6"/>
  <c r="AV80" i="6"/>
  <c r="AV81" i="6"/>
  <c r="AV82" i="6"/>
  <c r="AV83" i="6"/>
  <c r="AV84" i="6"/>
  <c r="AV85" i="6"/>
  <c r="AV86" i="6"/>
  <c r="AV87" i="6"/>
  <c r="AV88" i="6"/>
  <c r="AV89" i="6"/>
  <c r="AV90" i="6"/>
  <c r="AV91" i="6"/>
  <c r="AV92" i="6"/>
  <c r="AV93" i="6"/>
  <c r="AV94" i="6"/>
  <c r="AV95" i="6"/>
  <c r="AV96" i="6"/>
  <c r="AV97" i="6"/>
  <c r="AV98" i="6"/>
  <c r="AV99" i="6"/>
  <c r="AV100" i="6"/>
  <c r="AV101" i="6"/>
  <c r="AV102" i="6"/>
  <c r="AV103" i="6"/>
  <c r="AV104" i="6"/>
  <c r="AV105" i="6"/>
  <c r="AV106" i="6"/>
  <c r="AV107" i="6"/>
  <c r="AV108" i="6"/>
  <c r="AV109" i="6"/>
  <c r="AV110" i="6"/>
  <c r="AV111" i="6"/>
  <c r="AV112" i="6"/>
  <c r="AV113" i="6"/>
  <c r="AV114" i="6"/>
  <c r="AV115" i="6"/>
  <c r="AV116" i="6"/>
  <c r="AV117" i="6"/>
  <c r="AV118" i="6"/>
  <c r="AV119" i="6"/>
  <c r="AV120" i="6"/>
  <c r="AV121" i="6"/>
  <c r="AV122" i="6"/>
  <c r="AV123" i="6"/>
  <c r="AV124" i="6"/>
  <c r="AV125" i="6"/>
  <c r="AV126" i="6"/>
  <c r="AV127" i="6"/>
  <c r="AV128" i="6"/>
  <c r="AV129" i="6"/>
  <c r="AV130" i="6"/>
  <c r="AV131" i="6"/>
  <c r="AV132" i="6"/>
  <c r="AV133" i="6"/>
  <c r="AV134" i="6"/>
  <c r="AV135" i="6"/>
  <c r="AV136" i="6"/>
  <c r="AV137" i="6"/>
  <c r="AV138" i="6"/>
  <c r="AV139" i="6"/>
  <c r="AV140" i="6"/>
  <c r="AV141" i="6"/>
  <c r="AU5" i="6"/>
  <c r="AU6" i="6"/>
  <c r="AU7" i="6"/>
  <c r="AU8" i="6"/>
  <c r="AU9" i="6"/>
  <c r="AU10" i="6"/>
  <c r="AU11" i="6"/>
  <c r="AU12" i="6"/>
  <c r="AU13" i="6"/>
  <c r="AU14" i="6"/>
  <c r="AU15" i="6"/>
  <c r="AU16" i="6"/>
  <c r="AU17" i="6"/>
  <c r="AU18" i="6"/>
  <c r="AU19" i="6"/>
  <c r="AU20" i="6"/>
  <c r="AU21" i="6"/>
  <c r="AU22" i="6"/>
  <c r="AU23" i="6"/>
  <c r="AU24" i="6"/>
  <c r="AU25" i="6"/>
  <c r="AU26" i="6"/>
  <c r="AU27" i="6"/>
  <c r="AU28" i="6"/>
  <c r="AU29" i="6"/>
  <c r="AU30" i="6"/>
  <c r="AU31" i="6"/>
  <c r="AU32" i="6"/>
  <c r="AU33" i="6"/>
  <c r="AU34" i="6"/>
  <c r="AU35" i="6"/>
  <c r="AU36" i="6"/>
  <c r="AU37" i="6"/>
  <c r="AU38" i="6"/>
  <c r="AU39" i="6"/>
  <c r="AU40" i="6"/>
  <c r="AU41" i="6"/>
  <c r="AU42" i="6"/>
  <c r="AU43" i="6"/>
  <c r="AU44" i="6"/>
  <c r="AU45" i="6"/>
  <c r="AU46" i="6"/>
  <c r="AU47" i="6"/>
  <c r="AU48" i="6"/>
  <c r="AU49" i="6"/>
  <c r="AU50" i="6"/>
  <c r="AU51" i="6"/>
  <c r="AU52" i="6"/>
  <c r="AU53" i="6"/>
  <c r="AU54" i="6"/>
  <c r="AU55" i="6"/>
  <c r="AU56" i="6"/>
  <c r="AU57" i="6"/>
  <c r="AU58" i="6"/>
  <c r="AU59" i="6"/>
  <c r="AU60" i="6"/>
  <c r="AU61" i="6"/>
  <c r="AU62" i="6"/>
  <c r="AU63" i="6"/>
  <c r="AU64" i="6"/>
  <c r="AU65" i="6"/>
  <c r="AU66" i="6"/>
  <c r="AU67" i="6"/>
  <c r="AU68" i="6"/>
  <c r="AU69" i="6"/>
  <c r="AU70" i="6"/>
  <c r="AU71" i="6"/>
  <c r="AU72" i="6"/>
  <c r="AU73" i="6"/>
  <c r="AU74" i="6"/>
  <c r="AU75" i="6"/>
  <c r="AU76" i="6"/>
  <c r="AU77" i="6"/>
  <c r="AU78" i="6"/>
  <c r="AU79" i="6"/>
  <c r="AU80" i="6"/>
  <c r="AU81" i="6"/>
  <c r="AU82" i="6"/>
  <c r="AU83" i="6"/>
  <c r="AU84" i="6"/>
  <c r="AU85" i="6"/>
  <c r="AU86" i="6"/>
  <c r="AU87" i="6"/>
  <c r="AU88" i="6"/>
  <c r="AU89" i="6"/>
  <c r="AU90" i="6"/>
  <c r="AU91" i="6"/>
  <c r="AU92" i="6"/>
  <c r="AU93" i="6"/>
  <c r="AU94" i="6"/>
  <c r="AU95" i="6"/>
  <c r="AU96" i="6"/>
  <c r="AU97" i="6"/>
  <c r="AU98" i="6"/>
  <c r="AU99" i="6"/>
  <c r="AU100" i="6"/>
  <c r="AU101" i="6"/>
  <c r="AU102" i="6"/>
  <c r="AU103" i="6"/>
  <c r="AU104" i="6"/>
  <c r="AU105" i="6"/>
  <c r="AU106" i="6"/>
  <c r="AU107" i="6"/>
  <c r="AU108" i="6"/>
  <c r="AU109" i="6"/>
  <c r="AU110" i="6"/>
  <c r="AU111" i="6"/>
  <c r="AU112" i="6"/>
  <c r="AU113" i="6"/>
  <c r="AU114" i="6"/>
  <c r="AU115" i="6"/>
  <c r="AU116" i="6"/>
  <c r="AU117" i="6"/>
  <c r="AU118" i="6"/>
  <c r="AU119" i="6"/>
  <c r="AU120" i="6"/>
  <c r="AU121" i="6"/>
  <c r="AU122" i="6"/>
  <c r="AU123" i="6"/>
  <c r="AU124" i="6"/>
  <c r="AU125" i="6"/>
  <c r="AU126" i="6"/>
  <c r="AU127" i="6"/>
  <c r="AU128" i="6"/>
  <c r="AU129" i="6"/>
  <c r="AU130" i="6"/>
  <c r="AU131" i="6"/>
  <c r="AU132" i="6"/>
  <c r="AU133" i="6"/>
  <c r="AU134" i="6"/>
  <c r="AU135" i="6"/>
  <c r="AU136" i="6"/>
  <c r="AU137" i="6"/>
  <c r="AU138" i="6"/>
  <c r="AU139" i="6"/>
  <c r="AU140" i="6"/>
  <c r="AU141" i="6"/>
  <c r="AT5" i="6"/>
  <c r="AT6" i="6"/>
  <c r="AT7" i="6"/>
  <c r="AT8" i="6"/>
  <c r="AT9" i="6"/>
  <c r="AT10" i="6"/>
  <c r="AT11" i="6"/>
  <c r="AT12" i="6"/>
  <c r="AT13" i="6"/>
  <c r="AT14" i="6"/>
  <c r="AT15" i="6"/>
  <c r="AT16" i="6"/>
  <c r="AT17" i="6"/>
  <c r="AT18" i="6"/>
  <c r="AT19" i="6"/>
  <c r="AT20" i="6"/>
  <c r="AT21" i="6"/>
  <c r="AT22" i="6"/>
  <c r="AT23" i="6"/>
  <c r="AT24" i="6"/>
  <c r="AT25" i="6"/>
  <c r="AT26" i="6"/>
  <c r="AT27" i="6"/>
  <c r="AT28" i="6"/>
  <c r="AT29" i="6"/>
  <c r="AT30" i="6"/>
  <c r="AT31" i="6"/>
  <c r="AT32" i="6"/>
  <c r="AT33" i="6"/>
  <c r="AT34" i="6"/>
  <c r="AT35" i="6"/>
  <c r="AT36" i="6"/>
  <c r="AT37" i="6"/>
  <c r="AT38" i="6"/>
  <c r="AT39" i="6"/>
  <c r="AT40" i="6"/>
  <c r="AT41" i="6"/>
  <c r="AT42" i="6"/>
  <c r="AT43" i="6"/>
  <c r="AT44" i="6"/>
  <c r="AT45" i="6"/>
  <c r="AT46" i="6"/>
  <c r="AT47" i="6"/>
  <c r="AT48" i="6"/>
  <c r="AT49" i="6"/>
  <c r="AT50" i="6"/>
  <c r="AT51" i="6"/>
  <c r="AT52" i="6"/>
  <c r="AT53" i="6"/>
  <c r="AT54" i="6"/>
  <c r="AT55" i="6"/>
  <c r="AT56" i="6"/>
  <c r="AT57" i="6"/>
  <c r="AT58" i="6"/>
  <c r="AT59" i="6"/>
  <c r="AT60" i="6"/>
  <c r="AT61" i="6"/>
  <c r="AT62" i="6"/>
  <c r="AT63" i="6"/>
  <c r="AT64" i="6"/>
  <c r="AT65" i="6"/>
  <c r="AT66" i="6"/>
  <c r="AT67" i="6"/>
  <c r="AT68" i="6"/>
  <c r="AT69" i="6"/>
  <c r="AT70" i="6"/>
  <c r="AT71" i="6"/>
  <c r="AT72" i="6"/>
  <c r="AT73" i="6"/>
  <c r="AT74" i="6"/>
  <c r="AT75" i="6"/>
  <c r="AT76" i="6"/>
  <c r="AT77" i="6"/>
  <c r="AT78" i="6"/>
  <c r="AT79" i="6"/>
  <c r="AT80" i="6"/>
  <c r="AT81" i="6"/>
  <c r="AT82" i="6"/>
  <c r="AT83" i="6"/>
  <c r="AT84" i="6"/>
  <c r="AT85" i="6"/>
  <c r="AT86" i="6"/>
  <c r="AT87" i="6"/>
  <c r="AT88" i="6"/>
  <c r="AT89" i="6"/>
  <c r="AT90" i="6"/>
  <c r="AT91" i="6"/>
  <c r="AT92" i="6"/>
  <c r="AT93" i="6"/>
  <c r="AT94" i="6"/>
  <c r="AT95" i="6"/>
  <c r="AT96" i="6"/>
  <c r="AT97" i="6"/>
  <c r="AT98" i="6"/>
  <c r="AT99" i="6"/>
  <c r="AT100" i="6"/>
  <c r="AT101" i="6"/>
  <c r="AT102" i="6"/>
  <c r="AT103" i="6"/>
  <c r="AT104" i="6"/>
  <c r="AT105" i="6"/>
  <c r="AT106" i="6"/>
  <c r="AT107" i="6"/>
  <c r="AT108" i="6"/>
  <c r="AT109" i="6"/>
  <c r="AT110" i="6"/>
  <c r="AT111" i="6"/>
  <c r="AT112" i="6"/>
  <c r="AT113" i="6"/>
  <c r="AT114" i="6"/>
  <c r="AT115" i="6"/>
  <c r="AT116" i="6"/>
  <c r="AT117" i="6"/>
  <c r="AT118" i="6"/>
  <c r="AT119" i="6"/>
  <c r="AT120" i="6"/>
  <c r="AT121" i="6"/>
  <c r="AT122" i="6"/>
  <c r="AT123" i="6"/>
  <c r="AT124" i="6"/>
  <c r="AT125" i="6"/>
  <c r="AT126" i="6"/>
  <c r="AT127" i="6"/>
  <c r="AT128" i="6"/>
  <c r="AT129" i="6"/>
  <c r="AT130" i="6"/>
  <c r="AT131" i="6"/>
  <c r="AT132" i="6"/>
  <c r="AT133" i="6"/>
  <c r="AT134" i="6"/>
  <c r="AT135" i="6"/>
  <c r="AT136" i="6"/>
  <c r="AT137" i="6"/>
  <c r="AT138" i="6"/>
  <c r="AT139" i="6"/>
  <c r="AT140" i="6"/>
  <c r="AT141" i="6"/>
  <c r="AS5" i="6"/>
  <c r="AS6" i="6"/>
  <c r="AS7" i="6"/>
  <c r="AS8" i="6"/>
  <c r="AS9" i="6"/>
  <c r="AS10" i="6"/>
  <c r="AS11" i="6"/>
  <c r="AS12" i="6"/>
  <c r="AS13" i="6"/>
  <c r="AS14" i="6"/>
  <c r="AS15" i="6"/>
  <c r="AS16" i="6"/>
  <c r="AS17" i="6"/>
  <c r="AS18" i="6"/>
  <c r="AS19" i="6"/>
  <c r="AS20" i="6"/>
  <c r="AS21" i="6"/>
  <c r="AS22" i="6"/>
  <c r="AS23" i="6"/>
  <c r="AS24" i="6"/>
  <c r="AS25" i="6"/>
  <c r="AS26" i="6"/>
  <c r="AS27" i="6"/>
  <c r="AS28" i="6"/>
  <c r="AS29" i="6"/>
  <c r="AS30" i="6"/>
  <c r="AS31" i="6"/>
  <c r="AS32" i="6"/>
  <c r="AS33" i="6"/>
  <c r="AS34" i="6"/>
  <c r="AS35" i="6"/>
  <c r="AS36" i="6"/>
  <c r="AS37" i="6"/>
  <c r="AS38" i="6"/>
  <c r="AS39" i="6"/>
  <c r="AS40" i="6"/>
  <c r="AS41" i="6"/>
  <c r="AS42" i="6"/>
  <c r="AS43" i="6"/>
  <c r="AS44" i="6"/>
  <c r="AS45" i="6"/>
  <c r="AS46" i="6"/>
  <c r="AS47" i="6"/>
  <c r="AS48" i="6"/>
  <c r="AS49" i="6"/>
  <c r="AS50" i="6"/>
  <c r="AS51" i="6"/>
  <c r="AS52" i="6"/>
  <c r="AS53" i="6"/>
  <c r="AS54" i="6"/>
  <c r="AS55" i="6"/>
  <c r="AS56" i="6"/>
  <c r="AS57" i="6"/>
  <c r="AS58" i="6"/>
  <c r="AS59" i="6"/>
  <c r="AS60" i="6"/>
  <c r="AS61" i="6"/>
  <c r="AS62" i="6"/>
  <c r="AS63" i="6"/>
  <c r="AS64" i="6"/>
  <c r="AS65" i="6"/>
  <c r="AS66" i="6"/>
  <c r="AS67" i="6"/>
  <c r="AS68" i="6"/>
  <c r="AS69" i="6"/>
  <c r="AS70" i="6"/>
  <c r="AS71" i="6"/>
  <c r="AS72" i="6"/>
  <c r="AS73" i="6"/>
  <c r="AS74" i="6"/>
  <c r="AS75" i="6"/>
  <c r="AS76" i="6"/>
  <c r="AS77" i="6"/>
  <c r="AS78" i="6"/>
  <c r="AS79" i="6"/>
  <c r="AS80" i="6"/>
  <c r="AS81" i="6"/>
  <c r="AS82" i="6"/>
  <c r="AS83" i="6"/>
  <c r="AS84" i="6"/>
  <c r="AS85" i="6"/>
  <c r="AS86" i="6"/>
  <c r="AS87" i="6"/>
  <c r="AS88" i="6"/>
  <c r="AS89" i="6"/>
  <c r="AS90" i="6"/>
  <c r="AS91" i="6"/>
  <c r="AS92" i="6"/>
  <c r="AS93" i="6"/>
  <c r="AS94" i="6"/>
  <c r="AS95" i="6"/>
  <c r="AS96" i="6"/>
  <c r="AS97" i="6"/>
  <c r="AS98" i="6"/>
  <c r="AS99" i="6"/>
  <c r="AS100" i="6"/>
  <c r="AS101" i="6"/>
  <c r="AS102" i="6"/>
  <c r="AS103" i="6"/>
  <c r="AS104" i="6"/>
  <c r="AS105" i="6"/>
  <c r="AS106" i="6"/>
  <c r="AS107" i="6"/>
  <c r="AS108" i="6"/>
  <c r="AS109" i="6"/>
  <c r="AS110" i="6"/>
  <c r="AS111" i="6"/>
  <c r="AS112" i="6"/>
  <c r="AS113" i="6"/>
  <c r="AS114" i="6"/>
  <c r="AS115" i="6"/>
  <c r="AS116" i="6"/>
  <c r="AS117" i="6"/>
  <c r="AS118" i="6"/>
  <c r="AS119" i="6"/>
  <c r="AS120" i="6"/>
  <c r="AS121" i="6"/>
  <c r="AS122" i="6"/>
  <c r="AS123" i="6"/>
  <c r="AS124" i="6"/>
  <c r="AS125" i="6"/>
  <c r="AS126" i="6"/>
  <c r="AS127" i="6"/>
  <c r="AS128" i="6"/>
  <c r="AS129" i="6"/>
  <c r="AS130" i="6"/>
  <c r="AS131" i="6"/>
  <c r="AS132" i="6"/>
  <c r="AS133" i="6"/>
  <c r="AS134" i="6"/>
  <c r="AS135" i="6"/>
  <c r="AS136" i="6"/>
  <c r="AS137" i="6"/>
  <c r="AS138" i="6"/>
  <c r="AS139" i="6"/>
  <c r="AS140" i="6"/>
  <c r="AS141" i="6"/>
  <c r="AQ5" i="6"/>
  <c r="AQ6" i="6"/>
  <c r="AQ7" i="6"/>
  <c r="AQ8" i="6"/>
  <c r="AQ9" i="6"/>
  <c r="AQ10" i="6"/>
  <c r="AQ11" i="6"/>
  <c r="AQ12" i="6"/>
  <c r="AQ13" i="6"/>
  <c r="AQ14" i="6"/>
  <c r="AQ15" i="6"/>
  <c r="AQ16" i="6"/>
  <c r="AQ17" i="6"/>
  <c r="AQ18" i="6"/>
  <c r="AQ19" i="6"/>
  <c r="AQ20" i="6"/>
  <c r="AQ21" i="6"/>
  <c r="AQ22" i="6"/>
  <c r="AQ23" i="6"/>
  <c r="AQ24" i="6"/>
  <c r="AQ25" i="6"/>
  <c r="AQ26" i="6"/>
  <c r="AQ27" i="6"/>
  <c r="AQ28" i="6"/>
  <c r="AQ29" i="6"/>
  <c r="AQ30" i="6"/>
  <c r="AQ31" i="6"/>
  <c r="AQ32" i="6"/>
  <c r="AQ33" i="6"/>
  <c r="AQ34" i="6"/>
  <c r="AQ35" i="6"/>
  <c r="AQ36" i="6"/>
  <c r="AQ37" i="6"/>
  <c r="AQ38" i="6"/>
  <c r="AQ39" i="6"/>
  <c r="AQ40" i="6"/>
  <c r="AQ41" i="6"/>
  <c r="AQ42" i="6"/>
  <c r="AQ43" i="6"/>
  <c r="AQ44" i="6"/>
  <c r="AQ45" i="6"/>
  <c r="AQ46" i="6"/>
  <c r="AQ47" i="6"/>
  <c r="AQ48" i="6"/>
  <c r="AQ49" i="6"/>
  <c r="AQ50" i="6"/>
  <c r="AQ51" i="6"/>
  <c r="AQ52" i="6"/>
  <c r="AQ53" i="6"/>
  <c r="AQ54" i="6"/>
  <c r="AQ55" i="6"/>
  <c r="AQ56" i="6"/>
  <c r="AQ57" i="6"/>
  <c r="AQ58" i="6"/>
  <c r="AQ59" i="6"/>
  <c r="AQ60" i="6"/>
  <c r="AQ61" i="6"/>
  <c r="AQ62" i="6"/>
  <c r="AQ63" i="6"/>
  <c r="AQ64" i="6"/>
  <c r="AQ65" i="6"/>
  <c r="AQ66" i="6"/>
  <c r="AQ67" i="6"/>
  <c r="AQ68" i="6"/>
  <c r="AQ69" i="6"/>
  <c r="AQ70" i="6"/>
  <c r="AQ71" i="6"/>
  <c r="AQ72" i="6"/>
  <c r="AQ73" i="6"/>
  <c r="AQ74" i="6"/>
  <c r="AQ75" i="6"/>
  <c r="AQ76" i="6"/>
  <c r="AQ77" i="6"/>
  <c r="AQ78" i="6"/>
  <c r="AQ79" i="6"/>
  <c r="AQ80" i="6"/>
  <c r="AQ81" i="6"/>
  <c r="AQ82" i="6"/>
  <c r="AQ83" i="6"/>
  <c r="AQ84" i="6"/>
  <c r="AQ85" i="6"/>
  <c r="AQ86" i="6"/>
  <c r="AQ87" i="6"/>
  <c r="AQ88" i="6"/>
  <c r="AQ89" i="6"/>
  <c r="AQ90" i="6"/>
  <c r="AQ91" i="6"/>
  <c r="AQ92" i="6"/>
  <c r="AQ93" i="6"/>
  <c r="AQ94" i="6"/>
  <c r="AQ95" i="6"/>
  <c r="AQ96" i="6"/>
  <c r="AQ97" i="6"/>
  <c r="AQ98" i="6"/>
  <c r="AQ99" i="6"/>
  <c r="AQ100" i="6"/>
  <c r="AQ101" i="6"/>
  <c r="AQ102" i="6"/>
  <c r="AQ103" i="6"/>
  <c r="AQ104" i="6"/>
  <c r="AQ105" i="6"/>
  <c r="AQ106" i="6"/>
  <c r="AQ107" i="6"/>
  <c r="AQ108" i="6"/>
  <c r="AQ109" i="6"/>
  <c r="AQ110" i="6"/>
  <c r="AQ111" i="6"/>
  <c r="AQ112" i="6"/>
  <c r="AQ113" i="6"/>
  <c r="AQ114" i="6"/>
  <c r="AQ115" i="6"/>
  <c r="AQ116" i="6"/>
  <c r="AQ117" i="6"/>
  <c r="AQ118" i="6"/>
  <c r="AQ119" i="6"/>
  <c r="AQ120" i="6"/>
  <c r="AQ121" i="6"/>
  <c r="AQ122" i="6"/>
  <c r="AQ123" i="6"/>
  <c r="AQ124" i="6"/>
  <c r="AQ125" i="6"/>
  <c r="AQ126" i="6"/>
  <c r="AQ127" i="6"/>
  <c r="AQ128" i="6"/>
  <c r="AQ129" i="6"/>
  <c r="AQ130" i="6"/>
  <c r="AQ131" i="6"/>
  <c r="AQ132" i="6"/>
  <c r="AQ133" i="6"/>
  <c r="AQ134" i="6"/>
  <c r="AQ135" i="6"/>
  <c r="AQ136" i="6"/>
  <c r="AQ137" i="6"/>
  <c r="AQ138" i="6"/>
  <c r="AQ139" i="6"/>
  <c r="AQ140" i="6"/>
  <c r="AQ141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O5" i="6"/>
  <c r="AO6" i="6"/>
  <c r="AO7" i="6"/>
  <c r="AO8" i="6"/>
  <c r="AO9" i="6"/>
  <c r="AO10" i="6"/>
  <c r="AO11" i="6"/>
  <c r="AO12" i="6"/>
  <c r="AO13" i="6"/>
  <c r="AO14" i="6"/>
  <c r="AO15" i="6"/>
  <c r="AO16" i="6"/>
  <c r="AO17" i="6"/>
  <c r="AO18" i="6"/>
  <c r="AO19" i="6"/>
  <c r="AO20" i="6"/>
  <c r="AO21" i="6"/>
  <c r="AO22" i="6"/>
  <c r="AO23" i="6"/>
  <c r="AO24" i="6"/>
  <c r="AO25" i="6"/>
  <c r="AO26" i="6"/>
  <c r="AO27" i="6"/>
  <c r="AO28" i="6"/>
  <c r="AO29" i="6"/>
  <c r="AO30" i="6"/>
  <c r="AO31" i="6"/>
  <c r="AO32" i="6"/>
  <c r="AO33" i="6"/>
  <c r="AO34" i="6"/>
  <c r="AO35" i="6"/>
  <c r="AO36" i="6"/>
  <c r="AO37" i="6"/>
  <c r="AO38" i="6"/>
  <c r="AO39" i="6"/>
  <c r="AO40" i="6"/>
  <c r="AO41" i="6"/>
  <c r="AO42" i="6"/>
  <c r="AO43" i="6"/>
  <c r="AO44" i="6"/>
  <c r="AO45" i="6"/>
  <c r="AO46" i="6"/>
  <c r="AO47" i="6"/>
  <c r="AO48" i="6"/>
  <c r="AO49" i="6"/>
  <c r="AO50" i="6"/>
  <c r="AO51" i="6"/>
  <c r="AO52" i="6"/>
  <c r="AO53" i="6"/>
  <c r="AO54" i="6"/>
  <c r="AO55" i="6"/>
  <c r="AO56" i="6"/>
  <c r="AO57" i="6"/>
  <c r="AO58" i="6"/>
  <c r="AO59" i="6"/>
  <c r="AO60" i="6"/>
  <c r="AO61" i="6"/>
  <c r="AO62" i="6"/>
  <c r="AO63" i="6"/>
  <c r="AO64" i="6"/>
  <c r="AO65" i="6"/>
  <c r="AO66" i="6"/>
  <c r="AO67" i="6"/>
  <c r="AO68" i="6"/>
  <c r="AO69" i="6"/>
  <c r="AO70" i="6"/>
  <c r="AO71" i="6"/>
  <c r="AO72" i="6"/>
  <c r="AO73" i="6"/>
  <c r="AO74" i="6"/>
  <c r="AO75" i="6"/>
  <c r="AO76" i="6"/>
  <c r="AO77" i="6"/>
  <c r="AO78" i="6"/>
  <c r="AO79" i="6"/>
  <c r="AO80" i="6"/>
  <c r="AO81" i="6"/>
  <c r="AO82" i="6"/>
  <c r="AO83" i="6"/>
  <c r="AO84" i="6"/>
  <c r="AO85" i="6"/>
  <c r="AO86" i="6"/>
  <c r="AO87" i="6"/>
  <c r="AO88" i="6"/>
  <c r="AO89" i="6"/>
  <c r="AO90" i="6"/>
  <c r="AO91" i="6"/>
  <c r="AO92" i="6"/>
  <c r="AO93" i="6"/>
  <c r="AO94" i="6"/>
  <c r="AO95" i="6"/>
  <c r="AO96" i="6"/>
  <c r="AO97" i="6"/>
  <c r="AO98" i="6"/>
  <c r="AO99" i="6"/>
  <c r="AO100" i="6"/>
  <c r="AO101" i="6"/>
  <c r="AO102" i="6"/>
  <c r="AO103" i="6"/>
  <c r="AO104" i="6"/>
  <c r="AO105" i="6"/>
  <c r="AO106" i="6"/>
  <c r="AO107" i="6"/>
  <c r="AO108" i="6"/>
  <c r="AO109" i="6"/>
  <c r="AO110" i="6"/>
  <c r="AO111" i="6"/>
  <c r="AO112" i="6"/>
  <c r="AO113" i="6"/>
  <c r="AO114" i="6"/>
  <c r="AO115" i="6"/>
  <c r="AO116" i="6"/>
  <c r="AO117" i="6"/>
  <c r="AO118" i="6"/>
  <c r="AO119" i="6"/>
  <c r="AO120" i="6"/>
  <c r="AO121" i="6"/>
  <c r="AO122" i="6"/>
  <c r="AO123" i="6"/>
  <c r="AO124" i="6"/>
  <c r="AO125" i="6"/>
  <c r="AO126" i="6"/>
  <c r="AO127" i="6"/>
  <c r="AO128" i="6"/>
  <c r="AO129" i="6"/>
  <c r="AO130" i="6"/>
  <c r="AO131" i="6"/>
  <c r="AO132" i="6"/>
  <c r="AO133" i="6"/>
  <c r="AO134" i="6"/>
  <c r="AO135" i="6"/>
  <c r="AO136" i="6"/>
  <c r="AO137" i="6"/>
  <c r="AO138" i="6"/>
  <c r="AO139" i="6"/>
  <c r="AO140" i="6"/>
  <c r="AO141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M5" i="6"/>
  <c r="AM6" i="6"/>
  <c r="AM7" i="6"/>
  <c r="AM8" i="6"/>
  <c r="AM9" i="6"/>
  <c r="AM10" i="6"/>
  <c r="AM11" i="6"/>
  <c r="AM12" i="6"/>
  <c r="AM13" i="6"/>
  <c r="AM14" i="6"/>
  <c r="AM15" i="6"/>
  <c r="AM16" i="6"/>
  <c r="AM17" i="6"/>
  <c r="AM18" i="6"/>
  <c r="AM19" i="6"/>
  <c r="AM20" i="6"/>
  <c r="AM21" i="6"/>
  <c r="AM22" i="6"/>
  <c r="AM23" i="6"/>
  <c r="AM24" i="6"/>
  <c r="AM25" i="6"/>
  <c r="AM26" i="6"/>
  <c r="AM27" i="6"/>
  <c r="AM28" i="6"/>
  <c r="AM29" i="6"/>
  <c r="AM30" i="6"/>
  <c r="AM31" i="6"/>
  <c r="AM32" i="6"/>
  <c r="AM33" i="6"/>
  <c r="AM34" i="6"/>
  <c r="AM35" i="6"/>
  <c r="AM36" i="6"/>
  <c r="AM37" i="6"/>
  <c r="AM38" i="6"/>
  <c r="AM39" i="6"/>
  <c r="AM40" i="6"/>
  <c r="AM41" i="6"/>
  <c r="AM42" i="6"/>
  <c r="AM43" i="6"/>
  <c r="AM44" i="6"/>
  <c r="AM45" i="6"/>
  <c r="AM46" i="6"/>
  <c r="AM47" i="6"/>
  <c r="AM48" i="6"/>
  <c r="AM49" i="6"/>
  <c r="AM50" i="6"/>
  <c r="AM51" i="6"/>
  <c r="AM52" i="6"/>
  <c r="AM53" i="6"/>
  <c r="AM54" i="6"/>
  <c r="AM55" i="6"/>
  <c r="AM56" i="6"/>
  <c r="AM57" i="6"/>
  <c r="AM58" i="6"/>
  <c r="AM59" i="6"/>
  <c r="AM60" i="6"/>
  <c r="AM61" i="6"/>
  <c r="AM62" i="6"/>
  <c r="AM63" i="6"/>
  <c r="AM64" i="6"/>
  <c r="AM65" i="6"/>
  <c r="AM66" i="6"/>
  <c r="AM67" i="6"/>
  <c r="AM68" i="6"/>
  <c r="AM69" i="6"/>
  <c r="AM70" i="6"/>
  <c r="AM71" i="6"/>
  <c r="AM72" i="6"/>
  <c r="AM73" i="6"/>
  <c r="AM74" i="6"/>
  <c r="AM75" i="6"/>
  <c r="AM76" i="6"/>
  <c r="AM77" i="6"/>
  <c r="AM78" i="6"/>
  <c r="AM79" i="6"/>
  <c r="AM80" i="6"/>
  <c r="AM81" i="6"/>
  <c r="AM82" i="6"/>
  <c r="AM83" i="6"/>
  <c r="AM84" i="6"/>
  <c r="AM85" i="6"/>
  <c r="AM86" i="6"/>
  <c r="AM87" i="6"/>
  <c r="AM88" i="6"/>
  <c r="AM89" i="6"/>
  <c r="AM90" i="6"/>
  <c r="AM91" i="6"/>
  <c r="AM92" i="6"/>
  <c r="AM93" i="6"/>
  <c r="AM94" i="6"/>
  <c r="AM95" i="6"/>
  <c r="AM96" i="6"/>
  <c r="AM97" i="6"/>
  <c r="AM98" i="6"/>
  <c r="AM99" i="6"/>
  <c r="AM100" i="6"/>
  <c r="AM101" i="6"/>
  <c r="AM102" i="6"/>
  <c r="AM103" i="6"/>
  <c r="AM104" i="6"/>
  <c r="AM105" i="6"/>
  <c r="AM106" i="6"/>
  <c r="AM107" i="6"/>
  <c r="AM108" i="6"/>
  <c r="AM109" i="6"/>
  <c r="AM110" i="6"/>
  <c r="AM111" i="6"/>
  <c r="AM112" i="6"/>
  <c r="AM113" i="6"/>
  <c r="AM114" i="6"/>
  <c r="AM115" i="6"/>
  <c r="AM116" i="6"/>
  <c r="AM117" i="6"/>
  <c r="AM118" i="6"/>
  <c r="AM119" i="6"/>
  <c r="AM120" i="6"/>
  <c r="AM121" i="6"/>
  <c r="AM122" i="6"/>
  <c r="AM123" i="6"/>
  <c r="AM124" i="6"/>
  <c r="AM125" i="6"/>
  <c r="AM126" i="6"/>
  <c r="AM127" i="6"/>
  <c r="AM128" i="6"/>
  <c r="AM129" i="6"/>
  <c r="AM130" i="6"/>
  <c r="AM131" i="6"/>
  <c r="AM132" i="6"/>
  <c r="AM133" i="6"/>
  <c r="AM134" i="6"/>
  <c r="AM135" i="6"/>
  <c r="AM136" i="6"/>
  <c r="AM137" i="6"/>
  <c r="AM138" i="6"/>
  <c r="AM139" i="6"/>
  <c r="AM140" i="6"/>
  <c r="AM141" i="6"/>
  <c r="AL5" i="6"/>
  <c r="AL6" i="6"/>
  <c r="AL7" i="6"/>
  <c r="AL8" i="6"/>
  <c r="AL9" i="6"/>
  <c r="AL10" i="6"/>
  <c r="AL11" i="6"/>
  <c r="AL12" i="6"/>
  <c r="AL13" i="6"/>
  <c r="AL14" i="6"/>
  <c r="AL15" i="6"/>
  <c r="AL16" i="6"/>
  <c r="AL17" i="6"/>
  <c r="AL18" i="6"/>
  <c r="AL19" i="6"/>
  <c r="AL20" i="6"/>
  <c r="AL21" i="6"/>
  <c r="AL22" i="6"/>
  <c r="AL23" i="6"/>
  <c r="AL24" i="6"/>
  <c r="AL25" i="6"/>
  <c r="AL26" i="6"/>
  <c r="AL27" i="6"/>
  <c r="AL28" i="6"/>
  <c r="AL29" i="6"/>
  <c r="AL30" i="6"/>
  <c r="AL31" i="6"/>
  <c r="AL32" i="6"/>
  <c r="AL33" i="6"/>
  <c r="AL34" i="6"/>
  <c r="AL35" i="6"/>
  <c r="AL36" i="6"/>
  <c r="AL37" i="6"/>
  <c r="AL38" i="6"/>
  <c r="AL39" i="6"/>
  <c r="AL40" i="6"/>
  <c r="AL41" i="6"/>
  <c r="AL42" i="6"/>
  <c r="AL43" i="6"/>
  <c r="AL44" i="6"/>
  <c r="AL45" i="6"/>
  <c r="AL46" i="6"/>
  <c r="AL47" i="6"/>
  <c r="AL48" i="6"/>
  <c r="AL49" i="6"/>
  <c r="AL50" i="6"/>
  <c r="AL51" i="6"/>
  <c r="AL52" i="6"/>
  <c r="AL53" i="6"/>
  <c r="AL54" i="6"/>
  <c r="AL55" i="6"/>
  <c r="AL56" i="6"/>
  <c r="AL57" i="6"/>
  <c r="AL58" i="6"/>
  <c r="AL59" i="6"/>
  <c r="AL60" i="6"/>
  <c r="AL61" i="6"/>
  <c r="AL62" i="6"/>
  <c r="AL63" i="6"/>
  <c r="AL64" i="6"/>
  <c r="AL65" i="6"/>
  <c r="AL66" i="6"/>
  <c r="AL67" i="6"/>
  <c r="AL68" i="6"/>
  <c r="AL69" i="6"/>
  <c r="AL70" i="6"/>
  <c r="AL71" i="6"/>
  <c r="AL72" i="6"/>
  <c r="AL73" i="6"/>
  <c r="AL74" i="6"/>
  <c r="AL75" i="6"/>
  <c r="AL76" i="6"/>
  <c r="AL77" i="6"/>
  <c r="AL78" i="6"/>
  <c r="AL79" i="6"/>
  <c r="AL80" i="6"/>
  <c r="AL81" i="6"/>
  <c r="AL82" i="6"/>
  <c r="AL83" i="6"/>
  <c r="AL84" i="6"/>
  <c r="AL85" i="6"/>
  <c r="AL86" i="6"/>
  <c r="AL87" i="6"/>
  <c r="AL88" i="6"/>
  <c r="AL89" i="6"/>
  <c r="AL90" i="6"/>
  <c r="AL91" i="6"/>
  <c r="AL92" i="6"/>
  <c r="AL93" i="6"/>
  <c r="AL94" i="6"/>
  <c r="AL95" i="6"/>
  <c r="AL96" i="6"/>
  <c r="AL97" i="6"/>
  <c r="AL98" i="6"/>
  <c r="AL99" i="6"/>
  <c r="AL100" i="6"/>
  <c r="AL101" i="6"/>
  <c r="AL102" i="6"/>
  <c r="AL103" i="6"/>
  <c r="AL104" i="6"/>
  <c r="AL105" i="6"/>
  <c r="AL106" i="6"/>
  <c r="AL107" i="6"/>
  <c r="AL108" i="6"/>
  <c r="AL109" i="6"/>
  <c r="AL110" i="6"/>
  <c r="AL111" i="6"/>
  <c r="AL112" i="6"/>
  <c r="AL113" i="6"/>
  <c r="AL114" i="6"/>
  <c r="AL115" i="6"/>
  <c r="AL116" i="6"/>
  <c r="AL117" i="6"/>
  <c r="AL118" i="6"/>
  <c r="AL119" i="6"/>
  <c r="AL120" i="6"/>
  <c r="AL121" i="6"/>
  <c r="AL122" i="6"/>
  <c r="AL123" i="6"/>
  <c r="AL124" i="6"/>
  <c r="AL125" i="6"/>
  <c r="AL126" i="6"/>
  <c r="AL127" i="6"/>
  <c r="AL128" i="6"/>
  <c r="AL129" i="6"/>
  <c r="AL130" i="6"/>
  <c r="AL131" i="6"/>
  <c r="AL132" i="6"/>
  <c r="AL133" i="6"/>
  <c r="AL134" i="6"/>
  <c r="AL135" i="6"/>
  <c r="AL136" i="6"/>
  <c r="AL137" i="6"/>
  <c r="AL138" i="6"/>
  <c r="AL139" i="6"/>
  <c r="AL140" i="6"/>
  <c r="AL141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I5" i="6"/>
  <c r="AI6" i="6"/>
  <c r="AI7" i="6"/>
  <c r="AI8" i="6"/>
  <c r="AI9" i="6"/>
  <c r="AI10" i="6"/>
  <c r="AI11" i="6"/>
  <c r="AI12" i="6"/>
  <c r="AI13" i="6"/>
  <c r="AI14" i="6"/>
  <c r="AI15" i="6"/>
  <c r="AI16" i="6"/>
  <c r="AI17" i="6"/>
  <c r="AI18" i="6"/>
  <c r="AI19" i="6"/>
  <c r="AI20" i="6"/>
  <c r="AI21" i="6"/>
  <c r="AI22" i="6"/>
  <c r="AI23" i="6"/>
  <c r="AI24" i="6"/>
  <c r="AI25" i="6"/>
  <c r="AI26" i="6"/>
  <c r="AI27" i="6"/>
  <c r="AI28" i="6"/>
  <c r="AI29" i="6"/>
  <c r="AI30" i="6"/>
  <c r="AI31" i="6"/>
  <c r="AI32" i="6"/>
  <c r="AI33" i="6"/>
  <c r="AI34" i="6"/>
  <c r="AI35" i="6"/>
  <c r="AI36" i="6"/>
  <c r="AI37" i="6"/>
  <c r="AI38" i="6"/>
  <c r="AI39" i="6"/>
  <c r="AI40" i="6"/>
  <c r="AI41" i="6"/>
  <c r="AI42" i="6"/>
  <c r="AI43" i="6"/>
  <c r="AI44" i="6"/>
  <c r="AI45" i="6"/>
  <c r="AI46" i="6"/>
  <c r="AI47" i="6"/>
  <c r="AI48" i="6"/>
  <c r="AI49" i="6"/>
  <c r="AI50" i="6"/>
  <c r="AI51" i="6"/>
  <c r="AI52" i="6"/>
  <c r="AI53" i="6"/>
  <c r="AI54" i="6"/>
  <c r="AI55" i="6"/>
  <c r="AI56" i="6"/>
  <c r="AI57" i="6"/>
  <c r="AI58" i="6"/>
  <c r="AI59" i="6"/>
  <c r="AI60" i="6"/>
  <c r="AI61" i="6"/>
  <c r="AI62" i="6"/>
  <c r="AI63" i="6"/>
  <c r="AI64" i="6"/>
  <c r="AI65" i="6"/>
  <c r="AI66" i="6"/>
  <c r="AI67" i="6"/>
  <c r="AI68" i="6"/>
  <c r="AI69" i="6"/>
  <c r="AI70" i="6"/>
  <c r="AI71" i="6"/>
  <c r="AI72" i="6"/>
  <c r="AI73" i="6"/>
  <c r="AI74" i="6"/>
  <c r="AI75" i="6"/>
  <c r="AI76" i="6"/>
  <c r="AI77" i="6"/>
  <c r="AI78" i="6"/>
  <c r="AI79" i="6"/>
  <c r="AI80" i="6"/>
  <c r="AI81" i="6"/>
  <c r="AI82" i="6"/>
  <c r="AI83" i="6"/>
  <c r="AI84" i="6"/>
  <c r="AI85" i="6"/>
  <c r="AI86" i="6"/>
  <c r="AI87" i="6"/>
  <c r="AI88" i="6"/>
  <c r="AI89" i="6"/>
  <c r="AI90" i="6"/>
  <c r="AI91" i="6"/>
  <c r="AI92" i="6"/>
  <c r="AI93" i="6"/>
  <c r="AI94" i="6"/>
  <c r="AI95" i="6"/>
  <c r="AI96" i="6"/>
  <c r="AI97" i="6"/>
  <c r="AI98" i="6"/>
  <c r="AI99" i="6"/>
  <c r="AI100" i="6"/>
  <c r="AI101" i="6"/>
  <c r="AI102" i="6"/>
  <c r="AI103" i="6"/>
  <c r="AI104" i="6"/>
  <c r="AI105" i="6"/>
  <c r="AI106" i="6"/>
  <c r="AI107" i="6"/>
  <c r="AI108" i="6"/>
  <c r="AI109" i="6"/>
  <c r="AI110" i="6"/>
  <c r="AI111" i="6"/>
  <c r="AI112" i="6"/>
  <c r="AI113" i="6"/>
  <c r="AI114" i="6"/>
  <c r="AI115" i="6"/>
  <c r="AI116" i="6"/>
  <c r="AI117" i="6"/>
  <c r="AI118" i="6"/>
  <c r="AI119" i="6"/>
  <c r="AI120" i="6"/>
  <c r="AI121" i="6"/>
  <c r="AI122" i="6"/>
  <c r="AI123" i="6"/>
  <c r="AI124" i="6"/>
  <c r="AI125" i="6"/>
  <c r="AI126" i="6"/>
  <c r="AI127" i="6"/>
  <c r="AI128" i="6"/>
  <c r="AI129" i="6"/>
  <c r="AI130" i="6"/>
  <c r="AI131" i="6"/>
  <c r="AI132" i="6"/>
  <c r="AI133" i="6"/>
  <c r="AI134" i="6"/>
  <c r="AI135" i="6"/>
  <c r="AI136" i="6"/>
  <c r="AI137" i="6"/>
  <c r="AI138" i="6"/>
  <c r="AI139" i="6"/>
  <c r="AI140" i="6"/>
  <c r="AI141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G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32" i="6"/>
  <c r="AG33" i="6"/>
  <c r="AG34" i="6"/>
  <c r="AG35" i="6"/>
  <c r="AG36" i="6"/>
  <c r="AG37" i="6"/>
  <c r="AG38" i="6"/>
  <c r="AG39" i="6"/>
  <c r="AG40" i="6"/>
  <c r="AG41" i="6"/>
  <c r="AG42" i="6"/>
  <c r="AG43" i="6"/>
  <c r="AG44" i="6"/>
  <c r="AG45" i="6"/>
  <c r="AG46" i="6"/>
  <c r="AG47" i="6"/>
  <c r="AG48" i="6"/>
  <c r="AG49" i="6"/>
  <c r="AG50" i="6"/>
  <c r="AG51" i="6"/>
  <c r="AG52" i="6"/>
  <c r="AG53" i="6"/>
  <c r="AG54" i="6"/>
  <c r="AG55" i="6"/>
  <c r="AG56" i="6"/>
  <c r="AG57" i="6"/>
  <c r="AG58" i="6"/>
  <c r="AG59" i="6"/>
  <c r="AG60" i="6"/>
  <c r="AG61" i="6"/>
  <c r="AG62" i="6"/>
  <c r="AG63" i="6"/>
  <c r="AG64" i="6"/>
  <c r="AG65" i="6"/>
  <c r="AG66" i="6"/>
  <c r="AG67" i="6"/>
  <c r="AG68" i="6"/>
  <c r="AG69" i="6"/>
  <c r="AG70" i="6"/>
  <c r="AG71" i="6"/>
  <c r="AG72" i="6"/>
  <c r="AG73" i="6"/>
  <c r="AG74" i="6"/>
  <c r="AG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92" i="6"/>
  <c r="AG93" i="6"/>
  <c r="AG94" i="6"/>
  <c r="AG95" i="6"/>
  <c r="AG96" i="6"/>
  <c r="AG97" i="6"/>
  <c r="AG98" i="6"/>
  <c r="AG99" i="6"/>
  <c r="AG100" i="6"/>
  <c r="AG101" i="6"/>
  <c r="AG102" i="6"/>
  <c r="AG103" i="6"/>
  <c r="AG104" i="6"/>
  <c r="AG105" i="6"/>
  <c r="AG106" i="6"/>
  <c r="AG107" i="6"/>
  <c r="AG108" i="6"/>
  <c r="AG109" i="6"/>
  <c r="AG110" i="6"/>
  <c r="AG111" i="6"/>
  <c r="AG112" i="6"/>
  <c r="AG113" i="6"/>
  <c r="AG114" i="6"/>
  <c r="AG115" i="6"/>
  <c r="AG116" i="6"/>
  <c r="AG117" i="6"/>
  <c r="AG118" i="6"/>
  <c r="AG119" i="6"/>
  <c r="AG120" i="6"/>
  <c r="AG121" i="6"/>
  <c r="AG122" i="6"/>
  <c r="AG123" i="6"/>
  <c r="AG124" i="6"/>
  <c r="AG125" i="6"/>
  <c r="AG126" i="6"/>
  <c r="AG127" i="6"/>
  <c r="AG128" i="6"/>
  <c r="AG129" i="6"/>
  <c r="AG130" i="6"/>
  <c r="AG131" i="6"/>
  <c r="AG132" i="6"/>
  <c r="AG133" i="6"/>
  <c r="AG134" i="6"/>
  <c r="AG135" i="6"/>
  <c r="AG136" i="6"/>
  <c r="AG137" i="6"/>
  <c r="AG138" i="6"/>
  <c r="AG139" i="6"/>
  <c r="AG140" i="6"/>
  <c r="AG141" i="6"/>
  <c r="BD4" i="6"/>
  <c r="BC4" i="6"/>
  <c r="BA4" i="6"/>
  <c r="AZ4" i="6"/>
  <c r="AH4" i="6"/>
  <c r="AI4" i="6"/>
  <c r="AJ4" i="6"/>
  <c r="AL4" i="6"/>
  <c r="AM4" i="6"/>
  <c r="AN4" i="6"/>
  <c r="AO4" i="6"/>
  <c r="AP4" i="6"/>
  <c r="AQ4" i="6"/>
  <c r="AS4" i="6"/>
  <c r="AT4" i="6"/>
  <c r="AU4" i="6"/>
  <c r="AV4" i="6"/>
  <c r="AW4" i="6"/>
  <c r="AX4" i="6"/>
  <c r="AG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D125" i="6"/>
  <c r="AD126" i="6"/>
  <c r="AD127" i="6"/>
  <c r="AD128" i="6"/>
  <c r="AD129" i="6"/>
  <c r="AD130" i="6"/>
  <c r="AD131" i="6"/>
  <c r="AD132" i="6"/>
  <c r="AD133" i="6"/>
  <c r="AD134" i="6"/>
  <c r="AD135" i="6"/>
  <c r="AD136" i="6"/>
  <c r="AD137" i="6"/>
  <c r="AD138" i="6"/>
  <c r="AD139" i="6"/>
  <c r="AD140" i="6"/>
  <c r="AD141" i="6"/>
  <c r="BC4" i="4"/>
  <c r="BC5" i="4"/>
  <c r="BC6" i="4"/>
  <c r="BC7" i="4"/>
  <c r="BC8" i="4"/>
  <c r="BC9" i="4"/>
  <c r="BC10" i="4"/>
  <c r="BC11" i="4"/>
  <c r="BC12" i="4"/>
  <c r="BC13" i="4"/>
  <c r="BC14" i="4"/>
  <c r="BC15" i="4"/>
  <c r="BC16" i="4"/>
  <c r="BC17" i="4"/>
  <c r="BC18" i="4"/>
  <c r="BC19" i="4"/>
  <c r="BC20" i="4"/>
  <c r="BC21" i="4"/>
  <c r="BC22" i="4"/>
  <c r="BC23" i="4"/>
  <c r="BC24" i="4"/>
  <c r="BC25" i="4"/>
  <c r="BC26" i="4"/>
  <c r="BC27" i="4"/>
  <c r="BC28" i="4"/>
  <c r="BC29" i="4"/>
  <c r="BC30" i="4"/>
  <c r="BC31" i="4"/>
  <c r="BC32" i="4"/>
  <c r="BC33" i="4"/>
  <c r="BC34" i="4"/>
  <c r="BC35" i="4"/>
  <c r="BC36" i="4"/>
  <c r="BC37" i="4"/>
  <c r="BC38" i="4"/>
  <c r="BC39" i="4"/>
  <c r="BC40" i="4"/>
  <c r="BC41" i="4"/>
  <c r="BC42" i="4"/>
  <c r="BC43" i="4"/>
  <c r="BC44" i="4"/>
  <c r="BC45" i="4"/>
  <c r="BC46" i="4"/>
  <c r="BC47" i="4"/>
  <c r="BC48" i="4"/>
  <c r="BC49" i="4"/>
  <c r="BC50" i="4"/>
  <c r="BC51" i="4"/>
  <c r="BC52" i="4"/>
  <c r="BC53" i="4"/>
  <c r="BC54" i="4"/>
  <c r="BC55" i="4"/>
  <c r="BC56" i="4"/>
  <c r="BC57" i="4"/>
  <c r="BC58" i="4"/>
  <c r="BC59" i="4"/>
  <c r="BC60" i="4"/>
  <c r="BC61" i="4"/>
  <c r="BC62" i="4"/>
  <c r="BC63" i="4"/>
  <c r="BC64" i="4"/>
  <c r="BC65" i="4"/>
  <c r="BC66" i="4"/>
  <c r="BC67" i="4"/>
  <c r="BC68" i="4"/>
  <c r="BC69" i="4"/>
  <c r="BC70" i="4"/>
  <c r="BC71" i="4"/>
  <c r="BC72" i="4"/>
  <c r="BC73" i="4"/>
  <c r="BC74" i="4"/>
  <c r="BC75" i="4"/>
  <c r="BC76" i="4"/>
  <c r="BC77" i="4"/>
  <c r="BC78" i="4"/>
  <c r="BC79" i="4"/>
  <c r="BC80" i="4"/>
  <c r="BC81" i="4"/>
  <c r="BC82" i="4"/>
  <c r="BC83" i="4"/>
  <c r="BC84" i="4"/>
  <c r="BC85" i="4"/>
  <c r="BC86" i="4"/>
  <c r="BC87" i="4"/>
  <c r="BC88" i="4"/>
  <c r="BC89" i="4"/>
  <c r="BC90" i="4"/>
  <c r="BC91" i="4"/>
  <c r="BC92" i="4"/>
  <c r="BC93" i="4"/>
  <c r="BC94" i="4"/>
  <c r="BC95" i="4"/>
  <c r="BC96" i="4"/>
  <c r="BC97" i="4"/>
  <c r="BC98" i="4"/>
  <c r="BC99" i="4"/>
  <c r="BC100" i="4"/>
  <c r="BC101" i="4"/>
  <c r="BC102" i="4"/>
  <c r="BC103" i="4"/>
  <c r="BC104" i="4"/>
  <c r="BC105" i="4"/>
  <c r="BC106" i="4"/>
  <c r="BC107" i="4"/>
  <c r="BC108" i="4"/>
  <c r="BC109" i="4"/>
  <c r="BC110" i="4"/>
  <c r="BC111" i="4"/>
  <c r="BC112" i="4"/>
  <c r="BC113" i="4"/>
  <c r="BC114" i="4"/>
  <c r="BC115" i="4"/>
  <c r="BC116" i="4"/>
  <c r="BC117" i="4"/>
  <c r="BC118" i="4"/>
  <c r="BC119" i="4"/>
  <c r="BC120" i="4"/>
  <c r="BC121" i="4"/>
  <c r="BC122" i="4"/>
  <c r="BC123" i="4"/>
  <c r="BC124" i="4"/>
  <c r="BC125" i="4"/>
  <c r="BC126" i="4"/>
  <c r="BC127" i="4"/>
  <c r="BC128" i="4"/>
  <c r="BC129" i="4"/>
  <c r="BC130" i="4"/>
  <c r="BC131" i="4"/>
  <c r="BC132" i="4"/>
  <c r="BC133" i="4"/>
  <c r="BC134" i="4"/>
  <c r="BC135" i="4"/>
  <c r="BC136" i="4"/>
  <c r="BC137" i="4"/>
  <c r="BC138" i="4"/>
  <c r="BC139" i="4"/>
  <c r="BC140" i="4"/>
  <c r="BB4" i="4"/>
  <c r="BB5" i="4"/>
  <c r="BB6" i="4"/>
  <c r="BB7" i="4"/>
  <c r="BB8" i="4"/>
  <c r="BB9" i="4"/>
  <c r="BB10" i="4"/>
  <c r="BB11" i="4"/>
  <c r="BB12" i="4"/>
  <c r="BB13" i="4"/>
  <c r="BB14" i="4"/>
  <c r="BB15" i="4"/>
  <c r="BB16" i="4"/>
  <c r="BB17" i="4"/>
  <c r="BB18" i="4"/>
  <c r="BB19" i="4"/>
  <c r="BB20" i="4"/>
  <c r="BB21" i="4"/>
  <c r="BB22" i="4"/>
  <c r="BB23" i="4"/>
  <c r="BB24" i="4"/>
  <c r="BB25" i="4"/>
  <c r="BB26" i="4"/>
  <c r="BB27" i="4"/>
  <c r="BB28" i="4"/>
  <c r="BB29" i="4"/>
  <c r="BB30" i="4"/>
  <c r="BB31" i="4"/>
  <c r="BB32" i="4"/>
  <c r="BB33" i="4"/>
  <c r="BB34" i="4"/>
  <c r="BB35" i="4"/>
  <c r="BB36" i="4"/>
  <c r="BB37" i="4"/>
  <c r="BB38" i="4"/>
  <c r="BB39" i="4"/>
  <c r="BB40" i="4"/>
  <c r="BB41" i="4"/>
  <c r="BB42" i="4"/>
  <c r="BB43" i="4"/>
  <c r="BB44" i="4"/>
  <c r="BB45" i="4"/>
  <c r="BB46" i="4"/>
  <c r="BB47" i="4"/>
  <c r="BB48" i="4"/>
  <c r="BB49" i="4"/>
  <c r="BB50" i="4"/>
  <c r="BB51" i="4"/>
  <c r="BB52" i="4"/>
  <c r="BB53" i="4"/>
  <c r="BB54" i="4"/>
  <c r="BB55" i="4"/>
  <c r="BB56" i="4"/>
  <c r="BB57" i="4"/>
  <c r="BB58" i="4"/>
  <c r="BB59" i="4"/>
  <c r="BB60" i="4"/>
  <c r="BB61" i="4"/>
  <c r="BB62" i="4"/>
  <c r="BB63" i="4"/>
  <c r="BB64" i="4"/>
  <c r="BB65" i="4"/>
  <c r="BB66" i="4"/>
  <c r="BB67" i="4"/>
  <c r="BB68" i="4"/>
  <c r="BB69" i="4"/>
  <c r="BB70" i="4"/>
  <c r="BB71" i="4"/>
  <c r="BB72" i="4"/>
  <c r="BB73" i="4"/>
  <c r="BB74" i="4"/>
  <c r="BB75" i="4"/>
  <c r="BB76" i="4"/>
  <c r="BB77" i="4"/>
  <c r="BB78" i="4"/>
  <c r="BB79" i="4"/>
  <c r="BB80" i="4"/>
  <c r="BB81" i="4"/>
  <c r="BB82" i="4"/>
  <c r="BB83" i="4"/>
  <c r="BB84" i="4"/>
  <c r="BB85" i="4"/>
  <c r="BB86" i="4"/>
  <c r="BB87" i="4"/>
  <c r="BB88" i="4"/>
  <c r="BB89" i="4"/>
  <c r="BB90" i="4"/>
  <c r="BB91" i="4"/>
  <c r="BB92" i="4"/>
  <c r="BB93" i="4"/>
  <c r="BB94" i="4"/>
  <c r="BB95" i="4"/>
  <c r="BB96" i="4"/>
  <c r="BB97" i="4"/>
  <c r="BB98" i="4"/>
  <c r="BB99" i="4"/>
  <c r="BB100" i="4"/>
  <c r="BB101" i="4"/>
  <c r="BB102" i="4"/>
  <c r="BB103" i="4"/>
  <c r="BB104" i="4"/>
  <c r="BB105" i="4"/>
  <c r="BB106" i="4"/>
  <c r="BB107" i="4"/>
  <c r="BB108" i="4"/>
  <c r="BB109" i="4"/>
  <c r="BB110" i="4"/>
  <c r="BB111" i="4"/>
  <c r="BB112" i="4"/>
  <c r="BB113" i="4"/>
  <c r="BB114" i="4"/>
  <c r="BB115" i="4"/>
  <c r="BB116" i="4"/>
  <c r="BB117" i="4"/>
  <c r="BB118" i="4"/>
  <c r="BB119" i="4"/>
  <c r="BB120" i="4"/>
  <c r="BB121" i="4"/>
  <c r="BB122" i="4"/>
  <c r="BB123" i="4"/>
  <c r="BB124" i="4"/>
  <c r="BB125" i="4"/>
  <c r="BB126" i="4"/>
  <c r="BB127" i="4"/>
  <c r="BB128" i="4"/>
  <c r="BB129" i="4"/>
  <c r="BB130" i="4"/>
  <c r="BB131" i="4"/>
  <c r="BB132" i="4"/>
  <c r="BB133" i="4"/>
  <c r="BB134" i="4"/>
  <c r="BB135" i="4"/>
  <c r="BB136" i="4"/>
  <c r="BB137" i="4"/>
  <c r="BB138" i="4"/>
  <c r="BB139" i="4"/>
  <c r="BB140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AZ4" i="4"/>
  <c r="AZ5" i="4"/>
  <c r="AZ6" i="4"/>
  <c r="AZ7" i="4"/>
  <c r="AZ8" i="4"/>
  <c r="AZ9" i="4"/>
  <c r="AZ10" i="4"/>
  <c r="AZ11" i="4"/>
  <c r="AZ12" i="4"/>
  <c r="AZ13" i="4"/>
  <c r="AZ14" i="4"/>
  <c r="AZ15" i="4"/>
  <c r="AZ16" i="4"/>
  <c r="AZ17" i="4"/>
  <c r="AZ18" i="4"/>
  <c r="AZ19" i="4"/>
  <c r="AZ20" i="4"/>
  <c r="AZ21" i="4"/>
  <c r="AZ22" i="4"/>
  <c r="AZ23" i="4"/>
  <c r="AZ24" i="4"/>
  <c r="AZ25" i="4"/>
  <c r="AZ26" i="4"/>
  <c r="AZ27" i="4"/>
  <c r="AZ28" i="4"/>
  <c r="AZ29" i="4"/>
  <c r="AZ30" i="4"/>
  <c r="AZ31" i="4"/>
  <c r="AZ32" i="4"/>
  <c r="AZ33" i="4"/>
  <c r="AZ34" i="4"/>
  <c r="AZ35" i="4"/>
  <c r="AZ36" i="4"/>
  <c r="AZ37" i="4"/>
  <c r="AZ38" i="4"/>
  <c r="AZ39" i="4"/>
  <c r="AZ40" i="4"/>
  <c r="AZ41" i="4"/>
  <c r="AZ42" i="4"/>
  <c r="AZ43" i="4"/>
  <c r="AZ44" i="4"/>
  <c r="AZ45" i="4"/>
  <c r="AZ46" i="4"/>
  <c r="AZ47" i="4"/>
  <c r="AZ48" i="4"/>
  <c r="AZ49" i="4"/>
  <c r="AZ50" i="4"/>
  <c r="AZ51" i="4"/>
  <c r="AZ52" i="4"/>
  <c r="AZ53" i="4"/>
  <c r="AZ54" i="4"/>
  <c r="AZ55" i="4"/>
  <c r="AZ56" i="4"/>
  <c r="AZ57" i="4"/>
  <c r="AZ58" i="4"/>
  <c r="AZ59" i="4"/>
  <c r="AZ60" i="4"/>
  <c r="AZ61" i="4"/>
  <c r="AZ62" i="4"/>
  <c r="AZ63" i="4"/>
  <c r="AZ64" i="4"/>
  <c r="AZ65" i="4"/>
  <c r="AZ66" i="4"/>
  <c r="AZ67" i="4"/>
  <c r="AZ68" i="4"/>
  <c r="AZ69" i="4"/>
  <c r="AZ70" i="4"/>
  <c r="AZ71" i="4"/>
  <c r="AZ72" i="4"/>
  <c r="AZ73" i="4"/>
  <c r="AZ74" i="4"/>
  <c r="AZ75" i="4"/>
  <c r="AZ76" i="4"/>
  <c r="AZ77" i="4"/>
  <c r="AZ78" i="4"/>
  <c r="AZ79" i="4"/>
  <c r="AZ80" i="4"/>
  <c r="AZ81" i="4"/>
  <c r="AZ82" i="4"/>
  <c r="AZ83" i="4"/>
  <c r="AZ84" i="4"/>
  <c r="AZ85" i="4"/>
  <c r="AZ86" i="4"/>
  <c r="AZ87" i="4"/>
  <c r="AZ88" i="4"/>
  <c r="AZ89" i="4"/>
  <c r="AZ90" i="4"/>
  <c r="AZ91" i="4"/>
  <c r="AZ92" i="4"/>
  <c r="AZ93" i="4"/>
  <c r="AZ94" i="4"/>
  <c r="AZ95" i="4"/>
  <c r="AZ96" i="4"/>
  <c r="AZ97" i="4"/>
  <c r="AZ98" i="4"/>
  <c r="AZ99" i="4"/>
  <c r="AZ100" i="4"/>
  <c r="AZ101" i="4"/>
  <c r="AZ102" i="4"/>
  <c r="AZ103" i="4"/>
  <c r="AZ104" i="4"/>
  <c r="AZ105" i="4"/>
  <c r="AZ106" i="4"/>
  <c r="AZ107" i="4"/>
  <c r="AZ108" i="4"/>
  <c r="AZ109" i="4"/>
  <c r="AZ110" i="4"/>
  <c r="AZ111" i="4"/>
  <c r="AZ112" i="4"/>
  <c r="AZ113" i="4"/>
  <c r="AZ114" i="4"/>
  <c r="AZ115" i="4"/>
  <c r="AZ116" i="4"/>
  <c r="AZ117" i="4"/>
  <c r="AZ118" i="4"/>
  <c r="AZ119" i="4"/>
  <c r="AZ120" i="4"/>
  <c r="AZ121" i="4"/>
  <c r="AZ122" i="4"/>
  <c r="AZ123" i="4"/>
  <c r="AZ124" i="4"/>
  <c r="AZ125" i="4"/>
  <c r="AZ126" i="4"/>
  <c r="AZ127" i="4"/>
  <c r="AZ128" i="4"/>
  <c r="AZ129" i="4"/>
  <c r="AZ130" i="4"/>
  <c r="AZ131" i="4"/>
  <c r="AZ132" i="4"/>
  <c r="AZ133" i="4"/>
  <c r="AZ134" i="4"/>
  <c r="AZ135" i="4"/>
  <c r="AZ136" i="4"/>
  <c r="AZ137" i="4"/>
  <c r="AZ138" i="4"/>
  <c r="AZ139" i="4"/>
  <c r="AZ140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V4" i="4"/>
  <c r="AV5" i="4"/>
  <c r="AV6" i="4"/>
  <c r="AV7" i="4"/>
  <c r="AV8" i="4"/>
  <c r="AV9" i="4"/>
  <c r="AV10" i="4"/>
  <c r="AV11" i="4"/>
  <c r="AV12" i="4"/>
  <c r="AV13" i="4"/>
  <c r="AV14" i="4"/>
  <c r="AV15" i="4"/>
  <c r="AV16" i="4"/>
  <c r="AV17" i="4"/>
  <c r="AV18" i="4"/>
  <c r="AV19" i="4"/>
  <c r="AV20" i="4"/>
  <c r="AV21" i="4"/>
  <c r="AV22" i="4"/>
  <c r="AV23" i="4"/>
  <c r="AV24" i="4"/>
  <c r="AV25" i="4"/>
  <c r="AV26" i="4"/>
  <c r="AV27" i="4"/>
  <c r="AV28" i="4"/>
  <c r="AV29" i="4"/>
  <c r="AV30" i="4"/>
  <c r="AV31" i="4"/>
  <c r="AV32" i="4"/>
  <c r="AV33" i="4"/>
  <c r="AV34" i="4"/>
  <c r="AV35" i="4"/>
  <c r="AV36" i="4"/>
  <c r="AV37" i="4"/>
  <c r="AV38" i="4"/>
  <c r="AV39" i="4"/>
  <c r="AV40" i="4"/>
  <c r="AV41" i="4"/>
  <c r="AV42" i="4"/>
  <c r="AV43" i="4"/>
  <c r="AV44" i="4"/>
  <c r="AV45" i="4"/>
  <c r="AV46" i="4"/>
  <c r="AV47" i="4"/>
  <c r="AV48" i="4"/>
  <c r="AV49" i="4"/>
  <c r="AV50" i="4"/>
  <c r="AV51" i="4"/>
  <c r="AV52" i="4"/>
  <c r="AV53" i="4"/>
  <c r="AV54" i="4"/>
  <c r="AV55" i="4"/>
  <c r="AV56" i="4"/>
  <c r="AV57" i="4"/>
  <c r="AV58" i="4"/>
  <c r="AV59" i="4"/>
  <c r="AV60" i="4"/>
  <c r="AV61" i="4"/>
  <c r="AV62" i="4"/>
  <c r="AV63" i="4"/>
  <c r="AV64" i="4"/>
  <c r="AV65" i="4"/>
  <c r="AV66" i="4"/>
  <c r="AV67" i="4"/>
  <c r="AV68" i="4"/>
  <c r="AV69" i="4"/>
  <c r="AV70" i="4"/>
  <c r="AV71" i="4"/>
  <c r="AV72" i="4"/>
  <c r="AV73" i="4"/>
  <c r="AV74" i="4"/>
  <c r="AV75" i="4"/>
  <c r="AV76" i="4"/>
  <c r="AV77" i="4"/>
  <c r="AV78" i="4"/>
  <c r="AV79" i="4"/>
  <c r="AV80" i="4"/>
  <c r="AV81" i="4"/>
  <c r="AV82" i="4"/>
  <c r="AV83" i="4"/>
  <c r="AV84" i="4"/>
  <c r="AV85" i="4"/>
  <c r="AV86" i="4"/>
  <c r="AV87" i="4"/>
  <c r="AV88" i="4"/>
  <c r="AV89" i="4"/>
  <c r="AV90" i="4"/>
  <c r="AV91" i="4"/>
  <c r="AV92" i="4"/>
  <c r="AV93" i="4"/>
  <c r="AV94" i="4"/>
  <c r="AV95" i="4"/>
  <c r="AV96" i="4"/>
  <c r="AV97" i="4"/>
  <c r="AV98" i="4"/>
  <c r="AV99" i="4"/>
  <c r="AV100" i="4"/>
  <c r="AV101" i="4"/>
  <c r="AV102" i="4"/>
  <c r="AV103" i="4"/>
  <c r="AV104" i="4"/>
  <c r="AV105" i="4"/>
  <c r="AV106" i="4"/>
  <c r="AV107" i="4"/>
  <c r="AV108" i="4"/>
  <c r="AV109" i="4"/>
  <c r="AV110" i="4"/>
  <c r="AV111" i="4"/>
  <c r="AV112" i="4"/>
  <c r="AV113" i="4"/>
  <c r="AV114" i="4"/>
  <c r="AV115" i="4"/>
  <c r="AV116" i="4"/>
  <c r="AV117" i="4"/>
  <c r="AV118" i="4"/>
  <c r="AV119" i="4"/>
  <c r="AV120" i="4"/>
  <c r="AV121" i="4"/>
  <c r="AV122" i="4"/>
  <c r="AV123" i="4"/>
  <c r="AV124" i="4"/>
  <c r="AV125" i="4"/>
  <c r="AV126" i="4"/>
  <c r="AV127" i="4"/>
  <c r="AV128" i="4"/>
  <c r="AV129" i="4"/>
  <c r="AV130" i="4"/>
  <c r="AV131" i="4"/>
  <c r="AV132" i="4"/>
  <c r="AV133" i="4"/>
  <c r="AV134" i="4"/>
  <c r="AV135" i="4"/>
  <c r="AV136" i="4"/>
  <c r="AV137" i="4"/>
  <c r="AV138" i="4"/>
  <c r="AV139" i="4"/>
  <c r="AV140" i="4"/>
  <c r="AT4" i="4"/>
  <c r="AT5" i="4"/>
  <c r="AT6" i="4"/>
  <c r="AT7" i="4"/>
  <c r="AT8" i="4"/>
  <c r="AT9" i="4"/>
  <c r="AT10" i="4"/>
  <c r="AT11" i="4"/>
  <c r="AT12" i="4"/>
  <c r="AT13" i="4"/>
  <c r="AT14" i="4"/>
  <c r="AT15" i="4"/>
  <c r="AT16" i="4"/>
  <c r="AT17" i="4"/>
  <c r="AT18" i="4"/>
  <c r="AT19" i="4"/>
  <c r="AT20" i="4"/>
  <c r="AT21" i="4"/>
  <c r="AT22" i="4"/>
  <c r="AT23" i="4"/>
  <c r="AT24" i="4"/>
  <c r="AT25" i="4"/>
  <c r="AT26" i="4"/>
  <c r="AT27" i="4"/>
  <c r="AT28" i="4"/>
  <c r="AT29" i="4"/>
  <c r="AT30" i="4"/>
  <c r="AT31" i="4"/>
  <c r="AT32" i="4"/>
  <c r="AT33" i="4"/>
  <c r="AT34" i="4"/>
  <c r="AT35" i="4"/>
  <c r="AT36" i="4"/>
  <c r="AT37" i="4"/>
  <c r="AT38" i="4"/>
  <c r="AT39" i="4"/>
  <c r="AT40" i="4"/>
  <c r="AT41" i="4"/>
  <c r="AT42" i="4"/>
  <c r="AT43" i="4"/>
  <c r="AT44" i="4"/>
  <c r="AT45" i="4"/>
  <c r="AT46" i="4"/>
  <c r="AT47" i="4"/>
  <c r="AT48" i="4"/>
  <c r="AT49" i="4"/>
  <c r="AT50" i="4"/>
  <c r="AT51" i="4"/>
  <c r="AT52" i="4"/>
  <c r="AT53" i="4"/>
  <c r="AT54" i="4"/>
  <c r="AT55" i="4"/>
  <c r="AT56" i="4"/>
  <c r="AT57" i="4"/>
  <c r="AT58" i="4"/>
  <c r="AT59" i="4"/>
  <c r="AT60" i="4"/>
  <c r="AT61" i="4"/>
  <c r="AT62" i="4"/>
  <c r="AT63" i="4"/>
  <c r="AT64" i="4"/>
  <c r="AT65" i="4"/>
  <c r="AT66" i="4"/>
  <c r="AT67" i="4"/>
  <c r="AT68" i="4"/>
  <c r="AT69" i="4"/>
  <c r="AT70" i="4"/>
  <c r="AT71" i="4"/>
  <c r="AT72" i="4"/>
  <c r="AT73" i="4"/>
  <c r="AT74" i="4"/>
  <c r="AT75" i="4"/>
  <c r="AT76" i="4"/>
  <c r="AT77" i="4"/>
  <c r="AT78" i="4"/>
  <c r="AT79" i="4"/>
  <c r="AT80" i="4"/>
  <c r="AT81" i="4"/>
  <c r="AT82" i="4"/>
  <c r="AT83" i="4"/>
  <c r="AT84" i="4"/>
  <c r="AT85" i="4"/>
  <c r="AT86" i="4"/>
  <c r="AT87" i="4"/>
  <c r="AT88" i="4"/>
  <c r="AT89" i="4"/>
  <c r="AT90" i="4"/>
  <c r="AT91" i="4"/>
  <c r="AT92" i="4"/>
  <c r="AT93" i="4"/>
  <c r="AT94" i="4"/>
  <c r="AT95" i="4"/>
  <c r="AT96" i="4"/>
  <c r="AT97" i="4"/>
  <c r="AT98" i="4"/>
  <c r="AT99" i="4"/>
  <c r="AT100" i="4"/>
  <c r="AT101" i="4"/>
  <c r="AT102" i="4"/>
  <c r="AT103" i="4"/>
  <c r="AT104" i="4"/>
  <c r="AT105" i="4"/>
  <c r="AT106" i="4"/>
  <c r="AT107" i="4"/>
  <c r="AT108" i="4"/>
  <c r="AT109" i="4"/>
  <c r="AT110" i="4"/>
  <c r="AT111" i="4"/>
  <c r="AT112" i="4"/>
  <c r="AT113" i="4"/>
  <c r="AT114" i="4"/>
  <c r="AT115" i="4"/>
  <c r="AT116" i="4"/>
  <c r="AT117" i="4"/>
  <c r="AT118" i="4"/>
  <c r="AT119" i="4"/>
  <c r="AT120" i="4"/>
  <c r="AT121" i="4"/>
  <c r="AT122" i="4"/>
  <c r="AT123" i="4"/>
  <c r="AT124" i="4"/>
  <c r="AT125" i="4"/>
  <c r="AT126" i="4"/>
  <c r="AT127" i="4"/>
  <c r="AT128" i="4"/>
  <c r="AT129" i="4"/>
  <c r="AT130" i="4"/>
  <c r="AT131" i="4"/>
  <c r="AT132" i="4"/>
  <c r="AT133" i="4"/>
  <c r="AT134" i="4"/>
  <c r="AT135" i="4"/>
  <c r="AT136" i="4"/>
  <c r="AT137" i="4"/>
  <c r="AT138" i="4"/>
  <c r="AT139" i="4"/>
  <c r="AT140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R4" i="4"/>
  <c r="AR5" i="4"/>
  <c r="AR6" i="4"/>
  <c r="AR7" i="4"/>
  <c r="AR8" i="4"/>
  <c r="AR9" i="4"/>
  <c r="AR10" i="4"/>
  <c r="AR11" i="4"/>
  <c r="AR12" i="4"/>
  <c r="AR13" i="4"/>
  <c r="AR14" i="4"/>
  <c r="AR15" i="4"/>
  <c r="AR16" i="4"/>
  <c r="AR17" i="4"/>
  <c r="AR18" i="4"/>
  <c r="AR19" i="4"/>
  <c r="AR20" i="4"/>
  <c r="AR21" i="4"/>
  <c r="AR22" i="4"/>
  <c r="AR23" i="4"/>
  <c r="AR24" i="4"/>
  <c r="AR25" i="4"/>
  <c r="AR26" i="4"/>
  <c r="AR27" i="4"/>
  <c r="AR28" i="4"/>
  <c r="AR29" i="4"/>
  <c r="AR30" i="4"/>
  <c r="AR31" i="4"/>
  <c r="AR32" i="4"/>
  <c r="AR33" i="4"/>
  <c r="AR34" i="4"/>
  <c r="AR35" i="4"/>
  <c r="AR36" i="4"/>
  <c r="AR37" i="4"/>
  <c r="AR38" i="4"/>
  <c r="AR39" i="4"/>
  <c r="AR40" i="4"/>
  <c r="AR41" i="4"/>
  <c r="AR42" i="4"/>
  <c r="AR43" i="4"/>
  <c r="AR44" i="4"/>
  <c r="AR45" i="4"/>
  <c r="AR46" i="4"/>
  <c r="AR47" i="4"/>
  <c r="AR48" i="4"/>
  <c r="AR49" i="4"/>
  <c r="AR50" i="4"/>
  <c r="AR51" i="4"/>
  <c r="AR52" i="4"/>
  <c r="AR53" i="4"/>
  <c r="AR54" i="4"/>
  <c r="AR55" i="4"/>
  <c r="AR56" i="4"/>
  <c r="AR57" i="4"/>
  <c r="AR58" i="4"/>
  <c r="AR59" i="4"/>
  <c r="AR60" i="4"/>
  <c r="AR61" i="4"/>
  <c r="AR62" i="4"/>
  <c r="AR63" i="4"/>
  <c r="AR64" i="4"/>
  <c r="AR65" i="4"/>
  <c r="AR66" i="4"/>
  <c r="AR67" i="4"/>
  <c r="AR68" i="4"/>
  <c r="AR69" i="4"/>
  <c r="AR70" i="4"/>
  <c r="AR71" i="4"/>
  <c r="AR72" i="4"/>
  <c r="AR73" i="4"/>
  <c r="AR74" i="4"/>
  <c r="AR75" i="4"/>
  <c r="AR76" i="4"/>
  <c r="AR77" i="4"/>
  <c r="AR78" i="4"/>
  <c r="AR79" i="4"/>
  <c r="AR80" i="4"/>
  <c r="AR81" i="4"/>
  <c r="AR82" i="4"/>
  <c r="AR83" i="4"/>
  <c r="AR84" i="4"/>
  <c r="AR85" i="4"/>
  <c r="AR86" i="4"/>
  <c r="AR87" i="4"/>
  <c r="AR88" i="4"/>
  <c r="AR89" i="4"/>
  <c r="AR90" i="4"/>
  <c r="AR91" i="4"/>
  <c r="AR92" i="4"/>
  <c r="AR93" i="4"/>
  <c r="AR94" i="4"/>
  <c r="AR95" i="4"/>
  <c r="AR96" i="4"/>
  <c r="AR97" i="4"/>
  <c r="AR98" i="4"/>
  <c r="AR99" i="4"/>
  <c r="AR100" i="4"/>
  <c r="AR101" i="4"/>
  <c r="AR102" i="4"/>
  <c r="AR103" i="4"/>
  <c r="AR104" i="4"/>
  <c r="AR105" i="4"/>
  <c r="AR106" i="4"/>
  <c r="AR107" i="4"/>
  <c r="AR108" i="4"/>
  <c r="AR109" i="4"/>
  <c r="AR110" i="4"/>
  <c r="AR111" i="4"/>
  <c r="AR112" i="4"/>
  <c r="AR113" i="4"/>
  <c r="AR114" i="4"/>
  <c r="AR115" i="4"/>
  <c r="AR116" i="4"/>
  <c r="AR117" i="4"/>
  <c r="AR118" i="4"/>
  <c r="AR119" i="4"/>
  <c r="AR120" i="4"/>
  <c r="AR121" i="4"/>
  <c r="AR122" i="4"/>
  <c r="AR123" i="4"/>
  <c r="AR124" i="4"/>
  <c r="AR125" i="4"/>
  <c r="AR126" i="4"/>
  <c r="AR127" i="4"/>
  <c r="AR128" i="4"/>
  <c r="AR129" i="4"/>
  <c r="AR130" i="4"/>
  <c r="AR131" i="4"/>
  <c r="AR132" i="4"/>
  <c r="AR133" i="4"/>
  <c r="AR134" i="4"/>
  <c r="AR135" i="4"/>
  <c r="AR136" i="4"/>
  <c r="AR137" i="4"/>
  <c r="AR138" i="4"/>
  <c r="AR139" i="4"/>
  <c r="AR140" i="4"/>
  <c r="AQ4" i="4"/>
  <c r="AQ5" i="4"/>
  <c r="AQ6" i="4"/>
  <c r="AQ7" i="4"/>
  <c r="AQ8" i="4"/>
  <c r="AQ9" i="4"/>
  <c r="AQ10" i="4"/>
  <c r="AQ11" i="4"/>
  <c r="AQ12" i="4"/>
  <c r="AQ13" i="4"/>
  <c r="AQ14" i="4"/>
  <c r="AQ15" i="4"/>
  <c r="AQ16" i="4"/>
  <c r="AQ17" i="4"/>
  <c r="AQ18" i="4"/>
  <c r="AQ19" i="4"/>
  <c r="AQ20" i="4"/>
  <c r="AQ21" i="4"/>
  <c r="AQ22" i="4"/>
  <c r="AQ23" i="4"/>
  <c r="AQ24" i="4"/>
  <c r="AQ25" i="4"/>
  <c r="AQ26" i="4"/>
  <c r="AQ27" i="4"/>
  <c r="AQ28" i="4"/>
  <c r="AQ29" i="4"/>
  <c r="AQ30" i="4"/>
  <c r="AQ31" i="4"/>
  <c r="AQ32" i="4"/>
  <c r="AQ33" i="4"/>
  <c r="AQ34" i="4"/>
  <c r="AQ35" i="4"/>
  <c r="AQ36" i="4"/>
  <c r="AQ37" i="4"/>
  <c r="AQ38" i="4"/>
  <c r="AQ39" i="4"/>
  <c r="AQ40" i="4"/>
  <c r="AQ41" i="4"/>
  <c r="AQ42" i="4"/>
  <c r="AQ43" i="4"/>
  <c r="AQ44" i="4"/>
  <c r="AQ45" i="4"/>
  <c r="AQ46" i="4"/>
  <c r="AQ47" i="4"/>
  <c r="AQ48" i="4"/>
  <c r="AQ49" i="4"/>
  <c r="AQ50" i="4"/>
  <c r="AQ51" i="4"/>
  <c r="AQ52" i="4"/>
  <c r="AQ53" i="4"/>
  <c r="AQ54" i="4"/>
  <c r="AQ55" i="4"/>
  <c r="AQ56" i="4"/>
  <c r="AQ57" i="4"/>
  <c r="AQ58" i="4"/>
  <c r="AQ59" i="4"/>
  <c r="AQ60" i="4"/>
  <c r="AQ61" i="4"/>
  <c r="AQ62" i="4"/>
  <c r="AQ63" i="4"/>
  <c r="AQ64" i="4"/>
  <c r="AQ65" i="4"/>
  <c r="AQ66" i="4"/>
  <c r="AQ67" i="4"/>
  <c r="AQ68" i="4"/>
  <c r="AQ69" i="4"/>
  <c r="AQ70" i="4"/>
  <c r="AQ71" i="4"/>
  <c r="AQ72" i="4"/>
  <c r="AQ73" i="4"/>
  <c r="AQ74" i="4"/>
  <c r="AQ75" i="4"/>
  <c r="AQ76" i="4"/>
  <c r="AQ77" i="4"/>
  <c r="AQ78" i="4"/>
  <c r="AQ79" i="4"/>
  <c r="AQ80" i="4"/>
  <c r="AQ81" i="4"/>
  <c r="AQ82" i="4"/>
  <c r="AQ83" i="4"/>
  <c r="AQ84" i="4"/>
  <c r="AQ85" i="4"/>
  <c r="AQ86" i="4"/>
  <c r="AQ87" i="4"/>
  <c r="AQ88" i="4"/>
  <c r="AQ89" i="4"/>
  <c r="AQ90" i="4"/>
  <c r="AQ91" i="4"/>
  <c r="AQ92" i="4"/>
  <c r="AQ93" i="4"/>
  <c r="AQ94" i="4"/>
  <c r="AQ95" i="4"/>
  <c r="AQ96" i="4"/>
  <c r="AQ97" i="4"/>
  <c r="AQ98" i="4"/>
  <c r="AQ99" i="4"/>
  <c r="AQ100" i="4"/>
  <c r="AQ101" i="4"/>
  <c r="AQ102" i="4"/>
  <c r="AQ103" i="4"/>
  <c r="AQ104" i="4"/>
  <c r="AQ105" i="4"/>
  <c r="AQ106" i="4"/>
  <c r="AQ107" i="4"/>
  <c r="AQ108" i="4"/>
  <c r="AQ109" i="4"/>
  <c r="AQ110" i="4"/>
  <c r="AQ111" i="4"/>
  <c r="AQ112" i="4"/>
  <c r="AQ113" i="4"/>
  <c r="AQ114" i="4"/>
  <c r="AQ115" i="4"/>
  <c r="AQ116" i="4"/>
  <c r="AQ117" i="4"/>
  <c r="AQ118" i="4"/>
  <c r="AQ119" i="4"/>
  <c r="AQ120" i="4"/>
  <c r="AQ121" i="4"/>
  <c r="AQ122" i="4"/>
  <c r="AQ123" i="4"/>
  <c r="AQ124" i="4"/>
  <c r="AQ125" i="4"/>
  <c r="AQ126" i="4"/>
  <c r="AQ127" i="4"/>
  <c r="AQ128" i="4"/>
  <c r="AQ129" i="4"/>
  <c r="AQ130" i="4"/>
  <c r="AQ131" i="4"/>
  <c r="AQ132" i="4"/>
  <c r="AQ133" i="4"/>
  <c r="AQ134" i="4"/>
  <c r="AQ135" i="4"/>
  <c r="AQ136" i="4"/>
  <c r="AQ137" i="4"/>
  <c r="AQ138" i="4"/>
  <c r="AQ139" i="4"/>
  <c r="AQ140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M4" i="4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M19" i="4"/>
  <c r="AM20" i="4"/>
  <c r="AM21" i="4"/>
  <c r="AM22" i="4"/>
  <c r="AM23" i="4"/>
  <c r="AM24" i="4"/>
  <c r="AM25" i="4"/>
  <c r="AM26" i="4"/>
  <c r="AM27" i="4"/>
  <c r="AM28" i="4"/>
  <c r="AM29" i="4"/>
  <c r="AM30" i="4"/>
  <c r="AM31" i="4"/>
  <c r="AM32" i="4"/>
  <c r="AM33" i="4"/>
  <c r="AM34" i="4"/>
  <c r="AM35" i="4"/>
  <c r="AM36" i="4"/>
  <c r="AM37" i="4"/>
  <c r="AM38" i="4"/>
  <c r="AM39" i="4"/>
  <c r="AM40" i="4"/>
  <c r="AM41" i="4"/>
  <c r="AM42" i="4"/>
  <c r="AM43" i="4"/>
  <c r="AM44" i="4"/>
  <c r="AM45" i="4"/>
  <c r="AM46" i="4"/>
  <c r="AM47" i="4"/>
  <c r="AM48" i="4"/>
  <c r="AM49" i="4"/>
  <c r="AM50" i="4"/>
  <c r="AM51" i="4"/>
  <c r="AM52" i="4"/>
  <c r="AM53" i="4"/>
  <c r="AM54" i="4"/>
  <c r="AM55" i="4"/>
  <c r="AM56" i="4"/>
  <c r="AM57" i="4"/>
  <c r="AM58" i="4"/>
  <c r="AM59" i="4"/>
  <c r="AM60" i="4"/>
  <c r="AM61" i="4"/>
  <c r="AM62" i="4"/>
  <c r="AM63" i="4"/>
  <c r="AM64" i="4"/>
  <c r="AM65" i="4"/>
  <c r="AM66" i="4"/>
  <c r="AM67" i="4"/>
  <c r="AM68" i="4"/>
  <c r="AM69" i="4"/>
  <c r="AM70" i="4"/>
  <c r="AM71" i="4"/>
  <c r="AM72" i="4"/>
  <c r="AM73" i="4"/>
  <c r="AM74" i="4"/>
  <c r="AM75" i="4"/>
  <c r="AM76" i="4"/>
  <c r="AM77" i="4"/>
  <c r="AM78" i="4"/>
  <c r="AM79" i="4"/>
  <c r="AM80" i="4"/>
  <c r="AM81" i="4"/>
  <c r="AM82" i="4"/>
  <c r="AM83" i="4"/>
  <c r="AM84" i="4"/>
  <c r="AM85" i="4"/>
  <c r="AM86" i="4"/>
  <c r="AM87" i="4"/>
  <c r="AM88" i="4"/>
  <c r="AM89" i="4"/>
  <c r="AM90" i="4"/>
  <c r="AM91" i="4"/>
  <c r="AM92" i="4"/>
  <c r="AM93" i="4"/>
  <c r="AM94" i="4"/>
  <c r="AM95" i="4"/>
  <c r="AM96" i="4"/>
  <c r="AM97" i="4"/>
  <c r="AM98" i="4"/>
  <c r="AM99" i="4"/>
  <c r="AM100" i="4"/>
  <c r="AM101" i="4"/>
  <c r="AM102" i="4"/>
  <c r="AM103" i="4"/>
  <c r="AM104" i="4"/>
  <c r="AM105" i="4"/>
  <c r="AM106" i="4"/>
  <c r="AM107" i="4"/>
  <c r="AM108" i="4"/>
  <c r="AM109" i="4"/>
  <c r="AM110" i="4"/>
  <c r="AM111" i="4"/>
  <c r="AM112" i="4"/>
  <c r="AM113" i="4"/>
  <c r="AM114" i="4"/>
  <c r="AM115" i="4"/>
  <c r="AM116" i="4"/>
  <c r="AM117" i="4"/>
  <c r="AM118" i="4"/>
  <c r="AM119" i="4"/>
  <c r="AM120" i="4"/>
  <c r="AM121" i="4"/>
  <c r="AM122" i="4"/>
  <c r="AM123" i="4"/>
  <c r="AM124" i="4"/>
  <c r="AM125" i="4"/>
  <c r="AM126" i="4"/>
  <c r="AM127" i="4"/>
  <c r="AM128" i="4"/>
  <c r="AM129" i="4"/>
  <c r="AM130" i="4"/>
  <c r="AM131" i="4"/>
  <c r="AM132" i="4"/>
  <c r="AM133" i="4"/>
  <c r="AM134" i="4"/>
  <c r="AM135" i="4"/>
  <c r="AM136" i="4"/>
  <c r="AM137" i="4"/>
  <c r="AM138" i="4"/>
  <c r="AM139" i="4"/>
  <c r="AM140" i="4"/>
  <c r="AL4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L19" i="4"/>
  <c r="AL20" i="4"/>
  <c r="AL21" i="4"/>
  <c r="AL22" i="4"/>
  <c r="AL23" i="4"/>
  <c r="AL24" i="4"/>
  <c r="AL25" i="4"/>
  <c r="AL26" i="4"/>
  <c r="AL27" i="4"/>
  <c r="AL28" i="4"/>
  <c r="AL29" i="4"/>
  <c r="AL30" i="4"/>
  <c r="AL31" i="4"/>
  <c r="AL32" i="4"/>
  <c r="AL33" i="4"/>
  <c r="AL34" i="4"/>
  <c r="AL35" i="4"/>
  <c r="AL36" i="4"/>
  <c r="AL37" i="4"/>
  <c r="AL38" i="4"/>
  <c r="AL39" i="4"/>
  <c r="AL40" i="4"/>
  <c r="AL41" i="4"/>
  <c r="AL42" i="4"/>
  <c r="AL43" i="4"/>
  <c r="AL44" i="4"/>
  <c r="AL45" i="4"/>
  <c r="AL46" i="4"/>
  <c r="AL47" i="4"/>
  <c r="AL48" i="4"/>
  <c r="AL49" i="4"/>
  <c r="AL50" i="4"/>
  <c r="AL51" i="4"/>
  <c r="AL52" i="4"/>
  <c r="AL53" i="4"/>
  <c r="AL54" i="4"/>
  <c r="AL55" i="4"/>
  <c r="AL56" i="4"/>
  <c r="AL57" i="4"/>
  <c r="AL58" i="4"/>
  <c r="AL59" i="4"/>
  <c r="AL60" i="4"/>
  <c r="AL61" i="4"/>
  <c r="AL62" i="4"/>
  <c r="AL63" i="4"/>
  <c r="AL64" i="4"/>
  <c r="AL65" i="4"/>
  <c r="AL66" i="4"/>
  <c r="AL67" i="4"/>
  <c r="AL68" i="4"/>
  <c r="AL69" i="4"/>
  <c r="AL70" i="4"/>
  <c r="AL71" i="4"/>
  <c r="AL72" i="4"/>
  <c r="AL73" i="4"/>
  <c r="AL74" i="4"/>
  <c r="AL75" i="4"/>
  <c r="AL76" i="4"/>
  <c r="AL77" i="4"/>
  <c r="AL78" i="4"/>
  <c r="AL79" i="4"/>
  <c r="AL80" i="4"/>
  <c r="AL81" i="4"/>
  <c r="AL82" i="4"/>
  <c r="AL83" i="4"/>
  <c r="AL84" i="4"/>
  <c r="AL85" i="4"/>
  <c r="AL86" i="4"/>
  <c r="AL87" i="4"/>
  <c r="AL88" i="4"/>
  <c r="AL89" i="4"/>
  <c r="AL90" i="4"/>
  <c r="AL91" i="4"/>
  <c r="AL92" i="4"/>
  <c r="AL93" i="4"/>
  <c r="AL94" i="4"/>
  <c r="AL95" i="4"/>
  <c r="AL96" i="4"/>
  <c r="AL97" i="4"/>
  <c r="AL98" i="4"/>
  <c r="AL99" i="4"/>
  <c r="AL100" i="4"/>
  <c r="AL101" i="4"/>
  <c r="AL102" i="4"/>
  <c r="AL103" i="4"/>
  <c r="AL104" i="4"/>
  <c r="AL105" i="4"/>
  <c r="AL106" i="4"/>
  <c r="AL107" i="4"/>
  <c r="AL108" i="4"/>
  <c r="AL109" i="4"/>
  <c r="AL110" i="4"/>
  <c r="AL111" i="4"/>
  <c r="AL112" i="4"/>
  <c r="AL113" i="4"/>
  <c r="AL114" i="4"/>
  <c r="AL115" i="4"/>
  <c r="AL116" i="4"/>
  <c r="AL117" i="4"/>
  <c r="AL118" i="4"/>
  <c r="AL119" i="4"/>
  <c r="AL120" i="4"/>
  <c r="AL121" i="4"/>
  <c r="AL122" i="4"/>
  <c r="AL123" i="4"/>
  <c r="AL124" i="4"/>
  <c r="AL125" i="4"/>
  <c r="AL126" i="4"/>
  <c r="AL127" i="4"/>
  <c r="AL128" i="4"/>
  <c r="AL129" i="4"/>
  <c r="AL130" i="4"/>
  <c r="AL131" i="4"/>
  <c r="AL132" i="4"/>
  <c r="AL133" i="4"/>
  <c r="AL134" i="4"/>
  <c r="AL135" i="4"/>
  <c r="AL136" i="4"/>
  <c r="AL137" i="4"/>
  <c r="AL138" i="4"/>
  <c r="AL139" i="4"/>
  <c r="AL140" i="4"/>
  <c r="AK4" i="4"/>
  <c r="AK5" i="4"/>
  <c r="AK6" i="4"/>
  <c r="AK7" i="4"/>
  <c r="AK8" i="4"/>
  <c r="AK9" i="4"/>
  <c r="AK10" i="4"/>
  <c r="AK11" i="4"/>
  <c r="AK12" i="4"/>
  <c r="AK13" i="4"/>
  <c r="AK14" i="4"/>
  <c r="AK15" i="4"/>
  <c r="AK16" i="4"/>
  <c r="AK17" i="4"/>
  <c r="AK18" i="4"/>
  <c r="AK19" i="4"/>
  <c r="AK20" i="4"/>
  <c r="AK21" i="4"/>
  <c r="AK22" i="4"/>
  <c r="AK23" i="4"/>
  <c r="AK24" i="4"/>
  <c r="AK25" i="4"/>
  <c r="AK26" i="4"/>
  <c r="AK27" i="4"/>
  <c r="AK28" i="4"/>
  <c r="AK29" i="4"/>
  <c r="AK30" i="4"/>
  <c r="AK31" i="4"/>
  <c r="AK32" i="4"/>
  <c r="AK33" i="4"/>
  <c r="AK34" i="4"/>
  <c r="AK35" i="4"/>
  <c r="AK36" i="4"/>
  <c r="AK37" i="4"/>
  <c r="AK38" i="4"/>
  <c r="AK39" i="4"/>
  <c r="AK40" i="4"/>
  <c r="AK41" i="4"/>
  <c r="AK42" i="4"/>
  <c r="AK43" i="4"/>
  <c r="AK44" i="4"/>
  <c r="AK45" i="4"/>
  <c r="AK46" i="4"/>
  <c r="AK47" i="4"/>
  <c r="AK48" i="4"/>
  <c r="AK49" i="4"/>
  <c r="AK50" i="4"/>
  <c r="AK51" i="4"/>
  <c r="AK52" i="4"/>
  <c r="AK53" i="4"/>
  <c r="AK54" i="4"/>
  <c r="AK55" i="4"/>
  <c r="AK56" i="4"/>
  <c r="AK57" i="4"/>
  <c r="AK58" i="4"/>
  <c r="AK59" i="4"/>
  <c r="AK60" i="4"/>
  <c r="AK61" i="4"/>
  <c r="AK62" i="4"/>
  <c r="AK63" i="4"/>
  <c r="AK64" i="4"/>
  <c r="AK65" i="4"/>
  <c r="AK66" i="4"/>
  <c r="AK67" i="4"/>
  <c r="AK68" i="4"/>
  <c r="AK69" i="4"/>
  <c r="AK70" i="4"/>
  <c r="AK71" i="4"/>
  <c r="AK72" i="4"/>
  <c r="AK73" i="4"/>
  <c r="AK74" i="4"/>
  <c r="AK75" i="4"/>
  <c r="AK76" i="4"/>
  <c r="AK77" i="4"/>
  <c r="AK78" i="4"/>
  <c r="AK79" i="4"/>
  <c r="AK80" i="4"/>
  <c r="AK81" i="4"/>
  <c r="AK82" i="4"/>
  <c r="AK83" i="4"/>
  <c r="AK84" i="4"/>
  <c r="AK85" i="4"/>
  <c r="AK86" i="4"/>
  <c r="AK87" i="4"/>
  <c r="AK88" i="4"/>
  <c r="AK89" i="4"/>
  <c r="AK90" i="4"/>
  <c r="AK91" i="4"/>
  <c r="AK92" i="4"/>
  <c r="AK93" i="4"/>
  <c r="AK94" i="4"/>
  <c r="AK95" i="4"/>
  <c r="AK96" i="4"/>
  <c r="AK97" i="4"/>
  <c r="AK98" i="4"/>
  <c r="AK99" i="4"/>
  <c r="AK100" i="4"/>
  <c r="AK101" i="4"/>
  <c r="AK102" i="4"/>
  <c r="AK103" i="4"/>
  <c r="AK104" i="4"/>
  <c r="AK105" i="4"/>
  <c r="AK106" i="4"/>
  <c r="AK107" i="4"/>
  <c r="AK108" i="4"/>
  <c r="AK109" i="4"/>
  <c r="AK110" i="4"/>
  <c r="AK111" i="4"/>
  <c r="AK112" i="4"/>
  <c r="AK113" i="4"/>
  <c r="AK114" i="4"/>
  <c r="AK115" i="4"/>
  <c r="AK116" i="4"/>
  <c r="AK117" i="4"/>
  <c r="AK118" i="4"/>
  <c r="AK119" i="4"/>
  <c r="AK120" i="4"/>
  <c r="AK121" i="4"/>
  <c r="AK122" i="4"/>
  <c r="AK123" i="4"/>
  <c r="AK124" i="4"/>
  <c r="AK125" i="4"/>
  <c r="AK126" i="4"/>
  <c r="AK127" i="4"/>
  <c r="AK128" i="4"/>
  <c r="AK129" i="4"/>
  <c r="AK130" i="4"/>
  <c r="AK131" i="4"/>
  <c r="AK132" i="4"/>
  <c r="AK133" i="4"/>
  <c r="AK134" i="4"/>
  <c r="AK135" i="4"/>
  <c r="AK136" i="4"/>
  <c r="AK137" i="4"/>
  <c r="AK138" i="4"/>
  <c r="AK139" i="4"/>
  <c r="AK140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I4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19" i="4"/>
  <c r="AI20" i="4"/>
  <c r="AI21" i="4"/>
  <c r="AI22" i="4"/>
  <c r="AI23" i="4"/>
  <c r="AI24" i="4"/>
  <c r="AI25" i="4"/>
  <c r="AI26" i="4"/>
  <c r="AI27" i="4"/>
  <c r="AI28" i="4"/>
  <c r="AI29" i="4"/>
  <c r="AI30" i="4"/>
  <c r="AI31" i="4"/>
  <c r="AI32" i="4"/>
  <c r="AI33" i="4"/>
  <c r="AI34" i="4"/>
  <c r="AI35" i="4"/>
  <c r="AI36" i="4"/>
  <c r="AI37" i="4"/>
  <c r="AI38" i="4"/>
  <c r="AI39" i="4"/>
  <c r="AI40" i="4"/>
  <c r="AI41" i="4"/>
  <c r="AI42" i="4"/>
  <c r="AI43" i="4"/>
  <c r="AI44" i="4"/>
  <c r="AI45" i="4"/>
  <c r="AI46" i="4"/>
  <c r="AI47" i="4"/>
  <c r="AI48" i="4"/>
  <c r="AI49" i="4"/>
  <c r="AI50" i="4"/>
  <c r="AI51" i="4"/>
  <c r="AI52" i="4"/>
  <c r="AI53" i="4"/>
  <c r="AI54" i="4"/>
  <c r="AI55" i="4"/>
  <c r="AI56" i="4"/>
  <c r="AI57" i="4"/>
  <c r="AI58" i="4"/>
  <c r="AI59" i="4"/>
  <c r="AI60" i="4"/>
  <c r="AI61" i="4"/>
  <c r="AI62" i="4"/>
  <c r="AI63" i="4"/>
  <c r="AI64" i="4"/>
  <c r="AI65" i="4"/>
  <c r="AI66" i="4"/>
  <c r="AI67" i="4"/>
  <c r="AI68" i="4"/>
  <c r="AI69" i="4"/>
  <c r="AI70" i="4"/>
  <c r="AI71" i="4"/>
  <c r="AI72" i="4"/>
  <c r="AI73" i="4"/>
  <c r="AI74" i="4"/>
  <c r="AI75" i="4"/>
  <c r="AI76" i="4"/>
  <c r="AI77" i="4"/>
  <c r="AI78" i="4"/>
  <c r="AI79" i="4"/>
  <c r="AI80" i="4"/>
  <c r="AI81" i="4"/>
  <c r="AI82" i="4"/>
  <c r="AI83" i="4"/>
  <c r="AI84" i="4"/>
  <c r="AI85" i="4"/>
  <c r="AI86" i="4"/>
  <c r="AI87" i="4"/>
  <c r="AI88" i="4"/>
  <c r="AI89" i="4"/>
  <c r="AI90" i="4"/>
  <c r="AI91" i="4"/>
  <c r="AI92" i="4"/>
  <c r="AI93" i="4"/>
  <c r="AI94" i="4"/>
  <c r="AI95" i="4"/>
  <c r="AI96" i="4"/>
  <c r="AI97" i="4"/>
  <c r="AI98" i="4"/>
  <c r="AI99" i="4"/>
  <c r="AI100" i="4"/>
  <c r="AI101" i="4"/>
  <c r="AI102" i="4"/>
  <c r="AI103" i="4"/>
  <c r="AI104" i="4"/>
  <c r="AI105" i="4"/>
  <c r="AI106" i="4"/>
  <c r="AI107" i="4"/>
  <c r="AI108" i="4"/>
  <c r="AI109" i="4"/>
  <c r="AI110" i="4"/>
  <c r="AI111" i="4"/>
  <c r="AI112" i="4"/>
  <c r="AI113" i="4"/>
  <c r="AI114" i="4"/>
  <c r="AI115" i="4"/>
  <c r="AI116" i="4"/>
  <c r="AI117" i="4"/>
  <c r="AI118" i="4"/>
  <c r="AI119" i="4"/>
  <c r="AI120" i="4"/>
  <c r="AI121" i="4"/>
  <c r="AI122" i="4"/>
  <c r="AI123" i="4"/>
  <c r="AI124" i="4"/>
  <c r="AI125" i="4"/>
  <c r="AI126" i="4"/>
  <c r="AI127" i="4"/>
  <c r="AI128" i="4"/>
  <c r="AI129" i="4"/>
  <c r="AI130" i="4"/>
  <c r="AI131" i="4"/>
  <c r="AI132" i="4"/>
  <c r="AI133" i="4"/>
  <c r="AI134" i="4"/>
  <c r="AI135" i="4"/>
  <c r="AI136" i="4"/>
  <c r="AI137" i="4"/>
  <c r="AI138" i="4"/>
  <c r="AI139" i="4"/>
  <c r="AI140" i="4"/>
  <c r="AK3" i="4"/>
  <c r="AL3" i="4"/>
  <c r="AM3" i="4"/>
  <c r="AN3" i="4"/>
  <c r="AO3" i="4"/>
  <c r="AP3" i="4"/>
  <c r="AQ3" i="4"/>
  <c r="AR3" i="4"/>
  <c r="AS3" i="4"/>
  <c r="AT3" i="4"/>
  <c r="AV3" i="4"/>
  <c r="AW3" i="4"/>
  <c r="AZ3" i="4"/>
  <c r="BA3" i="4"/>
  <c r="BB3" i="4"/>
  <c r="BC3" i="4"/>
  <c r="AJ3" i="4"/>
  <c r="AI3" i="4"/>
  <c r="AF4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23" i="4"/>
  <c r="AF24" i="4"/>
  <c r="AF25" i="4"/>
  <c r="AF26" i="4"/>
  <c r="AF27" i="4"/>
  <c r="AF28" i="4"/>
  <c r="AF29" i="4"/>
  <c r="AF30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5" i="4"/>
  <c r="AF46" i="4"/>
  <c r="AF47" i="4"/>
  <c r="AF48" i="4"/>
  <c r="AF49" i="4"/>
  <c r="AF50" i="4"/>
  <c r="AF51" i="4"/>
  <c r="AF52" i="4"/>
  <c r="AF53" i="4"/>
  <c r="AF54" i="4"/>
  <c r="AF55" i="4"/>
  <c r="AF56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AF80" i="4"/>
  <c r="AF81" i="4"/>
  <c r="AF82" i="4"/>
  <c r="AF83" i="4"/>
  <c r="AF84" i="4"/>
  <c r="AF85" i="4"/>
  <c r="AF86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107" i="4"/>
  <c r="AF108" i="4"/>
  <c r="AF109" i="4"/>
  <c r="AF110" i="4"/>
  <c r="AF111" i="4"/>
  <c r="AF112" i="4"/>
  <c r="AF113" i="4"/>
  <c r="AF114" i="4"/>
  <c r="AF115" i="4"/>
  <c r="AF116" i="4"/>
  <c r="AF117" i="4"/>
  <c r="AF118" i="4"/>
  <c r="AF119" i="4"/>
  <c r="AF120" i="4"/>
  <c r="AF121" i="4"/>
  <c r="AF122" i="4"/>
  <c r="AF123" i="4"/>
  <c r="AF124" i="4"/>
  <c r="AF125" i="4"/>
  <c r="AF126" i="4"/>
  <c r="AF127" i="4"/>
  <c r="AF128" i="4"/>
  <c r="AF129" i="4"/>
  <c r="AF130" i="4"/>
  <c r="AF131" i="4"/>
  <c r="AF132" i="4"/>
  <c r="AF133" i="4"/>
  <c r="AF134" i="4"/>
  <c r="AF135" i="4"/>
  <c r="AF136" i="4"/>
  <c r="AF137" i="4"/>
  <c r="AF138" i="4"/>
  <c r="AF139" i="4"/>
  <c r="AF140" i="4"/>
  <c r="AE4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E19" i="4"/>
  <c r="AE20" i="4"/>
  <c r="AE21" i="4"/>
  <c r="AE22" i="4"/>
  <c r="AE23" i="4"/>
  <c r="AE24" i="4"/>
  <c r="AE25" i="4"/>
  <c r="AE26" i="4"/>
  <c r="AE27" i="4"/>
  <c r="AE28" i="4"/>
  <c r="AE29" i="4"/>
  <c r="AE30" i="4"/>
  <c r="AE31" i="4"/>
  <c r="AE32" i="4"/>
  <c r="AE33" i="4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2" i="4"/>
  <c r="AE53" i="4"/>
  <c r="AE54" i="4"/>
  <c r="AE55" i="4"/>
  <c r="AE56" i="4"/>
  <c r="AE57" i="4"/>
  <c r="AE58" i="4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AE80" i="4"/>
  <c r="AE81" i="4"/>
  <c r="AE82" i="4"/>
  <c r="AE83" i="4"/>
  <c r="AE84" i="4"/>
  <c r="AE85" i="4"/>
  <c r="AE86" i="4"/>
  <c r="AE87" i="4"/>
  <c r="AE88" i="4"/>
  <c r="AE89" i="4"/>
  <c r="AE90" i="4"/>
  <c r="AE91" i="4"/>
  <c r="AE92" i="4"/>
  <c r="AE93" i="4"/>
  <c r="AE94" i="4"/>
  <c r="AE95" i="4"/>
  <c r="AE96" i="4"/>
  <c r="AE97" i="4"/>
  <c r="AE98" i="4"/>
  <c r="AE99" i="4"/>
  <c r="AE100" i="4"/>
  <c r="AE101" i="4"/>
  <c r="AE102" i="4"/>
  <c r="AE103" i="4"/>
  <c r="AE104" i="4"/>
  <c r="AE105" i="4"/>
  <c r="AE106" i="4"/>
  <c r="AE107" i="4"/>
  <c r="AE108" i="4"/>
  <c r="AE109" i="4"/>
  <c r="AE110" i="4"/>
  <c r="AE111" i="4"/>
  <c r="AE112" i="4"/>
  <c r="AE113" i="4"/>
  <c r="AE114" i="4"/>
  <c r="AE115" i="4"/>
  <c r="AE116" i="4"/>
  <c r="AE117" i="4"/>
  <c r="AE118" i="4"/>
  <c r="AE119" i="4"/>
  <c r="AE120" i="4"/>
  <c r="AE121" i="4"/>
  <c r="AE122" i="4"/>
  <c r="AE123" i="4"/>
  <c r="AE124" i="4"/>
  <c r="AE125" i="4"/>
  <c r="AE126" i="4"/>
  <c r="AE127" i="4"/>
  <c r="AE128" i="4"/>
  <c r="AE129" i="4"/>
  <c r="AE130" i="4"/>
  <c r="AE131" i="4"/>
  <c r="AE132" i="4"/>
  <c r="AE133" i="4"/>
  <c r="AE134" i="4"/>
  <c r="AE135" i="4"/>
  <c r="AE136" i="4"/>
  <c r="AE137" i="4"/>
  <c r="AE138" i="4"/>
  <c r="AE139" i="4"/>
  <c r="AE140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D4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AD80" i="4"/>
  <c r="AD81" i="4"/>
  <c r="AD82" i="4"/>
  <c r="AD83" i="4"/>
  <c r="AD84" i="4"/>
  <c r="AD85" i="4"/>
  <c r="AD86" i="4"/>
  <c r="AD87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AD130" i="4"/>
  <c r="AD131" i="4"/>
  <c r="AD132" i="4"/>
  <c r="AD133" i="4"/>
  <c r="AD134" i="4"/>
  <c r="AD135" i="4"/>
  <c r="AD136" i="4"/>
  <c r="AD137" i="4"/>
  <c r="AD138" i="4"/>
  <c r="AD139" i="4"/>
  <c r="AD140" i="4"/>
  <c r="AC4" i="4"/>
  <c r="AC5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137" i="4"/>
  <c r="AC138" i="4"/>
  <c r="AC139" i="4"/>
  <c r="AC140" i="4"/>
  <c r="AH8" i="3"/>
  <c r="AH9" i="3"/>
  <c r="AH43" i="3"/>
  <c r="AH63" i="3"/>
  <c r="AH67" i="3"/>
  <c r="AH82" i="3"/>
  <c r="AH122" i="3"/>
  <c r="AH127" i="3"/>
  <c r="AH136" i="3"/>
  <c r="AH138" i="3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100" i="2"/>
  <c r="AC101" i="2"/>
  <c r="AC102" i="2"/>
  <c r="AC105" i="2"/>
  <c r="AC107" i="2"/>
  <c r="AC108" i="2"/>
  <c r="AC109" i="2"/>
  <c r="AC110" i="2"/>
  <c r="AC111" i="2"/>
  <c r="AC112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57" i="2"/>
  <c r="AC158" i="2"/>
  <c r="AC159" i="2"/>
  <c r="AC160" i="2"/>
  <c r="AC161" i="2"/>
  <c r="AC162" i="2"/>
  <c r="AC163" i="2"/>
  <c r="AC164" i="2"/>
  <c r="AC196" i="2"/>
  <c r="AC197" i="2"/>
  <c r="AC198" i="2"/>
  <c r="AC199" i="2"/>
  <c r="AC200" i="2"/>
  <c r="AC201" i="2"/>
  <c r="AC202" i="2"/>
  <c r="AC203" i="2"/>
  <c r="AC204" i="2"/>
  <c r="AC205" i="2"/>
  <c r="AC206" i="2"/>
  <c r="AC207" i="2"/>
  <c r="AC208" i="2"/>
  <c r="AC209" i="2"/>
  <c r="AC210" i="2"/>
  <c r="AC211" i="2"/>
  <c r="AC212" i="2"/>
  <c r="AC213" i="2"/>
  <c r="AC214" i="2"/>
  <c r="AC215" i="2"/>
  <c r="AC216" i="2"/>
  <c r="AC217" i="2"/>
  <c r="AC218" i="2"/>
  <c r="AC219" i="2"/>
  <c r="AC220" i="2"/>
  <c r="AC221" i="2"/>
  <c r="AC222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57" i="2"/>
  <c r="AC258" i="2"/>
  <c r="AC259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C3" i="2"/>
  <c r="AD3" i="3"/>
  <c r="AH140" i="3" s="1"/>
  <c r="AC3" i="3"/>
  <c r="AD4" i="6"/>
  <c r="AE3" i="4"/>
  <c r="AF3" i="4"/>
  <c r="AD3" i="4"/>
  <c r="AC3" i="4"/>
  <c r="AB3" i="4"/>
  <c r="AH123" i="3" l="1"/>
  <c r="AH51" i="3"/>
  <c r="AH103" i="3"/>
  <c r="AH42" i="3"/>
  <c r="AH99" i="3"/>
  <c r="AH27" i="3"/>
  <c r="AH83" i="3"/>
  <c r="AH11" i="3"/>
  <c r="AH91" i="3"/>
  <c r="AH31" i="3"/>
  <c r="AH137" i="3"/>
  <c r="AH102" i="3"/>
  <c r="AH66" i="3"/>
  <c r="AH30" i="3"/>
  <c r="AH139" i="3"/>
  <c r="AH104" i="3"/>
  <c r="AH70" i="3"/>
  <c r="AH34" i="3"/>
  <c r="AH105" i="3"/>
  <c r="AH71" i="3"/>
  <c r="AH35" i="3"/>
  <c r="AH106" i="3"/>
  <c r="AH72" i="3"/>
  <c r="AH38" i="3"/>
  <c r="AH107" i="3"/>
  <c r="AH73" i="3"/>
  <c r="AH39" i="3"/>
  <c r="AH114" i="3"/>
  <c r="AH74" i="3"/>
  <c r="AH40" i="3"/>
  <c r="AH6" i="3"/>
  <c r="AH115" i="3"/>
  <c r="AH75" i="3"/>
  <c r="AH41" i="3"/>
  <c r="AH7" i="3"/>
  <c r="AH126" i="3"/>
  <c r="AH90" i="3"/>
  <c r="AH50" i="3"/>
  <c r="AH10" i="3"/>
  <c r="AH130" i="3"/>
  <c r="AH94" i="3"/>
  <c r="AH58" i="3"/>
  <c r="AH18" i="3"/>
  <c r="AH134" i="3"/>
  <c r="AH95" i="3"/>
  <c r="AH59" i="3"/>
  <c r="AH19" i="3"/>
  <c r="AH135" i="3"/>
  <c r="AH98" i="3"/>
  <c r="AH62" i="3"/>
  <c r="AH26" i="3"/>
  <c r="D307" i="2"/>
  <c r="BE3" i="4"/>
  <c r="AH131" i="3"/>
  <c r="AH84" i="3"/>
  <c r="D301" i="2"/>
  <c r="AA83" i="4" s="1"/>
  <c r="D304" i="2"/>
  <c r="BE133" i="6"/>
  <c r="BE117" i="6"/>
  <c r="BE101" i="6"/>
  <c r="BE85" i="6"/>
  <c r="BE69" i="6"/>
  <c r="BE53" i="6"/>
  <c r="BE37" i="6"/>
  <c r="BE21" i="6"/>
  <c r="BE5" i="6"/>
  <c r="BE141" i="6"/>
  <c r="BE125" i="6"/>
  <c r="BE109" i="6"/>
  <c r="BE93" i="6"/>
  <c r="BE77" i="6"/>
  <c r="BE61" i="6"/>
  <c r="BE45" i="6"/>
  <c r="BE29" i="6"/>
  <c r="BE13" i="6"/>
  <c r="BI11" i="4"/>
  <c r="AH132" i="3"/>
  <c r="AH116" i="3"/>
  <c r="AH100" i="3"/>
  <c r="AH68" i="3"/>
  <c r="AH52" i="3"/>
  <c r="AH36" i="3"/>
  <c r="AH20" i="3"/>
  <c r="AH4" i="3"/>
  <c r="AH133" i="3"/>
  <c r="AH117" i="3"/>
  <c r="AH101" i="3"/>
  <c r="AH85" i="3"/>
  <c r="AH69" i="3"/>
  <c r="AH53" i="3"/>
  <c r="AH37" i="3"/>
  <c r="AH21" i="3"/>
  <c r="AH5" i="3"/>
  <c r="AH118" i="3"/>
  <c r="AH86" i="3"/>
  <c r="AH54" i="3"/>
  <c r="AH22" i="3"/>
  <c r="AH119" i="3"/>
  <c r="AH87" i="3"/>
  <c r="AH55" i="3"/>
  <c r="AH23" i="3"/>
  <c r="AH120" i="3"/>
  <c r="AH88" i="3"/>
  <c r="AH56" i="3"/>
  <c r="AH24" i="3"/>
  <c r="AH121" i="3"/>
  <c r="AH89" i="3"/>
  <c r="AH57" i="3"/>
  <c r="AH25" i="3"/>
  <c r="AH124" i="3"/>
  <c r="AH108" i="3"/>
  <c r="AH92" i="3"/>
  <c r="AH76" i="3"/>
  <c r="AH60" i="3"/>
  <c r="AH44" i="3"/>
  <c r="AH28" i="3"/>
  <c r="AH12" i="3"/>
  <c r="AH125" i="3"/>
  <c r="AH109" i="3"/>
  <c r="AH93" i="3"/>
  <c r="AH77" i="3"/>
  <c r="AH61" i="3"/>
  <c r="AH45" i="3"/>
  <c r="AH29" i="3"/>
  <c r="AH13" i="3"/>
  <c r="AH110" i="3"/>
  <c r="AH78" i="3"/>
  <c r="AH46" i="3"/>
  <c r="AH14" i="3"/>
  <c r="AH111" i="3"/>
  <c r="AH79" i="3"/>
  <c r="AH47" i="3"/>
  <c r="AH15" i="3"/>
  <c r="AH128" i="3"/>
  <c r="AH112" i="3"/>
  <c r="AH96" i="3"/>
  <c r="AH80" i="3"/>
  <c r="AH64" i="3"/>
  <c r="AH48" i="3"/>
  <c r="AH32" i="3"/>
  <c r="AH16" i="3"/>
  <c r="AH129" i="3"/>
  <c r="AH113" i="3"/>
  <c r="AH97" i="3"/>
  <c r="AH81" i="3"/>
  <c r="AH65" i="3"/>
  <c r="AH49" i="3"/>
  <c r="AH33" i="3"/>
  <c r="AH17" i="3"/>
  <c r="D302" i="2"/>
  <c r="D303" i="2"/>
  <c r="D306" i="2"/>
  <c r="D305" i="2"/>
  <c r="BH125" i="4"/>
  <c r="BG3" i="4"/>
  <c r="BI3" i="4"/>
  <c r="BH3" i="4"/>
  <c r="BH71" i="4"/>
  <c r="BF127" i="4"/>
  <c r="BF95" i="4"/>
  <c r="BF63" i="4"/>
  <c r="BF31" i="4"/>
  <c r="BG118" i="4"/>
  <c r="BG102" i="4"/>
  <c r="BG78" i="4"/>
  <c r="BG62" i="4"/>
  <c r="BG38" i="4"/>
  <c r="BE109" i="4"/>
  <c r="BE77" i="4"/>
  <c r="BE45" i="4"/>
  <c r="BE21" i="4"/>
  <c r="BH132" i="4"/>
  <c r="BH100" i="4"/>
  <c r="BH68" i="4"/>
  <c r="BH44" i="4"/>
  <c r="BH12" i="4"/>
  <c r="BI139" i="4"/>
  <c r="BI115" i="4"/>
  <c r="BI67" i="4"/>
  <c r="BI43" i="4"/>
  <c r="BI19" i="4"/>
  <c r="BF134" i="4"/>
  <c r="BF126" i="4"/>
  <c r="BF118" i="4"/>
  <c r="BF110" i="4"/>
  <c r="BF102" i="4"/>
  <c r="BG53" i="4"/>
  <c r="BF135" i="4"/>
  <c r="BF103" i="4"/>
  <c r="BF71" i="4"/>
  <c r="BF39" i="4"/>
  <c r="BF15" i="4"/>
  <c r="BG126" i="4"/>
  <c r="BG110" i="4"/>
  <c r="BG86" i="4"/>
  <c r="BG70" i="4"/>
  <c r="BG54" i="4"/>
  <c r="BG46" i="4"/>
  <c r="BG30" i="4"/>
  <c r="BG22" i="4"/>
  <c r="BG14" i="4"/>
  <c r="BG6" i="4"/>
  <c r="BE117" i="4"/>
  <c r="BE93" i="4"/>
  <c r="BE53" i="4"/>
  <c r="BE13" i="4"/>
  <c r="BH140" i="4"/>
  <c r="BH108" i="4"/>
  <c r="BH84" i="4"/>
  <c r="BH52" i="4"/>
  <c r="BH20" i="4"/>
  <c r="BI131" i="4"/>
  <c r="BI99" i="4"/>
  <c r="BI75" i="4"/>
  <c r="BI51" i="4"/>
  <c r="BI35" i="4"/>
  <c r="BE4" i="6"/>
  <c r="BE26" i="6"/>
  <c r="BE34" i="6"/>
  <c r="BE58" i="6"/>
  <c r="BE66" i="6"/>
  <c r="BE122" i="6"/>
  <c r="BE130" i="6"/>
  <c r="BE90" i="6"/>
  <c r="BE98" i="6"/>
  <c r="BF111" i="4"/>
  <c r="BF79" i="4"/>
  <c r="BF55" i="4"/>
  <c r="BF23" i="4"/>
  <c r="BE133" i="4"/>
  <c r="BE101" i="4"/>
  <c r="BE69" i="4"/>
  <c r="BE61" i="4"/>
  <c r="BE29" i="4"/>
  <c r="BH124" i="4"/>
  <c r="BH92" i="4"/>
  <c r="BH60" i="4"/>
  <c r="BH28" i="4"/>
  <c r="BH4" i="4"/>
  <c r="BI123" i="4"/>
  <c r="BI107" i="4"/>
  <c r="BI83" i="4"/>
  <c r="BI59" i="4"/>
  <c r="BI27" i="4"/>
  <c r="AH3" i="3"/>
  <c r="BF119" i="4"/>
  <c r="BF87" i="4"/>
  <c r="BF47" i="4"/>
  <c r="BF7" i="4"/>
  <c r="BG134" i="4"/>
  <c r="BG94" i="4"/>
  <c r="BE125" i="4"/>
  <c r="BE85" i="4"/>
  <c r="BE37" i="4"/>
  <c r="BE5" i="4"/>
  <c r="BH116" i="4"/>
  <c r="BH76" i="4"/>
  <c r="BH36" i="4"/>
  <c r="BI91" i="4"/>
  <c r="BF3" i="4"/>
  <c r="BE65" i="4"/>
  <c r="BF133" i="4"/>
  <c r="BF125" i="4"/>
  <c r="BF117" i="4"/>
  <c r="BF109" i="4"/>
  <c r="BF101" i="4"/>
  <c r="BF93" i="4"/>
  <c r="BF85" i="4"/>
  <c r="BF77" i="4"/>
  <c r="BF69" i="4"/>
  <c r="BF61" i="4"/>
  <c r="BF53" i="4"/>
  <c r="BF45" i="4"/>
  <c r="BF37" i="4"/>
  <c r="BF29" i="4"/>
  <c r="BF21" i="4"/>
  <c r="BF13" i="4"/>
  <c r="BF5" i="4"/>
  <c r="BG140" i="4"/>
  <c r="BG132" i="4"/>
  <c r="BG124" i="4"/>
  <c r="BG116" i="4"/>
  <c r="BG108" i="4"/>
  <c r="BG100" i="4"/>
  <c r="BG92" i="4"/>
  <c r="BG84" i="4"/>
  <c r="BG76" i="4"/>
  <c r="BG68" i="4"/>
  <c r="BG60" i="4"/>
  <c r="BG52" i="4"/>
  <c r="BG44" i="4"/>
  <c r="BG36" i="4"/>
  <c r="BG28" i="4"/>
  <c r="BG20" i="4"/>
  <c r="BG12" i="4"/>
  <c r="BG4" i="4"/>
  <c r="BE139" i="4"/>
  <c r="BE131" i="4"/>
  <c r="BE123" i="4"/>
  <c r="BE115" i="4"/>
  <c r="BE107" i="4"/>
  <c r="BE99" i="4"/>
  <c r="BE91" i="4"/>
  <c r="BE83" i="4"/>
  <c r="BE75" i="4"/>
  <c r="BE67" i="4"/>
  <c r="BE59" i="4"/>
  <c r="BE51" i="4"/>
  <c r="BE43" i="4"/>
  <c r="BE35" i="4"/>
  <c r="BE27" i="4"/>
  <c r="BE19" i="4"/>
  <c r="BE11" i="4"/>
  <c r="BH138" i="4"/>
  <c r="BH130" i="4"/>
  <c r="BH122" i="4"/>
  <c r="BH114" i="4"/>
  <c r="BH106" i="4"/>
  <c r="BH98" i="4"/>
  <c r="BH90" i="4"/>
  <c r="BH82" i="4"/>
  <c r="BH74" i="4"/>
  <c r="BH66" i="4"/>
  <c r="BH58" i="4"/>
  <c r="BH50" i="4"/>
  <c r="BH42" i="4"/>
  <c r="BH34" i="4"/>
  <c r="BH26" i="4"/>
  <c r="BH18" i="4"/>
  <c r="BH10" i="4"/>
  <c r="BI137" i="4"/>
  <c r="BI129" i="4"/>
  <c r="BI121" i="4"/>
  <c r="BI113" i="4"/>
  <c r="BI105" i="4"/>
  <c r="BI97" i="4"/>
  <c r="BI89" i="4"/>
  <c r="BI81" i="4"/>
  <c r="BI73" i="4"/>
  <c r="BI65" i="4"/>
  <c r="BI57" i="4"/>
  <c r="BI49" i="4"/>
  <c r="BI41" i="4"/>
  <c r="BI25" i="4"/>
  <c r="BF140" i="4"/>
  <c r="BF132" i="4"/>
  <c r="BF124" i="4"/>
  <c r="BF116" i="4"/>
  <c r="BF108" i="4"/>
  <c r="BF100" i="4"/>
  <c r="BF92" i="4"/>
  <c r="BF84" i="4"/>
  <c r="BF76" i="4"/>
  <c r="BF68" i="4"/>
  <c r="BF60" i="4"/>
  <c r="BF52" i="4"/>
  <c r="BF44" i="4"/>
  <c r="BF36" i="4"/>
  <c r="BF28" i="4"/>
  <c r="BF20" i="4"/>
  <c r="BF12" i="4"/>
  <c r="BF4" i="4"/>
  <c r="BG139" i="4"/>
  <c r="BG131" i="4"/>
  <c r="BG123" i="4"/>
  <c r="BG115" i="4"/>
  <c r="BG107" i="4"/>
  <c r="BG99" i="4"/>
  <c r="BG91" i="4"/>
  <c r="BG83" i="4"/>
  <c r="BG75" i="4"/>
  <c r="BG67" i="4"/>
  <c r="BG59" i="4"/>
  <c r="BG51" i="4"/>
  <c r="BG43" i="4"/>
  <c r="BG35" i="4"/>
  <c r="BG27" i="4"/>
  <c r="BG19" i="4"/>
  <c r="BG11" i="4"/>
  <c r="BE138" i="4"/>
  <c r="BE130" i="4"/>
  <c r="BE122" i="4"/>
  <c r="BE114" i="4"/>
  <c r="BE106" i="4"/>
  <c r="BE98" i="4"/>
  <c r="BE90" i="4"/>
  <c r="BE82" i="4"/>
  <c r="BE74" i="4"/>
  <c r="BE66" i="4"/>
  <c r="BE58" i="4"/>
  <c r="BE50" i="4"/>
  <c r="BE42" i="4"/>
  <c r="BE34" i="4"/>
  <c r="BE26" i="4"/>
  <c r="BE18" i="4"/>
  <c r="BE10" i="4"/>
  <c r="BH137" i="4"/>
  <c r="BF139" i="4"/>
  <c r="BF131" i="4"/>
  <c r="BF123" i="4"/>
  <c r="BF115" i="4"/>
  <c r="BF107" i="4"/>
  <c r="BF99" i="4"/>
  <c r="BF91" i="4"/>
  <c r="BF83" i="4"/>
  <c r="BF75" i="4"/>
  <c r="BF67" i="4"/>
  <c r="BF59" i="4"/>
  <c r="BF51" i="4"/>
  <c r="BF43" i="4"/>
  <c r="BF35" i="4"/>
  <c r="BF27" i="4"/>
  <c r="BF19" i="4"/>
  <c r="BF11" i="4"/>
  <c r="BG138" i="4"/>
  <c r="BG130" i="4"/>
  <c r="BG122" i="4"/>
  <c r="BG114" i="4"/>
  <c r="BG106" i="4"/>
  <c r="BG98" i="4"/>
  <c r="BG90" i="4"/>
  <c r="BG82" i="4"/>
  <c r="BG74" i="4"/>
  <c r="BG66" i="4"/>
  <c r="BG58" i="4"/>
  <c r="BG50" i="4"/>
  <c r="BG42" i="4"/>
  <c r="BG34" i="4"/>
  <c r="BG26" i="4"/>
  <c r="BG18" i="4"/>
  <c r="BG10" i="4"/>
  <c r="BE137" i="4"/>
  <c r="BE129" i="4"/>
  <c r="BE121" i="4"/>
  <c r="BE113" i="4"/>
  <c r="BE105" i="4"/>
  <c r="BE97" i="4"/>
  <c r="BE89" i="4"/>
  <c r="BE81" i="4"/>
  <c r="BE73" i="4"/>
  <c r="BE57" i="4"/>
  <c r="BE49" i="4"/>
  <c r="BE41" i="4"/>
  <c r="BE33" i="4"/>
  <c r="BE25" i="4"/>
  <c r="BE17" i="4"/>
  <c r="BE9" i="4"/>
  <c r="BH136" i="4"/>
  <c r="BH128" i="4"/>
  <c r="BH120" i="4"/>
  <c r="BH112" i="4"/>
  <c r="BH104" i="4"/>
  <c r="BH96" i="4"/>
  <c r="BH88" i="4"/>
  <c r="BH80" i="4"/>
  <c r="BH72" i="4"/>
  <c r="BH64" i="4"/>
  <c r="BH56" i="4"/>
  <c r="BH48" i="4"/>
  <c r="BH40" i="4"/>
  <c r="BH32" i="4"/>
  <c r="BH24" i="4"/>
  <c r="BH16" i="4"/>
  <c r="BH8" i="4"/>
  <c r="BF137" i="4"/>
  <c r="BF129" i="4"/>
  <c r="BF121" i="4"/>
  <c r="BF113" i="4"/>
  <c r="BF105" i="4"/>
  <c r="BF97" i="4"/>
  <c r="BF89" i="4"/>
  <c r="BF81" i="4"/>
  <c r="BF73" i="4"/>
  <c r="BF65" i="4"/>
  <c r="BF57" i="4"/>
  <c r="BF49" i="4"/>
  <c r="BF41" i="4"/>
  <c r="BF33" i="4"/>
  <c r="BF25" i="4"/>
  <c r="BF17" i="4"/>
  <c r="BF9" i="4"/>
  <c r="BG80" i="4"/>
  <c r="BF94" i="4"/>
  <c r="BF86" i="4"/>
  <c r="BF78" i="4"/>
  <c r="BF70" i="4"/>
  <c r="BF62" i="4"/>
  <c r="BF54" i="4"/>
  <c r="BF46" i="4"/>
  <c r="BF38" i="4"/>
  <c r="BF30" i="4"/>
  <c r="BF22" i="4"/>
  <c r="BF14" i="4"/>
  <c r="BF6" i="4"/>
  <c r="BG133" i="4"/>
  <c r="BG125" i="4"/>
  <c r="BG117" i="4"/>
  <c r="BG109" i="4"/>
  <c r="BG101" i="4"/>
  <c r="BG93" i="4"/>
  <c r="BG85" i="4"/>
  <c r="BG77" i="4"/>
  <c r="BG69" i="4"/>
  <c r="BG61" i="4"/>
  <c r="BG45" i="4"/>
  <c r="BG37" i="4"/>
  <c r="BG29" i="4"/>
  <c r="BG21" i="4"/>
  <c r="BG13" i="4"/>
  <c r="BG5" i="4"/>
  <c r="BE140" i="4"/>
  <c r="BE132" i="4"/>
  <c r="BE124" i="4"/>
  <c r="BE116" i="4"/>
  <c r="BE108" i="4"/>
  <c r="BE100" i="4"/>
  <c r="BE92" i="4"/>
  <c r="BE84" i="4"/>
  <c r="BE76" i="4"/>
  <c r="BE68" i="4"/>
  <c r="BE60" i="4"/>
  <c r="BE52" i="4"/>
  <c r="BE44" i="4"/>
  <c r="BE36" i="4"/>
  <c r="BE28" i="4"/>
  <c r="BE20" i="4"/>
  <c r="BE12" i="4"/>
  <c r="BE4" i="4"/>
  <c r="BH139" i="4"/>
  <c r="BH131" i="4"/>
  <c r="BH123" i="4"/>
  <c r="BH115" i="4"/>
  <c r="BH107" i="4"/>
  <c r="BH99" i="4"/>
  <c r="BH91" i="4"/>
  <c r="BH83" i="4"/>
  <c r="BH75" i="4"/>
  <c r="BH67" i="4"/>
  <c r="BH59" i="4"/>
  <c r="BH51" i="4"/>
  <c r="BH43" i="4"/>
  <c r="BH35" i="4"/>
  <c r="BH27" i="4"/>
  <c r="BH19" i="4"/>
  <c r="BH11" i="4"/>
  <c r="BI138" i="4"/>
  <c r="BI130" i="4"/>
  <c r="BI122" i="4"/>
  <c r="BI114" i="4"/>
  <c r="BI106" i="4"/>
  <c r="BI98" i="4"/>
  <c r="BI90" i="4"/>
  <c r="BI82" i="4"/>
  <c r="BI74" i="4"/>
  <c r="BI66" i="4"/>
  <c r="BI58" i="4"/>
  <c r="BI50" i="4"/>
  <c r="BI42" i="4"/>
  <c r="BI34" i="4"/>
  <c r="BI26" i="4"/>
  <c r="BI18" i="4"/>
  <c r="BI10" i="4"/>
  <c r="BF138" i="4"/>
  <c r="BF130" i="4"/>
  <c r="BF122" i="4"/>
  <c r="BF114" i="4"/>
  <c r="BF106" i="4"/>
  <c r="BF98" i="4"/>
  <c r="BF90" i="4"/>
  <c r="BF82" i="4"/>
  <c r="BF74" i="4"/>
  <c r="BF66" i="4"/>
  <c r="BF58" i="4"/>
  <c r="BF50" i="4"/>
  <c r="BF42" i="4"/>
  <c r="BF34" i="4"/>
  <c r="BF26" i="4"/>
  <c r="BF18" i="4"/>
  <c r="BF10" i="4"/>
  <c r="BG137" i="4"/>
  <c r="BG129" i="4"/>
  <c r="BG121" i="4"/>
  <c r="BG113" i="4"/>
  <c r="BG105" i="4"/>
  <c r="BG97" i="4"/>
  <c r="BG89" i="4"/>
  <c r="BG81" i="4"/>
  <c r="BG73" i="4"/>
  <c r="BG65" i="4"/>
  <c r="BG57" i="4"/>
  <c r="BG49" i="4"/>
  <c r="BG41" i="4"/>
  <c r="BG33" i="4"/>
  <c r="BG25" i="4"/>
  <c r="BG17" i="4"/>
  <c r="BG9" i="4"/>
  <c r="BE136" i="4"/>
  <c r="BE128" i="4"/>
  <c r="BE120" i="4"/>
  <c r="BE112" i="4"/>
  <c r="BE104" i="4"/>
  <c r="BE96" i="4"/>
  <c r="BE88" i="4"/>
  <c r="BE80" i="4"/>
  <c r="BE72" i="4"/>
  <c r="BE64" i="4"/>
  <c r="BE56" i="4"/>
  <c r="BE48" i="4"/>
  <c r="BE40" i="4"/>
  <c r="BE32" i="4"/>
  <c r="BE24" i="4"/>
  <c r="BE16" i="4"/>
  <c r="BE8" i="4"/>
  <c r="BG136" i="4"/>
  <c r="BG128" i="4"/>
  <c r="BG120" i="4"/>
  <c r="BG112" i="4"/>
  <c r="BG104" i="4"/>
  <c r="BG96" i="4"/>
  <c r="BG88" i="4"/>
  <c r="BG72" i="4"/>
  <c r="BG64" i="4"/>
  <c r="BG56" i="4"/>
  <c r="BG48" i="4"/>
  <c r="BG40" i="4"/>
  <c r="BG32" i="4"/>
  <c r="BG24" i="4"/>
  <c r="BG16" i="4"/>
  <c r="BG8" i="4"/>
  <c r="BE135" i="4"/>
  <c r="BE127" i="4"/>
  <c r="BE119" i="4"/>
  <c r="BE111" i="4"/>
  <c r="BE103" i="4"/>
  <c r="BE95" i="4"/>
  <c r="BE87" i="4"/>
  <c r="BE79" i="4"/>
  <c r="BE71" i="4"/>
  <c r="BE63" i="4"/>
  <c r="BE55" i="4"/>
  <c r="BE47" i="4"/>
  <c r="BE39" i="4"/>
  <c r="BE31" i="4"/>
  <c r="BE23" i="4"/>
  <c r="BE15" i="4"/>
  <c r="BE7" i="4"/>
  <c r="BH134" i="4"/>
  <c r="BH126" i="4"/>
  <c r="BH118" i="4"/>
  <c r="BH110" i="4"/>
  <c r="BH102" i="4"/>
  <c r="BH94" i="4"/>
  <c r="BH86" i="4"/>
  <c r="BH78" i="4"/>
  <c r="BH70" i="4"/>
  <c r="BH62" i="4"/>
  <c r="BH54" i="4"/>
  <c r="BH46" i="4"/>
  <c r="BH38" i="4"/>
  <c r="BH30" i="4"/>
  <c r="BH22" i="4"/>
  <c r="BH14" i="4"/>
  <c r="BH6" i="4"/>
  <c r="BI133" i="4"/>
  <c r="BI125" i="4"/>
  <c r="BI117" i="4"/>
  <c r="BI109" i="4"/>
  <c r="BI101" i="4"/>
  <c r="BI93" i="4"/>
  <c r="BI85" i="4"/>
  <c r="BI77" i="4"/>
  <c r="BI69" i="4"/>
  <c r="BI61" i="4"/>
  <c r="BI53" i="4"/>
  <c r="BI45" i="4"/>
  <c r="BI37" i="4"/>
  <c r="BF136" i="4"/>
  <c r="BF128" i="4"/>
  <c r="BF120" i="4"/>
  <c r="BF112" i="4"/>
  <c r="BF104" i="4"/>
  <c r="BF96" i="4"/>
  <c r="BF88" i="4"/>
  <c r="BF80" i="4"/>
  <c r="BF72" i="4"/>
  <c r="BF64" i="4"/>
  <c r="BF56" i="4"/>
  <c r="BF48" i="4"/>
  <c r="BF40" i="4"/>
  <c r="BF32" i="4"/>
  <c r="BF24" i="4"/>
  <c r="BF16" i="4"/>
  <c r="BF8" i="4"/>
  <c r="BG135" i="4"/>
  <c r="BG127" i="4"/>
  <c r="BG119" i="4"/>
  <c r="BG111" i="4"/>
  <c r="BG103" i="4"/>
  <c r="BG95" i="4"/>
  <c r="BG87" i="4"/>
  <c r="BG79" i="4"/>
  <c r="BG71" i="4"/>
  <c r="BG63" i="4"/>
  <c r="BG55" i="4"/>
  <c r="BG47" i="4"/>
  <c r="BG39" i="4"/>
  <c r="BG31" i="4"/>
  <c r="BG23" i="4"/>
  <c r="BG15" i="4"/>
  <c r="BG7" i="4"/>
  <c r="BE134" i="4"/>
  <c r="BE126" i="4"/>
  <c r="BE118" i="4"/>
  <c r="BE110" i="4"/>
  <c r="BE102" i="4"/>
  <c r="BE94" i="4"/>
  <c r="BE86" i="4"/>
  <c r="BE78" i="4"/>
  <c r="BE70" i="4"/>
  <c r="BE62" i="4"/>
  <c r="BE54" i="4"/>
  <c r="BE46" i="4"/>
  <c r="BE38" i="4"/>
  <c r="BE30" i="4"/>
  <c r="BE22" i="4"/>
  <c r="BE14" i="4"/>
  <c r="BE6" i="4"/>
  <c r="BH133" i="4"/>
  <c r="BH117" i="4"/>
  <c r="BH109" i="4"/>
  <c r="BH101" i="4"/>
  <c r="BH93" i="4"/>
  <c r="BH85" i="4"/>
  <c r="BH77" i="4"/>
  <c r="BH69" i="4"/>
  <c r="BH61" i="4"/>
  <c r="BH53" i="4"/>
  <c r="BH45" i="4"/>
  <c r="BH37" i="4"/>
  <c r="BH29" i="4"/>
  <c r="BH21" i="4"/>
  <c r="BH13" i="4"/>
  <c r="BH5" i="4"/>
  <c r="BI140" i="4"/>
  <c r="BI132" i="4"/>
  <c r="BI124" i="4"/>
  <c r="BI116" i="4"/>
  <c r="BI108" i="4"/>
  <c r="BI100" i="4"/>
  <c r="BI92" i="4"/>
  <c r="BI84" i="4"/>
  <c r="BI76" i="4"/>
  <c r="BI68" i="4"/>
  <c r="BI60" i="4"/>
  <c r="BI52" i="4"/>
  <c r="BI44" i="4"/>
  <c r="BI36" i="4"/>
  <c r="BI28" i="4"/>
  <c r="BI20" i="4"/>
  <c r="BI12" i="4"/>
  <c r="BI4" i="4"/>
  <c r="BH129" i="4"/>
  <c r="BH121" i="4"/>
  <c r="BH113" i="4"/>
  <c r="BH105" i="4"/>
  <c r="BH97" i="4"/>
  <c r="BH89" i="4"/>
  <c r="BH81" i="4"/>
  <c r="BH73" i="4"/>
  <c r="BH65" i="4"/>
  <c r="BH57" i="4"/>
  <c r="BH49" i="4"/>
  <c r="BH41" i="4"/>
  <c r="BH33" i="4"/>
  <c r="BH25" i="4"/>
  <c r="BH17" i="4"/>
  <c r="BH9" i="4"/>
  <c r="BI136" i="4"/>
  <c r="BI128" i="4"/>
  <c r="BI120" i="4"/>
  <c r="BI112" i="4"/>
  <c r="BI104" i="4"/>
  <c r="BI96" i="4"/>
  <c r="BI88" i="4"/>
  <c r="BI80" i="4"/>
  <c r="BI72" i="4"/>
  <c r="BI64" i="4"/>
  <c r="BI56" i="4"/>
  <c r="BI48" i="4"/>
  <c r="BI40" i="4"/>
  <c r="BI135" i="4"/>
  <c r="BI127" i="4"/>
  <c r="BI119" i="4"/>
  <c r="BI111" i="4"/>
  <c r="BI103" i="4"/>
  <c r="BI95" i="4"/>
  <c r="BI87" i="4"/>
  <c r="BI79" i="4"/>
  <c r="BI71" i="4"/>
  <c r="BI63" i="4"/>
  <c r="BI55" i="4"/>
  <c r="BI47" i="4"/>
  <c r="BI39" i="4"/>
  <c r="BI31" i="4"/>
  <c r="BI23" i="4"/>
  <c r="BI15" i="4"/>
  <c r="BI7" i="4"/>
  <c r="BH135" i="4"/>
  <c r="BH127" i="4"/>
  <c r="BH119" i="4"/>
  <c r="BH111" i="4"/>
  <c r="BH103" i="4"/>
  <c r="BH95" i="4"/>
  <c r="BH87" i="4"/>
  <c r="BH79" i="4"/>
  <c r="BH63" i="4"/>
  <c r="BH55" i="4"/>
  <c r="BH47" i="4"/>
  <c r="BH39" i="4"/>
  <c r="BH31" i="4"/>
  <c r="BH23" i="4"/>
  <c r="BH15" i="4"/>
  <c r="BH7" i="4"/>
  <c r="BI134" i="4"/>
  <c r="BI126" i="4"/>
  <c r="BI118" i="4"/>
  <c r="BI110" i="4"/>
  <c r="BI102" i="4"/>
  <c r="BI94" i="4"/>
  <c r="BI86" i="4"/>
  <c r="BI78" i="4"/>
  <c r="BI70" i="4"/>
  <c r="BI62" i="4"/>
  <c r="BI54" i="4"/>
  <c r="BI46" i="4"/>
  <c r="BI38" i="4"/>
  <c r="BI30" i="4"/>
  <c r="BI22" i="4"/>
  <c r="BI14" i="4"/>
  <c r="BI6" i="4"/>
  <c r="BE140" i="6"/>
  <c r="BE132" i="6"/>
  <c r="BE124" i="6"/>
  <c r="BE116" i="6"/>
  <c r="BE108" i="6"/>
  <c r="BE100" i="6"/>
  <c r="BE92" i="6"/>
  <c r="BE84" i="6"/>
  <c r="BE76" i="6"/>
  <c r="BE68" i="6"/>
  <c r="BE60" i="6"/>
  <c r="BE52" i="6"/>
  <c r="BE44" i="6"/>
  <c r="BE36" i="6"/>
  <c r="BE28" i="6"/>
  <c r="BE20" i="6"/>
  <c r="BE12" i="6"/>
  <c r="BI33" i="4"/>
  <c r="BI17" i="4"/>
  <c r="BI9" i="4"/>
  <c r="BI32" i="4"/>
  <c r="BI24" i="4"/>
  <c r="BI16" i="4"/>
  <c r="BI8" i="4"/>
  <c r="BE137" i="6"/>
  <c r="BE129" i="6"/>
  <c r="BE121" i="6"/>
  <c r="BE113" i="6"/>
  <c r="BE105" i="6"/>
  <c r="BE97" i="6"/>
  <c r="BE89" i="6"/>
  <c r="BE81" i="6"/>
  <c r="BE73" i="6"/>
  <c r="BE65" i="6"/>
  <c r="BE57" i="6"/>
  <c r="BE49" i="6"/>
  <c r="BE41" i="6"/>
  <c r="BE33" i="6"/>
  <c r="BE25" i="6"/>
  <c r="BE17" i="6"/>
  <c r="BE9" i="6"/>
  <c r="BI29" i="4"/>
  <c r="BI21" i="4"/>
  <c r="BI13" i="4"/>
  <c r="BI5" i="4"/>
  <c r="BE136" i="6"/>
  <c r="BE128" i="6"/>
  <c r="BE120" i="6"/>
  <c r="BE112" i="6"/>
  <c r="BE104" i="6"/>
  <c r="BE96" i="6"/>
  <c r="BE88" i="6"/>
  <c r="BE80" i="6"/>
  <c r="BE72" i="6"/>
  <c r="BE64" i="6"/>
  <c r="BE56" i="6"/>
  <c r="BE48" i="6"/>
  <c r="BE40" i="6"/>
  <c r="BE32" i="6"/>
  <c r="BE24" i="6"/>
  <c r="BE16" i="6"/>
  <c r="BE8" i="6"/>
  <c r="BE139" i="6"/>
  <c r="BE131" i="6"/>
  <c r="BE123" i="6"/>
  <c r="BE115" i="6"/>
  <c r="BE107" i="6"/>
  <c r="BE99" i="6"/>
  <c r="BE91" i="6"/>
  <c r="BE83" i="6"/>
  <c r="BE75" i="6"/>
  <c r="BE67" i="6"/>
  <c r="BE59" i="6"/>
  <c r="BE51" i="6"/>
  <c r="BE43" i="6"/>
  <c r="BE35" i="6"/>
  <c r="BE27" i="6"/>
  <c r="BE19" i="6"/>
  <c r="BE11" i="6"/>
  <c r="BE138" i="6"/>
  <c r="BE114" i="6"/>
  <c r="BE106" i="6"/>
  <c r="BE82" i="6"/>
  <c r="BE74" i="6"/>
  <c r="BE50" i="6"/>
  <c r="BE42" i="6"/>
  <c r="BE18" i="6"/>
  <c r="BE10" i="6"/>
  <c r="BE135" i="6"/>
  <c r="BE127" i="6"/>
  <c r="BE119" i="6"/>
  <c r="BE111" i="6"/>
  <c r="BE103" i="6"/>
  <c r="BE95" i="6"/>
  <c r="BE87" i="6"/>
  <c r="BE79" i="6"/>
  <c r="BE71" i="6"/>
  <c r="BE63" i="6"/>
  <c r="BE55" i="6"/>
  <c r="BE47" i="6"/>
  <c r="BE39" i="6"/>
  <c r="BE31" i="6"/>
  <c r="BE23" i="6"/>
  <c r="BE15" i="6"/>
  <c r="BE7" i="6"/>
  <c r="BE134" i="6"/>
  <c r="BE126" i="6"/>
  <c r="BE118" i="6"/>
  <c r="BE110" i="6"/>
  <c r="BE102" i="6"/>
  <c r="BE94" i="6"/>
  <c r="BE86" i="6"/>
  <c r="BE78" i="6"/>
  <c r="BE70" i="6"/>
  <c r="BE62" i="6"/>
  <c r="BE54" i="6"/>
  <c r="BE46" i="6"/>
  <c r="BE38" i="6"/>
  <c r="BE30" i="6"/>
  <c r="BE22" i="6"/>
  <c r="BE14" i="6"/>
  <c r="BE6" i="6"/>
  <c r="AA117" i="4" l="1"/>
  <c r="AA4" i="4"/>
  <c r="AA12" i="4"/>
  <c r="AA51" i="4"/>
  <c r="AA74" i="4"/>
  <c r="AA22" i="4"/>
  <c r="AA135" i="4"/>
  <c r="AA109" i="4"/>
  <c r="AA56" i="4"/>
  <c r="AA77" i="4"/>
  <c r="AA99" i="4"/>
  <c r="AA24" i="4"/>
  <c r="AA128" i="4"/>
  <c r="AA3" i="4"/>
  <c r="AA100" i="4"/>
  <c r="AA7" i="4"/>
  <c r="AA80" i="4"/>
  <c r="AA115" i="4"/>
  <c r="AA20" i="4"/>
  <c r="AA90" i="4"/>
  <c r="AA48" i="4"/>
  <c r="AA101" i="4"/>
  <c r="AA103" i="4"/>
  <c r="AA89" i="4"/>
  <c r="AA107" i="4"/>
  <c r="AA61" i="4"/>
  <c r="AA32" i="4"/>
  <c r="AA19" i="4"/>
  <c r="AA53" i="4"/>
  <c r="AA87" i="4"/>
  <c r="AA73" i="4"/>
  <c r="AA91" i="4"/>
  <c r="AA78" i="4"/>
  <c r="AA49" i="4"/>
  <c r="AA5" i="4"/>
  <c r="AA8" i="4"/>
  <c r="AA21" i="4"/>
  <c r="AA6" i="4"/>
  <c r="AA25" i="4"/>
  <c r="AA43" i="4"/>
  <c r="AA62" i="4"/>
  <c r="AA33" i="4"/>
  <c r="AA86" i="4"/>
  <c r="AA120" i="4"/>
  <c r="AA9" i="4"/>
  <c r="AA11" i="4"/>
  <c r="AA14" i="4"/>
  <c r="AA114" i="4"/>
  <c r="AA116" i="4"/>
  <c r="AA70" i="4"/>
  <c r="AA104" i="4"/>
  <c r="AA122" i="4"/>
  <c r="AA60" i="4"/>
  <c r="AA127" i="4"/>
  <c r="AA98" i="4"/>
  <c r="AE19" i="3"/>
  <c r="AE35" i="3"/>
  <c r="AE51" i="3"/>
  <c r="AE67" i="3"/>
  <c r="AE83" i="3"/>
  <c r="AE99" i="3"/>
  <c r="AE115" i="3"/>
  <c r="AE131" i="3"/>
  <c r="AE18" i="3"/>
  <c r="AE34" i="3"/>
  <c r="AE50" i="3"/>
  <c r="AE66" i="3"/>
  <c r="AE82" i="3"/>
  <c r="AE98" i="3"/>
  <c r="AE114" i="3"/>
  <c r="AE130" i="3"/>
  <c r="AE31" i="3"/>
  <c r="AE79" i="3"/>
  <c r="AE111" i="3"/>
  <c r="AE17" i="3"/>
  <c r="AE33" i="3"/>
  <c r="AE49" i="3"/>
  <c r="AE65" i="3"/>
  <c r="AE81" i="3"/>
  <c r="AE97" i="3"/>
  <c r="AE113" i="3"/>
  <c r="AE129" i="3"/>
  <c r="AE16" i="3"/>
  <c r="AE32" i="3"/>
  <c r="AE48" i="3"/>
  <c r="AE64" i="3"/>
  <c r="AE80" i="3"/>
  <c r="AE96" i="3"/>
  <c r="AE112" i="3"/>
  <c r="AE128" i="3"/>
  <c r="AE15" i="3"/>
  <c r="AE47" i="3"/>
  <c r="AE63" i="3"/>
  <c r="AE95" i="3"/>
  <c r="AE127" i="3"/>
  <c r="AE14" i="3"/>
  <c r="AE30" i="3"/>
  <c r="AE46" i="3"/>
  <c r="AE62" i="3"/>
  <c r="AE78" i="3"/>
  <c r="AE94" i="3"/>
  <c r="AE110" i="3"/>
  <c r="AE126" i="3"/>
  <c r="AE13" i="3"/>
  <c r="AE29" i="3"/>
  <c r="AE45" i="3"/>
  <c r="AE61" i="3"/>
  <c r="AE77" i="3"/>
  <c r="AE93" i="3"/>
  <c r="AE109" i="3"/>
  <c r="AE125" i="3"/>
  <c r="AE87" i="3"/>
  <c r="AE103" i="3"/>
  <c r="AE86" i="3"/>
  <c r="AE134" i="3"/>
  <c r="AE5" i="3"/>
  <c r="AE117" i="3"/>
  <c r="AE36" i="3"/>
  <c r="AE12" i="3"/>
  <c r="AE28" i="3"/>
  <c r="AE44" i="3"/>
  <c r="AE60" i="3"/>
  <c r="AE76" i="3"/>
  <c r="AE92" i="3"/>
  <c r="AE108" i="3"/>
  <c r="AE124" i="3"/>
  <c r="AE140" i="3"/>
  <c r="AE71" i="3"/>
  <c r="AE119" i="3"/>
  <c r="AE38" i="3"/>
  <c r="AE69" i="3"/>
  <c r="AE68" i="3"/>
  <c r="AE11" i="3"/>
  <c r="AE27" i="3"/>
  <c r="AE43" i="3"/>
  <c r="AE59" i="3"/>
  <c r="AE75" i="3"/>
  <c r="AE91" i="3"/>
  <c r="AE107" i="3"/>
  <c r="AE123" i="3"/>
  <c r="AE139" i="3"/>
  <c r="AE55" i="3"/>
  <c r="AE6" i="3"/>
  <c r="AE118" i="3"/>
  <c r="AE85" i="3"/>
  <c r="AE133" i="3"/>
  <c r="AE20" i="3"/>
  <c r="AE100" i="3"/>
  <c r="AE10" i="3"/>
  <c r="AE26" i="3"/>
  <c r="AE42" i="3"/>
  <c r="AE58" i="3"/>
  <c r="AE74" i="3"/>
  <c r="AE90" i="3"/>
  <c r="AE106" i="3"/>
  <c r="AE122" i="3"/>
  <c r="AE138" i="3"/>
  <c r="AE39" i="3"/>
  <c r="AE135" i="3"/>
  <c r="AE70" i="3"/>
  <c r="AE53" i="3"/>
  <c r="AE84" i="3"/>
  <c r="AE9" i="3"/>
  <c r="AE25" i="3"/>
  <c r="AE41" i="3"/>
  <c r="AE57" i="3"/>
  <c r="AE73" i="3"/>
  <c r="AE89" i="3"/>
  <c r="AE105" i="3"/>
  <c r="AE121" i="3"/>
  <c r="AE137" i="3"/>
  <c r="AE23" i="3"/>
  <c r="AE54" i="3"/>
  <c r="AE21" i="3"/>
  <c r="AE101" i="3"/>
  <c r="AE52" i="3"/>
  <c r="AE132" i="3"/>
  <c r="AE8" i="3"/>
  <c r="AE24" i="3"/>
  <c r="AE40" i="3"/>
  <c r="AE56" i="3"/>
  <c r="AE72" i="3"/>
  <c r="AE88" i="3"/>
  <c r="AE104" i="3"/>
  <c r="AE120" i="3"/>
  <c r="AE136" i="3"/>
  <c r="AE7" i="3"/>
  <c r="AE22" i="3"/>
  <c r="AE102" i="3"/>
  <c r="AE37" i="3"/>
  <c r="AE4" i="3"/>
  <c r="AE116" i="3"/>
  <c r="AA133" i="4"/>
  <c r="AA38" i="4"/>
  <c r="AA136" i="4"/>
  <c r="AA41" i="4"/>
  <c r="AA123" i="4"/>
  <c r="AA28" i="4"/>
  <c r="AA94" i="4"/>
  <c r="AA65" i="4"/>
  <c r="AA131" i="4"/>
  <c r="AA54" i="4"/>
  <c r="AA57" i="4"/>
  <c r="AA139" i="4"/>
  <c r="AA44" i="4"/>
  <c r="AA110" i="4"/>
  <c r="AA15" i="4"/>
  <c r="AA81" i="4"/>
  <c r="AA126" i="4"/>
  <c r="AA31" i="4"/>
  <c r="AA97" i="4"/>
  <c r="AA76" i="4"/>
  <c r="AA47" i="4"/>
  <c r="AA113" i="4"/>
  <c r="AA18" i="4"/>
  <c r="AA36" i="4"/>
  <c r="AA102" i="4"/>
  <c r="AA23" i="4"/>
  <c r="AA105" i="4"/>
  <c r="AA10" i="4"/>
  <c r="AA92" i="4"/>
  <c r="AA63" i="4"/>
  <c r="AA129" i="4"/>
  <c r="AA34" i="4"/>
  <c r="AA52" i="4"/>
  <c r="AA118" i="4"/>
  <c r="AA39" i="4"/>
  <c r="AA121" i="4"/>
  <c r="AA26" i="4"/>
  <c r="AA108" i="4"/>
  <c r="AA13" i="4"/>
  <c r="AA79" i="4"/>
  <c r="AA50" i="4"/>
  <c r="AA68" i="4"/>
  <c r="AA134" i="4"/>
  <c r="AA55" i="4"/>
  <c r="AA137" i="4"/>
  <c r="AA42" i="4"/>
  <c r="AA124" i="4"/>
  <c r="AA29" i="4"/>
  <c r="AA95" i="4"/>
  <c r="AA66" i="4"/>
  <c r="AA84" i="4"/>
  <c r="AA71" i="4"/>
  <c r="AA58" i="4"/>
  <c r="AA140" i="4"/>
  <c r="AA45" i="4"/>
  <c r="AA111" i="4"/>
  <c r="AA16" i="4"/>
  <c r="AA82" i="4"/>
  <c r="AA132" i="4"/>
  <c r="AA37" i="4"/>
  <c r="AA119" i="4"/>
  <c r="AA40" i="4"/>
  <c r="AA106" i="4"/>
  <c r="AA27" i="4"/>
  <c r="AA93" i="4"/>
  <c r="AA64" i="4"/>
  <c r="AA130" i="4"/>
  <c r="AA35" i="4"/>
  <c r="AA69" i="4"/>
  <c r="AA72" i="4"/>
  <c r="AA138" i="4"/>
  <c r="AA59" i="4"/>
  <c r="AA125" i="4"/>
  <c r="AA30" i="4"/>
  <c r="AA96" i="4"/>
  <c r="AA67" i="4"/>
  <c r="AA85" i="4"/>
  <c r="AA88" i="4"/>
  <c r="AA75" i="4"/>
  <c r="AA46" i="4"/>
  <c r="AA112" i="4"/>
  <c r="AA17" i="4"/>
  <c r="AE3" i="3"/>
  <c r="BD54" i="4" l="1"/>
  <c r="BD39" i="4"/>
  <c r="BD114" i="4"/>
  <c r="AI128" i="3"/>
  <c r="BD36" i="4"/>
  <c r="BD49" i="4"/>
  <c r="BD89" i="4"/>
  <c r="BD17" i="4"/>
  <c r="BD94" i="4"/>
  <c r="BD97" i="4"/>
  <c r="BD12" i="4"/>
  <c r="BD96" i="4"/>
  <c r="BD95" i="4"/>
  <c r="BD118" i="4"/>
  <c r="BD76" i="4"/>
  <c r="BD65" i="4"/>
  <c r="BD102" i="4"/>
  <c r="BD21" i="4"/>
  <c r="BD40" i="4"/>
  <c r="BD6" i="4"/>
  <c r="BD135" i="4"/>
  <c r="BD66" i="4"/>
  <c r="BD121" i="4"/>
  <c r="AI64" i="3"/>
  <c r="AI55" i="3"/>
  <c r="AI42" i="3"/>
  <c r="AI46" i="3"/>
  <c r="AI113" i="3"/>
  <c r="BD88" i="4"/>
  <c r="BD20" i="4"/>
  <c r="BD77" i="4"/>
  <c r="BD106" i="4"/>
  <c r="BD47" i="4"/>
  <c r="BD93" i="4"/>
  <c r="BD90" i="4"/>
  <c r="BD71" i="4"/>
  <c r="BD108" i="4"/>
  <c r="BD18" i="4"/>
  <c r="BD85" i="4"/>
  <c r="BD62" i="4"/>
  <c r="BD128" i="4"/>
  <c r="BD48" i="4"/>
  <c r="BD43" i="4"/>
  <c r="BD11" i="4"/>
  <c r="BD64" i="4"/>
  <c r="BD13" i="4"/>
  <c r="BD57" i="4"/>
  <c r="BD127" i="4"/>
  <c r="BD19" i="4"/>
  <c r="BD84" i="4"/>
  <c r="BD60" i="4"/>
  <c r="BD113" i="4"/>
  <c r="BD91" i="4"/>
  <c r="BD52" i="4"/>
  <c r="BD26" i="4"/>
  <c r="BD100" i="4"/>
  <c r="BD9" i="4"/>
  <c r="BD87" i="4"/>
  <c r="BD130" i="4"/>
  <c r="BD79" i="4"/>
  <c r="BD139" i="4"/>
  <c r="BD8" i="4"/>
  <c r="BD115" i="4"/>
  <c r="BD27" i="4"/>
  <c r="BD22" i="4"/>
  <c r="BD99" i="4"/>
  <c r="BD75" i="4"/>
  <c r="BD35" i="4"/>
  <c r="BD58" i="4"/>
  <c r="BD23" i="4"/>
  <c r="BD61" i="4"/>
  <c r="BD10" i="4"/>
  <c r="BD53" i="4"/>
  <c r="BD101" i="4"/>
  <c r="BD51" i="4"/>
  <c r="BD44" i="4"/>
  <c r="BD103" i="4"/>
  <c r="BD140" i="4"/>
  <c r="BD50" i="4"/>
  <c r="BD105" i="4"/>
  <c r="BD110" i="4"/>
  <c r="BD133" i="4"/>
  <c r="BD56" i="4"/>
  <c r="BD116" i="4"/>
  <c r="BD33" i="4"/>
  <c r="BD98" i="4"/>
  <c r="BD3" i="4"/>
  <c r="BD46" i="4"/>
  <c r="BD69" i="4"/>
  <c r="BD45" i="4"/>
  <c r="BD68" i="4"/>
  <c r="BD15" i="4"/>
  <c r="BD38" i="4"/>
  <c r="BD104" i="4"/>
  <c r="BD86" i="4"/>
  <c r="BD72" i="4"/>
  <c r="BD111" i="4"/>
  <c r="BD92" i="4"/>
  <c r="BD14" i="4"/>
  <c r="BD31" i="4"/>
  <c r="BD55" i="4"/>
  <c r="BD138" i="4"/>
  <c r="BD82" i="4"/>
  <c r="BD137" i="4"/>
  <c r="BD63" i="4"/>
  <c r="BD126" i="4"/>
  <c r="BD123" i="4"/>
  <c r="BD67" i="4"/>
  <c r="BD7" i="4"/>
  <c r="BD122" i="4"/>
  <c r="BD112" i="4"/>
  <c r="BD134" i="4"/>
  <c r="BD81" i="4"/>
  <c r="BD32" i="4"/>
  <c r="BD16" i="4"/>
  <c r="BD41" i="4"/>
  <c r="BD24" i="4"/>
  <c r="BD80" i="4"/>
  <c r="BD30" i="4"/>
  <c r="BD117" i="4"/>
  <c r="BD29" i="4"/>
  <c r="BD59" i="4"/>
  <c r="BD132" i="4"/>
  <c r="BD42" i="4"/>
  <c r="BD129" i="4"/>
  <c r="BD28" i="4"/>
  <c r="BD5" i="4"/>
  <c r="BD37" i="4"/>
  <c r="BD131" i="4"/>
  <c r="BD74" i="4"/>
  <c r="BD136" i="4"/>
  <c r="BD120" i="4"/>
  <c r="BD109" i="4"/>
  <c r="BD83" i="4"/>
  <c r="BD70" i="4"/>
  <c r="BD4" i="4"/>
  <c r="BD125" i="4"/>
  <c r="BD124" i="4"/>
  <c r="BD34" i="4"/>
  <c r="BD73" i="4"/>
  <c r="BD78" i="4"/>
  <c r="BD25" i="4"/>
  <c r="BD119" i="4"/>
  <c r="BD107" i="4"/>
  <c r="AI3" i="3"/>
  <c r="AI109" i="3"/>
  <c r="AI37" i="3"/>
  <c r="AI16" i="3"/>
  <c r="AI68" i="3"/>
  <c r="AI88" i="3"/>
  <c r="AI97" i="3"/>
  <c r="AI34" i="3"/>
  <c r="AI120" i="3"/>
  <c r="AI41" i="3"/>
  <c r="AI15" i="3"/>
  <c r="AI60" i="3"/>
  <c r="AI130" i="3"/>
  <c r="AI43" i="3"/>
  <c r="AI80" i="3"/>
  <c r="AI87" i="3"/>
  <c r="AI77" i="3"/>
  <c r="AI25" i="3"/>
  <c r="AI20" i="3"/>
  <c r="AI6" i="3"/>
  <c r="AI38" i="3"/>
  <c r="AI40" i="3"/>
  <c r="AI92" i="3"/>
  <c r="AI105" i="3"/>
  <c r="AI124" i="3"/>
  <c r="AI107" i="3"/>
  <c r="AI58" i="3"/>
  <c r="AI129" i="3"/>
  <c r="AI134" i="3"/>
  <c r="AI17" i="3"/>
  <c r="AI45" i="3"/>
  <c r="AI57" i="3"/>
  <c r="AI72" i="3"/>
  <c r="AI139" i="3"/>
  <c r="AI18" i="3"/>
  <c r="AI90" i="3"/>
  <c r="AI93" i="3"/>
  <c r="AI21" i="3"/>
  <c r="AI75" i="3"/>
  <c r="AI104" i="3"/>
  <c r="AI122" i="3"/>
  <c r="AI95" i="3"/>
  <c r="AI47" i="3"/>
  <c r="AI24" i="3"/>
  <c r="AI7" i="3"/>
  <c r="AI112" i="3"/>
  <c r="AI35" i="3"/>
  <c r="AI52" i="3"/>
  <c r="AI29" i="3"/>
  <c r="AI67" i="3"/>
  <c r="AI136" i="3"/>
  <c r="AI11" i="3"/>
  <c r="AI84" i="3"/>
  <c r="AI30" i="3"/>
  <c r="AI32" i="3"/>
  <c r="AI13" i="3"/>
  <c r="AI28" i="3"/>
  <c r="AI99" i="3"/>
  <c r="AI50" i="3"/>
  <c r="AI116" i="3"/>
  <c r="AI9" i="3"/>
  <c r="AI133" i="3"/>
  <c r="AI131" i="3"/>
  <c r="AI4" i="3"/>
  <c r="AI82" i="3"/>
  <c r="AI5" i="3"/>
  <c r="AI137" i="3"/>
  <c r="AI78" i="3"/>
  <c r="AI14" i="3"/>
  <c r="AI23" i="3"/>
  <c r="AI22" i="3"/>
  <c r="AI110" i="3"/>
  <c r="AI86" i="3"/>
  <c r="AI111" i="3"/>
  <c r="AI71" i="3"/>
  <c r="AI94" i="3"/>
  <c r="AI96" i="3"/>
  <c r="AI44" i="3"/>
  <c r="AI114" i="3"/>
  <c r="AI26" i="3"/>
  <c r="AI53" i="3"/>
  <c r="AI119" i="3"/>
  <c r="AI39" i="3"/>
  <c r="AI89" i="3"/>
  <c r="AI76" i="3"/>
  <c r="AI59" i="3"/>
  <c r="AI8" i="3"/>
  <c r="AI74" i="3"/>
  <c r="AI108" i="3"/>
  <c r="AI19" i="3"/>
  <c r="AI91" i="3"/>
  <c r="AI118" i="3"/>
  <c r="AI33" i="3"/>
  <c r="AI125" i="3"/>
  <c r="AI81" i="3"/>
  <c r="AI36" i="3"/>
  <c r="AI106" i="3"/>
  <c r="AI140" i="3"/>
  <c r="AI56" i="3"/>
  <c r="AI123" i="3"/>
  <c r="AI70" i="3"/>
  <c r="AI127" i="3"/>
  <c r="AI65" i="3"/>
  <c r="AI12" i="3"/>
  <c r="AI79" i="3"/>
  <c r="AI61" i="3"/>
  <c r="AI31" i="3"/>
  <c r="AI73" i="3"/>
  <c r="AI100" i="3"/>
  <c r="AI135" i="3"/>
  <c r="AI54" i="3"/>
  <c r="AI117" i="3"/>
  <c r="AI138" i="3"/>
  <c r="AI102" i="3"/>
  <c r="AI51" i="3"/>
  <c r="AI101" i="3"/>
  <c r="AI49" i="3"/>
  <c r="AI66" i="3"/>
  <c r="AI132" i="3"/>
  <c r="AI10" i="3"/>
  <c r="AI83" i="3"/>
  <c r="AI121" i="3"/>
  <c r="AI126" i="3"/>
  <c r="AI62" i="3"/>
  <c r="AI63" i="3"/>
  <c r="AI27" i="3"/>
  <c r="AI98" i="3"/>
  <c r="AI48" i="3"/>
  <c r="AI115" i="3"/>
  <c r="AI69" i="3"/>
  <c r="AI85" i="3"/>
  <c r="AI103" i="3"/>
</calcChain>
</file>

<file path=xl/sharedStrings.xml><?xml version="1.0" encoding="utf-8"?>
<sst xmlns="http://schemas.openxmlformats.org/spreadsheetml/2006/main" count="2148" uniqueCount="270">
  <si>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</si>
  <si>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</si>
  <si>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</si>
  <si>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</si>
  <si>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</si>
  <si>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</si>
  <si>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</si>
  <si>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</si>
  <si>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</si>
  <si>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</si>
  <si>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</si>
  <si>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</si>
  <si>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</si>
  <si>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</si>
  <si>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</si>
  <si>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</si>
  <si>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</si>
  <si>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</si>
  <si>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</si>
  <si>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</si>
  <si>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</si>
  <si>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</si>
  <si>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</si>
  <si>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</si>
  <si>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</si>
  <si>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</si>
  <si>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</si>
  <si>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</si>
  <si>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</si>
  <si>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</si>
  <si>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</si>
  <si>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</si>
  <si>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</si>
  <si>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</si>
  <si>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</si>
  <si>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</si>
  <si>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</si>
  <si>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</si>
  <si>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</si>
  <si>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</si>
  <si>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</si>
  <si>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</si>
  <si>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</si>
  <si>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</si>
  <si>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</si>
  <si>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</si>
  <si>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</si>
  <si>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</si>
  <si>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</si>
  <si>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</si>
  <si>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</si>
  <si>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</si>
  <si>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</si>
  <si>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</si>
  <si>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</si>
  <si>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</si>
  <si>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</si>
  <si>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</si>
  <si>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</si>
  <si>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</si>
  <si>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</si>
  <si>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</si>
  <si>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</si>
  <si>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</si>
  <si>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</si>
  <si>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Ratio Playmaking</t>
  </si>
  <si>
    <t>Ratio %AST/TO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</si>
  <si>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</si>
  <si>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</si>
  <si>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</si>
  <si>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</si>
  <si>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</si>
  <si>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</si>
  <si>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</si>
  <si>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</si>
  <si>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</si>
  <si>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</si>
  <si>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</si>
  <si>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</si>
  <si>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</si>
  <si>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</si>
  <si>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</si>
  <si>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</si>
  <si>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</si>
  <si>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</si>
  <si>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Breanna Stewart</t>
  </si>
  <si>
    <t>NYL</t>
  </si>
  <si>
    <t>F</t>
  </si>
  <si>
    <t>Marine Johannes</t>
  </si>
  <si>
    <t>Jonquel Jones</t>
  </si>
  <si>
    <t>C</t>
  </si>
  <si>
    <t>Pauline Astier</t>
  </si>
  <si>
    <t>Veronica Burton</t>
  </si>
  <si>
    <t>GSV</t>
  </si>
  <si>
    <t>Kahleah Copper</t>
  </si>
  <si>
    <t>PHO</t>
  </si>
  <si>
    <t>G-F</t>
  </si>
  <si>
    <t>Kayla McBride</t>
  </si>
  <si>
    <t>MIN</t>
  </si>
  <si>
    <t>Alyssa Thomas</t>
  </si>
  <si>
    <t>Paige Bueckers</t>
  </si>
  <si>
    <t>DAL</t>
  </si>
  <si>
    <t>Betnijah Laney-Hamilton</t>
  </si>
  <si>
    <t>Arike Ogunbowale</t>
  </si>
  <si>
    <t>Jessica Shepard</t>
  </si>
  <si>
    <t>Courtney Williams</t>
  </si>
  <si>
    <t>Olivia Miles</t>
  </si>
  <si>
    <t>Kayla Thornton</t>
  </si>
  <si>
    <t>Kennedy Burke</t>
  </si>
  <si>
    <t>CON</t>
  </si>
  <si>
    <t>Rebekah Gardner</t>
  </si>
  <si>
    <t>Bridget Carleton</t>
  </si>
  <si>
    <t>Gabby Williams</t>
  </si>
  <si>
    <t>DeWanna Bonner</t>
  </si>
  <si>
    <t>F-G</t>
  </si>
  <si>
    <t>Flau'jae Johnson</t>
  </si>
  <si>
    <t>SEA</t>
  </si>
  <si>
    <t>Natasha Howard</t>
  </si>
  <si>
    <t>Jackie Young</t>
  </si>
  <si>
    <t>LVA</t>
  </si>
  <si>
    <t>Natasha Mack</t>
  </si>
  <si>
    <t>F-C</t>
  </si>
  <si>
    <t>Nia Coffey</t>
  </si>
  <si>
    <t>Chelsea Gray</t>
  </si>
  <si>
    <t>Dominique Malonga</t>
  </si>
  <si>
    <t>Aneesah Morrow</t>
  </si>
  <si>
    <t>Kaila Charles</t>
  </si>
  <si>
    <t>Jewell Loyd</t>
  </si>
  <si>
    <t>Diamond Miller</t>
  </si>
  <si>
    <t>Rhyne Howard</t>
  </si>
  <si>
    <t>ATL</t>
  </si>
  <si>
    <t>Saniya Rivers</t>
  </si>
  <si>
    <t>Rickea Jackson</t>
  </si>
  <si>
    <t>CHI</t>
  </si>
  <si>
    <t>A'ja Wilson</t>
  </si>
  <si>
    <t>Odyssey Sims</t>
  </si>
  <si>
    <t>Alanna Smith</t>
  </si>
  <si>
    <t>Luisa Geiselsöder</t>
  </si>
  <si>
    <t>Kelsey Plum</t>
  </si>
  <si>
    <t>LAS</t>
  </si>
  <si>
    <t>Natisha Hiedeman</t>
  </si>
  <si>
    <t>Sonia Citron</t>
  </si>
  <si>
    <t>WAS</t>
  </si>
  <si>
    <t>Stefanie Dolson</t>
  </si>
  <si>
    <t>Nyadiew Puoch</t>
  </si>
  <si>
    <t>Janelle Salaün</t>
  </si>
  <si>
    <t>Naz Hillmon</t>
  </si>
  <si>
    <t>Jade Melbourne</t>
  </si>
  <si>
    <t>Sarah Ashlee Barker</t>
  </si>
  <si>
    <t>Skylar Diggins</t>
  </si>
  <si>
    <t>Emily Engstler</t>
  </si>
  <si>
    <t>Allisha Gray</t>
  </si>
  <si>
    <t>Jovana Nogić</t>
  </si>
  <si>
    <t>Angel Reese</t>
  </si>
  <si>
    <t>Jacy Sheldon</t>
  </si>
  <si>
    <t>Kiah Stokes</t>
  </si>
  <si>
    <t>Nneka Ogwumike</t>
  </si>
  <si>
    <t>Julie Vanloo</t>
  </si>
  <si>
    <t>Chennedy Carter</t>
  </si>
  <si>
    <t>Caitlin Clark</t>
  </si>
  <si>
    <t>IND</t>
  </si>
  <si>
    <t>Shakira Austin</t>
  </si>
  <si>
    <t>Kelsey Mitchell</t>
  </si>
  <si>
    <t>Brittney Sykes</t>
  </si>
  <si>
    <t>TOR</t>
  </si>
  <si>
    <t>Han Xu</t>
  </si>
  <si>
    <t>Julie Allemand</t>
  </si>
  <si>
    <t>Lexie Brown</t>
  </si>
  <si>
    <t>Marina Mabrey</t>
  </si>
  <si>
    <t>Jordin Canada</t>
  </si>
  <si>
    <t>Gabriela Jaquez</t>
  </si>
  <si>
    <t>Rae Burrell</t>
  </si>
  <si>
    <t>Dearica Hamby</t>
  </si>
  <si>
    <t>Charlisse Leger-Walker</t>
  </si>
  <si>
    <t>Hailey Van Lith</t>
  </si>
  <si>
    <t>Brittney Griner</t>
  </si>
  <si>
    <t>Kiki Iriafen</t>
  </si>
  <si>
    <t>NaLyssa Smith</t>
  </si>
  <si>
    <t>Carla Leite</t>
  </si>
  <si>
    <t>Sophie Cunningham</t>
  </si>
  <si>
    <t>Kamilla Cardoso</t>
  </si>
  <si>
    <t>Emma Čechová</t>
  </si>
  <si>
    <t>Laeticia Amihere</t>
  </si>
  <si>
    <t>Zia Cooke</t>
  </si>
  <si>
    <t>Nyara Sabally</t>
  </si>
  <si>
    <t>Stephanie Talbot</t>
  </si>
  <si>
    <t>Aliyah Boston</t>
  </si>
  <si>
    <t>C-F</t>
  </si>
  <si>
    <t>Olivia Nelson-Ododa</t>
  </si>
  <si>
    <t>Ariel Atkins</t>
  </si>
  <si>
    <t>Jordan Horston</t>
  </si>
  <si>
    <t>Brianna Turner</t>
  </si>
  <si>
    <t>Noémie Brochant</t>
  </si>
  <si>
    <t>Cassandre Prosper</t>
  </si>
  <si>
    <t>Kiana Williams</t>
  </si>
  <si>
    <t>Maria Conde</t>
  </si>
  <si>
    <t>Antonia Delaere</t>
  </si>
  <si>
    <t>Kaitlyn Chen</t>
  </si>
  <si>
    <t>Megan Gustafson</t>
  </si>
  <si>
    <t>Georgia Amoore</t>
  </si>
  <si>
    <t>Aziaha James</t>
  </si>
  <si>
    <t>Maddy Siegrist</t>
  </si>
  <si>
    <t>Rori Harmon</t>
  </si>
  <si>
    <t>Ally Wilson</t>
  </si>
  <si>
    <t>Mackenzie Holmes</t>
  </si>
  <si>
    <t>Erica Wheeler</t>
  </si>
  <si>
    <t>Kiki Rice</t>
  </si>
  <si>
    <t>Azzi Fudd</t>
  </si>
  <si>
    <t>Gianna Kneepkens</t>
  </si>
  <si>
    <t>Kierstan Bell</t>
  </si>
  <si>
    <t>Frieda Bühner</t>
  </si>
  <si>
    <t>Te-Hina PaoPao</t>
  </si>
  <si>
    <t>Cheyenne Parker-Tyus</t>
  </si>
  <si>
    <t>Myisha Hines-Allen</t>
  </si>
  <si>
    <t>Haley Jones</t>
  </si>
  <si>
    <t>Kyara Linskens</t>
  </si>
  <si>
    <t>Lauren Betts</t>
  </si>
  <si>
    <t>Kamiah Smalls</t>
  </si>
  <si>
    <t>Grace VanSlooten</t>
  </si>
  <si>
    <t>Elizabeth Williams</t>
  </si>
  <si>
    <t>Maya Caldwell</t>
  </si>
  <si>
    <t>Lexie Hull</t>
  </si>
  <si>
    <t>Makayla Timpson</t>
  </si>
  <si>
    <t>Rachel Banham</t>
  </si>
  <si>
    <t>Monique Billings</t>
  </si>
  <si>
    <t>Cameron Brink</t>
  </si>
  <si>
    <t>Raegan Beers</t>
  </si>
  <si>
    <t>Damiris Dantas</t>
  </si>
  <si>
    <t>Chance Gray</t>
  </si>
  <si>
    <t>Angela Dugalić</t>
  </si>
  <si>
    <t>Laura Juškaitė</t>
  </si>
  <si>
    <t>Awak Kuier</t>
  </si>
  <si>
    <t>Tyasha Harris</t>
  </si>
  <si>
    <t>Sug Sutton</t>
  </si>
  <si>
    <t>Madina Okot</t>
  </si>
  <si>
    <t>Natasha Cloud</t>
  </si>
  <si>
    <t>Valeriane Ayayi</t>
  </si>
  <si>
    <t>Raven Johnson</t>
  </si>
  <si>
    <t>Teonni Key</t>
  </si>
  <si>
    <t>Kia Nurse</t>
  </si>
  <si>
    <t>Aicha Coulibaly</t>
  </si>
  <si>
    <t>Cotie McMahon</t>
  </si>
  <si>
    <t>Aaliyah Edwards</t>
  </si>
  <si>
    <t>100 (30)</t>
  </si>
  <si>
    <t>POR</t>
  </si>
  <si>
    <t>Nell Angloma</t>
  </si>
  <si>
    <t>Serah Williams</t>
  </si>
  <si>
    <t>Rebecca Allen</t>
  </si>
  <si>
    <t>Tiffany Hayes</t>
  </si>
  <si>
    <t>Sydney Taylor</t>
  </si>
  <si>
    <t>Lexi Held</t>
  </si>
  <si>
    <t>Ashlon Jackson</t>
  </si>
  <si>
    <t>Nikolina Milic</t>
  </si>
  <si>
    <t>Teja Oblak</t>
  </si>
  <si>
    <t>Alysha Clark</t>
  </si>
  <si>
    <t>TOT</t>
  </si>
  <si>
    <t>Anastasiia Kosu</t>
  </si>
  <si>
    <t>Satou Sabally</t>
  </si>
  <si>
    <t>Isobel Borlase</t>
  </si>
  <si>
    <t>Michaela Onyenwere</t>
  </si>
  <si>
    <t>Liatu King</t>
  </si>
  <si>
    <t>Awa Fam</t>
  </si>
  <si>
    <t>Li Yueru</t>
  </si>
  <si>
    <t>Cecilia Zandalasini</t>
  </si>
  <si>
    <t>Leonie Fiebich</t>
  </si>
  <si>
    <t>Katie Lou Samuelson</t>
  </si>
  <si>
    <t>Alex Fowler</t>
  </si>
  <si>
    <t>Sabrina Ionescu</t>
  </si>
  <si>
    <t>Kate Martin</t>
  </si>
  <si>
    <t>Azura Stevens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</si>
</sst>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color theme="1"/>
      <name val="Aptos Narrow"/>
    </font>
    <font>
      <b/>
      <sz val="11"/>
      <color theme="1"/>
      <name val="Aptos Narrow"/>
      <scheme val="minor"/>
    </font>
    <font>
      <b/>
      <sz val="20"/>
      <color theme="1"/>
      <name val="Aptos Narrow"/>
    </font>
    <font>
      <b/>
      <sz val="2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9"/>
  <sheetViews>
    <sheetView tabSelected="1" workbookViewId="0">
      <selection activeCell="B7" sqref="B7"/>
    </sheetView>
  </sheetViews>
  <sheetFormatPr baseColWidth="10" defaultColWidth="12.5703125" defaultRowHeight="15" customHeight="1" x14ac:dyDescent="0.25"/>
  <cols>
    <col min="1" max="1" width="17.42578125" bestFit="1" customWidth="1"/>
    <col min="2" max="2" width="64.140625" customWidth="1"/>
    <col min="3" max="26" width="10.5703125" customWidth="1"/>
  </cols>
  <sheetData>
    <row r="1" spans="1:2" x14ac:dyDescent="0.25">
      <c r="A1" s="1" t="s">
        <v>0</v>
      </c>
      <c r="B1" t="s">
        <v>71</v>
      </c>
    </row>
    <row r="2" spans="1:2" x14ac:dyDescent="0.25">
      <c r="A2" s="1" t="s">
        <v>1</v>
      </c>
      <c r="B2" t="s">
        <v>72</v>
      </c>
    </row>
    <row r="3" spans="1:2" x14ac:dyDescent="0.25">
      <c r="A3" s="1" t="s">
        <v>2</v>
      </c>
      <c r="B3" t="s">
        <v>73</v>
      </c>
    </row>
    <row r="4" spans="1:2" x14ac:dyDescent="0.25">
      <c r="A4" s="1" t="s">
        <v>3</v>
      </c>
      <c r="B4" s="1" t="s">
        <v>4</v>
      </c>
    </row>
    <row r="6" spans="1:2" ht="15" customHeight="1" x14ac:dyDescent="0.25">
      <c r="A6" t="s">
        <v>76</v>
      </c>
      <c r="B6" s="17" t="s">
        <v>243</v>
      </c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29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</row>
    <row r="2" spans="1:29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x14ac:dyDescent="0.25">
      <c r="A3" s="1" t="s">
        <v>94</v>
      </c>
      <c r="B3" s="3" t="s">
        <v>95</v>
      </c>
      <c r="C3" s="4" t="s">
        <v>96</v>
      </c>
      <c r="D3" s="4">
        <v>8</v>
      </c>
      <c r="E3" s="4">
        <v>269</v>
      </c>
      <c r="F3" s="4">
        <v>8</v>
      </c>
      <c r="G3" s="4">
        <v>8</v>
      </c>
      <c r="H3" s="4">
        <v>269</v>
      </c>
      <c r="I3" s="4">
        <v>48</v>
      </c>
      <c r="J3" s="4">
        <v>140</v>
      </c>
      <c r="K3" s="4">
        <v>0.34300000000000003</v>
      </c>
      <c r="L3" s="4">
        <v>8</v>
      </c>
      <c r="M3" s="4">
        <v>48</v>
      </c>
      <c r="N3" s="4">
        <v>0.16700000000000001</v>
      </c>
      <c r="O3" s="4">
        <v>40</v>
      </c>
      <c r="P3" s="4">
        <v>92</v>
      </c>
      <c r="Q3" s="4">
        <v>0.435</v>
      </c>
      <c r="R3" s="4">
        <v>46</v>
      </c>
      <c r="S3" s="4">
        <v>56</v>
      </c>
      <c r="T3" s="4">
        <v>0.82099999999999995</v>
      </c>
      <c r="U3" s="4">
        <v>2</v>
      </c>
      <c r="V3" s="4">
        <v>20</v>
      </c>
      <c r="W3" s="4">
        <v>18</v>
      </c>
      <c r="X3" s="4">
        <v>7</v>
      </c>
      <c r="Y3" s="4">
        <v>0</v>
      </c>
      <c r="Z3" s="4">
        <v>24</v>
      </c>
      <c r="AA3" s="4">
        <v>17</v>
      </c>
      <c r="AB3" s="4">
        <v>150</v>
      </c>
      <c r="AC3" s="5">
        <f>IF(Z3=0,"",W3/Z3)</f>
        <v>0.75</v>
      </c>
    </row>
    <row r="4" spans="1:29" x14ac:dyDescent="0.25">
      <c r="A4" s="1" t="s">
        <v>99</v>
      </c>
      <c r="B4" s="3" t="s">
        <v>95</v>
      </c>
      <c r="C4" s="4" t="s">
        <v>87</v>
      </c>
      <c r="D4" s="4">
        <v>8</v>
      </c>
      <c r="E4" s="4">
        <v>269</v>
      </c>
      <c r="F4" s="4">
        <v>8</v>
      </c>
      <c r="G4" s="4">
        <v>8</v>
      </c>
      <c r="H4" s="4">
        <v>269</v>
      </c>
      <c r="I4" s="4">
        <v>47</v>
      </c>
      <c r="J4" s="4">
        <v>88</v>
      </c>
      <c r="K4" s="4">
        <v>0.53400000000000003</v>
      </c>
      <c r="L4" s="4">
        <v>0</v>
      </c>
      <c r="M4" s="4">
        <v>0</v>
      </c>
      <c r="N4" s="4">
        <v>0</v>
      </c>
      <c r="O4" s="4">
        <v>47</v>
      </c>
      <c r="P4" s="4">
        <v>88</v>
      </c>
      <c r="Q4" s="4">
        <v>0.53400000000000003</v>
      </c>
      <c r="R4" s="4">
        <v>41</v>
      </c>
      <c r="S4" s="4">
        <v>58</v>
      </c>
      <c r="T4" s="4">
        <v>0.70699999999999996</v>
      </c>
      <c r="U4" s="4">
        <v>13</v>
      </c>
      <c r="V4" s="4">
        <v>62</v>
      </c>
      <c r="W4" s="4">
        <v>65</v>
      </c>
      <c r="X4" s="4">
        <v>15</v>
      </c>
      <c r="Y4" s="4">
        <v>1</v>
      </c>
      <c r="Z4" s="4">
        <v>28</v>
      </c>
      <c r="AA4" s="4">
        <v>23</v>
      </c>
      <c r="AB4" s="4">
        <v>135</v>
      </c>
      <c r="AC4" s="5">
        <f t="shared" ref="AC4:AC67" si="0">IF(Z4=0,"",W4/Z4)</f>
        <v>2.3214285714285716</v>
      </c>
    </row>
    <row r="5" spans="1:29" x14ac:dyDescent="0.25">
      <c r="A5" s="1" t="s">
        <v>100</v>
      </c>
      <c r="B5" s="3" t="s">
        <v>101</v>
      </c>
      <c r="C5" s="4" t="s">
        <v>8</v>
      </c>
      <c r="D5" s="4">
        <v>8</v>
      </c>
      <c r="E5" s="4">
        <v>266</v>
      </c>
      <c r="F5" s="4">
        <v>8</v>
      </c>
      <c r="G5" s="4">
        <v>8</v>
      </c>
      <c r="H5" s="4">
        <v>266</v>
      </c>
      <c r="I5" s="4">
        <v>56</v>
      </c>
      <c r="J5" s="4">
        <v>110</v>
      </c>
      <c r="K5" s="4">
        <v>0.50900000000000001</v>
      </c>
      <c r="L5" s="4">
        <v>16</v>
      </c>
      <c r="M5" s="4">
        <v>35</v>
      </c>
      <c r="N5" s="4">
        <v>0.45700000000000002</v>
      </c>
      <c r="O5" s="4">
        <v>40</v>
      </c>
      <c r="P5" s="4">
        <v>75</v>
      </c>
      <c r="Q5" s="4">
        <v>0.53300000000000003</v>
      </c>
      <c r="R5" s="4">
        <v>27</v>
      </c>
      <c r="S5" s="4">
        <v>34</v>
      </c>
      <c r="T5" s="4">
        <v>0.79400000000000004</v>
      </c>
      <c r="U5" s="4">
        <v>3</v>
      </c>
      <c r="V5" s="4">
        <v>24</v>
      </c>
      <c r="W5" s="4">
        <v>41</v>
      </c>
      <c r="X5" s="4">
        <v>3</v>
      </c>
      <c r="Y5" s="4">
        <v>3</v>
      </c>
      <c r="Z5" s="4">
        <v>15</v>
      </c>
      <c r="AA5" s="4">
        <v>22</v>
      </c>
      <c r="AB5" s="4">
        <v>155</v>
      </c>
      <c r="AC5" s="5">
        <f t="shared" si="0"/>
        <v>2.7333333333333334</v>
      </c>
    </row>
    <row r="6" spans="1:29" x14ac:dyDescent="0.25">
      <c r="A6" s="1" t="s">
        <v>85</v>
      </c>
      <c r="B6" s="3" t="s">
        <v>86</v>
      </c>
      <c r="C6" s="4" t="s">
        <v>87</v>
      </c>
      <c r="D6" s="4">
        <v>8</v>
      </c>
      <c r="E6" s="4">
        <v>264</v>
      </c>
      <c r="F6" s="4">
        <v>8</v>
      </c>
      <c r="G6" s="4">
        <v>8</v>
      </c>
      <c r="H6" s="4">
        <v>264</v>
      </c>
      <c r="I6" s="4">
        <v>53</v>
      </c>
      <c r="J6" s="4">
        <v>118</v>
      </c>
      <c r="K6" s="4">
        <v>0.44900000000000001</v>
      </c>
      <c r="L6" s="4">
        <v>4</v>
      </c>
      <c r="M6" s="4">
        <v>23</v>
      </c>
      <c r="N6" s="4">
        <v>0.17399999999999999</v>
      </c>
      <c r="O6" s="4">
        <v>49</v>
      </c>
      <c r="P6" s="4">
        <v>95</v>
      </c>
      <c r="Q6" s="4">
        <v>0.51600000000000001</v>
      </c>
      <c r="R6" s="4">
        <v>50</v>
      </c>
      <c r="S6" s="4">
        <v>56</v>
      </c>
      <c r="T6" s="4">
        <v>0.89300000000000002</v>
      </c>
      <c r="U6" s="4">
        <v>10</v>
      </c>
      <c r="V6" s="4">
        <v>69</v>
      </c>
      <c r="W6" s="4">
        <v>18</v>
      </c>
      <c r="X6" s="4">
        <v>10</v>
      </c>
      <c r="Y6" s="4">
        <v>10</v>
      </c>
      <c r="Z6" s="4">
        <v>22</v>
      </c>
      <c r="AA6" s="4">
        <v>24</v>
      </c>
      <c r="AB6" s="4">
        <v>160</v>
      </c>
      <c r="AC6" s="5">
        <f t="shared" si="0"/>
        <v>0.81818181818181823</v>
      </c>
    </row>
    <row r="7" spans="1:29" x14ac:dyDescent="0.25">
      <c r="A7" s="1" t="s">
        <v>163</v>
      </c>
      <c r="B7" s="3" t="s">
        <v>164</v>
      </c>
      <c r="C7" s="4" t="s">
        <v>8</v>
      </c>
      <c r="D7" s="4">
        <v>8</v>
      </c>
      <c r="E7" s="4">
        <v>257</v>
      </c>
      <c r="F7" s="4">
        <v>8</v>
      </c>
      <c r="G7" s="4">
        <v>8</v>
      </c>
      <c r="H7" s="4">
        <v>257</v>
      </c>
      <c r="I7" s="4">
        <v>47</v>
      </c>
      <c r="J7" s="4">
        <v>121</v>
      </c>
      <c r="K7" s="4">
        <v>0.38800000000000001</v>
      </c>
      <c r="L7" s="4">
        <v>11</v>
      </c>
      <c r="M7" s="4">
        <v>40</v>
      </c>
      <c r="N7" s="4">
        <v>0.27500000000000002</v>
      </c>
      <c r="O7" s="4">
        <v>36</v>
      </c>
      <c r="P7" s="4">
        <v>81</v>
      </c>
      <c r="Q7" s="4">
        <v>0.44400000000000001</v>
      </c>
      <c r="R7" s="4">
        <v>59</v>
      </c>
      <c r="S7" s="4">
        <v>65</v>
      </c>
      <c r="T7" s="4">
        <v>0.90800000000000003</v>
      </c>
      <c r="U7" s="4">
        <v>8</v>
      </c>
      <c r="V7" s="4">
        <v>32</v>
      </c>
      <c r="W7" s="4">
        <v>35</v>
      </c>
      <c r="X7" s="4">
        <v>12</v>
      </c>
      <c r="Y7" s="4">
        <v>3</v>
      </c>
      <c r="Z7" s="4">
        <v>20</v>
      </c>
      <c r="AA7" s="4">
        <v>21</v>
      </c>
      <c r="AB7" s="4">
        <v>164</v>
      </c>
      <c r="AC7" s="5">
        <f t="shared" si="0"/>
        <v>1.75</v>
      </c>
    </row>
    <row r="8" spans="1:29" x14ac:dyDescent="0.25">
      <c r="A8" s="1" t="s">
        <v>104</v>
      </c>
      <c r="B8" s="3" t="s">
        <v>101</v>
      </c>
      <c r="C8" s="4" t="s">
        <v>87</v>
      </c>
      <c r="D8" s="4">
        <v>8</v>
      </c>
      <c r="E8" s="4">
        <v>254</v>
      </c>
      <c r="F8" s="4">
        <v>8</v>
      </c>
      <c r="G8" s="4">
        <v>8</v>
      </c>
      <c r="H8" s="4">
        <v>254</v>
      </c>
      <c r="I8" s="4">
        <v>42</v>
      </c>
      <c r="J8" s="4">
        <v>74</v>
      </c>
      <c r="K8" s="4">
        <v>0.56799999999999995</v>
      </c>
      <c r="L8" s="4">
        <v>0</v>
      </c>
      <c r="M8" s="4">
        <v>5</v>
      </c>
      <c r="N8" s="4">
        <v>0</v>
      </c>
      <c r="O8" s="4">
        <v>42</v>
      </c>
      <c r="P8" s="4">
        <v>69</v>
      </c>
      <c r="Q8" s="4">
        <v>0.60899999999999999</v>
      </c>
      <c r="R8" s="4">
        <v>20</v>
      </c>
      <c r="S8" s="4">
        <v>28</v>
      </c>
      <c r="T8" s="4">
        <v>0.71399999999999997</v>
      </c>
      <c r="U8" s="4">
        <v>23</v>
      </c>
      <c r="V8" s="4">
        <v>91</v>
      </c>
      <c r="W8" s="4">
        <v>52</v>
      </c>
      <c r="X8" s="4">
        <v>3</v>
      </c>
      <c r="Y8" s="4">
        <v>0</v>
      </c>
      <c r="Z8" s="4">
        <v>11</v>
      </c>
      <c r="AA8" s="4">
        <v>23</v>
      </c>
      <c r="AB8" s="4">
        <v>104</v>
      </c>
      <c r="AC8" s="5">
        <f t="shared" si="0"/>
        <v>4.7272727272727275</v>
      </c>
    </row>
    <row r="9" spans="1:29" x14ac:dyDescent="0.25">
      <c r="A9" s="1" t="s">
        <v>103</v>
      </c>
      <c r="B9" s="3" t="s">
        <v>101</v>
      </c>
      <c r="C9" s="4" t="s">
        <v>8</v>
      </c>
      <c r="D9" s="4">
        <v>8</v>
      </c>
      <c r="E9" s="4">
        <v>241</v>
      </c>
      <c r="F9" s="4">
        <v>8</v>
      </c>
      <c r="G9" s="4">
        <v>8</v>
      </c>
      <c r="H9" s="4">
        <v>241</v>
      </c>
      <c r="I9" s="4">
        <v>34</v>
      </c>
      <c r="J9" s="4">
        <v>102</v>
      </c>
      <c r="K9" s="4">
        <v>0.33300000000000002</v>
      </c>
      <c r="L9" s="4">
        <v>15</v>
      </c>
      <c r="M9" s="4">
        <v>45</v>
      </c>
      <c r="N9" s="4">
        <v>0.33300000000000002</v>
      </c>
      <c r="O9" s="4">
        <v>19</v>
      </c>
      <c r="P9" s="4">
        <v>57</v>
      </c>
      <c r="Q9" s="4">
        <v>0.33300000000000002</v>
      </c>
      <c r="R9" s="4">
        <v>26</v>
      </c>
      <c r="S9" s="4">
        <v>29</v>
      </c>
      <c r="T9" s="4">
        <v>0.89700000000000002</v>
      </c>
      <c r="U9" s="4">
        <v>3</v>
      </c>
      <c r="V9" s="4">
        <v>15</v>
      </c>
      <c r="W9" s="4">
        <v>23</v>
      </c>
      <c r="X9" s="4">
        <v>5</v>
      </c>
      <c r="Y9" s="4">
        <v>1</v>
      </c>
      <c r="Z9" s="4">
        <v>13</v>
      </c>
      <c r="AA9" s="4">
        <v>18</v>
      </c>
      <c r="AB9" s="4">
        <v>109</v>
      </c>
      <c r="AC9" s="5">
        <f t="shared" si="0"/>
        <v>1.7692307692307692</v>
      </c>
    </row>
    <row r="10" spans="1:29" x14ac:dyDescent="0.25">
      <c r="A10" s="1" t="s">
        <v>111</v>
      </c>
      <c r="B10" s="3" t="s">
        <v>244</v>
      </c>
      <c r="C10" s="4" t="s">
        <v>87</v>
      </c>
      <c r="D10" s="4">
        <v>8</v>
      </c>
      <c r="E10" s="4">
        <v>234</v>
      </c>
      <c r="F10" s="4">
        <v>8</v>
      </c>
      <c r="G10" s="4">
        <v>8</v>
      </c>
      <c r="H10" s="4">
        <v>234</v>
      </c>
      <c r="I10" s="4">
        <v>40</v>
      </c>
      <c r="J10" s="4">
        <v>91</v>
      </c>
      <c r="K10" s="4">
        <v>0.44</v>
      </c>
      <c r="L10" s="4">
        <v>21</v>
      </c>
      <c r="M10" s="4">
        <v>56</v>
      </c>
      <c r="N10" s="4">
        <v>0.375</v>
      </c>
      <c r="O10" s="4">
        <v>19</v>
      </c>
      <c r="P10" s="4">
        <v>35</v>
      </c>
      <c r="Q10" s="4">
        <v>0.54300000000000004</v>
      </c>
      <c r="R10" s="4">
        <v>21</v>
      </c>
      <c r="S10" s="4">
        <v>23</v>
      </c>
      <c r="T10" s="4">
        <v>0.91300000000000003</v>
      </c>
      <c r="U10" s="4">
        <v>4</v>
      </c>
      <c r="V10" s="4">
        <v>27</v>
      </c>
      <c r="W10" s="4">
        <v>17</v>
      </c>
      <c r="X10" s="4">
        <v>17</v>
      </c>
      <c r="Y10" s="4">
        <v>2</v>
      </c>
      <c r="Z10" s="4">
        <v>8</v>
      </c>
      <c r="AA10" s="4">
        <v>19</v>
      </c>
      <c r="AB10" s="4">
        <v>122</v>
      </c>
      <c r="AC10" s="5">
        <f t="shared" si="0"/>
        <v>2.125</v>
      </c>
    </row>
    <row r="11" spans="1:29" x14ac:dyDescent="0.25">
      <c r="A11" s="1" t="s">
        <v>88</v>
      </c>
      <c r="B11" s="3" t="s">
        <v>86</v>
      </c>
      <c r="C11" s="4" t="s">
        <v>8</v>
      </c>
      <c r="D11" s="4">
        <v>8</v>
      </c>
      <c r="E11" s="4">
        <v>231</v>
      </c>
      <c r="F11" s="4">
        <v>8</v>
      </c>
      <c r="G11" s="4">
        <v>8</v>
      </c>
      <c r="H11" s="4">
        <v>231</v>
      </c>
      <c r="I11" s="4">
        <v>34</v>
      </c>
      <c r="J11" s="4">
        <v>77</v>
      </c>
      <c r="K11" s="4">
        <v>0.442</v>
      </c>
      <c r="L11" s="4">
        <v>27</v>
      </c>
      <c r="M11" s="4">
        <v>62</v>
      </c>
      <c r="N11" s="4">
        <v>0.435</v>
      </c>
      <c r="O11" s="4">
        <v>7</v>
      </c>
      <c r="P11" s="4">
        <v>15</v>
      </c>
      <c r="Q11" s="4">
        <v>0.46700000000000003</v>
      </c>
      <c r="R11" s="4">
        <v>6</v>
      </c>
      <c r="S11" s="4">
        <v>8</v>
      </c>
      <c r="T11" s="4">
        <v>0.75</v>
      </c>
      <c r="U11" s="4">
        <v>7</v>
      </c>
      <c r="V11" s="4">
        <v>24</v>
      </c>
      <c r="W11" s="4">
        <v>37</v>
      </c>
      <c r="X11" s="4">
        <v>12</v>
      </c>
      <c r="Y11" s="4">
        <v>1</v>
      </c>
      <c r="Z11" s="4">
        <v>17</v>
      </c>
      <c r="AA11" s="4">
        <v>15</v>
      </c>
      <c r="AB11" s="4">
        <v>101</v>
      </c>
      <c r="AC11" s="5">
        <f t="shared" si="0"/>
        <v>2.1764705882352939</v>
      </c>
    </row>
    <row r="12" spans="1:29" x14ac:dyDescent="0.25">
      <c r="A12" s="1" t="s">
        <v>89</v>
      </c>
      <c r="B12" s="3" t="s">
        <v>86</v>
      </c>
      <c r="C12" s="4" t="s">
        <v>90</v>
      </c>
      <c r="D12" s="4">
        <v>8</v>
      </c>
      <c r="E12" s="4">
        <v>231</v>
      </c>
      <c r="F12" s="4">
        <v>8</v>
      </c>
      <c r="G12" s="4">
        <v>8</v>
      </c>
      <c r="H12" s="4">
        <v>231</v>
      </c>
      <c r="I12" s="4">
        <v>33</v>
      </c>
      <c r="J12" s="4">
        <v>80</v>
      </c>
      <c r="K12" s="4">
        <v>0.41299999999999998</v>
      </c>
      <c r="L12" s="4">
        <v>10</v>
      </c>
      <c r="M12" s="4">
        <v>31</v>
      </c>
      <c r="N12" s="4">
        <v>0.32300000000000001</v>
      </c>
      <c r="O12" s="4">
        <v>23</v>
      </c>
      <c r="P12" s="4">
        <v>49</v>
      </c>
      <c r="Q12" s="4">
        <v>0.46899999999999997</v>
      </c>
      <c r="R12" s="4">
        <v>29</v>
      </c>
      <c r="S12" s="4">
        <v>33</v>
      </c>
      <c r="T12" s="4">
        <v>0.879</v>
      </c>
      <c r="U12" s="4">
        <v>14</v>
      </c>
      <c r="V12" s="4">
        <v>67</v>
      </c>
      <c r="W12" s="4">
        <v>22</v>
      </c>
      <c r="X12" s="4">
        <v>6</v>
      </c>
      <c r="Y12" s="4">
        <v>7</v>
      </c>
      <c r="Z12" s="4">
        <v>17</v>
      </c>
      <c r="AA12" s="4">
        <v>24</v>
      </c>
      <c r="AB12" s="4">
        <v>105</v>
      </c>
      <c r="AC12" s="5">
        <f t="shared" si="0"/>
        <v>1.2941176470588236</v>
      </c>
    </row>
    <row r="13" spans="1:29" x14ac:dyDescent="0.25">
      <c r="A13" s="1" t="s">
        <v>97</v>
      </c>
      <c r="B13" s="3" t="s">
        <v>98</v>
      </c>
      <c r="C13" s="4" t="s">
        <v>8</v>
      </c>
      <c r="D13" s="4">
        <v>7</v>
      </c>
      <c r="E13" s="4">
        <v>231</v>
      </c>
      <c r="F13" s="4">
        <v>7</v>
      </c>
      <c r="G13" s="4">
        <v>7</v>
      </c>
      <c r="H13" s="4">
        <v>231</v>
      </c>
      <c r="I13" s="4">
        <v>33</v>
      </c>
      <c r="J13" s="4">
        <v>74</v>
      </c>
      <c r="K13" s="4">
        <v>0.44600000000000001</v>
      </c>
      <c r="L13" s="4">
        <v>10</v>
      </c>
      <c r="M13" s="4">
        <v>31</v>
      </c>
      <c r="N13" s="4">
        <v>0.32300000000000001</v>
      </c>
      <c r="O13" s="4">
        <v>23</v>
      </c>
      <c r="P13" s="4">
        <v>43</v>
      </c>
      <c r="Q13" s="4">
        <v>0.53500000000000003</v>
      </c>
      <c r="R13" s="4">
        <v>27</v>
      </c>
      <c r="S13" s="4">
        <v>31</v>
      </c>
      <c r="T13" s="4">
        <v>0.871</v>
      </c>
      <c r="U13" s="4">
        <v>4</v>
      </c>
      <c r="V13" s="4">
        <v>31</v>
      </c>
      <c r="W13" s="4">
        <v>14</v>
      </c>
      <c r="X13" s="4">
        <v>12</v>
      </c>
      <c r="Y13" s="4">
        <v>2</v>
      </c>
      <c r="Z13" s="4">
        <v>11</v>
      </c>
      <c r="AA13" s="4">
        <v>11</v>
      </c>
      <c r="AB13" s="4">
        <v>103</v>
      </c>
      <c r="AC13" s="5">
        <f t="shared" si="0"/>
        <v>1.2727272727272727</v>
      </c>
    </row>
    <row r="14" spans="1:29" x14ac:dyDescent="0.25">
      <c r="A14" s="1" t="s">
        <v>113</v>
      </c>
      <c r="B14" s="3" t="s">
        <v>95</v>
      </c>
      <c r="C14" s="4" t="s">
        <v>114</v>
      </c>
      <c r="D14" s="4">
        <v>8</v>
      </c>
      <c r="E14" s="4">
        <v>225</v>
      </c>
      <c r="F14" s="4">
        <v>8</v>
      </c>
      <c r="G14" s="4">
        <v>6</v>
      </c>
      <c r="H14" s="4">
        <v>225</v>
      </c>
      <c r="I14" s="4">
        <v>26</v>
      </c>
      <c r="J14" s="4">
        <v>69</v>
      </c>
      <c r="K14" s="4">
        <v>0.377</v>
      </c>
      <c r="L14" s="4">
        <v>6</v>
      </c>
      <c r="M14" s="4">
        <v>33</v>
      </c>
      <c r="N14" s="4">
        <v>0.182</v>
      </c>
      <c r="O14" s="4">
        <v>20</v>
      </c>
      <c r="P14" s="4">
        <v>36</v>
      </c>
      <c r="Q14" s="4">
        <v>0.55600000000000005</v>
      </c>
      <c r="R14" s="4">
        <v>12</v>
      </c>
      <c r="S14" s="4">
        <v>12</v>
      </c>
      <c r="T14" s="4">
        <v>1</v>
      </c>
      <c r="U14" s="4">
        <v>7</v>
      </c>
      <c r="V14" s="4">
        <v>46</v>
      </c>
      <c r="W14" s="4">
        <v>10</v>
      </c>
      <c r="X14" s="4">
        <v>8</v>
      </c>
      <c r="Y14" s="4">
        <v>6</v>
      </c>
      <c r="Z14" s="4">
        <v>7</v>
      </c>
      <c r="AA14" s="4">
        <v>16</v>
      </c>
      <c r="AB14" s="4">
        <v>70</v>
      </c>
      <c r="AC14" s="5">
        <f t="shared" si="0"/>
        <v>1.4285714285714286</v>
      </c>
    </row>
    <row r="15" spans="1:29" x14ac:dyDescent="0.25">
      <c r="A15" s="1" t="s">
        <v>108</v>
      </c>
      <c r="B15" s="3" t="s">
        <v>109</v>
      </c>
      <c r="C15" s="4" t="s">
        <v>96</v>
      </c>
      <c r="D15" s="4">
        <v>9</v>
      </c>
      <c r="E15" s="4">
        <v>219</v>
      </c>
      <c r="F15" s="4">
        <v>9</v>
      </c>
      <c r="G15" s="4">
        <v>7</v>
      </c>
      <c r="H15" s="4">
        <v>219</v>
      </c>
      <c r="I15" s="4">
        <v>23</v>
      </c>
      <c r="J15" s="4">
        <v>69</v>
      </c>
      <c r="K15" s="4">
        <v>0.33300000000000002</v>
      </c>
      <c r="L15" s="4">
        <v>7</v>
      </c>
      <c r="M15" s="4">
        <v>30</v>
      </c>
      <c r="N15" s="4">
        <v>0.23300000000000001</v>
      </c>
      <c r="O15" s="4">
        <v>16</v>
      </c>
      <c r="P15" s="4">
        <v>39</v>
      </c>
      <c r="Q15" s="4">
        <v>0.41</v>
      </c>
      <c r="R15" s="4">
        <v>9</v>
      </c>
      <c r="S15" s="4">
        <v>14</v>
      </c>
      <c r="T15" s="4">
        <v>0.64300000000000002</v>
      </c>
      <c r="U15" s="4">
        <v>7</v>
      </c>
      <c r="V15" s="4">
        <v>32</v>
      </c>
      <c r="W15" s="4">
        <v>22</v>
      </c>
      <c r="X15" s="4">
        <v>10</v>
      </c>
      <c r="Y15" s="4">
        <v>8</v>
      </c>
      <c r="Z15" s="4">
        <v>21</v>
      </c>
      <c r="AA15" s="4">
        <v>19</v>
      </c>
      <c r="AB15" s="4">
        <v>62</v>
      </c>
      <c r="AC15" s="5">
        <f t="shared" si="0"/>
        <v>1.0476190476190477</v>
      </c>
    </row>
    <row r="16" spans="1:29" x14ac:dyDescent="0.25">
      <c r="A16" s="1" t="s">
        <v>105</v>
      </c>
      <c r="B16" s="3" t="s">
        <v>98</v>
      </c>
      <c r="C16" s="4" t="s">
        <v>8</v>
      </c>
      <c r="D16" s="4">
        <v>7</v>
      </c>
      <c r="E16" s="4">
        <v>218</v>
      </c>
      <c r="F16" s="4">
        <v>7</v>
      </c>
      <c r="G16" s="4">
        <v>7</v>
      </c>
      <c r="H16" s="4">
        <v>218</v>
      </c>
      <c r="I16" s="4">
        <v>51</v>
      </c>
      <c r="J16" s="4">
        <v>108</v>
      </c>
      <c r="K16" s="4">
        <v>0.47199999999999998</v>
      </c>
      <c r="L16" s="4">
        <v>13</v>
      </c>
      <c r="M16" s="4">
        <v>32</v>
      </c>
      <c r="N16" s="4">
        <v>0.40600000000000003</v>
      </c>
      <c r="O16" s="4">
        <v>38</v>
      </c>
      <c r="P16" s="4">
        <v>76</v>
      </c>
      <c r="Q16" s="4">
        <v>0.5</v>
      </c>
      <c r="R16" s="4">
        <v>5</v>
      </c>
      <c r="S16" s="4">
        <v>6</v>
      </c>
      <c r="T16" s="4">
        <v>0.83299999999999996</v>
      </c>
      <c r="U16" s="4">
        <v>4</v>
      </c>
      <c r="V16" s="4">
        <v>38</v>
      </c>
      <c r="W16" s="4">
        <v>30</v>
      </c>
      <c r="X16" s="4">
        <v>11</v>
      </c>
      <c r="Y16" s="4">
        <v>4</v>
      </c>
      <c r="Z16" s="4">
        <v>12</v>
      </c>
      <c r="AA16" s="4">
        <v>13</v>
      </c>
      <c r="AB16" s="4">
        <v>120</v>
      </c>
      <c r="AC16" s="5">
        <f t="shared" si="0"/>
        <v>2.5</v>
      </c>
    </row>
    <row r="17" spans="1:29" x14ac:dyDescent="0.25">
      <c r="A17" s="1" t="s">
        <v>162</v>
      </c>
      <c r="B17" s="3" t="s">
        <v>160</v>
      </c>
      <c r="C17" s="4" t="s">
        <v>8</v>
      </c>
      <c r="D17" s="4">
        <v>7</v>
      </c>
      <c r="E17" s="4">
        <v>217</v>
      </c>
      <c r="F17" s="4">
        <v>7</v>
      </c>
      <c r="G17" s="4">
        <v>7</v>
      </c>
      <c r="H17" s="4">
        <v>217</v>
      </c>
      <c r="I17" s="4">
        <v>53</v>
      </c>
      <c r="J17" s="4">
        <v>116</v>
      </c>
      <c r="K17" s="4">
        <v>0.45700000000000002</v>
      </c>
      <c r="L17" s="4">
        <v>14</v>
      </c>
      <c r="M17" s="4">
        <v>42</v>
      </c>
      <c r="N17" s="4">
        <v>0.33300000000000002</v>
      </c>
      <c r="O17" s="4">
        <v>39</v>
      </c>
      <c r="P17" s="4">
        <v>74</v>
      </c>
      <c r="Q17" s="4">
        <v>0.52700000000000002</v>
      </c>
      <c r="R17" s="4">
        <v>28</v>
      </c>
      <c r="S17" s="4">
        <v>34</v>
      </c>
      <c r="T17" s="4">
        <v>0.82399999999999995</v>
      </c>
      <c r="U17" s="4">
        <v>4</v>
      </c>
      <c r="V17" s="4">
        <v>6</v>
      </c>
      <c r="W17" s="4">
        <v>16</v>
      </c>
      <c r="X17" s="4">
        <v>3</v>
      </c>
      <c r="Y17" s="4">
        <v>0</v>
      </c>
      <c r="Z17" s="4">
        <v>11</v>
      </c>
      <c r="AA17" s="4">
        <v>22</v>
      </c>
      <c r="AB17" s="4">
        <v>148</v>
      </c>
      <c r="AC17" s="5">
        <f t="shared" si="0"/>
        <v>1.4545454545454546</v>
      </c>
    </row>
    <row r="18" spans="1:29" x14ac:dyDescent="0.25">
      <c r="A18" s="1" t="s">
        <v>125</v>
      </c>
      <c r="B18" s="3" t="s">
        <v>109</v>
      </c>
      <c r="C18" s="4" t="s">
        <v>87</v>
      </c>
      <c r="D18" s="4">
        <v>9</v>
      </c>
      <c r="E18" s="4">
        <v>217</v>
      </c>
      <c r="F18" s="4">
        <v>9</v>
      </c>
      <c r="G18" s="4">
        <v>3</v>
      </c>
      <c r="H18" s="4">
        <v>217</v>
      </c>
      <c r="I18" s="4">
        <v>41</v>
      </c>
      <c r="J18" s="4">
        <v>100</v>
      </c>
      <c r="K18" s="4">
        <v>0.41</v>
      </c>
      <c r="L18" s="4">
        <v>9</v>
      </c>
      <c r="M18" s="4">
        <v>32</v>
      </c>
      <c r="N18" s="4">
        <v>0.28100000000000003</v>
      </c>
      <c r="O18" s="4">
        <v>32</v>
      </c>
      <c r="P18" s="4">
        <v>68</v>
      </c>
      <c r="Q18" s="4">
        <v>0.47099999999999997</v>
      </c>
      <c r="R18" s="4">
        <v>12</v>
      </c>
      <c r="S18" s="4">
        <v>21</v>
      </c>
      <c r="T18" s="4">
        <v>0.57099999999999995</v>
      </c>
      <c r="U18" s="4">
        <v>28</v>
      </c>
      <c r="V18" s="4">
        <v>87</v>
      </c>
      <c r="W18" s="4">
        <v>10</v>
      </c>
      <c r="X18" s="4">
        <v>7</v>
      </c>
      <c r="Y18" s="4">
        <v>3</v>
      </c>
      <c r="Z18" s="4">
        <v>20</v>
      </c>
      <c r="AA18" s="4">
        <v>21</v>
      </c>
      <c r="AB18" s="4">
        <v>103</v>
      </c>
      <c r="AC18" s="5">
        <f t="shared" si="0"/>
        <v>0.5</v>
      </c>
    </row>
    <row r="19" spans="1:29" x14ac:dyDescent="0.25">
      <c r="A19" s="1" t="s">
        <v>123</v>
      </c>
      <c r="B19" s="3" t="s">
        <v>119</v>
      </c>
      <c r="C19" s="4" t="s">
        <v>8</v>
      </c>
      <c r="D19" s="4">
        <v>7</v>
      </c>
      <c r="E19" s="4">
        <v>216</v>
      </c>
      <c r="F19" s="4">
        <v>7</v>
      </c>
      <c r="G19" s="4">
        <v>7</v>
      </c>
      <c r="H19" s="4">
        <v>216</v>
      </c>
      <c r="I19" s="4">
        <v>31</v>
      </c>
      <c r="J19" s="4">
        <v>67</v>
      </c>
      <c r="K19" s="4">
        <v>0.46300000000000002</v>
      </c>
      <c r="L19" s="4">
        <v>14</v>
      </c>
      <c r="M19" s="4">
        <v>32</v>
      </c>
      <c r="N19" s="4">
        <v>0.438</v>
      </c>
      <c r="O19" s="4">
        <v>17</v>
      </c>
      <c r="P19" s="4">
        <v>35</v>
      </c>
      <c r="Q19" s="4">
        <v>0.48599999999999999</v>
      </c>
      <c r="R19" s="4">
        <v>4</v>
      </c>
      <c r="S19" s="4">
        <v>4</v>
      </c>
      <c r="T19" s="4">
        <v>1</v>
      </c>
      <c r="U19" s="4">
        <v>1</v>
      </c>
      <c r="V19" s="4">
        <v>27</v>
      </c>
      <c r="W19" s="4">
        <v>48</v>
      </c>
      <c r="X19" s="4">
        <v>5</v>
      </c>
      <c r="Y19" s="4">
        <v>7</v>
      </c>
      <c r="Z19" s="4">
        <v>23</v>
      </c>
      <c r="AA19" s="4">
        <v>12</v>
      </c>
      <c r="AB19" s="4">
        <v>80</v>
      </c>
      <c r="AC19" s="5">
        <f t="shared" si="0"/>
        <v>2.0869565217391304</v>
      </c>
    </row>
    <row r="20" spans="1:29" x14ac:dyDescent="0.25">
      <c r="A20" s="1" t="s">
        <v>106</v>
      </c>
      <c r="B20" s="3" t="s">
        <v>98</v>
      </c>
      <c r="C20" s="4" t="s">
        <v>8</v>
      </c>
      <c r="D20" s="4">
        <v>7</v>
      </c>
      <c r="E20" s="4">
        <v>216</v>
      </c>
      <c r="F20" s="4">
        <v>7</v>
      </c>
      <c r="G20" s="4">
        <v>7</v>
      </c>
      <c r="H20" s="4">
        <v>216</v>
      </c>
      <c r="I20" s="4">
        <v>38</v>
      </c>
      <c r="J20" s="4">
        <v>80</v>
      </c>
      <c r="K20" s="4">
        <v>0.47499999999999998</v>
      </c>
      <c r="L20" s="4">
        <v>2</v>
      </c>
      <c r="M20" s="4">
        <v>14</v>
      </c>
      <c r="N20" s="4">
        <v>0.14299999999999999</v>
      </c>
      <c r="O20" s="4">
        <v>36</v>
      </c>
      <c r="P20" s="4">
        <v>66</v>
      </c>
      <c r="Q20" s="4">
        <v>0.54500000000000004</v>
      </c>
      <c r="R20" s="4">
        <v>28</v>
      </c>
      <c r="S20" s="4">
        <v>31</v>
      </c>
      <c r="T20" s="4">
        <v>0.90300000000000002</v>
      </c>
      <c r="U20" s="4">
        <v>4</v>
      </c>
      <c r="V20" s="4">
        <v>35</v>
      </c>
      <c r="W20" s="4">
        <v>41</v>
      </c>
      <c r="X20" s="4">
        <v>10</v>
      </c>
      <c r="Y20" s="4">
        <v>5</v>
      </c>
      <c r="Z20" s="4">
        <v>22</v>
      </c>
      <c r="AA20" s="4">
        <v>20</v>
      </c>
      <c r="AB20" s="4">
        <v>106</v>
      </c>
      <c r="AC20" s="5">
        <f t="shared" si="0"/>
        <v>1.8636363636363635</v>
      </c>
    </row>
    <row r="21" spans="1:29" ht="15.75" customHeight="1" x14ac:dyDescent="0.25">
      <c r="A21" s="1" t="s">
        <v>206</v>
      </c>
      <c r="B21" s="3" t="s">
        <v>164</v>
      </c>
      <c r="C21" s="4" t="s">
        <v>8</v>
      </c>
      <c r="D21" s="4">
        <v>8</v>
      </c>
      <c r="E21" s="4">
        <v>215</v>
      </c>
      <c r="F21" s="4">
        <v>8</v>
      </c>
      <c r="G21" s="4">
        <v>5</v>
      </c>
      <c r="H21" s="4">
        <v>215</v>
      </c>
      <c r="I21" s="4">
        <v>33</v>
      </c>
      <c r="J21" s="4">
        <v>59</v>
      </c>
      <c r="K21" s="4">
        <v>0.55900000000000005</v>
      </c>
      <c r="L21" s="4">
        <v>9</v>
      </c>
      <c r="M21" s="4">
        <v>20</v>
      </c>
      <c r="N21" s="4">
        <v>0.45</v>
      </c>
      <c r="O21" s="4">
        <v>24</v>
      </c>
      <c r="P21" s="4">
        <v>39</v>
      </c>
      <c r="Q21" s="4">
        <v>0.61499999999999999</v>
      </c>
      <c r="R21" s="4">
        <v>26</v>
      </c>
      <c r="S21" s="4">
        <v>33</v>
      </c>
      <c r="T21" s="4">
        <v>0.78800000000000003</v>
      </c>
      <c r="U21" s="4">
        <v>9</v>
      </c>
      <c r="V21" s="4">
        <v>36</v>
      </c>
      <c r="W21" s="4">
        <v>23</v>
      </c>
      <c r="X21" s="4">
        <v>6</v>
      </c>
      <c r="Y21" s="4">
        <v>1</v>
      </c>
      <c r="Z21" s="4">
        <v>7</v>
      </c>
      <c r="AA21" s="4">
        <v>24</v>
      </c>
      <c r="AB21" s="4">
        <v>101</v>
      </c>
      <c r="AC21" s="5">
        <f t="shared" si="0"/>
        <v>3.2857142857142856</v>
      </c>
    </row>
    <row r="22" spans="1:29" ht="15.75" customHeight="1" x14ac:dyDescent="0.25">
      <c r="A22" s="1" t="s">
        <v>140</v>
      </c>
      <c r="B22" s="3" t="s">
        <v>116</v>
      </c>
      <c r="C22" s="4" t="s">
        <v>8</v>
      </c>
      <c r="D22" s="4">
        <v>8</v>
      </c>
      <c r="E22" s="4">
        <v>214</v>
      </c>
      <c r="F22" s="4">
        <v>8</v>
      </c>
      <c r="G22" s="4">
        <v>8</v>
      </c>
      <c r="H22" s="4">
        <v>214</v>
      </c>
      <c r="I22" s="4">
        <v>37</v>
      </c>
      <c r="J22" s="4">
        <v>90</v>
      </c>
      <c r="K22" s="4">
        <v>0.41099999999999998</v>
      </c>
      <c r="L22" s="4">
        <v>13</v>
      </c>
      <c r="M22" s="4">
        <v>39</v>
      </c>
      <c r="N22" s="4">
        <v>0.33300000000000002</v>
      </c>
      <c r="O22" s="4">
        <v>24</v>
      </c>
      <c r="P22" s="4">
        <v>51</v>
      </c>
      <c r="Q22" s="4">
        <v>0.47099999999999997</v>
      </c>
      <c r="R22" s="4">
        <v>17</v>
      </c>
      <c r="S22" s="4">
        <v>19</v>
      </c>
      <c r="T22" s="4">
        <v>0.89500000000000002</v>
      </c>
      <c r="U22" s="4">
        <v>0</v>
      </c>
      <c r="V22" s="4">
        <v>15</v>
      </c>
      <c r="W22" s="4">
        <v>30</v>
      </c>
      <c r="X22" s="4">
        <v>5</v>
      </c>
      <c r="Y22" s="4">
        <v>1</v>
      </c>
      <c r="Z22" s="4">
        <v>15</v>
      </c>
      <c r="AA22" s="4">
        <v>20</v>
      </c>
      <c r="AB22" s="4">
        <v>104</v>
      </c>
      <c r="AC22" s="5">
        <f t="shared" si="0"/>
        <v>2</v>
      </c>
    </row>
    <row r="23" spans="1:29" ht="15.75" customHeight="1" x14ac:dyDescent="0.25">
      <c r="A23" s="1" t="s">
        <v>168</v>
      </c>
      <c r="B23" s="4" t="s">
        <v>164</v>
      </c>
      <c r="C23" s="4" t="s">
        <v>8</v>
      </c>
      <c r="D23" s="4">
        <v>8</v>
      </c>
      <c r="E23" s="4">
        <v>214</v>
      </c>
      <c r="F23" s="4">
        <v>8</v>
      </c>
      <c r="G23" s="4">
        <v>8</v>
      </c>
      <c r="H23" s="4">
        <v>214</v>
      </c>
      <c r="I23" s="4">
        <v>48</v>
      </c>
      <c r="J23" s="4">
        <v>115</v>
      </c>
      <c r="K23" s="4">
        <v>0.41699999999999998</v>
      </c>
      <c r="L23" s="4">
        <v>24</v>
      </c>
      <c r="M23" s="4">
        <v>67</v>
      </c>
      <c r="N23" s="4">
        <v>0.35799999999999998</v>
      </c>
      <c r="O23" s="4">
        <v>24</v>
      </c>
      <c r="P23" s="4">
        <v>48</v>
      </c>
      <c r="Q23" s="4">
        <v>0.5</v>
      </c>
      <c r="R23" s="4">
        <v>30</v>
      </c>
      <c r="S23" s="4">
        <v>34</v>
      </c>
      <c r="T23" s="4">
        <v>0.88200000000000001</v>
      </c>
      <c r="U23" s="4">
        <v>7</v>
      </c>
      <c r="V23" s="4">
        <v>32</v>
      </c>
      <c r="W23" s="4">
        <v>28</v>
      </c>
      <c r="X23" s="4">
        <v>10</v>
      </c>
      <c r="Y23" s="4">
        <v>3</v>
      </c>
      <c r="Z23" s="4">
        <v>23</v>
      </c>
      <c r="AA23" s="4">
        <v>24</v>
      </c>
      <c r="AB23" s="4">
        <v>150</v>
      </c>
      <c r="AC23" s="5">
        <f t="shared" si="0"/>
        <v>1.2173913043478262</v>
      </c>
    </row>
    <row r="24" spans="1:29" ht="15.75" customHeight="1" x14ac:dyDescent="0.25">
      <c r="A24" s="1" t="s">
        <v>115</v>
      </c>
      <c r="B24" s="3" t="s">
        <v>116</v>
      </c>
      <c r="C24" s="4" t="s">
        <v>8</v>
      </c>
      <c r="D24" s="4">
        <v>8</v>
      </c>
      <c r="E24" s="4">
        <v>213</v>
      </c>
      <c r="F24" s="4">
        <v>8</v>
      </c>
      <c r="G24" s="4">
        <v>8</v>
      </c>
      <c r="H24" s="4">
        <v>213</v>
      </c>
      <c r="I24" s="4">
        <v>27</v>
      </c>
      <c r="J24" s="4">
        <v>88</v>
      </c>
      <c r="K24" s="4">
        <v>0.307</v>
      </c>
      <c r="L24" s="4">
        <v>9</v>
      </c>
      <c r="M24" s="4">
        <v>34</v>
      </c>
      <c r="N24" s="4">
        <v>0.26500000000000001</v>
      </c>
      <c r="O24" s="4">
        <v>18</v>
      </c>
      <c r="P24" s="4">
        <v>54</v>
      </c>
      <c r="Q24" s="4">
        <v>0.33300000000000002</v>
      </c>
      <c r="R24" s="4">
        <v>33</v>
      </c>
      <c r="S24" s="4">
        <v>37</v>
      </c>
      <c r="T24" s="4">
        <v>0.89200000000000002</v>
      </c>
      <c r="U24" s="4">
        <v>6</v>
      </c>
      <c r="V24" s="4">
        <v>38</v>
      </c>
      <c r="W24" s="4">
        <v>13</v>
      </c>
      <c r="X24" s="4">
        <v>8</v>
      </c>
      <c r="Y24" s="4">
        <v>13</v>
      </c>
      <c r="Z24" s="4">
        <v>15</v>
      </c>
      <c r="AA24" s="4">
        <v>18</v>
      </c>
      <c r="AB24" s="4">
        <v>96</v>
      </c>
      <c r="AC24" s="5">
        <f t="shared" si="0"/>
        <v>0.8666666666666667</v>
      </c>
    </row>
    <row r="25" spans="1:29" ht="15.75" customHeight="1" x14ac:dyDescent="0.25">
      <c r="A25" s="1" t="s">
        <v>138</v>
      </c>
      <c r="B25" s="3" t="s">
        <v>139</v>
      </c>
      <c r="C25" s="4" t="s">
        <v>8</v>
      </c>
      <c r="D25" s="4">
        <v>6</v>
      </c>
      <c r="E25" s="4">
        <v>211</v>
      </c>
      <c r="F25" s="4">
        <v>6</v>
      </c>
      <c r="G25" s="4">
        <v>6</v>
      </c>
      <c r="H25" s="4">
        <v>211</v>
      </c>
      <c r="I25" s="4">
        <v>56</v>
      </c>
      <c r="J25" s="4">
        <v>95</v>
      </c>
      <c r="K25" s="4">
        <v>0.58899999999999997</v>
      </c>
      <c r="L25" s="4">
        <v>20</v>
      </c>
      <c r="M25" s="4">
        <v>41</v>
      </c>
      <c r="N25" s="4">
        <v>0.48799999999999999</v>
      </c>
      <c r="O25" s="4">
        <v>36</v>
      </c>
      <c r="P25" s="4">
        <v>54</v>
      </c>
      <c r="Q25" s="4">
        <v>0.66700000000000004</v>
      </c>
      <c r="R25" s="4">
        <v>29</v>
      </c>
      <c r="S25" s="4">
        <v>35</v>
      </c>
      <c r="T25" s="4">
        <v>0.82899999999999996</v>
      </c>
      <c r="U25" s="4">
        <v>1</v>
      </c>
      <c r="V25" s="4">
        <v>11</v>
      </c>
      <c r="W25" s="4">
        <v>38</v>
      </c>
      <c r="X25" s="4">
        <v>7</v>
      </c>
      <c r="Y25" s="4">
        <v>0</v>
      </c>
      <c r="Z25" s="4">
        <v>20</v>
      </c>
      <c r="AA25" s="4">
        <v>20</v>
      </c>
      <c r="AB25" s="4">
        <v>161</v>
      </c>
      <c r="AC25" s="5">
        <f t="shared" si="0"/>
        <v>1.9</v>
      </c>
    </row>
    <row r="26" spans="1:29" ht="15.75" customHeight="1" x14ac:dyDescent="0.25">
      <c r="A26" s="1" t="s">
        <v>131</v>
      </c>
      <c r="B26" s="3" t="s">
        <v>109</v>
      </c>
      <c r="C26" s="4" t="s">
        <v>8</v>
      </c>
      <c r="D26" s="4">
        <v>9</v>
      </c>
      <c r="E26" s="4">
        <v>211</v>
      </c>
      <c r="F26" s="4">
        <v>9</v>
      </c>
      <c r="G26" s="4">
        <v>4</v>
      </c>
      <c r="H26" s="4">
        <v>211</v>
      </c>
      <c r="I26" s="4">
        <v>19</v>
      </c>
      <c r="J26" s="4">
        <v>71</v>
      </c>
      <c r="K26" s="4">
        <v>0.26800000000000002</v>
      </c>
      <c r="L26" s="4">
        <v>2</v>
      </c>
      <c r="M26" s="4">
        <v>20</v>
      </c>
      <c r="N26" s="4">
        <v>0.1</v>
      </c>
      <c r="O26" s="4">
        <v>17</v>
      </c>
      <c r="P26" s="4">
        <v>51</v>
      </c>
      <c r="Q26" s="4">
        <v>0.33300000000000002</v>
      </c>
      <c r="R26" s="4">
        <v>11</v>
      </c>
      <c r="S26" s="4">
        <v>16</v>
      </c>
      <c r="T26" s="4">
        <v>0.68799999999999994</v>
      </c>
      <c r="U26" s="4">
        <v>4</v>
      </c>
      <c r="V26" s="4">
        <v>20</v>
      </c>
      <c r="W26" s="4">
        <v>33</v>
      </c>
      <c r="X26" s="4">
        <v>9</v>
      </c>
      <c r="Y26" s="4">
        <v>5</v>
      </c>
      <c r="Z26" s="4">
        <v>18</v>
      </c>
      <c r="AA26" s="4">
        <v>16</v>
      </c>
      <c r="AB26" s="4">
        <v>51</v>
      </c>
      <c r="AC26" s="5">
        <f t="shared" si="0"/>
        <v>1.8333333333333333</v>
      </c>
    </row>
    <row r="27" spans="1:29" ht="15.75" customHeight="1" x14ac:dyDescent="0.25">
      <c r="A27" s="1" t="s">
        <v>134</v>
      </c>
      <c r="B27" s="3" t="s">
        <v>119</v>
      </c>
      <c r="C27" s="4" t="s">
        <v>90</v>
      </c>
      <c r="D27" s="4">
        <v>7</v>
      </c>
      <c r="E27" s="4">
        <v>208</v>
      </c>
      <c r="F27" s="4">
        <v>7</v>
      </c>
      <c r="G27" s="4">
        <v>7</v>
      </c>
      <c r="H27" s="4">
        <v>208</v>
      </c>
      <c r="I27" s="4">
        <v>62</v>
      </c>
      <c r="J27" s="4">
        <v>118</v>
      </c>
      <c r="K27" s="4">
        <v>0.52500000000000002</v>
      </c>
      <c r="L27" s="4">
        <v>9</v>
      </c>
      <c r="M27" s="4">
        <v>14</v>
      </c>
      <c r="N27" s="4">
        <v>0.64300000000000002</v>
      </c>
      <c r="O27" s="4">
        <v>53</v>
      </c>
      <c r="P27" s="4">
        <v>104</v>
      </c>
      <c r="Q27" s="4">
        <v>0.51</v>
      </c>
      <c r="R27" s="4">
        <v>37</v>
      </c>
      <c r="S27" s="4">
        <v>44</v>
      </c>
      <c r="T27" s="4">
        <v>0.84099999999999997</v>
      </c>
      <c r="U27" s="4">
        <v>8</v>
      </c>
      <c r="V27" s="4">
        <v>50</v>
      </c>
      <c r="W27" s="4">
        <v>19</v>
      </c>
      <c r="X27" s="4">
        <v>7</v>
      </c>
      <c r="Y27" s="4">
        <v>14</v>
      </c>
      <c r="Z27" s="4">
        <v>18</v>
      </c>
      <c r="AA27" s="4">
        <v>13</v>
      </c>
      <c r="AB27" s="4">
        <v>170</v>
      </c>
      <c r="AC27" s="5">
        <f t="shared" si="0"/>
        <v>1.0555555555555556</v>
      </c>
    </row>
    <row r="28" spans="1:29" ht="15.75" customHeight="1" x14ac:dyDescent="0.25">
      <c r="A28" s="1" t="s">
        <v>91</v>
      </c>
      <c r="B28" s="3" t="s">
        <v>86</v>
      </c>
      <c r="C28" s="4" t="s">
        <v>8</v>
      </c>
      <c r="D28" s="4">
        <v>8</v>
      </c>
      <c r="E28" s="4">
        <v>205</v>
      </c>
      <c r="F28" s="4">
        <v>8</v>
      </c>
      <c r="G28" s="4">
        <v>7</v>
      </c>
      <c r="H28" s="4">
        <v>205</v>
      </c>
      <c r="I28" s="4">
        <v>35</v>
      </c>
      <c r="J28" s="4">
        <v>59</v>
      </c>
      <c r="K28" s="4">
        <v>0.59299999999999997</v>
      </c>
      <c r="L28" s="4">
        <v>7</v>
      </c>
      <c r="M28" s="4">
        <v>16</v>
      </c>
      <c r="N28" s="4">
        <v>0.438</v>
      </c>
      <c r="O28" s="4">
        <v>28</v>
      </c>
      <c r="P28" s="4">
        <v>43</v>
      </c>
      <c r="Q28" s="4">
        <v>0.65100000000000002</v>
      </c>
      <c r="R28" s="4">
        <v>15</v>
      </c>
      <c r="S28" s="4">
        <v>20</v>
      </c>
      <c r="T28" s="4">
        <v>0.75</v>
      </c>
      <c r="U28" s="4">
        <v>7</v>
      </c>
      <c r="V28" s="4">
        <v>27</v>
      </c>
      <c r="W28" s="4">
        <v>26</v>
      </c>
      <c r="X28" s="4">
        <v>7</v>
      </c>
      <c r="Y28" s="4">
        <v>2</v>
      </c>
      <c r="Z28" s="4">
        <v>14</v>
      </c>
      <c r="AA28" s="4">
        <v>26</v>
      </c>
      <c r="AB28" s="4">
        <v>92</v>
      </c>
      <c r="AC28" s="5">
        <f t="shared" si="0"/>
        <v>1.8571428571428572</v>
      </c>
    </row>
    <row r="29" spans="1:29" ht="15.75" customHeight="1" x14ac:dyDescent="0.25">
      <c r="A29" s="1" t="s">
        <v>151</v>
      </c>
      <c r="B29" s="3" t="s">
        <v>130</v>
      </c>
      <c r="C29" s="4" t="s">
        <v>8</v>
      </c>
      <c r="D29" s="4">
        <v>6</v>
      </c>
      <c r="E29" s="4">
        <v>204</v>
      </c>
      <c r="F29" s="4">
        <v>6</v>
      </c>
      <c r="G29" s="4">
        <v>6</v>
      </c>
      <c r="H29" s="4">
        <v>204</v>
      </c>
      <c r="I29" s="4">
        <v>45</v>
      </c>
      <c r="J29" s="4">
        <v>96</v>
      </c>
      <c r="K29" s="4">
        <v>0.46899999999999997</v>
      </c>
      <c r="L29" s="4">
        <v>13</v>
      </c>
      <c r="M29" s="4">
        <v>38</v>
      </c>
      <c r="N29" s="4">
        <v>0.34200000000000003</v>
      </c>
      <c r="O29" s="4">
        <v>32</v>
      </c>
      <c r="P29" s="4">
        <v>58</v>
      </c>
      <c r="Q29" s="4">
        <v>0.55200000000000005</v>
      </c>
      <c r="R29" s="4">
        <v>27</v>
      </c>
      <c r="S29" s="4">
        <v>33</v>
      </c>
      <c r="T29" s="4">
        <v>0.81799999999999995</v>
      </c>
      <c r="U29" s="4">
        <v>4</v>
      </c>
      <c r="V29" s="4">
        <v>26</v>
      </c>
      <c r="W29" s="4">
        <v>8</v>
      </c>
      <c r="X29" s="4">
        <v>5</v>
      </c>
      <c r="Y29" s="4">
        <v>4</v>
      </c>
      <c r="Z29" s="4">
        <v>13</v>
      </c>
      <c r="AA29" s="4">
        <v>14</v>
      </c>
      <c r="AB29" s="4">
        <v>130</v>
      </c>
      <c r="AC29" s="5">
        <f t="shared" si="0"/>
        <v>0.61538461538461542</v>
      </c>
    </row>
    <row r="30" spans="1:29" ht="15.75" customHeight="1" x14ac:dyDescent="0.25">
      <c r="A30" s="1" t="s">
        <v>173</v>
      </c>
      <c r="B30" s="3" t="s">
        <v>109</v>
      </c>
      <c r="C30" s="4" t="s">
        <v>8</v>
      </c>
      <c r="D30" s="4">
        <v>9</v>
      </c>
      <c r="E30" s="4">
        <v>203</v>
      </c>
      <c r="F30" s="4">
        <v>9</v>
      </c>
      <c r="G30" s="4">
        <v>5</v>
      </c>
      <c r="H30" s="4">
        <v>203</v>
      </c>
      <c r="I30" s="4">
        <v>25</v>
      </c>
      <c r="J30" s="4">
        <v>65</v>
      </c>
      <c r="K30" s="4">
        <v>0.38500000000000001</v>
      </c>
      <c r="L30" s="4">
        <v>8</v>
      </c>
      <c r="M30" s="4">
        <v>24</v>
      </c>
      <c r="N30" s="4">
        <v>0.33300000000000002</v>
      </c>
      <c r="O30" s="4">
        <v>17</v>
      </c>
      <c r="P30" s="4">
        <v>41</v>
      </c>
      <c r="Q30" s="4">
        <v>0.41499999999999998</v>
      </c>
      <c r="R30" s="4">
        <v>15</v>
      </c>
      <c r="S30" s="4">
        <v>23</v>
      </c>
      <c r="T30" s="4">
        <v>0.65200000000000002</v>
      </c>
      <c r="U30" s="4">
        <v>2</v>
      </c>
      <c r="V30" s="4">
        <v>17</v>
      </c>
      <c r="W30" s="4">
        <v>24</v>
      </c>
      <c r="X30" s="4">
        <v>6</v>
      </c>
      <c r="Y30" s="4">
        <v>0</v>
      </c>
      <c r="Z30" s="4">
        <v>13</v>
      </c>
      <c r="AA30" s="4">
        <v>22</v>
      </c>
      <c r="AB30" s="4">
        <v>73</v>
      </c>
      <c r="AC30" s="5">
        <f t="shared" si="0"/>
        <v>1.8461538461538463</v>
      </c>
    </row>
    <row r="31" spans="1:29" ht="15.75" customHeight="1" x14ac:dyDescent="0.25">
      <c r="A31" s="1" t="s">
        <v>92</v>
      </c>
      <c r="B31" s="3" t="s">
        <v>93</v>
      </c>
      <c r="C31" s="4" t="s">
        <v>8</v>
      </c>
      <c r="D31" s="4">
        <v>7</v>
      </c>
      <c r="E31" s="4">
        <v>202</v>
      </c>
      <c r="F31" s="4">
        <v>7</v>
      </c>
      <c r="G31" s="4">
        <v>7</v>
      </c>
      <c r="H31" s="4">
        <v>202</v>
      </c>
      <c r="I31" s="4">
        <v>33</v>
      </c>
      <c r="J31" s="4">
        <v>82</v>
      </c>
      <c r="K31" s="4">
        <v>0.40200000000000002</v>
      </c>
      <c r="L31" s="4">
        <v>13</v>
      </c>
      <c r="M31" s="4">
        <v>31</v>
      </c>
      <c r="N31" s="4">
        <v>0.41899999999999998</v>
      </c>
      <c r="O31" s="4">
        <v>20</v>
      </c>
      <c r="P31" s="4">
        <v>51</v>
      </c>
      <c r="Q31" s="4">
        <v>0.39200000000000002</v>
      </c>
      <c r="R31" s="4">
        <v>32</v>
      </c>
      <c r="S31" s="4">
        <v>37</v>
      </c>
      <c r="T31" s="4">
        <v>0.86499999999999999</v>
      </c>
      <c r="U31" s="4">
        <v>6</v>
      </c>
      <c r="V31" s="4">
        <v>23</v>
      </c>
      <c r="W31" s="4">
        <v>41</v>
      </c>
      <c r="X31" s="4">
        <v>7</v>
      </c>
      <c r="Y31" s="4">
        <v>7</v>
      </c>
      <c r="Z31" s="4">
        <v>11</v>
      </c>
      <c r="AA31" s="4">
        <v>27</v>
      </c>
      <c r="AB31" s="4">
        <v>111</v>
      </c>
      <c r="AC31" s="5">
        <f t="shared" si="0"/>
        <v>3.7272727272727271</v>
      </c>
    </row>
    <row r="32" spans="1:29" ht="15.75" customHeight="1" x14ac:dyDescent="0.25">
      <c r="A32" s="1" t="s">
        <v>120</v>
      </c>
      <c r="B32" s="3" t="s">
        <v>95</v>
      </c>
      <c r="C32" s="4" t="s">
        <v>121</v>
      </c>
      <c r="D32" s="4">
        <v>8</v>
      </c>
      <c r="E32" s="4">
        <v>201</v>
      </c>
      <c r="F32" s="4">
        <v>8</v>
      </c>
      <c r="G32" s="4">
        <v>8</v>
      </c>
      <c r="H32" s="4">
        <v>201</v>
      </c>
      <c r="I32" s="4">
        <v>34</v>
      </c>
      <c r="J32" s="4">
        <v>48</v>
      </c>
      <c r="K32" s="4">
        <v>0.70799999999999996</v>
      </c>
      <c r="L32" s="4">
        <v>1</v>
      </c>
      <c r="M32" s="4">
        <v>2</v>
      </c>
      <c r="N32" s="4">
        <v>0.5</v>
      </c>
      <c r="O32" s="4">
        <v>33</v>
      </c>
      <c r="P32" s="4">
        <v>46</v>
      </c>
      <c r="Q32" s="4">
        <v>0.71699999999999997</v>
      </c>
      <c r="R32" s="4">
        <v>13</v>
      </c>
      <c r="S32" s="4">
        <v>16</v>
      </c>
      <c r="T32" s="4">
        <v>0.81299999999999994</v>
      </c>
      <c r="U32" s="4">
        <v>24</v>
      </c>
      <c r="V32" s="4">
        <v>65</v>
      </c>
      <c r="W32" s="4">
        <v>12</v>
      </c>
      <c r="X32" s="4">
        <v>5</v>
      </c>
      <c r="Y32" s="4">
        <v>13</v>
      </c>
      <c r="Z32" s="4">
        <v>7</v>
      </c>
      <c r="AA32" s="4">
        <v>23</v>
      </c>
      <c r="AB32" s="4">
        <v>82</v>
      </c>
      <c r="AC32" s="5">
        <f t="shared" si="0"/>
        <v>1.7142857142857142</v>
      </c>
    </row>
    <row r="33" spans="1:29" ht="15.75" customHeight="1" x14ac:dyDescent="0.25">
      <c r="A33" s="1" t="s">
        <v>117</v>
      </c>
      <c r="B33" s="3" t="s">
        <v>98</v>
      </c>
      <c r="C33" s="4" t="s">
        <v>87</v>
      </c>
      <c r="D33" s="4">
        <v>7</v>
      </c>
      <c r="E33" s="4">
        <v>200</v>
      </c>
      <c r="F33" s="4">
        <v>7</v>
      </c>
      <c r="G33" s="4">
        <v>7</v>
      </c>
      <c r="H33" s="4">
        <v>200</v>
      </c>
      <c r="I33" s="4">
        <v>55</v>
      </c>
      <c r="J33" s="4">
        <v>82</v>
      </c>
      <c r="K33" s="4">
        <v>0.67100000000000004</v>
      </c>
      <c r="L33" s="4">
        <v>0</v>
      </c>
      <c r="M33" s="4">
        <v>2</v>
      </c>
      <c r="N33" s="4">
        <v>0</v>
      </c>
      <c r="O33" s="4">
        <v>55</v>
      </c>
      <c r="P33" s="4">
        <v>80</v>
      </c>
      <c r="Q33" s="4">
        <v>0.68799999999999994</v>
      </c>
      <c r="R33" s="4">
        <v>14</v>
      </c>
      <c r="S33" s="4">
        <v>29</v>
      </c>
      <c r="T33" s="4">
        <v>0.48299999999999998</v>
      </c>
      <c r="U33" s="4">
        <v>27</v>
      </c>
      <c r="V33" s="4">
        <v>58</v>
      </c>
      <c r="W33" s="4">
        <v>28</v>
      </c>
      <c r="X33" s="4">
        <v>6</v>
      </c>
      <c r="Y33" s="4">
        <v>5</v>
      </c>
      <c r="Z33" s="4">
        <v>30</v>
      </c>
      <c r="AA33" s="4">
        <v>29</v>
      </c>
      <c r="AB33" s="4">
        <v>124</v>
      </c>
      <c r="AC33" s="5">
        <f t="shared" si="0"/>
        <v>0.93333333333333335</v>
      </c>
    </row>
    <row r="34" spans="1:29" ht="15.75" customHeight="1" x14ac:dyDescent="0.25">
      <c r="A34" s="1" t="s">
        <v>118</v>
      </c>
      <c r="B34" s="3" t="s">
        <v>119</v>
      </c>
      <c r="C34" s="4" t="s">
        <v>8</v>
      </c>
      <c r="D34" s="4">
        <v>7</v>
      </c>
      <c r="E34" s="4">
        <v>200</v>
      </c>
      <c r="F34" s="4">
        <v>7</v>
      </c>
      <c r="G34" s="4">
        <v>7</v>
      </c>
      <c r="H34" s="4">
        <v>200</v>
      </c>
      <c r="I34" s="4">
        <v>30</v>
      </c>
      <c r="J34" s="4">
        <v>87</v>
      </c>
      <c r="K34" s="4">
        <v>0.34499999999999997</v>
      </c>
      <c r="L34" s="4">
        <v>5</v>
      </c>
      <c r="M34" s="4">
        <v>27</v>
      </c>
      <c r="N34" s="4">
        <v>0.185</v>
      </c>
      <c r="O34" s="4">
        <v>25</v>
      </c>
      <c r="P34" s="4">
        <v>60</v>
      </c>
      <c r="Q34" s="4">
        <v>0.41699999999999998</v>
      </c>
      <c r="R34" s="4">
        <v>6</v>
      </c>
      <c r="S34" s="4">
        <v>7</v>
      </c>
      <c r="T34" s="4">
        <v>0.85699999999999998</v>
      </c>
      <c r="U34" s="4">
        <v>6</v>
      </c>
      <c r="V34" s="4">
        <v>31</v>
      </c>
      <c r="W34" s="4">
        <v>40</v>
      </c>
      <c r="X34" s="4">
        <v>6</v>
      </c>
      <c r="Y34" s="4">
        <v>4</v>
      </c>
      <c r="Z34" s="4">
        <v>13</v>
      </c>
      <c r="AA34" s="4">
        <v>18</v>
      </c>
      <c r="AB34" s="4">
        <v>71</v>
      </c>
      <c r="AC34" s="5">
        <f t="shared" si="0"/>
        <v>3.0769230769230771</v>
      </c>
    </row>
    <row r="35" spans="1:29" ht="15.75" customHeight="1" x14ac:dyDescent="0.25">
      <c r="A35" s="1" t="s">
        <v>143</v>
      </c>
      <c r="B35" s="3" t="s">
        <v>116</v>
      </c>
      <c r="C35" s="4" t="s">
        <v>90</v>
      </c>
      <c r="D35" s="4">
        <v>8</v>
      </c>
      <c r="E35" s="4">
        <v>199</v>
      </c>
      <c r="F35" s="4">
        <v>8</v>
      </c>
      <c r="G35" s="4">
        <v>8</v>
      </c>
      <c r="H35" s="4">
        <v>199</v>
      </c>
      <c r="I35" s="4">
        <v>17</v>
      </c>
      <c r="J35" s="4">
        <v>33</v>
      </c>
      <c r="K35" s="4">
        <v>0.51500000000000001</v>
      </c>
      <c r="L35" s="4">
        <v>6</v>
      </c>
      <c r="M35" s="4">
        <v>16</v>
      </c>
      <c r="N35" s="4">
        <v>0.375</v>
      </c>
      <c r="O35" s="4">
        <v>11</v>
      </c>
      <c r="P35" s="4">
        <v>17</v>
      </c>
      <c r="Q35" s="4">
        <v>0.64700000000000002</v>
      </c>
      <c r="R35" s="4">
        <v>18</v>
      </c>
      <c r="S35" s="4">
        <v>20</v>
      </c>
      <c r="T35" s="4">
        <v>0.9</v>
      </c>
      <c r="U35" s="4">
        <v>4</v>
      </c>
      <c r="V35" s="4">
        <v>30</v>
      </c>
      <c r="W35" s="4">
        <v>14</v>
      </c>
      <c r="X35" s="4">
        <v>4</v>
      </c>
      <c r="Y35" s="4">
        <v>9</v>
      </c>
      <c r="Z35" s="4">
        <v>10</v>
      </c>
      <c r="AA35" s="4">
        <v>28</v>
      </c>
      <c r="AB35" s="4">
        <v>58</v>
      </c>
      <c r="AC35" s="5">
        <f t="shared" si="0"/>
        <v>1.4</v>
      </c>
    </row>
    <row r="36" spans="1:29" ht="15.75" customHeight="1" x14ac:dyDescent="0.25">
      <c r="A36" s="1" t="s">
        <v>141</v>
      </c>
      <c r="B36" s="3" t="s">
        <v>142</v>
      </c>
      <c r="C36" s="4" t="s">
        <v>8</v>
      </c>
      <c r="D36" s="4">
        <v>6</v>
      </c>
      <c r="E36" s="4">
        <v>196</v>
      </c>
      <c r="F36" s="4">
        <v>6</v>
      </c>
      <c r="G36" s="4">
        <v>6</v>
      </c>
      <c r="H36" s="4">
        <v>196</v>
      </c>
      <c r="I36" s="4">
        <v>32</v>
      </c>
      <c r="J36" s="4">
        <v>62</v>
      </c>
      <c r="K36" s="4">
        <v>0.51600000000000001</v>
      </c>
      <c r="L36" s="4">
        <v>6</v>
      </c>
      <c r="M36" s="4">
        <v>22</v>
      </c>
      <c r="N36" s="4">
        <v>0.27300000000000002</v>
      </c>
      <c r="O36" s="4">
        <v>26</v>
      </c>
      <c r="P36" s="4">
        <v>40</v>
      </c>
      <c r="Q36" s="4">
        <v>0.65</v>
      </c>
      <c r="R36" s="4">
        <v>33</v>
      </c>
      <c r="S36" s="4">
        <v>39</v>
      </c>
      <c r="T36" s="4">
        <v>0.84599999999999997</v>
      </c>
      <c r="U36" s="4">
        <v>7</v>
      </c>
      <c r="V36" s="4">
        <v>23</v>
      </c>
      <c r="W36" s="4">
        <v>12</v>
      </c>
      <c r="X36" s="4">
        <v>9</v>
      </c>
      <c r="Y36" s="4">
        <v>3</v>
      </c>
      <c r="Z36" s="4">
        <v>14</v>
      </c>
      <c r="AA36" s="4">
        <v>11</v>
      </c>
      <c r="AB36" s="4">
        <v>103</v>
      </c>
      <c r="AC36" s="5">
        <f t="shared" si="0"/>
        <v>0.8571428571428571</v>
      </c>
    </row>
    <row r="37" spans="1:29" ht="15.75" customHeight="1" x14ac:dyDescent="0.25">
      <c r="A37" s="1" t="s">
        <v>147</v>
      </c>
      <c r="B37" s="3" t="s">
        <v>116</v>
      </c>
      <c r="C37" s="4" t="s">
        <v>8</v>
      </c>
      <c r="D37" s="4">
        <v>8</v>
      </c>
      <c r="E37" s="4">
        <v>196</v>
      </c>
      <c r="F37" s="4">
        <v>8</v>
      </c>
      <c r="G37" s="4">
        <v>5</v>
      </c>
      <c r="H37" s="4">
        <v>196</v>
      </c>
      <c r="I37" s="4">
        <v>25</v>
      </c>
      <c r="J37" s="4">
        <v>51</v>
      </c>
      <c r="K37" s="4">
        <v>0.49</v>
      </c>
      <c r="L37" s="4">
        <v>4</v>
      </c>
      <c r="M37" s="4">
        <v>13</v>
      </c>
      <c r="N37" s="4">
        <v>0.308</v>
      </c>
      <c r="O37" s="4">
        <v>21</v>
      </c>
      <c r="P37" s="4">
        <v>38</v>
      </c>
      <c r="Q37" s="4">
        <v>0.55300000000000005</v>
      </c>
      <c r="R37" s="4">
        <v>33</v>
      </c>
      <c r="S37" s="4">
        <v>42</v>
      </c>
      <c r="T37" s="4">
        <v>0.78600000000000003</v>
      </c>
      <c r="U37" s="4">
        <v>4</v>
      </c>
      <c r="V37" s="4">
        <v>15</v>
      </c>
      <c r="W37" s="4">
        <v>34</v>
      </c>
      <c r="X37" s="4">
        <v>10</v>
      </c>
      <c r="Y37" s="4">
        <v>2</v>
      </c>
      <c r="Z37" s="4">
        <v>16</v>
      </c>
      <c r="AA37" s="4">
        <v>22</v>
      </c>
      <c r="AB37" s="4">
        <v>87</v>
      </c>
      <c r="AC37" s="5">
        <f t="shared" si="0"/>
        <v>2.125</v>
      </c>
    </row>
    <row r="38" spans="1:29" ht="15.75" customHeight="1" x14ac:dyDescent="0.25">
      <c r="A38" s="1" t="s">
        <v>127</v>
      </c>
      <c r="B38" s="3" t="s">
        <v>119</v>
      </c>
      <c r="C38" s="4" t="s">
        <v>8</v>
      </c>
      <c r="D38" s="4">
        <v>7</v>
      </c>
      <c r="E38" s="4">
        <v>191</v>
      </c>
      <c r="F38" s="4">
        <v>7</v>
      </c>
      <c r="G38" s="4">
        <v>0</v>
      </c>
      <c r="H38" s="4">
        <v>191</v>
      </c>
      <c r="I38" s="4">
        <v>18</v>
      </c>
      <c r="J38" s="4">
        <v>56</v>
      </c>
      <c r="K38" s="4">
        <v>0.32100000000000001</v>
      </c>
      <c r="L38" s="4">
        <v>11</v>
      </c>
      <c r="M38" s="4">
        <v>40</v>
      </c>
      <c r="N38" s="4">
        <v>0.27500000000000002</v>
      </c>
      <c r="O38" s="4">
        <v>7</v>
      </c>
      <c r="P38" s="4">
        <v>16</v>
      </c>
      <c r="Q38" s="4">
        <v>0.438</v>
      </c>
      <c r="R38" s="4">
        <v>4</v>
      </c>
      <c r="S38" s="4">
        <v>8</v>
      </c>
      <c r="T38" s="4">
        <v>0.5</v>
      </c>
      <c r="U38" s="4">
        <v>0</v>
      </c>
      <c r="V38" s="4">
        <v>18</v>
      </c>
      <c r="W38" s="4">
        <v>11</v>
      </c>
      <c r="X38" s="4">
        <v>4</v>
      </c>
      <c r="Y38" s="4">
        <v>3</v>
      </c>
      <c r="Z38" s="4">
        <v>6</v>
      </c>
      <c r="AA38" s="4">
        <v>17</v>
      </c>
      <c r="AB38" s="4">
        <v>51</v>
      </c>
      <c r="AC38" s="5">
        <f t="shared" si="0"/>
        <v>1.8333333333333333</v>
      </c>
    </row>
    <row r="39" spans="1:29" ht="15.75" customHeight="1" x14ac:dyDescent="0.25">
      <c r="A39" s="1" t="s">
        <v>152</v>
      </c>
      <c r="B39" s="3" t="s">
        <v>95</v>
      </c>
      <c r="C39" s="4" t="s">
        <v>8</v>
      </c>
      <c r="D39" s="4">
        <v>8</v>
      </c>
      <c r="E39" s="4">
        <v>191</v>
      </c>
      <c r="F39" s="4">
        <v>8</v>
      </c>
      <c r="G39" s="4">
        <v>6</v>
      </c>
      <c r="H39" s="4">
        <v>191</v>
      </c>
      <c r="I39" s="4">
        <v>31</v>
      </c>
      <c r="J39" s="4">
        <v>71</v>
      </c>
      <c r="K39" s="4">
        <v>0.437</v>
      </c>
      <c r="L39" s="4">
        <v>23</v>
      </c>
      <c r="M39" s="4">
        <v>44</v>
      </c>
      <c r="N39" s="4">
        <v>0.52300000000000002</v>
      </c>
      <c r="O39" s="4">
        <v>8</v>
      </c>
      <c r="P39" s="4">
        <v>27</v>
      </c>
      <c r="Q39" s="4">
        <v>0.29599999999999999</v>
      </c>
      <c r="R39" s="4">
        <v>27</v>
      </c>
      <c r="S39" s="4">
        <v>30</v>
      </c>
      <c r="T39" s="4">
        <v>0.9</v>
      </c>
      <c r="U39" s="4">
        <v>5</v>
      </c>
      <c r="V39" s="4">
        <v>9</v>
      </c>
      <c r="W39" s="4">
        <v>15</v>
      </c>
      <c r="X39" s="4">
        <v>6</v>
      </c>
      <c r="Y39" s="4">
        <v>0</v>
      </c>
      <c r="Z39" s="4">
        <v>16</v>
      </c>
      <c r="AA39" s="4">
        <v>24</v>
      </c>
      <c r="AB39" s="4">
        <v>112</v>
      </c>
      <c r="AC39" s="5">
        <f t="shared" si="0"/>
        <v>0.9375</v>
      </c>
    </row>
    <row r="40" spans="1:29" ht="15.75" customHeight="1" x14ac:dyDescent="0.25">
      <c r="A40" s="1" t="s">
        <v>146</v>
      </c>
      <c r="B40" s="3" t="s">
        <v>130</v>
      </c>
      <c r="C40" s="4" t="s">
        <v>87</v>
      </c>
      <c r="D40" s="4">
        <v>6</v>
      </c>
      <c r="E40" s="4">
        <v>189</v>
      </c>
      <c r="F40" s="4">
        <v>6</v>
      </c>
      <c r="G40" s="4">
        <v>6</v>
      </c>
      <c r="H40" s="4">
        <v>189</v>
      </c>
      <c r="I40" s="4">
        <v>20</v>
      </c>
      <c r="J40" s="4">
        <v>46</v>
      </c>
      <c r="K40" s="4">
        <v>0.435</v>
      </c>
      <c r="L40" s="4">
        <v>3</v>
      </c>
      <c r="M40" s="4">
        <v>19</v>
      </c>
      <c r="N40" s="4">
        <v>0.158</v>
      </c>
      <c r="O40" s="4">
        <v>17</v>
      </c>
      <c r="P40" s="4">
        <v>27</v>
      </c>
      <c r="Q40" s="4">
        <v>0.63</v>
      </c>
      <c r="R40" s="4">
        <v>4</v>
      </c>
      <c r="S40" s="4">
        <v>9</v>
      </c>
      <c r="T40" s="4">
        <v>0.44400000000000001</v>
      </c>
      <c r="U40" s="4">
        <v>9</v>
      </c>
      <c r="V40" s="4">
        <v>30</v>
      </c>
      <c r="W40" s="4">
        <v>6</v>
      </c>
      <c r="X40" s="4">
        <v>2</v>
      </c>
      <c r="Y40" s="4">
        <v>0</v>
      </c>
      <c r="Z40" s="4">
        <v>9</v>
      </c>
      <c r="AA40" s="4">
        <v>11</v>
      </c>
      <c r="AB40" s="4">
        <v>47</v>
      </c>
      <c r="AC40" s="5">
        <f t="shared" si="0"/>
        <v>0.66666666666666663</v>
      </c>
    </row>
    <row r="41" spans="1:29" ht="15.75" customHeight="1" x14ac:dyDescent="0.25">
      <c r="A41" s="1" t="s">
        <v>122</v>
      </c>
      <c r="B41" s="3" t="s">
        <v>98</v>
      </c>
      <c r="C41" s="4" t="s">
        <v>87</v>
      </c>
      <c r="D41" s="4">
        <v>7</v>
      </c>
      <c r="E41" s="4">
        <v>187</v>
      </c>
      <c r="F41" s="4">
        <v>7</v>
      </c>
      <c r="G41" s="4">
        <v>7</v>
      </c>
      <c r="H41" s="4">
        <v>187</v>
      </c>
      <c r="I41" s="4">
        <v>25</v>
      </c>
      <c r="J41" s="4">
        <v>46</v>
      </c>
      <c r="K41" s="4">
        <v>0.54300000000000004</v>
      </c>
      <c r="L41" s="4">
        <v>10</v>
      </c>
      <c r="M41" s="4">
        <v>25</v>
      </c>
      <c r="N41" s="4">
        <v>0.4</v>
      </c>
      <c r="O41" s="4">
        <v>15</v>
      </c>
      <c r="P41" s="4">
        <v>21</v>
      </c>
      <c r="Q41" s="4">
        <v>0.71399999999999997</v>
      </c>
      <c r="R41" s="4">
        <v>1</v>
      </c>
      <c r="S41" s="4">
        <v>1</v>
      </c>
      <c r="T41" s="4">
        <v>1</v>
      </c>
      <c r="U41" s="4">
        <v>4</v>
      </c>
      <c r="V41" s="4">
        <v>39</v>
      </c>
      <c r="W41" s="4">
        <v>9</v>
      </c>
      <c r="X41" s="4">
        <v>4</v>
      </c>
      <c r="Y41" s="4">
        <v>8</v>
      </c>
      <c r="Z41" s="4">
        <v>8</v>
      </c>
      <c r="AA41" s="4">
        <v>23</v>
      </c>
      <c r="AB41" s="4">
        <v>61</v>
      </c>
      <c r="AC41" s="5">
        <f t="shared" si="0"/>
        <v>1.125</v>
      </c>
    </row>
    <row r="42" spans="1:29" ht="15.75" customHeight="1" x14ac:dyDescent="0.25">
      <c r="A42" s="1" t="s">
        <v>153</v>
      </c>
      <c r="B42" s="3" t="s">
        <v>130</v>
      </c>
      <c r="C42" s="4" t="s">
        <v>87</v>
      </c>
      <c r="D42" s="4">
        <v>6</v>
      </c>
      <c r="E42" s="4">
        <v>187</v>
      </c>
      <c r="F42" s="4">
        <v>6</v>
      </c>
      <c r="G42" s="4">
        <v>6</v>
      </c>
      <c r="H42" s="4">
        <v>187</v>
      </c>
      <c r="I42" s="4">
        <v>25</v>
      </c>
      <c r="J42" s="4">
        <v>62</v>
      </c>
      <c r="K42" s="4">
        <v>0.40300000000000002</v>
      </c>
      <c r="L42" s="4">
        <v>0</v>
      </c>
      <c r="M42" s="4">
        <v>5</v>
      </c>
      <c r="N42" s="4">
        <v>0</v>
      </c>
      <c r="O42" s="4">
        <v>25</v>
      </c>
      <c r="P42" s="4">
        <v>57</v>
      </c>
      <c r="Q42" s="4">
        <v>0.439</v>
      </c>
      <c r="R42" s="4">
        <v>24</v>
      </c>
      <c r="S42" s="4">
        <v>34</v>
      </c>
      <c r="T42" s="4">
        <v>0.70599999999999996</v>
      </c>
      <c r="U42" s="4">
        <v>33</v>
      </c>
      <c r="V42" s="4">
        <v>65</v>
      </c>
      <c r="W42" s="4">
        <v>18</v>
      </c>
      <c r="X42" s="4">
        <v>8</v>
      </c>
      <c r="Y42" s="4">
        <v>6</v>
      </c>
      <c r="Z42" s="4">
        <v>26</v>
      </c>
      <c r="AA42" s="4">
        <v>20</v>
      </c>
      <c r="AB42" s="4">
        <v>74</v>
      </c>
      <c r="AC42" s="5">
        <f t="shared" si="0"/>
        <v>0.69230769230769229</v>
      </c>
    </row>
    <row r="43" spans="1:29" ht="15.75" customHeight="1" x14ac:dyDescent="0.25">
      <c r="A43" s="1" t="s">
        <v>195</v>
      </c>
      <c r="B43" s="3" t="s">
        <v>164</v>
      </c>
      <c r="C43" s="4" t="s">
        <v>87</v>
      </c>
      <c r="D43" s="4">
        <v>8</v>
      </c>
      <c r="E43" s="4">
        <v>186</v>
      </c>
      <c r="F43" s="4">
        <v>8</v>
      </c>
      <c r="G43" s="4">
        <v>2</v>
      </c>
      <c r="H43" s="4">
        <v>186</v>
      </c>
      <c r="I43" s="4">
        <v>19</v>
      </c>
      <c r="J43" s="4">
        <v>63</v>
      </c>
      <c r="K43" s="4">
        <v>0.30199999999999999</v>
      </c>
      <c r="L43" s="4">
        <v>12</v>
      </c>
      <c r="M43" s="4">
        <v>37</v>
      </c>
      <c r="N43" s="4">
        <v>0.32400000000000001</v>
      </c>
      <c r="O43" s="4">
        <v>7</v>
      </c>
      <c r="P43" s="4">
        <v>26</v>
      </c>
      <c r="Q43" s="4">
        <v>0.26900000000000002</v>
      </c>
      <c r="R43" s="4">
        <v>4</v>
      </c>
      <c r="S43" s="4">
        <v>5</v>
      </c>
      <c r="T43" s="4">
        <v>0.8</v>
      </c>
      <c r="U43" s="4">
        <v>10</v>
      </c>
      <c r="V43" s="4">
        <v>29</v>
      </c>
      <c r="W43" s="4">
        <v>7</v>
      </c>
      <c r="X43" s="4">
        <v>2</v>
      </c>
      <c r="Y43" s="4">
        <v>1</v>
      </c>
      <c r="Z43" s="4">
        <v>9</v>
      </c>
      <c r="AA43" s="4">
        <v>19</v>
      </c>
      <c r="AB43" s="4">
        <v>54</v>
      </c>
      <c r="AC43" s="5">
        <f t="shared" si="0"/>
        <v>0.77777777777777779</v>
      </c>
    </row>
    <row r="44" spans="1:29" ht="15.75" customHeight="1" x14ac:dyDescent="0.25">
      <c r="A44" s="1" t="s">
        <v>172</v>
      </c>
      <c r="B44" s="3" t="s">
        <v>139</v>
      </c>
      <c r="C44" s="4" t="s">
        <v>87</v>
      </c>
      <c r="D44" s="4">
        <v>6</v>
      </c>
      <c r="E44" s="4">
        <v>185</v>
      </c>
      <c r="F44" s="4">
        <v>6</v>
      </c>
      <c r="G44" s="4">
        <v>6</v>
      </c>
      <c r="H44" s="4">
        <v>185</v>
      </c>
      <c r="I44" s="4">
        <v>38</v>
      </c>
      <c r="J44" s="4">
        <v>63</v>
      </c>
      <c r="K44" s="4">
        <v>0.60299999999999998</v>
      </c>
      <c r="L44" s="4">
        <v>4</v>
      </c>
      <c r="M44" s="4">
        <v>9</v>
      </c>
      <c r="N44" s="4">
        <v>0.44400000000000001</v>
      </c>
      <c r="O44" s="4">
        <v>34</v>
      </c>
      <c r="P44" s="4">
        <v>54</v>
      </c>
      <c r="Q44" s="4">
        <v>0.63</v>
      </c>
      <c r="R44" s="4">
        <v>31</v>
      </c>
      <c r="S44" s="4">
        <v>39</v>
      </c>
      <c r="T44" s="4">
        <v>0.79500000000000004</v>
      </c>
      <c r="U44" s="4">
        <v>13</v>
      </c>
      <c r="V44" s="4">
        <v>49</v>
      </c>
      <c r="W44" s="4">
        <v>16</v>
      </c>
      <c r="X44" s="4">
        <v>7</v>
      </c>
      <c r="Y44" s="4">
        <v>0</v>
      </c>
      <c r="Z44" s="4">
        <v>13</v>
      </c>
      <c r="AA44" s="4">
        <v>22</v>
      </c>
      <c r="AB44" s="4">
        <v>111</v>
      </c>
      <c r="AC44" s="5">
        <f t="shared" si="0"/>
        <v>1.2307692307692308</v>
      </c>
    </row>
    <row r="45" spans="1:29" ht="15.75" customHeight="1" x14ac:dyDescent="0.25">
      <c r="A45" s="1" t="s">
        <v>159</v>
      </c>
      <c r="B45" s="3" t="s">
        <v>160</v>
      </c>
      <c r="C45" s="4" t="s">
        <v>8</v>
      </c>
      <c r="D45" s="4">
        <v>6</v>
      </c>
      <c r="E45" s="4">
        <v>184</v>
      </c>
      <c r="F45" s="4">
        <v>6</v>
      </c>
      <c r="G45" s="4">
        <v>6</v>
      </c>
      <c r="H45" s="4">
        <v>184</v>
      </c>
      <c r="I45" s="4">
        <v>41</v>
      </c>
      <c r="J45" s="4">
        <v>100</v>
      </c>
      <c r="K45" s="4">
        <v>0.41</v>
      </c>
      <c r="L45" s="4">
        <v>18</v>
      </c>
      <c r="M45" s="4">
        <v>52</v>
      </c>
      <c r="N45" s="4">
        <v>0.34599999999999997</v>
      </c>
      <c r="O45" s="4">
        <v>23</v>
      </c>
      <c r="P45" s="4">
        <v>48</v>
      </c>
      <c r="Q45" s="4">
        <v>0.47899999999999998</v>
      </c>
      <c r="R45" s="4">
        <v>35</v>
      </c>
      <c r="S45" s="4">
        <v>36</v>
      </c>
      <c r="T45" s="4">
        <v>0.97199999999999998</v>
      </c>
      <c r="U45" s="4">
        <v>1</v>
      </c>
      <c r="V45" s="4">
        <v>26</v>
      </c>
      <c r="W45" s="4">
        <v>51</v>
      </c>
      <c r="X45" s="4">
        <v>8</v>
      </c>
      <c r="Y45" s="4">
        <v>6</v>
      </c>
      <c r="Z45" s="4">
        <v>31</v>
      </c>
      <c r="AA45" s="4">
        <v>21</v>
      </c>
      <c r="AB45" s="4">
        <v>135</v>
      </c>
      <c r="AC45" s="5">
        <f t="shared" si="0"/>
        <v>1.6451612903225807</v>
      </c>
    </row>
    <row r="46" spans="1:29" ht="15.75" customHeight="1" x14ac:dyDescent="0.25">
      <c r="A46" s="1" t="s">
        <v>150</v>
      </c>
      <c r="B46" s="3" t="s">
        <v>244</v>
      </c>
      <c r="C46" s="4" t="s">
        <v>87</v>
      </c>
      <c r="D46" s="4">
        <v>8</v>
      </c>
      <c r="E46" s="4">
        <v>184</v>
      </c>
      <c r="F46" s="4">
        <v>8</v>
      </c>
      <c r="G46" s="4">
        <v>8</v>
      </c>
      <c r="H46" s="4">
        <v>184</v>
      </c>
      <c r="I46" s="4">
        <v>24</v>
      </c>
      <c r="J46" s="4">
        <v>52</v>
      </c>
      <c r="K46" s="4">
        <v>0.46200000000000002</v>
      </c>
      <c r="L46" s="4">
        <v>9</v>
      </c>
      <c r="M46" s="4">
        <v>23</v>
      </c>
      <c r="N46" s="4">
        <v>0.39100000000000001</v>
      </c>
      <c r="O46" s="4">
        <v>15</v>
      </c>
      <c r="P46" s="4">
        <v>29</v>
      </c>
      <c r="Q46" s="4">
        <v>0.51700000000000002</v>
      </c>
      <c r="R46" s="4">
        <v>12</v>
      </c>
      <c r="S46" s="4">
        <v>14</v>
      </c>
      <c r="T46" s="4">
        <v>0.85699999999999998</v>
      </c>
      <c r="U46" s="4">
        <v>4</v>
      </c>
      <c r="V46" s="4">
        <v>27</v>
      </c>
      <c r="W46" s="4">
        <v>9</v>
      </c>
      <c r="X46" s="4">
        <v>11</v>
      </c>
      <c r="Y46" s="4">
        <v>18</v>
      </c>
      <c r="Z46" s="4">
        <v>16</v>
      </c>
      <c r="AA46" s="4">
        <v>21</v>
      </c>
      <c r="AB46" s="4">
        <v>69</v>
      </c>
      <c r="AC46" s="5">
        <f t="shared" si="0"/>
        <v>0.5625</v>
      </c>
    </row>
    <row r="47" spans="1:29" ht="15.75" customHeight="1" x14ac:dyDescent="0.25">
      <c r="A47" s="1" t="s">
        <v>169</v>
      </c>
      <c r="B47" s="3" t="s">
        <v>130</v>
      </c>
      <c r="C47" s="4" t="s">
        <v>8</v>
      </c>
      <c r="D47" s="4">
        <v>6</v>
      </c>
      <c r="E47" s="4">
        <v>182</v>
      </c>
      <c r="F47" s="4">
        <v>6</v>
      </c>
      <c r="G47" s="4">
        <v>6</v>
      </c>
      <c r="H47" s="4">
        <v>182</v>
      </c>
      <c r="I47" s="4">
        <v>26</v>
      </c>
      <c r="J47" s="4">
        <v>53</v>
      </c>
      <c r="K47" s="4">
        <v>0.49099999999999999</v>
      </c>
      <c r="L47" s="4">
        <v>6</v>
      </c>
      <c r="M47" s="4">
        <v>19</v>
      </c>
      <c r="N47" s="4">
        <v>0.316</v>
      </c>
      <c r="O47" s="4">
        <v>20</v>
      </c>
      <c r="P47" s="4">
        <v>34</v>
      </c>
      <c r="Q47" s="4">
        <v>0.58799999999999997</v>
      </c>
      <c r="R47" s="4">
        <v>13</v>
      </c>
      <c r="S47" s="4">
        <v>16</v>
      </c>
      <c r="T47" s="4">
        <v>0.81299999999999994</v>
      </c>
      <c r="U47" s="4">
        <v>3</v>
      </c>
      <c r="V47" s="4">
        <v>25</v>
      </c>
      <c r="W47" s="4">
        <v>41</v>
      </c>
      <c r="X47" s="4">
        <v>14</v>
      </c>
      <c r="Y47" s="4">
        <v>1</v>
      </c>
      <c r="Z47" s="4">
        <v>13</v>
      </c>
      <c r="AA47" s="4">
        <v>12</v>
      </c>
      <c r="AB47" s="4">
        <v>71</v>
      </c>
      <c r="AC47" s="5">
        <f t="shared" si="0"/>
        <v>3.1538461538461537</v>
      </c>
    </row>
    <row r="48" spans="1:29" ht="15.75" customHeight="1" x14ac:dyDescent="0.25">
      <c r="A48" s="1" t="s">
        <v>154</v>
      </c>
      <c r="B48" s="4" t="s">
        <v>133</v>
      </c>
      <c r="C48" s="4" t="s">
        <v>8</v>
      </c>
      <c r="D48" s="4">
        <v>7</v>
      </c>
      <c r="E48" s="4">
        <v>182</v>
      </c>
      <c r="F48" s="4">
        <v>7</v>
      </c>
      <c r="G48" s="4">
        <v>7</v>
      </c>
      <c r="H48" s="4">
        <v>182</v>
      </c>
      <c r="I48" s="4">
        <v>19</v>
      </c>
      <c r="J48" s="4">
        <v>44</v>
      </c>
      <c r="K48" s="4">
        <v>0.432</v>
      </c>
      <c r="L48" s="4">
        <v>6</v>
      </c>
      <c r="M48" s="4">
        <v>22</v>
      </c>
      <c r="N48" s="4">
        <v>0.27300000000000002</v>
      </c>
      <c r="O48" s="4">
        <v>13</v>
      </c>
      <c r="P48" s="4">
        <v>22</v>
      </c>
      <c r="Q48" s="4">
        <v>0.59099999999999997</v>
      </c>
      <c r="R48" s="4">
        <v>10</v>
      </c>
      <c r="S48" s="4">
        <v>10</v>
      </c>
      <c r="T48" s="4">
        <v>1</v>
      </c>
      <c r="U48" s="4">
        <v>1</v>
      </c>
      <c r="V48" s="4">
        <v>13</v>
      </c>
      <c r="W48" s="4">
        <v>15</v>
      </c>
      <c r="X48" s="4">
        <v>10</v>
      </c>
      <c r="Y48" s="4">
        <v>4</v>
      </c>
      <c r="Z48" s="4">
        <v>4</v>
      </c>
      <c r="AA48" s="4">
        <v>21</v>
      </c>
      <c r="AB48" s="4">
        <v>54</v>
      </c>
      <c r="AC48" s="5">
        <f t="shared" si="0"/>
        <v>3.75</v>
      </c>
    </row>
    <row r="49" spans="1:29" ht="15.75" customHeight="1" x14ac:dyDescent="0.25">
      <c r="A49" s="1" t="s">
        <v>149</v>
      </c>
      <c r="B49" s="3" t="s">
        <v>133</v>
      </c>
      <c r="C49" s="4" t="s">
        <v>8</v>
      </c>
      <c r="D49" s="4">
        <v>6</v>
      </c>
      <c r="E49" s="4">
        <v>181</v>
      </c>
      <c r="F49" s="4">
        <v>6</v>
      </c>
      <c r="G49" s="4">
        <v>6</v>
      </c>
      <c r="H49" s="4">
        <v>181</v>
      </c>
      <c r="I49" s="4">
        <v>31</v>
      </c>
      <c r="J49" s="4">
        <v>75</v>
      </c>
      <c r="K49" s="4">
        <v>0.41299999999999998</v>
      </c>
      <c r="L49" s="4">
        <v>6</v>
      </c>
      <c r="M49" s="4">
        <v>22</v>
      </c>
      <c r="N49" s="4">
        <v>0.27300000000000002</v>
      </c>
      <c r="O49" s="4">
        <v>25</v>
      </c>
      <c r="P49" s="4">
        <v>53</v>
      </c>
      <c r="Q49" s="4">
        <v>0.47199999999999998</v>
      </c>
      <c r="R49" s="4">
        <v>19</v>
      </c>
      <c r="S49" s="4">
        <v>27</v>
      </c>
      <c r="T49" s="4">
        <v>0.70399999999999996</v>
      </c>
      <c r="U49" s="4">
        <v>5</v>
      </c>
      <c r="V49" s="4">
        <v>27</v>
      </c>
      <c r="W49" s="4">
        <v>36</v>
      </c>
      <c r="X49" s="4">
        <v>6</v>
      </c>
      <c r="Y49" s="4">
        <v>7</v>
      </c>
      <c r="Z49" s="4">
        <v>7</v>
      </c>
      <c r="AA49" s="4">
        <v>15</v>
      </c>
      <c r="AB49" s="4">
        <v>87</v>
      </c>
      <c r="AC49" s="5">
        <f t="shared" si="0"/>
        <v>5.1428571428571432</v>
      </c>
    </row>
    <row r="50" spans="1:29" ht="15.75" customHeight="1" x14ac:dyDescent="0.25">
      <c r="A50" s="1" t="s">
        <v>207</v>
      </c>
      <c r="B50" s="4" t="s">
        <v>101</v>
      </c>
      <c r="C50" s="4" t="s">
        <v>8</v>
      </c>
      <c r="D50" s="4">
        <v>7</v>
      </c>
      <c r="E50" s="4">
        <v>181</v>
      </c>
      <c r="F50" s="4">
        <v>7</v>
      </c>
      <c r="G50" s="4">
        <v>1</v>
      </c>
      <c r="H50" s="4">
        <v>181</v>
      </c>
      <c r="I50" s="4">
        <v>36</v>
      </c>
      <c r="J50" s="4">
        <v>63</v>
      </c>
      <c r="K50" s="4">
        <v>0.57099999999999995</v>
      </c>
      <c r="L50" s="4">
        <v>13</v>
      </c>
      <c r="M50" s="4">
        <v>28</v>
      </c>
      <c r="N50" s="4">
        <v>0.46400000000000002</v>
      </c>
      <c r="O50" s="4">
        <v>23</v>
      </c>
      <c r="P50" s="4">
        <v>35</v>
      </c>
      <c r="Q50" s="4">
        <v>0.65700000000000003</v>
      </c>
      <c r="R50" s="4">
        <v>3</v>
      </c>
      <c r="S50" s="4">
        <v>4</v>
      </c>
      <c r="T50" s="4">
        <v>0.75</v>
      </c>
      <c r="U50" s="4">
        <v>3</v>
      </c>
      <c r="V50" s="4">
        <v>10</v>
      </c>
      <c r="W50" s="4">
        <v>9</v>
      </c>
      <c r="X50" s="4">
        <v>8</v>
      </c>
      <c r="Y50" s="4">
        <v>7</v>
      </c>
      <c r="Z50" s="4">
        <v>5</v>
      </c>
      <c r="AA50" s="4">
        <v>12</v>
      </c>
      <c r="AB50" s="4">
        <v>88</v>
      </c>
      <c r="AC50" s="5">
        <f t="shared" si="0"/>
        <v>1.8</v>
      </c>
    </row>
    <row r="51" spans="1:29" ht="15.75" customHeight="1" x14ac:dyDescent="0.25">
      <c r="A51" s="1" t="s">
        <v>129</v>
      </c>
      <c r="B51" s="3" t="s">
        <v>130</v>
      </c>
      <c r="C51" s="4" t="s">
        <v>8</v>
      </c>
      <c r="D51" s="4">
        <v>5</v>
      </c>
      <c r="E51" s="4">
        <v>180</v>
      </c>
      <c r="F51" s="4">
        <v>5</v>
      </c>
      <c r="G51" s="4">
        <v>5</v>
      </c>
      <c r="H51" s="4">
        <v>180</v>
      </c>
      <c r="I51" s="4">
        <v>25</v>
      </c>
      <c r="J51" s="4">
        <v>65</v>
      </c>
      <c r="K51" s="4">
        <v>0.38500000000000001</v>
      </c>
      <c r="L51" s="4">
        <v>14</v>
      </c>
      <c r="M51" s="4">
        <v>39</v>
      </c>
      <c r="N51" s="4">
        <v>0.35899999999999999</v>
      </c>
      <c r="O51" s="4">
        <v>11</v>
      </c>
      <c r="P51" s="4">
        <v>26</v>
      </c>
      <c r="Q51" s="4">
        <v>0.42299999999999999</v>
      </c>
      <c r="R51" s="4">
        <v>21</v>
      </c>
      <c r="S51" s="4">
        <v>23</v>
      </c>
      <c r="T51" s="4">
        <v>0.91300000000000003</v>
      </c>
      <c r="U51" s="4">
        <v>6</v>
      </c>
      <c r="V51" s="4">
        <v>23</v>
      </c>
      <c r="W51" s="4">
        <v>21</v>
      </c>
      <c r="X51" s="4">
        <v>10</v>
      </c>
      <c r="Y51" s="4">
        <v>5</v>
      </c>
      <c r="Z51" s="4">
        <v>9</v>
      </c>
      <c r="AA51" s="4">
        <v>14</v>
      </c>
      <c r="AB51" s="4">
        <v>85</v>
      </c>
      <c r="AC51" s="5">
        <f t="shared" si="0"/>
        <v>2.3333333333333335</v>
      </c>
    </row>
    <row r="52" spans="1:29" ht="15.75" customHeight="1" x14ac:dyDescent="0.25">
      <c r="A52" s="1" t="s">
        <v>107</v>
      </c>
      <c r="B52" s="3" t="s">
        <v>93</v>
      </c>
      <c r="C52" s="4" t="s">
        <v>87</v>
      </c>
      <c r="D52" s="4">
        <v>7</v>
      </c>
      <c r="E52" s="4">
        <v>180</v>
      </c>
      <c r="F52" s="4">
        <v>7</v>
      </c>
      <c r="G52" s="4">
        <v>7</v>
      </c>
      <c r="H52" s="4">
        <v>180</v>
      </c>
      <c r="I52" s="4">
        <v>21</v>
      </c>
      <c r="J52" s="4">
        <v>56</v>
      </c>
      <c r="K52" s="4">
        <v>0.375</v>
      </c>
      <c r="L52" s="4">
        <v>8</v>
      </c>
      <c r="M52" s="4">
        <v>27</v>
      </c>
      <c r="N52" s="4">
        <v>0.29599999999999999</v>
      </c>
      <c r="O52" s="4">
        <v>13</v>
      </c>
      <c r="P52" s="4">
        <v>29</v>
      </c>
      <c r="Q52" s="4">
        <v>0.44800000000000001</v>
      </c>
      <c r="R52" s="4">
        <v>8</v>
      </c>
      <c r="S52" s="4">
        <v>9</v>
      </c>
      <c r="T52" s="4">
        <v>0.88900000000000001</v>
      </c>
      <c r="U52" s="4">
        <v>10</v>
      </c>
      <c r="V52" s="4">
        <v>35</v>
      </c>
      <c r="W52" s="4">
        <v>4</v>
      </c>
      <c r="X52" s="4">
        <v>5</v>
      </c>
      <c r="Y52" s="4">
        <v>3</v>
      </c>
      <c r="Z52" s="4">
        <v>7</v>
      </c>
      <c r="AA52" s="4">
        <v>17</v>
      </c>
      <c r="AB52" s="4">
        <v>58</v>
      </c>
      <c r="AC52" s="5">
        <f t="shared" si="0"/>
        <v>0.5714285714285714</v>
      </c>
    </row>
    <row r="53" spans="1:29" ht="15.75" customHeight="1" x14ac:dyDescent="0.25">
      <c r="A53" s="1" t="s">
        <v>161</v>
      </c>
      <c r="B53" s="3" t="s">
        <v>142</v>
      </c>
      <c r="C53" s="4" t="s">
        <v>90</v>
      </c>
      <c r="D53" s="4">
        <v>6</v>
      </c>
      <c r="E53" s="4">
        <v>179</v>
      </c>
      <c r="F53" s="4">
        <v>6</v>
      </c>
      <c r="G53" s="4">
        <v>6</v>
      </c>
      <c r="H53" s="4">
        <v>179</v>
      </c>
      <c r="I53" s="4">
        <v>34</v>
      </c>
      <c r="J53" s="4">
        <v>67</v>
      </c>
      <c r="K53" s="4">
        <v>0.50700000000000001</v>
      </c>
      <c r="L53" s="4">
        <v>2</v>
      </c>
      <c r="M53" s="4">
        <v>6</v>
      </c>
      <c r="N53" s="4">
        <v>0.33300000000000002</v>
      </c>
      <c r="O53" s="4">
        <v>32</v>
      </c>
      <c r="P53" s="4">
        <v>61</v>
      </c>
      <c r="Q53" s="4">
        <v>0.52500000000000002</v>
      </c>
      <c r="R53" s="4">
        <v>25</v>
      </c>
      <c r="S53" s="4">
        <v>34</v>
      </c>
      <c r="T53" s="4">
        <v>0.73499999999999999</v>
      </c>
      <c r="U53" s="4">
        <v>5</v>
      </c>
      <c r="V53" s="4">
        <v>51</v>
      </c>
      <c r="W53" s="4">
        <v>17</v>
      </c>
      <c r="X53" s="4">
        <v>5</v>
      </c>
      <c r="Y53" s="4">
        <v>8</v>
      </c>
      <c r="Z53" s="4">
        <v>13</v>
      </c>
      <c r="AA53" s="4">
        <v>14</v>
      </c>
      <c r="AB53" s="4">
        <v>95</v>
      </c>
      <c r="AC53" s="5">
        <f t="shared" si="0"/>
        <v>1.3076923076923077</v>
      </c>
    </row>
    <row r="54" spans="1:29" ht="15.75" customHeight="1" x14ac:dyDescent="0.25">
      <c r="A54" s="1" t="s">
        <v>137</v>
      </c>
      <c r="B54" s="4" t="s">
        <v>244</v>
      </c>
      <c r="C54" s="4" t="s">
        <v>90</v>
      </c>
      <c r="D54" s="4">
        <v>8</v>
      </c>
      <c r="E54" s="4">
        <v>179</v>
      </c>
      <c r="F54" s="4">
        <v>8</v>
      </c>
      <c r="G54" s="4">
        <v>8</v>
      </c>
      <c r="H54" s="4">
        <v>179</v>
      </c>
      <c r="I54" s="4">
        <v>17</v>
      </c>
      <c r="J54" s="4">
        <v>54</v>
      </c>
      <c r="K54" s="4">
        <v>0.315</v>
      </c>
      <c r="L54" s="4">
        <v>7</v>
      </c>
      <c r="M54" s="4">
        <v>26</v>
      </c>
      <c r="N54" s="4">
        <v>0.26900000000000002</v>
      </c>
      <c r="O54" s="4">
        <v>10</v>
      </c>
      <c r="P54" s="4">
        <v>28</v>
      </c>
      <c r="Q54" s="4">
        <v>0.35699999999999998</v>
      </c>
      <c r="R54" s="4">
        <v>7</v>
      </c>
      <c r="S54" s="4">
        <v>7</v>
      </c>
      <c r="T54" s="4">
        <v>1</v>
      </c>
      <c r="U54" s="4">
        <v>4</v>
      </c>
      <c r="V54" s="4">
        <v>31</v>
      </c>
      <c r="W54" s="4">
        <v>15</v>
      </c>
      <c r="X54" s="4">
        <v>6</v>
      </c>
      <c r="Y54" s="4">
        <v>4</v>
      </c>
      <c r="Z54" s="4">
        <v>8</v>
      </c>
      <c r="AA54" s="4">
        <v>24</v>
      </c>
      <c r="AB54" s="4">
        <v>48</v>
      </c>
      <c r="AC54" s="5">
        <f t="shared" si="0"/>
        <v>1.875</v>
      </c>
    </row>
    <row r="55" spans="1:29" ht="15.75" customHeight="1" x14ac:dyDescent="0.25">
      <c r="A55" s="1" t="s">
        <v>128</v>
      </c>
      <c r="B55" s="3" t="s">
        <v>109</v>
      </c>
      <c r="C55" s="4" t="s">
        <v>87</v>
      </c>
      <c r="D55" s="4">
        <v>9</v>
      </c>
      <c r="E55" s="4">
        <v>179</v>
      </c>
      <c r="F55" s="4">
        <v>9</v>
      </c>
      <c r="G55" s="4">
        <v>9</v>
      </c>
      <c r="H55" s="4">
        <v>179</v>
      </c>
      <c r="I55" s="4">
        <v>20</v>
      </c>
      <c r="J55" s="4">
        <v>68</v>
      </c>
      <c r="K55" s="4">
        <v>0.29399999999999998</v>
      </c>
      <c r="L55" s="4">
        <v>7</v>
      </c>
      <c r="M55" s="4">
        <v>27</v>
      </c>
      <c r="N55" s="4">
        <v>0.25900000000000001</v>
      </c>
      <c r="O55" s="4">
        <v>13</v>
      </c>
      <c r="P55" s="4">
        <v>41</v>
      </c>
      <c r="Q55" s="4">
        <v>0.317</v>
      </c>
      <c r="R55" s="4">
        <v>24</v>
      </c>
      <c r="S55" s="4">
        <v>29</v>
      </c>
      <c r="T55" s="4">
        <v>0.82799999999999996</v>
      </c>
      <c r="U55" s="4">
        <v>4</v>
      </c>
      <c r="V55" s="4">
        <v>19</v>
      </c>
      <c r="W55" s="4">
        <v>7</v>
      </c>
      <c r="X55" s="4">
        <v>9</v>
      </c>
      <c r="Y55" s="4">
        <v>1</v>
      </c>
      <c r="Z55" s="4">
        <v>12</v>
      </c>
      <c r="AA55" s="4">
        <v>28</v>
      </c>
      <c r="AB55" s="4">
        <v>71</v>
      </c>
      <c r="AC55" s="5">
        <f t="shared" si="0"/>
        <v>0.58333333333333337</v>
      </c>
    </row>
    <row r="56" spans="1:29" ht="15.75" customHeight="1" x14ac:dyDescent="0.25">
      <c r="A56" s="1" t="s">
        <v>180</v>
      </c>
      <c r="B56" s="3" t="s">
        <v>133</v>
      </c>
      <c r="C56" s="4" t="s">
        <v>90</v>
      </c>
      <c r="D56" s="4">
        <v>7</v>
      </c>
      <c r="E56" s="4">
        <v>178</v>
      </c>
      <c r="F56" s="4">
        <v>7</v>
      </c>
      <c r="G56" s="4">
        <v>7</v>
      </c>
      <c r="H56" s="4">
        <v>178</v>
      </c>
      <c r="I56" s="4">
        <v>33</v>
      </c>
      <c r="J56" s="4">
        <v>64</v>
      </c>
      <c r="K56" s="4">
        <v>0.51600000000000001</v>
      </c>
      <c r="L56" s="4">
        <v>0</v>
      </c>
      <c r="M56" s="4">
        <v>0</v>
      </c>
      <c r="N56" s="4">
        <v>0</v>
      </c>
      <c r="O56" s="4">
        <v>33</v>
      </c>
      <c r="P56" s="4">
        <v>64</v>
      </c>
      <c r="Q56" s="4">
        <v>0.51600000000000001</v>
      </c>
      <c r="R56" s="4">
        <v>25</v>
      </c>
      <c r="S56" s="4">
        <v>35</v>
      </c>
      <c r="T56" s="4">
        <v>0.71399999999999997</v>
      </c>
      <c r="U56" s="4">
        <v>23</v>
      </c>
      <c r="V56" s="4">
        <v>64</v>
      </c>
      <c r="W56" s="4">
        <v>15</v>
      </c>
      <c r="X56" s="4">
        <v>2</v>
      </c>
      <c r="Y56" s="4">
        <v>8</v>
      </c>
      <c r="Z56" s="4">
        <v>8</v>
      </c>
      <c r="AA56" s="4">
        <v>21</v>
      </c>
      <c r="AB56" s="4">
        <v>91</v>
      </c>
      <c r="AC56" s="5">
        <f t="shared" si="0"/>
        <v>1.875</v>
      </c>
    </row>
    <row r="57" spans="1:29" ht="15.75" customHeight="1" x14ac:dyDescent="0.25">
      <c r="A57" s="1" t="s">
        <v>112</v>
      </c>
      <c r="B57" s="3" t="s">
        <v>93</v>
      </c>
      <c r="C57" s="4" t="s">
        <v>87</v>
      </c>
      <c r="D57" s="4">
        <v>7</v>
      </c>
      <c r="E57" s="4">
        <v>177</v>
      </c>
      <c r="F57" s="4">
        <v>7</v>
      </c>
      <c r="G57" s="4">
        <v>7</v>
      </c>
      <c r="H57" s="4">
        <v>177</v>
      </c>
      <c r="I57" s="4">
        <v>33</v>
      </c>
      <c r="J57" s="4">
        <v>82</v>
      </c>
      <c r="K57" s="4">
        <v>0.40200000000000002</v>
      </c>
      <c r="L57" s="4">
        <v>15</v>
      </c>
      <c r="M57" s="4">
        <v>38</v>
      </c>
      <c r="N57" s="4">
        <v>0.39500000000000002</v>
      </c>
      <c r="O57" s="4">
        <v>18</v>
      </c>
      <c r="P57" s="4">
        <v>44</v>
      </c>
      <c r="Q57" s="4">
        <v>0.40899999999999997</v>
      </c>
      <c r="R57" s="4">
        <v>19</v>
      </c>
      <c r="S57" s="4">
        <v>26</v>
      </c>
      <c r="T57" s="4">
        <v>0.73099999999999998</v>
      </c>
      <c r="U57" s="4">
        <v>6</v>
      </c>
      <c r="V57" s="4">
        <v>26</v>
      </c>
      <c r="W57" s="4">
        <v>20</v>
      </c>
      <c r="X57" s="4">
        <v>13</v>
      </c>
      <c r="Y57" s="4">
        <v>2</v>
      </c>
      <c r="Z57" s="4">
        <v>12</v>
      </c>
      <c r="AA57" s="4">
        <v>7</v>
      </c>
      <c r="AB57" s="4">
        <v>100</v>
      </c>
      <c r="AC57" s="5">
        <f t="shared" si="0"/>
        <v>1.6666666666666667</v>
      </c>
    </row>
    <row r="58" spans="1:29" ht="15.75" customHeight="1" x14ac:dyDescent="0.25">
      <c r="A58" s="1" t="s">
        <v>144</v>
      </c>
      <c r="B58" s="3" t="s">
        <v>244</v>
      </c>
      <c r="C58" s="4" t="s">
        <v>87</v>
      </c>
      <c r="D58" s="4">
        <v>8</v>
      </c>
      <c r="E58" s="4">
        <v>173</v>
      </c>
      <c r="F58" s="4">
        <v>8</v>
      </c>
      <c r="G58" s="4">
        <v>8</v>
      </c>
      <c r="H58" s="4">
        <v>173</v>
      </c>
      <c r="I58" s="4">
        <v>16</v>
      </c>
      <c r="J58" s="4">
        <v>44</v>
      </c>
      <c r="K58" s="4">
        <v>0.36399999999999999</v>
      </c>
      <c r="L58" s="4">
        <v>4</v>
      </c>
      <c r="M58" s="4">
        <v>17</v>
      </c>
      <c r="N58" s="4">
        <v>0.23499999999999999</v>
      </c>
      <c r="O58" s="4">
        <v>12</v>
      </c>
      <c r="P58" s="4">
        <v>27</v>
      </c>
      <c r="Q58" s="4">
        <v>0.44400000000000001</v>
      </c>
      <c r="R58" s="4">
        <v>4</v>
      </c>
      <c r="S58" s="4">
        <v>8</v>
      </c>
      <c r="T58" s="4">
        <v>0.5</v>
      </c>
      <c r="U58" s="4">
        <v>9</v>
      </c>
      <c r="V58" s="4">
        <v>17</v>
      </c>
      <c r="W58" s="4">
        <v>7</v>
      </c>
      <c r="X58" s="4">
        <v>9</v>
      </c>
      <c r="Y58" s="4">
        <v>1</v>
      </c>
      <c r="Z58" s="4">
        <v>8</v>
      </c>
      <c r="AA58" s="4">
        <v>20</v>
      </c>
      <c r="AB58" s="4">
        <v>40</v>
      </c>
      <c r="AC58" s="5">
        <f t="shared" si="0"/>
        <v>0.875</v>
      </c>
    </row>
    <row r="59" spans="1:29" ht="15.75" customHeight="1" x14ac:dyDescent="0.25">
      <c r="A59" s="1" t="s">
        <v>235</v>
      </c>
      <c r="B59" s="3" t="s">
        <v>133</v>
      </c>
      <c r="C59" s="4" t="s">
        <v>8</v>
      </c>
      <c r="D59" s="4">
        <v>6</v>
      </c>
      <c r="E59" s="4">
        <v>171</v>
      </c>
      <c r="F59" s="4">
        <v>6</v>
      </c>
      <c r="G59" s="4">
        <v>4</v>
      </c>
      <c r="H59" s="4">
        <v>171</v>
      </c>
      <c r="I59" s="4">
        <v>26</v>
      </c>
      <c r="J59" s="4">
        <v>50</v>
      </c>
      <c r="K59" s="4">
        <v>0.52</v>
      </c>
      <c r="L59" s="4">
        <v>5</v>
      </c>
      <c r="M59" s="4">
        <v>18</v>
      </c>
      <c r="N59" s="4">
        <v>0.27800000000000002</v>
      </c>
      <c r="O59" s="4">
        <v>21</v>
      </c>
      <c r="P59" s="4">
        <v>32</v>
      </c>
      <c r="Q59" s="4">
        <v>0.65600000000000003</v>
      </c>
      <c r="R59" s="4">
        <v>13</v>
      </c>
      <c r="S59" s="4">
        <v>18</v>
      </c>
      <c r="T59" s="4">
        <v>0.72199999999999998</v>
      </c>
      <c r="U59" s="4">
        <v>2</v>
      </c>
      <c r="V59" s="4">
        <v>28</v>
      </c>
      <c r="W59" s="4">
        <v>29</v>
      </c>
      <c r="X59" s="4">
        <v>5</v>
      </c>
      <c r="Y59" s="4">
        <v>2</v>
      </c>
      <c r="Z59" s="4">
        <v>18</v>
      </c>
      <c r="AA59" s="4">
        <v>25</v>
      </c>
      <c r="AB59" s="4">
        <v>70</v>
      </c>
      <c r="AC59" s="5">
        <f t="shared" si="0"/>
        <v>1.6111111111111112</v>
      </c>
    </row>
    <row r="60" spans="1:29" ht="15.75" customHeight="1" x14ac:dyDescent="0.25">
      <c r="A60" s="1" t="s">
        <v>170</v>
      </c>
      <c r="B60" s="3" t="s">
        <v>133</v>
      </c>
      <c r="C60" s="4" t="s">
        <v>8</v>
      </c>
      <c r="D60" s="4">
        <v>6</v>
      </c>
      <c r="E60" s="4">
        <v>170</v>
      </c>
      <c r="F60" s="4">
        <v>6</v>
      </c>
      <c r="G60" s="4">
        <v>6</v>
      </c>
      <c r="H60" s="4">
        <v>170</v>
      </c>
      <c r="I60" s="4">
        <v>21</v>
      </c>
      <c r="J60" s="4">
        <v>49</v>
      </c>
      <c r="K60" s="4">
        <v>0.42899999999999999</v>
      </c>
      <c r="L60" s="4">
        <v>4</v>
      </c>
      <c r="M60" s="4">
        <v>12</v>
      </c>
      <c r="N60" s="4">
        <v>0.33300000000000002</v>
      </c>
      <c r="O60" s="4">
        <v>17</v>
      </c>
      <c r="P60" s="4">
        <v>37</v>
      </c>
      <c r="Q60" s="4">
        <v>0.45900000000000002</v>
      </c>
      <c r="R60" s="4">
        <v>23</v>
      </c>
      <c r="S60" s="4">
        <v>26</v>
      </c>
      <c r="T60" s="4">
        <v>0.88500000000000001</v>
      </c>
      <c r="U60" s="4">
        <v>5</v>
      </c>
      <c r="V60" s="4">
        <v>32</v>
      </c>
      <c r="W60" s="4">
        <v>7</v>
      </c>
      <c r="X60" s="4">
        <v>7</v>
      </c>
      <c r="Y60" s="4">
        <v>0</v>
      </c>
      <c r="Z60" s="4">
        <v>7</v>
      </c>
      <c r="AA60" s="4">
        <v>16</v>
      </c>
      <c r="AB60" s="4">
        <v>69</v>
      </c>
      <c r="AC60" s="5">
        <f t="shared" si="0"/>
        <v>1</v>
      </c>
    </row>
    <row r="61" spans="1:29" ht="15.75" customHeight="1" x14ac:dyDescent="0.25">
      <c r="A61" s="1" t="s">
        <v>176</v>
      </c>
      <c r="B61" s="3" t="s">
        <v>142</v>
      </c>
      <c r="C61" s="4" t="s">
        <v>87</v>
      </c>
      <c r="D61" s="4">
        <v>6</v>
      </c>
      <c r="E61" s="4">
        <v>168</v>
      </c>
      <c r="F61" s="4">
        <v>6</v>
      </c>
      <c r="G61" s="4">
        <v>6</v>
      </c>
      <c r="H61" s="4">
        <v>168</v>
      </c>
      <c r="I61" s="4">
        <v>34</v>
      </c>
      <c r="J61" s="4">
        <v>60</v>
      </c>
      <c r="K61" s="4">
        <v>0.56699999999999995</v>
      </c>
      <c r="L61" s="4">
        <v>3</v>
      </c>
      <c r="M61" s="4">
        <v>7</v>
      </c>
      <c r="N61" s="4">
        <v>0.42899999999999999</v>
      </c>
      <c r="O61" s="4">
        <v>31</v>
      </c>
      <c r="P61" s="4">
        <v>53</v>
      </c>
      <c r="Q61" s="4">
        <v>0.58499999999999996</v>
      </c>
      <c r="R61" s="4">
        <v>21</v>
      </c>
      <c r="S61" s="4">
        <v>30</v>
      </c>
      <c r="T61" s="4">
        <v>0.7</v>
      </c>
      <c r="U61" s="4">
        <v>19</v>
      </c>
      <c r="V61" s="4">
        <v>64</v>
      </c>
      <c r="W61" s="4">
        <v>9</v>
      </c>
      <c r="X61" s="4">
        <v>5</v>
      </c>
      <c r="Y61" s="4">
        <v>3</v>
      </c>
      <c r="Z61" s="4">
        <v>13</v>
      </c>
      <c r="AA61" s="4">
        <v>22</v>
      </c>
      <c r="AB61" s="4">
        <v>92</v>
      </c>
      <c r="AC61" s="5">
        <f t="shared" si="0"/>
        <v>0.69230769230769229</v>
      </c>
    </row>
    <row r="62" spans="1:29" ht="15.75" customHeight="1" x14ac:dyDescent="0.25">
      <c r="A62" s="1" t="s">
        <v>145</v>
      </c>
      <c r="B62" s="3" t="s">
        <v>93</v>
      </c>
      <c r="C62" s="4" t="s">
        <v>87</v>
      </c>
      <c r="D62" s="4">
        <v>7</v>
      </c>
      <c r="E62" s="4">
        <v>168</v>
      </c>
      <c r="F62" s="4">
        <v>7</v>
      </c>
      <c r="G62" s="4">
        <v>0</v>
      </c>
      <c r="H62" s="4">
        <v>168</v>
      </c>
      <c r="I62" s="4">
        <v>29</v>
      </c>
      <c r="J62" s="4">
        <v>75</v>
      </c>
      <c r="K62" s="4">
        <v>0.38700000000000001</v>
      </c>
      <c r="L62" s="4">
        <v>16</v>
      </c>
      <c r="M62" s="4">
        <v>45</v>
      </c>
      <c r="N62" s="4">
        <v>0.35599999999999998</v>
      </c>
      <c r="O62" s="4">
        <v>13</v>
      </c>
      <c r="P62" s="4">
        <v>30</v>
      </c>
      <c r="Q62" s="4">
        <v>0.433</v>
      </c>
      <c r="R62" s="4">
        <v>17</v>
      </c>
      <c r="S62" s="4">
        <v>25</v>
      </c>
      <c r="T62" s="4">
        <v>0.68</v>
      </c>
      <c r="U62" s="4">
        <v>7</v>
      </c>
      <c r="V62" s="4">
        <v>25</v>
      </c>
      <c r="W62" s="4">
        <v>9</v>
      </c>
      <c r="X62" s="4">
        <v>6</v>
      </c>
      <c r="Y62" s="4">
        <v>1</v>
      </c>
      <c r="Z62" s="4">
        <v>5</v>
      </c>
      <c r="AA62" s="4">
        <v>16</v>
      </c>
      <c r="AB62" s="4">
        <v>91</v>
      </c>
      <c r="AC62" s="5">
        <f t="shared" si="0"/>
        <v>1.8</v>
      </c>
    </row>
    <row r="63" spans="1:29" ht="15.75" customHeight="1" x14ac:dyDescent="0.25">
      <c r="A63" s="1" t="s">
        <v>148</v>
      </c>
      <c r="B63" s="3" t="s">
        <v>244</v>
      </c>
      <c r="C63" s="4" t="s">
        <v>8</v>
      </c>
      <c r="D63" s="4">
        <v>8</v>
      </c>
      <c r="E63" s="4">
        <v>166</v>
      </c>
      <c r="F63" s="4">
        <v>8</v>
      </c>
      <c r="G63" s="4">
        <v>0</v>
      </c>
      <c r="H63" s="4">
        <v>166</v>
      </c>
      <c r="I63" s="4">
        <v>29</v>
      </c>
      <c r="J63" s="4">
        <v>54</v>
      </c>
      <c r="K63" s="4">
        <v>0.53700000000000003</v>
      </c>
      <c r="L63" s="4">
        <v>8</v>
      </c>
      <c r="M63" s="4">
        <v>15</v>
      </c>
      <c r="N63" s="4">
        <v>0.53300000000000003</v>
      </c>
      <c r="O63" s="4">
        <v>21</v>
      </c>
      <c r="P63" s="4">
        <v>39</v>
      </c>
      <c r="Q63" s="4">
        <v>0.53800000000000003</v>
      </c>
      <c r="R63" s="4">
        <v>7</v>
      </c>
      <c r="S63" s="4">
        <v>11</v>
      </c>
      <c r="T63" s="4">
        <v>0.63600000000000001</v>
      </c>
      <c r="U63" s="4">
        <v>10</v>
      </c>
      <c r="V63" s="4">
        <v>38</v>
      </c>
      <c r="W63" s="4">
        <v>14</v>
      </c>
      <c r="X63" s="4">
        <v>9</v>
      </c>
      <c r="Y63" s="4">
        <v>2</v>
      </c>
      <c r="Z63" s="4">
        <v>14</v>
      </c>
      <c r="AA63" s="4">
        <v>19</v>
      </c>
      <c r="AB63" s="4">
        <v>73</v>
      </c>
      <c r="AC63" s="5">
        <f t="shared" si="0"/>
        <v>1</v>
      </c>
    </row>
    <row r="64" spans="1:29" ht="15.75" customHeight="1" x14ac:dyDescent="0.25">
      <c r="A64" s="1" t="s">
        <v>179</v>
      </c>
      <c r="B64" s="3" t="s">
        <v>160</v>
      </c>
      <c r="C64" s="4" t="s">
        <v>8</v>
      </c>
      <c r="D64" s="4">
        <v>7</v>
      </c>
      <c r="E64" s="4">
        <v>166</v>
      </c>
      <c r="F64" s="4">
        <v>7</v>
      </c>
      <c r="G64" s="4">
        <v>3</v>
      </c>
      <c r="H64" s="4">
        <v>166</v>
      </c>
      <c r="I64" s="4">
        <v>22</v>
      </c>
      <c r="J64" s="4">
        <v>49</v>
      </c>
      <c r="K64" s="4">
        <v>0.44900000000000001</v>
      </c>
      <c r="L64" s="4">
        <v>8</v>
      </c>
      <c r="M64" s="4">
        <v>30</v>
      </c>
      <c r="N64" s="4">
        <v>0.26700000000000002</v>
      </c>
      <c r="O64" s="4">
        <v>14</v>
      </c>
      <c r="P64" s="4">
        <v>19</v>
      </c>
      <c r="Q64" s="4">
        <v>0.73699999999999999</v>
      </c>
      <c r="R64" s="4">
        <v>11</v>
      </c>
      <c r="S64" s="4">
        <v>13</v>
      </c>
      <c r="T64" s="4">
        <v>0.84599999999999997</v>
      </c>
      <c r="U64" s="4">
        <v>2</v>
      </c>
      <c r="V64" s="4">
        <v>19</v>
      </c>
      <c r="W64" s="4">
        <v>10</v>
      </c>
      <c r="X64" s="4">
        <v>5</v>
      </c>
      <c r="Y64" s="4">
        <v>1</v>
      </c>
      <c r="Z64" s="4">
        <v>5</v>
      </c>
      <c r="AA64" s="4">
        <v>15</v>
      </c>
      <c r="AB64" s="4">
        <v>63</v>
      </c>
      <c r="AC64" s="5">
        <f t="shared" si="0"/>
        <v>2</v>
      </c>
    </row>
    <row r="65" spans="1:29" ht="15.75" customHeight="1" x14ac:dyDescent="0.25">
      <c r="A65" s="1" t="s">
        <v>205</v>
      </c>
      <c r="B65" s="3" t="s">
        <v>139</v>
      </c>
      <c r="C65" s="4" t="s">
        <v>8</v>
      </c>
      <c r="D65" s="4">
        <v>6</v>
      </c>
      <c r="E65" s="4">
        <v>162</v>
      </c>
      <c r="F65" s="4">
        <v>6</v>
      </c>
      <c r="G65" s="4">
        <v>4</v>
      </c>
      <c r="H65" s="4">
        <v>162</v>
      </c>
      <c r="I65" s="4">
        <v>12</v>
      </c>
      <c r="J65" s="4">
        <v>41</v>
      </c>
      <c r="K65" s="4">
        <v>0.29299999999999998</v>
      </c>
      <c r="L65" s="4">
        <v>5</v>
      </c>
      <c r="M65" s="4">
        <v>19</v>
      </c>
      <c r="N65" s="4">
        <v>0.26300000000000001</v>
      </c>
      <c r="O65" s="4">
        <v>7</v>
      </c>
      <c r="P65" s="4">
        <v>22</v>
      </c>
      <c r="Q65" s="4">
        <v>0.318</v>
      </c>
      <c r="R65" s="4">
        <v>4</v>
      </c>
      <c r="S65" s="4">
        <v>5</v>
      </c>
      <c r="T65" s="4">
        <v>0.8</v>
      </c>
      <c r="U65" s="4">
        <v>2</v>
      </c>
      <c r="V65" s="4">
        <v>14</v>
      </c>
      <c r="W65" s="4">
        <v>29</v>
      </c>
      <c r="X65" s="4">
        <v>9</v>
      </c>
      <c r="Y65" s="4">
        <v>1</v>
      </c>
      <c r="Z65" s="4">
        <v>10</v>
      </c>
      <c r="AA65" s="4">
        <v>19</v>
      </c>
      <c r="AB65" s="4">
        <v>33</v>
      </c>
      <c r="AC65" s="5">
        <f t="shared" si="0"/>
        <v>2.9</v>
      </c>
    </row>
    <row r="66" spans="1:29" ht="15.75" customHeight="1" x14ac:dyDescent="0.25">
      <c r="A66" s="1" t="s">
        <v>126</v>
      </c>
      <c r="B66" s="3" t="s">
        <v>93</v>
      </c>
      <c r="C66" s="4" t="s">
        <v>96</v>
      </c>
      <c r="D66" s="4">
        <v>7</v>
      </c>
      <c r="E66" s="4">
        <v>161</v>
      </c>
      <c r="F66" s="4">
        <v>7</v>
      </c>
      <c r="G66" s="4">
        <v>6</v>
      </c>
      <c r="H66" s="4">
        <v>161</v>
      </c>
      <c r="I66" s="4">
        <v>20</v>
      </c>
      <c r="J66" s="4">
        <v>48</v>
      </c>
      <c r="K66" s="4">
        <v>0.41699999999999998</v>
      </c>
      <c r="L66" s="4">
        <v>7</v>
      </c>
      <c r="M66" s="4">
        <v>22</v>
      </c>
      <c r="N66" s="4">
        <v>0.318</v>
      </c>
      <c r="O66" s="4">
        <v>13</v>
      </c>
      <c r="P66" s="4">
        <v>26</v>
      </c>
      <c r="Q66" s="4">
        <v>0.5</v>
      </c>
      <c r="R66" s="4">
        <v>8</v>
      </c>
      <c r="S66" s="4">
        <v>10</v>
      </c>
      <c r="T66" s="4">
        <v>0.8</v>
      </c>
      <c r="U66" s="4">
        <v>15</v>
      </c>
      <c r="V66" s="4">
        <v>44</v>
      </c>
      <c r="W66" s="4">
        <v>8</v>
      </c>
      <c r="X66" s="4">
        <v>3</v>
      </c>
      <c r="Y66" s="4">
        <v>1</v>
      </c>
      <c r="Z66" s="4">
        <v>10</v>
      </c>
      <c r="AA66" s="4">
        <v>19</v>
      </c>
      <c r="AB66" s="4">
        <v>55</v>
      </c>
      <c r="AC66" s="5">
        <f t="shared" si="0"/>
        <v>0.8</v>
      </c>
    </row>
    <row r="67" spans="1:29" ht="15.75" customHeight="1" x14ac:dyDescent="0.25">
      <c r="A67" s="1" t="s">
        <v>230</v>
      </c>
      <c r="B67" s="3" t="s">
        <v>164</v>
      </c>
      <c r="C67" s="4" t="s">
        <v>87</v>
      </c>
      <c r="D67" s="4">
        <v>8</v>
      </c>
      <c r="E67" s="4">
        <v>160</v>
      </c>
      <c r="F67" s="4">
        <v>8</v>
      </c>
      <c r="G67" s="4">
        <v>5</v>
      </c>
      <c r="H67" s="4">
        <v>160</v>
      </c>
      <c r="I67" s="4">
        <v>19</v>
      </c>
      <c r="J67" s="4">
        <v>39</v>
      </c>
      <c r="K67" s="4">
        <v>0.48699999999999999</v>
      </c>
      <c r="L67" s="4">
        <v>7</v>
      </c>
      <c r="M67" s="4">
        <v>19</v>
      </c>
      <c r="N67" s="4">
        <v>0.36799999999999999</v>
      </c>
      <c r="O67" s="4">
        <v>12</v>
      </c>
      <c r="P67" s="4">
        <v>20</v>
      </c>
      <c r="Q67" s="4">
        <v>0.6</v>
      </c>
      <c r="R67" s="4">
        <v>12</v>
      </c>
      <c r="S67" s="4">
        <v>14</v>
      </c>
      <c r="T67" s="4">
        <v>0.85699999999999998</v>
      </c>
      <c r="U67" s="4">
        <v>7</v>
      </c>
      <c r="V67" s="4">
        <v>27</v>
      </c>
      <c r="W67" s="4">
        <v>10</v>
      </c>
      <c r="X67" s="4">
        <v>7</v>
      </c>
      <c r="Y67" s="4">
        <v>1</v>
      </c>
      <c r="Z67" s="4">
        <v>12</v>
      </c>
      <c r="AA67" s="4">
        <v>34</v>
      </c>
      <c r="AB67" s="4">
        <v>57</v>
      </c>
      <c r="AC67" s="5">
        <f t="shared" si="0"/>
        <v>0.83333333333333337</v>
      </c>
    </row>
    <row r="68" spans="1:29" ht="15.75" customHeight="1" x14ac:dyDescent="0.25">
      <c r="A68" s="1" t="s">
        <v>110</v>
      </c>
      <c r="B68" s="3" t="s">
        <v>86</v>
      </c>
      <c r="C68" s="4" t="s">
        <v>8</v>
      </c>
      <c r="D68" s="4">
        <v>8</v>
      </c>
      <c r="E68" s="4">
        <v>159</v>
      </c>
      <c r="F68" s="4">
        <v>8</v>
      </c>
      <c r="G68" s="4">
        <v>0</v>
      </c>
      <c r="H68" s="4">
        <v>159</v>
      </c>
      <c r="I68" s="4">
        <v>23</v>
      </c>
      <c r="J68" s="4">
        <v>36</v>
      </c>
      <c r="K68" s="4">
        <v>0.63900000000000001</v>
      </c>
      <c r="L68" s="4">
        <v>5</v>
      </c>
      <c r="M68" s="4">
        <v>12</v>
      </c>
      <c r="N68" s="4">
        <v>0.41699999999999998</v>
      </c>
      <c r="O68" s="4">
        <v>18</v>
      </c>
      <c r="P68" s="4">
        <v>24</v>
      </c>
      <c r="Q68" s="4">
        <v>0.75</v>
      </c>
      <c r="R68" s="4">
        <v>11</v>
      </c>
      <c r="S68" s="4">
        <v>13</v>
      </c>
      <c r="T68" s="4">
        <v>0.84599999999999997</v>
      </c>
      <c r="U68" s="4">
        <v>5</v>
      </c>
      <c r="V68" s="4">
        <v>19</v>
      </c>
      <c r="W68" s="4">
        <v>13</v>
      </c>
      <c r="X68" s="4">
        <v>2</v>
      </c>
      <c r="Y68" s="4">
        <v>1</v>
      </c>
      <c r="Z68" s="4">
        <v>9</v>
      </c>
      <c r="AA68" s="4">
        <v>13</v>
      </c>
      <c r="AB68" s="4">
        <v>62</v>
      </c>
      <c r="AC68" s="5">
        <f t="shared" ref="AC68:AC131" si="1">IF(Z68=0,"",W68/Z68)</f>
        <v>1.4444444444444444</v>
      </c>
    </row>
    <row r="69" spans="1:29" ht="15.75" customHeight="1" x14ac:dyDescent="0.25">
      <c r="A69" s="1" t="s">
        <v>156</v>
      </c>
      <c r="B69" s="3" t="s">
        <v>139</v>
      </c>
      <c r="C69" s="4" t="s">
        <v>87</v>
      </c>
      <c r="D69" s="4">
        <v>5</v>
      </c>
      <c r="E69" s="4">
        <v>158</v>
      </c>
      <c r="F69" s="4">
        <v>5</v>
      </c>
      <c r="G69" s="4">
        <v>5</v>
      </c>
      <c r="H69" s="4">
        <v>158</v>
      </c>
      <c r="I69" s="4">
        <v>29</v>
      </c>
      <c r="J69" s="4">
        <v>52</v>
      </c>
      <c r="K69" s="4">
        <v>0.55800000000000005</v>
      </c>
      <c r="L69" s="4">
        <v>9</v>
      </c>
      <c r="M69" s="4">
        <v>14</v>
      </c>
      <c r="N69" s="4">
        <v>0.64300000000000002</v>
      </c>
      <c r="O69" s="4">
        <v>20</v>
      </c>
      <c r="P69" s="4">
        <v>38</v>
      </c>
      <c r="Q69" s="4">
        <v>0.52600000000000002</v>
      </c>
      <c r="R69" s="4">
        <v>11</v>
      </c>
      <c r="S69" s="4">
        <v>13</v>
      </c>
      <c r="T69" s="4">
        <v>0.84599999999999997</v>
      </c>
      <c r="U69" s="4">
        <v>6</v>
      </c>
      <c r="V69" s="4">
        <v>33</v>
      </c>
      <c r="W69" s="4">
        <v>10</v>
      </c>
      <c r="X69" s="4">
        <v>6</v>
      </c>
      <c r="Y69" s="4">
        <v>1</v>
      </c>
      <c r="Z69" s="4">
        <v>10</v>
      </c>
      <c r="AA69" s="4">
        <v>9</v>
      </c>
      <c r="AB69" s="4">
        <v>78</v>
      </c>
      <c r="AC69" s="5">
        <f t="shared" si="1"/>
        <v>1</v>
      </c>
    </row>
    <row r="70" spans="1:29" ht="15.75" customHeight="1" x14ac:dyDescent="0.25">
      <c r="A70" s="1" t="s">
        <v>174</v>
      </c>
      <c r="B70" s="3" t="s">
        <v>109</v>
      </c>
      <c r="C70" s="4" t="s">
        <v>8</v>
      </c>
      <c r="D70" s="4">
        <v>9</v>
      </c>
      <c r="E70" s="4">
        <v>158</v>
      </c>
      <c r="F70" s="4">
        <v>9</v>
      </c>
      <c r="G70" s="4">
        <v>3</v>
      </c>
      <c r="H70" s="4">
        <v>158</v>
      </c>
      <c r="I70" s="4">
        <v>30</v>
      </c>
      <c r="J70" s="4">
        <v>61</v>
      </c>
      <c r="K70" s="4">
        <v>0.49199999999999999</v>
      </c>
      <c r="L70" s="4">
        <v>8</v>
      </c>
      <c r="M70" s="4">
        <v>17</v>
      </c>
      <c r="N70" s="4">
        <v>0.47099999999999997</v>
      </c>
      <c r="O70" s="4">
        <v>22</v>
      </c>
      <c r="P70" s="4">
        <v>44</v>
      </c>
      <c r="Q70" s="4">
        <v>0.5</v>
      </c>
      <c r="R70" s="4">
        <v>5</v>
      </c>
      <c r="S70" s="4">
        <v>6</v>
      </c>
      <c r="T70" s="4">
        <v>0.83299999999999996</v>
      </c>
      <c r="U70" s="4">
        <v>1</v>
      </c>
      <c r="V70" s="4">
        <v>10</v>
      </c>
      <c r="W70" s="4">
        <v>20</v>
      </c>
      <c r="X70" s="4">
        <v>5</v>
      </c>
      <c r="Y70" s="4">
        <v>3</v>
      </c>
      <c r="Z70" s="4">
        <v>11</v>
      </c>
      <c r="AA70" s="4">
        <v>15</v>
      </c>
      <c r="AB70" s="4">
        <v>73</v>
      </c>
      <c r="AC70" s="5">
        <f t="shared" si="1"/>
        <v>1.8181818181818181</v>
      </c>
    </row>
    <row r="71" spans="1:29" ht="15.75" customHeight="1" x14ac:dyDescent="0.25">
      <c r="A71" s="1" t="s">
        <v>171</v>
      </c>
      <c r="B71" s="3" t="s">
        <v>139</v>
      </c>
      <c r="C71" s="4" t="s">
        <v>96</v>
      </c>
      <c r="D71" s="4">
        <v>6</v>
      </c>
      <c r="E71" s="4">
        <v>157</v>
      </c>
      <c r="F71" s="4">
        <v>6</v>
      </c>
      <c r="G71" s="4">
        <v>4</v>
      </c>
      <c r="H71" s="4">
        <v>157</v>
      </c>
      <c r="I71" s="4">
        <v>18</v>
      </c>
      <c r="J71" s="4">
        <v>40</v>
      </c>
      <c r="K71" s="4">
        <v>0.45</v>
      </c>
      <c r="L71" s="4">
        <v>7</v>
      </c>
      <c r="M71" s="4">
        <v>20</v>
      </c>
      <c r="N71" s="4">
        <v>0.35</v>
      </c>
      <c r="O71" s="4">
        <v>11</v>
      </c>
      <c r="P71" s="4">
        <v>20</v>
      </c>
      <c r="Q71" s="4">
        <v>0.55000000000000004</v>
      </c>
      <c r="R71" s="4">
        <v>9</v>
      </c>
      <c r="S71" s="4">
        <v>10</v>
      </c>
      <c r="T71" s="4">
        <v>0.9</v>
      </c>
      <c r="U71" s="4">
        <v>5</v>
      </c>
      <c r="V71" s="4">
        <v>15</v>
      </c>
      <c r="W71" s="4">
        <v>10</v>
      </c>
      <c r="X71" s="4">
        <v>4</v>
      </c>
      <c r="Y71" s="4">
        <v>0</v>
      </c>
      <c r="Z71" s="4">
        <v>12</v>
      </c>
      <c r="AA71" s="4">
        <v>15</v>
      </c>
      <c r="AB71" s="4">
        <v>52</v>
      </c>
      <c r="AC71" s="5">
        <f t="shared" si="1"/>
        <v>0.83333333333333337</v>
      </c>
    </row>
    <row r="72" spans="1:29" ht="15.75" customHeight="1" x14ac:dyDescent="0.25">
      <c r="A72" s="1" t="s">
        <v>155</v>
      </c>
      <c r="B72" s="3" t="s">
        <v>93</v>
      </c>
      <c r="C72" s="4" t="s">
        <v>90</v>
      </c>
      <c r="D72" s="4">
        <v>7</v>
      </c>
      <c r="E72" s="4">
        <v>154</v>
      </c>
      <c r="F72" s="4">
        <v>7</v>
      </c>
      <c r="G72" s="4">
        <v>7</v>
      </c>
      <c r="H72" s="4">
        <v>154</v>
      </c>
      <c r="I72" s="4">
        <v>11</v>
      </c>
      <c r="J72" s="4">
        <v>28</v>
      </c>
      <c r="K72" s="4">
        <v>0.39300000000000002</v>
      </c>
      <c r="L72" s="4">
        <v>2</v>
      </c>
      <c r="M72" s="4">
        <v>8</v>
      </c>
      <c r="N72" s="4">
        <v>0.25</v>
      </c>
      <c r="O72" s="4">
        <v>9</v>
      </c>
      <c r="P72" s="4">
        <v>20</v>
      </c>
      <c r="Q72" s="4">
        <v>0.45</v>
      </c>
      <c r="R72" s="4">
        <v>3</v>
      </c>
      <c r="S72" s="4">
        <v>6</v>
      </c>
      <c r="T72" s="4">
        <v>0.5</v>
      </c>
      <c r="U72" s="4">
        <v>7</v>
      </c>
      <c r="V72" s="4">
        <v>33</v>
      </c>
      <c r="W72" s="4">
        <v>12</v>
      </c>
      <c r="X72" s="4">
        <v>5</v>
      </c>
      <c r="Y72" s="4">
        <v>14</v>
      </c>
      <c r="Z72" s="4">
        <v>3</v>
      </c>
      <c r="AA72" s="4">
        <v>22</v>
      </c>
      <c r="AB72" s="4">
        <v>27</v>
      </c>
      <c r="AC72" s="5">
        <f t="shared" si="1"/>
        <v>4</v>
      </c>
    </row>
    <row r="73" spans="1:29" ht="15.75" customHeight="1" x14ac:dyDescent="0.25">
      <c r="A73" s="1" t="s">
        <v>158</v>
      </c>
      <c r="B73" s="3" t="s">
        <v>119</v>
      </c>
      <c r="C73" s="4" t="s">
        <v>8</v>
      </c>
      <c r="D73" s="4">
        <v>7</v>
      </c>
      <c r="E73" s="4">
        <v>153</v>
      </c>
      <c r="F73" s="4">
        <v>7</v>
      </c>
      <c r="G73" s="4">
        <v>0</v>
      </c>
      <c r="H73" s="4">
        <v>153</v>
      </c>
      <c r="I73" s="4">
        <v>53</v>
      </c>
      <c r="J73" s="4">
        <v>82</v>
      </c>
      <c r="K73" s="4">
        <v>0.64600000000000002</v>
      </c>
      <c r="L73" s="4">
        <v>9</v>
      </c>
      <c r="M73" s="4">
        <v>16</v>
      </c>
      <c r="N73" s="4">
        <v>0.56299999999999994</v>
      </c>
      <c r="O73" s="4">
        <v>44</v>
      </c>
      <c r="P73" s="4">
        <v>66</v>
      </c>
      <c r="Q73" s="4">
        <v>0.66700000000000004</v>
      </c>
      <c r="R73" s="4">
        <v>19</v>
      </c>
      <c r="S73" s="4">
        <v>26</v>
      </c>
      <c r="T73" s="4">
        <v>0.73099999999999998</v>
      </c>
      <c r="U73" s="4">
        <v>6</v>
      </c>
      <c r="V73" s="4">
        <v>18</v>
      </c>
      <c r="W73" s="4">
        <v>13</v>
      </c>
      <c r="X73" s="4">
        <v>10</v>
      </c>
      <c r="Y73" s="4">
        <v>2</v>
      </c>
      <c r="Z73" s="4">
        <v>15</v>
      </c>
      <c r="AA73" s="4">
        <v>20</v>
      </c>
      <c r="AB73" s="4">
        <v>134</v>
      </c>
      <c r="AC73" s="5">
        <f t="shared" si="1"/>
        <v>0.8666666666666667</v>
      </c>
    </row>
    <row r="74" spans="1:29" ht="15.75" customHeight="1" x14ac:dyDescent="0.25">
      <c r="A74" s="1" t="s">
        <v>183</v>
      </c>
      <c r="B74" s="3" t="s">
        <v>116</v>
      </c>
      <c r="C74" s="4" t="s">
        <v>8</v>
      </c>
      <c r="D74" s="4">
        <v>8</v>
      </c>
      <c r="E74" s="4">
        <v>152</v>
      </c>
      <c r="F74" s="4">
        <v>8</v>
      </c>
      <c r="G74" s="4">
        <v>0</v>
      </c>
      <c r="H74" s="4">
        <v>152</v>
      </c>
      <c r="I74" s="4">
        <v>28</v>
      </c>
      <c r="J74" s="4">
        <v>79</v>
      </c>
      <c r="K74" s="4">
        <v>0.35399999999999998</v>
      </c>
      <c r="L74" s="4">
        <v>10</v>
      </c>
      <c r="M74" s="4">
        <v>31</v>
      </c>
      <c r="N74" s="4">
        <v>0.32300000000000001</v>
      </c>
      <c r="O74" s="4">
        <v>18</v>
      </c>
      <c r="P74" s="4">
        <v>48</v>
      </c>
      <c r="Q74" s="4">
        <v>0.375</v>
      </c>
      <c r="R74" s="4">
        <v>22</v>
      </c>
      <c r="S74" s="4">
        <v>27</v>
      </c>
      <c r="T74" s="4">
        <v>0.81499999999999995</v>
      </c>
      <c r="U74" s="4">
        <v>8</v>
      </c>
      <c r="V74" s="4">
        <v>22</v>
      </c>
      <c r="W74" s="4">
        <v>14</v>
      </c>
      <c r="X74" s="4">
        <v>4</v>
      </c>
      <c r="Y74" s="4">
        <v>0</v>
      </c>
      <c r="Z74" s="4">
        <v>14</v>
      </c>
      <c r="AA74" s="4">
        <v>11</v>
      </c>
      <c r="AB74" s="4">
        <v>88</v>
      </c>
      <c r="AC74" s="5">
        <f t="shared" si="1"/>
        <v>1</v>
      </c>
    </row>
    <row r="75" spans="1:29" ht="15.75" customHeight="1" x14ac:dyDescent="0.25">
      <c r="A75" s="1" t="s">
        <v>184</v>
      </c>
      <c r="B75" s="4" t="s">
        <v>164</v>
      </c>
      <c r="C75" s="4" t="s">
        <v>87</v>
      </c>
      <c r="D75" s="4">
        <v>6</v>
      </c>
      <c r="E75" s="4">
        <v>150</v>
      </c>
      <c r="F75" s="4">
        <v>6</v>
      </c>
      <c r="G75" s="4">
        <v>6</v>
      </c>
      <c r="H75" s="4">
        <v>150</v>
      </c>
      <c r="I75" s="4">
        <v>28</v>
      </c>
      <c r="J75" s="4">
        <v>46</v>
      </c>
      <c r="K75" s="4">
        <v>0.60899999999999999</v>
      </c>
      <c r="L75" s="4">
        <v>4</v>
      </c>
      <c r="M75" s="4">
        <v>9</v>
      </c>
      <c r="N75" s="4">
        <v>0.44400000000000001</v>
      </c>
      <c r="O75" s="4">
        <v>24</v>
      </c>
      <c r="P75" s="4">
        <v>37</v>
      </c>
      <c r="Q75" s="4">
        <v>0.64900000000000002</v>
      </c>
      <c r="R75" s="4">
        <v>15</v>
      </c>
      <c r="S75" s="4">
        <v>21</v>
      </c>
      <c r="T75" s="4">
        <v>0.71399999999999997</v>
      </c>
      <c r="U75" s="4">
        <v>15</v>
      </c>
      <c r="V75" s="4">
        <v>33</v>
      </c>
      <c r="W75" s="4">
        <v>12</v>
      </c>
      <c r="X75" s="4">
        <v>9</v>
      </c>
      <c r="Y75" s="4">
        <v>9</v>
      </c>
      <c r="Z75" s="4">
        <v>7</v>
      </c>
      <c r="AA75" s="4">
        <v>16</v>
      </c>
      <c r="AB75" s="4">
        <v>75</v>
      </c>
      <c r="AC75" s="5">
        <f t="shared" si="1"/>
        <v>1.7142857142857142</v>
      </c>
    </row>
    <row r="76" spans="1:29" ht="15.75" customHeight="1" x14ac:dyDescent="0.25">
      <c r="A76" s="1" t="s">
        <v>192</v>
      </c>
      <c r="B76" s="3" t="s">
        <v>95</v>
      </c>
      <c r="C76" s="4" t="s">
        <v>114</v>
      </c>
      <c r="D76" s="4">
        <v>8</v>
      </c>
      <c r="E76" s="4">
        <v>147</v>
      </c>
      <c r="F76" s="4">
        <v>8</v>
      </c>
      <c r="G76" s="4">
        <v>2</v>
      </c>
      <c r="H76" s="4">
        <v>147</v>
      </c>
      <c r="I76" s="4">
        <v>13</v>
      </c>
      <c r="J76" s="4">
        <v>31</v>
      </c>
      <c r="K76" s="4">
        <v>0.41899999999999998</v>
      </c>
      <c r="L76" s="4">
        <v>6</v>
      </c>
      <c r="M76" s="4">
        <v>16</v>
      </c>
      <c r="N76" s="4">
        <v>0.375</v>
      </c>
      <c r="O76" s="4">
        <v>7</v>
      </c>
      <c r="P76" s="4">
        <v>15</v>
      </c>
      <c r="Q76" s="4">
        <v>0.46700000000000003</v>
      </c>
      <c r="R76" s="4">
        <v>1</v>
      </c>
      <c r="S76" s="4">
        <v>1</v>
      </c>
      <c r="T76" s="4">
        <v>1</v>
      </c>
      <c r="U76" s="4">
        <v>5</v>
      </c>
      <c r="V76" s="4">
        <v>20</v>
      </c>
      <c r="W76" s="4">
        <v>5</v>
      </c>
      <c r="X76" s="4">
        <v>4</v>
      </c>
      <c r="Y76" s="4">
        <v>4</v>
      </c>
      <c r="Z76" s="4">
        <v>4</v>
      </c>
      <c r="AA76" s="4">
        <v>12</v>
      </c>
      <c r="AB76" s="4">
        <v>33</v>
      </c>
      <c r="AC76" s="5">
        <f t="shared" si="1"/>
        <v>1.25</v>
      </c>
    </row>
    <row r="77" spans="1:29" ht="15.75" customHeight="1" x14ac:dyDescent="0.25">
      <c r="A77" s="1" t="s">
        <v>177</v>
      </c>
      <c r="B77" s="3" t="s">
        <v>119</v>
      </c>
      <c r="C77" s="4" t="s">
        <v>87</v>
      </c>
      <c r="D77" s="4">
        <v>7</v>
      </c>
      <c r="E77" s="4">
        <v>147</v>
      </c>
      <c r="F77" s="4">
        <v>7</v>
      </c>
      <c r="G77" s="4">
        <v>7</v>
      </c>
      <c r="H77" s="4">
        <v>147</v>
      </c>
      <c r="I77" s="4">
        <v>31</v>
      </c>
      <c r="J77" s="4">
        <v>44</v>
      </c>
      <c r="K77" s="4">
        <v>0.70499999999999996</v>
      </c>
      <c r="L77" s="4">
        <v>1</v>
      </c>
      <c r="M77" s="4">
        <v>3</v>
      </c>
      <c r="N77" s="4">
        <v>0.33300000000000002</v>
      </c>
      <c r="O77" s="4">
        <v>30</v>
      </c>
      <c r="P77" s="4">
        <v>41</v>
      </c>
      <c r="Q77" s="4">
        <v>0.73199999999999998</v>
      </c>
      <c r="R77" s="4">
        <v>14</v>
      </c>
      <c r="S77" s="4">
        <v>28</v>
      </c>
      <c r="T77" s="4">
        <v>0.5</v>
      </c>
      <c r="U77" s="4">
        <v>19</v>
      </c>
      <c r="V77" s="4">
        <v>48</v>
      </c>
      <c r="W77" s="4">
        <v>7</v>
      </c>
      <c r="X77" s="4">
        <v>4</v>
      </c>
      <c r="Y77" s="4">
        <v>7</v>
      </c>
      <c r="Z77" s="4">
        <v>6</v>
      </c>
      <c r="AA77" s="4">
        <v>22</v>
      </c>
      <c r="AB77" s="4">
        <v>77</v>
      </c>
      <c r="AC77" s="5">
        <f t="shared" si="1"/>
        <v>1.1666666666666667</v>
      </c>
    </row>
    <row r="78" spans="1:29" ht="15.75" customHeight="1" x14ac:dyDescent="0.25">
      <c r="A78" s="1" t="s">
        <v>135</v>
      </c>
      <c r="B78" s="3" t="s">
        <v>101</v>
      </c>
      <c r="C78" s="4" t="s">
        <v>8</v>
      </c>
      <c r="D78" s="4">
        <v>8</v>
      </c>
      <c r="E78" s="4">
        <v>145</v>
      </c>
      <c r="F78" s="4">
        <v>8</v>
      </c>
      <c r="G78" s="4">
        <v>7</v>
      </c>
      <c r="H78" s="4">
        <v>145</v>
      </c>
      <c r="I78" s="4">
        <v>22</v>
      </c>
      <c r="J78" s="4">
        <v>42</v>
      </c>
      <c r="K78" s="4">
        <v>0.52400000000000002</v>
      </c>
      <c r="L78" s="4">
        <v>5</v>
      </c>
      <c r="M78" s="4">
        <v>12</v>
      </c>
      <c r="N78" s="4">
        <v>0.41699999999999998</v>
      </c>
      <c r="O78" s="4">
        <v>17</v>
      </c>
      <c r="P78" s="4">
        <v>30</v>
      </c>
      <c r="Q78" s="4">
        <v>0.56699999999999995</v>
      </c>
      <c r="R78" s="4">
        <v>9</v>
      </c>
      <c r="S78" s="4">
        <v>10</v>
      </c>
      <c r="T78" s="4">
        <v>0.9</v>
      </c>
      <c r="U78" s="4">
        <v>0</v>
      </c>
      <c r="V78" s="4">
        <v>6</v>
      </c>
      <c r="W78" s="4">
        <v>23</v>
      </c>
      <c r="X78" s="4">
        <v>7</v>
      </c>
      <c r="Y78" s="4">
        <v>0</v>
      </c>
      <c r="Z78" s="4">
        <v>13</v>
      </c>
      <c r="AA78" s="4">
        <v>13</v>
      </c>
      <c r="AB78" s="4">
        <v>58</v>
      </c>
      <c r="AC78" s="5">
        <f t="shared" si="1"/>
        <v>1.7692307692307692</v>
      </c>
    </row>
    <row r="79" spans="1:29" ht="15.75" customHeight="1" x14ac:dyDescent="0.25">
      <c r="A79" s="1" t="s">
        <v>186</v>
      </c>
      <c r="B79" s="3" t="s">
        <v>160</v>
      </c>
      <c r="C79" s="4" t="s">
        <v>187</v>
      </c>
      <c r="D79" s="4">
        <v>6</v>
      </c>
      <c r="E79" s="4">
        <v>143</v>
      </c>
      <c r="F79" s="4">
        <v>6</v>
      </c>
      <c r="G79" s="4">
        <v>6</v>
      </c>
      <c r="H79" s="4">
        <v>143</v>
      </c>
      <c r="I79" s="4">
        <v>32</v>
      </c>
      <c r="J79" s="4">
        <v>62</v>
      </c>
      <c r="K79" s="4">
        <v>0.51600000000000001</v>
      </c>
      <c r="L79" s="4">
        <v>6</v>
      </c>
      <c r="M79" s="4">
        <v>16</v>
      </c>
      <c r="N79" s="4">
        <v>0.375</v>
      </c>
      <c r="O79" s="4">
        <v>26</v>
      </c>
      <c r="P79" s="4">
        <v>46</v>
      </c>
      <c r="Q79" s="4">
        <v>0.56499999999999995</v>
      </c>
      <c r="R79" s="4">
        <v>23</v>
      </c>
      <c r="S79" s="4">
        <v>28</v>
      </c>
      <c r="T79" s="4">
        <v>0.82099999999999995</v>
      </c>
      <c r="U79" s="4">
        <v>12</v>
      </c>
      <c r="V79" s="4">
        <v>45</v>
      </c>
      <c r="W79" s="4">
        <v>16</v>
      </c>
      <c r="X79" s="4">
        <v>8</v>
      </c>
      <c r="Y79" s="4">
        <v>4</v>
      </c>
      <c r="Z79" s="4">
        <v>12</v>
      </c>
      <c r="AA79" s="4">
        <v>19</v>
      </c>
      <c r="AB79" s="4">
        <v>93</v>
      </c>
      <c r="AC79" s="5">
        <f t="shared" si="1"/>
        <v>1.3333333333333333</v>
      </c>
    </row>
    <row r="80" spans="1:29" ht="15.75" customHeight="1" x14ac:dyDescent="0.25">
      <c r="A80" s="1" t="s">
        <v>199</v>
      </c>
      <c r="B80" s="3" t="s">
        <v>142</v>
      </c>
      <c r="C80" s="4" t="s">
        <v>8</v>
      </c>
      <c r="D80" s="4">
        <v>6</v>
      </c>
      <c r="E80" s="4">
        <v>142</v>
      </c>
      <c r="F80" s="4">
        <v>6</v>
      </c>
      <c r="G80" s="4">
        <v>6</v>
      </c>
      <c r="H80" s="4">
        <v>142</v>
      </c>
      <c r="I80" s="4">
        <v>12</v>
      </c>
      <c r="J80" s="4">
        <v>38</v>
      </c>
      <c r="K80" s="4">
        <v>0.316</v>
      </c>
      <c r="L80" s="4">
        <v>7</v>
      </c>
      <c r="M80" s="4">
        <v>25</v>
      </c>
      <c r="N80" s="4">
        <v>0.28000000000000003</v>
      </c>
      <c r="O80" s="4">
        <v>5</v>
      </c>
      <c r="P80" s="4">
        <v>13</v>
      </c>
      <c r="Q80" s="4">
        <v>0.38500000000000001</v>
      </c>
      <c r="R80" s="4">
        <v>12</v>
      </c>
      <c r="S80" s="4">
        <v>12</v>
      </c>
      <c r="T80" s="4">
        <v>1</v>
      </c>
      <c r="U80" s="4">
        <v>0</v>
      </c>
      <c r="V80" s="4">
        <v>7</v>
      </c>
      <c r="W80" s="4">
        <v>25</v>
      </c>
      <c r="X80" s="4">
        <v>3</v>
      </c>
      <c r="Y80" s="4">
        <v>2</v>
      </c>
      <c r="Z80" s="4">
        <v>16</v>
      </c>
      <c r="AA80" s="4">
        <v>17</v>
      </c>
      <c r="AB80" s="4">
        <v>43</v>
      </c>
      <c r="AC80" s="5">
        <f t="shared" si="1"/>
        <v>1.5625</v>
      </c>
    </row>
    <row r="81" spans="1:29" ht="15.75" customHeight="1" x14ac:dyDescent="0.25">
      <c r="A81" s="1" t="s">
        <v>221</v>
      </c>
      <c r="B81" s="3" t="s">
        <v>160</v>
      </c>
      <c r="C81" s="4" t="s">
        <v>8</v>
      </c>
      <c r="D81" s="4">
        <v>7</v>
      </c>
      <c r="E81" s="4">
        <v>141</v>
      </c>
      <c r="F81" s="4">
        <v>7</v>
      </c>
      <c r="G81" s="4">
        <v>4</v>
      </c>
      <c r="H81" s="4">
        <v>141</v>
      </c>
      <c r="I81" s="4">
        <v>14</v>
      </c>
      <c r="J81" s="4">
        <v>33</v>
      </c>
      <c r="K81" s="4">
        <v>0.42399999999999999</v>
      </c>
      <c r="L81" s="4">
        <v>9</v>
      </c>
      <c r="M81" s="4">
        <v>19</v>
      </c>
      <c r="N81" s="4">
        <v>0.47399999999999998</v>
      </c>
      <c r="O81" s="4">
        <v>5</v>
      </c>
      <c r="P81" s="4">
        <v>14</v>
      </c>
      <c r="Q81" s="4">
        <v>0.35699999999999998</v>
      </c>
      <c r="R81" s="4">
        <v>10</v>
      </c>
      <c r="S81" s="4">
        <v>15</v>
      </c>
      <c r="T81" s="4">
        <v>0.66700000000000004</v>
      </c>
      <c r="U81" s="4">
        <v>3</v>
      </c>
      <c r="V81" s="4">
        <v>28</v>
      </c>
      <c r="W81" s="4">
        <v>6</v>
      </c>
      <c r="X81" s="4">
        <v>5</v>
      </c>
      <c r="Y81" s="4">
        <v>1</v>
      </c>
      <c r="Z81" s="4">
        <v>7</v>
      </c>
      <c r="AA81" s="4">
        <v>23</v>
      </c>
      <c r="AB81" s="4">
        <v>47</v>
      </c>
      <c r="AC81" s="5">
        <f t="shared" si="1"/>
        <v>0.8571428571428571</v>
      </c>
    </row>
    <row r="82" spans="1:29" ht="15.75" customHeight="1" x14ac:dyDescent="0.25">
      <c r="A82" s="1" t="s">
        <v>190</v>
      </c>
      <c r="B82" s="3" t="s">
        <v>116</v>
      </c>
      <c r="C82" s="4" t="s">
        <v>87</v>
      </c>
      <c r="D82" s="4">
        <v>8</v>
      </c>
      <c r="E82" s="4">
        <v>140</v>
      </c>
      <c r="F82" s="4">
        <v>8</v>
      </c>
      <c r="G82" s="4">
        <v>8</v>
      </c>
      <c r="H82" s="4">
        <v>140</v>
      </c>
      <c r="I82" s="4">
        <v>9</v>
      </c>
      <c r="J82" s="4">
        <v>33</v>
      </c>
      <c r="K82" s="4">
        <v>0.27300000000000002</v>
      </c>
      <c r="L82" s="4">
        <v>1</v>
      </c>
      <c r="M82" s="4">
        <v>11</v>
      </c>
      <c r="N82" s="4">
        <v>9.0999999999999998E-2</v>
      </c>
      <c r="O82" s="4">
        <v>8</v>
      </c>
      <c r="P82" s="4">
        <v>22</v>
      </c>
      <c r="Q82" s="4">
        <v>0.36399999999999999</v>
      </c>
      <c r="R82" s="4">
        <v>5</v>
      </c>
      <c r="S82" s="4">
        <v>6</v>
      </c>
      <c r="T82" s="4">
        <v>0.83299999999999996</v>
      </c>
      <c r="U82" s="4">
        <v>3</v>
      </c>
      <c r="V82" s="4">
        <v>26</v>
      </c>
      <c r="W82" s="4">
        <v>9</v>
      </c>
      <c r="X82" s="4">
        <v>8</v>
      </c>
      <c r="Y82" s="4">
        <v>3</v>
      </c>
      <c r="Z82" s="4">
        <v>10</v>
      </c>
      <c r="AA82" s="4">
        <v>13</v>
      </c>
      <c r="AB82" s="4">
        <v>24</v>
      </c>
      <c r="AC82" s="5">
        <f t="shared" si="1"/>
        <v>0.9</v>
      </c>
    </row>
    <row r="83" spans="1:29" ht="15.75" customHeight="1" x14ac:dyDescent="0.25">
      <c r="A83" s="1" t="s">
        <v>178</v>
      </c>
      <c r="B83" s="3" t="s">
        <v>244</v>
      </c>
      <c r="C83" s="4" t="s">
        <v>8</v>
      </c>
      <c r="D83" s="4">
        <v>6</v>
      </c>
      <c r="E83" s="4">
        <v>135</v>
      </c>
      <c r="F83" s="4">
        <v>6</v>
      </c>
      <c r="G83" s="4">
        <v>5</v>
      </c>
      <c r="H83" s="4">
        <v>135</v>
      </c>
      <c r="I83" s="4">
        <v>29</v>
      </c>
      <c r="J83" s="4">
        <v>63</v>
      </c>
      <c r="K83" s="4">
        <v>0.46</v>
      </c>
      <c r="L83" s="4">
        <v>4</v>
      </c>
      <c r="M83" s="4">
        <v>11</v>
      </c>
      <c r="N83" s="4">
        <v>0.36399999999999999</v>
      </c>
      <c r="O83" s="4">
        <v>25</v>
      </c>
      <c r="P83" s="4">
        <v>52</v>
      </c>
      <c r="Q83" s="4">
        <v>0.48099999999999998</v>
      </c>
      <c r="R83" s="4">
        <v>36</v>
      </c>
      <c r="S83" s="4">
        <v>38</v>
      </c>
      <c r="T83" s="4">
        <v>0.94699999999999995</v>
      </c>
      <c r="U83" s="4">
        <v>3</v>
      </c>
      <c r="V83" s="4">
        <v>11</v>
      </c>
      <c r="W83" s="4">
        <v>24</v>
      </c>
      <c r="X83" s="4">
        <v>4</v>
      </c>
      <c r="Y83" s="4">
        <v>0</v>
      </c>
      <c r="Z83" s="4">
        <v>19</v>
      </c>
      <c r="AA83" s="4">
        <v>12</v>
      </c>
      <c r="AB83" s="4">
        <v>98</v>
      </c>
      <c r="AC83" s="5">
        <f t="shared" si="1"/>
        <v>1.263157894736842</v>
      </c>
    </row>
    <row r="84" spans="1:29" ht="15.75" customHeight="1" x14ac:dyDescent="0.25">
      <c r="A84" s="1" t="s">
        <v>224</v>
      </c>
      <c r="B84" s="3" t="s">
        <v>160</v>
      </c>
      <c r="C84" s="4" t="s">
        <v>87</v>
      </c>
      <c r="D84" s="4">
        <v>6</v>
      </c>
      <c r="E84" s="4">
        <v>133</v>
      </c>
      <c r="F84" s="4">
        <v>6</v>
      </c>
      <c r="G84" s="4">
        <v>6</v>
      </c>
      <c r="H84" s="4">
        <v>133</v>
      </c>
      <c r="I84" s="4">
        <v>12</v>
      </c>
      <c r="J84" s="4">
        <v>31</v>
      </c>
      <c r="K84" s="4">
        <v>0.38700000000000001</v>
      </c>
      <c r="L84" s="4">
        <v>2</v>
      </c>
      <c r="M84" s="4">
        <v>6</v>
      </c>
      <c r="N84" s="4">
        <v>0.33300000000000002</v>
      </c>
      <c r="O84" s="4">
        <v>10</v>
      </c>
      <c r="P84" s="4">
        <v>25</v>
      </c>
      <c r="Q84" s="4">
        <v>0.4</v>
      </c>
      <c r="R84" s="4">
        <v>12</v>
      </c>
      <c r="S84" s="4">
        <v>15</v>
      </c>
      <c r="T84" s="4">
        <v>0.8</v>
      </c>
      <c r="U84" s="4">
        <v>13</v>
      </c>
      <c r="V84" s="4">
        <v>34</v>
      </c>
      <c r="W84" s="4">
        <v>9</v>
      </c>
      <c r="X84" s="4">
        <v>7</v>
      </c>
      <c r="Y84" s="4">
        <v>4</v>
      </c>
      <c r="Z84" s="4">
        <v>6</v>
      </c>
      <c r="AA84" s="4">
        <v>12</v>
      </c>
      <c r="AB84" s="4">
        <v>38</v>
      </c>
      <c r="AC84" s="5">
        <f t="shared" si="1"/>
        <v>1.5</v>
      </c>
    </row>
    <row r="85" spans="1:29" ht="15.75" customHeight="1" x14ac:dyDescent="0.25">
      <c r="A85" s="1" t="s">
        <v>167</v>
      </c>
      <c r="B85" s="3" t="s">
        <v>116</v>
      </c>
      <c r="C85" s="4" t="s">
        <v>8</v>
      </c>
      <c r="D85" s="4">
        <v>8</v>
      </c>
      <c r="E85" s="4">
        <v>130</v>
      </c>
      <c r="F85" s="4">
        <v>8</v>
      </c>
      <c r="G85" s="4">
        <v>0</v>
      </c>
      <c r="H85" s="4">
        <v>130</v>
      </c>
      <c r="I85" s="4">
        <v>12</v>
      </c>
      <c r="J85" s="4">
        <v>24</v>
      </c>
      <c r="K85" s="4">
        <v>0.5</v>
      </c>
      <c r="L85" s="4">
        <v>9</v>
      </c>
      <c r="M85" s="4">
        <v>18</v>
      </c>
      <c r="N85" s="4">
        <v>0.5</v>
      </c>
      <c r="O85" s="4">
        <v>3</v>
      </c>
      <c r="P85" s="4">
        <v>6</v>
      </c>
      <c r="Q85" s="4">
        <v>0.5</v>
      </c>
      <c r="R85" s="4">
        <v>5</v>
      </c>
      <c r="S85" s="4">
        <v>6</v>
      </c>
      <c r="T85" s="4">
        <v>0.83299999999999996</v>
      </c>
      <c r="U85" s="4">
        <v>1</v>
      </c>
      <c r="V85" s="4">
        <v>12</v>
      </c>
      <c r="W85" s="4">
        <v>9</v>
      </c>
      <c r="X85" s="4">
        <v>4</v>
      </c>
      <c r="Y85" s="4">
        <v>1</v>
      </c>
      <c r="Z85" s="4">
        <v>9</v>
      </c>
      <c r="AA85" s="4">
        <v>11</v>
      </c>
      <c r="AB85" s="4">
        <v>38</v>
      </c>
      <c r="AC85" s="5">
        <f t="shared" si="1"/>
        <v>1</v>
      </c>
    </row>
    <row r="86" spans="1:29" ht="15.75" customHeight="1" x14ac:dyDescent="0.25">
      <c r="A86" s="1" t="s">
        <v>193</v>
      </c>
      <c r="B86" s="3" t="s">
        <v>142</v>
      </c>
      <c r="C86" s="4" t="s">
        <v>8</v>
      </c>
      <c r="D86" s="4">
        <v>6</v>
      </c>
      <c r="E86" s="4">
        <v>129</v>
      </c>
      <c r="F86" s="4">
        <v>6</v>
      </c>
      <c r="G86" s="4">
        <v>2</v>
      </c>
      <c r="H86" s="4">
        <v>129</v>
      </c>
      <c r="I86" s="4">
        <v>10</v>
      </c>
      <c r="J86" s="4">
        <v>35</v>
      </c>
      <c r="K86" s="4">
        <v>0.28599999999999998</v>
      </c>
      <c r="L86" s="4">
        <v>1</v>
      </c>
      <c r="M86" s="4">
        <v>12</v>
      </c>
      <c r="N86" s="4">
        <v>8.3000000000000004E-2</v>
      </c>
      <c r="O86" s="4">
        <v>9</v>
      </c>
      <c r="P86" s="4">
        <v>23</v>
      </c>
      <c r="Q86" s="4">
        <v>0.39100000000000001</v>
      </c>
      <c r="R86" s="4">
        <v>1</v>
      </c>
      <c r="S86" s="4">
        <v>2</v>
      </c>
      <c r="T86" s="4">
        <v>0.5</v>
      </c>
      <c r="U86" s="4">
        <v>5</v>
      </c>
      <c r="V86" s="4">
        <v>9</v>
      </c>
      <c r="W86" s="4">
        <v>7</v>
      </c>
      <c r="X86" s="4">
        <v>2</v>
      </c>
      <c r="Y86" s="4">
        <v>1</v>
      </c>
      <c r="Z86" s="4">
        <v>7</v>
      </c>
      <c r="AA86" s="4">
        <v>26</v>
      </c>
      <c r="AB86" s="4">
        <v>22</v>
      </c>
      <c r="AC86" s="5">
        <f t="shared" si="1"/>
        <v>1</v>
      </c>
    </row>
    <row r="87" spans="1:29" ht="15.75" customHeight="1" x14ac:dyDescent="0.25">
      <c r="A87" s="1" t="s">
        <v>213</v>
      </c>
      <c r="B87" s="3" t="s">
        <v>160</v>
      </c>
      <c r="C87" s="4" t="s">
        <v>87</v>
      </c>
      <c r="D87" s="4">
        <v>7</v>
      </c>
      <c r="E87" s="4">
        <v>128</v>
      </c>
      <c r="F87" s="4">
        <v>7</v>
      </c>
      <c r="G87" s="4">
        <v>2</v>
      </c>
      <c r="H87" s="4">
        <v>128</v>
      </c>
      <c r="I87" s="4">
        <v>13</v>
      </c>
      <c r="J87" s="4">
        <v>26</v>
      </c>
      <c r="K87" s="4">
        <v>0.5</v>
      </c>
      <c r="L87" s="4">
        <v>0</v>
      </c>
      <c r="M87" s="4">
        <v>3</v>
      </c>
      <c r="N87" s="4">
        <v>0</v>
      </c>
      <c r="O87" s="4">
        <v>13</v>
      </c>
      <c r="P87" s="4">
        <v>23</v>
      </c>
      <c r="Q87" s="4">
        <v>0.56499999999999995</v>
      </c>
      <c r="R87" s="4">
        <v>7</v>
      </c>
      <c r="S87" s="4">
        <v>7</v>
      </c>
      <c r="T87" s="4">
        <v>1</v>
      </c>
      <c r="U87" s="4">
        <v>5</v>
      </c>
      <c r="V87" s="4">
        <v>22</v>
      </c>
      <c r="W87" s="4">
        <v>20</v>
      </c>
      <c r="X87" s="4">
        <v>6</v>
      </c>
      <c r="Y87" s="4">
        <v>4</v>
      </c>
      <c r="Z87" s="4">
        <v>10</v>
      </c>
      <c r="AA87" s="4">
        <v>16</v>
      </c>
      <c r="AB87" s="4">
        <v>33</v>
      </c>
      <c r="AC87" s="5">
        <f t="shared" si="1"/>
        <v>2</v>
      </c>
    </row>
    <row r="88" spans="1:29" ht="15.75" customHeight="1" x14ac:dyDescent="0.25">
      <c r="A88" s="1" t="s">
        <v>204</v>
      </c>
      <c r="B88" s="3" t="s">
        <v>116</v>
      </c>
      <c r="C88" s="4" t="s">
        <v>87</v>
      </c>
      <c r="D88" s="4">
        <v>8</v>
      </c>
      <c r="E88" s="4">
        <v>127</v>
      </c>
      <c r="F88" s="4">
        <v>8</v>
      </c>
      <c r="G88" s="4">
        <v>0</v>
      </c>
      <c r="H88" s="4">
        <v>127</v>
      </c>
      <c r="I88" s="4">
        <v>15</v>
      </c>
      <c r="J88" s="4">
        <v>26</v>
      </c>
      <c r="K88" s="4">
        <v>0.57699999999999996</v>
      </c>
      <c r="L88" s="4">
        <v>4</v>
      </c>
      <c r="M88" s="4">
        <v>6</v>
      </c>
      <c r="N88" s="4">
        <v>0.66700000000000004</v>
      </c>
      <c r="O88" s="4">
        <v>11</v>
      </c>
      <c r="P88" s="4">
        <v>20</v>
      </c>
      <c r="Q88" s="4">
        <v>0.55000000000000004</v>
      </c>
      <c r="R88" s="4">
        <v>7</v>
      </c>
      <c r="S88" s="4">
        <v>9</v>
      </c>
      <c r="T88" s="4">
        <v>0.77800000000000002</v>
      </c>
      <c r="U88" s="4">
        <v>13</v>
      </c>
      <c r="V88" s="4">
        <v>40</v>
      </c>
      <c r="W88" s="4">
        <v>5</v>
      </c>
      <c r="X88" s="4">
        <v>8</v>
      </c>
      <c r="Y88" s="4">
        <v>4</v>
      </c>
      <c r="Z88" s="4">
        <v>7</v>
      </c>
      <c r="AA88" s="4">
        <v>21</v>
      </c>
      <c r="AB88" s="4">
        <v>41</v>
      </c>
      <c r="AC88" s="5">
        <f t="shared" si="1"/>
        <v>0.7142857142857143</v>
      </c>
    </row>
    <row r="89" spans="1:29" ht="15.75" customHeight="1" x14ac:dyDescent="0.25">
      <c r="A89" s="1" t="s">
        <v>198</v>
      </c>
      <c r="B89" s="3" t="s">
        <v>244</v>
      </c>
      <c r="C89" s="4" t="s">
        <v>90</v>
      </c>
      <c r="D89" s="4">
        <v>8</v>
      </c>
      <c r="E89" s="4">
        <v>125</v>
      </c>
      <c r="F89" s="4">
        <v>8</v>
      </c>
      <c r="G89" s="4">
        <v>0</v>
      </c>
      <c r="H89" s="4">
        <v>125</v>
      </c>
      <c r="I89" s="4">
        <v>28</v>
      </c>
      <c r="J89" s="4">
        <v>45</v>
      </c>
      <c r="K89" s="4">
        <v>0.622</v>
      </c>
      <c r="L89" s="4">
        <v>6</v>
      </c>
      <c r="M89" s="4">
        <v>17</v>
      </c>
      <c r="N89" s="4">
        <v>0.35299999999999998</v>
      </c>
      <c r="O89" s="4">
        <v>22</v>
      </c>
      <c r="P89" s="4">
        <v>28</v>
      </c>
      <c r="Q89" s="4">
        <v>0.78600000000000003</v>
      </c>
      <c r="R89" s="4">
        <v>10</v>
      </c>
      <c r="S89" s="4">
        <v>13</v>
      </c>
      <c r="T89" s="4">
        <v>0.76900000000000002</v>
      </c>
      <c r="U89" s="4">
        <v>6</v>
      </c>
      <c r="V89" s="4">
        <v>22</v>
      </c>
      <c r="W89" s="4">
        <v>4</v>
      </c>
      <c r="X89" s="4">
        <v>1</v>
      </c>
      <c r="Y89" s="4">
        <v>3</v>
      </c>
      <c r="Z89" s="4">
        <v>3</v>
      </c>
      <c r="AA89" s="4">
        <v>20</v>
      </c>
      <c r="AB89" s="4">
        <v>72</v>
      </c>
      <c r="AC89" s="5">
        <f t="shared" si="1"/>
        <v>1.3333333333333333</v>
      </c>
    </row>
    <row r="90" spans="1:29" ht="15.75" customHeight="1" x14ac:dyDescent="0.25">
      <c r="A90" s="1" t="s">
        <v>136</v>
      </c>
      <c r="B90" s="3" t="s">
        <v>101</v>
      </c>
      <c r="C90" s="4" t="s">
        <v>87</v>
      </c>
      <c r="D90" s="4">
        <v>7</v>
      </c>
      <c r="E90" s="4">
        <v>122</v>
      </c>
      <c r="F90" s="4">
        <v>7</v>
      </c>
      <c r="G90" s="4">
        <v>7</v>
      </c>
      <c r="H90" s="4">
        <v>122</v>
      </c>
      <c r="I90" s="4">
        <v>11</v>
      </c>
      <c r="J90" s="4">
        <v>33</v>
      </c>
      <c r="K90" s="4">
        <v>0.33300000000000002</v>
      </c>
      <c r="L90" s="4">
        <v>2</v>
      </c>
      <c r="M90" s="4">
        <v>15</v>
      </c>
      <c r="N90" s="4">
        <v>0.13300000000000001</v>
      </c>
      <c r="O90" s="4">
        <v>9</v>
      </c>
      <c r="P90" s="4">
        <v>18</v>
      </c>
      <c r="Q90" s="4">
        <v>0.5</v>
      </c>
      <c r="R90" s="4">
        <v>2</v>
      </c>
      <c r="S90" s="4">
        <v>3</v>
      </c>
      <c r="T90" s="4">
        <v>0.66700000000000004</v>
      </c>
      <c r="U90" s="4">
        <v>10</v>
      </c>
      <c r="V90" s="4">
        <v>24</v>
      </c>
      <c r="W90" s="4">
        <v>14</v>
      </c>
      <c r="X90" s="4">
        <v>8</v>
      </c>
      <c r="Y90" s="4">
        <v>4</v>
      </c>
      <c r="Z90" s="4">
        <v>9</v>
      </c>
      <c r="AA90" s="4">
        <v>23</v>
      </c>
      <c r="AB90" s="4">
        <v>26</v>
      </c>
      <c r="AC90" s="5">
        <f t="shared" si="1"/>
        <v>1.5555555555555556</v>
      </c>
    </row>
    <row r="91" spans="1:29" ht="15.75" customHeight="1" x14ac:dyDescent="0.25">
      <c r="A91" s="1" t="s">
        <v>219</v>
      </c>
      <c r="B91" s="3" t="s">
        <v>133</v>
      </c>
      <c r="C91" s="4" t="s">
        <v>187</v>
      </c>
      <c r="D91" s="4">
        <v>7</v>
      </c>
      <c r="E91" s="4">
        <v>119</v>
      </c>
      <c r="F91" s="4">
        <v>7</v>
      </c>
      <c r="G91" s="4">
        <v>0</v>
      </c>
      <c r="H91" s="4">
        <v>119</v>
      </c>
      <c r="I91" s="4">
        <v>14</v>
      </c>
      <c r="J91" s="4">
        <v>29</v>
      </c>
      <c r="K91" s="4">
        <v>0.48299999999999998</v>
      </c>
      <c r="L91" s="4">
        <v>0</v>
      </c>
      <c r="M91" s="4">
        <v>0</v>
      </c>
      <c r="N91" s="4">
        <v>0</v>
      </c>
      <c r="O91" s="4">
        <v>14</v>
      </c>
      <c r="P91" s="4">
        <v>29</v>
      </c>
      <c r="Q91" s="4">
        <v>0.48299999999999998</v>
      </c>
      <c r="R91" s="4">
        <v>7</v>
      </c>
      <c r="S91" s="4">
        <v>17</v>
      </c>
      <c r="T91" s="4">
        <v>0.41199999999999998</v>
      </c>
      <c r="U91" s="4">
        <v>14</v>
      </c>
      <c r="V91" s="4">
        <v>34</v>
      </c>
      <c r="W91" s="4">
        <v>8</v>
      </c>
      <c r="X91" s="4">
        <v>3</v>
      </c>
      <c r="Y91" s="4">
        <v>6</v>
      </c>
      <c r="Z91" s="4">
        <v>7</v>
      </c>
      <c r="AA91" s="4">
        <v>10</v>
      </c>
      <c r="AB91" s="4">
        <v>35</v>
      </c>
      <c r="AC91" s="5">
        <f t="shared" si="1"/>
        <v>1.1428571428571428</v>
      </c>
    </row>
    <row r="92" spans="1:29" ht="15.75" customHeight="1" x14ac:dyDescent="0.25">
      <c r="A92" s="1" t="s">
        <v>132</v>
      </c>
      <c r="B92" s="3" t="s">
        <v>133</v>
      </c>
      <c r="C92" s="4" t="s">
        <v>87</v>
      </c>
      <c r="D92" s="4">
        <v>4</v>
      </c>
      <c r="E92" s="4">
        <v>118</v>
      </c>
      <c r="F92" s="4">
        <v>4</v>
      </c>
      <c r="G92" s="4">
        <v>4</v>
      </c>
      <c r="H92" s="4">
        <v>118</v>
      </c>
      <c r="I92" s="4">
        <v>24</v>
      </c>
      <c r="J92" s="4">
        <v>60</v>
      </c>
      <c r="K92" s="4">
        <v>0.4</v>
      </c>
      <c r="L92" s="4">
        <v>6</v>
      </c>
      <c r="M92" s="4">
        <v>21</v>
      </c>
      <c r="N92" s="4">
        <v>0.28599999999999998</v>
      </c>
      <c r="O92" s="4">
        <v>18</v>
      </c>
      <c r="P92" s="4">
        <v>39</v>
      </c>
      <c r="Q92" s="4">
        <v>0.46200000000000002</v>
      </c>
      <c r="R92" s="4">
        <v>18</v>
      </c>
      <c r="S92" s="4">
        <v>22</v>
      </c>
      <c r="T92" s="4">
        <v>0.81799999999999995</v>
      </c>
      <c r="U92" s="4">
        <v>4</v>
      </c>
      <c r="V92" s="4">
        <v>19</v>
      </c>
      <c r="W92" s="4">
        <v>8</v>
      </c>
      <c r="X92" s="4">
        <v>1</v>
      </c>
      <c r="Y92" s="4">
        <v>7</v>
      </c>
      <c r="Z92" s="4">
        <v>8</v>
      </c>
      <c r="AA92" s="4">
        <v>7</v>
      </c>
      <c r="AB92" s="4">
        <v>72</v>
      </c>
      <c r="AC92" s="5">
        <f t="shared" si="1"/>
        <v>1</v>
      </c>
    </row>
    <row r="93" spans="1:29" ht="15.75" customHeight="1" x14ac:dyDescent="0.25">
      <c r="A93" s="1" t="s">
        <v>185</v>
      </c>
      <c r="B93" s="3" t="s">
        <v>119</v>
      </c>
      <c r="C93" s="4" t="s">
        <v>87</v>
      </c>
      <c r="D93" s="4">
        <v>7</v>
      </c>
      <c r="E93" s="4">
        <v>112</v>
      </c>
      <c r="F93" s="4">
        <v>7</v>
      </c>
      <c r="G93" s="4">
        <v>7</v>
      </c>
      <c r="H93" s="4">
        <v>112</v>
      </c>
      <c r="I93" s="4">
        <v>9</v>
      </c>
      <c r="J93" s="4">
        <v>17</v>
      </c>
      <c r="K93" s="4">
        <v>0.52900000000000003</v>
      </c>
      <c r="L93" s="4">
        <v>0</v>
      </c>
      <c r="M93" s="4">
        <v>6</v>
      </c>
      <c r="N93" s="4">
        <v>0</v>
      </c>
      <c r="O93" s="4">
        <v>9</v>
      </c>
      <c r="P93" s="4">
        <v>11</v>
      </c>
      <c r="Q93" s="4">
        <v>0.81799999999999995</v>
      </c>
      <c r="R93" s="4">
        <v>1</v>
      </c>
      <c r="S93" s="4">
        <v>2</v>
      </c>
      <c r="T93" s="4">
        <v>0.5</v>
      </c>
      <c r="U93" s="4">
        <v>4</v>
      </c>
      <c r="V93" s="4">
        <v>18</v>
      </c>
      <c r="W93" s="4">
        <v>9</v>
      </c>
      <c r="X93" s="4">
        <v>4</v>
      </c>
      <c r="Y93" s="4">
        <v>2</v>
      </c>
      <c r="Z93" s="4">
        <v>5</v>
      </c>
      <c r="AA93" s="4">
        <v>7</v>
      </c>
      <c r="AB93" s="4">
        <v>19</v>
      </c>
      <c r="AC93" s="5">
        <f t="shared" si="1"/>
        <v>1.8</v>
      </c>
    </row>
    <row r="94" spans="1:29" ht="15.75" customHeight="1" x14ac:dyDescent="0.25">
      <c r="A94" s="1" t="s">
        <v>197</v>
      </c>
      <c r="B94" s="3" t="s">
        <v>93</v>
      </c>
      <c r="C94" s="4" t="s">
        <v>8</v>
      </c>
      <c r="D94" s="4">
        <v>7</v>
      </c>
      <c r="E94" s="4">
        <v>111</v>
      </c>
      <c r="F94" s="4">
        <v>7</v>
      </c>
      <c r="G94" s="4">
        <v>0</v>
      </c>
      <c r="H94" s="4">
        <v>111</v>
      </c>
      <c r="I94" s="4">
        <v>19</v>
      </c>
      <c r="J94" s="4">
        <v>41</v>
      </c>
      <c r="K94" s="4">
        <v>0.46300000000000002</v>
      </c>
      <c r="L94" s="4">
        <v>4</v>
      </c>
      <c r="M94" s="4">
        <v>8</v>
      </c>
      <c r="N94" s="4">
        <v>0.5</v>
      </c>
      <c r="O94" s="4">
        <v>15</v>
      </c>
      <c r="P94" s="4">
        <v>33</v>
      </c>
      <c r="Q94" s="4">
        <v>0.45500000000000002</v>
      </c>
      <c r="R94" s="4">
        <v>10</v>
      </c>
      <c r="S94" s="4">
        <v>11</v>
      </c>
      <c r="T94" s="4">
        <v>0.90900000000000003</v>
      </c>
      <c r="U94" s="4">
        <v>5</v>
      </c>
      <c r="V94" s="4">
        <v>14</v>
      </c>
      <c r="W94" s="4">
        <v>10</v>
      </c>
      <c r="X94" s="4">
        <v>1</v>
      </c>
      <c r="Y94" s="4">
        <v>0</v>
      </c>
      <c r="Z94" s="4">
        <v>6</v>
      </c>
      <c r="AA94" s="4">
        <v>9</v>
      </c>
      <c r="AB94" s="4">
        <v>52</v>
      </c>
      <c r="AC94" s="5">
        <f t="shared" si="1"/>
        <v>1.6666666666666667</v>
      </c>
    </row>
    <row r="95" spans="1:29" ht="15.75" customHeight="1" x14ac:dyDescent="0.25">
      <c r="A95" s="1" t="s">
        <v>242</v>
      </c>
      <c r="B95" s="3" t="s">
        <v>109</v>
      </c>
      <c r="C95" s="4" t="s">
        <v>87</v>
      </c>
      <c r="D95" s="4">
        <v>6</v>
      </c>
      <c r="E95" s="4">
        <v>111</v>
      </c>
      <c r="F95" s="4">
        <v>6</v>
      </c>
      <c r="G95" s="4">
        <v>6</v>
      </c>
      <c r="H95" s="4">
        <v>111</v>
      </c>
      <c r="I95" s="4">
        <v>21</v>
      </c>
      <c r="J95" s="4">
        <v>42</v>
      </c>
      <c r="K95" s="4">
        <v>0.5</v>
      </c>
      <c r="L95" s="4">
        <v>0</v>
      </c>
      <c r="M95" s="4">
        <v>3</v>
      </c>
      <c r="N95" s="4">
        <v>0</v>
      </c>
      <c r="O95" s="4">
        <v>21</v>
      </c>
      <c r="P95" s="4">
        <v>39</v>
      </c>
      <c r="Q95" s="4">
        <v>0.53800000000000003</v>
      </c>
      <c r="R95" s="4">
        <v>6</v>
      </c>
      <c r="S95" s="4">
        <v>9</v>
      </c>
      <c r="T95" s="4">
        <v>0.66700000000000004</v>
      </c>
      <c r="U95" s="4">
        <v>9</v>
      </c>
      <c r="V95" s="4">
        <v>23</v>
      </c>
      <c r="W95" s="4">
        <v>5</v>
      </c>
      <c r="X95" s="4">
        <v>7</v>
      </c>
      <c r="Y95" s="4">
        <v>3</v>
      </c>
      <c r="Z95" s="4">
        <v>12</v>
      </c>
      <c r="AA95" s="4">
        <v>13</v>
      </c>
      <c r="AB95" s="4">
        <v>48</v>
      </c>
      <c r="AC95" s="5">
        <f t="shared" si="1"/>
        <v>0.41666666666666669</v>
      </c>
    </row>
    <row r="96" spans="1:29" ht="15.75" customHeight="1" x14ac:dyDescent="0.25">
      <c r="A96" s="1" t="s">
        <v>231</v>
      </c>
      <c r="B96" s="3" t="s">
        <v>101</v>
      </c>
      <c r="C96" s="4" t="s">
        <v>87</v>
      </c>
      <c r="D96" s="4">
        <v>8</v>
      </c>
      <c r="E96" s="4">
        <v>111</v>
      </c>
      <c r="F96" s="4">
        <v>8</v>
      </c>
      <c r="G96" s="4">
        <v>0</v>
      </c>
      <c r="H96" s="4">
        <v>111</v>
      </c>
      <c r="I96" s="4">
        <v>17</v>
      </c>
      <c r="J96" s="4">
        <v>26</v>
      </c>
      <c r="K96" s="4">
        <v>0.65400000000000003</v>
      </c>
      <c r="L96" s="4">
        <v>7</v>
      </c>
      <c r="M96" s="4">
        <v>13</v>
      </c>
      <c r="N96" s="4">
        <v>0.53800000000000003</v>
      </c>
      <c r="O96" s="4">
        <v>10</v>
      </c>
      <c r="P96" s="4">
        <v>13</v>
      </c>
      <c r="Q96" s="4">
        <v>0.76900000000000002</v>
      </c>
      <c r="R96" s="4">
        <v>12</v>
      </c>
      <c r="S96" s="4">
        <v>16</v>
      </c>
      <c r="T96" s="4">
        <v>0.75</v>
      </c>
      <c r="U96" s="4">
        <v>4</v>
      </c>
      <c r="V96" s="4">
        <v>24</v>
      </c>
      <c r="W96" s="4">
        <v>7</v>
      </c>
      <c r="X96" s="4">
        <v>5</v>
      </c>
      <c r="Y96" s="4">
        <v>7</v>
      </c>
      <c r="Z96" s="4">
        <v>6</v>
      </c>
      <c r="AA96" s="4">
        <v>4</v>
      </c>
      <c r="AB96" s="4">
        <v>53</v>
      </c>
      <c r="AC96" s="5">
        <f t="shared" si="1"/>
        <v>1.1666666666666667</v>
      </c>
    </row>
    <row r="97" spans="1:29" ht="15.75" customHeight="1" x14ac:dyDescent="0.25">
      <c r="A97" s="1" t="s">
        <v>223</v>
      </c>
      <c r="B97" s="3" t="s">
        <v>133</v>
      </c>
      <c r="C97" s="4" t="s">
        <v>8</v>
      </c>
      <c r="D97" s="4">
        <v>7</v>
      </c>
      <c r="E97" s="4">
        <v>110</v>
      </c>
      <c r="F97" s="4">
        <v>7</v>
      </c>
      <c r="G97" s="4">
        <v>0</v>
      </c>
      <c r="H97" s="4">
        <v>110</v>
      </c>
      <c r="I97" s="4">
        <v>13</v>
      </c>
      <c r="J97" s="4">
        <v>36</v>
      </c>
      <c r="K97" s="4">
        <v>0.36099999999999999</v>
      </c>
      <c r="L97" s="4">
        <v>8</v>
      </c>
      <c r="M97" s="4">
        <v>26</v>
      </c>
      <c r="N97" s="4">
        <v>0.308</v>
      </c>
      <c r="O97" s="4">
        <v>5</v>
      </c>
      <c r="P97" s="4">
        <v>10</v>
      </c>
      <c r="Q97" s="4">
        <v>0.5</v>
      </c>
      <c r="R97" s="4">
        <v>3</v>
      </c>
      <c r="S97" s="4">
        <v>4</v>
      </c>
      <c r="T97" s="4">
        <v>0.75</v>
      </c>
      <c r="U97" s="4">
        <v>0</v>
      </c>
      <c r="V97" s="4">
        <v>2</v>
      </c>
      <c r="W97" s="4">
        <v>8</v>
      </c>
      <c r="X97" s="4">
        <v>2</v>
      </c>
      <c r="Y97" s="4">
        <v>1</v>
      </c>
      <c r="Z97" s="4">
        <v>7</v>
      </c>
      <c r="AA97" s="4">
        <v>12</v>
      </c>
      <c r="AB97" s="4">
        <v>37</v>
      </c>
      <c r="AC97" s="5">
        <f t="shared" si="1"/>
        <v>1.1428571428571428</v>
      </c>
    </row>
    <row r="98" spans="1:29" ht="15.75" customHeight="1" x14ac:dyDescent="0.25">
      <c r="A98" s="1" t="s">
        <v>226</v>
      </c>
      <c r="B98" s="3" t="s">
        <v>109</v>
      </c>
      <c r="C98" s="4" t="s">
        <v>87</v>
      </c>
      <c r="D98" s="4">
        <v>8</v>
      </c>
      <c r="E98" s="4">
        <v>110</v>
      </c>
      <c r="F98" s="4">
        <v>8</v>
      </c>
      <c r="G98" s="4">
        <v>0</v>
      </c>
      <c r="H98" s="4">
        <v>110</v>
      </c>
      <c r="I98" s="4">
        <v>16</v>
      </c>
      <c r="J98" s="4">
        <v>30</v>
      </c>
      <c r="K98" s="4">
        <v>0.53300000000000003</v>
      </c>
      <c r="L98" s="4">
        <v>1</v>
      </c>
      <c r="M98" s="4">
        <v>2</v>
      </c>
      <c r="N98" s="4">
        <v>0.5</v>
      </c>
      <c r="O98" s="4">
        <v>15</v>
      </c>
      <c r="P98" s="4">
        <v>28</v>
      </c>
      <c r="Q98" s="4">
        <v>0.53600000000000003</v>
      </c>
      <c r="R98" s="4">
        <v>6</v>
      </c>
      <c r="S98" s="4">
        <v>12</v>
      </c>
      <c r="T98" s="4">
        <v>0.5</v>
      </c>
      <c r="U98" s="4">
        <v>11</v>
      </c>
      <c r="V98" s="4">
        <v>30</v>
      </c>
      <c r="W98" s="4">
        <v>7</v>
      </c>
      <c r="X98" s="4">
        <v>5</v>
      </c>
      <c r="Y98" s="4">
        <v>0</v>
      </c>
      <c r="Z98" s="4">
        <v>6</v>
      </c>
      <c r="AA98" s="4">
        <v>21</v>
      </c>
      <c r="AB98" s="4">
        <v>39</v>
      </c>
      <c r="AC98" s="5">
        <f t="shared" si="1"/>
        <v>1.1666666666666667</v>
      </c>
    </row>
    <row r="99" spans="1:29" ht="15.75" customHeight="1" x14ac:dyDescent="0.25">
      <c r="A99" s="1" t="s">
        <v>182</v>
      </c>
      <c r="B99" s="3" t="s">
        <v>93</v>
      </c>
      <c r="C99" s="4" t="s">
        <v>87</v>
      </c>
      <c r="D99" s="4">
        <v>7</v>
      </c>
      <c r="E99" s="4">
        <v>108</v>
      </c>
      <c r="F99" s="4">
        <v>7</v>
      </c>
      <c r="G99" s="4">
        <v>0</v>
      </c>
      <c r="H99" s="4">
        <v>108</v>
      </c>
      <c r="I99" s="4">
        <v>14</v>
      </c>
      <c r="J99" s="4">
        <v>28</v>
      </c>
      <c r="K99" s="4">
        <v>0.5</v>
      </c>
      <c r="L99" s="4">
        <v>0</v>
      </c>
      <c r="M99" s="4">
        <v>1</v>
      </c>
      <c r="N99" s="4">
        <v>0</v>
      </c>
      <c r="O99" s="4">
        <v>14</v>
      </c>
      <c r="P99" s="4">
        <v>27</v>
      </c>
      <c r="Q99" s="4">
        <v>0.51900000000000002</v>
      </c>
      <c r="R99" s="4">
        <v>10</v>
      </c>
      <c r="S99" s="4">
        <v>20</v>
      </c>
      <c r="T99" s="4">
        <v>0.5</v>
      </c>
      <c r="U99" s="4">
        <v>13</v>
      </c>
      <c r="V99" s="4">
        <v>32</v>
      </c>
      <c r="W99" s="4">
        <v>12</v>
      </c>
      <c r="X99" s="4">
        <v>2</v>
      </c>
      <c r="Y99" s="4">
        <v>8</v>
      </c>
      <c r="Z99" s="4">
        <v>7</v>
      </c>
      <c r="AA99" s="4">
        <v>16</v>
      </c>
      <c r="AB99" s="4">
        <v>38</v>
      </c>
      <c r="AC99" s="5">
        <f t="shared" si="1"/>
        <v>1.7142857142857142</v>
      </c>
    </row>
    <row r="100" spans="1:29" ht="15.75" customHeight="1" x14ac:dyDescent="0.25">
      <c r="A100" s="1" t="s">
        <v>102</v>
      </c>
      <c r="B100" s="3" t="s">
        <v>86</v>
      </c>
      <c r="C100" s="4" t="s">
        <v>96</v>
      </c>
      <c r="D100" s="4">
        <v>5</v>
      </c>
      <c r="E100" s="4">
        <v>108</v>
      </c>
      <c r="F100" s="4">
        <v>5</v>
      </c>
      <c r="G100" s="4">
        <v>4</v>
      </c>
      <c r="H100" s="4">
        <v>108</v>
      </c>
      <c r="I100" s="4">
        <v>12</v>
      </c>
      <c r="J100" s="4">
        <v>25</v>
      </c>
      <c r="K100" s="4">
        <v>0.48</v>
      </c>
      <c r="L100" s="4">
        <v>5</v>
      </c>
      <c r="M100" s="4">
        <v>15</v>
      </c>
      <c r="N100" s="4">
        <v>0.33300000000000002</v>
      </c>
      <c r="O100" s="4">
        <v>7</v>
      </c>
      <c r="P100" s="4">
        <v>10</v>
      </c>
      <c r="Q100" s="4">
        <v>0.7</v>
      </c>
      <c r="R100" s="4">
        <v>11</v>
      </c>
      <c r="S100" s="4">
        <v>12</v>
      </c>
      <c r="T100" s="4">
        <v>0.91700000000000004</v>
      </c>
      <c r="U100" s="4">
        <v>1</v>
      </c>
      <c r="V100" s="4">
        <v>9</v>
      </c>
      <c r="W100" s="4">
        <v>11</v>
      </c>
      <c r="X100" s="4">
        <v>2</v>
      </c>
      <c r="Y100" s="4">
        <v>1</v>
      </c>
      <c r="Z100" s="4">
        <v>6</v>
      </c>
      <c r="AA100" s="4">
        <v>7</v>
      </c>
      <c r="AB100" s="4">
        <v>40</v>
      </c>
      <c r="AC100" s="5">
        <f t="shared" si="1"/>
        <v>1.8333333333333333</v>
      </c>
    </row>
    <row r="101" spans="1:29" ht="15.75" customHeight="1" x14ac:dyDescent="0.25">
      <c r="A101" s="1" t="s">
        <v>211</v>
      </c>
      <c r="B101" s="3" t="s">
        <v>130</v>
      </c>
      <c r="C101" s="4" t="s">
        <v>8</v>
      </c>
      <c r="D101" s="4">
        <v>6</v>
      </c>
      <c r="E101" s="4">
        <v>108</v>
      </c>
      <c r="F101" s="4">
        <v>6</v>
      </c>
      <c r="G101" s="4">
        <v>1</v>
      </c>
      <c r="H101" s="4">
        <v>108</v>
      </c>
      <c r="I101" s="4">
        <v>14</v>
      </c>
      <c r="J101" s="4">
        <v>34</v>
      </c>
      <c r="K101" s="4">
        <v>0.41199999999999998</v>
      </c>
      <c r="L101" s="4">
        <v>9</v>
      </c>
      <c r="M101" s="4">
        <v>21</v>
      </c>
      <c r="N101" s="4">
        <v>0.42899999999999999</v>
      </c>
      <c r="O101" s="4">
        <v>5</v>
      </c>
      <c r="P101" s="4">
        <v>13</v>
      </c>
      <c r="Q101" s="4">
        <v>0.38500000000000001</v>
      </c>
      <c r="R101" s="4">
        <v>5</v>
      </c>
      <c r="S101" s="4">
        <v>6</v>
      </c>
      <c r="T101" s="4">
        <v>0.83299999999999996</v>
      </c>
      <c r="U101" s="4">
        <v>1</v>
      </c>
      <c r="V101" s="4">
        <v>13</v>
      </c>
      <c r="W101" s="4">
        <v>12</v>
      </c>
      <c r="X101" s="4">
        <v>1</v>
      </c>
      <c r="Y101" s="4">
        <v>2</v>
      </c>
      <c r="Z101" s="4">
        <v>7</v>
      </c>
      <c r="AA101" s="4">
        <v>11</v>
      </c>
      <c r="AB101" s="4">
        <v>42</v>
      </c>
      <c r="AC101" s="5">
        <f t="shared" si="1"/>
        <v>1.7142857142857142</v>
      </c>
    </row>
    <row r="102" spans="1:29" ht="15.75" customHeight="1" x14ac:dyDescent="0.25">
      <c r="A102" s="1" t="s">
        <v>201</v>
      </c>
      <c r="B102" s="3" t="s">
        <v>101</v>
      </c>
      <c r="C102" s="4" t="s">
        <v>87</v>
      </c>
      <c r="D102" s="4">
        <v>8</v>
      </c>
      <c r="E102" s="4">
        <v>108</v>
      </c>
      <c r="F102" s="4">
        <v>8</v>
      </c>
      <c r="G102" s="4">
        <v>1</v>
      </c>
      <c r="H102" s="4">
        <v>108</v>
      </c>
      <c r="I102" s="4">
        <v>21</v>
      </c>
      <c r="J102" s="4">
        <v>47</v>
      </c>
      <c r="K102" s="4">
        <v>0.44700000000000001</v>
      </c>
      <c r="L102" s="4">
        <v>6</v>
      </c>
      <c r="M102" s="4">
        <v>16</v>
      </c>
      <c r="N102" s="4">
        <v>0.375</v>
      </c>
      <c r="O102" s="4">
        <v>15</v>
      </c>
      <c r="P102" s="4">
        <v>31</v>
      </c>
      <c r="Q102" s="4">
        <v>0.48399999999999999</v>
      </c>
      <c r="R102" s="4">
        <v>3</v>
      </c>
      <c r="S102" s="4">
        <v>3</v>
      </c>
      <c r="T102" s="4">
        <v>1</v>
      </c>
      <c r="U102" s="4">
        <v>4</v>
      </c>
      <c r="V102" s="4">
        <v>21</v>
      </c>
      <c r="W102" s="4">
        <v>6</v>
      </c>
      <c r="X102" s="4">
        <v>2</v>
      </c>
      <c r="Y102" s="4">
        <v>3</v>
      </c>
      <c r="Z102" s="4">
        <v>1</v>
      </c>
      <c r="AA102" s="4">
        <v>12</v>
      </c>
      <c r="AB102" s="4">
        <v>51</v>
      </c>
      <c r="AC102" s="5">
        <f t="shared" si="1"/>
        <v>6</v>
      </c>
    </row>
    <row r="103" spans="1:29" ht="15.75" customHeight="1" x14ac:dyDescent="0.25">
      <c r="A103" s="1" t="s">
        <v>165</v>
      </c>
      <c r="B103" s="3" t="s">
        <v>86</v>
      </c>
      <c r="C103" s="4" t="s">
        <v>90</v>
      </c>
      <c r="D103" s="4">
        <v>8</v>
      </c>
      <c r="E103" s="4">
        <v>106</v>
      </c>
      <c r="F103" s="4">
        <v>8</v>
      </c>
      <c r="G103" s="4">
        <v>0</v>
      </c>
      <c r="H103" s="4">
        <v>106</v>
      </c>
      <c r="I103" s="4">
        <v>17</v>
      </c>
      <c r="J103" s="4">
        <v>34</v>
      </c>
      <c r="K103" s="4">
        <v>0.5</v>
      </c>
      <c r="L103" s="4">
        <v>6</v>
      </c>
      <c r="M103" s="4">
        <v>16</v>
      </c>
      <c r="N103" s="4">
        <v>0.375</v>
      </c>
      <c r="O103" s="4">
        <v>11</v>
      </c>
      <c r="P103" s="4">
        <v>18</v>
      </c>
      <c r="Q103" s="4">
        <v>0.61099999999999999</v>
      </c>
      <c r="R103" s="4">
        <v>2</v>
      </c>
      <c r="S103" s="4">
        <v>3</v>
      </c>
      <c r="T103" s="4">
        <v>0.66700000000000004</v>
      </c>
      <c r="U103" s="4">
        <v>4</v>
      </c>
      <c r="V103" s="4">
        <v>15</v>
      </c>
      <c r="W103" s="4">
        <v>5</v>
      </c>
      <c r="X103" s="4">
        <v>4</v>
      </c>
      <c r="Y103" s="4">
        <v>3</v>
      </c>
      <c r="Z103" s="4">
        <v>2</v>
      </c>
      <c r="AA103" s="4">
        <v>9</v>
      </c>
      <c r="AB103" s="4">
        <v>42</v>
      </c>
      <c r="AC103" s="5">
        <f t="shared" si="1"/>
        <v>2.5</v>
      </c>
    </row>
    <row r="104" spans="1:29" ht="15.75" customHeight="1" x14ac:dyDescent="0.25">
      <c r="A104" s="1" t="s">
        <v>225</v>
      </c>
      <c r="B104" s="3" t="s">
        <v>139</v>
      </c>
      <c r="C104" s="4" t="s">
        <v>87</v>
      </c>
      <c r="D104" s="4">
        <v>6</v>
      </c>
      <c r="E104" s="4">
        <v>105</v>
      </c>
      <c r="F104" s="4">
        <v>6</v>
      </c>
      <c r="G104" s="4">
        <v>1</v>
      </c>
      <c r="H104" s="4">
        <v>105</v>
      </c>
      <c r="I104" s="4">
        <v>20</v>
      </c>
      <c r="J104" s="4">
        <v>33</v>
      </c>
      <c r="K104" s="4">
        <v>0.60599999999999998</v>
      </c>
      <c r="L104" s="4">
        <v>3</v>
      </c>
      <c r="M104" s="4">
        <v>11</v>
      </c>
      <c r="N104" s="4">
        <v>0.27300000000000002</v>
      </c>
      <c r="O104" s="4">
        <v>17</v>
      </c>
      <c r="P104" s="4">
        <v>22</v>
      </c>
      <c r="Q104" s="4">
        <v>0.77300000000000002</v>
      </c>
      <c r="R104" s="4">
        <v>13</v>
      </c>
      <c r="S104" s="4">
        <v>19</v>
      </c>
      <c r="T104" s="4">
        <v>0.68400000000000005</v>
      </c>
      <c r="U104" s="4">
        <v>10</v>
      </c>
      <c r="V104" s="4">
        <v>26</v>
      </c>
      <c r="W104" s="4">
        <v>5</v>
      </c>
      <c r="X104" s="4">
        <v>4</v>
      </c>
      <c r="Y104" s="4">
        <v>10</v>
      </c>
      <c r="Z104" s="4">
        <v>20</v>
      </c>
      <c r="AA104" s="4">
        <v>25</v>
      </c>
      <c r="AB104" s="4">
        <v>56</v>
      </c>
      <c r="AC104" s="5">
        <f t="shared" si="1"/>
        <v>0.25</v>
      </c>
    </row>
    <row r="105" spans="1:29" ht="15.75" customHeight="1" x14ac:dyDescent="0.25">
      <c r="A105" s="1" t="s">
        <v>194</v>
      </c>
      <c r="B105" s="3" t="s">
        <v>95</v>
      </c>
      <c r="C105" s="4" t="s">
        <v>8</v>
      </c>
      <c r="D105" s="4">
        <v>8</v>
      </c>
      <c r="E105" s="4">
        <v>105</v>
      </c>
      <c r="F105" s="4">
        <v>8</v>
      </c>
      <c r="G105" s="4">
        <v>0</v>
      </c>
      <c r="H105" s="4">
        <v>105</v>
      </c>
      <c r="I105" s="4">
        <v>12</v>
      </c>
      <c r="J105" s="4">
        <v>33</v>
      </c>
      <c r="K105" s="4">
        <v>0.36399999999999999</v>
      </c>
      <c r="L105" s="4">
        <v>9</v>
      </c>
      <c r="M105" s="4">
        <v>25</v>
      </c>
      <c r="N105" s="4">
        <v>0.36</v>
      </c>
      <c r="O105" s="4">
        <v>3</v>
      </c>
      <c r="P105" s="4">
        <v>8</v>
      </c>
      <c r="Q105" s="4">
        <v>0.375</v>
      </c>
      <c r="R105" s="4">
        <v>5</v>
      </c>
      <c r="S105" s="4">
        <v>5</v>
      </c>
      <c r="T105" s="4">
        <v>1</v>
      </c>
      <c r="U105" s="4">
        <v>0</v>
      </c>
      <c r="V105" s="4">
        <v>3</v>
      </c>
      <c r="W105" s="4">
        <v>4</v>
      </c>
      <c r="X105" s="4">
        <v>4</v>
      </c>
      <c r="Y105" s="4">
        <v>1</v>
      </c>
      <c r="Z105" s="4">
        <v>6</v>
      </c>
      <c r="AA105" s="4">
        <v>10</v>
      </c>
      <c r="AB105" s="4">
        <v>38</v>
      </c>
      <c r="AC105" s="5">
        <f t="shared" si="1"/>
        <v>0.66666666666666663</v>
      </c>
    </row>
    <row r="106" spans="1:29" ht="15.75" customHeight="1" x14ac:dyDescent="0.25">
      <c r="A106" s="1" t="s">
        <v>189</v>
      </c>
      <c r="B106" s="3" t="s">
        <v>139</v>
      </c>
      <c r="C106" s="4" t="s">
        <v>8</v>
      </c>
      <c r="D106" s="4">
        <v>4</v>
      </c>
      <c r="E106" s="4">
        <v>102</v>
      </c>
      <c r="F106" s="4">
        <v>4</v>
      </c>
      <c r="G106" s="4">
        <v>4</v>
      </c>
      <c r="H106" s="4">
        <v>102</v>
      </c>
      <c r="I106" s="4">
        <v>12</v>
      </c>
      <c r="J106" s="4">
        <v>36</v>
      </c>
      <c r="K106" s="4">
        <v>0.33300000000000002</v>
      </c>
      <c r="L106" s="4">
        <v>4</v>
      </c>
      <c r="M106" s="4">
        <v>19</v>
      </c>
      <c r="N106" s="4">
        <v>0.21099999999999999</v>
      </c>
      <c r="O106" s="4">
        <v>8</v>
      </c>
      <c r="P106" s="4">
        <v>17</v>
      </c>
      <c r="Q106" s="4">
        <v>0.47099999999999997</v>
      </c>
      <c r="R106" s="4">
        <v>4</v>
      </c>
      <c r="S106" s="4">
        <v>5</v>
      </c>
      <c r="T106" s="4">
        <v>0.8</v>
      </c>
      <c r="U106" s="4">
        <v>3</v>
      </c>
      <c r="V106" s="4">
        <v>10</v>
      </c>
      <c r="W106" s="4">
        <v>10</v>
      </c>
      <c r="X106" s="4">
        <v>8</v>
      </c>
      <c r="Y106" s="4">
        <v>1</v>
      </c>
      <c r="Z106" s="4">
        <v>9</v>
      </c>
      <c r="AA106" s="4">
        <v>11</v>
      </c>
      <c r="AB106" s="4">
        <v>32</v>
      </c>
      <c r="AC106" s="5">
        <f t="shared" si="1"/>
        <v>1.1111111111111112</v>
      </c>
    </row>
    <row r="107" spans="1:29" ht="15.75" customHeight="1" x14ac:dyDescent="0.25">
      <c r="A107" s="1" t="s">
        <v>237</v>
      </c>
      <c r="B107" s="3" t="s">
        <v>160</v>
      </c>
      <c r="C107" s="4" t="s">
        <v>8</v>
      </c>
      <c r="D107" s="4">
        <v>7</v>
      </c>
      <c r="E107" s="4">
        <v>97</v>
      </c>
      <c r="F107" s="4">
        <v>7</v>
      </c>
      <c r="G107" s="4">
        <v>0</v>
      </c>
      <c r="H107" s="4">
        <v>97</v>
      </c>
      <c r="I107" s="4">
        <v>14</v>
      </c>
      <c r="J107" s="4">
        <v>30</v>
      </c>
      <c r="K107" s="4">
        <v>0.46700000000000003</v>
      </c>
      <c r="L107" s="4">
        <v>4</v>
      </c>
      <c r="M107" s="4">
        <v>14</v>
      </c>
      <c r="N107" s="4">
        <v>0.28599999999999998</v>
      </c>
      <c r="O107" s="4">
        <v>10</v>
      </c>
      <c r="P107" s="4">
        <v>16</v>
      </c>
      <c r="Q107" s="4">
        <v>0.625</v>
      </c>
      <c r="R107" s="4">
        <v>4</v>
      </c>
      <c r="S107" s="4">
        <v>4</v>
      </c>
      <c r="T107" s="4">
        <v>1</v>
      </c>
      <c r="U107" s="4">
        <v>3</v>
      </c>
      <c r="V107" s="4">
        <v>17</v>
      </c>
      <c r="W107" s="4">
        <v>10</v>
      </c>
      <c r="X107" s="4">
        <v>1</v>
      </c>
      <c r="Y107" s="4">
        <v>3</v>
      </c>
      <c r="Z107" s="4">
        <v>10</v>
      </c>
      <c r="AA107" s="4">
        <v>13</v>
      </c>
      <c r="AB107" s="4">
        <v>36</v>
      </c>
      <c r="AC107" s="5">
        <f t="shared" si="1"/>
        <v>1</v>
      </c>
    </row>
    <row r="108" spans="1:29" ht="15.75" customHeight="1" x14ac:dyDescent="0.25">
      <c r="A108" s="1" t="s">
        <v>239</v>
      </c>
      <c r="B108" s="3" t="s">
        <v>164</v>
      </c>
      <c r="C108" s="4" t="s">
        <v>8</v>
      </c>
      <c r="D108" s="4">
        <v>8</v>
      </c>
      <c r="E108" s="4">
        <v>97</v>
      </c>
      <c r="F108" s="4">
        <v>8</v>
      </c>
      <c r="G108" s="4">
        <v>0</v>
      </c>
      <c r="H108" s="4">
        <v>97</v>
      </c>
      <c r="I108" s="4">
        <v>12</v>
      </c>
      <c r="J108" s="4">
        <v>33</v>
      </c>
      <c r="K108" s="4">
        <v>0.36399999999999999</v>
      </c>
      <c r="L108" s="4">
        <v>8</v>
      </c>
      <c r="M108" s="4">
        <v>25</v>
      </c>
      <c r="N108" s="4">
        <v>0.32</v>
      </c>
      <c r="O108" s="4">
        <v>4</v>
      </c>
      <c r="P108" s="4">
        <v>8</v>
      </c>
      <c r="Q108" s="4">
        <v>0.5</v>
      </c>
      <c r="R108" s="4">
        <v>11</v>
      </c>
      <c r="S108" s="4">
        <v>12</v>
      </c>
      <c r="T108" s="4">
        <v>0.91700000000000004</v>
      </c>
      <c r="U108" s="4">
        <v>2</v>
      </c>
      <c r="V108" s="4">
        <v>11</v>
      </c>
      <c r="W108" s="4">
        <v>5</v>
      </c>
      <c r="X108" s="4">
        <v>2</v>
      </c>
      <c r="Y108" s="4">
        <v>0</v>
      </c>
      <c r="Z108" s="4">
        <v>3</v>
      </c>
      <c r="AA108" s="4">
        <v>10</v>
      </c>
      <c r="AB108" s="4">
        <v>43</v>
      </c>
      <c r="AC108" s="5">
        <f t="shared" si="1"/>
        <v>1.6666666666666667</v>
      </c>
    </row>
    <row r="109" spans="1:29" ht="15.75" customHeight="1" x14ac:dyDescent="0.25">
      <c r="A109" s="1" t="s">
        <v>222</v>
      </c>
      <c r="B109" s="3" t="s">
        <v>160</v>
      </c>
      <c r="C109" s="4" t="s">
        <v>121</v>
      </c>
      <c r="D109" s="4">
        <v>7</v>
      </c>
      <c r="E109" s="4">
        <v>96</v>
      </c>
      <c r="F109" s="4">
        <v>7</v>
      </c>
      <c r="G109" s="4">
        <v>0</v>
      </c>
      <c r="H109" s="4">
        <v>96</v>
      </c>
      <c r="I109" s="4">
        <v>13</v>
      </c>
      <c r="J109" s="4">
        <v>21</v>
      </c>
      <c r="K109" s="4">
        <v>0.61899999999999999</v>
      </c>
      <c r="L109" s="4">
        <v>0</v>
      </c>
      <c r="M109" s="4">
        <v>0</v>
      </c>
      <c r="N109" s="4">
        <v>0</v>
      </c>
      <c r="O109" s="4">
        <v>13</v>
      </c>
      <c r="P109" s="4">
        <v>21</v>
      </c>
      <c r="Q109" s="4">
        <v>0.61899999999999999</v>
      </c>
      <c r="R109" s="4">
        <v>2</v>
      </c>
      <c r="S109" s="4">
        <v>6</v>
      </c>
      <c r="T109" s="4">
        <v>0.33300000000000002</v>
      </c>
      <c r="U109" s="4">
        <v>10</v>
      </c>
      <c r="V109" s="4">
        <v>25</v>
      </c>
      <c r="W109" s="4">
        <v>5</v>
      </c>
      <c r="X109" s="4">
        <v>3</v>
      </c>
      <c r="Y109" s="4">
        <v>1</v>
      </c>
      <c r="Z109" s="4">
        <v>1</v>
      </c>
      <c r="AA109" s="4">
        <v>11</v>
      </c>
      <c r="AB109" s="4">
        <v>28</v>
      </c>
      <c r="AC109" s="5">
        <f t="shared" si="1"/>
        <v>5</v>
      </c>
    </row>
    <row r="110" spans="1:29" ht="15.75" customHeight="1" x14ac:dyDescent="0.25">
      <c r="A110" s="1" t="s">
        <v>238</v>
      </c>
      <c r="B110" s="4" t="s">
        <v>164</v>
      </c>
      <c r="C110" s="4" t="s">
        <v>87</v>
      </c>
      <c r="D110" s="4">
        <v>8</v>
      </c>
      <c r="E110" s="4">
        <v>94</v>
      </c>
      <c r="F110" s="4">
        <v>8</v>
      </c>
      <c r="G110" s="4">
        <v>1</v>
      </c>
      <c r="H110" s="4">
        <v>94</v>
      </c>
      <c r="I110" s="4">
        <v>10</v>
      </c>
      <c r="J110" s="4">
        <v>21</v>
      </c>
      <c r="K110" s="4">
        <v>0.47599999999999998</v>
      </c>
      <c r="L110" s="4">
        <v>3</v>
      </c>
      <c r="M110" s="4">
        <v>8</v>
      </c>
      <c r="N110" s="4">
        <v>0.375</v>
      </c>
      <c r="O110" s="4">
        <v>7</v>
      </c>
      <c r="P110" s="4">
        <v>13</v>
      </c>
      <c r="Q110" s="4">
        <v>0.53800000000000003</v>
      </c>
      <c r="R110" s="4">
        <v>4</v>
      </c>
      <c r="S110" s="4">
        <v>6</v>
      </c>
      <c r="T110" s="4">
        <v>0.66700000000000004</v>
      </c>
      <c r="U110" s="4">
        <v>10</v>
      </c>
      <c r="V110" s="4">
        <v>21</v>
      </c>
      <c r="W110" s="4">
        <v>2</v>
      </c>
      <c r="X110" s="4">
        <v>3</v>
      </c>
      <c r="Y110" s="4">
        <v>6</v>
      </c>
      <c r="Z110" s="4">
        <v>7</v>
      </c>
      <c r="AA110" s="4">
        <v>16</v>
      </c>
      <c r="AB110" s="4">
        <v>27</v>
      </c>
      <c r="AC110" s="5">
        <f t="shared" si="1"/>
        <v>0.2857142857142857</v>
      </c>
    </row>
    <row r="111" spans="1:29" ht="15.75" customHeight="1" x14ac:dyDescent="0.25">
      <c r="A111" s="1" t="s">
        <v>208</v>
      </c>
      <c r="B111" s="4" t="s">
        <v>109</v>
      </c>
      <c r="C111" s="4" t="s">
        <v>8</v>
      </c>
      <c r="D111" s="4">
        <v>9</v>
      </c>
      <c r="E111" s="4">
        <v>94</v>
      </c>
      <c r="F111" s="4">
        <v>9</v>
      </c>
      <c r="G111" s="4">
        <v>4</v>
      </c>
      <c r="H111" s="4">
        <v>94</v>
      </c>
      <c r="I111" s="4">
        <v>13</v>
      </c>
      <c r="J111" s="4">
        <v>32</v>
      </c>
      <c r="K111" s="4">
        <v>0.40600000000000003</v>
      </c>
      <c r="L111" s="4">
        <v>2</v>
      </c>
      <c r="M111" s="4">
        <v>13</v>
      </c>
      <c r="N111" s="4">
        <v>0.154</v>
      </c>
      <c r="O111" s="4">
        <v>11</v>
      </c>
      <c r="P111" s="4">
        <v>19</v>
      </c>
      <c r="Q111" s="4">
        <v>0.57899999999999996</v>
      </c>
      <c r="R111" s="4">
        <v>7</v>
      </c>
      <c r="S111" s="4">
        <v>7</v>
      </c>
      <c r="T111" s="4">
        <v>1</v>
      </c>
      <c r="U111" s="4">
        <v>8</v>
      </c>
      <c r="V111" s="4">
        <v>16</v>
      </c>
      <c r="W111" s="4">
        <v>4</v>
      </c>
      <c r="X111" s="4">
        <v>2</v>
      </c>
      <c r="Y111" s="4">
        <v>0</v>
      </c>
      <c r="Z111" s="4">
        <v>2</v>
      </c>
      <c r="AA111" s="4">
        <v>13</v>
      </c>
      <c r="AB111" s="4">
        <v>35</v>
      </c>
      <c r="AC111" s="5">
        <f t="shared" si="1"/>
        <v>2</v>
      </c>
    </row>
    <row r="112" spans="1:29" ht="15.75" customHeight="1" x14ac:dyDescent="0.25">
      <c r="A112" s="1" t="s">
        <v>220</v>
      </c>
      <c r="B112" s="3" t="s">
        <v>98</v>
      </c>
      <c r="C112" s="4" t="s">
        <v>8</v>
      </c>
      <c r="D112" s="4">
        <v>7</v>
      </c>
      <c r="E112" s="4">
        <v>92</v>
      </c>
      <c r="F112" s="4">
        <v>7</v>
      </c>
      <c r="G112" s="4">
        <v>0</v>
      </c>
      <c r="H112" s="4">
        <v>92</v>
      </c>
      <c r="I112" s="4">
        <v>11</v>
      </c>
      <c r="J112" s="4">
        <v>27</v>
      </c>
      <c r="K112" s="4">
        <v>0.40699999999999997</v>
      </c>
      <c r="L112" s="4">
        <v>6</v>
      </c>
      <c r="M112" s="4">
        <v>15</v>
      </c>
      <c r="N112" s="4">
        <v>0.4</v>
      </c>
      <c r="O112" s="4">
        <v>5</v>
      </c>
      <c r="P112" s="4">
        <v>12</v>
      </c>
      <c r="Q112" s="4">
        <v>0.41699999999999998</v>
      </c>
      <c r="R112" s="4">
        <v>3</v>
      </c>
      <c r="S112" s="4">
        <v>3</v>
      </c>
      <c r="T112" s="4">
        <v>1</v>
      </c>
      <c r="U112" s="4">
        <v>4</v>
      </c>
      <c r="V112" s="4">
        <v>12</v>
      </c>
      <c r="W112" s="4">
        <v>11</v>
      </c>
      <c r="X112" s="4">
        <v>4</v>
      </c>
      <c r="Y112" s="4">
        <v>2</v>
      </c>
      <c r="Z112" s="4">
        <v>4</v>
      </c>
      <c r="AA112" s="4">
        <v>10</v>
      </c>
      <c r="AB112" s="4">
        <v>31</v>
      </c>
      <c r="AC112" s="5">
        <f t="shared" si="1"/>
        <v>2.75</v>
      </c>
    </row>
    <row r="113" spans="1:29" ht="15.75" customHeight="1" x14ac:dyDescent="0.25">
      <c r="A113" s="1" t="s">
        <v>196</v>
      </c>
      <c r="B113" s="3" t="s">
        <v>98</v>
      </c>
      <c r="C113" s="4" t="s">
        <v>8</v>
      </c>
      <c r="D113" s="4">
        <v>7</v>
      </c>
      <c r="E113" s="4">
        <v>86</v>
      </c>
      <c r="F113" s="4">
        <v>7</v>
      </c>
      <c r="G113" s="4">
        <v>0</v>
      </c>
      <c r="H113" s="4">
        <v>86</v>
      </c>
      <c r="I113" s="4">
        <v>6</v>
      </c>
      <c r="J113" s="4">
        <v>13</v>
      </c>
      <c r="K113" s="4">
        <v>0.46200000000000002</v>
      </c>
      <c r="L113" s="4">
        <v>3</v>
      </c>
      <c r="M113" s="4">
        <v>7</v>
      </c>
      <c r="N113" s="4">
        <v>0.42899999999999999</v>
      </c>
      <c r="O113" s="4">
        <v>3</v>
      </c>
      <c r="P113" s="4">
        <v>6</v>
      </c>
      <c r="Q113" s="4">
        <v>0.5</v>
      </c>
      <c r="R113" s="4">
        <v>1</v>
      </c>
      <c r="S113" s="4">
        <v>1</v>
      </c>
      <c r="T113" s="4">
        <v>1</v>
      </c>
      <c r="U113" s="4">
        <v>1</v>
      </c>
      <c r="V113" s="4">
        <v>3</v>
      </c>
      <c r="W113" s="4">
        <v>8</v>
      </c>
      <c r="X113" s="4">
        <v>2</v>
      </c>
      <c r="Y113" s="4">
        <v>0</v>
      </c>
      <c r="Z113" s="4">
        <v>3</v>
      </c>
      <c r="AA113" s="4">
        <v>8</v>
      </c>
      <c r="AB113" s="4">
        <v>16</v>
      </c>
      <c r="AC113" s="5">
        <f t="shared" si="1"/>
        <v>2.6666666666666665</v>
      </c>
    </row>
    <row r="114" spans="1:29" ht="15.75" customHeight="1" x14ac:dyDescent="0.25">
      <c r="A114" s="1" t="s">
        <v>200</v>
      </c>
      <c r="B114" s="3" t="s">
        <v>101</v>
      </c>
      <c r="C114" s="4" t="s">
        <v>8</v>
      </c>
      <c r="D114" s="4">
        <v>8</v>
      </c>
      <c r="E114" s="4">
        <v>85</v>
      </c>
      <c r="F114" s="4">
        <v>8</v>
      </c>
      <c r="G114" s="4">
        <v>0</v>
      </c>
      <c r="H114" s="4">
        <v>85</v>
      </c>
      <c r="I114" s="4">
        <v>14</v>
      </c>
      <c r="J114" s="4">
        <v>40</v>
      </c>
      <c r="K114" s="4">
        <v>0.35</v>
      </c>
      <c r="L114" s="4">
        <v>5</v>
      </c>
      <c r="M114" s="4">
        <v>15</v>
      </c>
      <c r="N114" s="4">
        <v>0.33300000000000002</v>
      </c>
      <c r="O114" s="4">
        <v>9</v>
      </c>
      <c r="P114" s="4">
        <v>25</v>
      </c>
      <c r="Q114" s="4">
        <v>0.36</v>
      </c>
      <c r="R114" s="4">
        <v>9</v>
      </c>
      <c r="S114" s="4">
        <v>10</v>
      </c>
      <c r="T114" s="4">
        <v>0.9</v>
      </c>
      <c r="U114" s="4">
        <v>5</v>
      </c>
      <c r="V114" s="4">
        <v>18</v>
      </c>
      <c r="W114" s="4">
        <v>8</v>
      </c>
      <c r="X114" s="4">
        <v>9</v>
      </c>
      <c r="Y114" s="4">
        <v>3</v>
      </c>
      <c r="Z114" s="4">
        <v>5</v>
      </c>
      <c r="AA114" s="4">
        <v>15</v>
      </c>
      <c r="AB114" s="4">
        <v>42</v>
      </c>
      <c r="AC114" s="5">
        <f t="shared" si="1"/>
        <v>1.6</v>
      </c>
    </row>
    <row r="115" spans="1:29" ht="15.75" customHeight="1" x14ac:dyDescent="0.25">
      <c r="A115" s="1" t="s">
        <v>216</v>
      </c>
      <c r="B115" s="3" t="s">
        <v>142</v>
      </c>
      <c r="C115" s="4" t="s">
        <v>90</v>
      </c>
      <c r="D115" s="4">
        <v>6</v>
      </c>
      <c r="E115" s="4">
        <v>83</v>
      </c>
      <c r="F115" s="4">
        <v>6</v>
      </c>
      <c r="G115" s="4">
        <v>0</v>
      </c>
      <c r="H115" s="4">
        <v>83</v>
      </c>
      <c r="I115" s="4">
        <v>12</v>
      </c>
      <c r="J115" s="4">
        <v>26</v>
      </c>
      <c r="K115" s="4">
        <v>0.46200000000000002</v>
      </c>
      <c r="L115" s="4">
        <v>0</v>
      </c>
      <c r="M115" s="4">
        <v>0</v>
      </c>
      <c r="N115" s="4">
        <v>0</v>
      </c>
      <c r="O115" s="4">
        <v>12</v>
      </c>
      <c r="P115" s="4">
        <v>26</v>
      </c>
      <c r="Q115" s="4">
        <v>0.46200000000000002</v>
      </c>
      <c r="R115" s="4">
        <v>10</v>
      </c>
      <c r="S115" s="4">
        <v>13</v>
      </c>
      <c r="T115" s="4">
        <v>0.76900000000000002</v>
      </c>
      <c r="U115" s="4">
        <v>7</v>
      </c>
      <c r="V115" s="4">
        <v>18</v>
      </c>
      <c r="W115" s="4">
        <v>2</v>
      </c>
      <c r="X115" s="4">
        <v>0</v>
      </c>
      <c r="Y115" s="4">
        <v>1</v>
      </c>
      <c r="Z115" s="4">
        <v>3</v>
      </c>
      <c r="AA115" s="4">
        <v>10</v>
      </c>
      <c r="AB115" s="4">
        <v>34</v>
      </c>
      <c r="AC115" s="5">
        <f t="shared" si="1"/>
        <v>0.66666666666666663</v>
      </c>
    </row>
    <row r="116" spans="1:29" ht="15.75" customHeight="1" x14ac:dyDescent="0.25">
      <c r="A116" s="1" t="s">
        <v>188</v>
      </c>
      <c r="B116" s="3" t="s">
        <v>109</v>
      </c>
      <c r="C116" s="4" t="s">
        <v>90</v>
      </c>
      <c r="D116" s="4">
        <v>5</v>
      </c>
      <c r="E116" s="4">
        <v>83</v>
      </c>
      <c r="F116" s="4">
        <v>5</v>
      </c>
      <c r="G116" s="4">
        <v>1</v>
      </c>
      <c r="H116" s="4">
        <v>83</v>
      </c>
      <c r="I116" s="4">
        <v>11</v>
      </c>
      <c r="J116" s="4">
        <v>19</v>
      </c>
      <c r="K116" s="4">
        <v>0.57899999999999996</v>
      </c>
      <c r="L116" s="4">
        <v>0</v>
      </c>
      <c r="M116" s="4">
        <v>0</v>
      </c>
      <c r="N116" s="4">
        <v>0</v>
      </c>
      <c r="O116" s="4">
        <v>11</v>
      </c>
      <c r="P116" s="4">
        <v>19</v>
      </c>
      <c r="Q116" s="4">
        <v>0.57899999999999996</v>
      </c>
      <c r="R116" s="4">
        <v>9</v>
      </c>
      <c r="S116" s="4">
        <v>14</v>
      </c>
      <c r="T116" s="4">
        <v>0.64300000000000002</v>
      </c>
      <c r="U116" s="4">
        <v>5</v>
      </c>
      <c r="V116" s="4">
        <v>14</v>
      </c>
      <c r="W116" s="4">
        <v>16</v>
      </c>
      <c r="X116" s="4">
        <v>5</v>
      </c>
      <c r="Y116" s="4">
        <v>3</v>
      </c>
      <c r="Z116" s="4">
        <v>5</v>
      </c>
      <c r="AA116" s="4">
        <v>15</v>
      </c>
      <c r="AB116" s="4">
        <v>31</v>
      </c>
      <c r="AC116" s="5">
        <f t="shared" si="1"/>
        <v>3.2</v>
      </c>
    </row>
    <row r="117" spans="1:29" ht="15.75" customHeight="1" x14ac:dyDescent="0.25">
      <c r="A117" s="1" t="s">
        <v>175</v>
      </c>
      <c r="B117" s="3" t="s">
        <v>109</v>
      </c>
      <c r="C117" s="4" t="s">
        <v>90</v>
      </c>
      <c r="D117" s="4">
        <v>3</v>
      </c>
      <c r="E117" s="4">
        <v>82</v>
      </c>
      <c r="F117" s="4">
        <v>3</v>
      </c>
      <c r="G117" s="4">
        <v>3</v>
      </c>
      <c r="H117" s="4">
        <v>82</v>
      </c>
      <c r="I117" s="4">
        <v>18</v>
      </c>
      <c r="J117" s="4">
        <v>34</v>
      </c>
      <c r="K117" s="4">
        <v>0.52900000000000003</v>
      </c>
      <c r="L117" s="4">
        <v>0</v>
      </c>
      <c r="M117" s="4">
        <v>2</v>
      </c>
      <c r="N117" s="4">
        <v>0</v>
      </c>
      <c r="O117" s="4">
        <v>18</v>
      </c>
      <c r="P117" s="4">
        <v>32</v>
      </c>
      <c r="Q117" s="4">
        <v>0.56299999999999994</v>
      </c>
      <c r="R117" s="4">
        <v>9</v>
      </c>
      <c r="S117" s="4">
        <v>12</v>
      </c>
      <c r="T117" s="4">
        <v>0.75</v>
      </c>
      <c r="U117" s="4">
        <v>9</v>
      </c>
      <c r="V117" s="4">
        <v>17</v>
      </c>
      <c r="W117" s="4">
        <v>6</v>
      </c>
      <c r="X117" s="4">
        <v>2</v>
      </c>
      <c r="Y117" s="4">
        <v>2</v>
      </c>
      <c r="Z117" s="4">
        <v>6</v>
      </c>
      <c r="AA117" s="4">
        <v>9</v>
      </c>
      <c r="AB117" s="4">
        <v>45</v>
      </c>
      <c r="AC117" s="5">
        <f t="shared" si="1"/>
        <v>1</v>
      </c>
    </row>
    <row r="118" spans="1:29" ht="15.75" customHeight="1" x14ac:dyDescent="0.25">
      <c r="A118" s="1" t="s">
        <v>157</v>
      </c>
      <c r="B118" s="3" t="s">
        <v>86</v>
      </c>
      <c r="C118" s="4" t="s">
        <v>8</v>
      </c>
      <c r="D118" s="4">
        <v>5</v>
      </c>
      <c r="E118" s="4">
        <v>81</v>
      </c>
      <c r="F118" s="4">
        <v>5</v>
      </c>
      <c r="G118" s="4">
        <v>0</v>
      </c>
      <c r="H118" s="4">
        <v>81</v>
      </c>
      <c r="I118" s="4">
        <v>9</v>
      </c>
      <c r="J118" s="4">
        <v>17</v>
      </c>
      <c r="K118" s="4">
        <v>0.52900000000000003</v>
      </c>
      <c r="L118" s="4">
        <v>7</v>
      </c>
      <c r="M118" s="4">
        <v>14</v>
      </c>
      <c r="N118" s="4">
        <v>0.5</v>
      </c>
      <c r="O118" s="4">
        <v>2</v>
      </c>
      <c r="P118" s="4">
        <v>3</v>
      </c>
      <c r="Q118" s="4">
        <v>0.66700000000000004</v>
      </c>
      <c r="R118" s="4">
        <v>4</v>
      </c>
      <c r="S118" s="4">
        <v>4</v>
      </c>
      <c r="T118" s="4">
        <v>1</v>
      </c>
      <c r="U118" s="4">
        <v>1</v>
      </c>
      <c r="V118" s="4">
        <v>10</v>
      </c>
      <c r="W118" s="4">
        <v>27</v>
      </c>
      <c r="X118" s="4">
        <v>2</v>
      </c>
      <c r="Y118" s="4">
        <v>0</v>
      </c>
      <c r="Z118" s="4">
        <v>12</v>
      </c>
      <c r="AA118" s="4">
        <v>11</v>
      </c>
      <c r="AB118" s="4">
        <v>29</v>
      </c>
      <c r="AC118" s="5">
        <f t="shared" si="1"/>
        <v>2.25</v>
      </c>
    </row>
    <row r="119" spans="1:29" ht="15.75" customHeight="1" x14ac:dyDescent="0.25">
      <c r="A119" s="1" t="s">
        <v>166</v>
      </c>
      <c r="B119" s="3" t="s">
        <v>164</v>
      </c>
      <c r="C119" s="4" t="s">
        <v>8</v>
      </c>
      <c r="D119" s="4">
        <v>3</v>
      </c>
      <c r="E119" s="4">
        <v>80</v>
      </c>
      <c r="F119" s="4">
        <v>3</v>
      </c>
      <c r="G119" s="4">
        <v>3</v>
      </c>
      <c r="H119" s="4">
        <v>80</v>
      </c>
      <c r="I119" s="4">
        <v>4</v>
      </c>
      <c r="J119" s="4">
        <v>11</v>
      </c>
      <c r="K119" s="4">
        <v>0.36399999999999999</v>
      </c>
      <c r="L119" s="4">
        <v>2</v>
      </c>
      <c r="M119" s="4">
        <v>7</v>
      </c>
      <c r="N119" s="4">
        <v>0.28599999999999998</v>
      </c>
      <c r="O119" s="4">
        <v>2</v>
      </c>
      <c r="P119" s="4">
        <v>4</v>
      </c>
      <c r="Q119" s="4">
        <v>0.5</v>
      </c>
      <c r="R119" s="4">
        <v>0</v>
      </c>
      <c r="S119" s="4">
        <v>0</v>
      </c>
      <c r="T119" s="4">
        <v>0</v>
      </c>
      <c r="U119" s="4">
        <v>0</v>
      </c>
      <c r="V119" s="4">
        <v>7</v>
      </c>
      <c r="W119" s="4">
        <v>12</v>
      </c>
      <c r="X119" s="4">
        <v>6</v>
      </c>
      <c r="Y119" s="4">
        <v>0</v>
      </c>
      <c r="Z119" s="4">
        <v>4</v>
      </c>
      <c r="AA119" s="4">
        <v>2</v>
      </c>
      <c r="AB119" s="4">
        <v>10</v>
      </c>
      <c r="AC119" s="5">
        <f t="shared" si="1"/>
        <v>3</v>
      </c>
    </row>
    <row r="120" spans="1:29" ht="15.75" customHeight="1" x14ac:dyDescent="0.25">
      <c r="A120" s="1" t="s">
        <v>124</v>
      </c>
      <c r="B120" s="3" t="s">
        <v>116</v>
      </c>
      <c r="C120" s="4" t="s">
        <v>90</v>
      </c>
      <c r="D120" s="4">
        <v>3</v>
      </c>
      <c r="E120" s="4">
        <v>80</v>
      </c>
      <c r="F120" s="4">
        <v>3</v>
      </c>
      <c r="G120" s="4">
        <v>3</v>
      </c>
      <c r="H120" s="4">
        <v>80</v>
      </c>
      <c r="I120" s="4">
        <v>19</v>
      </c>
      <c r="J120" s="4">
        <v>40</v>
      </c>
      <c r="K120" s="4">
        <v>0.47499999999999998</v>
      </c>
      <c r="L120" s="4">
        <v>2</v>
      </c>
      <c r="M120" s="4">
        <v>5</v>
      </c>
      <c r="N120" s="4">
        <v>0.4</v>
      </c>
      <c r="O120" s="4">
        <v>17</v>
      </c>
      <c r="P120" s="4">
        <v>35</v>
      </c>
      <c r="Q120" s="4">
        <v>0.48599999999999999</v>
      </c>
      <c r="R120" s="4">
        <v>8</v>
      </c>
      <c r="S120" s="4">
        <v>15</v>
      </c>
      <c r="T120" s="4">
        <v>0.53300000000000003</v>
      </c>
      <c r="U120" s="4">
        <v>5</v>
      </c>
      <c r="V120" s="4">
        <v>22</v>
      </c>
      <c r="W120" s="4">
        <v>1</v>
      </c>
      <c r="X120" s="4">
        <v>3</v>
      </c>
      <c r="Y120" s="4">
        <v>6</v>
      </c>
      <c r="Z120" s="4">
        <v>6</v>
      </c>
      <c r="AA120" s="4">
        <v>8</v>
      </c>
      <c r="AB120" s="4">
        <v>48</v>
      </c>
      <c r="AC120" s="5">
        <f t="shared" si="1"/>
        <v>0.16666666666666666</v>
      </c>
    </row>
    <row r="121" spans="1:29" ht="15.75" customHeight="1" x14ac:dyDescent="0.25">
      <c r="A121" s="1" t="s">
        <v>245</v>
      </c>
      <c r="B121" s="3" t="s">
        <v>109</v>
      </c>
      <c r="C121" s="4" t="s">
        <v>87</v>
      </c>
      <c r="D121" s="4">
        <v>6</v>
      </c>
      <c r="E121" s="4">
        <v>78</v>
      </c>
      <c r="F121" s="4">
        <v>6</v>
      </c>
      <c r="G121" s="4">
        <v>0</v>
      </c>
      <c r="H121" s="4">
        <v>78</v>
      </c>
      <c r="I121" s="4">
        <v>12</v>
      </c>
      <c r="J121" s="4">
        <v>23</v>
      </c>
      <c r="K121" s="4">
        <v>0.52200000000000002</v>
      </c>
      <c r="L121" s="4">
        <v>1</v>
      </c>
      <c r="M121" s="4">
        <v>2</v>
      </c>
      <c r="N121" s="4">
        <v>0.5</v>
      </c>
      <c r="O121" s="4">
        <v>11</v>
      </c>
      <c r="P121" s="4">
        <v>21</v>
      </c>
      <c r="Q121" s="4">
        <v>0.52400000000000002</v>
      </c>
      <c r="R121" s="4">
        <v>6</v>
      </c>
      <c r="S121" s="4">
        <v>12</v>
      </c>
      <c r="T121" s="4">
        <v>0.5</v>
      </c>
      <c r="U121" s="4">
        <v>4</v>
      </c>
      <c r="V121" s="4">
        <v>12</v>
      </c>
      <c r="W121" s="4">
        <v>2</v>
      </c>
      <c r="X121" s="4">
        <v>3</v>
      </c>
      <c r="Y121" s="4">
        <v>1</v>
      </c>
      <c r="Z121" s="4">
        <v>4</v>
      </c>
      <c r="AA121" s="4">
        <v>14</v>
      </c>
      <c r="AB121" s="4">
        <v>31</v>
      </c>
      <c r="AC121" s="5">
        <f t="shared" si="1"/>
        <v>0.5</v>
      </c>
    </row>
    <row r="122" spans="1:29" ht="15.75" customHeight="1" x14ac:dyDescent="0.25">
      <c r="A122" s="1" t="s">
        <v>240</v>
      </c>
      <c r="B122" s="4" t="s">
        <v>133</v>
      </c>
      <c r="C122" s="4" t="s">
        <v>8</v>
      </c>
      <c r="D122" s="4">
        <v>5</v>
      </c>
      <c r="E122" s="4">
        <v>77</v>
      </c>
      <c r="F122" s="4">
        <v>5</v>
      </c>
      <c r="G122" s="4">
        <v>0</v>
      </c>
      <c r="H122" s="4">
        <v>77</v>
      </c>
      <c r="I122" s="4">
        <v>7</v>
      </c>
      <c r="J122" s="4">
        <v>21</v>
      </c>
      <c r="K122" s="4">
        <v>0.33300000000000002</v>
      </c>
      <c r="L122" s="4">
        <v>0</v>
      </c>
      <c r="M122" s="4">
        <v>5</v>
      </c>
      <c r="N122" s="4">
        <v>0</v>
      </c>
      <c r="O122" s="4">
        <v>7</v>
      </c>
      <c r="P122" s="4">
        <v>16</v>
      </c>
      <c r="Q122" s="4">
        <v>0.438</v>
      </c>
      <c r="R122" s="4">
        <v>11</v>
      </c>
      <c r="S122" s="4">
        <v>11</v>
      </c>
      <c r="T122" s="4">
        <v>1</v>
      </c>
      <c r="U122" s="4">
        <v>2</v>
      </c>
      <c r="V122" s="4">
        <v>9</v>
      </c>
      <c r="W122" s="4">
        <v>4</v>
      </c>
      <c r="X122" s="4">
        <v>5</v>
      </c>
      <c r="Y122" s="4">
        <v>0</v>
      </c>
      <c r="Z122" s="4">
        <v>1</v>
      </c>
      <c r="AA122" s="4">
        <v>13</v>
      </c>
      <c r="AB122" s="4">
        <v>25</v>
      </c>
      <c r="AC122" s="5">
        <f t="shared" si="1"/>
        <v>4</v>
      </c>
    </row>
    <row r="123" spans="1:29" ht="15.75" customHeight="1" x14ac:dyDescent="0.25">
      <c r="A123" s="1" t="s">
        <v>246</v>
      </c>
      <c r="B123" s="3" t="s">
        <v>244</v>
      </c>
      <c r="C123" s="4" t="s">
        <v>87</v>
      </c>
      <c r="D123" s="4">
        <v>7</v>
      </c>
      <c r="E123" s="4">
        <v>77</v>
      </c>
      <c r="F123" s="4">
        <v>7</v>
      </c>
      <c r="G123" s="4">
        <v>0</v>
      </c>
      <c r="H123" s="4">
        <v>77</v>
      </c>
      <c r="I123" s="4">
        <v>8</v>
      </c>
      <c r="J123" s="4">
        <v>20</v>
      </c>
      <c r="K123" s="4">
        <v>0.4</v>
      </c>
      <c r="L123" s="4">
        <v>0</v>
      </c>
      <c r="M123" s="4">
        <v>0</v>
      </c>
      <c r="N123" s="4">
        <v>0</v>
      </c>
      <c r="O123" s="4">
        <v>8</v>
      </c>
      <c r="P123" s="4">
        <v>20</v>
      </c>
      <c r="Q123" s="4">
        <v>0.4</v>
      </c>
      <c r="R123" s="4">
        <v>7</v>
      </c>
      <c r="S123" s="4">
        <v>15</v>
      </c>
      <c r="T123" s="4">
        <v>0.46700000000000003</v>
      </c>
      <c r="U123" s="4">
        <v>4</v>
      </c>
      <c r="V123" s="4">
        <v>18</v>
      </c>
      <c r="W123" s="4">
        <v>2</v>
      </c>
      <c r="X123" s="4">
        <v>4</v>
      </c>
      <c r="Y123" s="4">
        <v>4</v>
      </c>
      <c r="Z123" s="4">
        <v>1</v>
      </c>
      <c r="AA123" s="4">
        <v>9</v>
      </c>
      <c r="AB123" s="4">
        <v>23</v>
      </c>
      <c r="AC123" s="5">
        <f t="shared" si="1"/>
        <v>2</v>
      </c>
    </row>
    <row r="124" spans="1:29" ht="15.75" customHeight="1" x14ac:dyDescent="0.25">
      <c r="A124" s="1" t="s">
        <v>232</v>
      </c>
      <c r="B124" s="4" t="s">
        <v>160</v>
      </c>
      <c r="C124" s="4" t="s">
        <v>8</v>
      </c>
      <c r="D124" s="4">
        <v>6</v>
      </c>
      <c r="E124" s="4">
        <v>75</v>
      </c>
      <c r="F124" s="4">
        <v>6</v>
      </c>
      <c r="G124" s="4">
        <v>1</v>
      </c>
      <c r="H124" s="4">
        <v>75</v>
      </c>
      <c r="I124" s="4">
        <v>5</v>
      </c>
      <c r="J124" s="4">
        <v>17</v>
      </c>
      <c r="K124" s="4">
        <v>0.29399999999999998</v>
      </c>
      <c r="L124" s="4">
        <v>1</v>
      </c>
      <c r="M124" s="4">
        <v>8</v>
      </c>
      <c r="N124" s="4">
        <v>0.125</v>
      </c>
      <c r="O124" s="4">
        <v>4</v>
      </c>
      <c r="P124" s="4">
        <v>9</v>
      </c>
      <c r="Q124" s="4">
        <v>0.44400000000000001</v>
      </c>
      <c r="R124" s="4">
        <v>2</v>
      </c>
      <c r="S124" s="4">
        <v>2</v>
      </c>
      <c r="T124" s="4">
        <v>1</v>
      </c>
      <c r="U124" s="4">
        <v>0</v>
      </c>
      <c r="V124" s="4">
        <v>6</v>
      </c>
      <c r="W124" s="4">
        <v>12</v>
      </c>
      <c r="X124" s="4">
        <v>2</v>
      </c>
      <c r="Y124" s="4">
        <v>1</v>
      </c>
      <c r="Z124" s="4">
        <v>4</v>
      </c>
      <c r="AA124" s="4">
        <v>6</v>
      </c>
      <c r="AB124" s="4">
        <v>13</v>
      </c>
      <c r="AC124" s="5">
        <f t="shared" si="1"/>
        <v>3</v>
      </c>
    </row>
    <row r="125" spans="1:29" ht="15.75" customHeight="1" x14ac:dyDescent="0.25">
      <c r="A125" s="1" t="s">
        <v>241</v>
      </c>
      <c r="B125" s="3" t="s">
        <v>142</v>
      </c>
      <c r="C125" s="4" t="s">
        <v>8</v>
      </c>
      <c r="D125" s="4">
        <v>4</v>
      </c>
      <c r="E125" s="4">
        <v>74</v>
      </c>
      <c r="F125" s="4">
        <v>4</v>
      </c>
      <c r="G125" s="4">
        <v>2</v>
      </c>
      <c r="H125" s="4">
        <v>74</v>
      </c>
      <c r="I125" s="4">
        <v>7</v>
      </c>
      <c r="J125" s="4">
        <v>19</v>
      </c>
      <c r="K125" s="4">
        <v>0.36799999999999999</v>
      </c>
      <c r="L125" s="4">
        <v>3</v>
      </c>
      <c r="M125" s="4">
        <v>8</v>
      </c>
      <c r="N125" s="4">
        <v>0.375</v>
      </c>
      <c r="O125" s="4">
        <v>4</v>
      </c>
      <c r="P125" s="4">
        <v>11</v>
      </c>
      <c r="Q125" s="4">
        <v>0.36399999999999999</v>
      </c>
      <c r="R125" s="4">
        <v>5</v>
      </c>
      <c r="S125" s="4">
        <v>6</v>
      </c>
      <c r="T125" s="4">
        <v>0.83299999999999996</v>
      </c>
      <c r="U125" s="4">
        <v>2</v>
      </c>
      <c r="V125" s="4">
        <v>8</v>
      </c>
      <c r="W125" s="4">
        <v>6</v>
      </c>
      <c r="X125" s="4">
        <v>1</v>
      </c>
      <c r="Y125" s="4">
        <v>1</v>
      </c>
      <c r="Z125" s="4">
        <v>6</v>
      </c>
      <c r="AA125" s="4">
        <v>12</v>
      </c>
      <c r="AB125" s="4">
        <v>22</v>
      </c>
      <c r="AC125" s="5">
        <f t="shared" si="1"/>
        <v>1</v>
      </c>
    </row>
    <row r="126" spans="1:29" ht="15.75" customHeight="1" x14ac:dyDescent="0.25">
      <c r="A126" s="1" t="s">
        <v>229</v>
      </c>
      <c r="B126" s="3" t="s">
        <v>142</v>
      </c>
      <c r="C126" s="4" t="s">
        <v>87</v>
      </c>
      <c r="D126" s="4">
        <v>6</v>
      </c>
      <c r="E126" s="4">
        <v>70</v>
      </c>
      <c r="F126" s="4">
        <v>6</v>
      </c>
      <c r="G126" s="4">
        <v>0</v>
      </c>
      <c r="H126" s="4">
        <v>70</v>
      </c>
      <c r="I126" s="4">
        <v>10</v>
      </c>
      <c r="J126" s="4">
        <v>22</v>
      </c>
      <c r="K126" s="4">
        <v>0.45500000000000002</v>
      </c>
      <c r="L126" s="4">
        <v>2</v>
      </c>
      <c r="M126" s="4">
        <v>9</v>
      </c>
      <c r="N126" s="4">
        <v>0.222</v>
      </c>
      <c r="O126" s="4">
        <v>8</v>
      </c>
      <c r="P126" s="4">
        <v>13</v>
      </c>
      <c r="Q126" s="4">
        <v>0.61499999999999999</v>
      </c>
      <c r="R126" s="4">
        <v>2</v>
      </c>
      <c r="S126" s="4">
        <v>5</v>
      </c>
      <c r="T126" s="4">
        <v>0.4</v>
      </c>
      <c r="U126" s="4">
        <v>3</v>
      </c>
      <c r="V126" s="4">
        <v>16</v>
      </c>
      <c r="W126" s="4">
        <v>4</v>
      </c>
      <c r="X126" s="4">
        <v>3</v>
      </c>
      <c r="Y126" s="4">
        <v>2</v>
      </c>
      <c r="Z126" s="4">
        <v>2</v>
      </c>
      <c r="AA126" s="4">
        <v>7</v>
      </c>
      <c r="AB126" s="4">
        <v>24</v>
      </c>
      <c r="AC126" s="5">
        <f t="shared" si="1"/>
        <v>2</v>
      </c>
    </row>
    <row r="127" spans="1:29" ht="15.75" customHeight="1" x14ac:dyDescent="0.25">
      <c r="A127" s="1" t="s">
        <v>233</v>
      </c>
      <c r="B127" s="3" t="s">
        <v>244</v>
      </c>
      <c r="C127" s="4" t="s">
        <v>8</v>
      </c>
      <c r="D127" s="4">
        <v>3</v>
      </c>
      <c r="E127" s="4">
        <v>68</v>
      </c>
      <c r="F127" s="4">
        <v>3</v>
      </c>
      <c r="G127" s="4">
        <v>2</v>
      </c>
      <c r="H127" s="4">
        <v>68</v>
      </c>
      <c r="I127" s="4">
        <v>13</v>
      </c>
      <c r="J127" s="4">
        <v>31</v>
      </c>
      <c r="K127" s="4">
        <v>0.41899999999999998</v>
      </c>
      <c r="L127" s="4">
        <v>2</v>
      </c>
      <c r="M127" s="4">
        <v>8</v>
      </c>
      <c r="N127" s="4">
        <v>0.25</v>
      </c>
      <c r="O127" s="4">
        <v>11</v>
      </c>
      <c r="P127" s="4">
        <v>23</v>
      </c>
      <c r="Q127" s="4">
        <v>0.47799999999999998</v>
      </c>
      <c r="R127" s="4">
        <v>6</v>
      </c>
      <c r="S127" s="4">
        <v>10</v>
      </c>
      <c r="T127" s="4">
        <v>0.6</v>
      </c>
      <c r="U127" s="4">
        <v>1</v>
      </c>
      <c r="V127" s="4">
        <v>5</v>
      </c>
      <c r="W127" s="4">
        <v>17</v>
      </c>
      <c r="X127" s="4">
        <v>2</v>
      </c>
      <c r="Y127" s="4">
        <v>0</v>
      </c>
      <c r="Z127" s="4">
        <v>6</v>
      </c>
      <c r="AA127" s="4">
        <v>5</v>
      </c>
      <c r="AB127" s="4">
        <v>34</v>
      </c>
      <c r="AC127" s="5">
        <f t="shared" si="1"/>
        <v>2.8333333333333335</v>
      </c>
    </row>
    <row r="128" spans="1:29" ht="15.75" customHeight="1" x14ac:dyDescent="0.25">
      <c r="A128" s="1" t="s">
        <v>247</v>
      </c>
      <c r="B128" s="3" t="s">
        <v>86</v>
      </c>
      <c r="C128" s="4" t="s">
        <v>114</v>
      </c>
      <c r="D128" s="4">
        <v>4</v>
      </c>
      <c r="E128" s="4">
        <v>67</v>
      </c>
      <c r="F128" s="4">
        <v>4</v>
      </c>
      <c r="G128" s="4">
        <v>0</v>
      </c>
      <c r="H128" s="4">
        <v>67</v>
      </c>
      <c r="I128" s="4">
        <v>2</v>
      </c>
      <c r="J128" s="4">
        <v>17</v>
      </c>
      <c r="K128" s="4">
        <v>0.11799999999999999</v>
      </c>
      <c r="L128" s="4">
        <v>2</v>
      </c>
      <c r="M128" s="4">
        <v>12</v>
      </c>
      <c r="N128" s="4">
        <v>0.16700000000000001</v>
      </c>
      <c r="O128" s="4">
        <v>0</v>
      </c>
      <c r="P128" s="4">
        <v>5</v>
      </c>
      <c r="Q128" s="4">
        <v>0</v>
      </c>
      <c r="R128" s="4">
        <v>6</v>
      </c>
      <c r="S128" s="4">
        <v>6</v>
      </c>
      <c r="T128" s="4">
        <v>1</v>
      </c>
      <c r="U128" s="4">
        <v>1</v>
      </c>
      <c r="V128" s="4">
        <v>9</v>
      </c>
      <c r="W128" s="4">
        <v>4</v>
      </c>
      <c r="X128" s="4">
        <v>2</v>
      </c>
      <c r="Y128" s="4">
        <v>1</v>
      </c>
      <c r="Z128" s="4">
        <v>3</v>
      </c>
      <c r="AA128" s="4">
        <v>9</v>
      </c>
      <c r="AB128" s="4">
        <v>12</v>
      </c>
      <c r="AC128" s="5">
        <f t="shared" si="1"/>
        <v>1.3333333333333333</v>
      </c>
    </row>
    <row r="129" spans="1:29" ht="15.75" customHeight="1" x14ac:dyDescent="0.25">
      <c r="A129" s="1" t="s">
        <v>248</v>
      </c>
      <c r="B129" s="3" t="s">
        <v>93</v>
      </c>
      <c r="C129" s="4" t="s">
        <v>8</v>
      </c>
      <c r="D129" s="4">
        <v>5</v>
      </c>
      <c r="E129" s="4">
        <v>67</v>
      </c>
      <c r="F129" s="4">
        <v>5</v>
      </c>
      <c r="G129" s="4">
        <v>1</v>
      </c>
      <c r="H129" s="4">
        <v>67</v>
      </c>
      <c r="I129" s="4">
        <v>12</v>
      </c>
      <c r="J129" s="4">
        <v>28</v>
      </c>
      <c r="K129" s="4">
        <v>0.42899999999999999</v>
      </c>
      <c r="L129" s="4">
        <v>3</v>
      </c>
      <c r="M129" s="4">
        <v>9</v>
      </c>
      <c r="N129" s="4">
        <v>0.33300000000000002</v>
      </c>
      <c r="O129" s="4">
        <v>9</v>
      </c>
      <c r="P129" s="4">
        <v>19</v>
      </c>
      <c r="Q129" s="4">
        <v>0.47399999999999998</v>
      </c>
      <c r="R129" s="4">
        <v>11</v>
      </c>
      <c r="S129" s="4">
        <v>12</v>
      </c>
      <c r="T129" s="4">
        <v>0.91700000000000004</v>
      </c>
      <c r="U129" s="4">
        <v>0</v>
      </c>
      <c r="V129" s="4">
        <v>6</v>
      </c>
      <c r="W129" s="4">
        <v>8</v>
      </c>
      <c r="X129" s="4">
        <v>1</v>
      </c>
      <c r="Y129" s="4">
        <v>0</v>
      </c>
      <c r="Z129" s="4">
        <v>3</v>
      </c>
      <c r="AA129" s="4">
        <v>10</v>
      </c>
      <c r="AB129" s="4">
        <v>38</v>
      </c>
      <c r="AC129" s="5">
        <f t="shared" si="1"/>
        <v>2.6666666666666665</v>
      </c>
    </row>
    <row r="130" spans="1:29" ht="15.75" customHeight="1" x14ac:dyDescent="0.25">
      <c r="A130" s="1" t="s">
        <v>215</v>
      </c>
      <c r="B130" s="3" t="s">
        <v>95</v>
      </c>
      <c r="C130" s="4" t="s">
        <v>90</v>
      </c>
      <c r="D130" s="4">
        <v>7</v>
      </c>
      <c r="E130" s="4">
        <v>67</v>
      </c>
      <c r="F130" s="4">
        <v>7</v>
      </c>
      <c r="G130" s="4">
        <v>0</v>
      </c>
      <c r="H130" s="4">
        <v>67</v>
      </c>
      <c r="I130" s="4">
        <v>8</v>
      </c>
      <c r="J130" s="4">
        <v>19</v>
      </c>
      <c r="K130" s="4">
        <v>0.42099999999999999</v>
      </c>
      <c r="L130" s="4">
        <v>4</v>
      </c>
      <c r="M130" s="4">
        <v>11</v>
      </c>
      <c r="N130" s="4">
        <v>0.36399999999999999</v>
      </c>
      <c r="O130" s="4">
        <v>4</v>
      </c>
      <c r="P130" s="4">
        <v>8</v>
      </c>
      <c r="Q130" s="4">
        <v>0.5</v>
      </c>
      <c r="R130" s="4">
        <v>7</v>
      </c>
      <c r="S130" s="4">
        <v>9</v>
      </c>
      <c r="T130" s="4">
        <v>0.77800000000000002</v>
      </c>
      <c r="U130" s="4">
        <v>7</v>
      </c>
      <c r="V130" s="4">
        <v>19</v>
      </c>
      <c r="W130" s="4">
        <v>4</v>
      </c>
      <c r="X130" s="4">
        <v>4</v>
      </c>
      <c r="Y130" s="4">
        <v>6</v>
      </c>
      <c r="Z130" s="4">
        <v>4</v>
      </c>
      <c r="AA130" s="4">
        <v>11</v>
      </c>
      <c r="AB130" s="4">
        <v>27</v>
      </c>
      <c r="AC130" s="5">
        <f t="shared" si="1"/>
        <v>1</v>
      </c>
    </row>
    <row r="131" spans="1:29" ht="15.75" customHeight="1" x14ac:dyDescent="0.25">
      <c r="A131" s="1" t="s">
        <v>191</v>
      </c>
      <c r="B131" s="3" t="s">
        <v>119</v>
      </c>
      <c r="C131" s="4" t="s">
        <v>121</v>
      </c>
      <c r="D131" s="4">
        <v>6</v>
      </c>
      <c r="E131" s="4">
        <v>65</v>
      </c>
      <c r="F131" s="4">
        <v>6</v>
      </c>
      <c r="G131" s="4">
        <v>0</v>
      </c>
      <c r="H131" s="4">
        <v>65</v>
      </c>
      <c r="I131" s="4">
        <v>2</v>
      </c>
      <c r="J131" s="4">
        <v>3</v>
      </c>
      <c r="K131" s="4">
        <v>0.66700000000000004</v>
      </c>
      <c r="L131" s="4">
        <v>0</v>
      </c>
      <c r="M131" s="4">
        <v>0</v>
      </c>
      <c r="N131" s="4">
        <v>0</v>
      </c>
      <c r="O131" s="4">
        <v>2</v>
      </c>
      <c r="P131" s="4">
        <v>3</v>
      </c>
      <c r="Q131" s="4">
        <v>0.66700000000000004</v>
      </c>
      <c r="R131" s="4">
        <v>2</v>
      </c>
      <c r="S131" s="4">
        <v>2</v>
      </c>
      <c r="T131" s="4">
        <v>1</v>
      </c>
      <c r="U131" s="4">
        <v>5</v>
      </c>
      <c r="V131" s="4">
        <v>16</v>
      </c>
      <c r="W131" s="4">
        <v>2</v>
      </c>
      <c r="X131" s="4">
        <v>3</v>
      </c>
      <c r="Y131" s="4">
        <v>4</v>
      </c>
      <c r="Z131" s="4">
        <v>3</v>
      </c>
      <c r="AA131" s="4">
        <v>6</v>
      </c>
      <c r="AB131" s="4">
        <v>6</v>
      </c>
      <c r="AC131" s="5">
        <f t="shared" si="1"/>
        <v>0.66666666666666663</v>
      </c>
    </row>
    <row r="132" spans="1:29" ht="15.75" customHeight="1" x14ac:dyDescent="0.25">
      <c r="A132" s="1" t="s">
        <v>212</v>
      </c>
      <c r="B132" s="4" t="s">
        <v>119</v>
      </c>
      <c r="C132" s="4" t="s">
        <v>87</v>
      </c>
      <c r="D132" s="4">
        <v>6</v>
      </c>
      <c r="E132" s="4">
        <v>64</v>
      </c>
      <c r="F132" s="4">
        <v>6</v>
      </c>
      <c r="G132" s="4">
        <v>0</v>
      </c>
      <c r="H132" s="4">
        <v>64</v>
      </c>
      <c r="I132" s="4">
        <v>11</v>
      </c>
      <c r="J132" s="4">
        <v>20</v>
      </c>
      <c r="K132" s="4">
        <v>0.55000000000000004</v>
      </c>
      <c r="L132" s="4">
        <v>1</v>
      </c>
      <c r="M132" s="4">
        <v>3</v>
      </c>
      <c r="N132" s="4">
        <v>0.33300000000000002</v>
      </c>
      <c r="O132" s="4">
        <v>10</v>
      </c>
      <c r="P132" s="4">
        <v>17</v>
      </c>
      <c r="Q132" s="4">
        <v>0.58799999999999997</v>
      </c>
      <c r="R132" s="4">
        <v>6</v>
      </c>
      <c r="S132" s="4">
        <v>7</v>
      </c>
      <c r="T132" s="4">
        <v>0.85699999999999998</v>
      </c>
      <c r="U132" s="4">
        <v>5</v>
      </c>
      <c r="V132" s="4">
        <v>14</v>
      </c>
      <c r="W132" s="4">
        <v>3</v>
      </c>
      <c r="X132" s="4">
        <v>2</v>
      </c>
      <c r="Y132" s="4">
        <v>6</v>
      </c>
      <c r="Z132" s="4">
        <v>4</v>
      </c>
      <c r="AA132" s="4">
        <v>9</v>
      </c>
      <c r="AB132" s="4">
        <v>29</v>
      </c>
      <c r="AC132" s="5">
        <f t="shared" ref="AC132:AC195" si="2">IF(Z132=0,"",W132/Z132)</f>
        <v>0.75</v>
      </c>
    </row>
    <row r="133" spans="1:29" ht="15.75" customHeight="1" x14ac:dyDescent="0.25">
      <c r="A133" s="1" t="s">
        <v>249</v>
      </c>
      <c r="B133" s="3" t="s">
        <v>133</v>
      </c>
      <c r="C133" s="4" t="s">
        <v>8</v>
      </c>
      <c r="D133" s="4">
        <v>5</v>
      </c>
      <c r="E133" s="4">
        <v>63</v>
      </c>
      <c r="F133" s="4">
        <v>5</v>
      </c>
      <c r="G133" s="4">
        <v>0</v>
      </c>
      <c r="H133" s="4">
        <v>63</v>
      </c>
      <c r="I133" s="4">
        <v>14</v>
      </c>
      <c r="J133" s="4">
        <v>43</v>
      </c>
      <c r="K133" s="4">
        <v>0.32600000000000001</v>
      </c>
      <c r="L133" s="4">
        <v>6</v>
      </c>
      <c r="M133" s="4">
        <v>27</v>
      </c>
      <c r="N133" s="4">
        <v>0.222</v>
      </c>
      <c r="O133" s="4">
        <v>8</v>
      </c>
      <c r="P133" s="4">
        <v>16</v>
      </c>
      <c r="Q133" s="4">
        <v>0.5</v>
      </c>
      <c r="R133" s="4">
        <v>14</v>
      </c>
      <c r="S133" s="4">
        <v>16</v>
      </c>
      <c r="T133" s="4">
        <v>0.875</v>
      </c>
      <c r="U133" s="4">
        <v>3</v>
      </c>
      <c r="V133" s="4">
        <v>5</v>
      </c>
      <c r="W133" s="4">
        <v>5</v>
      </c>
      <c r="X133" s="4">
        <v>2</v>
      </c>
      <c r="Y133" s="4">
        <v>1</v>
      </c>
      <c r="Z133" s="4">
        <v>2</v>
      </c>
      <c r="AA133" s="4">
        <v>8</v>
      </c>
      <c r="AB133" s="4">
        <v>48</v>
      </c>
      <c r="AC133" s="5">
        <f t="shared" si="2"/>
        <v>2.5</v>
      </c>
    </row>
    <row r="134" spans="1:29" ht="15.75" customHeight="1" x14ac:dyDescent="0.25">
      <c r="A134" s="1" t="s">
        <v>210</v>
      </c>
      <c r="B134" s="3" t="s">
        <v>244</v>
      </c>
      <c r="C134" s="4" t="s">
        <v>121</v>
      </c>
      <c r="D134" s="4">
        <v>5</v>
      </c>
      <c r="E134" s="4">
        <v>60</v>
      </c>
      <c r="F134" s="4">
        <v>5</v>
      </c>
      <c r="G134" s="4">
        <v>0</v>
      </c>
      <c r="H134" s="4">
        <v>60</v>
      </c>
      <c r="I134" s="4">
        <v>7</v>
      </c>
      <c r="J134" s="4">
        <v>14</v>
      </c>
      <c r="K134" s="4">
        <v>0.5</v>
      </c>
      <c r="L134" s="4">
        <v>2</v>
      </c>
      <c r="M134" s="4">
        <v>8</v>
      </c>
      <c r="N134" s="4">
        <v>0.25</v>
      </c>
      <c r="O134" s="4">
        <v>5</v>
      </c>
      <c r="P134" s="4">
        <v>6</v>
      </c>
      <c r="Q134" s="4">
        <v>0.83299999999999996</v>
      </c>
      <c r="R134" s="4">
        <v>4</v>
      </c>
      <c r="S134" s="4">
        <v>4</v>
      </c>
      <c r="T134" s="4">
        <v>1</v>
      </c>
      <c r="U134" s="4">
        <v>3</v>
      </c>
      <c r="V134" s="4">
        <v>8</v>
      </c>
      <c r="W134" s="4">
        <v>1</v>
      </c>
      <c r="X134" s="4">
        <v>0</v>
      </c>
      <c r="Y134" s="4">
        <v>0</v>
      </c>
      <c r="Z134" s="4">
        <v>2</v>
      </c>
      <c r="AA134" s="4">
        <v>7</v>
      </c>
      <c r="AB134" s="4">
        <v>20</v>
      </c>
      <c r="AC134" s="5">
        <f t="shared" si="2"/>
        <v>0.5</v>
      </c>
    </row>
    <row r="135" spans="1:29" ht="15.75" customHeight="1" x14ac:dyDescent="0.25">
      <c r="A135" s="1" t="s">
        <v>250</v>
      </c>
      <c r="B135" s="3" t="s">
        <v>164</v>
      </c>
      <c r="C135" s="4" t="s">
        <v>8</v>
      </c>
      <c r="D135" s="4">
        <v>8</v>
      </c>
      <c r="E135" s="4">
        <v>60</v>
      </c>
      <c r="F135" s="4">
        <v>8</v>
      </c>
      <c r="G135" s="4">
        <v>0</v>
      </c>
      <c r="H135" s="4">
        <v>60</v>
      </c>
      <c r="I135" s="4">
        <v>3</v>
      </c>
      <c r="J135" s="4">
        <v>10</v>
      </c>
      <c r="K135" s="4">
        <v>0.3</v>
      </c>
      <c r="L135" s="4">
        <v>2</v>
      </c>
      <c r="M135" s="4">
        <v>4</v>
      </c>
      <c r="N135" s="4">
        <v>0.5</v>
      </c>
      <c r="O135" s="4">
        <v>1</v>
      </c>
      <c r="P135" s="4">
        <v>6</v>
      </c>
      <c r="Q135" s="4">
        <v>0.16700000000000001</v>
      </c>
      <c r="R135" s="4">
        <v>1</v>
      </c>
      <c r="S135" s="4">
        <v>1</v>
      </c>
      <c r="T135" s="4">
        <v>1</v>
      </c>
      <c r="U135" s="4">
        <v>3</v>
      </c>
      <c r="V135" s="4">
        <v>6</v>
      </c>
      <c r="W135" s="4">
        <v>7</v>
      </c>
      <c r="X135" s="4">
        <v>1</v>
      </c>
      <c r="Y135" s="4">
        <v>0</v>
      </c>
      <c r="Z135" s="4">
        <v>4</v>
      </c>
      <c r="AA135" s="4">
        <v>7</v>
      </c>
      <c r="AB135" s="4">
        <v>9</v>
      </c>
      <c r="AC135" s="5">
        <f t="shared" si="2"/>
        <v>1.75</v>
      </c>
    </row>
    <row r="136" spans="1:29" ht="15.75" customHeight="1" x14ac:dyDescent="0.25">
      <c r="A136" s="1" t="s">
        <v>202</v>
      </c>
      <c r="B136" s="3" t="s">
        <v>142</v>
      </c>
      <c r="C136" s="4" t="s">
        <v>8</v>
      </c>
      <c r="D136" s="4">
        <v>5</v>
      </c>
      <c r="E136" s="4">
        <v>59</v>
      </c>
      <c r="F136" s="4">
        <v>5</v>
      </c>
      <c r="G136" s="4">
        <v>0</v>
      </c>
      <c r="H136" s="4">
        <v>59</v>
      </c>
      <c r="I136" s="4">
        <v>2</v>
      </c>
      <c r="J136" s="4">
        <v>9</v>
      </c>
      <c r="K136" s="4">
        <v>0.222</v>
      </c>
      <c r="L136" s="4">
        <v>1</v>
      </c>
      <c r="M136" s="4">
        <v>5</v>
      </c>
      <c r="N136" s="4">
        <v>0.2</v>
      </c>
      <c r="O136" s="4">
        <v>1</v>
      </c>
      <c r="P136" s="4">
        <v>4</v>
      </c>
      <c r="Q136" s="4">
        <v>0.25</v>
      </c>
      <c r="R136" s="4">
        <v>3</v>
      </c>
      <c r="S136" s="4">
        <v>4</v>
      </c>
      <c r="T136" s="4">
        <v>0.75</v>
      </c>
      <c r="U136" s="4">
        <v>0</v>
      </c>
      <c r="V136" s="4">
        <v>8</v>
      </c>
      <c r="W136" s="4">
        <v>9</v>
      </c>
      <c r="X136" s="4">
        <v>5</v>
      </c>
      <c r="Y136" s="4">
        <v>0</v>
      </c>
      <c r="Z136" s="4">
        <v>11</v>
      </c>
      <c r="AA136" s="4">
        <v>9</v>
      </c>
      <c r="AB136" s="4">
        <v>8</v>
      </c>
      <c r="AC136" s="5">
        <f t="shared" si="2"/>
        <v>0.81818181818181823</v>
      </c>
    </row>
    <row r="137" spans="1:29" ht="15.75" customHeight="1" x14ac:dyDescent="0.25">
      <c r="A137" s="1" t="s">
        <v>203</v>
      </c>
      <c r="B137" s="3" t="s">
        <v>142</v>
      </c>
      <c r="C137" s="4" t="s">
        <v>8</v>
      </c>
      <c r="D137" s="4">
        <v>4</v>
      </c>
      <c r="E137" s="4">
        <v>58</v>
      </c>
      <c r="F137" s="4">
        <v>4</v>
      </c>
      <c r="G137" s="4">
        <v>0</v>
      </c>
      <c r="H137" s="4">
        <v>58</v>
      </c>
      <c r="I137" s="4">
        <v>4</v>
      </c>
      <c r="J137" s="4">
        <v>15</v>
      </c>
      <c r="K137" s="4">
        <v>0.26700000000000002</v>
      </c>
      <c r="L137" s="4">
        <v>2</v>
      </c>
      <c r="M137" s="4">
        <v>11</v>
      </c>
      <c r="N137" s="4">
        <v>0.182</v>
      </c>
      <c r="O137" s="4">
        <v>2</v>
      </c>
      <c r="P137" s="4">
        <v>4</v>
      </c>
      <c r="Q137" s="4">
        <v>0.5</v>
      </c>
      <c r="R137" s="4">
        <v>2</v>
      </c>
      <c r="S137" s="4">
        <v>3</v>
      </c>
      <c r="T137" s="4">
        <v>0.66700000000000004</v>
      </c>
      <c r="U137" s="4">
        <v>5</v>
      </c>
      <c r="V137" s="4">
        <v>7</v>
      </c>
      <c r="W137" s="4">
        <v>3</v>
      </c>
      <c r="X137" s="4">
        <v>0</v>
      </c>
      <c r="Y137" s="4">
        <v>1</v>
      </c>
      <c r="Z137" s="4">
        <v>2</v>
      </c>
      <c r="AA137" s="4">
        <v>7</v>
      </c>
      <c r="AB137" s="4">
        <v>12</v>
      </c>
      <c r="AC137" s="5">
        <f t="shared" si="2"/>
        <v>1.5</v>
      </c>
    </row>
    <row r="138" spans="1:29" ht="15.75" customHeight="1" x14ac:dyDescent="0.25">
      <c r="A138" s="1" t="s">
        <v>236</v>
      </c>
      <c r="B138" s="3" t="s">
        <v>95</v>
      </c>
      <c r="C138" s="4" t="s">
        <v>87</v>
      </c>
      <c r="D138" s="4">
        <v>5</v>
      </c>
      <c r="E138" s="4">
        <v>57</v>
      </c>
      <c r="F138" s="4">
        <v>5</v>
      </c>
      <c r="G138" s="4">
        <v>1</v>
      </c>
      <c r="H138" s="4">
        <v>57</v>
      </c>
      <c r="I138" s="4">
        <v>5</v>
      </c>
      <c r="J138" s="4">
        <v>14</v>
      </c>
      <c r="K138" s="4">
        <v>0.35699999999999998</v>
      </c>
      <c r="L138" s="4">
        <v>2</v>
      </c>
      <c r="M138" s="4">
        <v>5</v>
      </c>
      <c r="N138" s="4">
        <v>0.4</v>
      </c>
      <c r="O138" s="4">
        <v>3</v>
      </c>
      <c r="P138" s="4">
        <v>9</v>
      </c>
      <c r="Q138" s="4">
        <v>0.33300000000000002</v>
      </c>
      <c r="R138" s="4">
        <v>8</v>
      </c>
      <c r="S138" s="4">
        <v>13</v>
      </c>
      <c r="T138" s="4">
        <v>0.61499999999999999</v>
      </c>
      <c r="U138" s="4">
        <v>2</v>
      </c>
      <c r="V138" s="4">
        <v>11</v>
      </c>
      <c r="W138" s="4">
        <v>5</v>
      </c>
      <c r="X138" s="4">
        <v>3</v>
      </c>
      <c r="Y138" s="4">
        <v>0</v>
      </c>
      <c r="Z138" s="4">
        <v>4</v>
      </c>
      <c r="AA138" s="4">
        <v>10</v>
      </c>
      <c r="AB138" s="4">
        <v>20</v>
      </c>
      <c r="AC138" s="5">
        <f t="shared" si="2"/>
        <v>1.25</v>
      </c>
    </row>
    <row r="139" spans="1:29" ht="15.75" customHeight="1" x14ac:dyDescent="0.25">
      <c r="A139" s="1" t="s">
        <v>251</v>
      </c>
      <c r="B139" s="4" t="s">
        <v>109</v>
      </c>
      <c r="C139" s="4" t="s">
        <v>8</v>
      </c>
      <c r="D139" s="4">
        <v>4</v>
      </c>
      <c r="E139" s="4">
        <v>57</v>
      </c>
      <c r="F139" s="4">
        <v>4</v>
      </c>
      <c r="G139" s="4">
        <v>0</v>
      </c>
      <c r="H139" s="4">
        <v>57</v>
      </c>
      <c r="I139" s="4">
        <v>4</v>
      </c>
      <c r="J139" s="4">
        <v>9</v>
      </c>
      <c r="K139" s="4">
        <v>0.44400000000000001</v>
      </c>
      <c r="L139" s="4">
        <v>2</v>
      </c>
      <c r="M139" s="4">
        <v>7</v>
      </c>
      <c r="N139" s="4">
        <v>0.28599999999999998</v>
      </c>
      <c r="O139" s="4">
        <v>2</v>
      </c>
      <c r="P139" s="4">
        <v>2</v>
      </c>
      <c r="Q139" s="4">
        <v>1</v>
      </c>
      <c r="R139" s="4">
        <v>0</v>
      </c>
      <c r="S139" s="4">
        <v>2</v>
      </c>
      <c r="T139" s="4">
        <v>0</v>
      </c>
      <c r="U139" s="4">
        <v>0</v>
      </c>
      <c r="V139" s="4">
        <v>5</v>
      </c>
      <c r="W139" s="4">
        <v>5</v>
      </c>
      <c r="X139" s="4">
        <v>6</v>
      </c>
      <c r="Y139" s="4">
        <v>0</v>
      </c>
      <c r="Z139" s="4">
        <v>3</v>
      </c>
      <c r="AA139" s="4">
        <v>2</v>
      </c>
      <c r="AB139" s="4">
        <v>10</v>
      </c>
      <c r="AC139" s="5">
        <f t="shared" si="2"/>
        <v>1.6666666666666667</v>
      </c>
    </row>
    <row r="140" spans="1:29" ht="15.75" customHeight="1" x14ac:dyDescent="0.25">
      <c r="A140" s="1" t="s">
        <v>214</v>
      </c>
      <c r="B140" s="3" t="s">
        <v>244</v>
      </c>
      <c r="C140" s="4" t="s">
        <v>114</v>
      </c>
      <c r="D140" s="4">
        <v>5</v>
      </c>
      <c r="E140" s="4">
        <v>57</v>
      </c>
      <c r="F140" s="4">
        <v>5</v>
      </c>
      <c r="G140" s="4">
        <v>0</v>
      </c>
      <c r="H140" s="4">
        <v>57</v>
      </c>
      <c r="I140" s="4">
        <v>10</v>
      </c>
      <c r="J140" s="4">
        <v>17</v>
      </c>
      <c r="K140" s="4">
        <v>0.58799999999999997</v>
      </c>
      <c r="L140" s="4">
        <v>0</v>
      </c>
      <c r="M140" s="4">
        <v>3</v>
      </c>
      <c r="N140" s="4">
        <v>0</v>
      </c>
      <c r="O140" s="4">
        <v>10</v>
      </c>
      <c r="P140" s="4">
        <v>14</v>
      </c>
      <c r="Q140" s="4">
        <v>0.71399999999999997</v>
      </c>
      <c r="R140" s="4">
        <v>6</v>
      </c>
      <c r="S140" s="4">
        <v>8</v>
      </c>
      <c r="T140" s="4">
        <v>0.75</v>
      </c>
      <c r="U140" s="4">
        <v>2</v>
      </c>
      <c r="V140" s="4">
        <v>11</v>
      </c>
      <c r="W140" s="4">
        <v>5</v>
      </c>
      <c r="X140" s="4">
        <v>2</v>
      </c>
      <c r="Y140" s="4">
        <v>0</v>
      </c>
      <c r="Z140" s="4">
        <v>6</v>
      </c>
      <c r="AA140" s="4">
        <v>9</v>
      </c>
      <c r="AB140" s="4">
        <v>26</v>
      </c>
      <c r="AC140" s="5">
        <f t="shared" si="2"/>
        <v>0.83333333333333337</v>
      </c>
    </row>
    <row r="141" spans="1:29" ht="15.75" customHeight="1" x14ac:dyDescent="0.25">
      <c r="A141" s="1" t="s">
        <v>252</v>
      </c>
      <c r="B141" s="3" t="s">
        <v>164</v>
      </c>
      <c r="C141" s="4" t="s">
        <v>90</v>
      </c>
      <c r="D141" s="4">
        <v>6</v>
      </c>
      <c r="E141" s="4">
        <v>55</v>
      </c>
      <c r="F141" s="4">
        <v>6</v>
      </c>
      <c r="G141" s="4">
        <v>1</v>
      </c>
      <c r="H141" s="4">
        <v>55</v>
      </c>
      <c r="I141" s="4">
        <v>7</v>
      </c>
      <c r="J141" s="4">
        <v>15</v>
      </c>
      <c r="K141" s="4">
        <v>0.46700000000000003</v>
      </c>
      <c r="L141" s="4">
        <v>0</v>
      </c>
      <c r="M141" s="4">
        <v>2</v>
      </c>
      <c r="N141" s="4">
        <v>0</v>
      </c>
      <c r="O141" s="4">
        <v>7</v>
      </c>
      <c r="P141" s="4">
        <v>13</v>
      </c>
      <c r="Q141" s="4">
        <v>0.53800000000000003</v>
      </c>
      <c r="R141" s="4">
        <v>3</v>
      </c>
      <c r="S141" s="4">
        <v>4</v>
      </c>
      <c r="T141" s="4">
        <v>0.75</v>
      </c>
      <c r="U141" s="4">
        <v>2</v>
      </c>
      <c r="V141" s="4">
        <v>9</v>
      </c>
      <c r="W141" s="4">
        <v>2</v>
      </c>
      <c r="X141" s="4">
        <v>0</v>
      </c>
      <c r="Y141" s="4">
        <v>0</v>
      </c>
      <c r="Z141" s="4">
        <v>5</v>
      </c>
      <c r="AA141" s="4">
        <v>7</v>
      </c>
      <c r="AB141" s="4">
        <v>17</v>
      </c>
      <c r="AC141" s="5">
        <f t="shared" si="2"/>
        <v>0.4</v>
      </c>
    </row>
    <row r="142" spans="1:29" ht="15.75" customHeight="1" x14ac:dyDescent="0.25">
      <c r="A142" s="1" t="s">
        <v>234</v>
      </c>
      <c r="B142" s="3" t="s">
        <v>130</v>
      </c>
      <c r="C142" s="4" t="s">
        <v>90</v>
      </c>
      <c r="D142" s="4">
        <v>6</v>
      </c>
      <c r="E142" s="4">
        <v>55</v>
      </c>
      <c r="F142" s="4">
        <v>6</v>
      </c>
      <c r="G142" s="4">
        <v>0</v>
      </c>
      <c r="H142" s="4">
        <v>55</v>
      </c>
      <c r="I142" s="4">
        <v>11</v>
      </c>
      <c r="J142" s="4">
        <v>22</v>
      </c>
      <c r="K142" s="4">
        <v>0.5</v>
      </c>
      <c r="L142" s="4">
        <v>0</v>
      </c>
      <c r="M142" s="4">
        <v>3</v>
      </c>
      <c r="N142" s="4">
        <v>0</v>
      </c>
      <c r="O142" s="4">
        <v>11</v>
      </c>
      <c r="P142" s="4">
        <v>19</v>
      </c>
      <c r="Q142" s="4">
        <v>0.57899999999999996</v>
      </c>
      <c r="R142" s="4">
        <v>4</v>
      </c>
      <c r="S142" s="4">
        <v>7</v>
      </c>
      <c r="T142" s="4">
        <v>0.57099999999999995</v>
      </c>
      <c r="U142" s="4">
        <v>6</v>
      </c>
      <c r="V142" s="4">
        <v>28</v>
      </c>
      <c r="W142" s="4">
        <v>1</v>
      </c>
      <c r="X142" s="4">
        <v>1</v>
      </c>
      <c r="Y142" s="4">
        <v>2</v>
      </c>
      <c r="Z142" s="4">
        <v>10</v>
      </c>
      <c r="AA142" s="4">
        <v>9</v>
      </c>
      <c r="AB142" s="4">
        <v>26</v>
      </c>
      <c r="AC142" s="5">
        <f t="shared" si="2"/>
        <v>0.1</v>
      </c>
    </row>
    <row r="143" spans="1:29" ht="15.75" customHeight="1" x14ac:dyDescent="0.25">
      <c r="A143" s="1" t="s">
        <v>181</v>
      </c>
      <c r="B143" s="3" t="s">
        <v>98</v>
      </c>
      <c r="C143" s="4" t="s">
        <v>90</v>
      </c>
      <c r="D143" s="4">
        <v>3</v>
      </c>
      <c r="E143" s="4">
        <v>52</v>
      </c>
      <c r="F143" s="4">
        <v>3</v>
      </c>
      <c r="G143" s="4">
        <v>0</v>
      </c>
      <c r="H143" s="4">
        <v>52</v>
      </c>
      <c r="I143" s="4">
        <v>10</v>
      </c>
      <c r="J143" s="4">
        <v>16</v>
      </c>
      <c r="K143" s="4">
        <v>0.625</v>
      </c>
      <c r="L143" s="4">
        <v>0</v>
      </c>
      <c r="M143" s="4">
        <v>1</v>
      </c>
      <c r="N143" s="4">
        <v>0</v>
      </c>
      <c r="O143" s="4">
        <v>10</v>
      </c>
      <c r="P143" s="4">
        <v>15</v>
      </c>
      <c r="Q143" s="4">
        <v>0.66700000000000004</v>
      </c>
      <c r="R143" s="4">
        <v>5</v>
      </c>
      <c r="S143" s="4">
        <v>8</v>
      </c>
      <c r="T143" s="4">
        <v>0.625</v>
      </c>
      <c r="U143" s="4">
        <v>4</v>
      </c>
      <c r="V143" s="4">
        <v>11</v>
      </c>
      <c r="W143" s="4">
        <v>0</v>
      </c>
      <c r="X143" s="4">
        <v>1</v>
      </c>
      <c r="Y143" s="4">
        <v>2</v>
      </c>
      <c r="Z143" s="4">
        <v>4</v>
      </c>
      <c r="AA143" s="4">
        <v>12</v>
      </c>
      <c r="AB143" s="4">
        <v>25</v>
      </c>
      <c r="AC143" s="5">
        <f t="shared" si="2"/>
        <v>0</v>
      </c>
    </row>
    <row r="144" spans="1:29" ht="15.75" customHeight="1" x14ac:dyDescent="0.25">
      <c r="A144" s="1" t="s">
        <v>253</v>
      </c>
      <c r="B144" s="3" t="s">
        <v>244</v>
      </c>
      <c r="C144" s="4" t="s">
        <v>8</v>
      </c>
      <c r="D144" s="4">
        <v>3</v>
      </c>
      <c r="E144" s="4">
        <v>52</v>
      </c>
      <c r="F144" s="4">
        <v>3</v>
      </c>
      <c r="G144" s="4">
        <v>0</v>
      </c>
      <c r="H144" s="4">
        <v>52</v>
      </c>
      <c r="I144" s="4">
        <v>7</v>
      </c>
      <c r="J144" s="4">
        <v>15</v>
      </c>
      <c r="K144" s="4">
        <v>0.46700000000000003</v>
      </c>
      <c r="L144" s="4">
        <v>3</v>
      </c>
      <c r="M144" s="4">
        <v>3</v>
      </c>
      <c r="N144" s="4">
        <v>1</v>
      </c>
      <c r="O144" s="4">
        <v>4</v>
      </c>
      <c r="P144" s="4">
        <v>12</v>
      </c>
      <c r="Q144" s="4">
        <v>0.33300000000000002</v>
      </c>
      <c r="R144" s="4">
        <v>1</v>
      </c>
      <c r="S144" s="4">
        <v>3</v>
      </c>
      <c r="T144" s="4">
        <v>0.33300000000000002</v>
      </c>
      <c r="U144" s="4">
        <v>2</v>
      </c>
      <c r="V144" s="4">
        <v>4</v>
      </c>
      <c r="W144" s="4">
        <v>15</v>
      </c>
      <c r="X144" s="4">
        <v>2</v>
      </c>
      <c r="Y144" s="4">
        <v>0</v>
      </c>
      <c r="Z144" s="4">
        <v>9</v>
      </c>
      <c r="AA144" s="4">
        <v>7</v>
      </c>
      <c r="AB144" s="4">
        <v>18</v>
      </c>
      <c r="AC144" s="5">
        <f t="shared" si="2"/>
        <v>1.6666666666666667</v>
      </c>
    </row>
    <row r="145" spans="1:29" ht="15.75" customHeight="1" x14ac:dyDescent="0.25">
      <c r="A145" s="1" t="s">
        <v>254</v>
      </c>
      <c r="B145" s="3" t="s">
        <v>101</v>
      </c>
      <c r="C145" s="4" t="s">
        <v>87</v>
      </c>
      <c r="D145" s="4">
        <v>6</v>
      </c>
      <c r="E145" s="4">
        <v>50</v>
      </c>
      <c r="F145" s="4">
        <v>6</v>
      </c>
      <c r="G145" s="4">
        <v>0</v>
      </c>
      <c r="H145" s="4">
        <v>50</v>
      </c>
      <c r="I145" s="4">
        <v>4</v>
      </c>
      <c r="J145" s="4">
        <v>8</v>
      </c>
      <c r="K145" s="4">
        <v>0.5</v>
      </c>
      <c r="L145" s="4">
        <v>3</v>
      </c>
      <c r="M145" s="4">
        <v>7</v>
      </c>
      <c r="N145" s="4">
        <v>0.42899999999999999</v>
      </c>
      <c r="O145" s="4">
        <v>1</v>
      </c>
      <c r="P145" s="4">
        <v>1</v>
      </c>
      <c r="Q145" s="4">
        <v>1</v>
      </c>
      <c r="R145" s="4">
        <v>3</v>
      </c>
      <c r="S145" s="4">
        <v>4</v>
      </c>
      <c r="T145" s="4">
        <v>0.75</v>
      </c>
      <c r="U145" s="4">
        <v>1</v>
      </c>
      <c r="V145" s="4">
        <v>6</v>
      </c>
      <c r="W145" s="4">
        <v>1</v>
      </c>
      <c r="X145" s="4">
        <v>1</v>
      </c>
      <c r="Y145" s="4">
        <v>1</v>
      </c>
      <c r="Z145" s="4">
        <v>3</v>
      </c>
      <c r="AA145" s="4">
        <v>8</v>
      </c>
      <c r="AB145" s="4">
        <v>14</v>
      </c>
      <c r="AC145" s="5">
        <f t="shared" si="2"/>
        <v>0.33333333333333331</v>
      </c>
    </row>
    <row r="146" spans="1:29" ht="15.75" customHeight="1" x14ac:dyDescent="0.25">
      <c r="A146" s="1" t="s">
        <v>218</v>
      </c>
      <c r="B146" s="4" t="s">
        <v>255</v>
      </c>
      <c r="C146" s="4" t="s">
        <v>87</v>
      </c>
      <c r="D146" s="4">
        <v>5</v>
      </c>
      <c r="E146" s="4">
        <v>50</v>
      </c>
      <c r="F146" s="4">
        <v>5</v>
      </c>
      <c r="G146" s="4">
        <v>0</v>
      </c>
      <c r="H146" s="4">
        <v>50</v>
      </c>
      <c r="I146" s="4">
        <v>5</v>
      </c>
      <c r="J146" s="4">
        <v>8</v>
      </c>
      <c r="K146" s="4">
        <v>0.625</v>
      </c>
      <c r="L146" s="4">
        <v>2</v>
      </c>
      <c r="M146" s="4">
        <v>3</v>
      </c>
      <c r="N146" s="4">
        <v>0.66700000000000004</v>
      </c>
      <c r="O146" s="4">
        <v>3</v>
      </c>
      <c r="P146" s="4">
        <v>5</v>
      </c>
      <c r="Q146" s="4">
        <v>0.6</v>
      </c>
      <c r="R146" s="4">
        <v>5</v>
      </c>
      <c r="S146" s="4">
        <v>8</v>
      </c>
      <c r="T146" s="4">
        <v>0.625</v>
      </c>
      <c r="U146" s="4">
        <v>1</v>
      </c>
      <c r="V146" s="4">
        <v>6</v>
      </c>
      <c r="W146" s="4">
        <v>3</v>
      </c>
      <c r="X146" s="4">
        <v>4</v>
      </c>
      <c r="Y146" s="4">
        <v>3</v>
      </c>
      <c r="Z146" s="4">
        <v>1</v>
      </c>
      <c r="AA146" s="4">
        <v>2</v>
      </c>
      <c r="AB146" s="4">
        <v>17</v>
      </c>
      <c r="AC146" s="5">
        <f t="shared" si="2"/>
        <v>3</v>
      </c>
    </row>
    <row r="147" spans="1:29" ht="15.75" customHeight="1" x14ac:dyDescent="0.25">
      <c r="A147" s="1" t="s">
        <v>228</v>
      </c>
      <c r="B147" s="3" t="s">
        <v>139</v>
      </c>
      <c r="C147" s="4" t="s">
        <v>8</v>
      </c>
      <c r="D147" s="4">
        <v>5</v>
      </c>
      <c r="E147" s="4">
        <v>47</v>
      </c>
      <c r="F147" s="4">
        <v>5</v>
      </c>
      <c r="G147" s="4">
        <v>0</v>
      </c>
      <c r="H147" s="4">
        <v>47</v>
      </c>
      <c r="I147" s="4">
        <v>3</v>
      </c>
      <c r="J147" s="4">
        <v>11</v>
      </c>
      <c r="K147" s="4">
        <v>0.27300000000000002</v>
      </c>
      <c r="L147" s="4">
        <v>0</v>
      </c>
      <c r="M147" s="4">
        <v>6</v>
      </c>
      <c r="N147" s="4">
        <v>0</v>
      </c>
      <c r="O147" s="4">
        <v>3</v>
      </c>
      <c r="P147" s="4">
        <v>5</v>
      </c>
      <c r="Q147" s="4">
        <v>0.6</v>
      </c>
      <c r="R147" s="4">
        <v>0</v>
      </c>
      <c r="S147" s="4">
        <v>0</v>
      </c>
      <c r="T147" s="4">
        <v>0</v>
      </c>
      <c r="U147" s="4">
        <v>0</v>
      </c>
      <c r="V147" s="4">
        <v>4</v>
      </c>
      <c r="W147" s="4">
        <v>2</v>
      </c>
      <c r="X147" s="4">
        <v>0</v>
      </c>
      <c r="Y147" s="4">
        <v>0</v>
      </c>
      <c r="Z147" s="4">
        <v>2</v>
      </c>
      <c r="AA147" s="4">
        <v>6</v>
      </c>
      <c r="AB147" s="4">
        <v>6</v>
      </c>
      <c r="AC147" s="5">
        <f t="shared" si="2"/>
        <v>1</v>
      </c>
    </row>
    <row r="148" spans="1:29" ht="15.75" customHeight="1" x14ac:dyDescent="0.25">
      <c r="A148" s="1" t="s">
        <v>256</v>
      </c>
      <c r="B148" s="3" t="s">
        <v>98</v>
      </c>
      <c r="C148" s="4" t="s">
        <v>87</v>
      </c>
      <c r="D148" s="4">
        <v>6</v>
      </c>
      <c r="E148" s="4">
        <v>47</v>
      </c>
      <c r="F148" s="4">
        <v>6</v>
      </c>
      <c r="G148" s="4">
        <v>0</v>
      </c>
      <c r="H148" s="4">
        <v>47</v>
      </c>
      <c r="I148" s="4">
        <v>8</v>
      </c>
      <c r="J148" s="4">
        <v>14</v>
      </c>
      <c r="K148" s="4">
        <v>0.57099999999999995</v>
      </c>
      <c r="L148" s="4">
        <v>0</v>
      </c>
      <c r="M148" s="4">
        <v>0</v>
      </c>
      <c r="N148" s="4">
        <v>0</v>
      </c>
      <c r="O148" s="4">
        <v>8</v>
      </c>
      <c r="P148" s="4">
        <v>14</v>
      </c>
      <c r="Q148" s="4">
        <v>0.57099999999999995</v>
      </c>
      <c r="R148" s="4">
        <v>1</v>
      </c>
      <c r="S148" s="4">
        <v>2</v>
      </c>
      <c r="T148" s="4">
        <v>0.5</v>
      </c>
      <c r="U148" s="4">
        <v>4</v>
      </c>
      <c r="V148" s="4">
        <v>7</v>
      </c>
      <c r="W148" s="4">
        <v>4</v>
      </c>
      <c r="X148" s="4">
        <v>3</v>
      </c>
      <c r="Y148" s="4">
        <v>2</v>
      </c>
      <c r="Z148" s="4">
        <v>3</v>
      </c>
      <c r="AA148" s="4">
        <v>9</v>
      </c>
      <c r="AB148" s="4">
        <v>17</v>
      </c>
      <c r="AC148" s="5">
        <f t="shared" si="2"/>
        <v>1.3333333333333333</v>
      </c>
    </row>
    <row r="149" spans="1:29" ht="15.75" customHeight="1" x14ac:dyDescent="0.25">
      <c r="A149" s="1" t="s">
        <v>257</v>
      </c>
      <c r="B149" s="3" t="s">
        <v>86</v>
      </c>
      <c r="C149" s="4" t="s">
        <v>87</v>
      </c>
      <c r="D149" s="4">
        <v>3</v>
      </c>
      <c r="E149" s="4">
        <v>46</v>
      </c>
      <c r="F149" s="4">
        <v>3</v>
      </c>
      <c r="G149" s="4">
        <v>3</v>
      </c>
      <c r="H149" s="4">
        <v>46</v>
      </c>
      <c r="I149" s="4">
        <v>8</v>
      </c>
      <c r="J149" s="4">
        <v>23</v>
      </c>
      <c r="K149" s="4">
        <v>0.34799999999999998</v>
      </c>
      <c r="L149" s="4">
        <v>4</v>
      </c>
      <c r="M149" s="4">
        <v>10</v>
      </c>
      <c r="N149" s="4">
        <v>0.4</v>
      </c>
      <c r="O149" s="4">
        <v>4</v>
      </c>
      <c r="P149" s="4">
        <v>13</v>
      </c>
      <c r="Q149" s="4">
        <v>0.308</v>
      </c>
      <c r="R149" s="4">
        <v>7</v>
      </c>
      <c r="S149" s="4">
        <v>7</v>
      </c>
      <c r="T149" s="4">
        <v>1</v>
      </c>
      <c r="U149" s="4">
        <v>1</v>
      </c>
      <c r="V149" s="4">
        <v>6</v>
      </c>
      <c r="W149" s="4">
        <v>4</v>
      </c>
      <c r="X149" s="4">
        <v>0</v>
      </c>
      <c r="Y149" s="4">
        <v>1</v>
      </c>
      <c r="Z149" s="4">
        <v>4</v>
      </c>
      <c r="AA149" s="4">
        <v>9</v>
      </c>
      <c r="AB149" s="4">
        <v>27</v>
      </c>
      <c r="AC149" s="5">
        <f t="shared" si="2"/>
        <v>1</v>
      </c>
    </row>
    <row r="150" spans="1:29" ht="15.75" customHeight="1" x14ac:dyDescent="0.25">
      <c r="A150" s="1" t="s">
        <v>209</v>
      </c>
      <c r="B150" s="3" t="s">
        <v>119</v>
      </c>
      <c r="C150" s="4" t="s">
        <v>87</v>
      </c>
      <c r="D150" s="4">
        <v>4</v>
      </c>
      <c r="E150" s="4">
        <v>44</v>
      </c>
      <c r="F150" s="4">
        <v>4</v>
      </c>
      <c r="G150" s="4">
        <v>0</v>
      </c>
      <c r="H150" s="4">
        <v>44</v>
      </c>
      <c r="I150" s="4">
        <v>0</v>
      </c>
      <c r="J150" s="4">
        <v>7</v>
      </c>
      <c r="K150" s="4">
        <v>0</v>
      </c>
      <c r="L150" s="4">
        <v>0</v>
      </c>
      <c r="M150" s="4">
        <v>3</v>
      </c>
      <c r="N150" s="4">
        <v>0</v>
      </c>
      <c r="O150" s="4">
        <v>0</v>
      </c>
      <c r="P150" s="4">
        <v>4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4">
        <v>7</v>
      </c>
      <c r="W150" s="4">
        <v>3</v>
      </c>
      <c r="X150" s="4">
        <v>2</v>
      </c>
      <c r="Y150" s="4">
        <v>1</v>
      </c>
      <c r="Z150" s="4">
        <v>2</v>
      </c>
      <c r="AA150" s="4">
        <v>2</v>
      </c>
      <c r="AB150" s="4">
        <v>0</v>
      </c>
      <c r="AC150" s="5">
        <f t="shared" si="2"/>
        <v>1.5</v>
      </c>
    </row>
    <row r="151" spans="1:29" ht="15.75" customHeight="1" x14ac:dyDescent="0.25">
      <c r="A151" s="1" t="s">
        <v>258</v>
      </c>
      <c r="B151" s="3" t="s">
        <v>130</v>
      </c>
      <c r="C151" s="4" t="s">
        <v>8</v>
      </c>
      <c r="D151" s="4">
        <v>6</v>
      </c>
      <c r="E151" s="4">
        <v>42</v>
      </c>
      <c r="F151" s="4">
        <v>6</v>
      </c>
      <c r="G151" s="4">
        <v>0</v>
      </c>
      <c r="H151" s="4">
        <v>42</v>
      </c>
      <c r="I151" s="4">
        <v>6</v>
      </c>
      <c r="J151" s="4">
        <v>14</v>
      </c>
      <c r="K151" s="4">
        <v>0.42899999999999999</v>
      </c>
      <c r="L151" s="4">
        <v>2</v>
      </c>
      <c r="M151" s="4">
        <v>6</v>
      </c>
      <c r="N151" s="4">
        <v>0.33300000000000002</v>
      </c>
      <c r="O151" s="4">
        <v>4</v>
      </c>
      <c r="P151" s="4">
        <v>8</v>
      </c>
      <c r="Q151" s="4">
        <v>0.5</v>
      </c>
      <c r="R151" s="4">
        <v>0</v>
      </c>
      <c r="S151" s="4">
        <v>0</v>
      </c>
      <c r="T151" s="4">
        <v>0</v>
      </c>
      <c r="U151" s="4">
        <v>2</v>
      </c>
      <c r="V151" s="4">
        <v>7</v>
      </c>
      <c r="W151" s="4">
        <v>5</v>
      </c>
      <c r="X151" s="4">
        <v>0</v>
      </c>
      <c r="Y151" s="4">
        <v>1</v>
      </c>
      <c r="Z151" s="4">
        <v>0</v>
      </c>
      <c r="AA151" s="4">
        <v>1</v>
      </c>
      <c r="AB151" s="4">
        <v>14</v>
      </c>
      <c r="AC151" s="5" t="str">
        <f t="shared" si="2"/>
        <v/>
      </c>
    </row>
    <row r="152" spans="1:29" ht="15.75" customHeight="1" x14ac:dyDescent="0.25">
      <c r="A152" s="1" t="s">
        <v>259</v>
      </c>
      <c r="B152" s="3" t="s">
        <v>142</v>
      </c>
      <c r="C152" s="4" t="s">
        <v>87</v>
      </c>
      <c r="D152" s="4">
        <v>2</v>
      </c>
      <c r="E152" s="4">
        <v>40</v>
      </c>
      <c r="F152" s="4">
        <v>2</v>
      </c>
      <c r="G152" s="4">
        <v>2</v>
      </c>
      <c r="H152" s="4">
        <v>40</v>
      </c>
      <c r="I152" s="4">
        <v>6</v>
      </c>
      <c r="J152" s="4">
        <v>13</v>
      </c>
      <c r="K152" s="4">
        <v>0.46200000000000002</v>
      </c>
      <c r="L152" s="4">
        <v>3</v>
      </c>
      <c r="M152" s="4">
        <v>8</v>
      </c>
      <c r="N152" s="4">
        <v>0.375</v>
      </c>
      <c r="O152" s="4">
        <v>3</v>
      </c>
      <c r="P152" s="4">
        <v>5</v>
      </c>
      <c r="Q152" s="4">
        <v>0.6</v>
      </c>
      <c r="R152" s="4">
        <v>5</v>
      </c>
      <c r="S152" s="4">
        <v>6</v>
      </c>
      <c r="T152" s="4">
        <v>0.83299999999999996</v>
      </c>
      <c r="U152" s="4">
        <v>2</v>
      </c>
      <c r="V152" s="4">
        <v>2</v>
      </c>
      <c r="W152" s="4">
        <v>2</v>
      </c>
      <c r="X152" s="4">
        <v>1</v>
      </c>
      <c r="Y152" s="4">
        <v>0</v>
      </c>
      <c r="Z152" s="4">
        <v>4</v>
      </c>
      <c r="AA152" s="4">
        <v>6</v>
      </c>
      <c r="AB152" s="4">
        <v>20</v>
      </c>
      <c r="AC152" s="5">
        <f t="shared" si="2"/>
        <v>0.5</v>
      </c>
    </row>
    <row r="153" spans="1:29" ht="15.75" customHeight="1" x14ac:dyDescent="0.25">
      <c r="A153" s="1" t="s">
        <v>260</v>
      </c>
      <c r="B153" s="3" t="s">
        <v>98</v>
      </c>
      <c r="C153" s="4" t="s">
        <v>87</v>
      </c>
      <c r="D153" s="4">
        <v>3</v>
      </c>
      <c r="E153" s="4">
        <v>39</v>
      </c>
      <c r="F153" s="4">
        <v>3</v>
      </c>
      <c r="G153" s="4">
        <v>0</v>
      </c>
      <c r="H153" s="4">
        <v>39</v>
      </c>
      <c r="I153" s="4">
        <v>4</v>
      </c>
      <c r="J153" s="4">
        <v>7</v>
      </c>
      <c r="K153" s="4">
        <v>0.57099999999999995</v>
      </c>
      <c r="L153" s="4">
        <v>2</v>
      </c>
      <c r="M153" s="4">
        <v>3</v>
      </c>
      <c r="N153" s="4">
        <v>0.66700000000000004</v>
      </c>
      <c r="O153" s="4">
        <v>2</v>
      </c>
      <c r="P153" s="4">
        <v>4</v>
      </c>
      <c r="Q153" s="4">
        <v>0.5</v>
      </c>
      <c r="R153" s="4">
        <v>2</v>
      </c>
      <c r="S153" s="4">
        <v>6</v>
      </c>
      <c r="T153" s="4">
        <v>0.33300000000000002</v>
      </c>
      <c r="U153" s="4">
        <v>3</v>
      </c>
      <c r="V153" s="4">
        <v>12</v>
      </c>
      <c r="W153" s="4">
        <v>0</v>
      </c>
      <c r="X153" s="4">
        <v>2</v>
      </c>
      <c r="Y153" s="4">
        <v>3</v>
      </c>
      <c r="Z153" s="4">
        <v>3</v>
      </c>
      <c r="AA153" s="4">
        <v>4</v>
      </c>
      <c r="AB153" s="4">
        <v>12</v>
      </c>
      <c r="AC153" s="5">
        <f t="shared" si="2"/>
        <v>0</v>
      </c>
    </row>
    <row r="154" spans="1:29" ht="15.75" customHeight="1" x14ac:dyDescent="0.25">
      <c r="A154" s="1" t="s">
        <v>261</v>
      </c>
      <c r="B154" s="3" t="s">
        <v>116</v>
      </c>
      <c r="C154" s="4" t="s">
        <v>90</v>
      </c>
      <c r="D154" s="4">
        <v>2</v>
      </c>
      <c r="E154" s="4">
        <v>38</v>
      </c>
      <c r="F154" s="4">
        <v>2</v>
      </c>
      <c r="G154" s="4">
        <v>0</v>
      </c>
      <c r="H154" s="4">
        <v>38</v>
      </c>
      <c r="I154" s="4">
        <v>6</v>
      </c>
      <c r="J154" s="4">
        <v>12</v>
      </c>
      <c r="K154" s="4">
        <v>0.5</v>
      </c>
      <c r="L154" s="4">
        <v>0</v>
      </c>
      <c r="M154" s="4">
        <v>2</v>
      </c>
      <c r="N154" s="4">
        <v>0</v>
      </c>
      <c r="O154" s="4">
        <v>6</v>
      </c>
      <c r="P154" s="4">
        <v>10</v>
      </c>
      <c r="Q154" s="4">
        <v>0.6</v>
      </c>
      <c r="R154" s="4">
        <v>4</v>
      </c>
      <c r="S154" s="4">
        <v>6</v>
      </c>
      <c r="T154" s="4">
        <v>0.66700000000000004</v>
      </c>
      <c r="U154" s="4">
        <v>4</v>
      </c>
      <c r="V154" s="4">
        <v>7</v>
      </c>
      <c r="W154" s="4">
        <v>0</v>
      </c>
      <c r="X154" s="4">
        <v>1</v>
      </c>
      <c r="Y154" s="4">
        <v>0</v>
      </c>
      <c r="Z154" s="4">
        <v>3</v>
      </c>
      <c r="AA154" s="4">
        <v>8</v>
      </c>
      <c r="AB154" s="4">
        <v>16</v>
      </c>
      <c r="AC154" s="5">
        <f t="shared" si="2"/>
        <v>0</v>
      </c>
    </row>
    <row r="155" spans="1:29" ht="15.75" customHeight="1" x14ac:dyDescent="0.25">
      <c r="A155" s="1" t="s">
        <v>227</v>
      </c>
      <c r="B155" s="3" t="s">
        <v>160</v>
      </c>
      <c r="C155" s="4" t="s">
        <v>187</v>
      </c>
      <c r="D155" s="4">
        <v>4</v>
      </c>
      <c r="E155" s="4">
        <v>37</v>
      </c>
      <c r="F155" s="4">
        <v>4</v>
      </c>
      <c r="G155" s="4">
        <v>0</v>
      </c>
      <c r="H155" s="4">
        <v>37</v>
      </c>
      <c r="I155" s="4">
        <v>6</v>
      </c>
      <c r="J155" s="4">
        <v>11</v>
      </c>
      <c r="K155" s="4">
        <v>0.54500000000000004</v>
      </c>
      <c r="L155" s="4">
        <v>4</v>
      </c>
      <c r="M155" s="4">
        <v>9</v>
      </c>
      <c r="N155" s="4">
        <v>0.44400000000000001</v>
      </c>
      <c r="O155" s="4">
        <v>2</v>
      </c>
      <c r="P155" s="4">
        <v>2</v>
      </c>
      <c r="Q155" s="4">
        <v>1</v>
      </c>
      <c r="R155" s="4">
        <v>0</v>
      </c>
      <c r="S155" s="4">
        <v>0</v>
      </c>
      <c r="T155" s="4">
        <v>0</v>
      </c>
      <c r="U155" s="4">
        <v>0</v>
      </c>
      <c r="V155" s="4">
        <v>4</v>
      </c>
      <c r="W155" s="4">
        <v>1</v>
      </c>
      <c r="X155" s="4">
        <v>1</v>
      </c>
      <c r="Y155" s="4">
        <v>2</v>
      </c>
      <c r="Z155" s="4">
        <v>3</v>
      </c>
      <c r="AA155" s="4">
        <v>11</v>
      </c>
      <c r="AB155" s="4">
        <v>16</v>
      </c>
      <c r="AC155" s="5">
        <f t="shared" si="2"/>
        <v>0.33333333333333331</v>
      </c>
    </row>
    <row r="156" spans="1:29" ht="15.75" customHeight="1" x14ac:dyDescent="0.25">
      <c r="A156" s="1" t="s">
        <v>262</v>
      </c>
      <c r="B156" s="3" t="s">
        <v>101</v>
      </c>
      <c r="C156" s="4" t="s">
        <v>90</v>
      </c>
      <c r="D156" s="4">
        <v>5</v>
      </c>
      <c r="E156" s="4">
        <v>37</v>
      </c>
      <c r="F156" s="4">
        <v>5</v>
      </c>
      <c r="G156" s="4">
        <v>0</v>
      </c>
      <c r="H156" s="4">
        <v>37</v>
      </c>
      <c r="I156" s="4">
        <v>1</v>
      </c>
      <c r="J156" s="4">
        <v>9</v>
      </c>
      <c r="K156" s="4">
        <v>0.111</v>
      </c>
      <c r="L156" s="4">
        <v>1</v>
      </c>
      <c r="M156" s="4">
        <v>5</v>
      </c>
      <c r="N156" s="4">
        <v>0.2</v>
      </c>
      <c r="O156" s="4">
        <v>0</v>
      </c>
      <c r="P156" s="4">
        <v>4</v>
      </c>
      <c r="Q156" s="4">
        <v>0</v>
      </c>
      <c r="R156" s="4">
        <v>8</v>
      </c>
      <c r="S156" s="4">
        <v>12</v>
      </c>
      <c r="T156" s="4">
        <v>0.66700000000000004</v>
      </c>
      <c r="U156" s="4">
        <v>7</v>
      </c>
      <c r="V156" s="4">
        <v>14</v>
      </c>
      <c r="W156" s="4">
        <v>3</v>
      </c>
      <c r="X156" s="4">
        <v>1</v>
      </c>
      <c r="Y156" s="4">
        <v>0</v>
      </c>
      <c r="Z156" s="4">
        <v>1</v>
      </c>
      <c r="AA156" s="4">
        <v>3</v>
      </c>
      <c r="AB156" s="4">
        <v>11</v>
      </c>
      <c r="AC156" s="5">
        <f t="shared" si="2"/>
        <v>3</v>
      </c>
    </row>
    <row r="157" spans="1:29" ht="15.75" customHeight="1" x14ac:dyDescent="0.25">
      <c r="A157" s="1" t="s">
        <v>263</v>
      </c>
      <c r="B157" s="3" t="s">
        <v>93</v>
      </c>
      <c r="C157" s="4" t="s">
        <v>87</v>
      </c>
      <c r="D157" s="4">
        <v>3</v>
      </c>
      <c r="E157" s="4">
        <v>34</v>
      </c>
      <c r="F157" s="4">
        <v>3</v>
      </c>
      <c r="G157" s="4">
        <v>0</v>
      </c>
      <c r="H157" s="4">
        <v>34</v>
      </c>
      <c r="I157" s="4">
        <v>8</v>
      </c>
      <c r="J157" s="4">
        <v>18</v>
      </c>
      <c r="K157" s="4">
        <v>0.44400000000000001</v>
      </c>
      <c r="L157" s="4">
        <v>5</v>
      </c>
      <c r="M157" s="4">
        <v>10</v>
      </c>
      <c r="N157" s="4">
        <v>0.5</v>
      </c>
      <c r="O157" s="4">
        <v>3</v>
      </c>
      <c r="P157" s="4">
        <v>8</v>
      </c>
      <c r="Q157" s="4">
        <v>0.375</v>
      </c>
      <c r="R157" s="4">
        <v>1</v>
      </c>
      <c r="S157" s="4">
        <v>3</v>
      </c>
      <c r="T157" s="4">
        <v>0.33300000000000002</v>
      </c>
      <c r="U157" s="4">
        <v>0</v>
      </c>
      <c r="V157" s="4">
        <v>3</v>
      </c>
      <c r="W157" s="4">
        <v>5</v>
      </c>
      <c r="X157" s="4">
        <v>1</v>
      </c>
      <c r="Y157" s="4">
        <v>0</v>
      </c>
      <c r="Z157" s="4">
        <v>3</v>
      </c>
      <c r="AA157" s="4">
        <v>2</v>
      </c>
      <c r="AB157" s="4">
        <v>22</v>
      </c>
      <c r="AC157" s="5">
        <f t="shared" si="2"/>
        <v>1.6666666666666667</v>
      </c>
    </row>
    <row r="158" spans="1:29" ht="15.75" customHeight="1" x14ac:dyDescent="0.25">
      <c r="A158" s="1" t="s">
        <v>264</v>
      </c>
      <c r="B158" s="3" t="s">
        <v>86</v>
      </c>
      <c r="C158" s="4" t="s">
        <v>87</v>
      </c>
      <c r="D158" s="4">
        <v>1</v>
      </c>
      <c r="E158" s="4">
        <v>33</v>
      </c>
      <c r="F158" s="4">
        <v>1</v>
      </c>
      <c r="G158" s="4">
        <v>1</v>
      </c>
      <c r="H158" s="4">
        <v>33</v>
      </c>
      <c r="I158" s="4">
        <v>3</v>
      </c>
      <c r="J158" s="4">
        <v>4</v>
      </c>
      <c r="K158" s="4">
        <v>0.75</v>
      </c>
      <c r="L158" s="4">
        <v>2</v>
      </c>
      <c r="M158" s="4">
        <v>3</v>
      </c>
      <c r="N158" s="4">
        <v>0.66700000000000004</v>
      </c>
      <c r="O158" s="4">
        <v>1</v>
      </c>
      <c r="P158" s="4">
        <v>1</v>
      </c>
      <c r="Q158" s="4">
        <v>1</v>
      </c>
      <c r="R158" s="4">
        <v>1</v>
      </c>
      <c r="S158" s="4">
        <v>1</v>
      </c>
      <c r="T158" s="4">
        <v>1</v>
      </c>
      <c r="U158" s="4">
        <v>0</v>
      </c>
      <c r="V158" s="4">
        <v>0</v>
      </c>
      <c r="W158" s="4">
        <v>1</v>
      </c>
      <c r="X158" s="4">
        <v>2</v>
      </c>
      <c r="Y158" s="4">
        <v>0</v>
      </c>
      <c r="Z158" s="4">
        <v>3</v>
      </c>
      <c r="AA158" s="4">
        <v>3</v>
      </c>
      <c r="AB158" s="4">
        <v>9</v>
      </c>
      <c r="AC158" s="5">
        <f t="shared" si="2"/>
        <v>0.33333333333333331</v>
      </c>
    </row>
    <row r="159" spans="1:29" ht="15.75" customHeight="1" x14ac:dyDescent="0.25">
      <c r="A159" s="1" t="s">
        <v>265</v>
      </c>
      <c r="B159" s="3" t="s">
        <v>116</v>
      </c>
      <c r="C159" s="4" t="s">
        <v>8</v>
      </c>
      <c r="D159" s="4">
        <v>2</v>
      </c>
      <c r="E159" s="4">
        <v>33</v>
      </c>
      <c r="F159" s="4">
        <v>2</v>
      </c>
      <c r="G159" s="4">
        <v>0</v>
      </c>
      <c r="H159" s="4">
        <v>33</v>
      </c>
      <c r="I159" s="4">
        <v>3</v>
      </c>
      <c r="J159" s="4">
        <v>5</v>
      </c>
      <c r="K159" s="4">
        <v>0.6</v>
      </c>
      <c r="L159" s="4">
        <v>2</v>
      </c>
      <c r="M159" s="4">
        <v>4</v>
      </c>
      <c r="N159" s="4">
        <v>0.5</v>
      </c>
      <c r="O159" s="4">
        <v>1</v>
      </c>
      <c r="P159" s="4">
        <v>1</v>
      </c>
      <c r="Q159" s="4">
        <v>1</v>
      </c>
      <c r="R159" s="4">
        <v>3</v>
      </c>
      <c r="S159" s="4">
        <v>4</v>
      </c>
      <c r="T159" s="4">
        <v>0.75</v>
      </c>
      <c r="U159" s="4">
        <v>0</v>
      </c>
      <c r="V159" s="4">
        <v>3</v>
      </c>
      <c r="W159" s="4">
        <v>2</v>
      </c>
      <c r="X159" s="4">
        <v>2</v>
      </c>
      <c r="Y159" s="4">
        <v>0</v>
      </c>
      <c r="Z159" s="4">
        <v>1</v>
      </c>
      <c r="AA159" s="4">
        <v>1</v>
      </c>
      <c r="AB159" s="4">
        <v>11</v>
      </c>
      <c r="AC159" s="5">
        <f t="shared" si="2"/>
        <v>2</v>
      </c>
    </row>
    <row r="160" spans="1:29" ht="15.75" customHeight="1" x14ac:dyDescent="0.25">
      <c r="A160" s="15" t="s">
        <v>266</v>
      </c>
      <c r="B160" s="9" t="s">
        <v>86</v>
      </c>
      <c r="C160" s="9" t="s">
        <v>87</v>
      </c>
      <c r="D160" s="9">
        <v>2</v>
      </c>
      <c r="E160" s="9">
        <v>31</v>
      </c>
      <c r="F160" s="9">
        <v>2</v>
      </c>
      <c r="G160" s="9">
        <v>0</v>
      </c>
      <c r="H160" s="9">
        <v>31</v>
      </c>
      <c r="I160" s="9">
        <v>4</v>
      </c>
      <c r="J160" s="9">
        <v>10</v>
      </c>
      <c r="K160" s="14">
        <v>0.4</v>
      </c>
      <c r="L160" s="9">
        <v>2</v>
      </c>
      <c r="M160" s="9">
        <v>7</v>
      </c>
      <c r="N160" s="9">
        <v>0.28599999999999998</v>
      </c>
      <c r="O160" s="9">
        <v>2</v>
      </c>
      <c r="P160" s="9">
        <v>3</v>
      </c>
      <c r="Q160" s="9">
        <v>0.66700000000000004</v>
      </c>
      <c r="R160" s="9">
        <v>2</v>
      </c>
      <c r="S160" s="9">
        <v>2</v>
      </c>
      <c r="T160" s="9">
        <v>1</v>
      </c>
      <c r="U160" s="9">
        <v>0</v>
      </c>
      <c r="V160" s="9">
        <v>0</v>
      </c>
      <c r="W160" s="9">
        <v>1</v>
      </c>
      <c r="X160" s="9">
        <v>1</v>
      </c>
      <c r="Y160" s="9">
        <v>0</v>
      </c>
      <c r="Z160" s="9">
        <v>3</v>
      </c>
      <c r="AA160" s="9">
        <v>10</v>
      </c>
      <c r="AB160" s="9">
        <v>12</v>
      </c>
      <c r="AC160" s="5">
        <f t="shared" si="2"/>
        <v>0.33333333333333331</v>
      </c>
    </row>
    <row r="161" spans="1:29" ht="15.75" customHeight="1" x14ac:dyDescent="0.25">
      <c r="A161" s="15" t="s">
        <v>267</v>
      </c>
      <c r="B161" s="9" t="s">
        <v>86</v>
      </c>
      <c r="C161" s="9" t="s">
        <v>8</v>
      </c>
      <c r="D161" s="9">
        <v>1</v>
      </c>
      <c r="E161" s="9">
        <v>31</v>
      </c>
      <c r="F161" s="9">
        <v>1</v>
      </c>
      <c r="G161" s="9">
        <v>1</v>
      </c>
      <c r="H161" s="9">
        <v>31</v>
      </c>
      <c r="I161" s="9">
        <v>4</v>
      </c>
      <c r="J161" s="9">
        <v>15</v>
      </c>
      <c r="K161" s="14">
        <v>0.26700000000000002</v>
      </c>
      <c r="L161" s="9">
        <v>2</v>
      </c>
      <c r="M161" s="9">
        <v>5</v>
      </c>
      <c r="N161" s="9">
        <v>0.4</v>
      </c>
      <c r="O161" s="9">
        <v>2</v>
      </c>
      <c r="P161" s="9">
        <v>10</v>
      </c>
      <c r="Q161" s="9">
        <v>0.2</v>
      </c>
      <c r="R161" s="9">
        <v>1</v>
      </c>
      <c r="S161" s="9">
        <v>2</v>
      </c>
      <c r="T161" s="9">
        <v>0.5</v>
      </c>
      <c r="U161" s="9">
        <v>0</v>
      </c>
      <c r="V161" s="9">
        <v>5</v>
      </c>
      <c r="W161" s="9">
        <v>7</v>
      </c>
      <c r="X161" s="9">
        <v>0</v>
      </c>
      <c r="Y161" s="9">
        <v>0</v>
      </c>
      <c r="Z161" s="9">
        <v>1</v>
      </c>
      <c r="AA161" s="9">
        <v>2</v>
      </c>
      <c r="AB161" s="9">
        <v>11</v>
      </c>
      <c r="AC161" s="5">
        <f t="shared" si="2"/>
        <v>7</v>
      </c>
    </row>
    <row r="162" spans="1:29" ht="15.75" customHeight="1" x14ac:dyDescent="0.25">
      <c r="A162" s="15" t="s">
        <v>268</v>
      </c>
      <c r="B162" s="9" t="s">
        <v>139</v>
      </c>
      <c r="C162" s="9" t="s">
        <v>8</v>
      </c>
      <c r="D162" s="9">
        <v>4</v>
      </c>
      <c r="E162" s="9">
        <v>31</v>
      </c>
      <c r="F162" s="9">
        <v>4</v>
      </c>
      <c r="G162" s="9">
        <v>0</v>
      </c>
      <c r="H162" s="9">
        <v>31</v>
      </c>
      <c r="I162" s="9">
        <v>4</v>
      </c>
      <c r="J162" s="9">
        <v>9</v>
      </c>
      <c r="K162" s="14">
        <v>0.44400000000000001</v>
      </c>
      <c r="L162" s="9">
        <v>3</v>
      </c>
      <c r="M162" s="9">
        <v>7</v>
      </c>
      <c r="N162" s="9">
        <v>0.42899999999999999</v>
      </c>
      <c r="O162" s="9">
        <v>1</v>
      </c>
      <c r="P162" s="9">
        <v>2</v>
      </c>
      <c r="Q162" s="9">
        <v>0.5</v>
      </c>
      <c r="R162" s="9">
        <v>0</v>
      </c>
      <c r="S162" s="9">
        <v>0</v>
      </c>
      <c r="T162" s="9">
        <v>0</v>
      </c>
      <c r="U162" s="9">
        <v>0</v>
      </c>
      <c r="V162" s="9">
        <v>1</v>
      </c>
      <c r="W162" s="9">
        <v>1</v>
      </c>
      <c r="X162" s="9">
        <v>1</v>
      </c>
      <c r="Y162" s="9">
        <v>0</v>
      </c>
      <c r="Z162" s="9">
        <v>1</v>
      </c>
      <c r="AA162" s="9">
        <v>2</v>
      </c>
      <c r="AB162" s="9">
        <v>11</v>
      </c>
      <c r="AC162" s="5">
        <f t="shared" si="2"/>
        <v>1</v>
      </c>
    </row>
    <row r="163" spans="1:29" ht="15.75" customHeight="1" x14ac:dyDescent="0.25">
      <c r="A163" s="15" t="s">
        <v>269</v>
      </c>
      <c r="B163" s="9" t="s">
        <v>133</v>
      </c>
      <c r="C163" s="9" t="s">
        <v>121</v>
      </c>
      <c r="D163" s="9">
        <v>2</v>
      </c>
      <c r="E163" s="9">
        <v>31</v>
      </c>
      <c r="F163" s="9">
        <v>2</v>
      </c>
      <c r="G163" s="9">
        <v>1</v>
      </c>
      <c r="H163" s="9">
        <v>31</v>
      </c>
      <c r="I163" s="9">
        <v>6</v>
      </c>
      <c r="J163" s="9">
        <v>17</v>
      </c>
      <c r="K163" s="14">
        <v>0.35299999999999998</v>
      </c>
      <c r="L163" s="9">
        <v>1</v>
      </c>
      <c r="M163" s="9">
        <v>7</v>
      </c>
      <c r="N163" s="9">
        <v>0.14299999999999999</v>
      </c>
      <c r="O163" s="9">
        <v>5</v>
      </c>
      <c r="P163" s="9">
        <v>10</v>
      </c>
      <c r="Q163" s="9">
        <v>0.5</v>
      </c>
      <c r="R163" s="9">
        <v>3</v>
      </c>
      <c r="S163" s="9">
        <v>3</v>
      </c>
      <c r="T163" s="9">
        <v>1</v>
      </c>
      <c r="U163" s="9">
        <v>0</v>
      </c>
      <c r="V163" s="9">
        <v>3</v>
      </c>
      <c r="W163" s="9">
        <v>4</v>
      </c>
      <c r="X163" s="9">
        <v>2</v>
      </c>
      <c r="Y163" s="9">
        <v>1</v>
      </c>
      <c r="Z163" s="9">
        <v>2</v>
      </c>
      <c r="AA163" s="9">
        <v>3</v>
      </c>
      <c r="AB163" s="9">
        <v>16</v>
      </c>
      <c r="AC163" s="5">
        <f t="shared" si="2"/>
        <v>2</v>
      </c>
    </row>
    <row r="164" spans="1:29" ht="15.75" customHeight="1" x14ac:dyDescent="0.25">
      <c r="A164" s="15" t="s">
        <v>217</v>
      </c>
      <c r="B164" s="9" t="s">
        <v>244</v>
      </c>
      <c r="C164" s="9" t="s">
        <v>8</v>
      </c>
      <c r="D164" s="9">
        <v>2</v>
      </c>
      <c r="E164" s="9">
        <v>30</v>
      </c>
      <c r="F164" s="9">
        <v>2</v>
      </c>
      <c r="G164" s="9">
        <v>1</v>
      </c>
      <c r="H164" s="9">
        <v>30</v>
      </c>
      <c r="I164" s="9">
        <v>5</v>
      </c>
      <c r="J164" s="9">
        <v>10</v>
      </c>
      <c r="K164" s="14">
        <v>0.5</v>
      </c>
      <c r="L164" s="9">
        <v>4</v>
      </c>
      <c r="M164" s="9">
        <v>7</v>
      </c>
      <c r="N164" s="9">
        <v>0.57099999999999995</v>
      </c>
      <c r="O164" s="9">
        <v>1</v>
      </c>
      <c r="P164" s="9">
        <v>3</v>
      </c>
      <c r="Q164" s="9">
        <v>0.33300000000000002</v>
      </c>
      <c r="R164" s="9">
        <v>1</v>
      </c>
      <c r="S164" s="9">
        <v>1</v>
      </c>
      <c r="T164" s="9">
        <v>1</v>
      </c>
      <c r="U164" s="9">
        <v>0</v>
      </c>
      <c r="V164" s="9">
        <v>0</v>
      </c>
      <c r="W164" s="9">
        <v>6</v>
      </c>
      <c r="X164" s="9">
        <v>0</v>
      </c>
      <c r="Y164" s="9">
        <v>0</v>
      </c>
      <c r="Z164" s="9">
        <v>4</v>
      </c>
      <c r="AA164" s="9">
        <v>2</v>
      </c>
      <c r="AB164" s="9">
        <v>15</v>
      </c>
      <c r="AC164" s="5">
        <f t="shared" si="2"/>
        <v>1.5</v>
      </c>
    </row>
    <row r="165" spans="1:29" ht="15.75" customHeight="1" x14ac:dyDescent="0.25">
      <c r="A165" s="15"/>
      <c r="B165" s="9"/>
      <c r="C165" s="9"/>
      <c r="D165" s="9"/>
      <c r="E165" s="9"/>
      <c r="F165" s="9"/>
      <c r="G165" s="9"/>
      <c r="H165" s="9"/>
      <c r="I165" s="9"/>
      <c r="J165" s="9"/>
      <c r="K165" s="14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5"/>
    </row>
    <row r="166" spans="1:29" ht="15.75" customHeight="1" x14ac:dyDescent="0.25">
      <c r="A166" s="15"/>
      <c r="B166" s="9"/>
      <c r="C166" s="9"/>
      <c r="D166" s="9"/>
      <c r="E166" s="9"/>
      <c r="F166" s="9"/>
      <c r="G166" s="9"/>
      <c r="H166" s="9"/>
      <c r="I166" s="9"/>
      <c r="J166" s="9"/>
      <c r="K166" s="14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5"/>
    </row>
    <row r="167" spans="1:29" ht="15.75" customHeight="1" x14ac:dyDescent="0.25">
      <c r="A167" s="15"/>
      <c r="B167" s="9"/>
      <c r="C167" s="9"/>
      <c r="D167" s="9"/>
      <c r="E167" s="9"/>
      <c r="F167" s="9"/>
      <c r="G167" s="9"/>
      <c r="H167" s="9"/>
      <c r="I167" s="9"/>
      <c r="J167" s="9"/>
      <c r="K167" s="14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5"/>
    </row>
    <row r="168" spans="1:29" ht="15.75" customHeight="1" x14ac:dyDescent="0.25">
      <c r="A168" s="15"/>
      <c r="B168" s="9"/>
      <c r="C168" s="9"/>
      <c r="D168" s="9"/>
      <c r="E168" s="9"/>
      <c r="F168" s="9"/>
      <c r="G168" s="9"/>
      <c r="H168" s="9"/>
      <c r="I168" s="9"/>
      <c r="J168" s="9"/>
      <c r="K168" s="14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5"/>
    </row>
    <row r="169" spans="1:29" ht="15.75" customHeight="1" x14ac:dyDescent="0.25">
      <c r="A169" s="15"/>
      <c r="B169" s="9"/>
      <c r="C169" s="9"/>
      <c r="D169" s="9"/>
      <c r="E169" s="9"/>
      <c r="F169" s="9"/>
      <c r="G169" s="9"/>
      <c r="H169" s="9"/>
      <c r="I169" s="9"/>
      <c r="J169" s="9"/>
      <c r="K169" s="14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5"/>
    </row>
    <row r="170" spans="1:29" ht="15.75" customHeight="1" x14ac:dyDescent="0.25">
      <c r="A170" s="15"/>
      <c r="B170" s="9"/>
      <c r="C170" s="9"/>
      <c r="D170" s="9"/>
      <c r="E170" s="9"/>
      <c r="F170" s="9"/>
      <c r="G170" s="9"/>
      <c r="H170" s="9"/>
      <c r="I170" s="9"/>
      <c r="J170" s="9"/>
      <c r="K170" s="14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5"/>
    </row>
    <row r="171" spans="1:29" ht="15.75" customHeight="1" x14ac:dyDescent="0.25">
      <c r="A171" s="15"/>
      <c r="B171" s="9"/>
      <c r="C171" s="9"/>
      <c r="D171" s="9"/>
      <c r="E171" s="9"/>
      <c r="F171" s="9"/>
      <c r="G171" s="9"/>
      <c r="H171" s="9"/>
      <c r="I171" s="9"/>
      <c r="J171" s="9"/>
      <c r="K171" s="14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5"/>
    </row>
    <row r="172" spans="1:29" ht="15.75" customHeight="1" x14ac:dyDescent="0.25">
      <c r="A172" s="15"/>
      <c r="B172" s="9"/>
      <c r="C172" s="9"/>
      <c r="D172" s="9"/>
      <c r="E172" s="9"/>
      <c r="F172" s="9"/>
      <c r="G172" s="9"/>
      <c r="H172" s="9"/>
      <c r="I172" s="9"/>
      <c r="J172" s="9"/>
      <c r="K172" s="14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5"/>
    </row>
    <row r="173" spans="1:29" ht="15.75" customHeight="1" x14ac:dyDescent="0.25">
      <c r="A173" s="15"/>
      <c r="B173" s="9"/>
      <c r="C173" s="9"/>
      <c r="D173" s="9"/>
      <c r="E173" s="9"/>
      <c r="F173" s="9"/>
      <c r="G173" s="9"/>
      <c r="H173" s="9"/>
      <c r="I173" s="9"/>
      <c r="J173" s="9"/>
      <c r="K173" s="14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5"/>
    </row>
    <row r="174" spans="1:29" ht="15.75" customHeight="1" x14ac:dyDescent="0.25"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5"/>
    </row>
    <row r="175" spans="1:29" ht="15.75" customHeight="1" x14ac:dyDescent="0.25"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5"/>
    </row>
    <row r="176" spans="1:29" ht="15.75" customHeight="1" x14ac:dyDescent="0.25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5"/>
    </row>
    <row r="177" spans="2:29" ht="15.75" customHeight="1" x14ac:dyDescent="0.25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5"/>
    </row>
    <row r="178" spans="2:29" ht="15.75" customHeight="1" x14ac:dyDescent="0.25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5"/>
    </row>
    <row r="179" spans="2:29" ht="15.75" customHeight="1" x14ac:dyDescent="0.25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5"/>
    </row>
    <row r="180" spans="2:29" ht="15.75" customHeight="1" x14ac:dyDescent="0.25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5"/>
    </row>
    <row r="181" spans="2:29" ht="15.75" customHeight="1" x14ac:dyDescent="0.25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/>
    </row>
    <row r="182" spans="2:29" ht="15.75" customHeight="1" x14ac:dyDescent="0.25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/>
    </row>
    <row r="183" spans="2:29" ht="15.75" customHeight="1" x14ac:dyDescent="0.25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/>
    </row>
    <row r="184" spans="2:29" ht="15.75" customHeight="1" x14ac:dyDescent="0.25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/>
    </row>
    <row r="185" spans="2:29" ht="15.75" customHeight="1" x14ac:dyDescent="0.25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/>
    </row>
    <row r="186" spans="2:29" ht="15.75" customHeight="1" x14ac:dyDescent="0.25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/>
    </row>
    <row r="187" spans="2:29" ht="15.75" customHeight="1" x14ac:dyDescent="0.25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/>
    </row>
    <row r="188" spans="2:29" ht="15.75" customHeight="1" x14ac:dyDescent="0.25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/>
    </row>
    <row r="189" spans="2:29" ht="15.75" customHeight="1" x14ac:dyDescent="0.25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/>
    </row>
    <row r="190" spans="2:29" ht="15.75" customHeight="1" x14ac:dyDescent="0.25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/>
    </row>
    <row r="191" spans="2:29" ht="15.75" customHeight="1" x14ac:dyDescent="0.25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/>
    </row>
    <row r="192" spans="2:29" ht="15.75" customHeight="1" x14ac:dyDescent="0.25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/>
    </row>
    <row r="193" spans="2:29" ht="15.75" customHeight="1" x14ac:dyDescent="0.25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/>
    </row>
    <row r="194" spans="2:29" ht="15.75" customHeight="1" x14ac:dyDescent="0.25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/>
    </row>
    <row r="195" spans="2:29" ht="15.75" customHeight="1" x14ac:dyDescent="0.25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/>
    </row>
    <row r="196" spans="2:29" ht="15.75" customHeight="1" x14ac:dyDescent="0.25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 t="str">
        <f t="shared" ref="AC196:AC259" si="3">IF(Z196=0,"",W196/Z196)</f>
        <v/>
      </c>
    </row>
    <row r="197" spans="2:29" ht="15.75" customHeight="1" x14ac:dyDescent="0.25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 t="str">
        <f t="shared" si="3"/>
        <v/>
      </c>
    </row>
    <row r="198" spans="2:29" ht="15.75" customHeight="1" x14ac:dyDescent="0.25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 t="str">
        <f t="shared" si="3"/>
        <v/>
      </c>
    </row>
    <row r="199" spans="2:29" ht="15.75" customHeight="1" x14ac:dyDescent="0.25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 t="str">
        <f t="shared" si="3"/>
        <v/>
      </c>
    </row>
    <row r="200" spans="2:29" ht="15.75" customHeight="1" x14ac:dyDescent="0.25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 t="str">
        <f t="shared" si="3"/>
        <v/>
      </c>
    </row>
    <row r="201" spans="2:29" ht="15.75" customHeight="1" x14ac:dyDescent="0.25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 t="str">
        <f t="shared" si="3"/>
        <v/>
      </c>
    </row>
    <row r="202" spans="2:29" ht="15.75" customHeight="1" x14ac:dyDescent="0.25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 t="str">
        <f t="shared" si="3"/>
        <v/>
      </c>
    </row>
    <row r="203" spans="2:29" ht="15.75" customHeight="1" x14ac:dyDescent="0.25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 t="str">
        <f t="shared" si="3"/>
        <v/>
      </c>
    </row>
    <row r="204" spans="2:29" ht="15.75" customHeight="1" x14ac:dyDescent="0.25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 t="str">
        <f t="shared" si="3"/>
        <v/>
      </c>
    </row>
    <row r="205" spans="2:29" ht="15.75" customHeight="1" x14ac:dyDescent="0.25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 t="str">
        <f t="shared" si="3"/>
        <v/>
      </c>
    </row>
    <row r="206" spans="2:29" ht="15.75" customHeight="1" x14ac:dyDescent="0.25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 t="str">
        <f t="shared" si="3"/>
        <v/>
      </c>
    </row>
    <row r="207" spans="2:29" ht="15.75" customHeight="1" x14ac:dyDescent="0.25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 t="str">
        <f t="shared" si="3"/>
        <v/>
      </c>
    </row>
    <row r="208" spans="2:29" ht="15.75" customHeight="1" x14ac:dyDescent="0.25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 t="str">
        <f t="shared" si="3"/>
        <v/>
      </c>
    </row>
    <row r="209" spans="2:29" ht="15.75" customHeight="1" x14ac:dyDescent="0.25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 t="str">
        <f t="shared" si="3"/>
        <v/>
      </c>
    </row>
    <row r="210" spans="2:29" ht="15.75" customHeight="1" x14ac:dyDescent="0.25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 t="str">
        <f t="shared" si="3"/>
        <v/>
      </c>
    </row>
    <row r="211" spans="2:29" ht="15.75" customHeight="1" x14ac:dyDescent="0.25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 t="str">
        <f t="shared" si="3"/>
        <v/>
      </c>
    </row>
    <row r="212" spans="2:29" ht="15.75" customHeight="1" x14ac:dyDescent="0.25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 t="str">
        <f t="shared" si="3"/>
        <v/>
      </c>
    </row>
    <row r="213" spans="2:29" ht="15.75" customHeight="1" x14ac:dyDescent="0.25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 t="str">
        <f t="shared" si="3"/>
        <v/>
      </c>
    </row>
    <row r="214" spans="2:29" ht="15.75" customHeight="1" x14ac:dyDescent="0.25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 t="str">
        <f t="shared" si="3"/>
        <v/>
      </c>
    </row>
    <row r="215" spans="2:29" ht="15.75" customHeight="1" x14ac:dyDescent="0.25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 t="str">
        <f t="shared" si="3"/>
        <v/>
      </c>
    </row>
    <row r="216" spans="2:29" ht="15.75" customHeight="1" x14ac:dyDescent="0.25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 t="str">
        <f t="shared" si="3"/>
        <v/>
      </c>
    </row>
    <row r="217" spans="2:29" ht="15.75" customHeight="1" x14ac:dyDescent="0.25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 t="str">
        <f t="shared" si="3"/>
        <v/>
      </c>
    </row>
    <row r="218" spans="2:29" ht="15.75" customHeight="1" x14ac:dyDescent="0.25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 t="str">
        <f t="shared" si="3"/>
        <v/>
      </c>
    </row>
    <row r="219" spans="2:29" ht="15.75" customHeight="1" x14ac:dyDescent="0.25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 t="str">
        <f t="shared" si="3"/>
        <v/>
      </c>
    </row>
    <row r="220" spans="2:29" ht="15.75" customHeight="1" x14ac:dyDescent="0.25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 t="str">
        <f t="shared" si="3"/>
        <v/>
      </c>
    </row>
    <row r="221" spans="2:29" ht="15.75" customHeight="1" x14ac:dyDescent="0.25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 t="str">
        <f t="shared" si="3"/>
        <v/>
      </c>
    </row>
    <row r="222" spans="2:29" ht="15.75" customHeight="1" x14ac:dyDescent="0.25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 t="str">
        <f t="shared" si="3"/>
        <v/>
      </c>
    </row>
    <row r="223" spans="2:29" ht="15.75" customHeight="1" x14ac:dyDescent="0.25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si="3"/>
        <v/>
      </c>
    </row>
    <row r="224" spans="2:29" ht="15.75" customHeight="1" x14ac:dyDescent="0.25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 x14ac:dyDescent="0.25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 x14ac:dyDescent="0.25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 x14ac:dyDescent="0.25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 x14ac:dyDescent="0.25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 x14ac:dyDescent="0.25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 x14ac:dyDescent="0.25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 x14ac:dyDescent="0.25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 x14ac:dyDescent="0.25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 x14ac:dyDescent="0.25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 x14ac:dyDescent="0.25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 x14ac:dyDescent="0.25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 x14ac:dyDescent="0.25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 x14ac:dyDescent="0.25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 x14ac:dyDescent="0.25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 x14ac:dyDescent="0.25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 x14ac:dyDescent="0.25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 x14ac:dyDescent="0.25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 x14ac:dyDescent="0.25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 x14ac:dyDescent="0.25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 x14ac:dyDescent="0.25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 x14ac:dyDescent="0.25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 x14ac:dyDescent="0.25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 x14ac:dyDescent="0.25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 x14ac:dyDescent="0.25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 x14ac:dyDescent="0.25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 x14ac:dyDescent="0.25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 x14ac:dyDescent="0.25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 x14ac:dyDescent="0.25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 x14ac:dyDescent="0.25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 x14ac:dyDescent="0.25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 x14ac:dyDescent="0.25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 x14ac:dyDescent="0.25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 x14ac:dyDescent="0.25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 x14ac:dyDescent="0.25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 x14ac:dyDescent="0.25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 x14ac:dyDescent="0.25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 x14ac:dyDescent="0.25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 x14ac:dyDescent="0.25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 x14ac:dyDescent="0.25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 x14ac:dyDescent="0.25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 x14ac:dyDescent="0.25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 x14ac:dyDescent="0.25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 x14ac:dyDescent="0.25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 x14ac:dyDescent="0.25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 x14ac:dyDescent="0.25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 x14ac:dyDescent="0.25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 x14ac:dyDescent="0.25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 x14ac:dyDescent="0.25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 x14ac:dyDescent="0.25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 x14ac:dyDescent="0.25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 x14ac:dyDescent="0.25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 x14ac:dyDescent="0.25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 x14ac:dyDescent="0.25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 x14ac:dyDescent="0.25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 x14ac:dyDescent="0.25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 x14ac:dyDescent="0.25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 x14ac:dyDescent="0.25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 x14ac:dyDescent="0.25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 x14ac:dyDescent="0.25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 x14ac:dyDescent="0.25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 x14ac:dyDescent="0.25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 x14ac:dyDescent="0.25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 x14ac:dyDescent="0.25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 x14ac:dyDescent="0.25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 x14ac:dyDescent="0.25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 x14ac:dyDescent="0.25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 x14ac:dyDescent="0.25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 x14ac:dyDescent="0.25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 x14ac:dyDescent="0.25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 x14ac:dyDescent="0.25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 x14ac:dyDescent="0.25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 x14ac:dyDescent="0.25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 x14ac:dyDescent="0.25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 x14ac:dyDescent="0.25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 x14ac:dyDescent="0.25"/>
    <row r="300" spans="1:29" ht="15.75" customHeight="1" x14ac:dyDescent="0.25">
      <c r="A300" t="s">
        <v>77</v>
      </c>
      <c r="D300" s="19">
        <f>SUM(D3:D298)</f>
        <v>1021</v>
      </c>
      <c r="E300" s="19">
        <f t="shared" ref="E300:AB300" si="5">SUM(E3:E298)</f>
        <v>21656</v>
      </c>
      <c r="F300" s="19">
        <f t="shared" si="5"/>
        <v>1021</v>
      </c>
      <c r="G300" s="19">
        <f t="shared" si="5"/>
        <v>548</v>
      </c>
      <c r="H300" s="19">
        <f t="shared" si="5"/>
        <v>21656</v>
      </c>
      <c r="I300" s="19">
        <f t="shared" si="5"/>
        <v>3286</v>
      </c>
      <c r="J300" s="19">
        <f t="shared" si="5"/>
        <v>7313</v>
      </c>
      <c r="K300" s="19">
        <f t="shared" si="5"/>
        <v>72.858000000000004</v>
      </c>
      <c r="L300" s="19">
        <f t="shared" si="5"/>
        <v>885</v>
      </c>
      <c r="M300" s="19">
        <f t="shared" si="5"/>
        <v>2640</v>
      </c>
      <c r="N300" s="19">
        <f t="shared" si="5"/>
        <v>49.096000000000018</v>
      </c>
      <c r="O300" s="19">
        <f t="shared" si="5"/>
        <v>2401</v>
      </c>
      <c r="P300" s="19">
        <f t="shared" si="5"/>
        <v>4673</v>
      </c>
      <c r="Q300" s="19">
        <f t="shared" si="5"/>
        <v>84.119999999999948</v>
      </c>
      <c r="R300" s="19">
        <f t="shared" si="5"/>
        <v>1890</v>
      </c>
      <c r="S300" s="19">
        <f t="shared" si="5"/>
        <v>2408</v>
      </c>
      <c r="T300" s="19">
        <f t="shared" si="5"/>
        <v>120.64800000000001</v>
      </c>
      <c r="U300" s="19">
        <f t="shared" si="5"/>
        <v>898</v>
      </c>
      <c r="V300" s="19">
        <f t="shared" si="5"/>
        <v>3563</v>
      </c>
      <c r="W300" s="19">
        <f t="shared" si="5"/>
        <v>2128</v>
      </c>
      <c r="X300" s="19">
        <f t="shared" si="5"/>
        <v>781</v>
      </c>
      <c r="Y300" s="19">
        <f t="shared" si="5"/>
        <v>455</v>
      </c>
      <c r="Z300" s="19">
        <f t="shared" si="5"/>
        <v>1448</v>
      </c>
      <c r="AA300" s="19">
        <f t="shared" si="5"/>
        <v>2278</v>
      </c>
      <c r="AB300" s="19">
        <f t="shared" si="5"/>
        <v>9347</v>
      </c>
      <c r="AC300" s="6"/>
    </row>
    <row r="301" spans="1:29" ht="15.75" customHeight="1" x14ac:dyDescent="0.25">
      <c r="A301" t="s">
        <v>78</v>
      </c>
      <c r="D301" s="18">
        <f>AB300/(2*(J300+0.44*S300))</f>
        <v>0.55819514315881003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 x14ac:dyDescent="0.25">
      <c r="A302" t="s">
        <v>79</v>
      </c>
      <c r="D302" s="18">
        <f>AB300/((J300+0.44*S300+Z300))</f>
        <v>0.95178259399705922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 x14ac:dyDescent="0.25">
      <c r="A303" t="s">
        <v>80</v>
      </c>
      <c r="D303" s="10">
        <f>L300/M300</f>
        <v>0.33522727272727271</v>
      </c>
    </row>
    <row r="304" spans="1:29" ht="15.75" customHeight="1" x14ac:dyDescent="0.25">
      <c r="A304" t="s">
        <v>81</v>
      </c>
      <c r="D304" s="10">
        <f>O300/P300</f>
        <v>0.51380269634068054</v>
      </c>
    </row>
    <row r="305" spans="1:4" ht="15.75" customHeight="1" x14ac:dyDescent="0.25">
      <c r="A305" t="s">
        <v>82</v>
      </c>
      <c r="D305" s="10">
        <f>I300/J300</f>
        <v>0.44933679748393274</v>
      </c>
    </row>
    <row r="306" spans="1:4" ht="15.75" customHeight="1" x14ac:dyDescent="0.25">
      <c r="A306" t="s">
        <v>83</v>
      </c>
      <c r="D306" s="10">
        <f>(I300+0.5*L300)/(J300)</f>
        <v>0.50984548065089563</v>
      </c>
    </row>
    <row r="307" spans="1:4" ht="15.75" customHeight="1" x14ac:dyDescent="0.25">
      <c r="A307" t="s">
        <v>84</v>
      </c>
      <c r="D307" s="10">
        <f>R300/S300</f>
        <v>0.78488372093023251</v>
      </c>
    </row>
    <row r="308" spans="1:4" ht="15.75" customHeight="1" x14ac:dyDescent="0.25"/>
    <row r="309" spans="1:4" ht="15.75" customHeight="1" x14ac:dyDescent="0.25"/>
    <row r="310" spans="1:4" ht="15.75" customHeight="1" x14ac:dyDescent="0.25"/>
    <row r="311" spans="1:4" ht="15.75" customHeight="1" x14ac:dyDescent="0.25"/>
    <row r="312" spans="1:4" ht="15.75" customHeight="1" x14ac:dyDescent="0.25"/>
    <row r="313" spans="1:4" ht="15.75" customHeight="1" x14ac:dyDescent="0.25"/>
    <row r="314" spans="1:4" ht="15.75" customHeight="1" x14ac:dyDescent="0.25"/>
    <row r="315" spans="1:4" ht="15.75" customHeight="1" x14ac:dyDescent="0.25"/>
    <row r="316" spans="1:4" ht="15.75" customHeight="1" x14ac:dyDescent="0.25"/>
    <row r="317" spans="1:4" ht="15.75" customHeight="1" x14ac:dyDescent="0.25"/>
    <row r="318" spans="1:4" ht="15.75" customHeight="1" x14ac:dyDescent="0.25"/>
    <row r="319" spans="1:4" ht="15.75" customHeight="1" x14ac:dyDescent="0.25"/>
    <row r="320" spans="1:4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2:AC2" xr:uid="{00000000-0009-0000-0000-000001000000}"/>
  <mergeCells count="1">
    <mergeCell ref="A1:AC1"/>
  </mergeCells>
  <conditionalFormatting sqref="D3:D29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5703125" defaultRowHeight="15" customHeight="1" x14ac:dyDescent="0.25"/>
  <cols>
    <col min="1" max="1" width="25.7109375" customWidth="1"/>
    <col min="2" max="28" width="7.7109375" customWidth="1"/>
    <col min="29" max="29" width="10.5703125" customWidth="1"/>
    <col min="30" max="30" width="12.7109375" bestFit="1" customWidth="1"/>
    <col min="31" max="31" width="13.42578125" bestFit="1" customWidth="1"/>
  </cols>
  <sheetData>
    <row r="1" spans="1:38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H1" s="21" t="s">
        <v>70</v>
      </c>
      <c r="AI1" s="21"/>
      <c r="AJ1" s="21"/>
      <c r="AK1" s="21"/>
      <c r="AL1" s="21"/>
    </row>
    <row r="2" spans="1:38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74</v>
      </c>
      <c r="AE2" s="2" t="s">
        <v>75</v>
      </c>
      <c r="AH2" s="2" t="s">
        <v>74</v>
      </c>
      <c r="AI2" s="2" t="s">
        <v>75</v>
      </c>
      <c r="AJ2" s="2" t="s">
        <v>30</v>
      </c>
      <c r="AK2" s="2" t="s">
        <v>9</v>
      </c>
      <c r="AL2" s="2" t="s">
        <v>22</v>
      </c>
    </row>
    <row r="3" spans="1:38" x14ac:dyDescent="0.25">
      <c r="A3" s="1" t="s">
        <v>94</v>
      </c>
      <c r="B3" s="7" t="s">
        <v>95</v>
      </c>
      <c r="C3" s="4" t="s">
        <v>96</v>
      </c>
      <c r="D3" s="4">
        <v>8</v>
      </c>
      <c r="E3" s="4">
        <v>269</v>
      </c>
      <c r="F3" s="4">
        <v>8</v>
      </c>
      <c r="G3" s="4">
        <v>8</v>
      </c>
      <c r="H3" s="4">
        <v>33.6</v>
      </c>
      <c r="I3" s="4">
        <v>6</v>
      </c>
      <c r="J3" s="4">
        <v>17.5</v>
      </c>
      <c r="K3" s="4">
        <v>0.34300000000000003</v>
      </c>
      <c r="L3" s="4">
        <v>1</v>
      </c>
      <c r="M3" s="4">
        <v>6</v>
      </c>
      <c r="N3" s="4">
        <v>0.16700000000000001</v>
      </c>
      <c r="O3" s="4">
        <v>5</v>
      </c>
      <c r="P3" s="4">
        <v>11.5</v>
      </c>
      <c r="Q3" s="4">
        <v>0.435</v>
      </c>
      <c r="R3" s="4">
        <v>5.8</v>
      </c>
      <c r="S3" s="4">
        <v>7</v>
      </c>
      <c r="T3" s="4">
        <v>0.82099999999999995</v>
      </c>
      <c r="U3" s="4">
        <v>0.3</v>
      </c>
      <c r="V3" s="4">
        <v>2.5</v>
      </c>
      <c r="W3" s="4">
        <v>2.2999999999999998</v>
      </c>
      <c r="X3" s="4">
        <v>0.9</v>
      </c>
      <c r="Y3" s="4">
        <v>0</v>
      </c>
      <c r="Z3" s="4">
        <v>3</v>
      </c>
      <c r="AA3" s="4">
        <v>2.1</v>
      </c>
      <c r="AB3" s="4">
        <v>18.8</v>
      </c>
      <c r="AC3" s="10">
        <f>(AB3)/(J3+(0.44*S3)+Z3)</f>
        <v>0.79728583545377452</v>
      </c>
      <c r="AD3" s="10">
        <f>Y3/AA3</f>
        <v>0</v>
      </c>
      <c r="AE3" s="12">
        <f>100*(AC3/TOTAL_BASIC!$D$302)</f>
        <v>83.767641947047196</v>
      </c>
      <c r="AF3" s="9"/>
      <c r="AG3" s="9"/>
      <c r="AH3" s="12">
        <f>(PERCENTRANK(AD$3:AD$298,AD3))*100</f>
        <v>0</v>
      </c>
      <c r="AI3" s="12">
        <f>(PERCENTRANK(AE$3:AE$298,AE3))*100</f>
        <v>20.399999999999999</v>
      </c>
      <c r="AJ3" s="12">
        <f>(PERCENTRANK(AB$3:AB$298,AB3))*100</f>
        <v>93.7</v>
      </c>
      <c r="AK3" s="12">
        <f>(PERCENTRANK(H$3:H$298,H3))*100</f>
        <v>97.5</v>
      </c>
      <c r="AL3" s="12">
        <f>(PERCENTRANK(T$3:T$298,T3))*100</f>
        <v>55.2</v>
      </c>
    </row>
    <row r="4" spans="1:38" x14ac:dyDescent="0.25">
      <c r="A4" s="1" t="s">
        <v>99</v>
      </c>
      <c r="B4" s="7" t="s">
        <v>95</v>
      </c>
      <c r="C4" s="4" t="s">
        <v>87</v>
      </c>
      <c r="D4" s="4">
        <v>8</v>
      </c>
      <c r="E4" s="4">
        <v>269</v>
      </c>
      <c r="F4" s="4">
        <v>8</v>
      </c>
      <c r="G4" s="4">
        <v>8</v>
      </c>
      <c r="H4" s="4">
        <v>33.6</v>
      </c>
      <c r="I4" s="4">
        <v>5.9</v>
      </c>
      <c r="J4" s="4">
        <v>11</v>
      </c>
      <c r="K4" s="4">
        <v>0.53400000000000003</v>
      </c>
      <c r="L4" s="4">
        <v>0</v>
      </c>
      <c r="M4" s="4">
        <v>0</v>
      </c>
      <c r="N4" s="4">
        <v>0</v>
      </c>
      <c r="O4" s="4">
        <v>5.9</v>
      </c>
      <c r="P4" s="4">
        <v>11</v>
      </c>
      <c r="Q4" s="4">
        <v>0.53400000000000003</v>
      </c>
      <c r="R4" s="4">
        <v>5.0999999999999996</v>
      </c>
      <c r="S4" s="4">
        <v>7.3</v>
      </c>
      <c r="T4" s="4">
        <v>0.70699999999999996</v>
      </c>
      <c r="U4" s="4">
        <v>1.6</v>
      </c>
      <c r="V4" s="4">
        <v>7.8</v>
      </c>
      <c r="W4" s="4">
        <v>8.1</v>
      </c>
      <c r="X4" s="4">
        <v>1.9</v>
      </c>
      <c r="Y4" s="4">
        <v>0.1</v>
      </c>
      <c r="Z4" s="4">
        <v>3.5</v>
      </c>
      <c r="AA4" s="4">
        <v>2.9</v>
      </c>
      <c r="AB4" s="4">
        <v>16.899999999999999</v>
      </c>
      <c r="AC4" s="10">
        <f t="shared" ref="AC4:AC67" si="0">(AB4)/(J4+(0.44*S4)+Z4)</f>
        <v>0.95415537488708213</v>
      </c>
      <c r="AD4" s="10">
        <f t="shared" ref="AD4:AD67" si="1">Y4/AA4</f>
        <v>3.4482758620689655E-2</v>
      </c>
      <c r="AE4" s="12">
        <f>100*(AC4/TOTAL_BASIC!$D$302)</f>
        <v>100.24929862186892</v>
      </c>
      <c r="AF4" s="9"/>
      <c r="AG4" s="9"/>
      <c r="AH4" s="12">
        <f t="shared" ref="AH4:AH67" si="2">(PERCENTRANK(AD$3:AD$298,AD4))*100</f>
        <v>28.499999999999996</v>
      </c>
      <c r="AI4" s="12">
        <f t="shared" ref="AI4:AI67" si="3">(PERCENTRANK(AE$3:AE$298,AE4))*100</f>
        <v>50.9</v>
      </c>
      <c r="AJ4" s="12">
        <f t="shared" ref="AJ4:AJ67" si="4">(PERCENTRANK(AB$3:AB$298,AB4))*100</f>
        <v>89.4</v>
      </c>
      <c r="AK4" s="12">
        <f t="shared" ref="AK4:AK67" si="5">(PERCENTRANK(H$3:H$298,H4))*100</f>
        <v>97.5</v>
      </c>
      <c r="AL4" s="12">
        <f t="shared" ref="AL4:AL67" si="6">(PERCENTRANK(T$3:T$298,T4))*100</f>
        <v>32.200000000000003</v>
      </c>
    </row>
    <row r="5" spans="1:38" x14ac:dyDescent="0.25">
      <c r="A5" s="1" t="s">
        <v>100</v>
      </c>
      <c r="B5" s="7" t="s">
        <v>101</v>
      </c>
      <c r="C5" s="4" t="s">
        <v>8</v>
      </c>
      <c r="D5" s="4">
        <v>8</v>
      </c>
      <c r="E5" s="4">
        <v>266</v>
      </c>
      <c r="F5" s="4">
        <v>8</v>
      </c>
      <c r="G5" s="4">
        <v>8</v>
      </c>
      <c r="H5" s="4">
        <v>33.299999999999997</v>
      </c>
      <c r="I5" s="4">
        <v>7</v>
      </c>
      <c r="J5" s="4">
        <v>13.8</v>
      </c>
      <c r="K5" s="4">
        <v>0.50900000000000001</v>
      </c>
      <c r="L5" s="4">
        <v>2</v>
      </c>
      <c r="M5" s="4">
        <v>4.4000000000000004</v>
      </c>
      <c r="N5" s="4">
        <v>0.45700000000000002</v>
      </c>
      <c r="O5" s="4">
        <v>5</v>
      </c>
      <c r="P5" s="4">
        <v>9.4</v>
      </c>
      <c r="Q5" s="4">
        <v>0.53300000000000003</v>
      </c>
      <c r="R5" s="4">
        <v>3.4</v>
      </c>
      <c r="S5" s="4">
        <v>4.3</v>
      </c>
      <c r="T5" s="4">
        <v>0.79400000000000004</v>
      </c>
      <c r="U5" s="4">
        <v>0.4</v>
      </c>
      <c r="V5" s="4">
        <v>3</v>
      </c>
      <c r="W5" s="4">
        <v>5.0999999999999996</v>
      </c>
      <c r="X5" s="4">
        <v>0.4</v>
      </c>
      <c r="Y5" s="4">
        <v>0.4</v>
      </c>
      <c r="Z5" s="4">
        <v>1.9</v>
      </c>
      <c r="AA5" s="4">
        <v>2.8</v>
      </c>
      <c r="AB5" s="4">
        <v>19.399999999999999</v>
      </c>
      <c r="AC5" s="10">
        <f t="shared" si="0"/>
        <v>1.1027739881764438</v>
      </c>
      <c r="AD5" s="10">
        <f t="shared" si="1"/>
        <v>0.14285714285714288</v>
      </c>
      <c r="AE5" s="12">
        <f>100*(AC5/TOTAL_BASIC!$D$302)</f>
        <v>115.86406340394275</v>
      </c>
      <c r="AF5" s="9"/>
      <c r="AG5" s="9"/>
      <c r="AH5" s="12">
        <f t="shared" si="2"/>
        <v>50.3</v>
      </c>
      <c r="AI5" s="12">
        <f t="shared" si="3"/>
        <v>84.399999999999991</v>
      </c>
      <c r="AJ5" s="12">
        <f t="shared" si="4"/>
        <v>95.6</v>
      </c>
      <c r="AK5" s="12">
        <f t="shared" si="5"/>
        <v>96.8</v>
      </c>
      <c r="AL5" s="12">
        <f t="shared" si="6"/>
        <v>47.8</v>
      </c>
    </row>
    <row r="6" spans="1:38" x14ac:dyDescent="0.25">
      <c r="A6" s="1" t="s">
        <v>85</v>
      </c>
      <c r="B6" s="7" t="s">
        <v>86</v>
      </c>
      <c r="C6" s="4" t="s">
        <v>87</v>
      </c>
      <c r="D6" s="4">
        <v>8</v>
      </c>
      <c r="E6" s="4">
        <v>264</v>
      </c>
      <c r="F6" s="4">
        <v>8</v>
      </c>
      <c r="G6" s="4">
        <v>8</v>
      </c>
      <c r="H6" s="4">
        <v>33</v>
      </c>
      <c r="I6" s="4">
        <v>6.6</v>
      </c>
      <c r="J6" s="4">
        <v>14.8</v>
      </c>
      <c r="K6" s="4">
        <v>0.44900000000000001</v>
      </c>
      <c r="L6" s="4">
        <v>0.5</v>
      </c>
      <c r="M6" s="4">
        <v>2.9</v>
      </c>
      <c r="N6" s="4">
        <v>0.17399999999999999</v>
      </c>
      <c r="O6" s="4">
        <v>6.1</v>
      </c>
      <c r="P6" s="4">
        <v>11.9</v>
      </c>
      <c r="Q6" s="4">
        <v>0.51600000000000001</v>
      </c>
      <c r="R6" s="4">
        <v>6.3</v>
      </c>
      <c r="S6" s="4">
        <v>7</v>
      </c>
      <c r="T6" s="4">
        <v>0.89300000000000002</v>
      </c>
      <c r="U6" s="4">
        <v>1.3</v>
      </c>
      <c r="V6" s="4">
        <v>8.6</v>
      </c>
      <c r="W6" s="4">
        <v>2.2999999999999998</v>
      </c>
      <c r="X6" s="4">
        <v>1.3</v>
      </c>
      <c r="Y6" s="4">
        <v>1.3</v>
      </c>
      <c r="Z6" s="4">
        <v>2.8</v>
      </c>
      <c r="AA6" s="4">
        <v>3</v>
      </c>
      <c r="AB6" s="4">
        <v>20</v>
      </c>
      <c r="AC6" s="10">
        <f t="shared" si="0"/>
        <v>0.96711798839458396</v>
      </c>
      <c r="AD6" s="10">
        <f t="shared" si="1"/>
        <v>0.43333333333333335</v>
      </c>
      <c r="AE6" s="12">
        <f>100*(AC6/TOTAL_BASIC!$D$302)</f>
        <v>101.61122870855654</v>
      </c>
      <c r="AF6" s="9"/>
      <c r="AG6" s="9"/>
      <c r="AH6" s="12">
        <f t="shared" si="2"/>
        <v>85.7</v>
      </c>
      <c r="AI6" s="12">
        <f t="shared" si="3"/>
        <v>53.400000000000006</v>
      </c>
      <c r="AJ6" s="12">
        <f t="shared" si="4"/>
        <v>96.2</v>
      </c>
      <c r="AK6" s="12">
        <f t="shared" si="5"/>
        <v>95</v>
      </c>
      <c r="AL6" s="12">
        <f t="shared" si="6"/>
        <v>73.2</v>
      </c>
    </row>
    <row r="7" spans="1:38" x14ac:dyDescent="0.25">
      <c r="A7" s="1" t="s">
        <v>163</v>
      </c>
      <c r="B7" s="7" t="s">
        <v>164</v>
      </c>
      <c r="C7" s="4" t="s">
        <v>8</v>
      </c>
      <c r="D7" s="4">
        <v>8</v>
      </c>
      <c r="E7" s="4">
        <v>257</v>
      </c>
      <c r="F7" s="4">
        <v>8</v>
      </c>
      <c r="G7" s="4">
        <v>8</v>
      </c>
      <c r="H7" s="4">
        <v>32.1</v>
      </c>
      <c r="I7" s="4">
        <v>5.9</v>
      </c>
      <c r="J7" s="4">
        <v>15.1</v>
      </c>
      <c r="K7" s="4">
        <v>0.38800000000000001</v>
      </c>
      <c r="L7" s="4">
        <v>1.4</v>
      </c>
      <c r="M7" s="4">
        <v>5</v>
      </c>
      <c r="N7" s="4">
        <v>0.27500000000000002</v>
      </c>
      <c r="O7" s="4">
        <v>4.5</v>
      </c>
      <c r="P7" s="4">
        <v>10.1</v>
      </c>
      <c r="Q7" s="4">
        <v>0.44400000000000001</v>
      </c>
      <c r="R7" s="4">
        <v>7.4</v>
      </c>
      <c r="S7" s="4">
        <v>8.1</v>
      </c>
      <c r="T7" s="4">
        <v>0.90800000000000003</v>
      </c>
      <c r="U7" s="4">
        <v>1</v>
      </c>
      <c r="V7" s="4">
        <v>4</v>
      </c>
      <c r="W7" s="4">
        <v>4.4000000000000004</v>
      </c>
      <c r="X7" s="4">
        <v>1.5</v>
      </c>
      <c r="Y7" s="4">
        <v>0.4</v>
      </c>
      <c r="Z7" s="4">
        <v>2.5</v>
      </c>
      <c r="AA7" s="4">
        <v>2.6</v>
      </c>
      <c r="AB7" s="4">
        <v>20.5</v>
      </c>
      <c r="AC7" s="10">
        <f t="shared" si="0"/>
        <v>0.9686259686259685</v>
      </c>
      <c r="AD7" s="10">
        <f t="shared" si="1"/>
        <v>0.15384615384615385</v>
      </c>
      <c r="AE7" s="12">
        <f>100*(AC7/TOTAL_BASIC!$D$302)</f>
        <v>101.76966617535783</v>
      </c>
      <c r="AF7" s="9"/>
      <c r="AG7" s="9"/>
      <c r="AH7" s="12">
        <f t="shared" si="2"/>
        <v>51.5</v>
      </c>
      <c r="AI7" s="12">
        <f t="shared" si="3"/>
        <v>54.6</v>
      </c>
      <c r="AJ7" s="12">
        <f t="shared" si="4"/>
        <v>96.8</v>
      </c>
      <c r="AK7" s="12">
        <f t="shared" si="5"/>
        <v>93.7</v>
      </c>
      <c r="AL7" s="12">
        <f t="shared" si="6"/>
        <v>78.8</v>
      </c>
    </row>
    <row r="8" spans="1:38" x14ac:dyDescent="0.25">
      <c r="A8" s="1" t="s">
        <v>104</v>
      </c>
      <c r="B8" s="7" t="s">
        <v>101</v>
      </c>
      <c r="C8" s="4" t="s">
        <v>87</v>
      </c>
      <c r="D8" s="4">
        <v>8</v>
      </c>
      <c r="E8" s="4">
        <v>254</v>
      </c>
      <c r="F8" s="4">
        <v>8</v>
      </c>
      <c r="G8" s="4">
        <v>8</v>
      </c>
      <c r="H8" s="4">
        <v>31.8</v>
      </c>
      <c r="I8" s="4">
        <v>5.3</v>
      </c>
      <c r="J8" s="4">
        <v>9.3000000000000007</v>
      </c>
      <c r="K8" s="4">
        <v>0.56799999999999995</v>
      </c>
      <c r="L8" s="4">
        <v>0</v>
      </c>
      <c r="M8" s="4">
        <v>0.6</v>
      </c>
      <c r="N8" s="4">
        <v>0</v>
      </c>
      <c r="O8" s="4">
        <v>5.3</v>
      </c>
      <c r="P8" s="4">
        <v>8.6</v>
      </c>
      <c r="Q8" s="4">
        <v>0.60899999999999999</v>
      </c>
      <c r="R8" s="4">
        <v>2.5</v>
      </c>
      <c r="S8" s="4">
        <v>3.5</v>
      </c>
      <c r="T8" s="4">
        <v>0.71399999999999997</v>
      </c>
      <c r="U8" s="4">
        <v>2.9</v>
      </c>
      <c r="V8" s="4">
        <v>11.4</v>
      </c>
      <c r="W8" s="4">
        <v>6.5</v>
      </c>
      <c r="X8" s="4">
        <v>0.4</v>
      </c>
      <c r="Y8" s="4">
        <v>0</v>
      </c>
      <c r="Z8" s="4">
        <v>1.4</v>
      </c>
      <c r="AA8" s="4">
        <v>2.9</v>
      </c>
      <c r="AB8" s="4">
        <v>13</v>
      </c>
      <c r="AC8" s="10">
        <f t="shared" si="0"/>
        <v>1.0620915032679739</v>
      </c>
      <c r="AD8" s="10">
        <f t="shared" si="1"/>
        <v>0</v>
      </c>
      <c r="AE8" s="12">
        <f>100*(AC8/TOTAL_BASIC!$D$302)</f>
        <v>111.58971701800795</v>
      </c>
      <c r="AF8" s="9"/>
      <c r="AG8" s="9"/>
      <c r="AH8" s="12">
        <f t="shared" si="2"/>
        <v>0</v>
      </c>
      <c r="AI8" s="12">
        <f t="shared" si="3"/>
        <v>78.2</v>
      </c>
      <c r="AJ8" s="12">
        <f t="shared" si="4"/>
        <v>77</v>
      </c>
      <c r="AK8" s="12">
        <f t="shared" si="5"/>
        <v>93.100000000000009</v>
      </c>
      <c r="AL8" s="12">
        <f t="shared" si="6"/>
        <v>32.9</v>
      </c>
    </row>
    <row r="9" spans="1:38" x14ac:dyDescent="0.25">
      <c r="A9" s="1" t="s">
        <v>103</v>
      </c>
      <c r="B9" s="7" t="s">
        <v>101</v>
      </c>
      <c r="C9" s="4" t="s">
        <v>8</v>
      </c>
      <c r="D9" s="4">
        <v>8</v>
      </c>
      <c r="E9" s="4">
        <v>241</v>
      </c>
      <c r="F9" s="4">
        <v>8</v>
      </c>
      <c r="G9" s="4">
        <v>8</v>
      </c>
      <c r="H9" s="4">
        <v>30.1</v>
      </c>
      <c r="I9" s="4">
        <v>4.3</v>
      </c>
      <c r="J9" s="4">
        <v>12.8</v>
      </c>
      <c r="K9" s="4">
        <v>0.33300000000000002</v>
      </c>
      <c r="L9" s="4">
        <v>1.9</v>
      </c>
      <c r="M9" s="4">
        <v>5.6</v>
      </c>
      <c r="N9" s="4">
        <v>0.33300000000000002</v>
      </c>
      <c r="O9" s="4">
        <v>2.4</v>
      </c>
      <c r="P9" s="4">
        <v>7.1</v>
      </c>
      <c r="Q9" s="4">
        <v>0.33300000000000002</v>
      </c>
      <c r="R9" s="4">
        <v>3.3</v>
      </c>
      <c r="S9" s="4">
        <v>3.6</v>
      </c>
      <c r="T9" s="4">
        <v>0.89700000000000002</v>
      </c>
      <c r="U9" s="4">
        <v>0.4</v>
      </c>
      <c r="V9" s="4">
        <v>1.9</v>
      </c>
      <c r="W9" s="4">
        <v>2.9</v>
      </c>
      <c r="X9" s="4">
        <v>0.6</v>
      </c>
      <c r="Y9" s="4">
        <v>0.1</v>
      </c>
      <c r="Z9" s="4">
        <v>1.6</v>
      </c>
      <c r="AA9" s="4">
        <v>2.2999999999999998</v>
      </c>
      <c r="AB9" s="4">
        <v>13.6</v>
      </c>
      <c r="AC9" s="10">
        <f t="shared" si="0"/>
        <v>0.85085085085085088</v>
      </c>
      <c r="AD9" s="10">
        <f t="shared" si="1"/>
        <v>4.3478260869565223E-2</v>
      </c>
      <c r="AE9" s="12">
        <f>100*(AC9/TOTAL_BASIC!$D$302)</f>
        <v>89.395504416366734</v>
      </c>
      <c r="AF9" s="9"/>
      <c r="AG9" s="9"/>
      <c r="AH9" s="12">
        <f t="shared" si="2"/>
        <v>31.6</v>
      </c>
      <c r="AI9" s="12">
        <f t="shared" si="3"/>
        <v>28.499999999999996</v>
      </c>
      <c r="AJ9" s="12">
        <f t="shared" si="4"/>
        <v>80.100000000000009</v>
      </c>
      <c r="AK9" s="12">
        <f t="shared" si="5"/>
        <v>85</v>
      </c>
      <c r="AL9" s="12">
        <f t="shared" si="6"/>
        <v>74.5</v>
      </c>
    </row>
    <row r="10" spans="1:38" x14ac:dyDescent="0.25">
      <c r="A10" s="1" t="s">
        <v>111</v>
      </c>
      <c r="B10" s="7" t="s">
        <v>244</v>
      </c>
      <c r="C10" s="4" t="s">
        <v>87</v>
      </c>
      <c r="D10" s="4">
        <v>8</v>
      </c>
      <c r="E10" s="4">
        <v>234</v>
      </c>
      <c r="F10" s="4">
        <v>8</v>
      </c>
      <c r="G10" s="4">
        <v>8</v>
      </c>
      <c r="H10" s="4">
        <v>29.3</v>
      </c>
      <c r="I10" s="4">
        <v>5</v>
      </c>
      <c r="J10" s="4">
        <v>11.4</v>
      </c>
      <c r="K10" s="4">
        <v>0.44</v>
      </c>
      <c r="L10" s="4">
        <v>2.6</v>
      </c>
      <c r="M10" s="4">
        <v>7</v>
      </c>
      <c r="N10" s="4">
        <v>0.375</v>
      </c>
      <c r="O10" s="4">
        <v>2.4</v>
      </c>
      <c r="P10" s="4">
        <v>4.4000000000000004</v>
      </c>
      <c r="Q10" s="4">
        <v>0.54300000000000004</v>
      </c>
      <c r="R10" s="4">
        <v>2.6</v>
      </c>
      <c r="S10" s="4">
        <v>2.9</v>
      </c>
      <c r="T10" s="4">
        <v>0.91300000000000003</v>
      </c>
      <c r="U10" s="4">
        <v>0.5</v>
      </c>
      <c r="V10" s="4">
        <v>3.4</v>
      </c>
      <c r="W10" s="4">
        <v>2.1</v>
      </c>
      <c r="X10" s="4">
        <v>2.1</v>
      </c>
      <c r="Y10" s="4">
        <v>0.3</v>
      </c>
      <c r="Z10" s="4">
        <v>1</v>
      </c>
      <c r="AA10" s="4">
        <v>2.4</v>
      </c>
      <c r="AB10" s="4">
        <v>15.3</v>
      </c>
      <c r="AC10" s="10">
        <f t="shared" si="0"/>
        <v>1.1187481719801111</v>
      </c>
      <c r="AD10" s="10">
        <f t="shared" si="1"/>
        <v>0.125</v>
      </c>
      <c r="AE10" s="12">
        <f>100*(AC10/TOTAL_BASIC!$D$302)</f>
        <v>117.54240716694255</v>
      </c>
      <c r="AF10" s="9"/>
      <c r="AG10" s="9"/>
      <c r="AH10" s="12">
        <f t="shared" si="2"/>
        <v>45.9</v>
      </c>
      <c r="AI10" s="12">
        <f t="shared" si="3"/>
        <v>88.1</v>
      </c>
      <c r="AJ10" s="12">
        <f t="shared" si="4"/>
        <v>84.399999999999991</v>
      </c>
      <c r="AK10" s="12">
        <f t="shared" si="5"/>
        <v>82.6</v>
      </c>
      <c r="AL10" s="12">
        <f t="shared" si="6"/>
        <v>80.100000000000009</v>
      </c>
    </row>
    <row r="11" spans="1:38" x14ac:dyDescent="0.25">
      <c r="A11" s="1" t="s">
        <v>88</v>
      </c>
      <c r="B11" s="7" t="s">
        <v>86</v>
      </c>
      <c r="C11" s="4" t="s">
        <v>8</v>
      </c>
      <c r="D11" s="4">
        <v>8</v>
      </c>
      <c r="E11" s="4">
        <v>231</v>
      </c>
      <c r="F11" s="4">
        <v>8</v>
      </c>
      <c r="G11" s="4">
        <v>8</v>
      </c>
      <c r="H11" s="4">
        <v>28.9</v>
      </c>
      <c r="I11" s="4">
        <v>4.3</v>
      </c>
      <c r="J11" s="4">
        <v>9.6</v>
      </c>
      <c r="K11" s="4">
        <v>0.442</v>
      </c>
      <c r="L11" s="4">
        <v>3.4</v>
      </c>
      <c r="M11" s="4">
        <v>7.8</v>
      </c>
      <c r="N11" s="4">
        <v>0.435</v>
      </c>
      <c r="O11" s="4">
        <v>0.9</v>
      </c>
      <c r="P11" s="4">
        <v>1.9</v>
      </c>
      <c r="Q11" s="4">
        <v>0.46700000000000003</v>
      </c>
      <c r="R11" s="4">
        <v>0.8</v>
      </c>
      <c r="S11" s="4">
        <v>1</v>
      </c>
      <c r="T11" s="4">
        <v>0.75</v>
      </c>
      <c r="U11" s="4">
        <v>0.9</v>
      </c>
      <c r="V11" s="4">
        <v>3</v>
      </c>
      <c r="W11" s="4">
        <v>4.5999999999999996</v>
      </c>
      <c r="X11" s="4">
        <v>1.5</v>
      </c>
      <c r="Y11" s="4">
        <v>0.1</v>
      </c>
      <c r="Z11" s="4">
        <v>2.1</v>
      </c>
      <c r="AA11" s="4">
        <v>1.9</v>
      </c>
      <c r="AB11" s="4">
        <v>12.6</v>
      </c>
      <c r="AC11" s="10">
        <f t="shared" si="0"/>
        <v>1.0378912685337727</v>
      </c>
      <c r="AD11" s="10">
        <f t="shared" si="1"/>
        <v>5.2631578947368425E-2</v>
      </c>
      <c r="AE11" s="12">
        <f>100*(AC11/TOTAL_BASIC!$D$302)</f>
        <v>109.04709490169344</v>
      </c>
      <c r="AF11" s="9"/>
      <c r="AG11" s="9"/>
      <c r="AH11" s="12">
        <f t="shared" si="2"/>
        <v>34.1</v>
      </c>
      <c r="AI11" s="12">
        <f t="shared" si="3"/>
        <v>72.599999999999994</v>
      </c>
      <c r="AJ11" s="12">
        <f t="shared" si="4"/>
        <v>75.099999999999994</v>
      </c>
      <c r="AK11" s="12">
        <f t="shared" si="5"/>
        <v>80.7</v>
      </c>
      <c r="AL11" s="12">
        <f t="shared" si="6"/>
        <v>37.200000000000003</v>
      </c>
    </row>
    <row r="12" spans="1:38" x14ac:dyDescent="0.25">
      <c r="A12" s="1" t="s">
        <v>89</v>
      </c>
      <c r="B12" s="7" t="s">
        <v>86</v>
      </c>
      <c r="C12" s="4" t="s">
        <v>90</v>
      </c>
      <c r="D12" s="4">
        <v>8</v>
      </c>
      <c r="E12" s="4">
        <v>231</v>
      </c>
      <c r="F12" s="4">
        <v>8</v>
      </c>
      <c r="G12" s="4">
        <v>8</v>
      </c>
      <c r="H12" s="4">
        <v>28.9</v>
      </c>
      <c r="I12" s="4">
        <v>4.0999999999999996</v>
      </c>
      <c r="J12" s="4">
        <v>10</v>
      </c>
      <c r="K12" s="4">
        <v>0.41299999999999998</v>
      </c>
      <c r="L12" s="4">
        <v>1.3</v>
      </c>
      <c r="M12" s="4">
        <v>3.9</v>
      </c>
      <c r="N12" s="4">
        <v>0.32300000000000001</v>
      </c>
      <c r="O12" s="4">
        <v>2.9</v>
      </c>
      <c r="P12" s="4">
        <v>6.1</v>
      </c>
      <c r="Q12" s="4">
        <v>0.46899999999999997</v>
      </c>
      <c r="R12" s="4">
        <v>3.6</v>
      </c>
      <c r="S12" s="4">
        <v>4.0999999999999996</v>
      </c>
      <c r="T12" s="4">
        <v>0.879</v>
      </c>
      <c r="U12" s="4">
        <v>1.8</v>
      </c>
      <c r="V12" s="4">
        <v>8.4</v>
      </c>
      <c r="W12" s="4">
        <v>2.8</v>
      </c>
      <c r="X12" s="4">
        <v>0.8</v>
      </c>
      <c r="Y12" s="4">
        <v>0.9</v>
      </c>
      <c r="Z12" s="4">
        <v>2.1</v>
      </c>
      <c r="AA12" s="4">
        <v>3</v>
      </c>
      <c r="AB12" s="4">
        <v>13.1</v>
      </c>
      <c r="AC12" s="10">
        <f t="shared" si="0"/>
        <v>0.94217491369390105</v>
      </c>
      <c r="AD12" s="10">
        <f t="shared" si="1"/>
        <v>0.3</v>
      </c>
      <c r="AE12" s="12">
        <f>100*(AC12/TOTAL_BASIC!$D$302)</f>
        <v>98.990559360535244</v>
      </c>
      <c r="AF12" s="9"/>
      <c r="AG12" s="9"/>
      <c r="AH12" s="12">
        <f t="shared" si="2"/>
        <v>73.2</v>
      </c>
      <c r="AI12" s="12">
        <f t="shared" si="3"/>
        <v>48.4</v>
      </c>
      <c r="AJ12" s="12">
        <f t="shared" si="4"/>
        <v>79.5</v>
      </c>
      <c r="AK12" s="12">
        <f t="shared" si="5"/>
        <v>80.7</v>
      </c>
      <c r="AL12" s="12">
        <f t="shared" si="6"/>
        <v>70.099999999999994</v>
      </c>
    </row>
    <row r="13" spans="1:38" x14ac:dyDescent="0.25">
      <c r="A13" s="1" t="s">
        <v>97</v>
      </c>
      <c r="B13" s="7" t="s">
        <v>98</v>
      </c>
      <c r="C13" s="4" t="s">
        <v>8</v>
      </c>
      <c r="D13" s="4">
        <v>7</v>
      </c>
      <c r="E13" s="4">
        <v>231</v>
      </c>
      <c r="F13" s="4">
        <v>7</v>
      </c>
      <c r="G13" s="4">
        <v>7</v>
      </c>
      <c r="H13" s="4">
        <v>33</v>
      </c>
      <c r="I13" s="4">
        <v>4.7</v>
      </c>
      <c r="J13" s="4">
        <v>10.6</v>
      </c>
      <c r="K13" s="4">
        <v>0.44600000000000001</v>
      </c>
      <c r="L13" s="4">
        <v>1.4</v>
      </c>
      <c r="M13" s="4">
        <v>4.4000000000000004</v>
      </c>
      <c r="N13" s="4">
        <v>0.32300000000000001</v>
      </c>
      <c r="O13" s="4">
        <v>3.3</v>
      </c>
      <c r="P13" s="4">
        <v>6.1</v>
      </c>
      <c r="Q13" s="4">
        <v>0.53500000000000003</v>
      </c>
      <c r="R13" s="4">
        <v>3.9</v>
      </c>
      <c r="S13" s="4">
        <v>4.4000000000000004</v>
      </c>
      <c r="T13" s="4">
        <v>0.871</v>
      </c>
      <c r="U13" s="4">
        <v>0.6</v>
      </c>
      <c r="V13" s="4">
        <v>4.4000000000000004</v>
      </c>
      <c r="W13" s="4">
        <v>2</v>
      </c>
      <c r="X13" s="4">
        <v>1.7</v>
      </c>
      <c r="Y13" s="4">
        <v>0.3</v>
      </c>
      <c r="Z13" s="4">
        <v>1.6</v>
      </c>
      <c r="AA13" s="4">
        <v>1.6</v>
      </c>
      <c r="AB13" s="4">
        <v>14.7</v>
      </c>
      <c r="AC13" s="10">
        <f t="shared" si="0"/>
        <v>1.0398981324278438</v>
      </c>
      <c r="AD13" s="10">
        <f t="shared" si="1"/>
        <v>0.18749999999999997</v>
      </c>
      <c r="AE13" s="12">
        <f>100*(AC13/TOTAL_BASIC!$D$302)</f>
        <v>109.25794808462916</v>
      </c>
      <c r="AF13" s="9"/>
      <c r="AG13" s="9"/>
      <c r="AH13" s="12">
        <f t="shared" si="2"/>
        <v>59.599999999999994</v>
      </c>
      <c r="AI13" s="12">
        <f t="shared" si="3"/>
        <v>73.900000000000006</v>
      </c>
      <c r="AJ13" s="12">
        <f t="shared" si="4"/>
        <v>82.6</v>
      </c>
      <c r="AK13" s="12">
        <f t="shared" si="5"/>
        <v>95</v>
      </c>
      <c r="AL13" s="12">
        <f t="shared" si="6"/>
        <v>68.899999999999991</v>
      </c>
    </row>
    <row r="14" spans="1:38" x14ac:dyDescent="0.25">
      <c r="A14" s="1" t="s">
        <v>113</v>
      </c>
      <c r="B14" s="7" t="s">
        <v>95</v>
      </c>
      <c r="C14" s="4" t="s">
        <v>114</v>
      </c>
      <c r="D14" s="4">
        <v>8</v>
      </c>
      <c r="E14" s="4">
        <v>225</v>
      </c>
      <c r="F14" s="4">
        <v>8</v>
      </c>
      <c r="G14" s="4">
        <v>6</v>
      </c>
      <c r="H14" s="4">
        <v>28.1</v>
      </c>
      <c r="I14" s="4">
        <v>3.3</v>
      </c>
      <c r="J14" s="4">
        <v>8.6</v>
      </c>
      <c r="K14" s="4">
        <v>0.377</v>
      </c>
      <c r="L14" s="4">
        <v>0.8</v>
      </c>
      <c r="M14" s="4">
        <v>4.0999999999999996</v>
      </c>
      <c r="N14" s="4">
        <v>0.182</v>
      </c>
      <c r="O14" s="4">
        <v>2.5</v>
      </c>
      <c r="P14" s="4">
        <v>4.5</v>
      </c>
      <c r="Q14" s="4">
        <v>0.55600000000000005</v>
      </c>
      <c r="R14" s="4">
        <v>1.5</v>
      </c>
      <c r="S14" s="4">
        <v>1.5</v>
      </c>
      <c r="T14" s="4">
        <v>1</v>
      </c>
      <c r="U14" s="4">
        <v>0.9</v>
      </c>
      <c r="V14" s="4">
        <v>5.8</v>
      </c>
      <c r="W14" s="4">
        <v>1.3</v>
      </c>
      <c r="X14" s="4">
        <v>1</v>
      </c>
      <c r="Y14" s="4">
        <v>0.8</v>
      </c>
      <c r="Z14" s="4">
        <v>0.9</v>
      </c>
      <c r="AA14" s="4">
        <v>2</v>
      </c>
      <c r="AB14" s="4">
        <v>8.8000000000000007</v>
      </c>
      <c r="AC14" s="10">
        <f t="shared" si="0"/>
        <v>0.86614173228346458</v>
      </c>
      <c r="AD14" s="10">
        <f t="shared" si="1"/>
        <v>0.4</v>
      </c>
      <c r="AE14" s="12">
        <f>100*(AC14/TOTAL_BASIC!$D$302)</f>
        <v>91.002056325285224</v>
      </c>
      <c r="AF14" s="9"/>
      <c r="AG14" s="9"/>
      <c r="AH14" s="12">
        <f t="shared" si="2"/>
        <v>83.2</v>
      </c>
      <c r="AI14" s="12">
        <f t="shared" si="3"/>
        <v>32.9</v>
      </c>
      <c r="AJ14" s="12">
        <f t="shared" si="4"/>
        <v>59.599999999999994</v>
      </c>
      <c r="AK14" s="12">
        <f t="shared" si="5"/>
        <v>77.600000000000009</v>
      </c>
      <c r="AL14" s="12">
        <f t="shared" si="6"/>
        <v>84.399999999999991</v>
      </c>
    </row>
    <row r="15" spans="1:38" x14ac:dyDescent="0.25">
      <c r="A15" s="1" t="s">
        <v>108</v>
      </c>
      <c r="B15" s="7" t="s">
        <v>109</v>
      </c>
      <c r="C15" s="4" t="s">
        <v>96</v>
      </c>
      <c r="D15" s="4">
        <v>9</v>
      </c>
      <c r="E15" s="4">
        <v>219</v>
      </c>
      <c r="F15" s="4">
        <v>9</v>
      </c>
      <c r="G15" s="4">
        <v>7</v>
      </c>
      <c r="H15" s="4">
        <v>24.3</v>
      </c>
      <c r="I15" s="4">
        <v>2.6</v>
      </c>
      <c r="J15" s="4">
        <v>7.7</v>
      </c>
      <c r="K15" s="4">
        <v>0.33300000000000002</v>
      </c>
      <c r="L15" s="4">
        <v>0.8</v>
      </c>
      <c r="M15" s="4">
        <v>3.3</v>
      </c>
      <c r="N15" s="4">
        <v>0.23300000000000001</v>
      </c>
      <c r="O15" s="4">
        <v>1.8</v>
      </c>
      <c r="P15" s="4">
        <v>4.3</v>
      </c>
      <c r="Q15" s="4">
        <v>0.41</v>
      </c>
      <c r="R15" s="4">
        <v>1</v>
      </c>
      <c r="S15" s="4">
        <v>1.6</v>
      </c>
      <c r="T15" s="4">
        <v>0.64300000000000002</v>
      </c>
      <c r="U15" s="4">
        <v>0.8</v>
      </c>
      <c r="V15" s="4">
        <v>3.6</v>
      </c>
      <c r="W15" s="4">
        <v>2.4</v>
      </c>
      <c r="X15" s="4">
        <v>1.1000000000000001</v>
      </c>
      <c r="Y15" s="4">
        <v>0.9</v>
      </c>
      <c r="Z15" s="4">
        <v>2.2999999999999998</v>
      </c>
      <c r="AA15" s="4">
        <v>2.1</v>
      </c>
      <c r="AB15" s="4">
        <v>6.9</v>
      </c>
      <c r="AC15" s="10">
        <f t="shared" si="0"/>
        <v>0.64461883408071752</v>
      </c>
      <c r="AD15" s="10">
        <f t="shared" si="1"/>
        <v>0.42857142857142855</v>
      </c>
      <c r="AE15" s="12">
        <f>100*(AC15/TOTAL_BASIC!$D$302)</f>
        <v>67.727529180125899</v>
      </c>
      <c r="AF15" s="9"/>
      <c r="AG15" s="9"/>
      <c r="AH15" s="12">
        <f t="shared" si="2"/>
        <v>85</v>
      </c>
      <c r="AI15" s="12">
        <f t="shared" si="3"/>
        <v>6.8000000000000007</v>
      </c>
      <c r="AJ15" s="12">
        <f t="shared" si="4"/>
        <v>42.199999999999996</v>
      </c>
      <c r="AK15" s="12">
        <f t="shared" si="5"/>
        <v>62.7</v>
      </c>
      <c r="AL15" s="12">
        <f t="shared" si="6"/>
        <v>21.7</v>
      </c>
    </row>
    <row r="16" spans="1:38" x14ac:dyDescent="0.25">
      <c r="A16" s="1" t="s">
        <v>105</v>
      </c>
      <c r="B16" s="7" t="s">
        <v>98</v>
      </c>
      <c r="C16" s="4" t="s">
        <v>8</v>
      </c>
      <c r="D16" s="4">
        <v>7</v>
      </c>
      <c r="E16" s="4">
        <v>218</v>
      </c>
      <c r="F16" s="4">
        <v>7</v>
      </c>
      <c r="G16" s="4">
        <v>7</v>
      </c>
      <c r="H16" s="4">
        <v>31.1</v>
      </c>
      <c r="I16" s="4">
        <v>7.3</v>
      </c>
      <c r="J16" s="4">
        <v>15.4</v>
      </c>
      <c r="K16" s="4">
        <v>0.47199999999999998</v>
      </c>
      <c r="L16" s="4">
        <v>1.9</v>
      </c>
      <c r="M16" s="4">
        <v>4.5999999999999996</v>
      </c>
      <c r="N16" s="4">
        <v>0.40600000000000003</v>
      </c>
      <c r="O16" s="4">
        <v>5.4</v>
      </c>
      <c r="P16" s="4">
        <v>10.9</v>
      </c>
      <c r="Q16" s="4">
        <v>0.5</v>
      </c>
      <c r="R16" s="4">
        <v>0.7</v>
      </c>
      <c r="S16" s="4">
        <v>0.9</v>
      </c>
      <c r="T16" s="4">
        <v>0.83299999999999996</v>
      </c>
      <c r="U16" s="4">
        <v>0.6</v>
      </c>
      <c r="V16" s="4">
        <v>5.4</v>
      </c>
      <c r="W16" s="4">
        <v>4.3</v>
      </c>
      <c r="X16" s="4">
        <v>1.6</v>
      </c>
      <c r="Y16" s="4">
        <v>0.6</v>
      </c>
      <c r="Z16" s="4">
        <v>1.7</v>
      </c>
      <c r="AA16" s="4">
        <v>1.9</v>
      </c>
      <c r="AB16" s="4">
        <v>17.100000000000001</v>
      </c>
      <c r="AC16" s="10">
        <f t="shared" si="0"/>
        <v>0.97736625514403286</v>
      </c>
      <c r="AD16" s="10">
        <f t="shared" si="1"/>
        <v>0.31578947368421051</v>
      </c>
      <c r="AE16" s="12">
        <f>100*(AC16/TOTAL_BASIC!$D$302)</f>
        <v>102.68797321030361</v>
      </c>
      <c r="AF16" s="9"/>
      <c r="AG16" s="9"/>
      <c r="AH16" s="12">
        <f t="shared" si="2"/>
        <v>77</v>
      </c>
      <c r="AI16" s="12">
        <f t="shared" si="3"/>
        <v>56.499999999999993</v>
      </c>
      <c r="AJ16" s="12">
        <f t="shared" si="4"/>
        <v>90.600000000000009</v>
      </c>
      <c r="AK16" s="12">
        <f t="shared" si="5"/>
        <v>90.600000000000009</v>
      </c>
      <c r="AL16" s="12">
        <f t="shared" si="6"/>
        <v>58.3</v>
      </c>
    </row>
    <row r="17" spans="1:38" x14ac:dyDescent="0.25">
      <c r="A17" s="1" t="s">
        <v>162</v>
      </c>
      <c r="B17" s="7" t="s">
        <v>160</v>
      </c>
      <c r="C17" s="4" t="s">
        <v>8</v>
      </c>
      <c r="D17" s="4">
        <v>7</v>
      </c>
      <c r="E17" s="4">
        <v>217</v>
      </c>
      <c r="F17" s="4">
        <v>7</v>
      </c>
      <c r="G17" s="4">
        <v>7</v>
      </c>
      <c r="H17" s="4">
        <v>31</v>
      </c>
      <c r="I17" s="4">
        <v>7.6</v>
      </c>
      <c r="J17" s="4">
        <v>16.600000000000001</v>
      </c>
      <c r="K17" s="4">
        <v>0.45700000000000002</v>
      </c>
      <c r="L17" s="4">
        <v>2</v>
      </c>
      <c r="M17" s="4">
        <v>6</v>
      </c>
      <c r="N17" s="4">
        <v>0.33300000000000002</v>
      </c>
      <c r="O17" s="4">
        <v>5.6</v>
      </c>
      <c r="P17" s="4">
        <v>10.6</v>
      </c>
      <c r="Q17" s="4">
        <v>0.52700000000000002</v>
      </c>
      <c r="R17" s="4">
        <v>4</v>
      </c>
      <c r="S17" s="4">
        <v>4.9000000000000004</v>
      </c>
      <c r="T17" s="4">
        <v>0.82399999999999995</v>
      </c>
      <c r="U17" s="4">
        <v>0.6</v>
      </c>
      <c r="V17" s="4">
        <v>0.9</v>
      </c>
      <c r="W17" s="4">
        <v>2.2999999999999998</v>
      </c>
      <c r="X17" s="4">
        <v>0.4</v>
      </c>
      <c r="Y17" s="4">
        <v>0</v>
      </c>
      <c r="Z17" s="4">
        <v>1.6</v>
      </c>
      <c r="AA17" s="4">
        <v>3.1</v>
      </c>
      <c r="AB17" s="4">
        <v>21.1</v>
      </c>
      <c r="AC17" s="10">
        <f t="shared" si="0"/>
        <v>1.0365494203183336</v>
      </c>
      <c r="AD17" s="10">
        <f t="shared" si="1"/>
        <v>0</v>
      </c>
      <c r="AE17" s="12">
        <f>100*(AC17/TOTAL_BASIC!$D$302)</f>
        <v>108.90611226302131</v>
      </c>
      <c r="AF17" s="9"/>
      <c r="AG17" s="9"/>
      <c r="AH17" s="12">
        <f t="shared" si="2"/>
        <v>0</v>
      </c>
      <c r="AI17" s="12">
        <f t="shared" si="3"/>
        <v>72</v>
      </c>
      <c r="AJ17" s="12">
        <f t="shared" si="4"/>
        <v>97.5</v>
      </c>
      <c r="AK17" s="12">
        <f t="shared" si="5"/>
        <v>89.4</v>
      </c>
      <c r="AL17" s="12">
        <f t="shared" si="6"/>
        <v>56.499999999999993</v>
      </c>
    </row>
    <row r="18" spans="1:38" x14ac:dyDescent="0.25">
      <c r="A18" s="1" t="s">
        <v>125</v>
      </c>
      <c r="B18" s="7" t="s">
        <v>109</v>
      </c>
      <c r="C18" s="4" t="s">
        <v>87</v>
      </c>
      <c r="D18" s="4">
        <v>9</v>
      </c>
      <c r="E18" s="4">
        <v>217</v>
      </c>
      <c r="F18" s="4">
        <v>9</v>
      </c>
      <c r="G18" s="4">
        <v>3</v>
      </c>
      <c r="H18" s="4">
        <v>24.1</v>
      </c>
      <c r="I18" s="4">
        <v>4.5999999999999996</v>
      </c>
      <c r="J18" s="4">
        <v>11.1</v>
      </c>
      <c r="K18" s="4">
        <v>0.41</v>
      </c>
      <c r="L18" s="4">
        <v>1</v>
      </c>
      <c r="M18" s="4">
        <v>3.6</v>
      </c>
      <c r="N18" s="4">
        <v>0.28100000000000003</v>
      </c>
      <c r="O18" s="4">
        <v>3.6</v>
      </c>
      <c r="P18" s="4">
        <v>7.6</v>
      </c>
      <c r="Q18" s="4">
        <v>0.47099999999999997</v>
      </c>
      <c r="R18" s="4">
        <v>1.3</v>
      </c>
      <c r="S18" s="4">
        <v>2.2999999999999998</v>
      </c>
      <c r="T18" s="4">
        <v>0.57099999999999995</v>
      </c>
      <c r="U18" s="4">
        <v>3.1</v>
      </c>
      <c r="V18" s="4">
        <v>9.6999999999999993</v>
      </c>
      <c r="W18" s="4">
        <v>1.1000000000000001</v>
      </c>
      <c r="X18" s="4">
        <v>0.8</v>
      </c>
      <c r="Y18" s="4">
        <v>0.3</v>
      </c>
      <c r="Z18" s="4">
        <v>2.2000000000000002</v>
      </c>
      <c r="AA18" s="4">
        <v>2.2999999999999998</v>
      </c>
      <c r="AB18" s="4">
        <v>11.4</v>
      </c>
      <c r="AC18" s="10">
        <f t="shared" si="0"/>
        <v>0.79653437674678584</v>
      </c>
      <c r="AD18" s="10">
        <f t="shared" si="1"/>
        <v>0.13043478260869565</v>
      </c>
      <c r="AE18" s="12">
        <f>100*(AC18/TOTAL_BASIC!$D$302)</f>
        <v>83.688689178659942</v>
      </c>
      <c r="AF18" s="9"/>
      <c r="AG18" s="9"/>
      <c r="AH18" s="12">
        <f t="shared" si="2"/>
        <v>47.8</v>
      </c>
      <c r="AI18" s="12">
        <f t="shared" si="3"/>
        <v>19.8</v>
      </c>
      <c r="AJ18" s="12">
        <f t="shared" si="4"/>
        <v>69.5</v>
      </c>
      <c r="AK18" s="12">
        <f t="shared" si="5"/>
        <v>62.1</v>
      </c>
      <c r="AL18" s="12">
        <f t="shared" si="6"/>
        <v>17.299999999999997</v>
      </c>
    </row>
    <row r="19" spans="1:38" x14ac:dyDescent="0.25">
      <c r="A19" s="1" t="s">
        <v>123</v>
      </c>
      <c r="B19" s="7" t="s">
        <v>119</v>
      </c>
      <c r="C19" s="4" t="s">
        <v>8</v>
      </c>
      <c r="D19" s="4">
        <v>7</v>
      </c>
      <c r="E19" s="4">
        <v>216</v>
      </c>
      <c r="F19" s="4">
        <v>7</v>
      </c>
      <c r="G19" s="4">
        <v>7</v>
      </c>
      <c r="H19" s="4">
        <v>30.9</v>
      </c>
      <c r="I19" s="4">
        <v>4.4000000000000004</v>
      </c>
      <c r="J19" s="4">
        <v>9.6</v>
      </c>
      <c r="K19" s="4">
        <v>0.46300000000000002</v>
      </c>
      <c r="L19" s="4">
        <v>2</v>
      </c>
      <c r="M19" s="4">
        <v>4.5999999999999996</v>
      </c>
      <c r="N19" s="4">
        <v>0.438</v>
      </c>
      <c r="O19" s="4">
        <v>2.4</v>
      </c>
      <c r="P19" s="4">
        <v>5</v>
      </c>
      <c r="Q19" s="4">
        <v>0.48599999999999999</v>
      </c>
      <c r="R19" s="4">
        <v>0.6</v>
      </c>
      <c r="S19" s="4">
        <v>0.6</v>
      </c>
      <c r="T19" s="4">
        <v>1</v>
      </c>
      <c r="U19" s="4">
        <v>0.1</v>
      </c>
      <c r="V19" s="4">
        <v>3.9</v>
      </c>
      <c r="W19" s="4">
        <v>6.9</v>
      </c>
      <c r="X19" s="4">
        <v>0.7</v>
      </c>
      <c r="Y19" s="4">
        <v>1</v>
      </c>
      <c r="Z19" s="4">
        <v>3.3</v>
      </c>
      <c r="AA19" s="4">
        <v>1.7</v>
      </c>
      <c r="AB19" s="4">
        <v>11.4</v>
      </c>
      <c r="AC19" s="10">
        <f t="shared" si="0"/>
        <v>0.8659981768459436</v>
      </c>
      <c r="AD19" s="10">
        <f t="shared" si="1"/>
        <v>0.58823529411764708</v>
      </c>
      <c r="AE19" s="12">
        <f>100*(AC19/TOTAL_BASIC!$D$302)</f>
        <v>90.986973528181508</v>
      </c>
      <c r="AF19" s="9"/>
      <c r="AG19" s="9"/>
      <c r="AH19" s="12">
        <f t="shared" si="2"/>
        <v>90.600000000000009</v>
      </c>
      <c r="AI19" s="12">
        <f t="shared" si="3"/>
        <v>32.200000000000003</v>
      </c>
      <c r="AJ19" s="12">
        <f t="shared" si="4"/>
        <v>69.5</v>
      </c>
      <c r="AK19" s="12">
        <f t="shared" si="5"/>
        <v>88.1</v>
      </c>
      <c r="AL19" s="12">
        <f t="shared" si="6"/>
        <v>84.399999999999991</v>
      </c>
    </row>
    <row r="20" spans="1:38" x14ac:dyDescent="0.25">
      <c r="A20" s="1" t="s">
        <v>106</v>
      </c>
      <c r="B20" s="7" t="s">
        <v>98</v>
      </c>
      <c r="C20" s="4" t="s">
        <v>8</v>
      </c>
      <c r="D20" s="4">
        <v>7</v>
      </c>
      <c r="E20" s="4">
        <v>216</v>
      </c>
      <c r="F20" s="4">
        <v>7</v>
      </c>
      <c r="G20" s="4">
        <v>7</v>
      </c>
      <c r="H20" s="4">
        <v>30.9</v>
      </c>
      <c r="I20" s="4">
        <v>5.4</v>
      </c>
      <c r="J20" s="4">
        <v>11.4</v>
      </c>
      <c r="K20" s="4">
        <v>0.47499999999999998</v>
      </c>
      <c r="L20" s="4">
        <v>0.3</v>
      </c>
      <c r="M20" s="4">
        <v>2</v>
      </c>
      <c r="N20" s="4">
        <v>0.14299999999999999</v>
      </c>
      <c r="O20" s="4">
        <v>5.0999999999999996</v>
      </c>
      <c r="P20" s="4">
        <v>9.4</v>
      </c>
      <c r="Q20" s="4">
        <v>0.54500000000000004</v>
      </c>
      <c r="R20" s="4">
        <v>4</v>
      </c>
      <c r="S20" s="4">
        <v>4.4000000000000004</v>
      </c>
      <c r="T20" s="4">
        <v>0.90300000000000002</v>
      </c>
      <c r="U20" s="4">
        <v>0.6</v>
      </c>
      <c r="V20" s="4">
        <v>5</v>
      </c>
      <c r="W20" s="4">
        <v>5.9</v>
      </c>
      <c r="X20" s="4">
        <v>1.4</v>
      </c>
      <c r="Y20" s="4">
        <v>0.7</v>
      </c>
      <c r="Z20" s="4">
        <v>3.1</v>
      </c>
      <c r="AA20" s="4">
        <v>2.9</v>
      </c>
      <c r="AB20" s="4">
        <v>15.1</v>
      </c>
      <c r="AC20" s="10">
        <f t="shared" si="0"/>
        <v>0.918715015818934</v>
      </c>
      <c r="AD20" s="10">
        <f t="shared" si="1"/>
        <v>0.24137931034482757</v>
      </c>
      <c r="AE20" s="12">
        <f>100*(AC20/TOTAL_BASIC!$D$302)</f>
        <v>96.525721484435195</v>
      </c>
      <c r="AF20" s="9"/>
      <c r="AG20" s="9"/>
      <c r="AH20" s="12">
        <f t="shared" si="2"/>
        <v>68.300000000000011</v>
      </c>
      <c r="AI20" s="12">
        <f t="shared" si="3"/>
        <v>39.700000000000003</v>
      </c>
      <c r="AJ20" s="12">
        <f t="shared" si="4"/>
        <v>83.8</v>
      </c>
      <c r="AK20" s="12">
        <f t="shared" si="5"/>
        <v>88.1</v>
      </c>
      <c r="AL20" s="12">
        <f t="shared" si="6"/>
        <v>78.2</v>
      </c>
    </row>
    <row r="21" spans="1:38" ht="15.75" customHeight="1" x14ac:dyDescent="0.25">
      <c r="A21" s="1" t="s">
        <v>206</v>
      </c>
      <c r="B21" s="7" t="s">
        <v>164</v>
      </c>
      <c r="C21" s="4" t="s">
        <v>8</v>
      </c>
      <c r="D21" s="4">
        <v>8</v>
      </c>
      <c r="E21" s="4">
        <v>215</v>
      </c>
      <c r="F21" s="4">
        <v>8</v>
      </c>
      <c r="G21" s="4">
        <v>5</v>
      </c>
      <c r="H21" s="4">
        <v>26.9</v>
      </c>
      <c r="I21" s="4">
        <v>4.0999999999999996</v>
      </c>
      <c r="J21" s="4">
        <v>7.4</v>
      </c>
      <c r="K21" s="4">
        <v>0.55900000000000005</v>
      </c>
      <c r="L21" s="4">
        <v>1.1000000000000001</v>
      </c>
      <c r="M21" s="4">
        <v>2.5</v>
      </c>
      <c r="N21" s="4">
        <v>0.45</v>
      </c>
      <c r="O21" s="4">
        <v>3</v>
      </c>
      <c r="P21" s="4">
        <v>4.9000000000000004</v>
      </c>
      <c r="Q21" s="4">
        <v>0.61499999999999999</v>
      </c>
      <c r="R21" s="4">
        <v>3.3</v>
      </c>
      <c r="S21" s="4">
        <v>4.0999999999999996</v>
      </c>
      <c r="T21" s="4">
        <v>0.78800000000000003</v>
      </c>
      <c r="U21" s="4">
        <v>1.1000000000000001</v>
      </c>
      <c r="V21" s="4">
        <v>4.5</v>
      </c>
      <c r="W21" s="4">
        <v>2.9</v>
      </c>
      <c r="X21" s="4">
        <v>0.8</v>
      </c>
      <c r="Y21" s="4">
        <v>0.1</v>
      </c>
      <c r="Z21" s="4">
        <v>0.9</v>
      </c>
      <c r="AA21" s="4">
        <v>3</v>
      </c>
      <c r="AB21" s="4">
        <v>12.6</v>
      </c>
      <c r="AC21" s="10">
        <f t="shared" si="0"/>
        <v>1.2470308788598574</v>
      </c>
      <c r="AD21" s="10">
        <f t="shared" si="1"/>
        <v>3.3333333333333333E-2</v>
      </c>
      <c r="AE21" s="12">
        <f>100*(AC21/TOTAL_BASIC!$D$302)</f>
        <v>131.02055939296895</v>
      </c>
      <c r="AF21" s="9"/>
      <c r="AG21" s="9"/>
      <c r="AH21" s="12">
        <f t="shared" si="2"/>
        <v>27.900000000000002</v>
      </c>
      <c r="AI21" s="12">
        <f t="shared" si="3"/>
        <v>96.2</v>
      </c>
      <c r="AJ21" s="12">
        <f t="shared" si="4"/>
        <v>75.099999999999994</v>
      </c>
      <c r="AK21" s="12">
        <f t="shared" si="5"/>
        <v>74.5</v>
      </c>
      <c r="AL21" s="12">
        <f t="shared" si="6"/>
        <v>47.199999999999996</v>
      </c>
    </row>
    <row r="22" spans="1:38" ht="15.75" customHeight="1" x14ac:dyDescent="0.25">
      <c r="A22" s="1" t="s">
        <v>140</v>
      </c>
      <c r="B22" s="7" t="s">
        <v>116</v>
      </c>
      <c r="C22" s="4" t="s">
        <v>8</v>
      </c>
      <c r="D22" s="4">
        <v>8</v>
      </c>
      <c r="E22" s="4">
        <v>214</v>
      </c>
      <c r="F22" s="4">
        <v>8</v>
      </c>
      <c r="G22" s="4">
        <v>8</v>
      </c>
      <c r="H22" s="4">
        <v>26.8</v>
      </c>
      <c r="I22" s="4">
        <v>4.5999999999999996</v>
      </c>
      <c r="J22" s="4">
        <v>11.3</v>
      </c>
      <c r="K22" s="4">
        <v>0.41099999999999998</v>
      </c>
      <c r="L22" s="4">
        <v>1.6</v>
      </c>
      <c r="M22" s="4">
        <v>4.9000000000000004</v>
      </c>
      <c r="N22" s="4">
        <v>0.33300000000000002</v>
      </c>
      <c r="O22" s="4">
        <v>3</v>
      </c>
      <c r="P22" s="4">
        <v>6.4</v>
      </c>
      <c r="Q22" s="4">
        <v>0.47099999999999997</v>
      </c>
      <c r="R22" s="4">
        <v>2.1</v>
      </c>
      <c r="S22" s="4">
        <v>2.4</v>
      </c>
      <c r="T22" s="4">
        <v>0.89500000000000002</v>
      </c>
      <c r="U22" s="4">
        <v>0</v>
      </c>
      <c r="V22" s="4">
        <v>1.9</v>
      </c>
      <c r="W22" s="4">
        <v>3.8</v>
      </c>
      <c r="X22" s="4">
        <v>0.6</v>
      </c>
      <c r="Y22" s="4">
        <v>0.1</v>
      </c>
      <c r="Z22" s="4">
        <v>1.9</v>
      </c>
      <c r="AA22" s="4">
        <v>2.5</v>
      </c>
      <c r="AB22" s="4">
        <v>13</v>
      </c>
      <c r="AC22" s="10">
        <f t="shared" si="0"/>
        <v>0.91189674523007846</v>
      </c>
      <c r="AD22" s="10">
        <f t="shared" si="1"/>
        <v>0.04</v>
      </c>
      <c r="AE22" s="12">
        <f>100*(AC22/TOTAL_BASIC!$D$302)</f>
        <v>95.809352995259331</v>
      </c>
      <c r="AF22" s="9"/>
      <c r="AG22" s="9"/>
      <c r="AH22" s="12">
        <f t="shared" si="2"/>
        <v>29.799999999999997</v>
      </c>
      <c r="AI22" s="12">
        <f t="shared" si="3"/>
        <v>37.799999999999997</v>
      </c>
      <c r="AJ22" s="12">
        <f t="shared" si="4"/>
        <v>77</v>
      </c>
      <c r="AK22" s="12">
        <f t="shared" si="5"/>
        <v>73.2</v>
      </c>
      <c r="AL22" s="12">
        <f t="shared" si="6"/>
        <v>73.900000000000006</v>
      </c>
    </row>
    <row r="23" spans="1:38" ht="15.75" customHeight="1" x14ac:dyDescent="0.25">
      <c r="A23" s="1" t="s">
        <v>168</v>
      </c>
      <c r="B23" s="7" t="s">
        <v>164</v>
      </c>
      <c r="C23" s="4" t="s">
        <v>8</v>
      </c>
      <c r="D23" s="4">
        <v>8</v>
      </c>
      <c r="E23" s="4">
        <v>214</v>
      </c>
      <c r="F23" s="4">
        <v>8</v>
      </c>
      <c r="G23" s="4">
        <v>8</v>
      </c>
      <c r="H23" s="4">
        <v>26.8</v>
      </c>
      <c r="I23" s="4">
        <v>6</v>
      </c>
      <c r="J23" s="4">
        <v>14.4</v>
      </c>
      <c r="K23" s="4">
        <v>0.41699999999999998</v>
      </c>
      <c r="L23" s="4">
        <v>3</v>
      </c>
      <c r="M23" s="4">
        <v>8.4</v>
      </c>
      <c r="N23" s="4">
        <v>0.35799999999999998</v>
      </c>
      <c r="O23" s="4">
        <v>3</v>
      </c>
      <c r="P23" s="4">
        <v>6</v>
      </c>
      <c r="Q23" s="4">
        <v>0.5</v>
      </c>
      <c r="R23" s="4">
        <v>3.8</v>
      </c>
      <c r="S23" s="4">
        <v>4.3</v>
      </c>
      <c r="T23" s="4">
        <v>0.88200000000000001</v>
      </c>
      <c r="U23" s="4">
        <v>0.9</v>
      </c>
      <c r="V23" s="4">
        <v>4</v>
      </c>
      <c r="W23" s="4">
        <v>3.5</v>
      </c>
      <c r="X23" s="4">
        <v>1.3</v>
      </c>
      <c r="Y23" s="4">
        <v>0.4</v>
      </c>
      <c r="Z23" s="4">
        <v>2.9</v>
      </c>
      <c r="AA23" s="4">
        <v>3</v>
      </c>
      <c r="AB23" s="4">
        <v>18.8</v>
      </c>
      <c r="AC23" s="10">
        <f t="shared" si="0"/>
        <v>0.97957482284285124</v>
      </c>
      <c r="AD23" s="10">
        <f t="shared" si="1"/>
        <v>0.13333333333333333</v>
      </c>
      <c r="AE23" s="12">
        <f>100*(AC23/TOTAL_BASIC!$D$302)</f>
        <v>102.9200186073037</v>
      </c>
      <c r="AF23" s="9"/>
      <c r="AG23" s="9"/>
      <c r="AH23" s="12">
        <f t="shared" si="2"/>
        <v>49</v>
      </c>
      <c r="AI23" s="12">
        <f t="shared" si="3"/>
        <v>57.099999999999994</v>
      </c>
      <c r="AJ23" s="12">
        <f t="shared" si="4"/>
        <v>93.7</v>
      </c>
      <c r="AK23" s="12">
        <f t="shared" si="5"/>
        <v>73.2</v>
      </c>
      <c r="AL23" s="12">
        <f t="shared" si="6"/>
        <v>70.8</v>
      </c>
    </row>
    <row r="24" spans="1:38" ht="15.75" customHeight="1" x14ac:dyDescent="0.25">
      <c r="A24" s="1" t="s">
        <v>115</v>
      </c>
      <c r="B24" s="7" t="s">
        <v>116</v>
      </c>
      <c r="C24" s="4" t="s">
        <v>8</v>
      </c>
      <c r="D24" s="4">
        <v>8</v>
      </c>
      <c r="E24" s="4">
        <v>213</v>
      </c>
      <c r="F24" s="4">
        <v>8</v>
      </c>
      <c r="G24" s="4">
        <v>8</v>
      </c>
      <c r="H24" s="4">
        <v>26.6</v>
      </c>
      <c r="I24" s="4">
        <v>3.4</v>
      </c>
      <c r="J24" s="4">
        <v>11</v>
      </c>
      <c r="K24" s="4">
        <v>0.307</v>
      </c>
      <c r="L24" s="4">
        <v>1.1000000000000001</v>
      </c>
      <c r="M24" s="4">
        <v>4.3</v>
      </c>
      <c r="N24" s="4">
        <v>0.26500000000000001</v>
      </c>
      <c r="O24" s="4">
        <v>2.2999999999999998</v>
      </c>
      <c r="P24" s="4">
        <v>6.8</v>
      </c>
      <c r="Q24" s="4">
        <v>0.33300000000000002</v>
      </c>
      <c r="R24" s="4">
        <v>4.0999999999999996</v>
      </c>
      <c r="S24" s="4">
        <v>4.5999999999999996</v>
      </c>
      <c r="T24" s="4">
        <v>0.89200000000000002</v>
      </c>
      <c r="U24" s="4">
        <v>0.8</v>
      </c>
      <c r="V24" s="4">
        <v>4.8</v>
      </c>
      <c r="W24" s="4">
        <v>1.6</v>
      </c>
      <c r="X24" s="4">
        <v>1</v>
      </c>
      <c r="Y24" s="4">
        <v>1.6</v>
      </c>
      <c r="Z24" s="4">
        <v>1.9</v>
      </c>
      <c r="AA24" s="4">
        <v>2.2999999999999998</v>
      </c>
      <c r="AB24" s="4">
        <v>12</v>
      </c>
      <c r="AC24" s="10">
        <f t="shared" si="0"/>
        <v>0.8040739748056821</v>
      </c>
      <c r="AD24" s="10">
        <f t="shared" si="1"/>
        <v>0.69565217391304357</v>
      </c>
      <c r="AE24" s="12">
        <f>100*(AC24/TOTAL_BASIC!$D$302)</f>
        <v>84.480844667365972</v>
      </c>
      <c r="AF24" s="9"/>
      <c r="AG24" s="9"/>
      <c r="AH24" s="12">
        <f t="shared" si="2"/>
        <v>94.399999999999991</v>
      </c>
      <c r="AI24" s="12">
        <f t="shared" si="3"/>
        <v>21.099999999999998</v>
      </c>
      <c r="AJ24" s="12">
        <f t="shared" si="4"/>
        <v>73.2</v>
      </c>
      <c r="AK24" s="12">
        <f t="shared" si="5"/>
        <v>70.8</v>
      </c>
      <c r="AL24" s="12">
        <f t="shared" si="6"/>
        <v>72.599999999999994</v>
      </c>
    </row>
    <row r="25" spans="1:38" ht="15.75" customHeight="1" x14ac:dyDescent="0.25">
      <c r="A25" s="1" t="s">
        <v>138</v>
      </c>
      <c r="B25" s="7" t="s">
        <v>139</v>
      </c>
      <c r="C25" s="4" t="s">
        <v>8</v>
      </c>
      <c r="D25" s="4">
        <v>6</v>
      </c>
      <c r="E25" s="4">
        <v>211</v>
      </c>
      <c r="F25" s="4">
        <v>6</v>
      </c>
      <c r="G25" s="4">
        <v>6</v>
      </c>
      <c r="H25" s="4">
        <v>35.200000000000003</v>
      </c>
      <c r="I25" s="4">
        <v>9.3000000000000007</v>
      </c>
      <c r="J25" s="4">
        <v>15.8</v>
      </c>
      <c r="K25" s="4">
        <v>0.58899999999999997</v>
      </c>
      <c r="L25" s="4">
        <v>3.3</v>
      </c>
      <c r="M25" s="4">
        <v>6.8</v>
      </c>
      <c r="N25" s="4">
        <v>0.48799999999999999</v>
      </c>
      <c r="O25" s="4">
        <v>6</v>
      </c>
      <c r="P25" s="4">
        <v>9</v>
      </c>
      <c r="Q25" s="4">
        <v>0.66700000000000004</v>
      </c>
      <c r="R25" s="4">
        <v>4.8</v>
      </c>
      <c r="S25" s="4">
        <v>5.8</v>
      </c>
      <c r="T25" s="4">
        <v>0.82899999999999996</v>
      </c>
      <c r="U25" s="4">
        <v>0.2</v>
      </c>
      <c r="V25" s="4">
        <v>1.8</v>
      </c>
      <c r="W25" s="4">
        <v>6.3</v>
      </c>
      <c r="X25" s="4">
        <v>1.2</v>
      </c>
      <c r="Y25" s="4">
        <v>0</v>
      </c>
      <c r="Z25" s="4">
        <v>3.3</v>
      </c>
      <c r="AA25" s="4">
        <v>3.3</v>
      </c>
      <c r="AB25" s="4">
        <v>26.8</v>
      </c>
      <c r="AC25" s="10">
        <f t="shared" si="0"/>
        <v>1.2377609458710512</v>
      </c>
      <c r="AD25" s="10">
        <f t="shared" si="1"/>
        <v>0</v>
      </c>
      <c r="AE25" s="12">
        <f>100*(AC25/TOTAL_BASIC!$D$302)</f>
        <v>130.04660451637506</v>
      </c>
      <c r="AF25" s="9"/>
      <c r="AG25" s="9"/>
      <c r="AH25" s="12">
        <f t="shared" si="2"/>
        <v>0</v>
      </c>
      <c r="AI25" s="12">
        <f t="shared" si="3"/>
        <v>95</v>
      </c>
      <c r="AJ25" s="12">
        <f t="shared" si="4"/>
        <v>100</v>
      </c>
      <c r="AK25" s="12">
        <f t="shared" si="5"/>
        <v>99.3</v>
      </c>
      <c r="AL25" s="12">
        <f t="shared" si="6"/>
        <v>57.699999999999996</v>
      </c>
    </row>
    <row r="26" spans="1:38" ht="15.75" customHeight="1" x14ac:dyDescent="0.25">
      <c r="A26" s="1" t="s">
        <v>131</v>
      </c>
      <c r="B26" s="7" t="s">
        <v>109</v>
      </c>
      <c r="C26" s="4" t="s">
        <v>8</v>
      </c>
      <c r="D26" s="4">
        <v>9</v>
      </c>
      <c r="E26" s="4">
        <v>211</v>
      </c>
      <c r="F26" s="4">
        <v>9</v>
      </c>
      <c r="G26" s="4">
        <v>4</v>
      </c>
      <c r="H26" s="4">
        <v>23.4</v>
      </c>
      <c r="I26" s="4">
        <v>2.1</v>
      </c>
      <c r="J26" s="4">
        <v>7.9</v>
      </c>
      <c r="K26" s="4">
        <v>0.26800000000000002</v>
      </c>
      <c r="L26" s="4">
        <v>0.2</v>
      </c>
      <c r="M26" s="4">
        <v>2.2000000000000002</v>
      </c>
      <c r="N26" s="4">
        <v>0.1</v>
      </c>
      <c r="O26" s="4">
        <v>1.9</v>
      </c>
      <c r="P26" s="4">
        <v>5.7</v>
      </c>
      <c r="Q26" s="4">
        <v>0.33300000000000002</v>
      </c>
      <c r="R26" s="4">
        <v>1.2</v>
      </c>
      <c r="S26" s="4">
        <v>1.8</v>
      </c>
      <c r="T26" s="4">
        <v>0.68799999999999994</v>
      </c>
      <c r="U26" s="4">
        <v>0.4</v>
      </c>
      <c r="V26" s="4">
        <v>2.2000000000000002</v>
      </c>
      <c r="W26" s="4">
        <v>3.7</v>
      </c>
      <c r="X26" s="4">
        <v>1</v>
      </c>
      <c r="Y26" s="4">
        <v>0.6</v>
      </c>
      <c r="Z26" s="4">
        <v>2</v>
      </c>
      <c r="AA26" s="4">
        <v>1.8</v>
      </c>
      <c r="AB26" s="4">
        <v>5.7</v>
      </c>
      <c r="AC26" s="10">
        <f t="shared" si="0"/>
        <v>0.53310886644219979</v>
      </c>
      <c r="AD26" s="10">
        <f t="shared" si="1"/>
        <v>0.33333333333333331</v>
      </c>
      <c r="AE26" s="12">
        <f>100*(AC26/TOTAL_BASIC!$D$302)</f>
        <v>56.011621751074692</v>
      </c>
      <c r="AF26" s="9"/>
      <c r="AG26" s="9"/>
      <c r="AH26" s="12">
        <f t="shared" si="2"/>
        <v>78.2</v>
      </c>
      <c r="AI26" s="12">
        <f t="shared" si="3"/>
        <v>3.6999999999999997</v>
      </c>
      <c r="AJ26" s="12">
        <f t="shared" si="4"/>
        <v>34.699999999999996</v>
      </c>
      <c r="AK26" s="12">
        <f t="shared" si="5"/>
        <v>58.3</v>
      </c>
      <c r="AL26" s="12">
        <f t="shared" si="6"/>
        <v>29.799999999999997</v>
      </c>
    </row>
    <row r="27" spans="1:38" ht="15.75" customHeight="1" x14ac:dyDescent="0.25">
      <c r="A27" s="1" t="s">
        <v>134</v>
      </c>
      <c r="B27" s="7" t="s">
        <v>119</v>
      </c>
      <c r="C27" s="4" t="s">
        <v>90</v>
      </c>
      <c r="D27" s="4">
        <v>7</v>
      </c>
      <c r="E27" s="4">
        <v>208</v>
      </c>
      <c r="F27" s="4">
        <v>7</v>
      </c>
      <c r="G27" s="4">
        <v>7</v>
      </c>
      <c r="H27" s="4">
        <v>29.7</v>
      </c>
      <c r="I27" s="4">
        <v>8.9</v>
      </c>
      <c r="J27" s="4">
        <v>16.899999999999999</v>
      </c>
      <c r="K27" s="4">
        <v>0.52500000000000002</v>
      </c>
      <c r="L27" s="4">
        <v>1.3</v>
      </c>
      <c r="M27" s="4">
        <v>2</v>
      </c>
      <c r="N27" s="4">
        <v>0.64300000000000002</v>
      </c>
      <c r="O27" s="4">
        <v>7.6</v>
      </c>
      <c r="P27" s="4">
        <v>14.9</v>
      </c>
      <c r="Q27" s="4">
        <v>0.51</v>
      </c>
      <c r="R27" s="4">
        <v>5.3</v>
      </c>
      <c r="S27" s="4">
        <v>6.3</v>
      </c>
      <c r="T27" s="4">
        <v>0.84099999999999997</v>
      </c>
      <c r="U27" s="4">
        <v>1.1000000000000001</v>
      </c>
      <c r="V27" s="4">
        <v>7.1</v>
      </c>
      <c r="W27" s="4">
        <v>2.7</v>
      </c>
      <c r="X27" s="4">
        <v>1</v>
      </c>
      <c r="Y27" s="4">
        <v>2</v>
      </c>
      <c r="Z27" s="4">
        <v>2.6</v>
      </c>
      <c r="AA27" s="4">
        <v>1.9</v>
      </c>
      <c r="AB27" s="4">
        <v>24.3</v>
      </c>
      <c r="AC27" s="10">
        <f t="shared" si="0"/>
        <v>1.0910560344827587</v>
      </c>
      <c r="AD27" s="10">
        <f t="shared" si="1"/>
        <v>1.0526315789473684</v>
      </c>
      <c r="AE27" s="12">
        <f>100*(AC27/TOTAL_BASIC!$D$302)</f>
        <v>114.63290475830344</v>
      </c>
      <c r="AF27" s="9"/>
      <c r="AG27" s="9"/>
      <c r="AH27" s="12">
        <f t="shared" si="2"/>
        <v>98.7</v>
      </c>
      <c r="AI27" s="12">
        <f t="shared" si="3"/>
        <v>82.6</v>
      </c>
      <c r="AJ27" s="12">
        <f t="shared" si="4"/>
        <v>99.3</v>
      </c>
      <c r="AK27" s="12">
        <f t="shared" si="5"/>
        <v>83.8</v>
      </c>
      <c r="AL27" s="12">
        <f t="shared" si="6"/>
        <v>62.7</v>
      </c>
    </row>
    <row r="28" spans="1:38" ht="15.75" customHeight="1" x14ac:dyDescent="0.25">
      <c r="A28" s="1" t="s">
        <v>91</v>
      </c>
      <c r="B28" s="4" t="s">
        <v>86</v>
      </c>
      <c r="C28" s="4" t="s">
        <v>8</v>
      </c>
      <c r="D28" s="4">
        <v>8</v>
      </c>
      <c r="E28" s="4">
        <v>205</v>
      </c>
      <c r="F28" s="4">
        <v>8</v>
      </c>
      <c r="G28" s="4">
        <v>7</v>
      </c>
      <c r="H28" s="4">
        <v>25.6</v>
      </c>
      <c r="I28" s="4">
        <v>4.4000000000000004</v>
      </c>
      <c r="J28" s="4">
        <v>7.4</v>
      </c>
      <c r="K28" s="4">
        <v>0.59299999999999997</v>
      </c>
      <c r="L28" s="4">
        <v>0.9</v>
      </c>
      <c r="M28" s="4">
        <v>2</v>
      </c>
      <c r="N28" s="4">
        <v>0.438</v>
      </c>
      <c r="O28" s="4">
        <v>3.5</v>
      </c>
      <c r="P28" s="4">
        <v>5.4</v>
      </c>
      <c r="Q28" s="4">
        <v>0.65100000000000002</v>
      </c>
      <c r="R28" s="4">
        <v>1.9</v>
      </c>
      <c r="S28" s="4">
        <v>2.5</v>
      </c>
      <c r="T28" s="4">
        <v>0.75</v>
      </c>
      <c r="U28" s="4">
        <v>0.9</v>
      </c>
      <c r="V28" s="4">
        <v>3.4</v>
      </c>
      <c r="W28" s="4">
        <v>3.3</v>
      </c>
      <c r="X28" s="4">
        <v>0.9</v>
      </c>
      <c r="Y28" s="4">
        <v>0.3</v>
      </c>
      <c r="Z28" s="4">
        <v>1.8</v>
      </c>
      <c r="AA28" s="4">
        <v>3.3</v>
      </c>
      <c r="AB28" s="4">
        <v>11.5</v>
      </c>
      <c r="AC28" s="10">
        <f t="shared" si="0"/>
        <v>1.116504854368932</v>
      </c>
      <c r="AD28" s="10">
        <f t="shared" si="1"/>
        <v>9.0909090909090912E-2</v>
      </c>
      <c r="AE28" s="12">
        <f>100*(AC28/TOTAL_BASIC!$D$302)</f>
        <v>117.30671073528602</v>
      </c>
      <c r="AF28" s="9"/>
      <c r="AG28" s="9"/>
      <c r="AH28" s="12">
        <f t="shared" si="2"/>
        <v>39.700000000000003</v>
      </c>
      <c r="AI28" s="12">
        <f t="shared" si="3"/>
        <v>87.5</v>
      </c>
      <c r="AJ28" s="12">
        <f t="shared" si="4"/>
        <v>70.8</v>
      </c>
      <c r="AK28" s="12">
        <f t="shared" si="5"/>
        <v>67.7</v>
      </c>
      <c r="AL28" s="12">
        <f t="shared" si="6"/>
        <v>37.200000000000003</v>
      </c>
    </row>
    <row r="29" spans="1:38" ht="15.75" customHeight="1" x14ac:dyDescent="0.25">
      <c r="A29" s="1" t="s">
        <v>151</v>
      </c>
      <c r="B29" s="7" t="s">
        <v>130</v>
      </c>
      <c r="C29" s="4" t="s">
        <v>8</v>
      </c>
      <c r="D29" s="4">
        <v>6</v>
      </c>
      <c r="E29" s="4">
        <v>204</v>
      </c>
      <c r="F29" s="4">
        <v>6</v>
      </c>
      <c r="G29" s="4">
        <v>6</v>
      </c>
      <c r="H29" s="4">
        <v>34</v>
      </c>
      <c r="I29" s="4">
        <v>7.5</v>
      </c>
      <c r="J29" s="4">
        <v>16</v>
      </c>
      <c r="K29" s="4">
        <v>0.46899999999999997</v>
      </c>
      <c r="L29" s="4">
        <v>2.2000000000000002</v>
      </c>
      <c r="M29" s="4">
        <v>6.3</v>
      </c>
      <c r="N29" s="4">
        <v>0.34200000000000003</v>
      </c>
      <c r="O29" s="4">
        <v>5.3</v>
      </c>
      <c r="P29" s="4">
        <v>9.6999999999999993</v>
      </c>
      <c r="Q29" s="4">
        <v>0.55200000000000005</v>
      </c>
      <c r="R29" s="4">
        <v>4.5</v>
      </c>
      <c r="S29" s="4">
        <v>5.5</v>
      </c>
      <c r="T29" s="4">
        <v>0.81799999999999995</v>
      </c>
      <c r="U29" s="4">
        <v>0.7</v>
      </c>
      <c r="V29" s="4">
        <v>4.3</v>
      </c>
      <c r="W29" s="4">
        <v>1.3</v>
      </c>
      <c r="X29" s="4">
        <v>0.8</v>
      </c>
      <c r="Y29" s="4">
        <v>0.7</v>
      </c>
      <c r="Z29" s="4">
        <v>2.2000000000000002</v>
      </c>
      <c r="AA29" s="4">
        <v>2.2999999999999998</v>
      </c>
      <c r="AB29" s="4">
        <v>21.7</v>
      </c>
      <c r="AC29" s="10">
        <f t="shared" si="0"/>
        <v>1.0523763336566438</v>
      </c>
      <c r="AD29" s="10">
        <f t="shared" si="1"/>
        <v>0.30434782608695654</v>
      </c>
      <c r="AE29" s="12">
        <f>100*(AC29/TOTAL_BASIC!$D$302)</f>
        <v>110.56898290576382</v>
      </c>
      <c r="AF29" s="9"/>
      <c r="AG29" s="9"/>
      <c r="AH29" s="12">
        <f t="shared" si="2"/>
        <v>75.7</v>
      </c>
      <c r="AI29" s="12">
        <f t="shared" si="3"/>
        <v>76.3</v>
      </c>
      <c r="AJ29" s="12">
        <f t="shared" si="4"/>
        <v>98.1</v>
      </c>
      <c r="AK29" s="12">
        <f t="shared" si="5"/>
        <v>98.7</v>
      </c>
      <c r="AL29" s="12">
        <f t="shared" si="6"/>
        <v>54</v>
      </c>
    </row>
    <row r="30" spans="1:38" ht="15.75" customHeight="1" x14ac:dyDescent="0.25">
      <c r="A30" s="1" t="s">
        <v>173</v>
      </c>
      <c r="B30" s="7" t="s">
        <v>109</v>
      </c>
      <c r="C30" s="4" t="s">
        <v>8</v>
      </c>
      <c r="D30" s="4">
        <v>9</v>
      </c>
      <c r="E30" s="4">
        <v>203</v>
      </c>
      <c r="F30" s="4">
        <v>9</v>
      </c>
      <c r="G30" s="4">
        <v>5</v>
      </c>
      <c r="H30" s="4">
        <v>22.6</v>
      </c>
      <c r="I30" s="4">
        <v>2.8</v>
      </c>
      <c r="J30" s="4">
        <v>7.2</v>
      </c>
      <c r="K30" s="4">
        <v>0.38500000000000001</v>
      </c>
      <c r="L30" s="4">
        <v>0.9</v>
      </c>
      <c r="M30" s="4">
        <v>2.7</v>
      </c>
      <c r="N30" s="4">
        <v>0.33300000000000002</v>
      </c>
      <c r="O30" s="4">
        <v>1.9</v>
      </c>
      <c r="P30" s="4">
        <v>4.5999999999999996</v>
      </c>
      <c r="Q30" s="4">
        <v>0.41499999999999998</v>
      </c>
      <c r="R30" s="4">
        <v>1.7</v>
      </c>
      <c r="S30" s="4">
        <v>2.6</v>
      </c>
      <c r="T30" s="4">
        <v>0.65200000000000002</v>
      </c>
      <c r="U30" s="4">
        <v>0.2</v>
      </c>
      <c r="V30" s="4">
        <v>1.9</v>
      </c>
      <c r="W30" s="4">
        <v>2.7</v>
      </c>
      <c r="X30" s="4">
        <v>0.7</v>
      </c>
      <c r="Y30" s="4">
        <v>0</v>
      </c>
      <c r="Z30" s="4">
        <v>1.4</v>
      </c>
      <c r="AA30" s="4">
        <v>2.4</v>
      </c>
      <c r="AB30" s="4">
        <v>8.1</v>
      </c>
      <c r="AC30" s="10">
        <f t="shared" si="0"/>
        <v>0.83128078817733975</v>
      </c>
      <c r="AD30" s="10">
        <f t="shared" si="1"/>
        <v>0</v>
      </c>
      <c r="AE30" s="12">
        <f>100*(AC30/TOTAL_BASIC!$D$302)</f>
        <v>87.339356006326398</v>
      </c>
      <c r="AF30" s="9"/>
      <c r="AG30" s="9"/>
      <c r="AH30" s="12">
        <f t="shared" si="2"/>
        <v>0</v>
      </c>
      <c r="AI30" s="12">
        <f t="shared" si="3"/>
        <v>24.2</v>
      </c>
      <c r="AJ30" s="12">
        <f t="shared" si="4"/>
        <v>55.2</v>
      </c>
      <c r="AK30" s="12">
        <f t="shared" si="5"/>
        <v>55.2</v>
      </c>
      <c r="AL30" s="12">
        <f t="shared" si="6"/>
        <v>22.900000000000002</v>
      </c>
    </row>
    <row r="31" spans="1:38" ht="15.75" customHeight="1" x14ac:dyDescent="0.25">
      <c r="A31" s="1" t="s">
        <v>92</v>
      </c>
      <c r="B31" s="7" t="s">
        <v>93</v>
      </c>
      <c r="C31" s="4" t="s">
        <v>8</v>
      </c>
      <c r="D31" s="4">
        <v>7</v>
      </c>
      <c r="E31" s="4">
        <v>202</v>
      </c>
      <c r="F31" s="4">
        <v>7</v>
      </c>
      <c r="G31" s="4">
        <v>7</v>
      </c>
      <c r="H31" s="4">
        <v>28.9</v>
      </c>
      <c r="I31" s="4">
        <v>4.7</v>
      </c>
      <c r="J31" s="4">
        <v>11.7</v>
      </c>
      <c r="K31" s="4">
        <v>0.40200000000000002</v>
      </c>
      <c r="L31" s="4">
        <v>1.9</v>
      </c>
      <c r="M31" s="4">
        <v>4.4000000000000004</v>
      </c>
      <c r="N31" s="4">
        <v>0.41899999999999998</v>
      </c>
      <c r="O31" s="4">
        <v>2.9</v>
      </c>
      <c r="P31" s="4">
        <v>7.3</v>
      </c>
      <c r="Q31" s="4">
        <v>0.39200000000000002</v>
      </c>
      <c r="R31" s="4">
        <v>4.5999999999999996</v>
      </c>
      <c r="S31" s="4">
        <v>5.3</v>
      </c>
      <c r="T31" s="4">
        <v>0.86499999999999999</v>
      </c>
      <c r="U31" s="4">
        <v>0.9</v>
      </c>
      <c r="V31" s="4">
        <v>3.3</v>
      </c>
      <c r="W31" s="4">
        <v>5.9</v>
      </c>
      <c r="X31" s="4">
        <v>1</v>
      </c>
      <c r="Y31" s="4">
        <v>1</v>
      </c>
      <c r="Z31" s="4">
        <v>1.6</v>
      </c>
      <c r="AA31" s="4">
        <v>3.9</v>
      </c>
      <c r="AB31" s="4">
        <v>15.9</v>
      </c>
      <c r="AC31" s="10">
        <f t="shared" si="0"/>
        <v>1.0171443193449334</v>
      </c>
      <c r="AD31" s="10">
        <f t="shared" si="1"/>
        <v>0.25641025641025644</v>
      </c>
      <c r="AE31" s="12">
        <f>100*(AC31/TOTAL_BASIC!$D$302)</f>
        <v>106.8672957206944</v>
      </c>
      <c r="AF31" s="9"/>
      <c r="AG31" s="9"/>
      <c r="AH31" s="12">
        <f t="shared" si="2"/>
        <v>70.099999999999994</v>
      </c>
      <c r="AI31" s="12">
        <f t="shared" si="3"/>
        <v>68.300000000000011</v>
      </c>
      <c r="AJ31" s="12">
        <f t="shared" si="4"/>
        <v>87.5</v>
      </c>
      <c r="AK31" s="12">
        <f t="shared" si="5"/>
        <v>80.7</v>
      </c>
      <c r="AL31" s="12">
        <f t="shared" si="6"/>
        <v>68.300000000000011</v>
      </c>
    </row>
    <row r="32" spans="1:38" ht="15.75" customHeight="1" x14ac:dyDescent="0.25">
      <c r="A32" s="1" t="s">
        <v>120</v>
      </c>
      <c r="B32" s="7" t="s">
        <v>95</v>
      </c>
      <c r="C32" s="4" t="s">
        <v>121</v>
      </c>
      <c r="D32" s="4">
        <v>8</v>
      </c>
      <c r="E32" s="4">
        <v>201</v>
      </c>
      <c r="F32" s="4">
        <v>8</v>
      </c>
      <c r="G32" s="4">
        <v>8</v>
      </c>
      <c r="H32" s="4">
        <v>25.1</v>
      </c>
      <c r="I32" s="4">
        <v>4.3</v>
      </c>
      <c r="J32" s="4">
        <v>6</v>
      </c>
      <c r="K32" s="4">
        <v>0.70799999999999996</v>
      </c>
      <c r="L32" s="4">
        <v>0.1</v>
      </c>
      <c r="M32" s="4">
        <v>0.3</v>
      </c>
      <c r="N32" s="4">
        <v>0.5</v>
      </c>
      <c r="O32" s="4">
        <v>4.0999999999999996</v>
      </c>
      <c r="P32" s="4">
        <v>5.8</v>
      </c>
      <c r="Q32" s="4">
        <v>0.71699999999999997</v>
      </c>
      <c r="R32" s="4">
        <v>1.6</v>
      </c>
      <c r="S32" s="4">
        <v>2</v>
      </c>
      <c r="T32" s="4">
        <v>0.81299999999999994</v>
      </c>
      <c r="U32" s="4">
        <v>3</v>
      </c>
      <c r="V32" s="4">
        <v>8.1</v>
      </c>
      <c r="W32" s="4">
        <v>1.5</v>
      </c>
      <c r="X32" s="4">
        <v>0.6</v>
      </c>
      <c r="Y32" s="4">
        <v>1.6</v>
      </c>
      <c r="Z32" s="4">
        <v>0.9</v>
      </c>
      <c r="AA32" s="4">
        <v>2.9</v>
      </c>
      <c r="AB32" s="4">
        <v>10.3</v>
      </c>
      <c r="AC32" s="10">
        <f t="shared" si="0"/>
        <v>1.3239074550128536</v>
      </c>
      <c r="AD32" s="10">
        <f t="shared" si="1"/>
        <v>0.55172413793103448</v>
      </c>
      <c r="AE32" s="12">
        <f>100*(AC32/TOTAL_BASIC!$D$302)</f>
        <v>139.09767454908345</v>
      </c>
      <c r="AF32" s="9"/>
      <c r="AG32" s="9"/>
      <c r="AH32" s="12">
        <f t="shared" si="2"/>
        <v>88.1</v>
      </c>
      <c r="AI32" s="12">
        <f t="shared" si="3"/>
        <v>97.5</v>
      </c>
      <c r="AJ32" s="12">
        <f t="shared" si="4"/>
        <v>65.8</v>
      </c>
      <c r="AK32" s="12">
        <f t="shared" si="5"/>
        <v>65.2</v>
      </c>
      <c r="AL32" s="12">
        <f t="shared" si="6"/>
        <v>52.1</v>
      </c>
    </row>
    <row r="33" spans="1:38" ht="15.75" customHeight="1" x14ac:dyDescent="0.25">
      <c r="A33" s="1" t="s">
        <v>117</v>
      </c>
      <c r="B33" s="7" t="s">
        <v>98</v>
      </c>
      <c r="C33" s="4" t="s">
        <v>87</v>
      </c>
      <c r="D33" s="4">
        <v>7</v>
      </c>
      <c r="E33" s="4">
        <v>200</v>
      </c>
      <c r="F33" s="4">
        <v>7</v>
      </c>
      <c r="G33" s="4">
        <v>7</v>
      </c>
      <c r="H33" s="4">
        <v>28.6</v>
      </c>
      <c r="I33" s="4">
        <v>7.9</v>
      </c>
      <c r="J33" s="4">
        <v>11.7</v>
      </c>
      <c r="K33" s="4">
        <v>0.67100000000000004</v>
      </c>
      <c r="L33" s="4">
        <v>0</v>
      </c>
      <c r="M33" s="4">
        <v>0.3</v>
      </c>
      <c r="N33" s="4">
        <v>0</v>
      </c>
      <c r="O33" s="4">
        <v>7.9</v>
      </c>
      <c r="P33" s="4">
        <v>11.4</v>
      </c>
      <c r="Q33" s="4">
        <v>0.68799999999999994</v>
      </c>
      <c r="R33" s="4">
        <v>2</v>
      </c>
      <c r="S33" s="4">
        <v>4.0999999999999996</v>
      </c>
      <c r="T33" s="4">
        <v>0.48299999999999998</v>
      </c>
      <c r="U33" s="4">
        <v>3.9</v>
      </c>
      <c r="V33" s="4">
        <v>8.3000000000000007</v>
      </c>
      <c r="W33" s="4">
        <v>4</v>
      </c>
      <c r="X33" s="4">
        <v>0.9</v>
      </c>
      <c r="Y33" s="4">
        <v>0.7</v>
      </c>
      <c r="Z33" s="4">
        <v>4.3</v>
      </c>
      <c r="AA33" s="4">
        <v>4.0999999999999996</v>
      </c>
      <c r="AB33" s="4">
        <v>17.7</v>
      </c>
      <c r="AC33" s="10">
        <f t="shared" si="0"/>
        <v>0.99415861604133904</v>
      </c>
      <c r="AD33" s="10">
        <f t="shared" si="1"/>
        <v>0.17073170731707318</v>
      </c>
      <c r="AE33" s="12">
        <f>100*(AC33/TOTAL_BASIC!$D$302)</f>
        <v>104.45227957640195</v>
      </c>
      <c r="AF33" s="9"/>
      <c r="AG33" s="9"/>
      <c r="AH33" s="12">
        <f t="shared" si="2"/>
        <v>56.499999999999993</v>
      </c>
      <c r="AI33" s="12">
        <f t="shared" si="3"/>
        <v>63.3</v>
      </c>
      <c r="AJ33" s="12">
        <f t="shared" si="4"/>
        <v>91.9</v>
      </c>
      <c r="AK33" s="12">
        <f t="shared" si="5"/>
        <v>79.5</v>
      </c>
      <c r="AL33" s="12">
        <f t="shared" si="6"/>
        <v>9.3000000000000007</v>
      </c>
    </row>
    <row r="34" spans="1:38" ht="15.75" customHeight="1" x14ac:dyDescent="0.25">
      <c r="A34" s="1" t="s">
        <v>118</v>
      </c>
      <c r="B34" s="7" t="s">
        <v>119</v>
      </c>
      <c r="C34" s="4" t="s">
        <v>8</v>
      </c>
      <c r="D34" s="4">
        <v>7</v>
      </c>
      <c r="E34" s="4">
        <v>200</v>
      </c>
      <c r="F34" s="4">
        <v>7</v>
      </c>
      <c r="G34" s="4">
        <v>7</v>
      </c>
      <c r="H34" s="4">
        <v>28.6</v>
      </c>
      <c r="I34" s="4">
        <v>4.3</v>
      </c>
      <c r="J34" s="4">
        <v>12.4</v>
      </c>
      <c r="K34" s="4">
        <v>0.34499999999999997</v>
      </c>
      <c r="L34" s="4">
        <v>0.7</v>
      </c>
      <c r="M34" s="4">
        <v>3.9</v>
      </c>
      <c r="N34" s="4">
        <v>0.185</v>
      </c>
      <c r="O34" s="4">
        <v>3.6</v>
      </c>
      <c r="P34" s="4">
        <v>8.6</v>
      </c>
      <c r="Q34" s="4">
        <v>0.41699999999999998</v>
      </c>
      <c r="R34" s="4">
        <v>0.9</v>
      </c>
      <c r="S34" s="4">
        <v>1</v>
      </c>
      <c r="T34" s="4">
        <v>0.85699999999999998</v>
      </c>
      <c r="U34" s="4">
        <v>0.9</v>
      </c>
      <c r="V34" s="4">
        <v>4.4000000000000004</v>
      </c>
      <c r="W34" s="4">
        <v>5.7</v>
      </c>
      <c r="X34" s="4">
        <v>0.9</v>
      </c>
      <c r="Y34" s="4">
        <v>0.6</v>
      </c>
      <c r="Z34" s="4">
        <v>1.9</v>
      </c>
      <c r="AA34" s="4">
        <v>2.6</v>
      </c>
      <c r="AB34" s="4">
        <v>10.1</v>
      </c>
      <c r="AC34" s="10">
        <f t="shared" si="0"/>
        <v>0.68521031207598371</v>
      </c>
      <c r="AD34" s="10">
        <f t="shared" si="1"/>
        <v>0.23076923076923075</v>
      </c>
      <c r="AE34" s="12">
        <f>100*(AC34/TOTAL_BASIC!$D$302)</f>
        <v>71.99231383276387</v>
      </c>
      <c r="AF34" s="9"/>
      <c r="AG34" s="9"/>
      <c r="AH34" s="12">
        <f t="shared" si="2"/>
        <v>67</v>
      </c>
      <c r="AI34" s="12">
        <f t="shared" si="3"/>
        <v>9.9</v>
      </c>
      <c r="AJ34" s="12">
        <f t="shared" si="4"/>
        <v>65.2</v>
      </c>
      <c r="AK34" s="12">
        <f t="shared" si="5"/>
        <v>79.5</v>
      </c>
      <c r="AL34" s="12">
        <f t="shared" si="6"/>
        <v>65.8</v>
      </c>
    </row>
    <row r="35" spans="1:38" ht="15.75" customHeight="1" x14ac:dyDescent="0.25">
      <c r="A35" s="1" t="s">
        <v>143</v>
      </c>
      <c r="B35" s="4" t="s">
        <v>116</v>
      </c>
      <c r="C35" s="4" t="s">
        <v>90</v>
      </c>
      <c r="D35" s="4">
        <v>8</v>
      </c>
      <c r="E35" s="4">
        <v>199</v>
      </c>
      <c r="F35" s="4">
        <v>8</v>
      </c>
      <c r="G35" s="4">
        <v>8</v>
      </c>
      <c r="H35" s="4">
        <v>24.9</v>
      </c>
      <c r="I35" s="4">
        <v>2.1</v>
      </c>
      <c r="J35" s="4">
        <v>4.0999999999999996</v>
      </c>
      <c r="K35" s="4">
        <v>0.51500000000000001</v>
      </c>
      <c r="L35" s="4">
        <v>0.8</v>
      </c>
      <c r="M35" s="4">
        <v>2</v>
      </c>
      <c r="N35" s="4">
        <v>0.375</v>
      </c>
      <c r="O35" s="4">
        <v>1.4</v>
      </c>
      <c r="P35" s="4">
        <v>2.1</v>
      </c>
      <c r="Q35" s="4">
        <v>0.64700000000000002</v>
      </c>
      <c r="R35" s="4">
        <v>2.2999999999999998</v>
      </c>
      <c r="S35" s="4">
        <v>2.5</v>
      </c>
      <c r="T35" s="4">
        <v>0.9</v>
      </c>
      <c r="U35" s="4">
        <v>0.5</v>
      </c>
      <c r="V35" s="4">
        <v>3.8</v>
      </c>
      <c r="W35" s="4">
        <v>1.8</v>
      </c>
      <c r="X35" s="4">
        <v>0.5</v>
      </c>
      <c r="Y35" s="4">
        <v>1.1000000000000001</v>
      </c>
      <c r="Z35" s="4">
        <v>1.3</v>
      </c>
      <c r="AA35" s="4">
        <v>3.5</v>
      </c>
      <c r="AB35" s="4">
        <v>7.3</v>
      </c>
      <c r="AC35" s="10">
        <f t="shared" si="0"/>
        <v>1.1230769230769233</v>
      </c>
      <c r="AD35" s="10">
        <f t="shared" si="1"/>
        <v>0.31428571428571433</v>
      </c>
      <c r="AE35" s="12">
        <f>100*(AC35/TOTAL_BASIC!$D$302)</f>
        <v>117.99721177506567</v>
      </c>
      <c r="AF35" s="9"/>
      <c r="AG35" s="9"/>
      <c r="AH35" s="12">
        <f t="shared" si="2"/>
        <v>76.3</v>
      </c>
      <c r="AI35" s="12">
        <f t="shared" si="3"/>
        <v>88.8</v>
      </c>
      <c r="AJ35" s="12">
        <f t="shared" si="4"/>
        <v>44.7</v>
      </c>
      <c r="AK35" s="12">
        <f t="shared" si="5"/>
        <v>63.9</v>
      </c>
      <c r="AL35" s="12">
        <f t="shared" si="6"/>
        <v>75.099999999999994</v>
      </c>
    </row>
    <row r="36" spans="1:38" ht="15.75" customHeight="1" x14ac:dyDescent="0.25">
      <c r="A36" s="1" t="s">
        <v>141</v>
      </c>
      <c r="B36" s="7" t="s">
        <v>142</v>
      </c>
      <c r="C36" s="4" t="s">
        <v>8</v>
      </c>
      <c r="D36" s="4">
        <v>6</v>
      </c>
      <c r="E36" s="4">
        <v>196</v>
      </c>
      <c r="F36" s="4">
        <v>6</v>
      </c>
      <c r="G36" s="4">
        <v>6</v>
      </c>
      <c r="H36" s="4">
        <v>32.700000000000003</v>
      </c>
      <c r="I36" s="4">
        <v>5.3</v>
      </c>
      <c r="J36" s="4">
        <v>10.3</v>
      </c>
      <c r="K36" s="4">
        <v>0.51600000000000001</v>
      </c>
      <c r="L36" s="4">
        <v>1</v>
      </c>
      <c r="M36" s="4">
        <v>3.7</v>
      </c>
      <c r="N36" s="4">
        <v>0.27300000000000002</v>
      </c>
      <c r="O36" s="4">
        <v>4.3</v>
      </c>
      <c r="P36" s="4">
        <v>6.7</v>
      </c>
      <c r="Q36" s="4">
        <v>0.65</v>
      </c>
      <c r="R36" s="4">
        <v>5.5</v>
      </c>
      <c r="S36" s="4">
        <v>6.5</v>
      </c>
      <c r="T36" s="4">
        <v>0.84599999999999997</v>
      </c>
      <c r="U36" s="4">
        <v>1.2</v>
      </c>
      <c r="V36" s="4">
        <v>3.8</v>
      </c>
      <c r="W36" s="4">
        <v>2</v>
      </c>
      <c r="X36" s="4">
        <v>1.5</v>
      </c>
      <c r="Y36" s="4">
        <v>0.5</v>
      </c>
      <c r="Z36" s="4">
        <v>2.2999999999999998</v>
      </c>
      <c r="AA36" s="4">
        <v>1.8</v>
      </c>
      <c r="AB36" s="4">
        <v>17.2</v>
      </c>
      <c r="AC36" s="10">
        <f t="shared" si="0"/>
        <v>1.11254851228978</v>
      </c>
      <c r="AD36" s="10">
        <f t="shared" si="1"/>
        <v>0.27777777777777779</v>
      </c>
      <c r="AE36" s="12">
        <f>100*(AC36/TOTAL_BASIC!$D$302)</f>
        <v>116.89103365691697</v>
      </c>
      <c r="AF36" s="9"/>
      <c r="AG36" s="9"/>
      <c r="AH36" s="12">
        <f t="shared" si="2"/>
        <v>72</v>
      </c>
      <c r="AI36" s="12">
        <f t="shared" si="3"/>
        <v>86.3</v>
      </c>
      <c r="AJ36" s="12">
        <f t="shared" si="4"/>
        <v>91.3</v>
      </c>
      <c r="AK36" s="12">
        <f t="shared" si="5"/>
        <v>94.399999999999991</v>
      </c>
      <c r="AL36" s="12">
        <f t="shared" si="6"/>
        <v>63.3</v>
      </c>
    </row>
    <row r="37" spans="1:38" ht="15.75" customHeight="1" x14ac:dyDescent="0.25">
      <c r="A37" s="1" t="s">
        <v>147</v>
      </c>
      <c r="B37" s="7" t="s">
        <v>116</v>
      </c>
      <c r="C37" s="4" t="s">
        <v>8</v>
      </c>
      <c r="D37" s="4">
        <v>8</v>
      </c>
      <c r="E37" s="4">
        <v>196</v>
      </c>
      <c r="F37" s="4">
        <v>8</v>
      </c>
      <c r="G37" s="4">
        <v>5</v>
      </c>
      <c r="H37" s="4">
        <v>24.5</v>
      </c>
      <c r="I37" s="4">
        <v>3.1</v>
      </c>
      <c r="J37" s="4">
        <v>6.4</v>
      </c>
      <c r="K37" s="4">
        <v>0.49</v>
      </c>
      <c r="L37" s="4">
        <v>0.5</v>
      </c>
      <c r="M37" s="4">
        <v>1.6</v>
      </c>
      <c r="N37" s="4">
        <v>0.308</v>
      </c>
      <c r="O37" s="4">
        <v>2.6</v>
      </c>
      <c r="P37" s="4">
        <v>4.8</v>
      </c>
      <c r="Q37" s="4">
        <v>0.55300000000000005</v>
      </c>
      <c r="R37" s="4">
        <v>4.0999999999999996</v>
      </c>
      <c r="S37" s="4">
        <v>5.3</v>
      </c>
      <c r="T37" s="4">
        <v>0.78600000000000003</v>
      </c>
      <c r="U37" s="4">
        <v>0.5</v>
      </c>
      <c r="V37" s="4">
        <v>1.9</v>
      </c>
      <c r="W37" s="4">
        <v>4.3</v>
      </c>
      <c r="X37" s="4">
        <v>1.3</v>
      </c>
      <c r="Y37" s="4">
        <v>0.3</v>
      </c>
      <c r="Z37" s="4">
        <v>2</v>
      </c>
      <c r="AA37" s="4">
        <v>2.8</v>
      </c>
      <c r="AB37" s="4">
        <v>10.9</v>
      </c>
      <c r="AC37" s="10">
        <f t="shared" si="0"/>
        <v>1.0156541185240404</v>
      </c>
      <c r="AD37" s="10">
        <f t="shared" si="1"/>
        <v>0.10714285714285715</v>
      </c>
      <c r="AE37" s="12">
        <f>100*(AC37/TOTAL_BASIC!$D$302)</f>
        <v>106.71072626562224</v>
      </c>
      <c r="AF37" s="9"/>
      <c r="AG37" s="9"/>
      <c r="AH37" s="12">
        <f t="shared" si="2"/>
        <v>42.8</v>
      </c>
      <c r="AI37" s="12">
        <f t="shared" si="3"/>
        <v>67.7</v>
      </c>
      <c r="AJ37" s="12">
        <f t="shared" si="4"/>
        <v>66.400000000000006</v>
      </c>
      <c r="AK37" s="12">
        <f t="shared" si="5"/>
        <v>63.3</v>
      </c>
      <c r="AL37" s="12">
        <f t="shared" si="6"/>
        <v>46.5</v>
      </c>
    </row>
    <row r="38" spans="1:38" ht="15.75" customHeight="1" x14ac:dyDescent="0.25">
      <c r="A38" s="1" t="s">
        <v>127</v>
      </c>
      <c r="B38" s="7" t="s">
        <v>119</v>
      </c>
      <c r="C38" s="4" t="s">
        <v>8</v>
      </c>
      <c r="D38" s="4">
        <v>7</v>
      </c>
      <c r="E38" s="4">
        <v>191</v>
      </c>
      <c r="F38" s="4">
        <v>7</v>
      </c>
      <c r="G38" s="4">
        <v>0</v>
      </c>
      <c r="H38" s="4">
        <v>27.3</v>
      </c>
      <c r="I38" s="4">
        <v>2.6</v>
      </c>
      <c r="J38" s="4">
        <v>8</v>
      </c>
      <c r="K38" s="4">
        <v>0.32100000000000001</v>
      </c>
      <c r="L38" s="4">
        <v>1.6</v>
      </c>
      <c r="M38" s="4">
        <v>5.7</v>
      </c>
      <c r="N38" s="4">
        <v>0.27500000000000002</v>
      </c>
      <c r="O38" s="4">
        <v>1</v>
      </c>
      <c r="P38" s="4">
        <v>2.2999999999999998</v>
      </c>
      <c r="Q38" s="4">
        <v>0.438</v>
      </c>
      <c r="R38" s="4">
        <v>0.6</v>
      </c>
      <c r="S38" s="4">
        <v>1.1000000000000001</v>
      </c>
      <c r="T38" s="4">
        <v>0.5</v>
      </c>
      <c r="U38" s="4">
        <v>0</v>
      </c>
      <c r="V38" s="4">
        <v>2.6</v>
      </c>
      <c r="W38" s="4">
        <v>1.6</v>
      </c>
      <c r="X38" s="4">
        <v>0.6</v>
      </c>
      <c r="Y38" s="4">
        <v>0.4</v>
      </c>
      <c r="Z38" s="4">
        <v>0.9</v>
      </c>
      <c r="AA38" s="4">
        <v>2.4</v>
      </c>
      <c r="AB38" s="4">
        <v>7.3</v>
      </c>
      <c r="AC38" s="10">
        <f t="shared" si="0"/>
        <v>0.77791986359761289</v>
      </c>
      <c r="AD38" s="10">
        <f t="shared" si="1"/>
        <v>0.16666666666666669</v>
      </c>
      <c r="AE38" s="12">
        <f>100*(AC38/TOTAL_BASIC!$D$302)</f>
        <v>81.732936544962328</v>
      </c>
      <c r="AF38" s="9"/>
      <c r="AG38" s="9"/>
      <c r="AH38" s="12">
        <f t="shared" si="2"/>
        <v>55.2</v>
      </c>
      <c r="AI38" s="12">
        <f t="shared" si="3"/>
        <v>17.299999999999997</v>
      </c>
      <c r="AJ38" s="12">
        <f t="shared" si="4"/>
        <v>44.7</v>
      </c>
      <c r="AK38" s="12">
        <f t="shared" si="5"/>
        <v>75.7</v>
      </c>
      <c r="AL38" s="12">
        <f t="shared" si="6"/>
        <v>9.9</v>
      </c>
    </row>
    <row r="39" spans="1:38" ht="15.75" customHeight="1" x14ac:dyDescent="0.25">
      <c r="A39" s="1" t="s">
        <v>152</v>
      </c>
      <c r="B39" s="7" t="s">
        <v>95</v>
      </c>
      <c r="C39" s="4" t="s">
        <v>8</v>
      </c>
      <c r="D39" s="4">
        <v>8</v>
      </c>
      <c r="E39" s="4">
        <v>191</v>
      </c>
      <c r="F39" s="4">
        <v>8</v>
      </c>
      <c r="G39" s="4">
        <v>6</v>
      </c>
      <c r="H39" s="4">
        <v>23.9</v>
      </c>
      <c r="I39" s="4">
        <v>3.9</v>
      </c>
      <c r="J39" s="4">
        <v>8.9</v>
      </c>
      <c r="K39" s="4">
        <v>0.437</v>
      </c>
      <c r="L39" s="4">
        <v>2.9</v>
      </c>
      <c r="M39" s="4">
        <v>5.5</v>
      </c>
      <c r="N39" s="4">
        <v>0.52300000000000002</v>
      </c>
      <c r="O39" s="4">
        <v>1</v>
      </c>
      <c r="P39" s="4">
        <v>3.4</v>
      </c>
      <c r="Q39" s="4">
        <v>0.29599999999999999</v>
      </c>
      <c r="R39" s="4">
        <v>3.4</v>
      </c>
      <c r="S39" s="4">
        <v>3.8</v>
      </c>
      <c r="T39" s="4">
        <v>0.9</v>
      </c>
      <c r="U39" s="4">
        <v>0.6</v>
      </c>
      <c r="V39" s="4">
        <v>1.1000000000000001</v>
      </c>
      <c r="W39" s="4">
        <v>1.9</v>
      </c>
      <c r="X39" s="4">
        <v>0.8</v>
      </c>
      <c r="Y39" s="4">
        <v>0</v>
      </c>
      <c r="Z39" s="4">
        <v>2</v>
      </c>
      <c r="AA39" s="4">
        <v>3</v>
      </c>
      <c r="AB39" s="4">
        <v>14</v>
      </c>
      <c r="AC39" s="10">
        <f t="shared" si="0"/>
        <v>1.1135857461024499</v>
      </c>
      <c r="AD39" s="10">
        <f t="shared" si="1"/>
        <v>0</v>
      </c>
      <c r="AE39" s="12">
        <f>100*(AC39/TOTAL_BASIC!$D$302)</f>
        <v>117.00001167555398</v>
      </c>
      <c r="AF39" s="9"/>
      <c r="AG39" s="9"/>
      <c r="AH39" s="12">
        <f t="shared" si="2"/>
        <v>0</v>
      </c>
      <c r="AI39" s="12">
        <f t="shared" si="3"/>
        <v>86.9</v>
      </c>
      <c r="AJ39" s="12">
        <f t="shared" si="4"/>
        <v>80.7</v>
      </c>
      <c r="AK39" s="12">
        <f t="shared" si="5"/>
        <v>60.8</v>
      </c>
      <c r="AL39" s="12">
        <f t="shared" si="6"/>
        <v>75.099999999999994</v>
      </c>
    </row>
    <row r="40" spans="1:38" ht="15.75" customHeight="1" x14ac:dyDescent="0.25">
      <c r="A40" s="1" t="s">
        <v>146</v>
      </c>
      <c r="B40" s="7" t="s">
        <v>130</v>
      </c>
      <c r="C40" s="4" t="s">
        <v>87</v>
      </c>
      <c r="D40" s="4">
        <v>6</v>
      </c>
      <c r="E40" s="4">
        <v>189</v>
      </c>
      <c r="F40" s="4">
        <v>6</v>
      </c>
      <c r="G40" s="4">
        <v>6</v>
      </c>
      <c r="H40" s="4">
        <v>31.5</v>
      </c>
      <c r="I40" s="4">
        <v>3.3</v>
      </c>
      <c r="J40" s="4">
        <v>7.7</v>
      </c>
      <c r="K40" s="4">
        <v>0.435</v>
      </c>
      <c r="L40" s="4">
        <v>0.5</v>
      </c>
      <c r="M40" s="4">
        <v>3.2</v>
      </c>
      <c r="N40" s="4">
        <v>0.158</v>
      </c>
      <c r="O40" s="4">
        <v>2.8</v>
      </c>
      <c r="P40" s="4">
        <v>4.5</v>
      </c>
      <c r="Q40" s="4">
        <v>0.63</v>
      </c>
      <c r="R40" s="4">
        <v>0.7</v>
      </c>
      <c r="S40" s="4">
        <v>1.5</v>
      </c>
      <c r="T40" s="4">
        <v>0.44400000000000001</v>
      </c>
      <c r="U40" s="4">
        <v>1.5</v>
      </c>
      <c r="V40" s="4">
        <v>5</v>
      </c>
      <c r="W40" s="4">
        <v>1</v>
      </c>
      <c r="X40" s="4">
        <v>0.3</v>
      </c>
      <c r="Y40" s="4">
        <v>0</v>
      </c>
      <c r="Z40" s="4">
        <v>1.5</v>
      </c>
      <c r="AA40" s="4">
        <v>1.8</v>
      </c>
      <c r="AB40" s="4">
        <v>7.8</v>
      </c>
      <c r="AC40" s="10">
        <f t="shared" si="0"/>
        <v>0.79107505070993922</v>
      </c>
      <c r="AD40" s="10">
        <f t="shared" si="1"/>
        <v>0</v>
      </c>
      <c r="AE40" s="12">
        <f>100*(AC40/TOTAL_BASIC!$D$302)</f>
        <v>83.115099572033515</v>
      </c>
      <c r="AF40" s="9"/>
      <c r="AG40" s="9"/>
      <c r="AH40" s="12">
        <f t="shared" si="2"/>
        <v>0</v>
      </c>
      <c r="AI40" s="12">
        <f t="shared" si="3"/>
        <v>19.2</v>
      </c>
      <c r="AJ40" s="12">
        <f t="shared" si="4"/>
        <v>49.6</v>
      </c>
      <c r="AK40" s="12">
        <f t="shared" si="5"/>
        <v>91.9</v>
      </c>
      <c r="AL40" s="12">
        <f t="shared" si="6"/>
        <v>8</v>
      </c>
    </row>
    <row r="41" spans="1:38" ht="15.75" customHeight="1" x14ac:dyDescent="0.25">
      <c r="A41" s="1" t="s">
        <v>122</v>
      </c>
      <c r="B41" s="7" t="s">
        <v>98</v>
      </c>
      <c r="C41" s="4" t="s">
        <v>87</v>
      </c>
      <c r="D41" s="4">
        <v>7</v>
      </c>
      <c r="E41" s="4">
        <v>187</v>
      </c>
      <c r="F41" s="4">
        <v>7</v>
      </c>
      <c r="G41" s="4">
        <v>7</v>
      </c>
      <c r="H41" s="4">
        <v>26.7</v>
      </c>
      <c r="I41" s="4">
        <v>3.6</v>
      </c>
      <c r="J41" s="4">
        <v>6.6</v>
      </c>
      <c r="K41" s="4">
        <v>0.54300000000000004</v>
      </c>
      <c r="L41" s="4">
        <v>1.4</v>
      </c>
      <c r="M41" s="4">
        <v>3.6</v>
      </c>
      <c r="N41" s="4">
        <v>0.4</v>
      </c>
      <c r="O41" s="4">
        <v>2.1</v>
      </c>
      <c r="P41" s="4">
        <v>3</v>
      </c>
      <c r="Q41" s="4">
        <v>0.71399999999999997</v>
      </c>
      <c r="R41" s="4">
        <v>0.1</v>
      </c>
      <c r="S41" s="4">
        <v>0.1</v>
      </c>
      <c r="T41" s="4">
        <v>1</v>
      </c>
      <c r="U41" s="4">
        <v>0.6</v>
      </c>
      <c r="V41" s="4">
        <v>5.6</v>
      </c>
      <c r="W41" s="4">
        <v>1.3</v>
      </c>
      <c r="X41" s="4">
        <v>0.6</v>
      </c>
      <c r="Y41" s="4">
        <v>1.1000000000000001</v>
      </c>
      <c r="Z41" s="4">
        <v>1.1000000000000001</v>
      </c>
      <c r="AA41" s="4">
        <v>3.3</v>
      </c>
      <c r="AB41" s="4">
        <v>8.6999999999999993</v>
      </c>
      <c r="AC41" s="10">
        <f t="shared" si="0"/>
        <v>1.1234504132231404</v>
      </c>
      <c r="AD41" s="10">
        <f t="shared" si="1"/>
        <v>0.33333333333333337</v>
      </c>
      <c r="AE41" s="12">
        <f>100*(AC41/TOTAL_BASIC!$D$302)</f>
        <v>118.036452894684</v>
      </c>
      <c r="AF41" s="9"/>
      <c r="AG41" s="9"/>
      <c r="AH41" s="12">
        <f t="shared" si="2"/>
        <v>80.100000000000009</v>
      </c>
      <c r="AI41" s="12">
        <f t="shared" si="3"/>
        <v>89.4</v>
      </c>
      <c r="AJ41" s="12">
        <f t="shared" si="4"/>
        <v>58.3</v>
      </c>
      <c r="AK41" s="12">
        <f t="shared" si="5"/>
        <v>71.399999999999991</v>
      </c>
      <c r="AL41" s="12">
        <f t="shared" si="6"/>
        <v>84.399999999999991</v>
      </c>
    </row>
    <row r="42" spans="1:38" ht="15.75" customHeight="1" x14ac:dyDescent="0.25">
      <c r="A42" s="1" t="s">
        <v>153</v>
      </c>
      <c r="B42" s="7" t="s">
        <v>130</v>
      </c>
      <c r="C42" s="4" t="s">
        <v>87</v>
      </c>
      <c r="D42" s="4">
        <v>6</v>
      </c>
      <c r="E42" s="4">
        <v>187</v>
      </c>
      <c r="F42" s="4">
        <v>6</v>
      </c>
      <c r="G42" s="4">
        <v>6</v>
      </c>
      <c r="H42" s="4">
        <v>31.2</v>
      </c>
      <c r="I42" s="4">
        <v>4.2</v>
      </c>
      <c r="J42" s="4">
        <v>10.3</v>
      </c>
      <c r="K42" s="4">
        <v>0.40300000000000002</v>
      </c>
      <c r="L42" s="4">
        <v>0</v>
      </c>
      <c r="M42" s="4">
        <v>0.8</v>
      </c>
      <c r="N42" s="4">
        <v>0</v>
      </c>
      <c r="O42" s="4">
        <v>4.2</v>
      </c>
      <c r="P42" s="4">
        <v>9.5</v>
      </c>
      <c r="Q42" s="4">
        <v>0.439</v>
      </c>
      <c r="R42" s="4">
        <v>4</v>
      </c>
      <c r="S42" s="4">
        <v>5.7</v>
      </c>
      <c r="T42" s="4">
        <v>0.70599999999999996</v>
      </c>
      <c r="U42" s="4">
        <v>5.5</v>
      </c>
      <c r="V42" s="4">
        <v>10.8</v>
      </c>
      <c r="W42" s="4">
        <v>3</v>
      </c>
      <c r="X42" s="4">
        <v>1.3</v>
      </c>
      <c r="Y42" s="4">
        <v>1</v>
      </c>
      <c r="Z42" s="4">
        <v>4.3</v>
      </c>
      <c r="AA42" s="4">
        <v>3.3</v>
      </c>
      <c r="AB42" s="4">
        <v>12.3</v>
      </c>
      <c r="AC42" s="10">
        <f t="shared" si="0"/>
        <v>0.7189618891746552</v>
      </c>
      <c r="AD42" s="10">
        <f t="shared" si="1"/>
        <v>0.30303030303030304</v>
      </c>
      <c r="AE42" s="12">
        <f>100*(AC42/TOTAL_BASIC!$D$302)</f>
        <v>75.538457386086279</v>
      </c>
      <c r="AF42" s="9"/>
      <c r="AG42" s="9"/>
      <c r="AH42" s="12">
        <f t="shared" si="2"/>
        <v>75.099999999999994</v>
      </c>
      <c r="AI42" s="12">
        <f t="shared" si="3"/>
        <v>11.1</v>
      </c>
      <c r="AJ42" s="12">
        <f t="shared" si="4"/>
        <v>73.900000000000006</v>
      </c>
      <c r="AK42" s="12">
        <f t="shared" si="5"/>
        <v>91.3</v>
      </c>
      <c r="AL42" s="12">
        <f t="shared" si="6"/>
        <v>31.6</v>
      </c>
    </row>
    <row r="43" spans="1:38" ht="15.75" customHeight="1" x14ac:dyDescent="0.25">
      <c r="A43" s="1" t="s">
        <v>195</v>
      </c>
      <c r="B43" s="7" t="s">
        <v>164</v>
      </c>
      <c r="C43" s="4" t="s">
        <v>87</v>
      </c>
      <c r="D43" s="4">
        <v>8</v>
      </c>
      <c r="E43" s="4">
        <v>186</v>
      </c>
      <c r="F43" s="4">
        <v>8</v>
      </c>
      <c r="G43" s="4">
        <v>2</v>
      </c>
      <c r="H43" s="4">
        <v>23.3</v>
      </c>
      <c r="I43" s="4">
        <v>2.4</v>
      </c>
      <c r="J43" s="4">
        <v>7.9</v>
      </c>
      <c r="K43" s="4">
        <v>0.30199999999999999</v>
      </c>
      <c r="L43" s="4">
        <v>1.5</v>
      </c>
      <c r="M43" s="4">
        <v>4.5999999999999996</v>
      </c>
      <c r="N43" s="4">
        <v>0.32400000000000001</v>
      </c>
      <c r="O43" s="4">
        <v>0.9</v>
      </c>
      <c r="P43" s="4">
        <v>3.3</v>
      </c>
      <c r="Q43" s="4">
        <v>0.26900000000000002</v>
      </c>
      <c r="R43" s="4">
        <v>0.5</v>
      </c>
      <c r="S43" s="4">
        <v>0.6</v>
      </c>
      <c r="T43" s="4">
        <v>0.8</v>
      </c>
      <c r="U43" s="4">
        <v>1.3</v>
      </c>
      <c r="V43" s="4">
        <v>3.6</v>
      </c>
      <c r="W43" s="4">
        <v>0.9</v>
      </c>
      <c r="X43" s="4">
        <v>0.3</v>
      </c>
      <c r="Y43" s="4">
        <v>0.1</v>
      </c>
      <c r="Z43" s="4">
        <v>1.1000000000000001</v>
      </c>
      <c r="AA43" s="4">
        <v>2.4</v>
      </c>
      <c r="AB43" s="4">
        <v>6.8</v>
      </c>
      <c r="AC43" s="10">
        <f t="shared" si="0"/>
        <v>0.73402417962003452</v>
      </c>
      <c r="AD43" s="10">
        <f t="shared" si="1"/>
        <v>4.1666666666666671E-2</v>
      </c>
      <c r="AE43" s="12">
        <f>100*(AC43/TOTAL_BASIC!$D$302)</f>
        <v>77.120992151943312</v>
      </c>
      <c r="AF43" s="9"/>
      <c r="AG43" s="9"/>
      <c r="AH43" s="12">
        <f t="shared" si="2"/>
        <v>31</v>
      </c>
      <c r="AI43" s="12">
        <f t="shared" si="3"/>
        <v>14.899999999999999</v>
      </c>
      <c r="AJ43" s="12">
        <f t="shared" si="4"/>
        <v>41.6</v>
      </c>
      <c r="AK43" s="12">
        <f t="shared" si="5"/>
        <v>57.699999999999996</v>
      </c>
      <c r="AL43" s="12">
        <f t="shared" si="6"/>
        <v>49</v>
      </c>
    </row>
    <row r="44" spans="1:38" ht="15.75" customHeight="1" x14ac:dyDescent="0.25">
      <c r="A44" s="1" t="s">
        <v>172</v>
      </c>
      <c r="B44" s="7" t="s">
        <v>139</v>
      </c>
      <c r="C44" s="4" t="s">
        <v>87</v>
      </c>
      <c r="D44" s="4">
        <v>6</v>
      </c>
      <c r="E44" s="4">
        <v>185</v>
      </c>
      <c r="F44" s="4">
        <v>6</v>
      </c>
      <c r="G44" s="4">
        <v>6</v>
      </c>
      <c r="H44" s="4">
        <v>30.8</v>
      </c>
      <c r="I44" s="4">
        <v>6.3</v>
      </c>
      <c r="J44" s="4">
        <v>10.5</v>
      </c>
      <c r="K44" s="4">
        <v>0.60299999999999998</v>
      </c>
      <c r="L44" s="4">
        <v>0.7</v>
      </c>
      <c r="M44" s="4">
        <v>1.5</v>
      </c>
      <c r="N44" s="4">
        <v>0.44400000000000001</v>
      </c>
      <c r="O44" s="4">
        <v>5.7</v>
      </c>
      <c r="P44" s="4">
        <v>9</v>
      </c>
      <c r="Q44" s="4">
        <v>0.63</v>
      </c>
      <c r="R44" s="4">
        <v>5.2</v>
      </c>
      <c r="S44" s="4">
        <v>6.5</v>
      </c>
      <c r="T44" s="4">
        <v>0.79500000000000004</v>
      </c>
      <c r="U44" s="4">
        <v>2.2000000000000002</v>
      </c>
      <c r="V44" s="4">
        <v>8.1999999999999993</v>
      </c>
      <c r="W44" s="4">
        <v>2.7</v>
      </c>
      <c r="X44" s="4">
        <v>1.2</v>
      </c>
      <c r="Y44" s="4">
        <v>0</v>
      </c>
      <c r="Z44" s="4">
        <v>2.2000000000000002</v>
      </c>
      <c r="AA44" s="4">
        <v>3.7</v>
      </c>
      <c r="AB44" s="4">
        <v>18.5</v>
      </c>
      <c r="AC44" s="10">
        <f t="shared" si="0"/>
        <v>1.1889460154241647</v>
      </c>
      <c r="AD44" s="10">
        <f t="shared" si="1"/>
        <v>0</v>
      </c>
      <c r="AE44" s="12">
        <f>100*(AC44/TOTAL_BASIC!$D$302)</f>
        <v>124.91781452223513</v>
      </c>
      <c r="AF44" s="9"/>
      <c r="AG44" s="9"/>
      <c r="AH44" s="12">
        <f t="shared" si="2"/>
        <v>0</v>
      </c>
      <c r="AI44" s="12">
        <f t="shared" si="3"/>
        <v>91.9</v>
      </c>
      <c r="AJ44" s="12">
        <f t="shared" si="4"/>
        <v>93.100000000000009</v>
      </c>
      <c r="AK44" s="12">
        <f t="shared" si="5"/>
        <v>87.5</v>
      </c>
      <c r="AL44" s="12">
        <f t="shared" si="6"/>
        <v>48.4</v>
      </c>
    </row>
    <row r="45" spans="1:38" ht="15.75" customHeight="1" x14ac:dyDescent="0.25">
      <c r="A45" s="1" t="s">
        <v>159</v>
      </c>
      <c r="B45" s="7" t="s">
        <v>160</v>
      </c>
      <c r="C45" s="4" t="s">
        <v>8</v>
      </c>
      <c r="D45" s="4">
        <v>6</v>
      </c>
      <c r="E45" s="4">
        <v>184</v>
      </c>
      <c r="F45" s="4">
        <v>6</v>
      </c>
      <c r="G45" s="4">
        <v>6</v>
      </c>
      <c r="H45" s="4">
        <v>30.7</v>
      </c>
      <c r="I45" s="4">
        <v>6.8</v>
      </c>
      <c r="J45" s="4">
        <v>16.7</v>
      </c>
      <c r="K45" s="4">
        <v>0.41</v>
      </c>
      <c r="L45" s="4">
        <v>3</v>
      </c>
      <c r="M45" s="4">
        <v>8.6999999999999993</v>
      </c>
      <c r="N45" s="4">
        <v>0.34599999999999997</v>
      </c>
      <c r="O45" s="4">
        <v>3.8</v>
      </c>
      <c r="P45" s="4">
        <v>8</v>
      </c>
      <c r="Q45" s="4">
        <v>0.47899999999999998</v>
      </c>
      <c r="R45" s="4">
        <v>5.8</v>
      </c>
      <c r="S45" s="4">
        <v>6</v>
      </c>
      <c r="T45" s="4">
        <v>0.97199999999999998</v>
      </c>
      <c r="U45" s="4">
        <v>0.2</v>
      </c>
      <c r="V45" s="4">
        <v>4.3</v>
      </c>
      <c r="W45" s="4">
        <v>8.5</v>
      </c>
      <c r="X45" s="4">
        <v>1.3</v>
      </c>
      <c r="Y45" s="4">
        <v>1</v>
      </c>
      <c r="Z45" s="4">
        <v>5.2</v>
      </c>
      <c r="AA45" s="4">
        <v>3.5</v>
      </c>
      <c r="AB45" s="4">
        <v>22.5</v>
      </c>
      <c r="AC45" s="10">
        <f t="shared" si="0"/>
        <v>0.91687041564792182</v>
      </c>
      <c r="AD45" s="10">
        <f t="shared" si="1"/>
        <v>0.2857142857142857</v>
      </c>
      <c r="AE45" s="12">
        <f>100*(AC45/TOTAL_BASIC!$D$302)</f>
        <v>96.331916703527639</v>
      </c>
      <c r="AF45" s="9"/>
      <c r="AG45" s="9"/>
      <c r="AH45" s="12">
        <f t="shared" si="2"/>
        <v>72.599999999999994</v>
      </c>
      <c r="AI45" s="12">
        <f t="shared" si="3"/>
        <v>39.1</v>
      </c>
      <c r="AJ45" s="12">
        <f t="shared" si="4"/>
        <v>98.7</v>
      </c>
      <c r="AK45" s="12">
        <f t="shared" si="5"/>
        <v>86.9</v>
      </c>
      <c r="AL45" s="12">
        <f t="shared" si="6"/>
        <v>83.8</v>
      </c>
    </row>
    <row r="46" spans="1:38" ht="15.75" customHeight="1" x14ac:dyDescent="0.25">
      <c r="A46" s="1" t="s">
        <v>150</v>
      </c>
      <c r="B46" s="7" t="s">
        <v>244</v>
      </c>
      <c r="C46" s="4" t="s">
        <v>87</v>
      </c>
      <c r="D46" s="4">
        <v>8</v>
      </c>
      <c r="E46" s="4">
        <v>184</v>
      </c>
      <c r="F46" s="4">
        <v>8</v>
      </c>
      <c r="G46" s="4">
        <v>8</v>
      </c>
      <c r="H46" s="4">
        <v>23</v>
      </c>
      <c r="I46" s="4">
        <v>3</v>
      </c>
      <c r="J46" s="4">
        <v>6.5</v>
      </c>
      <c r="K46" s="4">
        <v>0.46200000000000002</v>
      </c>
      <c r="L46" s="4">
        <v>1.1000000000000001</v>
      </c>
      <c r="M46" s="4">
        <v>2.9</v>
      </c>
      <c r="N46" s="4">
        <v>0.39100000000000001</v>
      </c>
      <c r="O46" s="4">
        <v>1.9</v>
      </c>
      <c r="P46" s="4">
        <v>3.6</v>
      </c>
      <c r="Q46" s="4">
        <v>0.51700000000000002</v>
      </c>
      <c r="R46" s="4">
        <v>1.5</v>
      </c>
      <c r="S46" s="4">
        <v>1.8</v>
      </c>
      <c r="T46" s="4">
        <v>0.85699999999999998</v>
      </c>
      <c r="U46" s="4">
        <v>0.5</v>
      </c>
      <c r="V46" s="4">
        <v>3.4</v>
      </c>
      <c r="W46" s="4">
        <v>1.1000000000000001</v>
      </c>
      <c r="X46" s="4">
        <v>1.4</v>
      </c>
      <c r="Y46" s="4">
        <v>2.2999999999999998</v>
      </c>
      <c r="Z46" s="4">
        <v>2</v>
      </c>
      <c r="AA46" s="4">
        <v>2.6</v>
      </c>
      <c r="AB46" s="4">
        <v>8.6</v>
      </c>
      <c r="AC46" s="10">
        <f t="shared" si="0"/>
        <v>0.92552733534222986</v>
      </c>
      <c r="AD46" s="10">
        <f t="shared" si="1"/>
        <v>0.88461538461538447</v>
      </c>
      <c r="AE46" s="12">
        <f>100*(AC46/TOTAL_BASIC!$D$302)</f>
        <v>97.241464718894562</v>
      </c>
      <c r="AF46" s="9"/>
      <c r="AG46" s="9"/>
      <c r="AH46" s="12">
        <f t="shared" si="2"/>
        <v>96.8</v>
      </c>
      <c r="AI46" s="12">
        <f t="shared" si="3"/>
        <v>43.4</v>
      </c>
      <c r="AJ46" s="12">
        <f t="shared" si="4"/>
        <v>57.699999999999996</v>
      </c>
      <c r="AK46" s="12">
        <f t="shared" si="5"/>
        <v>56.499999999999993</v>
      </c>
      <c r="AL46" s="12">
        <f t="shared" si="6"/>
        <v>65.8</v>
      </c>
    </row>
    <row r="47" spans="1:38" ht="15.75" customHeight="1" x14ac:dyDescent="0.25">
      <c r="A47" s="1" t="s">
        <v>169</v>
      </c>
      <c r="B47" s="7" t="s">
        <v>130</v>
      </c>
      <c r="C47" s="4" t="s">
        <v>8</v>
      </c>
      <c r="D47" s="4">
        <v>6</v>
      </c>
      <c r="E47" s="4">
        <v>182</v>
      </c>
      <c r="F47" s="4">
        <v>6</v>
      </c>
      <c r="G47" s="4">
        <v>6</v>
      </c>
      <c r="H47" s="4">
        <v>30.3</v>
      </c>
      <c r="I47" s="4">
        <v>4.3</v>
      </c>
      <c r="J47" s="4">
        <v>8.8000000000000007</v>
      </c>
      <c r="K47" s="4">
        <v>0.49099999999999999</v>
      </c>
      <c r="L47" s="4">
        <v>1</v>
      </c>
      <c r="M47" s="4">
        <v>3.2</v>
      </c>
      <c r="N47" s="4">
        <v>0.316</v>
      </c>
      <c r="O47" s="4">
        <v>3.3</v>
      </c>
      <c r="P47" s="4">
        <v>5.7</v>
      </c>
      <c r="Q47" s="4">
        <v>0.58799999999999997</v>
      </c>
      <c r="R47" s="4">
        <v>2.2000000000000002</v>
      </c>
      <c r="S47" s="4">
        <v>2.7</v>
      </c>
      <c r="T47" s="4">
        <v>0.81299999999999994</v>
      </c>
      <c r="U47" s="4">
        <v>0.5</v>
      </c>
      <c r="V47" s="4">
        <v>4.2</v>
      </c>
      <c r="W47" s="4">
        <v>6.8</v>
      </c>
      <c r="X47" s="4">
        <v>2.2999999999999998</v>
      </c>
      <c r="Y47" s="4">
        <v>0.2</v>
      </c>
      <c r="Z47" s="4">
        <v>2.2000000000000002</v>
      </c>
      <c r="AA47" s="4">
        <v>2</v>
      </c>
      <c r="AB47" s="4">
        <v>11.8</v>
      </c>
      <c r="AC47" s="10">
        <f t="shared" si="0"/>
        <v>0.96816540859862144</v>
      </c>
      <c r="AD47" s="10">
        <f t="shared" si="1"/>
        <v>0.1</v>
      </c>
      <c r="AE47" s="12">
        <f>100*(AC47/TOTAL_BASIC!$D$302)</f>
        <v>101.72127697069577</v>
      </c>
      <c r="AF47" s="9"/>
      <c r="AG47" s="9"/>
      <c r="AH47" s="12">
        <f t="shared" si="2"/>
        <v>41.6</v>
      </c>
      <c r="AI47" s="12">
        <f t="shared" si="3"/>
        <v>54</v>
      </c>
      <c r="AJ47" s="12">
        <f t="shared" si="4"/>
        <v>72.599999999999994</v>
      </c>
      <c r="AK47" s="12">
        <f t="shared" si="5"/>
        <v>86.3</v>
      </c>
      <c r="AL47" s="12">
        <f t="shared" si="6"/>
        <v>52.1</v>
      </c>
    </row>
    <row r="48" spans="1:38" ht="15.75" customHeight="1" x14ac:dyDescent="0.25">
      <c r="A48" s="1" t="s">
        <v>154</v>
      </c>
      <c r="B48" s="7" t="s">
        <v>133</v>
      </c>
      <c r="C48" s="4" t="s">
        <v>8</v>
      </c>
      <c r="D48" s="4">
        <v>7</v>
      </c>
      <c r="E48" s="4">
        <v>182</v>
      </c>
      <c r="F48" s="4">
        <v>7</v>
      </c>
      <c r="G48" s="4">
        <v>7</v>
      </c>
      <c r="H48" s="4">
        <v>26</v>
      </c>
      <c r="I48" s="4">
        <v>2.7</v>
      </c>
      <c r="J48" s="4">
        <v>6.3</v>
      </c>
      <c r="K48" s="4">
        <v>0.432</v>
      </c>
      <c r="L48" s="4">
        <v>0.9</v>
      </c>
      <c r="M48" s="4">
        <v>3.1</v>
      </c>
      <c r="N48" s="4">
        <v>0.27300000000000002</v>
      </c>
      <c r="O48" s="4">
        <v>1.9</v>
      </c>
      <c r="P48" s="4">
        <v>3.1</v>
      </c>
      <c r="Q48" s="4">
        <v>0.59099999999999997</v>
      </c>
      <c r="R48" s="4">
        <v>1.4</v>
      </c>
      <c r="S48" s="4">
        <v>1.4</v>
      </c>
      <c r="T48" s="4">
        <v>1</v>
      </c>
      <c r="U48" s="4">
        <v>0.1</v>
      </c>
      <c r="V48" s="4">
        <v>1.9</v>
      </c>
      <c r="W48" s="4">
        <v>2.1</v>
      </c>
      <c r="X48" s="4">
        <v>1.4</v>
      </c>
      <c r="Y48" s="4">
        <v>0.6</v>
      </c>
      <c r="Z48" s="4">
        <v>0.6</v>
      </c>
      <c r="AA48" s="4">
        <v>3</v>
      </c>
      <c r="AB48" s="4">
        <v>7.7</v>
      </c>
      <c r="AC48" s="10">
        <f t="shared" si="0"/>
        <v>1.0244811069717936</v>
      </c>
      <c r="AD48" s="10">
        <f t="shared" si="1"/>
        <v>0.19999999999999998</v>
      </c>
      <c r="AE48" s="12">
        <f>100*(AC48/TOTAL_BASIC!$D$302)</f>
        <v>107.63814272642172</v>
      </c>
      <c r="AF48" s="9"/>
      <c r="AG48" s="9"/>
      <c r="AH48" s="12">
        <f t="shared" si="2"/>
        <v>60.8</v>
      </c>
      <c r="AI48" s="12">
        <f t="shared" si="3"/>
        <v>70.099999999999994</v>
      </c>
      <c r="AJ48" s="12">
        <f t="shared" si="4"/>
        <v>49</v>
      </c>
      <c r="AK48" s="12">
        <f t="shared" si="5"/>
        <v>69.5</v>
      </c>
      <c r="AL48" s="12">
        <f t="shared" si="6"/>
        <v>84.399999999999991</v>
      </c>
    </row>
    <row r="49" spans="1:38" ht="15.75" customHeight="1" x14ac:dyDescent="0.25">
      <c r="A49" s="1" t="s">
        <v>149</v>
      </c>
      <c r="B49" s="7" t="s">
        <v>133</v>
      </c>
      <c r="C49" s="4" t="s">
        <v>8</v>
      </c>
      <c r="D49" s="4">
        <v>6</v>
      </c>
      <c r="E49" s="4">
        <v>181</v>
      </c>
      <c r="F49" s="4">
        <v>6</v>
      </c>
      <c r="G49" s="4">
        <v>6</v>
      </c>
      <c r="H49" s="4">
        <v>30.2</v>
      </c>
      <c r="I49" s="4">
        <v>5.2</v>
      </c>
      <c r="J49" s="4">
        <v>12.5</v>
      </c>
      <c r="K49" s="4">
        <v>0.41299999999999998</v>
      </c>
      <c r="L49" s="4">
        <v>1</v>
      </c>
      <c r="M49" s="4">
        <v>3.7</v>
      </c>
      <c r="N49" s="4">
        <v>0.27300000000000002</v>
      </c>
      <c r="O49" s="4">
        <v>4.2</v>
      </c>
      <c r="P49" s="4">
        <v>8.8000000000000007</v>
      </c>
      <c r="Q49" s="4">
        <v>0.47199999999999998</v>
      </c>
      <c r="R49" s="4">
        <v>3.2</v>
      </c>
      <c r="S49" s="4">
        <v>4.5</v>
      </c>
      <c r="T49" s="4">
        <v>0.70399999999999996</v>
      </c>
      <c r="U49" s="4">
        <v>0.8</v>
      </c>
      <c r="V49" s="4">
        <v>4.5</v>
      </c>
      <c r="W49" s="4">
        <v>6</v>
      </c>
      <c r="X49" s="4">
        <v>1</v>
      </c>
      <c r="Y49" s="4">
        <v>1.2</v>
      </c>
      <c r="Z49" s="4">
        <v>1.2</v>
      </c>
      <c r="AA49" s="4">
        <v>2.5</v>
      </c>
      <c r="AB49" s="4">
        <v>14.5</v>
      </c>
      <c r="AC49" s="10">
        <f t="shared" si="0"/>
        <v>0.92474489795918369</v>
      </c>
      <c r="AD49" s="10">
        <f t="shared" si="1"/>
        <v>0.48</v>
      </c>
      <c r="AE49" s="12">
        <f>100*(AC49/TOTAL_BASIC!$D$302)</f>
        <v>97.159257144603856</v>
      </c>
      <c r="AF49" s="9"/>
      <c r="AG49" s="9"/>
      <c r="AH49" s="12">
        <f t="shared" si="2"/>
        <v>87.5</v>
      </c>
      <c r="AI49" s="12">
        <f t="shared" si="3"/>
        <v>42.8</v>
      </c>
      <c r="AJ49" s="12">
        <f t="shared" si="4"/>
        <v>81.899999999999991</v>
      </c>
      <c r="AK49" s="12">
        <f t="shared" si="5"/>
        <v>85.7</v>
      </c>
      <c r="AL49" s="12">
        <f t="shared" si="6"/>
        <v>31</v>
      </c>
    </row>
    <row r="50" spans="1:38" ht="15.75" customHeight="1" x14ac:dyDescent="0.25">
      <c r="A50" s="1" t="s">
        <v>207</v>
      </c>
      <c r="B50" s="7" t="s">
        <v>101</v>
      </c>
      <c r="C50" s="4" t="s">
        <v>8</v>
      </c>
      <c r="D50" s="4">
        <v>7</v>
      </c>
      <c r="E50" s="4">
        <v>181</v>
      </c>
      <c r="F50" s="4">
        <v>7</v>
      </c>
      <c r="G50" s="4">
        <v>1</v>
      </c>
      <c r="H50" s="4">
        <v>25.9</v>
      </c>
      <c r="I50" s="4">
        <v>5.0999999999999996</v>
      </c>
      <c r="J50" s="4">
        <v>9</v>
      </c>
      <c r="K50" s="4">
        <v>0.57099999999999995</v>
      </c>
      <c r="L50" s="4">
        <v>1.9</v>
      </c>
      <c r="M50" s="4">
        <v>4</v>
      </c>
      <c r="N50" s="4">
        <v>0.46400000000000002</v>
      </c>
      <c r="O50" s="4">
        <v>3.3</v>
      </c>
      <c r="P50" s="4">
        <v>5</v>
      </c>
      <c r="Q50" s="4">
        <v>0.65700000000000003</v>
      </c>
      <c r="R50" s="4">
        <v>0.4</v>
      </c>
      <c r="S50" s="4">
        <v>0.6</v>
      </c>
      <c r="T50" s="4">
        <v>0.75</v>
      </c>
      <c r="U50" s="4">
        <v>0.4</v>
      </c>
      <c r="V50" s="4">
        <v>1.4</v>
      </c>
      <c r="W50" s="4">
        <v>1.3</v>
      </c>
      <c r="X50" s="4">
        <v>1.1000000000000001</v>
      </c>
      <c r="Y50" s="4">
        <v>1</v>
      </c>
      <c r="Z50" s="4">
        <v>0.7</v>
      </c>
      <c r="AA50" s="4">
        <v>1.7</v>
      </c>
      <c r="AB50" s="4">
        <v>12.6</v>
      </c>
      <c r="AC50" s="10">
        <f t="shared" si="0"/>
        <v>1.2645523885989565</v>
      </c>
      <c r="AD50" s="10">
        <f t="shared" si="1"/>
        <v>0.58823529411764708</v>
      </c>
      <c r="AE50" s="12">
        <f>100*(AC50/TOTAL_BASIC!$D$302)</f>
        <v>132.86147451892398</v>
      </c>
      <c r="AF50" s="9"/>
      <c r="AG50" s="9"/>
      <c r="AH50" s="12">
        <f t="shared" si="2"/>
        <v>90.600000000000009</v>
      </c>
      <c r="AI50" s="12">
        <f t="shared" si="3"/>
        <v>96.8</v>
      </c>
      <c r="AJ50" s="12">
        <f t="shared" si="4"/>
        <v>75.099999999999994</v>
      </c>
      <c r="AK50" s="12">
        <f t="shared" si="5"/>
        <v>68.899999999999991</v>
      </c>
      <c r="AL50" s="12">
        <f t="shared" si="6"/>
        <v>37.200000000000003</v>
      </c>
    </row>
    <row r="51" spans="1:38" ht="15.75" customHeight="1" x14ac:dyDescent="0.25">
      <c r="A51" s="1" t="s">
        <v>129</v>
      </c>
      <c r="B51" s="7" t="s">
        <v>130</v>
      </c>
      <c r="C51" s="4" t="s">
        <v>8</v>
      </c>
      <c r="D51" s="4">
        <v>5</v>
      </c>
      <c r="E51" s="4">
        <v>180</v>
      </c>
      <c r="F51" s="4">
        <v>5</v>
      </c>
      <c r="G51" s="4">
        <v>5</v>
      </c>
      <c r="H51" s="4">
        <v>36</v>
      </c>
      <c r="I51" s="4">
        <v>5</v>
      </c>
      <c r="J51" s="4">
        <v>13</v>
      </c>
      <c r="K51" s="4">
        <v>0.38500000000000001</v>
      </c>
      <c r="L51" s="4">
        <v>2.8</v>
      </c>
      <c r="M51" s="4">
        <v>7.8</v>
      </c>
      <c r="N51" s="4">
        <v>0.35899999999999999</v>
      </c>
      <c r="O51" s="4">
        <v>2.2000000000000002</v>
      </c>
      <c r="P51" s="4">
        <v>5.2</v>
      </c>
      <c r="Q51" s="4">
        <v>0.42299999999999999</v>
      </c>
      <c r="R51" s="4">
        <v>4.2</v>
      </c>
      <c r="S51" s="4">
        <v>4.5999999999999996</v>
      </c>
      <c r="T51" s="4">
        <v>0.91300000000000003</v>
      </c>
      <c r="U51" s="4">
        <v>1.2</v>
      </c>
      <c r="V51" s="4">
        <v>4.5999999999999996</v>
      </c>
      <c r="W51" s="4">
        <v>4.2</v>
      </c>
      <c r="X51" s="4">
        <v>2</v>
      </c>
      <c r="Y51" s="4">
        <v>1</v>
      </c>
      <c r="Z51" s="4">
        <v>1.8</v>
      </c>
      <c r="AA51" s="4">
        <v>2.8</v>
      </c>
      <c r="AB51" s="4">
        <v>17</v>
      </c>
      <c r="AC51" s="10">
        <f t="shared" si="0"/>
        <v>1.0104612458392772</v>
      </c>
      <c r="AD51" s="10">
        <f t="shared" si="1"/>
        <v>0.35714285714285715</v>
      </c>
      <c r="AE51" s="12">
        <f>100*(AC51/TOTAL_BASIC!$D$302)</f>
        <v>106.16513184967945</v>
      </c>
      <c r="AF51" s="9"/>
      <c r="AG51" s="9"/>
      <c r="AH51" s="12">
        <f t="shared" si="2"/>
        <v>81.3</v>
      </c>
      <c r="AI51" s="12">
        <f t="shared" si="3"/>
        <v>66.400000000000006</v>
      </c>
      <c r="AJ51" s="12">
        <f t="shared" si="4"/>
        <v>90</v>
      </c>
      <c r="AK51" s="12">
        <f t="shared" si="5"/>
        <v>100</v>
      </c>
      <c r="AL51" s="12">
        <f t="shared" si="6"/>
        <v>80.100000000000009</v>
      </c>
    </row>
    <row r="52" spans="1:38" ht="15.75" customHeight="1" x14ac:dyDescent="0.25">
      <c r="A52" s="1" t="s">
        <v>107</v>
      </c>
      <c r="B52" s="7" t="s">
        <v>93</v>
      </c>
      <c r="C52" s="4" t="s">
        <v>87</v>
      </c>
      <c r="D52" s="4">
        <v>7</v>
      </c>
      <c r="E52" s="4">
        <v>180</v>
      </c>
      <c r="F52" s="4">
        <v>7</v>
      </c>
      <c r="G52" s="4">
        <v>7</v>
      </c>
      <c r="H52" s="4">
        <v>25.7</v>
      </c>
      <c r="I52" s="4">
        <v>3</v>
      </c>
      <c r="J52" s="4">
        <v>8</v>
      </c>
      <c r="K52" s="4">
        <v>0.375</v>
      </c>
      <c r="L52" s="4">
        <v>1.1000000000000001</v>
      </c>
      <c r="M52" s="4">
        <v>3.9</v>
      </c>
      <c r="N52" s="4">
        <v>0.29599999999999999</v>
      </c>
      <c r="O52" s="4">
        <v>1.9</v>
      </c>
      <c r="P52" s="4">
        <v>4.0999999999999996</v>
      </c>
      <c r="Q52" s="4">
        <v>0.44800000000000001</v>
      </c>
      <c r="R52" s="4">
        <v>1.1000000000000001</v>
      </c>
      <c r="S52" s="4">
        <v>1.3</v>
      </c>
      <c r="T52" s="4">
        <v>0.88900000000000001</v>
      </c>
      <c r="U52" s="4">
        <v>1.4</v>
      </c>
      <c r="V52" s="4">
        <v>5</v>
      </c>
      <c r="W52" s="4">
        <v>0.6</v>
      </c>
      <c r="X52" s="4">
        <v>0.7</v>
      </c>
      <c r="Y52" s="4">
        <v>0.4</v>
      </c>
      <c r="Z52" s="4">
        <v>1</v>
      </c>
      <c r="AA52" s="4">
        <v>2.4</v>
      </c>
      <c r="AB52" s="4">
        <v>8.3000000000000007</v>
      </c>
      <c r="AC52" s="10">
        <f t="shared" si="0"/>
        <v>0.86711241119933158</v>
      </c>
      <c r="AD52" s="10">
        <f t="shared" si="1"/>
        <v>0.16666666666666669</v>
      </c>
      <c r="AE52" s="12">
        <f>100*(AC52/TOTAL_BASIC!$D$302)</f>
        <v>91.104041686436929</v>
      </c>
      <c r="AF52" s="9"/>
      <c r="AG52" s="9"/>
      <c r="AH52" s="12">
        <f t="shared" si="2"/>
        <v>55.2</v>
      </c>
      <c r="AI52" s="12">
        <f t="shared" si="3"/>
        <v>33.5</v>
      </c>
      <c r="AJ52" s="12">
        <f t="shared" si="4"/>
        <v>56.499999999999993</v>
      </c>
      <c r="AK52" s="12">
        <f t="shared" si="5"/>
        <v>68.300000000000011</v>
      </c>
      <c r="AL52" s="12">
        <f t="shared" si="6"/>
        <v>72</v>
      </c>
    </row>
    <row r="53" spans="1:38" ht="15.75" customHeight="1" x14ac:dyDescent="0.25">
      <c r="A53" s="1" t="s">
        <v>161</v>
      </c>
      <c r="B53" s="7" t="s">
        <v>142</v>
      </c>
      <c r="C53" s="4" t="s">
        <v>90</v>
      </c>
      <c r="D53" s="4">
        <v>6</v>
      </c>
      <c r="E53" s="4">
        <v>179</v>
      </c>
      <c r="F53" s="4">
        <v>6</v>
      </c>
      <c r="G53" s="4">
        <v>6</v>
      </c>
      <c r="H53" s="4">
        <v>29.8</v>
      </c>
      <c r="I53" s="4">
        <v>5.7</v>
      </c>
      <c r="J53" s="4">
        <v>11.2</v>
      </c>
      <c r="K53" s="4">
        <v>0.50700000000000001</v>
      </c>
      <c r="L53" s="4">
        <v>0.3</v>
      </c>
      <c r="M53" s="4">
        <v>1</v>
      </c>
      <c r="N53" s="4">
        <v>0.33300000000000002</v>
      </c>
      <c r="O53" s="4">
        <v>5.3</v>
      </c>
      <c r="P53" s="4">
        <v>10.199999999999999</v>
      </c>
      <c r="Q53" s="4">
        <v>0.52500000000000002</v>
      </c>
      <c r="R53" s="4">
        <v>4.2</v>
      </c>
      <c r="S53" s="4">
        <v>5.7</v>
      </c>
      <c r="T53" s="4">
        <v>0.73499999999999999</v>
      </c>
      <c r="U53" s="4">
        <v>0.8</v>
      </c>
      <c r="V53" s="4">
        <v>8.5</v>
      </c>
      <c r="W53" s="4">
        <v>2.8</v>
      </c>
      <c r="X53" s="4">
        <v>0.8</v>
      </c>
      <c r="Y53" s="4">
        <v>1.3</v>
      </c>
      <c r="Z53" s="4">
        <v>2.2000000000000002</v>
      </c>
      <c r="AA53" s="4">
        <v>2.2999999999999998</v>
      </c>
      <c r="AB53" s="4">
        <v>15.8</v>
      </c>
      <c r="AC53" s="10">
        <f t="shared" si="0"/>
        <v>0.99321096303746559</v>
      </c>
      <c r="AD53" s="10">
        <f t="shared" si="1"/>
        <v>0.56521739130434789</v>
      </c>
      <c r="AE53" s="12">
        <f>100*(AC53/TOTAL_BASIC!$D$302)</f>
        <v>104.35271345596118</v>
      </c>
      <c r="AF53" s="9"/>
      <c r="AG53" s="9"/>
      <c r="AH53" s="12">
        <f t="shared" si="2"/>
        <v>90</v>
      </c>
      <c r="AI53" s="12">
        <f t="shared" si="3"/>
        <v>62.7</v>
      </c>
      <c r="AJ53" s="12">
        <f t="shared" si="4"/>
        <v>86.9</v>
      </c>
      <c r="AK53" s="12">
        <f t="shared" si="5"/>
        <v>84.399999999999991</v>
      </c>
      <c r="AL53" s="12">
        <f t="shared" si="6"/>
        <v>36.6</v>
      </c>
    </row>
    <row r="54" spans="1:38" ht="15.75" customHeight="1" x14ac:dyDescent="0.25">
      <c r="A54" s="1" t="s">
        <v>137</v>
      </c>
      <c r="B54" s="7" t="s">
        <v>244</v>
      </c>
      <c r="C54" s="4" t="s">
        <v>90</v>
      </c>
      <c r="D54" s="4">
        <v>8</v>
      </c>
      <c r="E54" s="4">
        <v>179</v>
      </c>
      <c r="F54" s="4">
        <v>8</v>
      </c>
      <c r="G54" s="4">
        <v>8</v>
      </c>
      <c r="H54" s="4">
        <v>22.4</v>
      </c>
      <c r="I54" s="4">
        <v>2.1</v>
      </c>
      <c r="J54" s="4">
        <v>6.8</v>
      </c>
      <c r="K54" s="4">
        <v>0.315</v>
      </c>
      <c r="L54" s="4">
        <v>0.9</v>
      </c>
      <c r="M54" s="4">
        <v>3.3</v>
      </c>
      <c r="N54" s="4">
        <v>0.26900000000000002</v>
      </c>
      <c r="O54" s="4">
        <v>1.3</v>
      </c>
      <c r="P54" s="4">
        <v>3.5</v>
      </c>
      <c r="Q54" s="4">
        <v>0.35699999999999998</v>
      </c>
      <c r="R54" s="4">
        <v>0.9</v>
      </c>
      <c r="S54" s="4">
        <v>0.9</v>
      </c>
      <c r="T54" s="4">
        <v>1</v>
      </c>
      <c r="U54" s="4">
        <v>0.5</v>
      </c>
      <c r="V54" s="4">
        <v>3.9</v>
      </c>
      <c r="W54" s="4">
        <v>1.9</v>
      </c>
      <c r="X54" s="4">
        <v>0.8</v>
      </c>
      <c r="Y54" s="4">
        <v>0.5</v>
      </c>
      <c r="Z54" s="4">
        <v>1</v>
      </c>
      <c r="AA54" s="4">
        <v>3</v>
      </c>
      <c r="AB54" s="4">
        <v>6</v>
      </c>
      <c r="AC54" s="10">
        <f t="shared" si="0"/>
        <v>0.7320644216691069</v>
      </c>
      <c r="AD54" s="10">
        <f t="shared" si="1"/>
        <v>0.16666666666666666</v>
      </c>
      <c r="AE54" s="12">
        <f>100*(AC54/TOTAL_BASIC!$D$302)</f>
        <v>76.915088202523791</v>
      </c>
      <c r="AF54" s="9"/>
      <c r="AG54" s="9"/>
      <c r="AH54" s="12">
        <f t="shared" si="2"/>
        <v>53.400000000000006</v>
      </c>
      <c r="AI54" s="12">
        <f t="shared" si="3"/>
        <v>14.2</v>
      </c>
      <c r="AJ54" s="12">
        <f t="shared" si="4"/>
        <v>36.6</v>
      </c>
      <c r="AK54" s="12">
        <f t="shared" si="5"/>
        <v>54</v>
      </c>
      <c r="AL54" s="12">
        <f t="shared" si="6"/>
        <v>84.399999999999991</v>
      </c>
    </row>
    <row r="55" spans="1:38" ht="15.75" customHeight="1" x14ac:dyDescent="0.25">
      <c r="A55" s="1" t="s">
        <v>128</v>
      </c>
      <c r="B55" s="7" t="s">
        <v>109</v>
      </c>
      <c r="C55" s="4" t="s">
        <v>87</v>
      </c>
      <c r="D55" s="4">
        <v>9</v>
      </c>
      <c r="E55" s="4">
        <v>179</v>
      </c>
      <c r="F55" s="4">
        <v>9</v>
      </c>
      <c r="G55" s="4">
        <v>9</v>
      </c>
      <c r="H55" s="4">
        <v>19.899999999999999</v>
      </c>
      <c r="I55" s="4">
        <v>2.2000000000000002</v>
      </c>
      <c r="J55" s="4">
        <v>7.6</v>
      </c>
      <c r="K55" s="4">
        <v>0.29399999999999998</v>
      </c>
      <c r="L55" s="4">
        <v>0.8</v>
      </c>
      <c r="M55" s="4">
        <v>3</v>
      </c>
      <c r="N55" s="4">
        <v>0.25900000000000001</v>
      </c>
      <c r="O55" s="4">
        <v>1.4</v>
      </c>
      <c r="P55" s="4">
        <v>4.5999999999999996</v>
      </c>
      <c r="Q55" s="4">
        <v>0.317</v>
      </c>
      <c r="R55" s="4">
        <v>2.7</v>
      </c>
      <c r="S55" s="4">
        <v>3.2</v>
      </c>
      <c r="T55" s="4">
        <v>0.82799999999999996</v>
      </c>
      <c r="U55" s="4">
        <v>0.4</v>
      </c>
      <c r="V55" s="4">
        <v>2.1</v>
      </c>
      <c r="W55" s="4">
        <v>0.8</v>
      </c>
      <c r="X55" s="4">
        <v>1</v>
      </c>
      <c r="Y55" s="4">
        <v>0.1</v>
      </c>
      <c r="Z55" s="4">
        <v>1.3</v>
      </c>
      <c r="AA55" s="4">
        <v>3.1</v>
      </c>
      <c r="AB55" s="4">
        <v>7.9</v>
      </c>
      <c r="AC55" s="10">
        <f t="shared" si="0"/>
        <v>0.76639503298409006</v>
      </c>
      <c r="AD55" s="10">
        <f t="shared" si="1"/>
        <v>3.2258064516129031E-2</v>
      </c>
      <c r="AE55" s="12">
        <f>100*(AC55/TOTAL_BASIC!$D$302)</f>
        <v>80.522068570888166</v>
      </c>
      <c r="AF55" s="9"/>
      <c r="AG55" s="9"/>
      <c r="AH55" s="12">
        <f t="shared" si="2"/>
        <v>27.3</v>
      </c>
      <c r="AI55" s="12">
        <f t="shared" si="3"/>
        <v>16.100000000000001</v>
      </c>
      <c r="AJ55" s="12">
        <f t="shared" si="4"/>
        <v>50.9</v>
      </c>
      <c r="AK55" s="12">
        <f t="shared" si="5"/>
        <v>45.9</v>
      </c>
      <c r="AL55" s="12">
        <f t="shared" si="6"/>
        <v>57.099999999999994</v>
      </c>
    </row>
    <row r="56" spans="1:38" ht="15.75" customHeight="1" x14ac:dyDescent="0.25">
      <c r="A56" s="1" t="s">
        <v>180</v>
      </c>
      <c r="B56" s="7" t="s">
        <v>133</v>
      </c>
      <c r="C56" s="4" t="s">
        <v>90</v>
      </c>
      <c r="D56" s="4">
        <v>7</v>
      </c>
      <c r="E56" s="4">
        <v>178</v>
      </c>
      <c r="F56" s="4">
        <v>7</v>
      </c>
      <c r="G56" s="4">
        <v>7</v>
      </c>
      <c r="H56" s="4">
        <v>25.4</v>
      </c>
      <c r="I56" s="4">
        <v>4.7</v>
      </c>
      <c r="J56" s="4">
        <v>9.1</v>
      </c>
      <c r="K56" s="4">
        <v>0.51600000000000001</v>
      </c>
      <c r="L56" s="4">
        <v>0</v>
      </c>
      <c r="M56" s="4">
        <v>0</v>
      </c>
      <c r="N56" s="4">
        <v>0</v>
      </c>
      <c r="O56" s="4">
        <v>4.7</v>
      </c>
      <c r="P56" s="4">
        <v>9.1</v>
      </c>
      <c r="Q56" s="4">
        <v>0.51600000000000001</v>
      </c>
      <c r="R56" s="4">
        <v>3.6</v>
      </c>
      <c r="S56" s="4">
        <v>5</v>
      </c>
      <c r="T56" s="4">
        <v>0.71399999999999997</v>
      </c>
      <c r="U56" s="4">
        <v>3.3</v>
      </c>
      <c r="V56" s="4">
        <v>9.1</v>
      </c>
      <c r="W56" s="4">
        <v>2.1</v>
      </c>
      <c r="X56" s="4">
        <v>0.3</v>
      </c>
      <c r="Y56" s="4">
        <v>1.1000000000000001</v>
      </c>
      <c r="Z56" s="4">
        <v>1.1000000000000001</v>
      </c>
      <c r="AA56" s="4">
        <v>3</v>
      </c>
      <c r="AB56" s="4">
        <v>13</v>
      </c>
      <c r="AC56" s="10">
        <f t="shared" si="0"/>
        <v>1.0483870967741935</v>
      </c>
      <c r="AD56" s="10">
        <f t="shared" si="1"/>
        <v>0.3666666666666667</v>
      </c>
      <c r="AE56" s="12">
        <f>100*(AC56/TOTAL_BASIC!$D$302)</f>
        <v>110.14984970164654</v>
      </c>
      <c r="AF56" s="9"/>
      <c r="AG56" s="9"/>
      <c r="AH56" s="12">
        <f t="shared" si="2"/>
        <v>82.6</v>
      </c>
      <c r="AI56" s="12">
        <f t="shared" si="3"/>
        <v>75.7</v>
      </c>
      <c r="AJ56" s="12">
        <f t="shared" si="4"/>
        <v>77</v>
      </c>
      <c r="AK56" s="12">
        <f t="shared" si="5"/>
        <v>66.400000000000006</v>
      </c>
      <c r="AL56" s="12">
        <f t="shared" si="6"/>
        <v>32.9</v>
      </c>
    </row>
    <row r="57" spans="1:38" ht="15.75" customHeight="1" x14ac:dyDescent="0.25">
      <c r="A57" s="1" t="s">
        <v>112</v>
      </c>
      <c r="B57" s="7" t="s">
        <v>93</v>
      </c>
      <c r="C57" s="4" t="s">
        <v>87</v>
      </c>
      <c r="D57" s="4">
        <v>7</v>
      </c>
      <c r="E57" s="4">
        <v>177</v>
      </c>
      <c r="F57" s="4">
        <v>7</v>
      </c>
      <c r="G57" s="4">
        <v>7</v>
      </c>
      <c r="H57" s="4">
        <v>25.3</v>
      </c>
      <c r="I57" s="4">
        <v>4.7</v>
      </c>
      <c r="J57" s="4">
        <v>11.7</v>
      </c>
      <c r="K57" s="4">
        <v>0.40200000000000002</v>
      </c>
      <c r="L57" s="4">
        <v>2.1</v>
      </c>
      <c r="M57" s="4">
        <v>5.4</v>
      </c>
      <c r="N57" s="4">
        <v>0.39500000000000002</v>
      </c>
      <c r="O57" s="4">
        <v>2.6</v>
      </c>
      <c r="P57" s="4">
        <v>6.3</v>
      </c>
      <c r="Q57" s="4">
        <v>0.40899999999999997</v>
      </c>
      <c r="R57" s="4">
        <v>2.7</v>
      </c>
      <c r="S57" s="4">
        <v>3.7</v>
      </c>
      <c r="T57" s="4">
        <v>0.73099999999999998</v>
      </c>
      <c r="U57" s="4">
        <v>0.9</v>
      </c>
      <c r="V57" s="4">
        <v>3.7</v>
      </c>
      <c r="W57" s="4">
        <v>2.9</v>
      </c>
      <c r="X57" s="4">
        <v>1.9</v>
      </c>
      <c r="Y57" s="4">
        <v>0.3</v>
      </c>
      <c r="Z57" s="4">
        <v>1.7</v>
      </c>
      <c r="AA57" s="4">
        <v>1</v>
      </c>
      <c r="AB57" s="4">
        <v>14.3</v>
      </c>
      <c r="AC57" s="10">
        <f t="shared" si="0"/>
        <v>0.95155709342560568</v>
      </c>
      <c r="AD57" s="10">
        <f t="shared" si="1"/>
        <v>0.3</v>
      </c>
      <c r="AE57" s="12">
        <f>100*(AC57/TOTAL_BASIC!$D$302)</f>
        <v>99.976307554595365</v>
      </c>
      <c r="AF57" s="9"/>
      <c r="AG57" s="9"/>
      <c r="AH57" s="12">
        <f t="shared" si="2"/>
        <v>73.2</v>
      </c>
      <c r="AI57" s="12">
        <f t="shared" si="3"/>
        <v>49.6</v>
      </c>
      <c r="AJ57" s="12">
        <f t="shared" si="4"/>
        <v>81.3</v>
      </c>
      <c r="AK57" s="12">
        <f t="shared" si="5"/>
        <v>65.8</v>
      </c>
      <c r="AL57" s="12">
        <f t="shared" si="6"/>
        <v>35.4</v>
      </c>
    </row>
    <row r="58" spans="1:38" ht="15.75" customHeight="1" x14ac:dyDescent="0.25">
      <c r="A58" s="1" t="s">
        <v>144</v>
      </c>
      <c r="B58" s="7" t="s">
        <v>244</v>
      </c>
      <c r="C58" s="4" t="s">
        <v>87</v>
      </c>
      <c r="D58" s="4">
        <v>8</v>
      </c>
      <c r="E58" s="4">
        <v>173</v>
      </c>
      <c r="F58" s="4">
        <v>8</v>
      </c>
      <c r="G58" s="4">
        <v>8</v>
      </c>
      <c r="H58" s="4">
        <v>21.6</v>
      </c>
      <c r="I58" s="4">
        <v>2</v>
      </c>
      <c r="J58" s="4">
        <v>5.5</v>
      </c>
      <c r="K58" s="4">
        <v>0.36399999999999999</v>
      </c>
      <c r="L58" s="4">
        <v>0.5</v>
      </c>
      <c r="M58" s="4">
        <v>2.1</v>
      </c>
      <c r="N58" s="4">
        <v>0.23499999999999999</v>
      </c>
      <c r="O58" s="4">
        <v>1.5</v>
      </c>
      <c r="P58" s="4">
        <v>3.4</v>
      </c>
      <c r="Q58" s="4">
        <v>0.44400000000000001</v>
      </c>
      <c r="R58" s="4">
        <v>0.5</v>
      </c>
      <c r="S58" s="4">
        <v>1</v>
      </c>
      <c r="T58" s="4">
        <v>0.5</v>
      </c>
      <c r="U58" s="4">
        <v>1.1000000000000001</v>
      </c>
      <c r="V58" s="4">
        <v>2.1</v>
      </c>
      <c r="W58" s="4">
        <v>0.9</v>
      </c>
      <c r="X58" s="4">
        <v>1.1000000000000001</v>
      </c>
      <c r="Y58" s="4">
        <v>0.1</v>
      </c>
      <c r="Z58" s="4">
        <v>1</v>
      </c>
      <c r="AA58" s="4">
        <v>2.5</v>
      </c>
      <c r="AB58" s="4">
        <v>5</v>
      </c>
      <c r="AC58" s="10">
        <f t="shared" si="0"/>
        <v>0.72046109510086453</v>
      </c>
      <c r="AD58" s="10">
        <f t="shared" si="1"/>
        <v>0.04</v>
      </c>
      <c r="AE58" s="12">
        <f>100*(AC58/TOTAL_BASIC!$D$302)</f>
        <v>75.695972971648047</v>
      </c>
      <c r="AF58" s="9"/>
      <c r="AG58" s="9"/>
      <c r="AH58" s="12">
        <f t="shared" si="2"/>
        <v>29.799999999999997</v>
      </c>
      <c r="AI58" s="12">
        <f t="shared" si="3"/>
        <v>12.4</v>
      </c>
      <c r="AJ58" s="12">
        <f t="shared" si="4"/>
        <v>25.4</v>
      </c>
      <c r="AK58" s="12">
        <f t="shared" si="5"/>
        <v>50.9</v>
      </c>
      <c r="AL58" s="12">
        <f t="shared" si="6"/>
        <v>9.9</v>
      </c>
    </row>
    <row r="59" spans="1:38" ht="15.75" customHeight="1" x14ac:dyDescent="0.25">
      <c r="A59" s="1" t="s">
        <v>235</v>
      </c>
      <c r="B59" s="7" t="s">
        <v>133</v>
      </c>
      <c r="C59" s="4" t="s">
        <v>8</v>
      </c>
      <c r="D59" s="4">
        <v>6</v>
      </c>
      <c r="E59" s="4">
        <v>171</v>
      </c>
      <c r="F59" s="4">
        <v>6</v>
      </c>
      <c r="G59" s="4">
        <v>4</v>
      </c>
      <c r="H59" s="4">
        <v>28.5</v>
      </c>
      <c r="I59" s="4">
        <v>4.3</v>
      </c>
      <c r="J59" s="4">
        <v>8.3000000000000007</v>
      </c>
      <c r="K59" s="4">
        <v>0.52</v>
      </c>
      <c r="L59" s="4">
        <v>0.8</v>
      </c>
      <c r="M59" s="4">
        <v>3</v>
      </c>
      <c r="N59" s="4">
        <v>0.27800000000000002</v>
      </c>
      <c r="O59" s="4">
        <v>3.5</v>
      </c>
      <c r="P59" s="4">
        <v>5.3</v>
      </c>
      <c r="Q59" s="4">
        <v>0.65600000000000003</v>
      </c>
      <c r="R59" s="4">
        <v>2.2000000000000002</v>
      </c>
      <c r="S59" s="4">
        <v>3</v>
      </c>
      <c r="T59" s="4">
        <v>0.72199999999999998</v>
      </c>
      <c r="U59" s="4">
        <v>0.3</v>
      </c>
      <c r="V59" s="4">
        <v>4.7</v>
      </c>
      <c r="W59" s="4">
        <v>4.8</v>
      </c>
      <c r="X59" s="4">
        <v>0.8</v>
      </c>
      <c r="Y59" s="4">
        <v>0.3</v>
      </c>
      <c r="Z59" s="4">
        <v>3</v>
      </c>
      <c r="AA59" s="4">
        <v>4.2</v>
      </c>
      <c r="AB59" s="4">
        <v>11.7</v>
      </c>
      <c r="AC59" s="10">
        <f t="shared" si="0"/>
        <v>0.92709984152139446</v>
      </c>
      <c r="AD59" s="10">
        <f t="shared" si="1"/>
        <v>7.1428571428571425E-2</v>
      </c>
      <c r="AE59" s="12">
        <f>100*(AC59/TOTAL_BASIC!$D$302)</f>
        <v>97.406681669601852</v>
      </c>
      <c r="AF59" s="9"/>
      <c r="AG59" s="9"/>
      <c r="AH59" s="12">
        <f t="shared" si="2"/>
        <v>37.200000000000003</v>
      </c>
      <c r="AI59" s="12">
        <f t="shared" si="3"/>
        <v>44.7</v>
      </c>
      <c r="AJ59" s="12">
        <f t="shared" si="4"/>
        <v>72</v>
      </c>
      <c r="AK59" s="12">
        <f t="shared" si="5"/>
        <v>78.8</v>
      </c>
      <c r="AL59" s="12">
        <f t="shared" si="6"/>
        <v>34.699999999999996</v>
      </c>
    </row>
    <row r="60" spans="1:38" ht="15.75" customHeight="1" x14ac:dyDescent="0.25">
      <c r="A60" s="1" t="s">
        <v>170</v>
      </c>
      <c r="B60" s="7" t="s">
        <v>133</v>
      </c>
      <c r="C60" s="4" t="s">
        <v>8</v>
      </c>
      <c r="D60" s="4">
        <v>6</v>
      </c>
      <c r="E60" s="4">
        <v>170</v>
      </c>
      <c r="F60" s="4">
        <v>6</v>
      </c>
      <c r="G60" s="4">
        <v>6</v>
      </c>
      <c r="H60" s="4">
        <v>28.3</v>
      </c>
      <c r="I60" s="4">
        <v>3.5</v>
      </c>
      <c r="J60" s="4">
        <v>8.1999999999999993</v>
      </c>
      <c r="K60" s="4">
        <v>0.42899999999999999</v>
      </c>
      <c r="L60" s="4">
        <v>0.7</v>
      </c>
      <c r="M60" s="4">
        <v>2</v>
      </c>
      <c r="N60" s="4">
        <v>0.33300000000000002</v>
      </c>
      <c r="O60" s="4">
        <v>2.8</v>
      </c>
      <c r="P60" s="4">
        <v>6.2</v>
      </c>
      <c r="Q60" s="4">
        <v>0.45900000000000002</v>
      </c>
      <c r="R60" s="4">
        <v>3.8</v>
      </c>
      <c r="S60" s="4">
        <v>4.3</v>
      </c>
      <c r="T60" s="4">
        <v>0.88500000000000001</v>
      </c>
      <c r="U60" s="4">
        <v>0.8</v>
      </c>
      <c r="V60" s="4">
        <v>5.3</v>
      </c>
      <c r="W60" s="4">
        <v>1.2</v>
      </c>
      <c r="X60" s="4">
        <v>1.2</v>
      </c>
      <c r="Y60" s="4">
        <v>0</v>
      </c>
      <c r="Z60" s="4">
        <v>1.2</v>
      </c>
      <c r="AA60" s="4">
        <v>2.7</v>
      </c>
      <c r="AB60" s="4">
        <v>11.5</v>
      </c>
      <c r="AC60" s="10">
        <f t="shared" si="0"/>
        <v>1.0184201204392491</v>
      </c>
      <c r="AD60" s="10">
        <f t="shared" si="1"/>
        <v>0</v>
      </c>
      <c r="AE60" s="12">
        <f>100*(AC60/TOTAL_BASIC!$D$302)</f>
        <v>107.0013390518461</v>
      </c>
      <c r="AF60" s="9"/>
      <c r="AG60" s="9"/>
      <c r="AH60" s="12">
        <f t="shared" si="2"/>
        <v>0</v>
      </c>
      <c r="AI60" s="12">
        <f t="shared" si="3"/>
        <v>69.5</v>
      </c>
      <c r="AJ60" s="12">
        <f t="shared" si="4"/>
        <v>70.8</v>
      </c>
      <c r="AK60" s="12">
        <f t="shared" si="5"/>
        <v>78.2</v>
      </c>
      <c r="AL60" s="12">
        <f t="shared" si="6"/>
        <v>71.399999999999991</v>
      </c>
    </row>
    <row r="61" spans="1:38" ht="15.75" customHeight="1" x14ac:dyDescent="0.25">
      <c r="A61" s="1" t="s">
        <v>176</v>
      </c>
      <c r="B61" s="7" t="s">
        <v>142</v>
      </c>
      <c r="C61" s="4" t="s">
        <v>87</v>
      </c>
      <c r="D61" s="4">
        <v>6</v>
      </c>
      <c r="E61" s="4">
        <v>168</v>
      </c>
      <c r="F61" s="4">
        <v>6</v>
      </c>
      <c r="G61" s="4">
        <v>6</v>
      </c>
      <c r="H61" s="4">
        <v>28</v>
      </c>
      <c r="I61" s="4">
        <v>5.7</v>
      </c>
      <c r="J61" s="4">
        <v>10</v>
      </c>
      <c r="K61" s="4">
        <v>0.56699999999999995</v>
      </c>
      <c r="L61" s="4">
        <v>0.5</v>
      </c>
      <c r="M61" s="4">
        <v>1.2</v>
      </c>
      <c r="N61" s="4">
        <v>0.42899999999999999</v>
      </c>
      <c r="O61" s="4">
        <v>5.2</v>
      </c>
      <c r="P61" s="4">
        <v>8.8000000000000007</v>
      </c>
      <c r="Q61" s="4">
        <v>0.58499999999999996</v>
      </c>
      <c r="R61" s="4">
        <v>3.5</v>
      </c>
      <c r="S61" s="4">
        <v>5</v>
      </c>
      <c r="T61" s="4">
        <v>0.7</v>
      </c>
      <c r="U61" s="4">
        <v>3.2</v>
      </c>
      <c r="V61" s="4">
        <v>10.7</v>
      </c>
      <c r="W61" s="4">
        <v>1.5</v>
      </c>
      <c r="X61" s="4">
        <v>0.8</v>
      </c>
      <c r="Y61" s="4">
        <v>0.5</v>
      </c>
      <c r="Z61" s="4">
        <v>2.2000000000000002</v>
      </c>
      <c r="AA61" s="4">
        <v>3.7</v>
      </c>
      <c r="AB61" s="4">
        <v>15.3</v>
      </c>
      <c r="AC61" s="10">
        <f t="shared" si="0"/>
        <v>1.0625000000000002</v>
      </c>
      <c r="AD61" s="10">
        <f t="shared" si="1"/>
        <v>0.13513513513513511</v>
      </c>
      <c r="AE61" s="12">
        <f>100*(AC61/TOTAL_BASIC!$D$302)</f>
        <v>111.63263613993797</v>
      </c>
      <c r="AF61" s="9"/>
      <c r="AG61" s="9"/>
      <c r="AH61" s="12">
        <f t="shared" si="2"/>
        <v>49.6</v>
      </c>
      <c r="AI61" s="12">
        <f t="shared" si="3"/>
        <v>78.8</v>
      </c>
      <c r="AJ61" s="12">
        <f t="shared" si="4"/>
        <v>84.399999999999991</v>
      </c>
      <c r="AK61" s="12">
        <f t="shared" si="5"/>
        <v>77</v>
      </c>
      <c r="AL61" s="12">
        <f t="shared" si="6"/>
        <v>30.4</v>
      </c>
    </row>
    <row r="62" spans="1:38" ht="15.75" customHeight="1" x14ac:dyDescent="0.25">
      <c r="A62" s="1" t="s">
        <v>145</v>
      </c>
      <c r="B62" s="7" t="s">
        <v>93</v>
      </c>
      <c r="C62" s="4" t="s">
        <v>87</v>
      </c>
      <c r="D62" s="4">
        <v>7</v>
      </c>
      <c r="E62" s="4">
        <v>168</v>
      </c>
      <c r="F62" s="4">
        <v>7</v>
      </c>
      <c r="G62" s="4">
        <v>0</v>
      </c>
      <c r="H62" s="4">
        <v>24</v>
      </c>
      <c r="I62" s="4">
        <v>4.0999999999999996</v>
      </c>
      <c r="J62" s="4">
        <v>10.7</v>
      </c>
      <c r="K62" s="4">
        <v>0.38700000000000001</v>
      </c>
      <c r="L62" s="4">
        <v>2.2999999999999998</v>
      </c>
      <c r="M62" s="4">
        <v>6.4</v>
      </c>
      <c r="N62" s="4">
        <v>0.35599999999999998</v>
      </c>
      <c r="O62" s="4">
        <v>1.9</v>
      </c>
      <c r="P62" s="4">
        <v>4.3</v>
      </c>
      <c r="Q62" s="4">
        <v>0.433</v>
      </c>
      <c r="R62" s="4">
        <v>2.4</v>
      </c>
      <c r="S62" s="4">
        <v>3.6</v>
      </c>
      <c r="T62" s="4">
        <v>0.68</v>
      </c>
      <c r="U62" s="4">
        <v>1</v>
      </c>
      <c r="V62" s="4">
        <v>3.6</v>
      </c>
      <c r="W62" s="4">
        <v>1.3</v>
      </c>
      <c r="X62" s="4">
        <v>0.9</v>
      </c>
      <c r="Y62" s="4">
        <v>0.1</v>
      </c>
      <c r="Z62" s="4">
        <v>0.7</v>
      </c>
      <c r="AA62" s="4">
        <v>2.2999999999999998</v>
      </c>
      <c r="AB62" s="4">
        <v>13</v>
      </c>
      <c r="AC62" s="10">
        <f t="shared" si="0"/>
        <v>1.0012322858903266</v>
      </c>
      <c r="AD62" s="10">
        <f t="shared" si="1"/>
        <v>4.3478260869565223E-2</v>
      </c>
      <c r="AE62" s="12">
        <f>100*(AC62/TOTAL_BASIC!$D$302)</f>
        <v>105.19548184692063</v>
      </c>
      <c r="AF62" s="9"/>
      <c r="AG62" s="9"/>
      <c r="AH62" s="12">
        <f t="shared" si="2"/>
        <v>31.6</v>
      </c>
      <c r="AI62" s="12">
        <f t="shared" si="3"/>
        <v>65.2</v>
      </c>
      <c r="AJ62" s="12">
        <f t="shared" si="4"/>
        <v>77</v>
      </c>
      <c r="AK62" s="12">
        <f t="shared" si="5"/>
        <v>61.4</v>
      </c>
      <c r="AL62" s="12">
        <f t="shared" si="6"/>
        <v>28.499999999999996</v>
      </c>
    </row>
    <row r="63" spans="1:38" ht="15.75" customHeight="1" x14ac:dyDescent="0.25">
      <c r="A63" s="1" t="s">
        <v>148</v>
      </c>
      <c r="B63" s="4" t="s">
        <v>244</v>
      </c>
      <c r="C63" s="4" t="s">
        <v>8</v>
      </c>
      <c r="D63" s="4">
        <v>8</v>
      </c>
      <c r="E63" s="4">
        <v>166</v>
      </c>
      <c r="F63" s="4">
        <v>8</v>
      </c>
      <c r="G63" s="4">
        <v>0</v>
      </c>
      <c r="H63" s="4">
        <v>20.8</v>
      </c>
      <c r="I63" s="4">
        <v>3.6</v>
      </c>
      <c r="J63" s="4">
        <v>6.8</v>
      </c>
      <c r="K63" s="4">
        <v>0.53700000000000003</v>
      </c>
      <c r="L63" s="4">
        <v>1</v>
      </c>
      <c r="M63" s="4">
        <v>1.9</v>
      </c>
      <c r="N63" s="4">
        <v>0.53300000000000003</v>
      </c>
      <c r="O63" s="4">
        <v>2.6</v>
      </c>
      <c r="P63" s="4">
        <v>4.9000000000000004</v>
      </c>
      <c r="Q63" s="4">
        <v>0.53800000000000003</v>
      </c>
      <c r="R63" s="4">
        <v>0.9</v>
      </c>
      <c r="S63" s="4">
        <v>1.4</v>
      </c>
      <c r="T63" s="4">
        <v>0.63600000000000001</v>
      </c>
      <c r="U63" s="4">
        <v>1.3</v>
      </c>
      <c r="V63" s="4">
        <v>4.8</v>
      </c>
      <c r="W63" s="4">
        <v>1.8</v>
      </c>
      <c r="X63" s="4">
        <v>1.1000000000000001</v>
      </c>
      <c r="Y63" s="4">
        <v>0.3</v>
      </c>
      <c r="Z63" s="4">
        <v>1.8</v>
      </c>
      <c r="AA63" s="4">
        <v>2.4</v>
      </c>
      <c r="AB63" s="4">
        <v>9.1</v>
      </c>
      <c r="AC63" s="10">
        <f t="shared" si="0"/>
        <v>0.98741319444444453</v>
      </c>
      <c r="AD63" s="10">
        <f t="shared" si="1"/>
        <v>0.125</v>
      </c>
      <c r="AE63" s="12">
        <f>100*(AC63/TOTAL_BASIC!$D$302)</f>
        <v>103.74356504017928</v>
      </c>
      <c r="AF63" s="9"/>
      <c r="AG63" s="9"/>
      <c r="AH63" s="12">
        <f t="shared" si="2"/>
        <v>45.9</v>
      </c>
      <c r="AI63" s="12">
        <f t="shared" si="3"/>
        <v>60.8</v>
      </c>
      <c r="AJ63" s="12">
        <f t="shared" si="4"/>
        <v>62.7</v>
      </c>
      <c r="AK63" s="12">
        <f t="shared" si="5"/>
        <v>49</v>
      </c>
      <c r="AL63" s="12">
        <f t="shared" si="6"/>
        <v>21.099999999999998</v>
      </c>
    </row>
    <row r="64" spans="1:38" ht="15.75" customHeight="1" x14ac:dyDescent="0.25">
      <c r="A64" s="1" t="s">
        <v>179</v>
      </c>
      <c r="B64" s="7" t="s">
        <v>160</v>
      </c>
      <c r="C64" s="4" t="s">
        <v>8</v>
      </c>
      <c r="D64" s="4">
        <v>7</v>
      </c>
      <c r="E64" s="4">
        <v>166</v>
      </c>
      <c r="F64" s="4">
        <v>7</v>
      </c>
      <c r="G64" s="4">
        <v>3</v>
      </c>
      <c r="H64" s="4">
        <v>23.7</v>
      </c>
      <c r="I64" s="4">
        <v>3.1</v>
      </c>
      <c r="J64" s="4">
        <v>7</v>
      </c>
      <c r="K64" s="4">
        <v>0.44900000000000001</v>
      </c>
      <c r="L64" s="4">
        <v>1.1000000000000001</v>
      </c>
      <c r="M64" s="4">
        <v>4.3</v>
      </c>
      <c r="N64" s="4">
        <v>0.26700000000000002</v>
      </c>
      <c r="O64" s="4">
        <v>2</v>
      </c>
      <c r="P64" s="4">
        <v>2.7</v>
      </c>
      <c r="Q64" s="4">
        <v>0.73699999999999999</v>
      </c>
      <c r="R64" s="4">
        <v>1.6</v>
      </c>
      <c r="S64" s="4">
        <v>1.9</v>
      </c>
      <c r="T64" s="4">
        <v>0.84599999999999997</v>
      </c>
      <c r="U64" s="4">
        <v>0.3</v>
      </c>
      <c r="V64" s="4">
        <v>2.7</v>
      </c>
      <c r="W64" s="4">
        <v>1.4</v>
      </c>
      <c r="X64" s="4">
        <v>0.7</v>
      </c>
      <c r="Y64" s="4">
        <v>0.1</v>
      </c>
      <c r="Z64" s="4">
        <v>0.7</v>
      </c>
      <c r="AA64" s="4">
        <v>2.1</v>
      </c>
      <c r="AB64" s="4">
        <v>9</v>
      </c>
      <c r="AC64" s="10">
        <f t="shared" si="0"/>
        <v>1.0543580131208998</v>
      </c>
      <c r="AD64" s="10">
        <f t="shared" si="1"/>
        <v>4.7619047619047616E-2</v>
      </c>
      <c r="AE64" s="12">
        <f>100*(AC64/TOTAL_BASIC!$D$302)</f>
        <v>110.77719006113256</v>
      </c>
      <c r="AF64" s="9"/>
      <c r="AG64" s="9"/>
      <c r="AH64" s="12">
        <f t="shared" si="2"/>
        <v>33.5</v>
      </c>
      <c r="AI64" s="12">
        <f t="shared" si="3"/>
        <v>77</v>
      </c>
      <c r="AJ64" s="12">
        <f t="shared" si="4"/>
        <v>60.199999999999996</v>
      </c>
      <c r="AK64" s="12">
        <f t="shared" si="5"/>
        <v>59</v>
      </c>
      <c r="AL64" s="12">
        <f t="shared" si="6"/>
        <v>63.3</v>
      </c>
    </row>
    <row r="65" spans="1:38" ht="15.75" customHeight="1" x14ac:dyDescent="0.25">
      <c r="A65" s="1" t="s">
        <v>205</v>
      </c>
      <c r="B65" s="7" t="s">
        <v>139</v>
      </c>
      <c r="C65" s="4" t="s">
        <v>8</v>
      </c>
      <c r="D65" s="4">
        <v>6</v>
      </c>
      <c r="E65" s="4">
        <v>162</v>
      </c>
      <c r="F65" s="4">
        <v>6</v>
      </c>
      <c r="G65" s="4">
        <v>4</v>
      </c>
      <c r="H65" s="4">
        <v>27</v>
      </c>
      <c r="I65" s="4">
        <v>2</v>
      </c>
      <c r="J65" s="4">
        <v>6.8</v>
      </c>
      <c r="K65" s="4">
        <v>0.29299999999999998</v>
      </c>
      <c r="L65" s="4">
        <v>0.8</v>
      </c>
      <c r="M65" s="4">
        <v>3.2</v>
      </c>
      <c r="N65" s="4">
        <v>0.26300000000000001</v>
      </c>
      <c r="O65" s="4">
        <v>1.2</v>
      </c>
      <c r="P65" s="4">
        <v>3.7</v>
      </c>
      <c r="Q65" s="4">
        <v>0.318</v>
      </c>
      <c r="R65" s="4">
        <v>0.7</v>
      </c>
      <c r="S65" s="4">
        <v>0.8</v>
      </c>
      <c r="T65" s="4">
        <v>0.8</v>
      </c>
      <c r="U65" s="4">
        <v>0.3</v>
      </c>
      <c r="V65" s="4">
        <v>2.2999999999999998</v>
      </c>
      <c r="W65" s="4">
        <v>4.8</v>
      </c>
      <c r="X65" s="4">
        <v>1.5</v>
      </c>
      <c r="Y65" s="4">
        <v>0.2</v>
      </c>
      <c r="Z65" s="4">
        <v>1.7</v>
      </c>
      <c r="AA65" s="4">
        <v>3.2</v>
      </c>
      <c r="AB65" s="4">
        <v>5.5</v>
      </c>
      <c r="AC65" s="10">
        <f t="shared" si="0"/>
        <v>0.6213285133303208</v>
      </c>
      <c r="AD65" s="10">
        <f t="shared" si="1"/>
        <v>6.25E-2</v>
      </c>
      <c r="AE65" s="12">
        <f>100*(AC65/TOTAL_BASIC!$D$302)</f>
        <v>65.280508095973914</v>
      </c>
      <c r="AF65" s="9"/>
      <c r="AG65" s="9"/>
      <c r="AH65" s="12">
        <f t="shared" si="2"/>
        <v>35.4</v>
      </c>
      <c r="AI65" s="12">
        <f t="shared" si="3"/>
        <v>6.2</v>
      </c>
      <c r="AJ65" s="12">
        <f t="shared" si="4"/>
        <v>32.9</v>
      </c>
      <c r="AK65" s="12">
        <f t="shared" si="5"/>
        <v>75.099999999999994</v>
      </c>
      <c r="AL65" s="12">
        <f t="shared" si="6"/>
        <v>49</v>
      </c>
    </row>
    <row r="66" spans="1:38" ht="15.75" customHeight="1" x14ac:dyDescent="0.25">
      <c r="A66" s="1" t="s">
        <v>126</v>
      </c>
      <c r="B66" s="7" t="s">
        <v>93</v>
      </c>
      <c r="C66" s="4" t="s">
        <v>96</v>
      </c>
      <c r="D66" s="4">
        <v>7</v>
      </c>
      <c r="E66" s="4">
        <v>161</v>
      </c>
      <c r="F66" s="4">
        <v>7</v>
      </c>
      <c r="G66" s="4">
        <v>6</v>
      </c>
      <c r="H66" s="4">
        <v>23</v>
      </c>
      <c r="I66" s="4">
        <v>2.9</v>
      </c>
      <c r="J66" s="4">
        <v>6.9</v>
      </c>
      <c r="K66" s="4">
        <v>0.41699999999999998</v>
      </c>
      <c r="L66" s="4">
        <v>1</v>
      </c>
      <c r="M66" s="4">
        <v>3.1</v>
      </c>
      <c r="N66" s="4">
        <v>0.318</v>
      </c>
      <c r="O66" s="4">
        <v>1.9</v>
      </c>
      <c r="P66" s="4">
        <v>3.7</v>
      </c>
      <c r="Q66" s="4">
        <v>0.5</v>
      </c>
      <c r="R66" s="4">
        <v>1.1000000000000001</v>
      </c>
      <c r="S66" s="4">
        <v>1.4</v>
      </c>
      <c r="T66" s="4">
        <v>0.8</v>
      </c>
      <c r="U66" s="4">
        <v>2.1</v>
      </c>
      <c r="V66" s="4">
        <v>6.3</v>
      </c>
      <c r="W66" s="4">
        <v>1.1000000000000001</v>
      </c>
      <c r="X66" s="4">
        <v>0.4</v>
      </c>
      <c r="Y66" s="4">
        <v>0.1</v>
      </c>
      <c r="Z66" s="4">
        <v>1.4</v>
      </c>
      <c r="AA66" s="4">
        <v>2.7</v>
      </c>
      <c r="AB66" s="4">
        <v>7.9</v>
      </c>
      <c r="AC66" s="10">
        <f t="shared" si="0"/>
        <v>0.88604755495737997</v>
      </c>
      <c r="AD66" s="10">
        <f t="shared" si="1"/>
        <v>3.7037037037037035E-2</v>
      </c>
      <c r="AE66" s="12">
        <f>100*(AC66/TOTAL_BASIC!$D$302)</f>
        <v>93.093481699048354</v>
      </c>
      <c r="AF66" s="9"/>
      <c r="AG66" s="9"/>
      <c r="AH66" s="12">
        <f t="shared" si="2"/>
        <v>29.099999999999998</v>
      </c>
      <c r="AI66" s="12">
        <f t="shared" si="3"/>
        <v>35.4</v>
      </c>
      <c r="AJ66" s="12">
        <f t="shared" si="4"/>
        <v>50.9</v>
      </c>
      <c r="AK66" s="12">
        <f t="shared" si="5"/>
        <v>56.499999999999993</v>
      </c>
      <c r="AL66" s="12">
        <f t="shared" si="6"/>
        <v>49</v>
      </c>
    </row>
    <row r="67" spans="1:38" ht="15.75" customHeight="1" x14ac:dyDescent="0.25">
      <c r="A67" s="1" t="s">
        <v>230</v>
      </c>
      <c r="B67" s="7" t="s">
        <v>164</v>
      </c>
      <c r="C67" s="4" t="s">
        <v>87</v>
      </c>
      <c r="D67" s="4">
        <v>8</v>
      </c>
      <c r="E67" s="4">
        <v>160</v>
      </c>
      <c r="F67" s="4">
        <v>8</v>
      </c>
      <c r="G67" s="4">
        <v>5</v>
      </c>
      <c r="H67" s="4">
        <v>20</v>
      </c>
      <c r="I67" s="4">
        <v>2.4</v>
      </c>
      <c r="J67" s="4">
        <v>4.9000000000000004</v>
      </c>
      <c r="K67" s="4">
        <v>0.48699999999999999</v>
      </c>
      <c r="L67" s="4">
        <v>0.9</v>
      </c>
      <c r="M67" s="4">
        <v>2.4</v>
      </c>
      <c r="N67" s="4">
        <v>0.36799999999999999</v>
      </c>
      <c r="O67" s="4">
        <v>1.5</v>
      </c>
      <c r="P67" s="4">
        <v>2.5</v>
      </c>
      <c r="Q67" s="4">
        <v>0.6</v>
      </c>
      <c r="R67" s="4">
        <v>1.5</v>
      </c>
      <c r="S67" s="4">
        <v>1.8</v>
      </c>
      <c r="T67" s="4">
        <v>0.85699999999999998</v>
      </c>
      <c r="U67" s="4">
        <v>0.9</v>
      </c>
      <c r="V67" s="4">
        <v>3.4</v>
      </c>
      <c r="W67" s="4">
        <v>1.3</v>
      </c>
      <c r="X67" s="4">
        <v>0.9</v>
      </c>
      <c r="Y67" s="4">
        <v>0.1</v>
      </c>
      <c r="Z67" s="4">
        <v>1.5</v>
      </c>
      <c r="AA67" s="4">
        <v>4.3</v>
      </c>
      <c r="AB67" s="4">
        <v>7.1</v>
      </c>
      <c r="AC67" s="10">
        <f t="shared" si="0"/>
        <v>0.98720800889877636</v>
      </c>
      <c r="AD67" s="10">
        <f t="shared" si="1"/>
        <v>2.3255813953488375E-2</v>
      </c>
      <c r="AE67" s="12">
        <f>100*(AC67/TOTAL_BASIC!$D$302)</f>
        <v>103.72200701348679</v>
      </c>
      <c r="AF67" s="9"/>
      <c r="AG67" s="9"/>
      <c r="AH67" s="12">
        <f t="shared" si="2"/>
        <v>26</v>
      </c>
      <c r="AI67" s="12">
        <f t="shared" si="3"/>
        <v>60.199999999999996</v>
      </c>
      <c r="AJ67" s="12">
        <f t="shared" si="4"/>
        <v>43.4</v>
      </c>
      <c r="AK67" s="12">
        <f t="shared" si="5"/>
        <v>47.199999999999996</v>
      </c>
      <c r="AL67" s="12">
        <f t="shared" si="6"/>
        <v>65.8</v>
      </c>
    </row>
    <row r="68" spans="1:38" ht="15.75" customHeight="1" x14ac:dyDescent="0.25">
      <c r="A68" s="1" t="s">
        <v>110</v>
      </c>
      <c r="B68" s="7" t="s">
        <v>86</v>
      </c>
      <c r="C68" s="4" t="s">
        <v>8</v>
      </c>
      <c r="D68" s="4">
        <v>8</v>
      </c>
      <c r="E68" s="4">
        <v>159</v>
      </c>
      <c r="F68" s="4">
        <v>8</v>
      </c>
      <c r="G68" s="4">
        <v>0</v>
      </c>
      <c r="H68" s="4">
        <v>19.899999999999999</v>
      </c>
      <c r="I68" s="4">
        <v>2.9</v>
      </c>
      <c r="J68" s="4">
        <v>4.5</v>
      </c>
      <c r="K68" s="4">
        <v>0.63900000000000001</v>
      </c>
      <c r="L68" s="4">
        <v>0.6</v>
      </c>
      <c r="M68" s="4">
        <v>1.5</v>
      </c>
      <c r="N68" s="4">
        <v>0.41699999999999998</v>
      </c>
      <c r="O68" s="4">
        <v>2.2999999999999998</v>
      </c>
      <c r="P68" s="4">
        <v>3</v>
      </c>
      <c r="Q68" s="4">
        <v>0.75</v>
      </c>
      <c r="R68" s="4">
        <v>1.4</v>
      </c>
      <c r="S68" s="4">
        <v>1.6</v>
      </c>
      <c r="T68" s="4">
        <v>0.84599999999999997</v>
      </c>
      <c r="U68" s="4">
        <v>0.6</v>
      </c>
      <c r="V68" s="4">
        <v>2.4</v>
      </c>
      <c r="W68" s="4">
        <v>1.6</v>
      </c>
      <c r="X68" s="4">
        <v>0.3</v>
      </c>
      <c r="Y68" s="4">
        <v>0.1</v>
      </c>
      <c r="Z68" s="4">
        <v>1.1000000000000001</v>
      </c>
      <c r="AA68" s="4">
        <v>1.6</v>
      </c>
      <c r="AB68" s="4">
        <v>7.8</v>
      </c>
      <c r="AC68" s="10">
        <f t="shared" ref="AC68:AC131" si="7">(AB68)/(J68+(0.44*S68)+Z68)</f>
        <v>1.2373096446700507</v>
      </c>
      <c r="AD68" s="10">
        <f t="shared" ref="AD68:AD131" si="8">Y68/AA68</f>
        <v>6.25E-2</v>
      </c>
      <c r="AE68" s="12">
        <f>100*(AC68/TOTAL_BASIC!$D$302)</f>
        <v>129.99918809965899</v>
      </c>
      <c r="AF68" s="9"/>
      <c r="AG68" s="9"/>
      <c r="AH68" s="12">
        <f t="shared" ref="AH68:AH131" si="9">(PERCENTRANK(AD$3:AD$298,AD68))*100</f>
        <v>35.4</v>
      </c>
      <c r="AI68" s="12">
        <f t="shared" ref="AI68:AI131" si="10">(PERCENTRANK(AE$3:AE$298,AE68))*100</f>
        <v>94.399999999999991</v>
      </c>
      <c r="AJ68" s="12">
        <f t="shared" ref="AJ68:AJ131" si="11">(PERCENTRANK(AB$3:AB$298,AB68))*100</f>
        <v>49.6</v>
      </c>
      <c r="AK68" s="12">
        <f t="shared" ref="AK68:AK131" si="12">(PERCENTRANK(H$3:H$298,H68))*100</f>
        <v>45.9</v>
      </c>
      <c r="AL68" s="12">
        <f t="shared" ref="AL68:AL131" si="13">(PERCENTRANK(T$3:T$298,T68))*100</f>
        <v>63.3</v>
      </c>
    </row>
    <row r="69" spans="1:38" ht="15.75" customHeight="1" x14ac:dyDescent="0.25">
      <c r="A69" s="1" t="s">
        <v>156</v>
      </c>
      <c r="B69" s="7" t="s">
        <v>139</v>
      </c>
      <c r="C69" s="4" t="s">
        <v>87</v>
      </c>
      <c r="D69" s="4">
        <v>5</v>
      </c>
      <c r="E69" s="4">
        <v>158</v>
      </c>
      <c r="F69" s="4">
        <v>5</v>
      </c>
      <c r="G69" s="4">
        <v>5</v>
      </c>
      <c r="H69" s="4">
        <v>31.6</v>
      </c>
      <c r="I69" s="4">
        <v>5.8</v>
      </c>
      <c r="J69" s="4">
        <v>10.4</v>
      </c>
      <c r="K69" s="4">
        <v>0.55800000000000005</v>
      </c>
      <c r="L69" s="4">
        <v>1.8</v>
      </c>
      <c r="M69" s="4">
        <v>2.8</v>
      </c>
      <c r="N69" s="4">
        <v>0.64300000000000002</v>
      </c>
      <c r="O69" s="4">
        <v>4</v>
      </c>
      <c r="P69" s="4">
        <v>7.6</v>
      </c>
      <c r="Q69" s="4">
        <v>0.52600000000000002</v>
      </c>
      <c r="R69" s="4">
        <v>2.2000000000000002</v>
      </c>
      <c r="S69" s="4">
        <v>2.6</v>
      </c>
      <c r="T69" s="4">
        <v>0.84599999999999997</v>
      </c>
      <c r="U69" s="4">
        <v>1.2</v>
      </c>
      <c r="V69" s="4">
        <v>6.6</v>
      </c>
      <c r="W69" s="4">
        <v>2</v>
      </c>
      <c r="X69" s="4">
        <v>1.2</v>
      </c>
      <c r="Y69" s="4">
        <v>0.2</v>
      </c>
      <c r="Z69" s="4">
        <v>2</v>
      </c>
      <c r="AA69" s="4">
        <v>1.8</v>
      </c>
      <c r="AB69" s="4">
        <v>15.6</v>
      </c>
      <c r="AC69" s="10">
        <f t="shared" si="7"/>
        <v>1.151801535735381</v>
      </c>
      <c r="AD69" s="10">
        <f t="shared" si="8"/>
        <v>0.11111111111111112</v>
      </c>
      <c r="AE69" s="12">
        <f>100*(AC69/TOTAL_BASIC!$D$302)</f>
        <v>121.01519222980662</v>
      </c>
      <c r="AF69" s="9"/>
      <c r="AG69" s="9"/>
      <c r="AH69" s="12">
        <f t="shared" si="9"/>
        <v>44.7</v>
      </c>
      <c r="AI69" s="12">
        <f t="shared" si="10"/>
        <v>91.3</v>
      </c>
      <c r="AJ69" s="12">
        <f t="shared" si="11"/>
        <v>86.3</v>
      </c>
      <c r="AK69" s="12">
        <f t="shared" si="12"/>
        <v>92.5</v>
      </c>
      <c r="AL69" s="12">
        <f t="shared" si="13"/>
        <v>63.3</v>
      </c>
    </row>
    <row r="70" spans="1:38" ht="15.75" customHeight="1" x14ac:dyDescent="0.25">
      <c r="A70" s="1" t="s">
        <v>174</v>
      </c>
      <c r="B70" s="4" t="s">
        <v>109</v>
      </c>
      <c r="C70" s="4" t="s">
        <v>8</v>
      </c>
      <c r="D70" s="4">
        <v>9</v>
      </c>
      <c r="E70" s="4">
        <v>158</v>
      </c>
      <c r="F70" s="4">
        <v>9</v>
      </c>
      <c r="G70" s="4">
        <v>3</v>
      </c>
      <c r="H70" s="4">
        <v>17.600000000000001</v>
      </c>
      <c r="I70" s="4">
        <v>3.3</v>
      </c>
      <c r="J70" s="4">
        <v>6.8</v>
      </c>
      <c r="K70" s="4">
        <v>0.49199999999999999</v>
      </c>
      <c r="L70" s="4">
        <v>0.9</v>
      </c>
      <c r="M70" s="4">
        <v>1.9</v>
      </c>
      <c r="N70" s="4">
        <v>0.47099999999999997</v>
      </c>
      <c r="O70" s="4">
        <v>2.4</v>
      </c>
      <c r="P70" s="4">
        <v>4.9000000000000004</v>
      </c>
      <c r="Q70" s="4">
        <v>0.5</v>
      </c>
      <c r="R70" s="4">
        <v>0.6</v>
      </c>
      <c r="S70" s="4">
        <v>0.7</v>
      </c>
      <c r="T70" s="4">
        <v>0.83299999999999996</v>
      </c>
      <c r="U70" s="4">
        <v>0.1</v>
      </c>
      <c r="V70" s="4">
        <v>1.1000000000000001</v>
      </c>
      <c r="W70" s="4">
        <v>2.2000000000000002</v>
      </c>
      <c r="X70" s="4">
        <v>0.6</v>
      </c>
      <c r="Y70" s="4">
        <v>0.3</v>
      </c>
      <c r="Z70" s="4">
        <v>1.2</v>
      </c>
      <c r="AA70" s="4">
        <v>1.7</v>
      </c>
      <c r="AB70" s="4">
        <v>8.1</v>
      </c>
      <c r="AC70" s="10">
        <f t="shared" si="7"/>
        <v>0.97496389022628793</v>
      </c>
      <c r="AD70" s="10">
        <f t="shared" si="8"/>
        <v>0.17647058823529413</v>
      </c>
      <c r="AE70" s="12">
        <f>100*(AC70/TOTAL_BASIC!$D$302)</f>
        <v>102.43556631266786</v>
      </c>
      <c r="AF70" s="9"/>
      <c r="AG70" s="9"/>
      <c r="AH70" s="12">
        <f t="shared" si="9"/>
        <v>57.699999999999996</v>
      </c>
      <c r="AI70" s="12">
        <f t="shared" si="10"/>
        <v>55.2</v>
      </c>
      <c r="AJ70" s="12">
        <f t="shared" si="11"/>
        <v>55.2</v>
      </c>
      <c r="AK70" s="12">
        <f t="shared" si="12"/>
        <v>40.300000000000004</v>
      </c>
      <c r="AL70" s="12">
        <f t="shared" si="13"/>
        <v>58.3</v>
      </c>
    </row>
    <row r="71" spans="1:38" ht="15.75" customHeight="1" x14ac:dyDescent="0.25">
      <c r="A71" s="1" t="s">
        <v>171</v>
      </c>
      <c r="B71" s="7" t="s">
        <v>139</v>
      </c>
      <c r="C71" s="4" t="s">
        <v>96</v>
      </c>
      <c r="D71" s="4">
        <v>6</v>
      </c>
      <c r="E71" s="4">
        <v>157</v>
      </c>
      <c r="F71" s="4">
        <v>6</v>
      </c>
      <c r="G71" s="4">
        <v>4</v>
      </c>
      <c r="H71" s="4">
        <v>26.2</v>
      </c>
      <c r="I71" s="4">
        <v>3</v>
      </c>
      <c r="J71" s="4">
        <v>6.7</v>
      </c>
      <c r="K71" s="4">
        <v>0.45</v>
      </c>
      <c r="L71" s="4">
        <v>1.2</v>
      </c>
      <c r="M71" s="4">
        <v>3.3</v>
      </c>
      <c r="N71" s="4">
        <v>0.35</v>
      </c>
      <c r="O71" s="4">
        <v>1.8</v>
      </c>
      <c r="P71" s="4">
        <v>3.3</v>
      </c>
      <c r="Q71" s="4">
        <v>0.55000000000000004</v>
      </c>
      <c r="R71" s="4">
        <v>1.5</v>
      </c>
      <c r="S71" s="4">
        <v>1.7</v>
      </c>
      <c r="T71" s="4">
        <v>0.9</v>
      </c>
      <c r="U71" s="4">
        <v>0.8</v>
      </c>
      <c r="V71" s="4">
        <v>2.5</v>
      </c>
      <c r="W71" s="4">
        <v>1.7</v>
      </c>
      <c r="X71" s="4">
        <v>0.7</v>
      </c>
      <c r="Y71" s="4">
        <v>0</v>
      </c>
      <c r="Z71" s="4">
        <v>2</v>
      </c>
      <c r="AA71" s="4">
        <v>2.5</v>
      </c>
      <c r="AB71" s="4">
        <v>8.6999999999999993</v>
      </c>
      <c r="AC71" s="10">
        <f t="shared" si="7"/>
        <v>0.92082980524978819</v>
      </c>
      <c r="AD71" s="10">
        <f t="shared" si="8"/>
        <v>0</v>
      </c>
      <c r="AE71" s="12">
        <f>100*(AC71/TOTAL_BASIC!$D$302)</f>
        <v>96.747913972950144</v>
      </c>
      <c r="AF71" s="9"/>
      <c r="AG71" s="9"/>
      <c r="AH71" s="12">
        <f t="shared" si="9"/>
        <v>0</v>
      </c>
      <c r="AI71" s="12">
        <f t="shared" si="10"/>
        <v>40.9</v>
      </c>
      <c r="AJ71" s="12">
        <f t="shared" si="11"/>
        <v>58.3</v>
      </c>
      <c r="AK71" s="12">
        <f t="shared" si="12"/>
        <v>70.099999999999994</v>
      </c>
      <c r="AL71" s="12">
        <f t="shared" si="13"/>
        <v>75.099999999999994</v>
      </c>
    </row>
    <row r="72" spans="1:38" ht="15.75" customHeight="1" x14ac:dyDescent="0.25">
      <c r="A72" s="1" t="s">
        <v>155</v>
      </c>
      <c r="B72" s="7" t="s">
        <v>93</v>
      </c>
      <c r="C72" s="4" t="s">
        <v>90</v>
      </c>
      <c r="D72" s="4">
        <v>7</v>
      </c>
      <c r="E72" s="4">
        <v>154</v>
      </c>
      <c r="F72" s="4">
        <v>7</v>
      </c>
      <c r="G72" s="4">
        <v>7</v>
      </c>
      <c r="H72" s="4">
        <v>22</v>
      </c>
      <c r="I72" s="4">
        <v>1.6</v>
      </c>
      <c r="J72" s="4">
        <v>4</v>
      </c>
      <c r="K72" s="4">
        <v>0.39300000000000002</v>
      </c>
      <c r="L72" s="4">
        <v>0.3</v>
      </c>
      <c r="M72" s="4">
        <v>1.1000000000000001</v>
      </c>
      <c r="N72" s="4">
        <v>0.25</v>
      </c>
      <c r="O72" s="4">
        <v>1.3</v>
      </c>
      <c r="P72" s="4">
        <v>2.9</v>
      </c>
      <c r="Q72" s="4">
        <v>0.45</v>
      </c>
      <c r="R72" s="4">
        <v>0.4</v>
      </c>
      <c r="S72" s="4">
        <v>0.9</v>
      </c>
      <c r="T72" s="4">
        <v>0.5</v>
      </c>
      <c r="U72" s="4">
        <v>1</v>
      </c>
      <c r="V72" s="4">
        <v>4.7</v>
      </c>
      <c r="W72" s="4">
        <v>1.7</v>
      </c>
      <c r="X72" s="4">
        <v>0.7</v>
      </c>
      <c r="Y72" s="4">
        <v>2</v>
      </c>
      <c r="Z72" s="4">
        <v>0.4</v>
      </c>
      <c r="AA72" s="4">
        <v>3.1</v>
      </c>
      <c r="AB72" s="4">
        <v>3.9</v>
      </c>
      <c r="AC72" s="10">
        <f t="shared" si="7"/>
        <v>0.81317764804003334</v>
      </c>
      <c r="AD72" s="10">
        <f t="shared" si="8"/>
        <v>0.64516129032258063</v>
      </c>
      <c r="AE72" s="12">
        <f>100*(AC72/TOTAL_BASIC!$D$302)</f>
        <v>85.437331294855127</v>
      </c>
      <c r="AF72" s="9"/>
      <c r="AG72" s="9"/>
      <c r="AH72" s="12">
        <f t="shared" si="9"/>
        <v>93.100000000000009</v>
      </c>
      <c r="AI72" s="12">
        <f t="shared" si="10"/>
        <v>22.3</v>
      </c>
      <c r="AJ72" s="12">
        <f t="shared" si="11"/>
        <v>14.899999999999999</v>
      </c>
      <c r="AK72" s="12">
        <f t="shared" si="12"/>
        <v>52.7</v>
      </c>
      <c r="AL72" s="12">
        <f t="shared" si="13"/>
        <v>9.9</v>
      </c>
    </row>
    <row r="73" spans="1:38" ht="15.75" customHeight="1" x14ac:dyDescent="0.25">
      <c r="A73" s="1" t="s">
        <v>158</v>
      </c>
      <c r="B73" s="7" t="s">
        <v>119</v>
      </c>
      <c r="C73" s="4" t="s">
        <v>8</v>
      </c>
      <c r="D73" s="4">
        <v>7</v>
      </c>
      <c r="E73" s="4">
        <v>153</v>
      </c>
      <c r="F73" s="4">
        <v>7</v>
      </c>
      <c r="G73" s="4">
        <v>0</v>
      </c>
      <c r="H73" s="4">
        <v>21.9</v>
      </c>
      <c r="I73" s="4">
        <v>7.6</v>
      </c>
      <c r="J73" s="4">
        <v>11.7</v>
      </c>
      <c r="K73" s="4">
        <v>0.64600000000000002</v>
      </c>
      <c r="L73" s="4">
        <v>1.3</v>
      </c>
      <c r="M73" s="4">
        <v>2.2999999999999998</v>
      </c>
      <c r="N73" s="4">
        <v>0.56299999999999994</v>
      </c>
      <c r="O73" s="4">
        <v>6.3</v>
      </c>
      <c r="P73" s="4">
        <v>9.4</v>
      </c>
      <c r="Q73" s="4">
        <v>0.66700000000000004</v>
      </c>
      <c r="R73" s="4">
        <v>2.7</v>
      </c>
      <c r="S73" s="4">
        <v>3.7</v>
      </c>
      <c r="T73" s="4">
        <v>0.73099999999999998</v>
      </c>
      <c r="U73" s="4">
        <v>0.9</v>
      </c>
      <c r="V73" s="4">
        <v>2.6</v>
      </c>
      <c r="W73" s="4">
        <v>1.9</v>
      </c>
      <c r="X73" s="4">
        <v>1.4</v>
      </c>
      <c r="Y73" s="4">
        <v>0.3</v>
      </c>
      <c r="Z73" s="4">
        <v>2.1</v>
      </c>
      <c r="AA73" s="4">
        <v>2.9</v>
      </c>
      <c r="AB73" s="4">
        <v>19.100000000000001</v>
      </c>
      <c r="AC73" s="10">
        <f t="shared" si="7"/>
        <v>1.2380088151413018</v>
      </c>
      <c r="AD73" s="10">
        <f t="shared" si="8"/>
        <v>0.10344827586206896</v>
      </c>
      <c r="AE73" s="12">
        <f>100*(AC73/TOTAL_BASIC!$D$302)</f>
        <v>130.07264715172201</v>
      </c>
      <c r="AF73" s="9"/>
      <c r="AG73" s="9"/>
      <c r="AH73" s="12">
        <f t="shared" si="9"/>
        <v>42.199999999999996</v>
      </c>
      <c r="AI73" s="12">
        <f t="shared" si="10"/>
        <v>95.6</v>
      </c>
      <c r="AJ73" s="12">
        <f t="shared" si="11"/>
        <v>95</v>
      </c>
      <c r="AK73" s="12">
        <f t="shared" si="12"/>
        <v>52.1</v>
      </c>
      <c r="AL73" s="12">
        <f t="shared" si="13"/>
        <v>35.4</v>
      </c>
    </row>
    <row r="74" spans="1:38" ht="15.75" customHeight="1" x14ac:dyDescent="0.25">
      <c r="A74" s="1" t="s">
        <v>183</v>
      </c>
      <c r="B74" s="7" t="s">
        <v>116</v>
      </c>
      <c r="C74" s="4" t="s">
        <v>8</v>
      </c>
      <c r="D74" s="4">
        <v>8</v>
      </c>
      <c r="E74" s="4">
        <v>152</v>
      </c>
      <c r="F74" s="4">
        <v>8</v>
      </c>
      <c r="G74" s="4">
        <v>0</v>
      </c>
      <c r="H74" s="4">
        <v>19</v>
      </c>
      <c r="I74" s="4">
        <v>3.5</v>
      </c>
      <c r="J74" s="4">
        <v>9.9</v>
      </c>
      <c r="K74" s="4">
        <v>0.35399999999999998</v>
      </c>
      <c r="L74" s="4">
        <v>1.3</v>
      </c>
      <c r="M74" s="4">
        <v>3.9</v>
      </c>
      <c r="N74" s="4">
        <v>0.32300000000000001</v>
      </c>
      <c r="O74" s="4">
        <v>2.2999999999999998</v>
      </c>
      <c r="P74" s="4">
        <v>6</v>
      </c>
      <c r="Q74" s="4">
        <v>0.375</v>
      </c>
      <c r="R74" s="4">
        <v>2.8</v>
      </c>
      <c r="S74" s="4">
        <v>3.4</v>
      </c>
      <c r="T74" s="4">
        <v>0.81499999999999995</v>
      </c>
      <c r="U74" s="4">
        <v>1</v>
      </c>
      <c r="V74" s="4">
        <v>2.8</v>
      </c>
      <c r="W74" s="4">
        <v>1.8</v>
      </c>
      <c r="X74" s="4">
        <v>0.5</v>
      </c>
      <c r="Y74" s="4">
        <v>0</v>
      </c>
      <c r="Z74" s="4">
        <v>1.8</v>
      </c>
      <c r="AA74" s="4">
        <v>1.4</v>
      </c>
      <c r="AB74" s="4">
        <v>11</v>
      </c>
      <c r="AC74" s="10">
        <f t="shared" si="7"/>
        <v>0.83358593513185808</v>
      </c>
      <c r="AD74" s="10">
        <f t="shared" si="8"/>
        <v>0</v>
      </c>
      <c r="AE74" s="12">
        <f>100*(AC74/TOTAL_BASIC!$D$302)</f>
        <v>87.581548600418486</v>
      </c>
      <c r="AF74" s="9"/>
      <c r="AG74" s="9"/>
      <c r="AH74" s="12">
        <f t="shared" si="9"/>
        <v>0</v>
      </c>
      <c r="AI74" s="12">
        <f t="shared" si="10"/>
        <v>25.4</v>
      </c>
      <c r="AJ74" s="12">
        <f t="shared" si="11"/>
        <v>67</v>
      </c>
      <c r="AK74" s="12">
        <f t="shared" si="12"/>
        <v>44.7</v>
      </c>
      <c r="AL74" s="12">
        <f t="shared" si="13"/>
        <v>53.400000000000006</v>
      </c>
    </row>
    <row r="75" spans="1:38" ht="15.75" customHeight="1" x14ac:dyDescent="0.25">
      <c r="A75" s="1" t="s">
        <v>184</v>
      </c>
      <c r="B75" s="7" t="s">
        <v>164</v>
      </c>
      <c r="C75" s="4" t="s">
        <v>87</v>
      </c>
      <c r="D75" s="4">
        <v>6</v>
      </c>
      <c r="E75" s="4">
        <v>150</v>
      </c>
      <c r="F75" s="4">
        <v>6</v>
      </c>
      <c r="G75" s="4">
        <v>6</v>
      </c>
      <c r="H75" s="4">
        <v>25</v>
      </c>
      <c r="I75" s="4">
        <v>4.7</v>
      </c>
      <c r="J75" s="4">
        <v>7.7</v>
      </c>
      <c r="K75" s="4">
        <v>0.60899999999999999</v>
      </c>
      <c r="L75" s="4">
        <v>0.7</v>
      </c>
      <c r="M75" s="4">
        <v>1.5</v>
      </c>
      <c r="N75" s="4">
        <v>0.44400000000000001</v>
      </c>
      <c r="O75" s="4">
        <v>4</v>
      </c>
      <c r="P75" s="4">
        <v>6.2</v>
      </c>
      <c r="Q75" s="4">
        <v>0.64900000000000002</v>
      </c>
      <c r="R75" s="4">
        <v>2.5</v>
      </c>
      <c r="S75" s="4">
        <v>3.5</v>
      </c>
      <c r="T75" s="4">
        <v>0.71399999999999997</v>
      </c>
      <c r="U75" s="4">
        <v>2.5</v>
      </c>
      <c r="V75" s="4">
        <v>5.5</v>
      </c>
      <c r="W75" s="4">
        <v>2</v>
      </c>
      <c r="X75" s="4">
        <v>1.5</v>
      </c>
      <c r="Y75" s="4">
        <v>1.5</v>
      </c>
      <c r="Z75" s="4">
        <v>1.2</v>
      </c>
      <c r="AA75" s="4">
        <v>2.7</v>
      </c>
      <c r="AB75" s="4">
        <v>12.5</v>
      </c>
      <c r="AC75" s="10">
        <f t="shared" si="7"/>
        <v>1.1973180076628354</v>
      </c>
      <c r="AD75" s="10">
        <f t="shared" si="8"/>
        <v>0.55555555555555547</v>
      </c>
      <c r="AE75" s="12">
        <f>100*(AC75/TOTAL_BASIC!$D$302)</f>
        <v>125.79742634656068</v>
      </c>
      <c r="AF75" s="9"/>
      <c r="AG75" s="9"/>
      <c r="AH75" s="12">
        <f t="shared" si="9"/>
        <v>88.8</v>
      </c>
      <c r="AI75" s="12">
        <f t="shared" si="10"/>
        <v>92.5</v>
      </c>
      <c r="AJ75" s="12">
        <f t="shared" si="11"/>
        <v>74.5</v>
      </c>
      <c r="AK75" s="12">
        <f t="shared" si="12"/>
        <v>64.5</v>
      </c>
      <c r="AL75" s="12">
        <f t="shared" si="13"/>
        <v>32.9</v>
      </c>
    </row>
    <row r="76" spans="1:38" ht="15.75" customHeight="1" x14ac:dyDescent="0.25">
      <c r="A76" s="1" t="s">
        <v>192</v>
      </c>
      <c r="B76" s="7" t="s">
        <v>95</v>
      </c>
      <c r="C76" s="4" t="s">
        <v>114</v>
      </c>
      <c r="D76" s="4">
        <v>8</v>
      </c>
      <c r="E76" s="4">
        <v>147</v>
      </c>
      <c r="F76" s="4">
        <v>8</v>
      </c>
      <c r="G76" s="4">
        <v>2</v>
      </c>
      <c r="H76" s="4">
        <v>18.399999999999999</v>
      </c>
      <c r="I76" s="4">
        <v>1.6</v>
      </c>
      <c r="J76" s="4">
        <v>3.9</v>
      </c>
      <c r="K76" s="4">
        <v>0.41899999999999998</v>
      </c>
      <c r="L76" s="4">
        <v>0.8</v>
      </c>
      <c r="M76" s="4">
        <v>2</v>
      </c>
      <c r="N76" s="4">
        <v>0.375</v>
      </c>
      <c r="O76" s="4">
        <v>0.9</v>
      </c>
      <c r="P76" s="4">
        <v>1.9</v>
      </c>
      <c r="Q76" s="4">
        <v>0.46700000000000003</v>
      </c>
      <c r="R76" s="4">
        <v>0.1</v>
      </c>
      <c r="S76" s="4">
        <v>0.1</v>
      </c>
      <c r="T76" s="4">
        <v>1</v>
      </c>
      <c r="U76" s="4">
        <v>0.6</v>
      </c>
      <c r="V76" s="4">
        <v>2.5</v>
      </c>
      <c r="W76" s="4">
        <v>0.6</v>
      </c>
      <c r="X76" s="4">
        <v>0.5</v>
      </c>
      <c r="Y76" s="4">
        <v>0.5</v>
      </c>
      <c r="Z76" s="4">
        <v>0.5</v>
      </c>
      <c r="AA76" s="4">
        <v>1.5</v>
      </c>
      <c r="AB76" s="4">
        <v>4.0999999999999996</v>
      </c>
      <c r="AC76" s="10">
        <f t="shared" si="7"/>
        <v>0.92259225922592247</v>
      </c>
      <c r="AD76" s="10">
        <f t="shared" si="8"/>
        <v>0.33333333333333331</v>
      </c>
      <c r="AE76" s="12">
        <f>100*(AC76/TOTAL_BASIC!$D$302)</f>
        <v>96.933087980885375</v>
      </c>
      <c r="AF76" s="9"/>
      <c r="AG76" s="9"/>
      <c r="AH76" s="12">
        <f t="shared" si="9"/>
        <v>78.2</v>
      </c>
      <c r="AI76" s="12">
        <f t="shared" si="10"/>
        <v>42.199999999999996</v>
      </c>
      <c r="AJ76" s="12">
        <f t="shared" si="11"/>
        <v>20.399999999999999</v>
      </c>
      <c r="AK76" s="12">
        <f t="shared" si="12"/>
        <v>42.8</v>
      </c>
      <c r="AL76" s="12">
        <f t="shared" si="13"/>
        <v>84.399999999999991</v>
      </c>
    </row>
    <row r="77" spans="1:38" ht="15.75" customHeight="1" x14ac:dyDescent="0.25">
      <c r="A77" s="1" t="s">
        <v>177</v>
      </c>
      <c r="B77" s="7" t="s">
        <v>119</v>
      </c>
      <c r="C77" s="4" t="s">
        <v>87</v>
      </c>
      <c r="D77" s="4">
        <v>7</v>
      </c>
      <c r="E77" s="4">
        <v>147</v>
      </c>
      <c r="F77" s="4">
        <v>7</v>
      </c>
      <c r="G77" s="4">
        <v>7</v>
      </c>
      <c r="H77" s="4">
        <v>21</v>
      </c>
      <c r="I77" s="4">
        <v>4.4000000000000004</v>
      </c>
      <c r="J77" s="4">
        <v>6.3</v>
      </c>
      <c r="K77" s="4">
        <v>0.70499999999999996</v>
      </c>
      <c r="L77" s="4">
        <v>0.1</v>
      </c>
      <c r="M77" s="4">
        <v>0.4</v>
      </c>
      <c r="N77" s="4">
        <v>0.33300000000000002</v>
      </c>
      <c r="O77" s="4">
        <v>4.3</v>
      </c>
      <c r="P77" s="4">
        <v>5.9</v>
      </c>
      <c r="Q77" s="4">
        <v>0.73199999999999998</v>
      </c>
      <c r="R77" s="4">
        <v>2</v>
      </c>
      <c r="S77" s="4">
        <v>4</v>
      </c>
      <c r="T77" s="4">
        <v>0.5</v>
      </c>
      <c r="U77" s="4">
        <v>2.7</v>
      </c>
      <c r="V77" s="4">
        <v>6.9</v>
      </c>
      <c r="W77" s="4">
        <v>1</v>
      </c>
      <c r="X77" s="4">
        <v>0.6</v>
      </c>
      <c r="Y77" s="4">
        <v>1</v>
      </c>
      <c r="Z77" s="4">
        <v>0.9</v>
      </c>
      <c r="AA77" s="4">
        <v>3.1</v>
      </c>
      <c r="AB77" s="4">
        <v>11</v>
      </c>
      <c r="AC77" s="10">
        <f t="shared" si="7"/>
        <v>1.2276785714285714</v>
      </c>
      <c r="AD77" s="10">
        <f t="shared" si="8"/>
        <v>0.32258064516129031</v>
      </c>
      <c r="AE77" s="12">
        <f>100*(AC77/TOTAL_BASIC!$D$302)</f>
        <v>128.98728965749135</v>
      </c>
      <c r="AF77" s="9"/>
      <c r="AG77" s="9"/>
      <c r="AH77" s="12">
        <f t="shared" si="9"/>
        <v>77.600000000000009</v>
      </c>
      <c r="AI77" s="12">
        <f t="shared" si="10"/>
        <v>93.7</v>
      </c>
      <c r="AJ77" s="12">
        <f t="shared" si="11"/>
        <v>67</v>
      </c>
      <c r="AK77" s="12">
        <f t="shared" si="12"/>
        <v>49.6</v>
      </c>
      <c r="AL77" s="12">
        <f t="shared" si="13"/>
        <v>9.9</v>
      </c>
    </row>
    <row r="78" spans="1:38" ht="15.75" customHeight="1" x14ac:dyDescent="0.25">
      <c r="A78" s="1" t="s">
        <v>135</v>
      </c>
      <c r="B78" s="7" t="s">
        <v>101</v>
      </c>
      <c r="C78" s="4" t="s">
        <v>8</v>
      </c>
      <c r="D78" s="4">
        <v>8</v>
      </c>
      <c r="E78" s="4">
        <v>145</v>
      </c>
      <c r="F78" s="4">
        <v>8</v>
      </c>
      <c r="G78" s="4">
        <v>7</v>
      </c>
      <c r="H78" s="4">
        <v>18.100000000000001</v>
      </c>
      <c r="I78" s="4">
        <v>2.8</v>
      </c>
      <c r="J78" s="4">
        <v>5.3</v>
      </c>
      <c r="K78" s="4">
        <v>0.52400000000000002</v>
      </c>
      <c r="L78" s="4">
        <v>0.6</v>
      </c>
      <c r="M78" s="4">
        <v>1.5</v>
      </c>
      <c r="N78" s="4">
        <v>0.41699999999999998</v>
      </c>
      <c r="O78" s="4">
        <v>2.1</v>
      </c>
      <c r="P78" s="4">
        <v>3.8</v>
      </c>
      <c r="Q78" s="4">
        <v>0.56699999999999995</v>
      </c>
      <c r="R78" s="4">
        <v>1.1000000000000001</v>
      </c>
      <c r="S78" s="4">
        <v>1.3</v>
      </c>
      <c r="T78" s="4">
        <v>0.9</v>
      </c>
      <c r="U78" s="4">
        <v>0</v>
      </c>
      <c r="V78" s="4">
        <v>0.8</v>
      </c>
      <c r="W78" s="4">
        <v>2.9</v>
      </c>
      <c r="X78" s="4">
        <v>0.9</v>
      </c>
      <c r="Y78" s="4">
        <v>0</v>
      </c>
      <c r="Z78" s="4">
        <v>1.6</v>
      </c>
      <c r="AA78" s="4">
        <v>1.6</v>
      </c>
      <c r="AB78" s="4">
        <v>7.3</v>
      </c>
      <c r="AC78" s="10">
        <f t="shared" si="7"/>
        <v>0.97698072805139191</v>
      </c>
      <c r="AD78" s="10">
        <f t="shared" si="8"/>
        <v>0</v>
      </c>
      <c r="AE78" s="12">
        <f>100*(AC78/TOTAL_BASIC!$D$302)</f>
        <v>102.64746741674607</v>
      </c>
      <c r="AF78" s="9"/>
      <c r="AG78" s="9"/>
      <c r="AH78" s="12">
        <f t="shared" si="9"/>
        <v>0</v>
      </c>
      <c r="AI78" s="12">
        <f t="shared" si="10"/>
        <v>55.900000000000006</v>
      </c>
      <c r="AJ78" s="12">
        <f t="shared" si="11"/>
        <v>44.7</v>
      </c>
      <c r="AK78" s="12">
        <f t="shared" si="12"/>
        <v>41.6</v>
      </c>
      <c r="AL78" s="12">
        <f t="shared" si="13"/>
        <v>75.099999999999994</v>
      </c>
    </row>
    <row r="79" spans="1:38" ht="15.75" customHeight="1" x14ac:dyDescent="0.25">
      <c r="A79" s="1" t="s">
        <v>186</v>
      </c>
      <c r="B79" s="7" t="s">
        <v>160</v>
      </c>
      <c r="C79" s="4" t="s">
        <v>187</v>
      </c>
      <c r="D79" s="4">
        <v>6</v>
      </c>
      <c r="E79" s="4">
        <v>143</v>
      </c>
      <c r="F79" s="4">
        <v>6</v>
      </c>
      <c r="G79" s="4">
        <v>6</v>
      </c>
      <c r="H79" s="4">
        <v>23.8</v>
      </c>
      <c r="I79" s="4">
        <v>5.3</v>
      </c>
      <c r="J79" s="4">
        <v>10.3</v>
      </c>
      <c r="K79" s="4">
        <v>0.51600000000000001</v>
      </c>
      <c r="L79" s="4">
        <v>1</v>
      </c>
      <c r="M79" s="4">
        <v>2.7</v>
      </c>
      <c r="N79" s="4">
        <v>0.375</v>
      </c>
      <c r="O79" s="4">
        <v>4.3</v>
      </c>
      <c r="P79" s="4">
        <v>7.7</v>
      </c>
      <c r="Q79" s="4">
        <v>0.56499999999999995</v>
      </c>
      <c r="R79" s="4">
        <v>3.8</v>
      </c>
      <c r="S79" s="4">
        <v>4.7</v>
      </c>
      <c r="T79" s="4">
        <v>0.82099999999999995</v>
      </c>
      <c r="U79" s="4">
        <v>2</v>
      </c>
      <c r="V79" s="4">
        <v>7.5</v>
      </c>
      <c r="W79" s="4">
        <v>2.7</v>
      </c>
      <c r="X79" s="4">
        <v>1.3</v>
      </c>
      <c r="Y79" s="4">
        <v>0.7</v>
      </c>
      <c r="Z79" s="4">
        <v>2</v>
      </c>
      <c r="AA79" s="4">
        <v>3.2</v>
      </c>
      <c r="AB79" s="4">
        <v>15.5</v>
      </c>
      <c r="AC79" s="10">
        <f t="shared" si="7"/>
        <v>1.0787861915367483</v>
      </c>
      <c r="AD79" s="10">
        <f t="shared" si="8"/>
        <v>0.21874999999999997</v>
      </c>
      <c r="AE79" s="12">
        <f>100*(AC79/TOTAL_BASIC!$D$302)</f>
        <v>113.34376131069293</v>
      </c>
      <c r="AF79" s="9"/>
      <c r="AG79" s="9"/>
      <c r="AH79" s="12">
        <f t="shared" si="9"/>
        <v>65.8</v>
      </c>
      <c r="AI79" s="12">
        <f t="shared" si="10"/>
        <v>81.3</v>
      </c>
      <c r="AJ79" s="12">
        <f t="shared" si="11"/>
        <v>85.7</v>
      </c>
      <c r="AK79" s="12">
        <f t="shared" si="12"/>
        <v>60.199999999999996</v>
      </c>
      <c r="AL79" s="12">
        <f t="shared" si="13"/>
        <v>55.2</v>
      </c>
    </row>
    <row r="80" spans="1:38" ht="15.75" customHeight="1" x14ac:dyDescent="0.25">
      <c r="A80" s="1" t="s">
        <v>199</v>
      </c>
      <c r="B80" s="7" t="s">
        <v>142</v>
      </c>
      <c r="C80" s="4" t="s">
        <v>8</v>
      </c>
      <c r="D80" s="4">
        <v>6</v>
      </c>
      <c r="E80" s="4">
        <v>142</v>
      </c>
      <c r="F80" s="4">
        <v>6</v>
      </c>
      <c r="G80" s="4">
        <v>6</v>
      </c>
      <c r="H80" s="4">
        <v>23.7</v>
      </c>
      <c r="I80" s="4">
        <v>2</v>
      </c>
      <c r="J80" s="4">
        <v>6.3</v>
      </c>
      <c r="K80" s="4">
        <v>0.316</v>
      </c>
      <c r="L80" s="4">
        <v>1.2</v>
      </c>
      <c r="M80" s="4">
        <v>4.2</v>
      </c>
      <c r="N80" s="4">
        <v>0.28000000000000003</v>
      </c>
      <c r="O80" s="4">
        <v>0.8</v>
      </c>
      <c r="P80" s="4">
        <v>2.2000000000000002</v>
      </c>
      <c r="Q80" s="4">
        <v>0.38500000000000001</v>
      </c>
      <c r="R80" s="4">
        <v>2</v>
      </c>
      <c r="S80" s="4">
        <v>2</v>
      </c>
      <c r="T80" s="4">
        <v>1</v>
      </c>
      <c r="U80" s="4">
        <v>0</v>
      </c>
      <c r="V80" s="4">
        <v>1.2</v>
      </c>
      <c r="W80" s="4">
        <v>4.2</v>
      </c>
      <c r="X80" s="4">
        <v>0.5</v>
      </c>
      <c r="Y80" s="4">
        <v>0.3</v>
      </c>
      <c r="Z80" s="4">
        <v>2.7</v>
      </c>
      <c r="AA80" s="4">
        <v>2.8</v>
      </c>
      <c r="AB80" s="4">
        <v>7.2</v>
      </c>
      <c r="AC80" s="10">
        <f t="shared" si="7"/>
        <v>0.72874493927125517</v>
      </c>
      <c r="AD80" s="10">
        <f t="shared" si="8"/>
        <v>0.10714285714285715</v>
      </c>
      <c r="AE80" s="12">
        <f>100*(AC80/TOTAL_BASIC!$D$302)</f>
        <v>76.566323430107488</v>
      </c>
      <c r="AF80" s="9"/>
      <c r="AG80" s="9"/>
      <c r="AH80" s="12">
        <f t="shared" si="9"/>
        <v>42.8</v>
      </c>
      <c r="AI80" s="12">
        <f t="shared" si="10"/>
        <v>13.600000000000001</v>
      </c>
      <c r="AJ80" s="12">
        <f t="shared" si="11"/>
        <v>44</v>
      </c>
      <c r="AK80" s="12">
        <f t="shared" si="12"/>
        <v>59</v>
      </c>
      <c r="AL80" s="12">
        <f t="shared" si="13"/>
        <v>84.399999999999991</v>
      </c>
    </row>
    <row r="81" spans="1:38" ht="15.75" customHeight="1" x14ac:dyDescent="0.25">
      <c r="A81" s="1" t="s">
        <v>221</v>
      </c>
      <c r="B81" s="7" t="s">
        <v>160</v>
      </c>
      <c r="C81" s="4" t="s">
        <v>8</v>
      </c>
      <c r="D81" s="4">
        <v>7</v>
      </c>
      <c r="E81" s="4">
        <v>141</v>
      </c>
      <c r="F81" s="4">
        <v>7</v>
      </c>
      <c r="G81" s="4">
        <v>4</v>
      </c>
      <c r="H81" s="4">
        <v>20.100000000000001</v>
      </c>
      <c r="I81" s="4">
        <v>2</v>
      </c>
      <c r="J81" s="4">
        <v>4.7</v>
      </c>
      <c r="K81" s="4">
        <v>0.42399999999999999</v>
      </c>
      <c r="L81" s="4">
        <v>1.3</v>
      </c>
      <c r="M81" s="4">
        <v>2.7</v>
      </c>
      <c r="N81" s="4">
        <v>0.47399999999999998</v>
      </c>
      <c r="O81" s="4">
        <v>0.7</v>
      </c>
      <c r="P81" s="4">
        <v>2</v>
      </c>
      <c r="Q81" s="4">
        <v>0.35699999999999998</v>
      </c>
      <c r="R81" s="4">
        <v>1.4</v>
      </c>
      <c r="S81" s="4">
        <v>2.1</v>
      </c>
      <c r="T81" s="4">
        <v>0.66700000000000004</v>
      </c>
      <c r="U81" s="4">
        <v>0.4</v>
      </c>
      <c r="V81" s="4">
        <v>4</v>
      </c>
      <c r="W81" s="4">
        <v>0.9</v>
      </c>
      <c r="X81" s="4">
        <v>0.7</v>
      </c>
      <c r="Y81" s="4">
        <v>0.1</v>
      </c>
      <c r="Z81" s="4">
        <v>1</v>
      </c>
      <c r="AA81" s="4">
        <v>3.3</v>
      </c>
      <c r="AB81" s="4">
        <v>6.7</v>
      </c>
      <c r="AC81" s="10">
        <f t="shared" si="7"/>
        <v>1.0114734299516908</v>
      </c>
      <c r="AD81" s="10">
        <f t="shared" si="8"/>
        <v>3.0303030303030307E-2</v>
      </c>
      <c r="AE81" s="12">
        <f>100*(AC81/TOTAL_BASIC!$D$302)</f>
        <v>106.2714779962467</v>
      </c>
      <c r="AF81" s="9"/>
      <c r="AG81" s="9"/>
      <c r="AH81" s="12">
        <f t="shared" si="9"/>
        <v>26.700000000000003</v>
      </c>
      <c r="AI81" s="12">
        <f t="shared" si="10"/>
        <v>67</v>
      </c>
      <c r="AJ81" s="12">
        <f t="shared" si="11"/>
        <v>40.9</v>
      </c>
      <c r="AK81" s="12">
        <f t="shared" si="12"/>
        <v>48.4</v>
      </c>
      <c r="AL81" s="12">
        <f t="shared" si="13"/>
        <v>23.599999999999998</v>
      </c>
    </row>
    <row r="82" spans="1:38" ht="15.75" customHeight="1" x14ac:dyDescent="0.25">
      <c r="A82" s="1" t="s">
        <v>190</v>
      </c>
      <c r="B82" s="7" t="s">
        <v>116</v>
      </c>
      <c r="C82" s="4" t="s">
        <v>87</v>
      </c>
      <c r="D82" s="4">
        <v>8</v>
      </c>
      <c r="E82" s="4">
        <v>140</v>
      </c>
      <c r="F82" s="4">
        <v>8</v>
      </c>
      <c r="G82" s="4">
        <v>8</v>
      </c>
      <c r="H82" s="4">
        <v>17.5</v>
      </c>
      <c r="I82" s="4">
        <v>1.1000000000000001</v>
      </c>
      <c r="J82" s="4">
        <v>4.0999999999999996</v>
      </c>
      <c r="K82" s="4">
        <v>0.27300000000000002</v>
      </c>
      <c r="L82" s="4">
        <v>0.1</v>
      </c>
      <c r="M82" s="4">
        <v>1.4</v>
      </c>
      <c r="N82" s="4">
        <v>9.0999999999999998E-2</v>
      </c>
      <c r="O82" s="4">
        <v>1</v>
      </c>
      <c r="P82" s="4">
        <v>2.8</v>
      </c>
      <c r="Q82" s="4">
        <v>0.36399999999999999</v>
      </c>
      <c r="R82" s="4">
        <v>0.6</v>
      </c>
      <c r="S82" s="4">
        <v>0.8</v>
      </c>
      <c r="T82" s="4">
        <v>0.83299999999999996</v>
      </c>
      <c r="U82" s="4">
        <v>0.4</v>
      </c>
      <c r="V82" s="4">
        <v>3.3</v>
      </c>
      <c r="W82" s="4">
        <v>1.1000000000000001</v>
      </c>
      <c r="X82" s="4">
        <v>1</v>
      </c>
      <c r="Y82" s="4">
        <v>0.4</v>
      </c>
      <c r="Z82" s="4">
        <v>1.3</v>
      </c>
      <c r="AA82" s="4">
        <v>1.6</v>
      </c>
      <c r="AB82" s="4">
        <v>3</v>
      </c>
      <c r="AC82" s="10">
        <f t="shared" si="7"/>
        <v>0.52155771905424197</v>
      </c>
      <c r="AD82" s="10">
        <f t="shared" si="8"/>
        <v>0.25</v>
      </c>
      <c r="AE82" s="12">
        <f>100*(AC82/TOTAL_BASIC!$D$302)</f>
        <v>54.797988778501818</v>
      </c>
      <c r="AF82" s="9"/>
      <c r="AG82" s="9"/>
      <c r="AH82" s="12">
        <f t="shared" si="9"/>
        <v>68.899999999999991</v>
      </c>
      <c r="AI82" s="12">
        <f t="shared" si="10"/>
        <v>3.1</v>
      </c>
      <c r="AJ82" s="12">
        <f t="shared" si="11"/>
        <v>9.3000000000000007</v>
      </c>
      <c r="AK82" s="12">
        <f t="shared" si="12"/>
        <v>39.1</v>
      </c>
      <c r="AL82" s="12">
        <f t="shared" si="13"/>
        <v>58.3</v>
      </c>
    </row>
    <row r="83" spans="1:38" ht="15.75" customHeight="1" x14ac:dyDescent="0.25">
      <c r="A83" s="1" t="s">
        <v>178</v>
      </c>
      <c r="B83" s="7" t="s">
        <v>244</v>
      </c>
      <c r="C83" s="4" t="s">
        <v>8</v>
      </c>
      <c r="D83" s="4">
        <v>6</v>
      </c>
      <c r="E83" s="4">
        <v>135</v>
      </c>
      <c r="F83" s="4">
        <v>6</v>
      </c>
      <c r="G83" s="4">
        <v>5</v>
      </c>
      <c r="H83" s="4">
        <v>22.5</v>
      </c>
      <c r="I83" s="4">
        <v>4.8</v>
      </c>
      <c r="J83" s="4">
        <v>10.5</v>
      </c>
      <c r="K83" s="4">
        <v>0.46</v>
      </c>
      <c r="L83" s="4">
        <v>0.7</v>
      </c>
      <c r="M83" s="4">
        <v>1.8</v>
      </c>
      <c r="N83" s="4">
        <v>0.36399999999999999</v>
      </c>
      <c r="O83" s="4">
        <v>4.2</v>
      </c>
      <c r="P83" s="4">
        <v>8.6999999999999993</v>
      </c>
      <c r="Q83" s="4">
        <v>0.48099999999999998</v>
      </c>
      <c r="R83" s="4">
        <v>6</v>
      </c>
      <c r="S83" s="4">
        <v>6.3</v>
      </c>
      <c r="T83" s="4">
        <v>0.94699999999999995</v>
      </c>
      <c r="U83" s="4">
        <v>0.5</v>
      </c>
      <c r="V83" s="4">
        <v>1.8</v>
      </c>
      <c r="W83" s="4">
        <v>4</v>
      </c>
      <c r="X83" s="4">
        <v>0.7</v>
      </c>
      <c r="Y83" s="4">
        <v>0</v>
      </c>
      <c r="Z83" s="4">
        <v>3.2</v>
      </c>
      <c r="AA83" s="4">
        <v>2</v>
      </c>
      <c r="AB83" s="4">
        <v>16.3</v>
      </c>
      <c r="AC83" s="10">
        <f t="shared" si="7"/>
        <v>0.98955803788246721</v>
      </c>
      <c r="AD83" s="10">
        <f t="shared" si="8"/>
        <v>0</v>
      </c>
      <c r="AE83" s="12">
        <f>100*(AC83/TOTAL_BASIC!$D$302)</f>
        <v>103.96891518332649</v>
      </c>
      <c r="AF83" s="9"/>
      <c r="AG83" s="9"/>
      <c r="AH83" s="12">
        <f t="shared" si="9"/>
        <v>0</v>
      </c>
      <c r="AI83" s="12">
        <f t="shared" si="10"/>
        <v>62.1</v>
      </c>
      <c r="AJ83" s="12">
        <f t="shared" si="11"/>
        <v>88.8</v>
      </c>
      <c r="AK83" s="12">
        <f t="shared" si="12"/>
        <v>54.6</v>
      </c>
      <c r="AL83" s="12">
        <f t="shared" si="13"/>
        <v>83.2</v>
      </c>
    </row>
    <row r="84" spans="1:38" ht="15.75" customHeight="1" x14ac:dyDescent="0.25">
      <c r="A84" s="1" t="s">
        <v>224</v>
      </c>
      <c r="B84" s="4" t="s">
        <v>160</v>
      </c>
      <c r="C84" s="4" t="s">
        <v>87</v>
      </c>
      <c r="D84" s="4">
        <v>6</v>
      </c>
      <c r="E84" s="4">
        <v>133</v>
      </c>
      <c r="F84" s="4">
        <v>6</v>
      </c>
      <c r="G84" s="4">
        <v>6</v>
      </c>
      <c r="H84" s="4">
        <v>22.2</v>
      </c>
      <c r="I84" s="4">
        <v>2</v>
      </c>
      <c r="J84" s="4">
        <v>5.2</v>
      </c>
      <c r="K84" s="4">
        <v>0.38700000000000001</v>
      </c>
      <c r="L84" s="4">
        <v>0.3</v>
      </c>
      <c r="M84" s="4">
        <v>1</v>
      </c>
      <c r="N84" s="4">
        <v>0.33300000000000002</v>
      </c>
      <c r="O84" s="4">
        <v>1.7</v>
      </c>
      <c r="P84" s="4">
        <v>4.2</v>
      </c>
      <c r="Q84" s="4">
        <v>0.4</v>
      </c>
      <c r="R84" s="4">
        <v>2</v>
      </c>
      <c r="S84" s="4">
        <v>2.5</v>
      </c>
      <c r="T84" s="4">
        <v>0.8</v>
      </c>
      <c r="U84" s="4">
        <v>2.2000000000000002</v>
      </c>
      <c r="V84" s="4">
        <v>5.7</v>
      </c>
      <c r="W84" s="4">
        <v>1.5</v>
      </c>
      <c r="X84" s="4">
        <v>1.2</v>
      </c>
      <c r="Y84" s="4">
        <v>0.7</v>
      </c>
      <c r="Z84" s="4">
        <v>1</v>
      </c>
      <c r="AA84" s="4">
        <v>2</v>
      </c>
      <c r="AB84" s="4">
        <v>6.3</v>
      </c>
      <c r="AC84" s="10">
        <f t="shared" si="7"/>
        <v>0.86301369863013688</v>
      </c>
      <c r="AD84" s="10">
        <f t="shared" si="8"/>
        <v>0.35</v>
      </c>
      <c r="AE84" s="12">
        <f>100*(AC84/TOTAL_BASIC!$D$302)</f>
        <v>90.673406308668362</v>
      </c>
      <c r="AF84" s="9"/>
      <c r="AG84" s="9"/>
      <c r="AH84" s="12">
        <f t="shared" si="9"/>
        <v>80.7</v>
      </c>
      <c r="AI84" s="12">
        <f t="shared" si="10"/>
        <v>31</v>
      </c>
      <c r="AJ84" s="12">
        <f t="shared" si="11"/>
        <v>39.1</v>
      </c>
      <c r="AK84" s="12">
        <f t="shared" si="12"/>
        <v>53.400000000000006</v>
      </c>
      <c r="AL84" s="12">
        <f t="shared" si="13"/>
        <v>49</v>
      </c>
    </row>
    <row r="85" spans="1:38" ht="15.75" customHeight="1" x14ac:dyDescent="0.25">
      <c r="A85" s="1" t="s">
        <v>167</v>
      </c>
      <c r="B85" s="7" t="s">
        <v>116</v>
      </c>
      <c r="C85" s="4" t="s">
        <v>8</v>
      </c>
      <c r="D85" s="4">
        <v>8</v>
      </c>
      <c r="E85" s="4">
        <v>130</v>
      </c>
      <c r="F85" s="4">
        <v>8</v>
      </c>
      <c r="G85" s="4">
        <v>0</v>
      </c>
      <c r="H85" s="4">
        <v>16.3</v>
      </c>
      <c r="I85" s="4">
        <v>1.5</v>
      </c>
      <c r="J85" s="4">
        <v>3</v>
      </c>
      <c r="K85" s="4">
        <v>0.5</v>
      </c>
      <c r="L85" s="4">
        <v>1.1000000000000001</v>
      </c>
      <c r="M85" s="4">
        <v>2.2999999999999998</v>
      </c>
      <c r="N85" s="4">
        <v>0.5</v>
      </c>
      <c r="O85" s="4">
        <v>0.4</v>
      </c>
      <c r="P85" s="4">
        <v>0.8</v>
      </c>
      <c r="Q85" s="4">
        <v>0.5</v>
      </c>
      <c r="R85" s="4">
        <v>0.6</v>
      </c>
      <c r="S85" s="4">
        <v>0.8</v>
      </c>
      <c r="T85" s="4">
        <v>0.83299999999999996</v>
      </c>
      <c r="U85" s="4">
        <v>0.1</v>
      </c>
      <c r="V85" s="4">
        <v>1.5</v>
      </c>
      <c r="W85" s="4">
        <v>1.1000000000000001</v>
      </c>
      <c r="X85" s="4">
        <v>0.5</v>
      </c>
      <c r="Y85" s="4">
        <v>0.1</v>
      </c>
      <c r="Z85" s="4">
        <v>1.1000000000000001</v>
      </c>
      <c r="AA85" s="4">
        <v>1.4</v>
      </c>
      <c r="AB85" s="4">
        <v>4.8</v>
      </c>
      <c r="AC85" s="10">
        <f t="shared" si="7"/>
        <v>1.0781671159029649</v>
      </c>
      <c r="AD85" s="10">
        <f t="shared" si="8"/>
        <v>7.1428571428571438E-2</v>
      </c>
      <c r="AE85" s="12">
        <f>100*(AC85/TOTAL_BASIC!$D$302)</f>
        <v>113.27871750366305</v>
      </c>
      <c r="AF85" s="9"/>
      <c r="AG85" s="9"/>
      <c r="AH85" s="12">
        <f t="shared" si="9"/>
        <v>37.799999999999997</v>
      </c>
      <c r="AI85" s="12">
        <f t="shared" si="10"/>
        <v>80.7</v>
      </c>
      <c r="AJ85" s="12">
        <f t="shared" si="11"/>
        <v>22.900000000000002</v>
      </c>
      <c r="AK85" s="12">
        <f t="shared" si="12"/>
        <v>34.1</v>
      </c>
      <c r="AL85" s="12">
        <f t="shared" si="13"/>
        <v>58.3</v>
      </c>
    </row>
    <row r="86" spans="1:38" ht="15.75" customHeight="1" x14ac:dyDescent="0.25">
      <c r="A86" s="1" t="s">
        <v>193</v>
      </c>
      <c r="B86" s="7" t="s">
        <v>142</v>
      </c>
      <c r="C86" s="4" t="s">
        <v>8</v>
      </c>
      <c r="D86" s="4">
        <v>6</v>
      </c>
      <c r="E86" s="4">
        <v>129</v>
      </c>
      <c r="F86" s="4">
        <v>6</v>
      </c>
      <c r="G86" s="4">
        <v>2</v>
      </c>
      <c r="H86" s="4">
        <v>21.5</v>
      </c>
      <c r="I86" s="4">
        <v>1.7</v>
      </c>
      <c r="J86" s="4">
        <v>5.8</v>
      </c>
      <c r="K86" s="4">
        <v>0.28599999999999998</v>
      </c>
      <c r="L86" s="4">
        <v>0.2</v>
      </c>
      <c r="M86" s="4">
        <v>2</v>
      </c>
      <c r="N86" s="4">
        <v>8.3000000000000004E-2</v>
      </c>
      <c r="O86" s="4">
        <v>1.5</v>
      </c>
      <c r="P86" s="4">
        <v>3.8</v>
      </c>
      <c r="Q86" s="4">
        <v>0.39100000000000001</v>
      </c>
      <c r="R86" s="4">
        <v>0.2</v>
      </c>
      <c r="S86" s="4">
        <v>0.3</v>
      </c>
      <c r="T86" s="4">
        <v>0.5</v>
      </c>
      <c r="U86" s="4">
        <v>0.8</v>
      </c>
      <c r="V86" s="4">
        <v>1.5</v>
      </c>
      <c r="W86" s="4">
        <v>1.2</v>
      </c>
      <c r="X86" s="4">
        <v>0.3</v>
      </c>
      <c r="Y86" s="4">
        <v>0.2</v>
      </c>
      <c r="Z86" s="4">
        <v>1.2</v>
      </c>
      <c r="AA86" s="4">
        <v>4.3</v>
      </c>
      <c r="AB86" s="4">
        <v>3.7</v>
      </c>
      <c r="AC86" s="10">
        <f t="shared" si="7"/>
        <v>0.5187885586090859</v>
      </c>
      <c r="AD86" s="10">
        <f t="shared" si="8"/>
        <v>4.651162790697675E-2</v>
      </c>
      <c r="AE86" s="12">
        <f>100*(AC86/TOTAL_BASIC!$D$302)</f>
        <v>54.507044138137374</v>
      </c>
      <c r="AF86" s="9"/>
      <c r="AG86" s="9"/>
      <c r="AH86" s="12">
        <f t="shared" si="9"/>
        <v>32.9</v>
      </c>
      <c r="AI86" s="12">
        <f t="shared" si="10"/>
        <v>1.7999999999999998</v>
      </c>
      <c r="AJ86" s="12">
        <f t="shared" si="11"/>
        <v>13.600000000000001</v>
      </c>
      <c r="AK86" s="12">
        <f t="shared" si="12"/>
        <v>50.3</v>
      </c>
      <c r="AL86" s="12">
        <f t="shared" si="13"/>
        <v>9.9</v>
      </c>
    </row>
    <row r="87" spans="1:38" ht="15.75" customHeight="1" x14ac:dyDescent="0.25">
      <c r="A87" s="1" t="s">
        <v>213</v>
      </c>
      <c r="B87" s="7" t="s">
        <v>160</v>
      </c>
      <c r="C87" s="4" t="s">
        <v>87</v>
      </c>
      <c r="D87" s="4">
        <v>7</v>
      </c>
      <c r="E87" s="4">
        <v>128</v>
      </c>
      <c r="F87" s="4">
        <v>7</v>
      </c>
      <c r="G87" s="4">
        <v>2</v>
      </c>
      <c r="H87" s="4">
        <v>18.3</v>
      </c>
      <c r="I87" s="4">
        <v>1.9</v>
      </c>
      <c r="J87" s="4">
        <v>3.7</v>
      </c>
      <c r="K87" s="4">
        <v>0.5</v>
      </c>
      <c r="L87" s="4">
        <v>0</v>
      </c>
      <c r="M87" s="4">
        <v>0.4</v>
      </c>
      <c r="N87" s="4">
        <v>0</v>
      </c>
      <c r="O87" s="4">
        <v>1.9</v>
      </c>
      <c r="P87" s="4">
        <v>3.3</v>
      </c>
      <c r="Q87" s="4">
        <v>0.56499999999999995</v>
      </c>
      <c r="R87" s="4">
        <v>1</v>
      </c>
      <c r="S87" s="4">
        <v>1</v>
      </c>
      <c r="T87" s="4">
        <v>1</v>
      </c>
      <c r="U87" s="4">
        <v>0.7</v>
      </c>
      <c r="V87" s="4">
        <v>3.1</v>
      </c>
      <c r="W87" s="4">
        <v>2.9</v>
      </c>
      <c r="X87" s="4">
        <v>0.9</v>
      </c>
      <c r="Y87" s="4">
        <v>0.6</v>
      </c>
      <c r="Z87" s="4">
        <v>1.4</v>
      </c>
      <c r="AA87" s="4">
        <v>2.2999999999999998</v>
      </c>
      <c r="AB87" s="4">
        <v>4.7</v>
      </c>
      <c r="AC87" s="10">
        <f t="shared" si="7"/>
        <v>0.84837545126353775</v>
      </c>
      <c r="AD87" s="10">
        <f t="shared" si="8"/>
        <v>0.2608695652173913</v>
      </c>
      <c r="AE87" s="12">
        <f>100*(AC87/TOTAL_BASIC!$D$302)</f>
        <v>89.13542405737239</v>
      </c>
      <c r="AF87" s="9"/>
      <c r="AG87" s="9"/>
      <c r="AH87" s="12">
        <f t="shared" si="9"/>
        <v>70.8</v>
      </c>
      <c r="AI87" s="12">
        <f t="shared" si="10"/>
        <v>27.900000000000002</v>
      </c>
      <c r="AJ87" s="12">
        <f t="shared" si="11"/>
        <v>22.3</v>
      </c>
      <c r="AK87" s="12">
        <f t="shared" si="12"/>
        <v>42.199999999999996</v>
      </c>
      <c r="AL87" s="12">
        <f t="shared" si="13"/>
        <v>84.399999999999991</v>
      </c>
    </row>
    <row r="88" spans="1:38" ht="15.75" customHeight="1" x14ac:dyDescent="0.25">
      <c r="A88" s="1" t="s">
        <v>204</v>
      </c>
      <c r="B88" s="7" t="s">
        <v>116</v>
      </c>
      <c r="C88" s="4" t="s">
        <v>87</v>
      </c>
      <c r="D88" s="4">
        <v>8</v>
      </c>
      <c r="E88" s="4">
        <v>127</v>
      </c>
      <c r="F88" s="4">
        <v>8</v>
      </c>
      <c r="G88" s="4">
        <v>0</v>
      </c>
      <c r="H88" s="4">
        <v>15.9</v>
      </c>
      <c r="I88" s="4">
        <v>1.9</v>
      </c>
      <c r="J88" s="4">
        <v>3.3</v>
      </c>
      <c r="K88" s="4">
        <v>0.57699999999999996</v>
      </c>
      <c r="L88" s="4">
        <v>0.5</v>
      </c>
      <c r="M88" s="4">
        <v>0.8</v>
      </c>
      <c r="N88" s="4">
        <v>0.66700000000000004</v>
      </c>
      <c r="O88" s="4">
        <v>1.4</v>
      </c>
      <c r="P88" s="4">
        <v>2.5</v>
      </c>
      <c r="Q88" s="4">
        <v>0.55000000000000004</v>
      </c>
      <c r="R88" s="4">
        <v>0.9</v>
      </c>
      <c r="S88" s="4">
        <v>1.1000000000000001</v>
      </c>
      <c r="T88" s="4">
        <v>0.77800000000000002</v>
      </c>
      <c r="U88" s="4">
        <v>1.6</v>
      </c>
      <c r="V88" s="4">
        <v>5</v>
      </c>
      <c r="W88" s="4">
        <v>0.6</v>
      </c>
      <c r="X88" s="4">
        <v>1</v>
      </c>
      <c r="Y88" s="4">
        <v>0.5</v>
      </c>
      <c r="Z88" s="4">
        <v>0.9</v>
      </c>
      <c r="AA88" s="4">
        <v>2.6</v>
      </c>
      <c r="AB88" s="4">
        <v>5.0999999999999996</v>
      </c>
      <c r="AC88" s="10">
        <f t="shared" si="7"/>
        <v>1.0888129803586677</v>
      </c>
      <c r="AD88" s="10">
        <f t="shared" si="8"/>
        <v>0.19230769230769229</v>
      </c>
      <c r="AE88" s="12">
        <f>100*(AC88/TOTAL_BASIC!$D$302)</f>
        <v>114.39723601018406</v>
      </c>
      <c r="AF88" s="9"/>
      <c r="AG88" s="9"/>
      <c r="AH88" s="12">
        <f t="shared" si="9"/>
        <v>60.199999999999996</v>
      </c>
      <c r="AI88" s="12">
        <f t="shared" si="10"/>
        <v>81.899999999999991</v>
      </c>
      <c r="AJ88" s="12">
        <f t="shared" si="11"/>
        <v>27.3</v>
      </c>
      <c r="AK88" s="12">
        <f t="shared" si="12"/>
        <v>31.6</v>
      </c>
      <c r="AL88" s="12">
        <f t="shared" si="13"/>
        <v>45.300000000000004</v>
      </c>
    </row>
    <row r="89" spans="1:38" ht="15.75" customHeight="1" x14ac:dyDescent="0.25">
      <c r="A89" s="1" t="s">
        <v>198</v>
      </c>
      <c r="B89" s="7" t="s">
        <v>244</v>
      </c>
      <c r="C89" s="4" t="s">
        <v>90</v>
      </c>
      <c r="D89" s="4">
        <v>8</v>
      </c>
      <c r="E89" s="4">
        <v>125</v>
      </c>
      <c r="F89" s="4">
        <v>8</v>
      </c>
      <c r="G89" s="4">
        <v>0</v>
      </c>
      <c r="H89" s="4">
        <v>15.6</v>
      </c>
      <c r="I89" s="4">
        <v>3.5</v>
      </c>
      <c r="J89" s="4">
        <v>5.6</v>
      </c>
      <c r="K89" s="4">
        <v>0.622</v>
      </c>
      <c r="L89" s="4">
        <v>0.8</v>
      </c>
      <c r="M89" s="4">
        <v>2.1</v>
      </c>
      <c r="N89" s="4">
        <v>0.35299999999999998</v>
      </c>
      <c r="O89" s="4">
        <v>2.8</v>
      </c>
      <c r="P89" s="4">
        <v>3.5</v>
      </c>
      <c r="Q89" s="4">
        <v>0.78600000000000003</v>
      </c>
      <c r="R89" s="4">
        <v>1.3</v>
      </c>
      <c r="S89" s="4">
        <v>1.6</v>
      </c>
      <c r="T89" s="4">
        <v>0.76900000000000002</v>
      </c>
      <c r="U89" s="4">
        <v>0.8</v>
      </c>
      <c r="V89" s="4">
        <v>2.8</v>
      </c>
      <c r="W89" s="4">
        <v>0.5</v>
      </c>
      <c r="X89" s="4">
        <v>0.1</v>
      </c>
      <c r="Y89" s="4">
        <v>0.4</v>
      </c>
      <c r="Z89" s="4">
        <v>0.4</v>
      </c>
      <c r="AA89" s="4">
        <v>2.5</v>
      </c>
      <c r="AB89" s="4">
        <v>9</v>
      </c>
      <c r="AC89" s="10">
        <f t="shared" si="7"/>
        <v>1.3424821002386635</v>
      </c>
      <c r="AD89" s="10">
        <f t="shared" si="8"/>
        <v>0.16</v>
      </c>
      <c r="AE89" s="12">
        <f>100*(AC89/TOTAL_BASIC!$D$302)</f>
        <v>141.04923841912699</v>
      </c>
      <c r="AF89" s="9"/>
      <c r="AG89" s="9"/>
      <c r="AH89" s="12">
        <f t="shared" si="9"/>
        <v>52.7</v>
      </c>
      <c r="AI89" s="12">
        <f t="shared" si="10"/>
        <v>98.7</v>
      </c>
      <c r="AJ89" s="12">
        <f t="shared" si="11"/>
        <v>60.199999999999996</v>
      </c>
      <c r="AK89" s="12">
        <f t="shared" si="12"/>
        <v>30.4</v>
      </c>
      <c r="AL89" s="12">
        <f t="shared" si="13"/>
        <v>44</v>
      </c>
    </row>
    <row r="90" spans="1:38" ht="15.75" customHeight="1" x14ac:dyDescent="0.25">
      <c r="A90" s="1" t="s">
        <v>136</v>
      </c>
      <c r="B90" s="7" t="s">
        <v>101</v>
      </c>
      <c r="C90" s="4" t="s">
        <v>87</v>
      </c>
      <c r="D90" s="4">
        <v>7</v>
      </c>
      <c r="E90" s="4">
        <v>122</v>
      </c>
      <c r="F90" s="4">
        <v>7</v>
      </c>
      <c r="G90" s="4">
        <v>7</v>
      </c>
      <c r="H90" s="4">
        <v>17.399999999999999</v>
      </c>
      <c r="I90" s="4">
        <v>1.6</v>
      </c>
      <c r="J90" s="4">
        <v>4.7</v>
      </c>
      <c r="K90" s="4">
        <v>0.33300000000000002</v>
      </c>
      <c r="L90" s="4">
        <v>0.3</v>
      </c>
      <c r="M90" s="4">
        <v>2.1</v>
      </c>
      <c r="N90" s="4">
        <v>0.13300000000000001</v>
      </c>
      <c r="O90" s="4">
        <v>1.3</v>
      </c>
      <c r="P90" s="4">
        <v>2.6</v>
      </c>
      <c r="Q90" s="4">
        <v>0.5</v>
      </c>
      <c r="R90" s="4">
        <v>0.3</v>
      </c>
      <c r="S90" s="4">
        <v>0.4</v>
      </c>
      <c r="T90" s="4">
        <v>0.66700000000000004</v>
      </c>
      <c r="U90" s="4">
        <v>1.4</v>
      </c>
      <c r="V90" s="4">
        <v>3.4</v>
      </c>
      <c r="W90" s="4">
        <v>2</v>
      </c>
      <c r="X90" s="4">
        <v>1.1000000000000001</v>
      </c>
      <c r="Y90" s="4">
        <v>0.6</v>
      </c>
      <c r="Z90" s="4">
        <v>1.3</v>
      </c>
      <c r="AA90" s="4">
        <v>3.3</v>
      </c>
      <c r="AB90" s="4">
        <v>3.7</v>
      </c>
      <c r="AC90" s="10">
        <f t="shared" si="7"/>
        <v>0.59909326424870468</v>
      </c>
      <c r="AD90" s="10">
        <f t="shared" si="8"/>
        <v>0.18181818181818182</v>
      </c>
      <c r="AE90" s="12">
        <f>100*(AC90/TOTAL_BASIC!$D$302)</f>
        <v>62.944339182836082</v>
      </c>
      <c r="AF90" s="9"/>
      <c r="AG90" s="9"/>
      <c r="AH90" s="12">
        <f t="shared" si="9"/>
        <v>59</v>
      </c>
      <c r="AI90" s="12">
        <f t="shared" si="10"/>
        <v>4.9000000000000004</v>
      </c>
      <c r="AJ90" s="12">
        <f t="shared" si="11"/>
        <v>13.600000000000001</v>
      </c>
      <c r="AK90" s="12">
        <f t="shared" si="12"/>
        <v>38.5</v>
      </c>
      <c r="AL90" s="12">
        <f t="shared" si="13"/>
        <v>23.599999999999998</v>
      </c>
    </row>
    <row r="91" spans="1:38" ht="15.75" customHeight="1" x14ac:dyDescent="0.25">
      <c r="A91" s="1" t="s">
        <v>219</v>
      </c>
      <c r="B91" s="7" t="s">
        <v>133</v>
      </c>
      <c r="C91" s="4" t="s">
        <v>187</v>
      </c>
      <c r="D91" s="4">
        <v>7</v>
      </c>
      <c r="E91" s="4">
        <v>119</v>
      </c>
      <c r="F91" s="4">
        <v>7</v>
      </c>
      <c r="G91" s="4">
        <v>0</v>
      </c>
      <c r="H91" s="4">
        <v>17</v>
      </c>
      <c r="I91" s="4">
        <v>2</v>
      </c>
      <c r="J91" s="4">
        <v>4.0999999999999996</v>
      </c>
      <c r="K91" s="4">
        <v>0.48299999999999998</v>
      </c>
      <c r="L91" s="4">
        <v>0</v>
      </c>
      <c r="M91" s="4">
        <v>0</v>
      </c>
      <c r="N91" s="4">
        <v>0</v>
      </c>
      <c r="O91" s="4">
        <v>2</v>
      </c>
      <c r="P91" s="4">
        <v>4.0999999999999996</v>
      </c>
      <c r="Q91" s="4">
        <v>0.48299999999999998</v>
      </c>
      <c r="R91" s="4">
        <v>1</v>
      </c>
      <c r="S91" s="4">
        <v>2.4</v>
      </c>
      <c r="T91" s="4">
        <v>0.41199999999999998</v>
      </c>
      <c r="U91" s="4">
        <v>2</v>
      </c>
      <c r="V91" s="4">
        <v>4.9000000000000004</v>
      </c>
      <c r="W91" s="4">
        <v>1.1000000000000001</v>
      </c>
      <c r="X91" s="4">
        <v>0.4</v>
      </c>
      <c r="Y91" s="4">
        <v>0.9</v>
      </c>
      <c r="Z91" s="4">
        <v>1</v>
      </c>
      <c r="AA91" s="4">
        <v>1.4</v>
      </c>
      <c r="AB91" s="4">
        <v>5</v>
      </c>
      <c r="AC91" s="10">
        <f t="shared" si="7"/>
        <v>0.81221572449642632</v>
      </c>
      <c r="AD91" s="10">
        <f t="shared" si="8"/>
        <v>0.6428571428571429</v>
      </c>
      <c r="AE91" s="12">
        <f>100*(AC91/TOTAL_BASIC!$D$302)</f>
        <v>85.336265825737073</v>
      </c>
      <c r="AF91" s="9"/>
      <c r="AG91" s="9"/>
      <c r="AH91" s="12">
        <f t="shared" si="9"/>
        <v>92.5</v>
      </c>
      <c r="AI91" s="12">
        <f t="shared" si="10"/>
        <v>21.7</v>
      </c>
      <c r="AJ91" s="12">
        <f t="shared" si="11"/>
        <v>25.4</v>
      </c>
      <c r="AK91" s="12">
        <f t="shared" si="12"/>
        <v>36.6</v>
      </c>
      <c r="AL91" s="12">
        <f t="shared" si="13"/>
        <v>7.3999999999999995</v>
      </c>
    </row>
    <row r="92" spans="1:38" ht="15.75" customHeight="1" x14ac:dyDescent="0.25">
      <c r="A92" s="1" t="s">
        <v>132</v>
      </c>
      <c r="B92" s="7" t="s">
        <v>133</v>
      </c>
      <c r="C92" s="4" t="s">
        <v>87</v>
      </c>
      <c r="D92" s="4">
        <v>4</v>
      </c>
      <c r="E92" s="4">
        <v>118</v>
      </c>
      <c r="F92" s="4">
        <v>4</v>
      </c>
      <c r="G92" s="4">
        <v>4</v>
      </c>
      <c r="H92" s="4">
        <v>29.5</v>
      </c>
      <c r="I92" s="4">
        <v>6</v>
      </c>
      <c r="J92" s="4">
        <v>15</v>
      </c>
      <c r="K92" s="4">
        <v>0.4</v>
      </c>
      <c r="L92" s="4">
        <v>1.5</v>
      </c>
      <c r="M92" s="4">
        <v>5.3</v>
      </c>
      <c r="N92" s="4">
        <v>0.28599999999999998</v>
      </c>
      <c r="O92" s="4">
        <v>4.5</v>
      </c>
      <c r="P92" s="4">
        <v>9.8000000000000007</v>
      </c>
      <c r="Q92" s="4">
        <v>0.46200000000000002</v>
      </c>
      <c r="R92" s="4">
        <v>4.5</v>
      </c>
      <c r="S92" s="4">
        <v>5.5</v>
      </c>
      <c r="T92" s="4">
        <v>0.81799999999999995</v>
      </c>
      <c r="U92" s="4">
        <v>1</v>
      </c>
      <c r="V92" s="4">
        <v>4.8</v>
      </c>
      <c r="W92" s="4">
        <v>2</v>
      </c>
      <c r="X92" s="4">
        <v>0.3</v>
      </c>
      <c r="Y92" s="4">
        <v>1.8</v>
      </c>
      <c r="Z92" s="4">
        <v>2</v>
      </c>
      <c r="AA92" s="4">
        <v>1.8</v>
      </c>
      <c r="AB92" s="4">
        <v>18</v>
      </c>
      <c r="AC92" s="10">
        <f t="shared" si="7"/>
        <v>0.92687950566426358</v>
      </c>
      <c r="AD92" s="10">
        <f t="shared" si="8"/>
        <v>1</v>
      </c>
      <c r="AE92" s="12">
        <f>100*(AC92/TOTAL_BASIC!$D$302)</f>
        <v>97.383531860126396</v>
      </c>
      <c r="AF92" s="9"/>
      <c r="AG92" s="9"/>
      <c r="AH92" s="12">
        <f t="shared" si="9"/>
        <v>97.5</v>
      </c>
      <c r="AI92" s="12">
        <f t="shared" si="10"/>
        <v>44</v>
      </c>
      <c r="AJ92" s="12">
        <f t="shared" si="11"/>
        <v>92.5</v>
      </c>
      <c r="AK92" s="12">
        <f t="shared" si="12"/>
        <v>83.2</v>
      </c>
      <c r="AL92" s="12">
        <f t="shared" si="13"/>
        <v>54</v>
      </c>
    </row>
    <row r="93" spans="1:38" ht="15.75" customHeight="1" x14ac:dyDescent="0.25">
      <c r="A93" s="1" t="s">
        <v>185</v>
      </c>
      <c r="B93" s="7" t="s">
        <v>119</v>
      </c>
      <c r="C93" s="4" t="s">
        <v>87</v>
      </c>
      <c r="D93" s="4">
        <v>7</v>
      </c>
      <c r="E93" s="4">
        <v>112</v>
      </c>
      <c r="F93" s="4">
        <v>7</v>
      </c>
      <c r="G93" s="4">
        <v>7</v>
      </c>
      <c r="H93" s="4">
        <v>16</v>
      </c>
      <c r="I93" s="4">
        <v>1.3</v>
      </c>
      <c r="J93" s="4">
        <v>2.4</v>
      </c>
      <c r="K93" s="4">
        <v>0.52900000000000003</v>
      </c>
      <c r="L93" s="4">
        <v>0</v>
      </c>
      <c r="M93" s="4">
        <v>0.9</v>
      </c>
      <c r="N93" s="4">
        <v>0</v>
      </c>
      <c r="O93" s="4">
        <v>1.3</v>
      </c>
      <c r="P93" s="4">
        <v>1.6</v>
      </c>
      <c r="Q93" s="4">
        <v>0.81799999999999995</v>
      </c>
      <c r="R93" s="4">
        <v>0.1</v>
      </c>
      <c r="S93" s="4">
        <v>0.3</v>
      </c>
      <c r="T93" s="4">
        <v>0.5</v>
      </c>
      <c r="U93" s="4">
        <v>0.6</v>
      </c>
      <c r="V93" s="4">
        <v>2.6</v>
      </c>
      <c r="W93" s="4">
        <v>1.3</v>
      </c>
      <c r="X93" s="4">
        <v>0.6</v>
      </c>
      <c r="Y93" s="4">
        <v>0.3</v>
      </c>
      <c r="Z93" s="4">
        <v>0.7</v>
      </c>
      <c r="AA93" s="4">
        <v>1</v>
      </c>
      <c r="AB93" s="4">
        <v>2.7</v>
      </c>
      <c r="AC93" s="10">
        <f t="shared" si="7"/>
        <v>0.83539603960396036</v>
      </c>
      <c r="AD93" s="10">
        <f t="shared" si="8"/>
        <v>0.3</v>
      </c>
      <c r="AE93" s="12">
        <f>100*(AC93/TOTAL_BASIC!$D$302)</f>
        <v>87.771729055862679</v>
      </c>
      <c r="AF93" s="9"/>
      <c r="AG93" s="9"/>
      <c r="AH93" s="12">
        <f t="shared" si="9"/>
        <v>73.2</v>
      </c>
      <c r="AI93" s="12">
        <f t="shared" si="10"/>
        <v>26</v>
      </c>
      <c r="AJ93" s="12">
        <f t="shared" si="11"/>
        <v>6.8000000000000007</v>
      </c>
      <c r="AK93" s="12">
        <f t="shared" si="12"/>
        <v>32.9</v>
      </c>
      <c r="AL93" s="12">
        <f t="shared" si="13"/>
        <v>9.9</v>
      </c>
    </row>
    <row r="94" spans="1:38" ht="15.75" customHeight="1" x14ac:dyDescent="0.25">
      <c r="A94" s="1" t="s">
        <v>197</v>
      </c>
      <c r="B94" s="7" t="s">
        <v>93</v>
      </c>
      <c r="C94" s="4" t="s">
        <v>8</v>
      </c>
      <c r="D94" s="4">
        <v>7</v>
      </c>
      <c r="E94" s="4">
        <v>111</v>
      </c>
      <c r="F94" s="4">
        <v>7</v>
      </c>
      <c r="G94" s="4">
        <v>0</v>
      </c>
      <c r="H94" s="4">
        <v>15.9</v>
      </c>
      <c r="I94" s="4">
        <v>2.7</v>
      </c>
      <c r="J94" s="4">
        <v>5.9</v>
      </c>
      <c r="K94" s="4">
        <v>0.46300000000000002</v>
      </c>
      <c r="L94" s="4">
        <v>0.6</v>
      </c>
      <c r="M94" s="4">
        <v>1.1000000000000001</v>
      </c>
      <c r="N94" s="4">
        <v>0.5</v>
      </c>
      <c r="O94" s="4">
        <v>2.1</v>
      </c>
      <c r="P94" s="4">
        <v>4.7</v>
      </c>
      <c r="Q94" s="4">
        <v>0.45500000000000002</v>
      </c>
      <c r="R94" s="4">
        <v>1.4</v>
      </c>
      <c r="S94" s="4">
        <v>1.6</v>
      </c>
      <c r="T94" s="4">
        <v>0.90900000000000003</v>
      </c>
      <c r="U94" s="4">
        <v>0.7</v>
      </c>
      <c r="V94" s="4">
        <v>2</v>
      </c>
      <c r="W94" s="4">
        <v>1.4</v>
      </c>
      <c r="X94" s="4">
        <v>0.1</v>
      </c>
      <c r="Y94" s="4">
        <v>0</v>
      </c>
      <c r="Z94" s="4">
        <v>0.9</v>
      </c>
      <c r="AA94" s="4">
        <v>1.3</v>
      </c>
      <c r="AB94" s="4">
        <v>7.4</v>
      </c>
      <c r="AC94" s="10">
        <f t="shared" si="7"/>
        <v>0.98614072494669514</v>
      </c>
      <c r="AD94" s="10">
        <f t="shared" si="8"/>
        <v>0</v>
      </c>
      <c r="AE94" s="12">
        <f>100*(AC94/TOTAL_BASIC!$D$302)</f>
        <v>103.60987174658733</v>
      </c>
      <c r="AF94" s="9"/>
      <c r="AG94" s="9"/>
      <c r="AH94" s="12">
        <f t="shared" si="9"/>
        <v>0</v>
      </c>
      <c r="AI94" s="12">
        <f t="shared" si="10"/>
        <v>59.599999999999994</v>
      </c>
      <c r="AJ94" s="12">
        <f t="shared" si="11"/>
        <v>47.199999999999996</v>
      </c>
      <c r="AK94" s="12">
        <f t="shared" si="12"/>
        <v>31.6</v>
      </c>
      <c r="AL94" s="12">
        <f t="shared" si="13"/>
        <v>79.5</v>
      </c>
    </row>
    <row r="95" spans="1:38" ht="15.75" customHeight="1" x14ac:dyDescent="0.25">
      <c r="A95" s="1" t="s">
        <v>242</v>
      </c>
      <c r="B95" s="7" t="s">
        <v>109</v>
      </c>
      <c r="C95" s="4" t="s">
        <v>87</v>
      </c>
      <c r="D95" s="4">
        <v>6</v>
      </c>
      <c r="E95" s="4">
        <v>111</v>
      </c>
      <c r="F95" s="4">
        <v>6</v>
      </c>
      <c r="G95" s="4">
        <v>6</v>
      </c>
      <c r="H95" s="4">
        <v>18.5</v>
      </c>
      <c r="I95" s="4">
        <v>3.5</v>
      </c>
      <c r="J95" s="4">
        <v>7</v>
      </c>
      <c r="K95" s="4">
        <v>0.5</v>
      </c>
      <c r="L95" s="4">
        <v>0</v>
      </c>
      <c r="M95" s="4">
        <v>0.5</v>
      </c>
      <c r="N95" s="4">
        <v>0</v>
      </c>
      <c r="O95" s="4">
        <v>3.5</v>
      </c>
      <c r="P95" s="4">
        <v>6.5</v>
      </c>
      <c r="Q95" s="4">
        <v>0.53800000000000003</v>
      </c>
      <c r="R95" s="4">
        <v>1</v>
      </c>
      <c r="S95" s="4">
        <v>1.5</v>
      </c>
      <c r="T95" s="4">
        <v>0.66700000000000004</v>
      </c>
      <c r="U95" s="4">
        <v>1.5</v>
      </c>
      <c r="V95" s="4">
        <v>3.8</v>
      </c>
      <c r="W95" s="4">
        <v>0.8</v>
      </c>
      <c r="X95" s="4">
        <v>1.2</v>
      </c>
      <c r="Y95" s="4">
        <v>0.5</v>
      </c>
      <c r="Z95" s="4">
        <v>2</v>
      </c>
      <c r="AA95" s="4">
        <v>2.2000000000000002</v>
      </c>
      <c r="AB95" s="4">
        <v>8</v>
      </c>
      <c r="AC95" s="10">
        <f t="shared" si="7"/>
        <v>0.82815734989648027</v>
      </c>
      <c r="AD95" s="10">
        <f t="shared" si="8"/>
        <v>0.22727272727272727</v>
      </c>
      <c r="AE95" s="12">
        <f>100*(AC95/TOTAL_BASIC!$D$302)</f>
        <v>87.01118880716146</v>
      </c>
      <c r="AF95" s="9"/>
      <c r="AG95" s="9"/>
      <c r="AH95" s="12">
        <f t="shared" si="9"/>
        <v>66.400000000000006</v>
      </c>
      <c r="AI95" s="12">
        <f t="shared" si="10"/>
        <v>23.599999999999998</v>
      </c>
      <c r="AJ95" s="12">
        <f t="shared" si="11"/>
        <v>52.1</v>
      </c>
      <c r="AK95" s="12">
        <f t="shared" si="12"/>
        <v>43.4</v>
      </c>
      <c r="AL95" s="12">
        <f t="shared" si="13"/>
        <v>23.599999999999998</v>
      </c>
    </row>
    <row r="96" spans="1:38" ht="15.75" customHeight="1" x14ac:dyDescent="0.25">
      <c r="A96" s="1" t="s">
        <v>231</v>
      </c>
      <c r="B96" s="7" t="s">
        <v>101</v>
      </c>
      <c r="C96" s="4" t="s">
        <v>87</v>
      </c>
      <c r="D96" s="4">
        <v>8</v>
      </c>
      <c r="E96" s="4">
        <v>111</v>
      </c>
      <c r="F96" s="4">
        <v>8</v>
      </c>
      <c r="G96" s="4">
        <v>0</v>
      </c>
      <c r="H96" s="4">
        <v>13.9</v>
      </c>
      <c r="I96" s="4">
        <v>2.1</v>
      </c>
      <c r="J96" s="4">
        <v>3.3</v>
      </c>
      <c r="K96" s="4">
        <v>0.65400000000000003</v>
      </c>
      <c r="L96" s="4">
        <v>0.9</v>
      </c>
      <c r="M96" s="4">
        <v>1.6</v>
      </c>
      <c r="N96" s="4">
        <v>0.53800000000000003</v>
      </c>
      <c r="O96" s="4">
        <v>1.3</v>
      </c>
      <c r="P96" s="4">
        <v>1.6</v>
      </c>
      <c r="Q96" s="4">
        <v>0.76900000000000002</v>
      </c>
      <c r="R96" s="4">
        <v>1.5</v>
      </c>
      <c r="S96" s="4">
        <v>2</v>
      </c>
      <c r="T96" s="4">
        <v>0.75</v>
      </c>
      <c r="U96" s="4">
        <v>0.5</v>
      </c>
      <c r="V96" s="4">
        <v>3</v>
      </c>
      <c r="W96" s="4">
        <v>0.9</v>
      </c>
      <c r="X96" s="4">
        <v>0.6</v>
      </c>
      <c r="Y96" s="4">
        <v>0.9</v>
      </c>
      <c r="Z96" s="4">
        <v>0.8</v>
      </c>
      <c r="AA96" s="4">
        <v>0.5</v>
      </c>
      <c r="AB96" s="4">
        <v>6.6</v>
      </c>
      <c r="AC96" s="10">
        <f t="shared" si="7"/>
        <v>1.3253012048192772</v>
      </c>
      <c r="AD96" s="10">
        <f t="shared" si="8"/>
        <v>1.8</v>
      </c>
      <c r="AE96" s="12">
        <f>100*(AC96/TOTAL_BASIC!$D$302)</f>
        <v>139.24411028085811</v>
      </c>
      <c r="AF96" s="9"/>
      <c r="AG96" s="9"/>
      <c r="AH96" s="12">
        <f t="shared" si="9"/>
        <v>100</v>
      </c>
      <c r="AI96" s="12">
        <f t="shared" si="10"/>
        <v>98.1</v>
      </c>
      <c r="AJ96" s="12">
        <f t="shared" si="11"/>
        <v>40.300000000000004</v>
      </c>
      <c r="AK96" s="12">
        <f t="shared" si="12"/>
        <v>24.2</v>
      </c>
      <c r="AL96" s="12">
        <f t="shared" si="13"/>
        <v>37.200000000000003</v>
      </c>
    </row>
    <row r="97" spans="1:38" ht="15.75" customHeight="1" x14ac:dyDescent="0.25">
      <c r="A97" s="1" t="s">
        <v>223</v>
      </c>
      <c r="B97" s="7" t="s">
        <v>133</v>
      </c>
      <c r="C97" s="4" t="s">
        <v>8</v>
      </c>
      <c r="D97" s="4">
        <v>7</v>
      </c>
      <c r="E97" s="4">
        <v>110</v>
      </c>
      <c r="F97" s="4">
        <v>7</v>
      </c>
      <c r="G97" s="4">
        <v>0</v>
      </c>
      <c r="H97" s="4">
        <v>15.7</v>
      </c>
      <c r="I97" s="4">
        <v>1.9</v>
      </c>
      <c r="J97" s="4">
        <v>5.0999999999999996</v>
      </c>
      <c r="K97" s="4">
        <v>0.36099999999999999</v>
      </c>
      <c r="L97" s="4">
        <v>1.1000000000000001</v>
      </c>
      <c r="M97" s="4">
        <v>3.7</v>
      </c>
      <c r="N97" s="4">
        <v>0.308</v>
      </c>
      <c r="O97" s="4">
        <v>0.7</v>
      </c>
      <c r="P97" s="4">
        <v>1.4</v>
      </c>
      <c r="Q97" s="4">
        <v>0.5</v>
      </c>
      <c r="R97" s="4">
        <v>0.4</v>
      </c>
      <c r="S97" s="4">
        <v>0.6</v>
      </c>
      <c r="T97" s="4">
        <v>0.75</v>
      </c>
      <c r="U97" s="4">
        <v>0</v>
      </c>
      <c r="V97" s="4">
        <v>0.3</v>
      </c>
      <c r="W97" s="4">
        <v>1.1000000000000001</v>
      </c>
      <c r="X97" s="4">
        <v>0.3</v>
      </c>
      <c r="Y97" s="4">
        <v>0.1</v>
      </c>
      <c r="Z97" s="4">
        <v>1</v>
      </c>
      <c r="AA97" s="4">
        <v>1.7</v>
      </c>
      <c r="AB97" s="4">
        <v>5.3</v>
      </c>
      <c r="AC97" s="10">
        <f t="shared" si="7"/>
        <v>0.83280955373978627</v>
      </c>
      <c r="AD97" s="10">
        <f t="shared" si="8"/>
        <v>5.8823529411764712E-2</v>
      </c>
      <c r="AE97" s="12">
        <f>100*(AC97/TOTAL_BASIC!$D$302)</f>
        <v>87.499977304938966</v>
      </c>
      <c r="AF97" s="9"/>
      <c r="AG97" s="9"/>
      <c r="AH97" s="12">
        <f t="shared" si="9"/>
        <v>34.699999999999996</v>
      </c>
      <c r="AI97" s="12">
        <f t="shared" si="10"/>
        <v>24.8</v>
      </c>
      <c r="AJ97" s="12">
        <f t="shared" si="11"/>
        <v>29.799999999999997</v>
      </c>
      <c r="AK97" s="12">
        <f t="shared" si="12"/>
        <v>31</v>
      </c>
      <c r="AL97" s="12">
        <f t="shared" si="13"/>
        <v>37.200000000000003</v>
      </c>
    </row>
    <row r="98" spans="1:38" ht="15.75" customHeight="1" x14ac:dyDescent="0.25">
      <c r="A98" s="1" t="s">
        <v>226</v>
      </c>
      <c r="B98" s="7" t="s">
        <v>109</v>
      </c>
      <c r="C98" s="4" t="s">
        <v>87</v>
      </c>
      <c r="D98" s="4">
        <v>8</v>
      </c>
      <c r="E98" s="4">
        <v>110</v>
      </c>
      <c r="F98" s="4">
        <v>8</v>
      </c>
      <c r="G98" s="4">
        <v>0</v>
      </c>
      <c r="H98" s="4">
        <v>13.8</v>
      </c>
      <c r="I98" s="4">
        <v>2</v>
      </c>
      <c r="J98" s="4">
        <v>3.8</v>
      </c>
      <c r="K98" s="4">
        <v>0.53300000000000003</v>
      </c>
      <c r="L98" s="4">
        <v>0.1</v>
      </c>
      <c r="M98" s="4">
        <v>0.3</v>
      </c>
      <c r="N98" s="4">
        <v>0.5</v>
      </c>
      <c r="O98" s="4">
        <v>1.9</v>
      </c>
      <c r="P98" s="4">
        <v>3.5</v>
      </c>
      <c r="Q98" s="4">
        <v>0.53600000000000003</v>
      </c>
      <c r="R98" s="4">
        <v>0.8</v>
      </c>
      <c r="S98" s="4">
        <v>1.5</v>
      </c>
      <c r="T98" s="4">
        <v>0.5</v>
      </c>
      <c r="U98" s="4">
        <v>1.4</v>
      </c>
      <c r="V98" s="4">
        <v>3.8</v>
      </c>
      <c r="W98" s="4">
        <v>0.9</v>
      </c>
      <c r="X98" s="4">
        <v>0.6</v>
      </c>
      <c r="Y98" s="4">
        <v>0</v>
      </c>
      <c r="Z98" s="4">
        <v>0.8</v>
      </c>
      <c r="AA98" s="4">
        <v>2.6</v>
      </c>
      <c r="AB98" s="4">
        <v>4.9000000000000004</v>
      </c>
      <c r="AC98" s="10">
        <f t="shared" si="7"/>
        <v>0.93155893536121681</v>
      </c>
      <c r="AD98" s="10">
        <f t="shared" si="8"/>
        <v>0</v>
      </c>
      <c r="AE98" s="12">
        <f>100*(AC98/TOTAL_BASIC!$D$302)</f>
        <v>97.875180869728652</v>
      </c>
      <c r="AF98" s="9"/>
      <c r="AG98" s="9"/>
      <c r="AH98" s="12">
        <f t="shared" si="9"/>
        <v>0</v>
      </c>
      <c r="AI98" s="12">
        <f t="shared" si="10"/>
        <v>46.5</v>
      </c>
      <c r="AJ98" s="12">
        <f t="shared" si="11"/>
        <v>24.8</v>
      </c>
      <c r="AK98" s="12">
        <f t="shared" si="12"/>
        <v>22.900000000000002</v>
      </c>
      <c r="AL98" s="12">
        <f t="shared" si="13"/>
        <v>9.9</v>
      </c>
    </row>
    <row r="99" spans="1:38" ht="15.75" customHeight="1" x14ac:dyDescent="0.25">
      <c r="A99" s="1" t="s">
        <v>182</v>
      </c>
      <c r="B99" s="7" t="s">
        <v>93</v>
      </c>
      <c r="C99" s="4" t="s">
        <v>87</v>
      </c>
      <c r="D99" s="4">
        <v>7</v>
      </c>
      <c r="E99" s="4">
        <v>108</v>
      </c>
      <c r="F99" s="4">
        <v>7</v>
      </c>
      <c r="G99" s="4">
        <v>0</v>
      </c>
      <c r="H99" s="4">
        <v>15.4</v>
      </c>
      <c r="I99" s="4">
        <v>2</v>
      </c>
      <c r="J99" s="4">
        <v>4</v>
      </c>
      <c r="K99" s="4">
        <v>0.5</v>
      </c>
      <c r="L99" s="4">
        <v>0</v>
      </c>
      <c r="M99" s="4">
        <v>0.1</v>
      </c>
      <c r="N99" s="4">
        <v>0</v>
      </c>
      <c r="O99" s="4">
        <v>2</v>
      </c>
      <c r="P99" s="4">
        <v>3.9</v>
      </c>
      <c r="Q99" s="4">
        <v>0.51900000000000002</v>
      </c>
      <c r="R99" s="4">
        <v>1.4</v>
      </c>
      <c r="S99" s="4">
        <v>2.9</v>
      </c>
      <c r="T99" s="4">
        <v>0.5</v>
      </c>
      <c r="U99" s="4">
        <v>1.9</v>
      </c>
      <c r="V99" s="4">
        <v>4.5999999999999996</v>
      </c>
      <c r="W99" s="4">
        <v>1.7</v>
      </c>
      <c r="X99" s="4">
        <v>0.3</v>
      </c>
      <c r="Y99" s="4">
        <v>1.1000000000000001</v>
      </c>
      <c r="Z99" s="4">
        <v>1</v>
      </c>
      <c r="AA99" s="4">
        <v>2.2999999999999998</v>
      </c>
      <c r="AB99" s="4">
        <v>5.4</v>
      </c>
      <c r="AC99" s="10">
        <f t="shared" si="7"/>
        <v>0.86042065009560242</v>
      </c>
      <c r="AD99" s="10">
        <f t="shared" si="8"/>
        <v>0.47826086956521746</v>
      </c>
      <c r="AE99" s="12">
        <f>100*(AC99/TOTAL_BASIC!$D$302)</f>
        <v>90.400965044151761</v>
      </c>
      <c r="AF99" s="9"/>
      <c r="AG99" s="9"/>
      <c r="AH99" s="12">
        <f t="shared" si="9"/>
        <v>86.9</v>
      </c>
      <c r="AI99" s="12">
        <f t="shared" si="10"/>
        <v>30.4</v>
      </c>
      <c r="AJ99" s="12">
        <f t="shared" si="11"/>
        <v>31.6</v>
      </c>
      <c r="AK99" s="12">
        <f t="shared" si="12"/>
        <v>27.900000000000002</v>
      </c>
      <c r="AL99" s="12">
        <f t="shared" si="13"/>
        <v>9.9</v>
      </c>
    </row>
    <row r="100" spans="1:38" ht="15.75" customHeight="1" x14ac:dyDescent="0.25">
      <c r="A100" s="1" t="s">
        <v>102</v>
      </c>
      <c r="B100" s="7" t="s">
        <v>86</v>
      </c>
      <c r="C100" s="4" t="s">
        <v>96</v>
      </c>
      <c r="D100" s="4">
        <v>5</v>
      </c>
      <c r="E100" s="4">
        <v>108</v>
      </c>
      <c r="F100" s="4">
        <v>5</v>
      </c>
      <c r="G100" s="4">
        <v>4</v>
      </c>
      <c r="H100" s="4">
        <v>21.6</v>
      </c>
      <c r="I100" s="4">
        <v>2.4</v>
      </c>
      <c r="J100" s="4">
        <v>5</v>
      </c>
      <c r="K100" s="4">
        <v>0.48</v>
      </c>
      <c r="L100" s="4">
        <v>1</v>
      </c>
      <c r="M100" s="4">
        <v>3</v>
      </c>
      <c r="N100" s="4">
        <v>0.33300000000000002</v>
      </c>
      <c r="O100" s="4">
        <v>1.4</v>
      </c>
      <c r="P100" s="4">
        <v>2</v>
      </c>
      <c r="Q100" s="4">
        <v>0.7</v>
      </c>
      <c r="R100" s="4">
        <v>2.2000000000000002</v>
      </c>
      <c r="S100" s="4">
        <v>2.4</v>
      </c>
      <c r="T100" s="4">
        <v>0.91700000000000004</v>
      </c>
      <c r="U100" s="4">
        <v>0.2</v>
      </c>
      <c r="V100" s="4">
        <v>1.8</v>
      </c>
      <c r="W100" s="4">
        <v>2.2000000000000002</v>
      </c>
      <c r="X100" s="4">
        <v>0.4</v>
      </c>
      <c r="Y100" s="4">
        <v>0.2</v>
      </c>
      <c r="Z100" s="4">
        <v>1.2</v>
      </c>
      <c r="AA100" s="4">
        <v>1.4</v>
      </c>
      <c r="AB100" s="4">
        <v>8</v>
      </c>
      <c r="AC100" s="10">
        <f t="shared" si="7"/>
        <v>1.1025358324145533</v>
      </c>
      <c r="AD100" s="10">
        <f t="shared" si="8"/>
        <v>0.14285714285714288</v>
      </c>
      <c r="AE100" s="12">
        <f>100*(AC100/TOTAL_BASIC!$D$302)</f>
        <v>115.839041328167</v>
      </c>
      <c r="AF100" s="9"/>
      <c r="AG100" s="9"/>
      <c r="AH100" s="12">
        <f t="shared" si="9"/>
        <v>50.3</v>
      </c>
      <c r="AI100" s="12">
        <f t="shared" si="10"/>
        <v>83.8</v>
      </c>
      <c r="AJ100" s="12">
        <f t="shared" si="11"/>
        <v>52.1</v>
      </c>
      <c r="AK100" s="12">
        <f t="shared" si="12"/>
        <v>50.9</v>
      </c>
      <c r="AL100" s="12">
        <f t="shared" si="13"/>
        <v>81.3</v>
      </c>
    </row>
    <row r="101" spans="1:38" ht="15.75" customHeight="1" x14ac:dyDescent="0.25">
      <c r="A101" s="1" t="s">
        <v>211</v>
      </c>
      <c r="B101" s="7" t="s">
        <v>130</v>
      </c>
      <c r="C101" s="4" t="s">
        <v>8</v>
      </c>
      <c r="D101" s="4">
        <v>6</v>
      </c>
      <c r="E101" s="4">
        <v>108</v>
      </c>
      <c r="F101" s="4">
        <v>6</v>
      </c>
      <c r="G101" s="4">
        <v>1</v>
      </c>
      <c r="H101" s="4">
        <v>18</v>
      </c>
      <c r="I101" s="4">
        <v>2.2999999999999998</v>
      </c>
      <c r="J101" s="4">
        <v>5.7</v>
      </c>
      <c r="K101" s="4">
        <v>0.41199999999999998</v>
      </c>
      <c r="L101" s="4">
        <v>1.5</v>
      </c>
      <c r="M101" s="4">
        <v>3.5</v>
      </c>
      <c r="N101" s="4">
        <v>0.42899999999999999</v>
      </c>
      <c r="O101" s="4">
        <v>0.8</v>
      </c>
      <c r="P101" s="4">
        <v>2.2000000000000002</v>
      </c>
      <c r="Q101" s="4">
        <v>0.38500000000000001</v>
      </c>
      <c r="R101" s="4">
        <v>0.8</v>
      </c>
      <c r="S101" s="4">
        <v>1</v>
      </c>
      <c r="T101" s="4">
        <v>0.83299999999999996</v>
      </c>
      <c r="U101" s="4">
        <v>0.2</v>
      </c>
      <c r="V101" s="4">
        <v>2.2000000000000002</v>
      </c>
      <c r="W101" s="4">
        <v>2</v>
      </c>
      <c r="X101" s="4">
        <v>0.2</v>
      </c>
      <c r="Y101" s="4">
        <v>0.3</v>
      </c>
      <c r="Z101" s="4">
        <v>1.2</v>
      </c>
      <c r="AA101" s="4">
        <v>1.8</v>
      </c>
      <c r="AB101" s="4">
        <v>7</v>
      </c>
      <c r="AC101" s="10">
        <f t="shared" si="7"/>
        <v>0.95367847411444129</v>
      </c>
      <c r="AD101" s="10">
        <f t="shared" si="8"/>
        <v>0.16666666666666666</v>
      </c>
      <c r="AE101" s="12">
        <f>100*(AC101/TOTAL_BASIC!$D$302)</f>
        <v>100.19919256029051</v>
      </c>
      <c r="AF101" s="9"/>
      <c r="AG101" s="9"/>
      <c r="AH101" s="12">
        <f t="shared" si="9"/>
        <v>53.400000000000006</v>
      </c>
      <c r="AI101" s="12">
        <f t="shared" si="10"/>
        <v>50.3</v>
      </c>
      <c r="AJ101" s="12">
        <f t="shared" si="11"/>
        <v>42.8</v>
      </c>
      <c r="AK101" s="12">
        <f t="shared" si="12"/>
        <v>40.9</v>
      </c>
      <c r="AL101" s="12">
        <f t="shared" si="13"/>
        <v>58.3</v>
      </c>
    </row>
    <row r="102" spans="1:38" ht="15.75" customHeight="1" x14ac:dyDescent="0.25">
      <c r="A102" s="1" t="s">
        <v>201</v>
      </c>
      <c r="B102" s="7" t="s">
        <v>101</v>
      </c>
      <c r="C102" s="4" t="s">
        <v>87</v>
      </c>
      <c r="D102" s="4">
        <v>8</v>
      </c>
      <c r="E102" s="4">
        <v>108</v>
      </c>
      <c r="F102" s="4">
        <v>8</v>
      </c>
      <c r="G102" s="4">
        <v>1</v>
      </c>
      <c r="H102" s="4">
        <v>13.5</v>
      </c>
      <c r="I102" s="4">
        <v>2.6</v>
      </c>
      <c r="J102" s="4">
        <v>5.9</v>
      </c>
      <c r="K102" s="4">
        <v>0.44700000000000001</v>
      </c>
      <c r="L102" s="4">
        <v>0.8</v>
      </c>
      <c r="M102" s="4">
        <v>2</v>
      </c>
      <c r="N102" s="4">
        <v>0.375</v>
      </c>
      <c r="O102" s="4">
        <v>1.9</v>
      </c>
      <c r="P102" s="4">
        <v>3.9</v>
      </c>
      <c r="Q102" s="4">
        <v>0.48399999999999999</v>
      </c>
      <c r="R102" s="4">
        <v>0.4</v>
      </c>
      <c r="S102" s="4">
        <v>0.4</v>
      </c>
      <c r="T102" s="4">
        <v>1</v>
      </c>
      <c r="U102" s="4">
        <v>0.5</v>
      </c>
      <c r="V102" s="4">
        <v>2.6</v>
      </c>
      <c r="W102" s="4">
        <v>0.8</v>
      </c>
      <c r="X102" s="4">
        <v>0.3</v>
      </c>
      <c r="Y102" s="4">
        <v>0.4</v>
      </c>
      <c r="Z102" s="4">
        <v>0.1</v>
      </c>
      <c r="AA102" s="4">
        <v>1.5</v>
      </c>
      <c r="AB102" s="4">
        <v>6.4</v>
      </c>
      <c r="AC102" s="10">
        <f t="shared" si="7"/>
        <v>1.0362694300518136</v>
      </c>
      <c r="AD102" s="10">
        <f t="shared" si="8"/>
        <v>0.26666666666666666</v>
      </c>
      <c r="AE102" s="12">
        <f>100*(AC102/TOTAL_BASIC!$D$302)</f>
        <v>108.87669480274351</v>
      </c>
      <c r="AF102" s="9"/>
      <c r="AG102" s="9"/>
      <c r="AH102" s="12">
        <f t="shared" si="9"/>
        <v>71.399999999999991</v>
      </c>
      <c r="AI102" s="12">
        <f t="shared" si="10"/>
        <v>71.399999999999991</v>
      </c>
      <c r="AJ102" s="12">
        <f t="shared" si="11"/>
        <v>39.700000000000003</v>
      </c>
      <c r="AK102" s="12">
        <f t="shared" si="12"/>
        <v>21.7</v>
      </c>
      <c r="AL102" s="12">
        <f t="shared" si="13"/>
        <v>84.399999999999991</v>
      </c>
    </row>
    <row r="103" spans="1:38" ht="15.75" customHeight="1" x14ac:dyDescent="0.25">
      <c r="A103" s="1" t="s">
        <v>165</v>
      </c>
      <c r="B103" s="7" t="s">
        <v>86</v>
      </c>
      <c r="C103" s="4" t="s">
        <v>90</v>
      </c>
      <c r="D103" s="4">
        <v>8</v>
      </c>
      <c r="E103" s="4">
        <v>106</v>
      </c>
      <c r="F103" s="4">
        <v>8</v>
      </c>
      <c r="G103" s="4">
        <v>0</v>
      </c>
      <c r="H103" s="4">
        <v>13.3</v>
      </c>
      <c r="I103" s="4">
        <v>2.1</v>
      </c>
      <c r="J103" s="4">
        <v>4.3</v>
      </c>
      <c r="K103" s="4">
        <v>0.5</v>
      </c>
      <c r="L103" s="4">
        <v>0.8</v>
      </c>
      <c r="M103" s="4">
        <v>2</v>
      </c>
      <c r="N103" s="4">
        <v>0.375</v>
      </c>
      <c r="O103" s="4">
        <v>1.4</v>
      </c>
      <c r="P103" s="4">
        <v>2.2999999999999998</v>
      </c>
      <c r="Q103" s="4">
        <v>0.61099999999999999</v>
      </c>
      <c r="R103" s="4">
        <v>0.3</v>
      </c>
      <c r="S103" s="4">
        <v>0.4</v>
      </c>
      <c r="T103" s="4">
        <v>0.66700000000000004</v>
      </c>
      <c r="U103" s="4">
        <v>0.5</v>
      </c>
      <c r="V103" s="4">
        <v>1.9</v>
      </c>
      <c r="W103" s="4">
        <v>0.6</v>
      </c>
      <c r="X103" s="4">
        <v>0.5</v>
      </c>
      <c r="Y103" s="4">
        <v>0.4</v>
      </c>
      <c r="Z103" s="4">
        <v>0.3</v>
      </c>
      <c r="AA103" s="4">
        <v>1.1000000000000001</v>
      </c>
      <c r="AB103" s="4">
        <v>5.3</v>
      </c>
      <c r="AC103" s="10">
        <f t="shared" si="7"/>
        <v>1.1097152428810719</v>
      </c>
      <c r="AD103" s="10">
        <f t="shared" si="8"/>
        <v>0.36363636363636365</v>
      </c>
      <c r="AE103" s="12">
        <f>100*(AC103/TOTAL_BASIC!$D$302)</f>
        <v>116.59335334351584</v>
      </c>
      <c r="AF103" s="9"/>
      <c r="AG103" s="9"/>
      <c r="AH103" s="12">
        <f t="shared" si="9"/>
        <v>81.899999999999991</v>
      </c>
      <c r="AI103" s="12">
        <f t="shared" si="10"/>
        <v>85</v>
      </c>
      <c r="AJ103" s="12">
        <f t="shared" si="11"/>
        <v>29.799999999999997</v>
      </c>
      <c r="AK103" s="12">
        <f t="shared" si="12"/>
        <v>20.399999999999999</v>
      </c>
      <c r="AL103" s="12">
        <f t="shared" si="13"/>
        <v>23.599999999999998</v>
      </c>
    </row>
    <row r="104" spans="1:38" ht="15.75" customHeight="1" x14ac:dyDescent="0.25">
      <c r="A104" s="1" t="s">
        <v>225</v>
      </c>
      <c r="B104" s="4" t="s">
        <v>139</v>
      </c>
      <c r="C104" s="4" t="s">
        <v>87</v>
      </c>
      <c r="D104" s="4">
        <v>6</v>
      </c>
      <c r="E104" s="4">
        <v>105</v>
      </c>
      <c r="F104" s="4">
        <v>6</v>
      </c>
      <c r="G104" s="4">
        <v>1</v>
      </c>
      <c r="H104" s="4">
        <v>17.5</v>
      </c>
      <c r="I104" s="4">
        <v>3.3</v>
      </c>
      <c r="J104" s="4">
        <v>5.5</v>
      </c>
      <c r="K104" s="4">
        <v>0.60599999999999998</v>
      </c>
      <c r="L104" s="4">
        <v>0.5</v>
      </c>
      <c r="M104" s="4">
        <v>1.8</v>
      </c>
      <c r="N104" s="4">
        <v>0.27300000000000002</v>
      </c>
      <c r="O104" s="4">
        <v>2.8</v>
      </c>
      <c r="P104" s="4">
        <v>3.7</v>
      </c>
      <c r="Q104" s="4">
        <v>0.77300000000000002</v>
      </c>
      <c r="R104" s="4">
        <v>2.2000000000000002</v>
      </c>
      <c r="S104" s="4">
        <v>3.2</v>
      </c>
      <c r="T104" s="4">
        <v>0.68400000000000005</v>
      </c>
      <c r="U104" s="4">
        <v>1.7</v>
      </c>
      <c r="V104" s="4">
        <v>4.3</v>
      </c>
      <c r="W104" s="4">
        <v>0.8</v>
      </c>
      <c r="X104" s="4">
        <v>0.7</v>
      </c>
      <c r="Y104" s="4">
        <v>1.7</v>
      </c>
      <c r="Z104" s="4">
        <v>3.3</v>
      </c>
      <c r="AA104" s="4">
        <v>4.2</v>
      </c>
      <c r="AB104" s="4">
        <v>9.3000000000000007</v>
      </c>
      <c r="AC104" s="10">
        <f t="shared" si="7"/>
        <v>0.91105015673981193</v>
      </c>
      <c r="AD104" s="10">
        <f t="shared" si="8"/>
        <v>0.40476190476190471</v>
      </c>
      <c r="AE104" s="12">
        <f>100*(AC104/TOTAL_BASIC!$D$302)</f>
        <v>95.720405320064799</v>
      </c>
      <c r="AF104" s="9"/>
      <c r="AG104" s="9"/>
      <c r="AH104" s="12">
        <f t="shared" si="9"/>
        <v>84.399999999999991</v>
      </c>
      <c r="AI104" s="12">
        <f t="shared" si="10"/>
        <v>37.200000000000003</v>
      </c>
      <c r="AJ104" s="12">
        <f t="shared" si="11"/>
        <v>63.3</v>
      </c>
      <c r="AK104" s="12">
        <f t="shared" si="12"/>
        <v>39.1</v>
      </c>
      <c r="AL104" s="12">
        <f t="shared" si="13"/>
        <v>29.099999999999998</v>
      </c>
    </row>
    <row r="105" spans="1:38" ht="15.75" customHeight="1" x14ac:dyDescent="0.25">
      <c r="A105" s="1" t="s">
        <v>194</v>
      </c>
      <c r="B105" s="7" t="s">
        <v>95</v>
      </c>
      <c r="C105" s="4" t="s">
        <v>8</v>
      </c>
      <c r="D105" s="4">
        <v>8</v>
      </c>
      <c r="E105" s="4">
        <v>105</v>
      </c>
      <c r="F105" s="4">
        <v>8</v>
      </c>
      <c r="G105" s="4">
        <v>0</v>
      </c>
      <c r="H105" s="4">
        <v>13.1</v>
      </c>
      <c r="I105" s="4">
        <v>1.5</v>
      </c>
      <c r="J105" s="4">
        <v>4.0999999999999996</v>
      </c>
      <c r="K105" s="4">
        <v>0.36399999999999999</v>
      </c>
      <c r="L105" s="4">
        <v>1.1000000000000001</v>
      </c>
      <c r="M105" s="4">
        <v>3.1</v>
      </c>
      <c r="N105" s="4">
        <v>0.36</v>
      </c>
      <c r="O105" s="4">
        <v>0.4</v>
      </c>
      <c r="P105" s="4">
        <v>1</v>
      </c>
      <c r="Q105" s="4">
        <v>0.375</v>
      </c>
      <c r="R105" s="4">
        <v>0.6</v>
      </c>
      <c r="S105" s="4">
        <v>0.6</v>
      </c>
      <c r="T105" s="4">
        <v>1</v>
      </c>
      <c r="U105" s="4">
        <v>0</v>
      </c>
      <c r="V105" s="4">
        <v>0.4</v>
      </c>
      <c r="W105" s="4">
        <v>0.5</v>
      </c>
      <c r="X105" s="4">
        <v>0.5</v>
      </c>
      <c r="Y105" s="4">
        <v>0.1</v>
      </c>
      <c r="Z105" s="4">
        <v>0.8</v>
      </c>
      <c r="AA105" s="4">
        <v>1.3</v>
      </c>
      <c r="AB105" s="4">
        <v>4.8</v>
      </c>
      <c r="AC105" s="10">
        <f t="shared" si="7"/>
        <v>0.92951200619674668</v>
      </c>
      <c r="AD105" s="10">
        <f t="shared" si="8"/>
        <v>7.6923076923076927E-2</v>
      </c>
      <c r="AE105" s="12">
        <f>100*(AC105/TOTAL_BASIC!$D$302)</f>
        <v>97.660118188673096</v>
      </c>
      <c r="AF105" s="9"/>
      <c r="AG105" s="9"/>
      <c r="AH105" s="12">
        <f t="shared" si="9"/>
        <v>38.5</v>
      </c>
      <c r="AI105" s="12">
        <f t="shared" si="10"/>
        <v>45.300000000000004</v>
      </c>
      <c r="AJ105" s="12">
        <f t="shared" si="11"/>
        <v>22.900000000000002</v>
      </c>
      <c r="AK105" s="12">
        <f t="shared" si="12"/>
        <v>19.2</v>
      </c>
      <c r="AL105" s="12">
        <f t="shared" si="13"/>
        <v>84.399999999999991</v>
      </c>
    </row>
    <row r="106" spans="1:38" ht="15.75" customHeight="1" x14ac:dyDescent="0.25">
      <c r="A106" s="1" t="s">
        <v>189</v>
      </c>
      <c r="B106" s="7" t="s">
        <v>139</v>
      </c>
      <c r="C106" s="4" t="s">
        <v>8</v>
      </c>
      <c r="D106" s="4">
        <v>4</v>
      </c>
      <c r="E106" s="4">
        <v>102</v>
      </c>
      <c r="F106" s="4">
        <v>4</v>
      </c>
      <c r="G106" s="4">
        <v>4</v>
      </c>
      <c r="H106" s="4">
        <v>25.5</v>
      </c>
      <c r="I106" s="4">
        <v>3</v>
      </c>
      <c r="J106" s="4">
        <v>9</v>
      </c>
      <c r="K106" s="4">
        <v>0.33300000000000002</v>
      </c>
      <c r="L106" s="4">
        <v>1</v>
      </c>
      <c r="M106" s="4">
        <v>4.8</v>
      </c>
      <c r="N106" s="4">
        <v>0.21099999999999999</v>
      </c>
      <c r="O106" s="4">
        <v>2</v>
      </c>
      <c r="P106" s="4">
        <v>4.3</v>
      </c>
      <c r="Q106" s="4">
        <v>0.47099999999999997</v>
      </c>
      <c r="R106" s="4">
        <v>1</v>
      </c>
      <c r="S106" s="4">
        <v>1.3</v>
      </c>
      <c r="T106" s="4">
        <v>0.8</v>
      </c>
      <c r="U106" s="4">
        <v>0.8</v>
      </c>
      <c r="V106" s="4">
        <v>2.5</v>
      </c>
      <c r="W106" s="4">
        <v>2.5</v>
      </c>
      <c r="X106" s="4">
        <v>2</v>
      </c>
      <c r="Y106" s="4">
        <v>0.3</v>
      </c>
      <c r="Z106" s="4">
        <v>2.2999999999999998</v>
      </c>
      <c r="AA106" s="4">
        <v>2.8</v>
      </c>
      <c r="AB106" s="4">
        <v>8</v>
      </c>
      <c r="AC106" s="10">
        <f t="shared" si="7"/>
        <v>0.67385444743935308</v>
      </c>
      <c r="AD106" s="10">
        <f t="shared" si="8"/>
        <v>0.10714285714285715</v>
      </c>
      <c r="AE106" s="12">
        <f>100*(AC106/TOTAL_BASIC!$D$302)</f>
        <v>70.799198439789407</v>
      </c>
      <c r="AF106" s="9"/>
      <c r="AG106" s="9"/>
      <c r="AH106" s="12">
        <f t="shared" si="9"/>
        <v>42.8</v>
      </c>
      <c r="AI106" s="12">
        <f t="shared" si="10"/>
        <v>9.3000000000000007</v>
      </c>
      <c r="AJ106" s="12">
        <f t="shared" si="11"/>
        <v>52.1</v>
      </c>
      <c r="AK106" s="12">
        <f t="shared" si="12"/>
        <v>67</v>
      </c>
      <c r="AL106" s="12">
        <f t="shared" si="13"/>
        <v>49</v>
      </c>
    </row>
    <row r="107" spans="1:38" ht="15.75" customHeight="1" x14ac:dyDescent="0.25">
      <c r="A107" s="1" t="s">
        <v>237</v>
      </c>
      <c r="B107" s="7" t="s">
        <v>160</v>
      </c>
      <c r="C107" s="4" t="s">
        <v>8</v>
      </c>
      <c r="D107" s="4">
        <v>7</v>
      </c>
      <c r="E107" s="4">
        <v>97</v>
      </c>
      <c r="F107" s="4">
        <v>7</v>
      </c>
      <c r="G107" s="4">
        <v>0</v>
      </c>
      <c r="H107" s="4">
        <v>13.9</v>
      </c>
      <c r="I107" s="4">
        <v>2</v>
      </c>
      <c r="J107" s="4">
        <v>4.3</v>
      </c>
      <c r="K107" s="4">
        <v>0.46700000000000003</v>
      </c>
      <c r="L107" s="4">
        <v>0.6</v>
      </c>
      <c r="M107" s="4">
        <v>2</v>
      </c>
      <c r="N107" s="4">
        <v>0.28599999999999998</v>
      </c>
      <c r="O107" s="4">
        <v>1.4</v>
      </c>
      <c r="P107" s="4">
        <v>2.2999999999999998</v>
      </c>
      <c r="Q107" s="4">
        <v>0.625</v>
      </c>
      <c r="R107" s="4">
        <v>0.6</v>
      </c>
      <c r="S107" s="4">
        <v>0.6</v>
      </c>
      <c r="T107" s="4">
        <v>1</v>
      </c>
      <c r="U107" s="4">
        <v>0.4</v>
      </c>
      <c r="V107" s="4">
        <v>2.4</v>
      </c>
      <c r="W107" s="4">
        <v>1.4</v>
      </c>
      <c r="X107" s="4">
        <v>0.1</v>
      </c>
      <c r="Y107" s="4">
        <v>0.4</v>
      </c>
      <c r="Z107" s="4">
        <v>1.4</v>
      </c>
      <c r="AA107" s="4">
        <v>1.9</v>
      </c>
      <c r="AB107" s="4">
        <v>5.0999999999999996</v>
      </c>
      <c r="AC107" s="10">
        <f t="shared" si="7"/>
        <v>0.85513078470824933</v>
      </c>
      <c r="AD107" s="10">
        <f t="shared" si="8"/>
        <v>0.2105263157894737</v>
      </c>
      <c r="AE107" s="12">
        <f>100*(AC107/TOTAL_BASIC!$D$302)</f>
        <v>89.845179991901745</v>
      </c>
      <c r="AF107" s="9"/>
      <c r="AG107" s="9"/>
      <c r="AH107" s="12">
        <f t="shared" si="9"/>
        <v>63.9</v>
      </c>
      <c r="AI107" s="12">
        <f t="shared" si="10"/>
        <v>29.099999999999998</v>
      </c>
      <c r="AJ107" s="12">
        <f t="shared" si="11"/>
        <v>27.3</v>
      </c>
      <c r="AK107" s="12">
        <f t="shared" si="12"/>
        <v>24.2</v>
      </c>
      <c r="AL107" s="12">
        <f t="shared" si="13"/>
        <v>84.399999999999991</v>
      </c>
    </row>
    <row r="108" spans="1:38" ht="15.75" customHeight="1" x14ac:dyDescent="0.25">
      <c r="A108" s="1" t="s">
        <v>239</v>
      </c>
      <c r="B108" s="7" t="s">
        <v>164</v>
      </c>
      <c r="C108" s="4" t="s">
        <v>8</v>
      </c>
      <c r="D108" s="4">
        <v>8</v>
      </c>
      <c r="E108" s="4">
        <v>97</v>
      </c>
      <c r="F108" s="4">
        <v>8</v>
      </c>
      <c r="G108" s="4">
        <v>0</v>
      </c>
      <c r="H108" s="4">
        <v>12.1</v>
      </c>
      <c r="I108" s="4">
        <v>1.5</v>
      </c>
      <c r="J108" s="4">
        <v>4.0999999999999996</v>
      </c>
      <c r="K108" s="4">
        <v>0.36399999999999999</v>
      </c>
      <c r="L108" s="4">
        <v>1</v>
      </c>
      <c r="M108" s="4">
        <v>3.1</v>
      </c>
      <c r="N108" s="4">
        <v>0.32</v>
      </c>
      <c r="O108" s="4">
        <v>0.5</v>
      </c>
      <c r="P108" s="4">
        <v>1</v>
      </c>
      <c r="Q108" s="4">
        <v>0.5</v>
      </c>
      <c r="R108" s="4">
        <v>1.4</v>
      </c>
      <c r="S108" s="4">
        <v>1.5</v>
      </c>
      <c r="T108" s="4">
        <v>0.91700000000000004</v>
      </c>
      <c r="U108" s="4">
        <v>0.3</v>
      </c>
      <c r="V108" s="4">
        <v>1.4</v>
      </c>
      <c r="W108" s="4">
        <v>0.6</v>
      </c>
      <c r="X108" s="4">
        <v>0.3</v>
      </c>
      <c r="Y108" s="4">
        <v>0</v>
      </c>
      <c r="Z108" s="4">
        <v>0.4</v>
      </c>
      <c r="AA108" s="4">
        <v>1.3</v>
      </c>
      <c r="AB108" s="4">
        <v>5.4</v>
      </c>
      <c r="AC108" s="10">
        <f t="shared" si="7"/>
        <v>1.0465116279069768</v>
      </c>
      <c r="AD108" s="10">
        <f t="shared" si="8"/>
        <v>0</v>
      </c>
      <c r="AE108" s="12">
        <f>100*(AC108/TOTAL_BASIC!$D$302)</f>
        <v>109.95280166997993</v>
      </c>
      <c r="AF108" s="9"/>
      <c r="AG108" s="9"/>
      <c r="AH108" s="12">
        <f t="shared" si="9"/>
        <v>0</v>
      </c>
      <c r="AI108" s="12">
        <f t="shared" si="10"/>
        <v>74.5</v>
      </c>
      <c r="AJ108" s="12">
        <f t="shared" si="11"/>
        <v>31.6</v>
      </c>
      <c r="AK108" s="12">
        <f t="shared" si="12"/>
        <v>15.5</v>
      </c>
      <c r="AL108" s="12">
        <f t="shared" si="13"/>
        <v>81.3</v>
      </c>
    </row>
    <row r="109" spans="1:38" ht="15.75" customHeight="1" x14ac:dyDescent="0.25">
      <c r="A109" s="1" t="s">
        <v>222</v>
      </c>
      <c r="B109" s="7" t="s">
        <v>160</v>
      </c>
      <c r="C109" s="4" t="s">
        <v>121</v>
      </c>
      <c r="D109" s="4">
        <v>7</v>
      </c>
      <c r="E109" s="4">
        <v>96</v>
      </c>
      <c r="F109" s="4">
        <v>7</v>
      </c>
      <c r="G109" s="4">
        <v>0</v>
      </c>
      <c r="H109" s="4">
        <v>13.7</v>
      </c>
      <c r="I109" s="4">
        <v>1.9</v>
      </c>
      <c r="J109" s="4">
        <v>3</v>
      </c>
      <c r="K109" s="4">
        <v>0.61899999999999999</v>
      </c>
      <c r="L109" s="4">
        <v>0</v>
      </c>
      <c r="M109" s="4">
        <v>0</v>
      </c>
      <c r="N109" s="4">
        <v>0</v>
      </c>
      <c r="O109" s="4">
        <v>1.9</v>
      </c>
      <c r="P109" s="4">
        <v>3</v>
      </c>
      <c r="Q109" s="4">
        <v>0.61899999999999999</v>
      </c>
      <c r="R109" s="4">
        <v>0.3</v>
      </c>
      <c r="S109" s="4">
        <v>0.9</v>
      </c>
      <c r="T109" s="4">
        <v>0.33300000000000002</v>
      </c>
      <c r="U109" s="4">
        <v>1.4</v>
      </c>
      <c r="V109" s="4">
        <v>3.6</v>
      </c>
      <c r="W109" s="4">
        <v>0.7</v>
      </c>
      <c r="X109" s="4">
        <v>0.4</v>
      </c>
      <c r="Y109" s="4">
        <v>0.1</v>
      </c>
      <c r="Z109" s="4">
        <v>0.1</v>
      </c>
      <c r="AA109" s="4">
        <v>1.6</v>
      </c>
      <c r="AB109" s="4">
        <v>4</v>
      </c>
      <c r="AC109" s="10">
        <f t="shared" si="7"/>
        <v>1.1441647597254005</v>
      </c>
      <c r="AD109" s="10">
        <f t="shared" si="8"/>
        <v>6.25E-2</v>
      </c>
      <c r="AE109" s="12">
        <f>100*(AC109/TOTAL_BASIC!$D$302)</f>
        <v>120.2128266414731</v>
      </c>
      <c r="AF109" s="9"/>
      <c r="AG109" s="9"/>
      <c r="AH109" s="12">
        <f t="shared" si="9"/>
        <v>35.4</v>
      </c>
      <c r="AI109" s="12">
        <f t="shared" si="10"/>
        <v>90.600000000000009</v>
      </c>
      <c r="AJ109" s="12">
        <f t="shared" si="11"/>
        <v>16.7</v>
      </c>
      <c r="AK109" s="12">
        <f t="shared" si="12"/>
        <v>22.3</v>
      </c>
      <c r="AL109" s="12">
        <f t="shared" si="13"/>
        <v>4.3</v>
      </c>
    </row>
    <row r="110" spans="1:38" ht="15.75" customHeight="1" x14ac:dyDescent="0.25">
      <c r="A110" s="1" t="s">
        <v>238</v>
      </c>
      <c r="B110" s="7" t="s">
        <v>164</v>
      </c>
      <c r="C110" s="4" t="s">
        <v>87</v>
      </c>
      <c r="D110" s="4">
        <v>8</v>
      </c>
      <c r="E110" s="4">
        <v>94</v>
      </c>
      <c r="F110" s="4">
        <v>8</v>
      </c>
      <c r="G110" s="4">
        <v>1</v>
      </c>
      <c r="H110" s="4">
        <v>11.8</v>
      </c>
      <c r="I110" s="4">
        <v>1.3</v>
      </c>
      <c r="J110" s="4">
        <v>2.6</v>
      </c>
      <c r="K110" s="4">
        <v>0.47599999999999998</v>
      </c>
      <c r="L110" s="4">
        <v>0.4</v>
      </c>
      <c r="M110" s="4">
        <v>1</v>
      </c>
      <c r="N110" s="4">
        <v>0.375</v>
      </c>
      <c r="O110" s="4">
        <v>0.9</v>
      </c>
      <c r="P110" s="4">
        <v>1.6</v>
      </c>
      <c r="Q110" s="4">
        <v>0.53800000000000003</v>
      </c>
      <c r="R110" s="4">
        <v>0.5</v>
      </c>
      <c r="S110" s="4">
        <v>0.8</v>
      </c>
      <c r="T110" s="4">
        <v>0.66700000000000004</v>
      </c>
      <c r="U110" s="4">
        <v>1.3</v>
      </c>
      <c r="V110" s="4">
        <v>2.6</v>
      </c>
      <c r="W110" s="4">
        <v>0.3</v>
      </c>
      <c r="X110" s="4">
        <v>0.4</v>
      </c>
      <c r="Y110" s="4">
        <v>0.8</v>
      </c>
      <c r="Z110" s="4">
        <v>0.9</v>
      </c>
      <c r="AA110" s="4">
        <v>2</v>
      </c>
      <c r="AB110" s="4">
        <v>3.4</v>
      </c>
      <c r="AC110" s="10">
        <f t="shared" si="7"/>
        <v>0.88265835929387337</v>
      </c>
      <c r="AD110" s="10">
        <f t="shared" si="8"/>
        <v>0.4</v>
      </c>
      <c r="AE110" s="12">
        <f>100*(AC110/TOTAL_BASIC!$D$302)</f>
        <v>92.737392431931838</v>
      </c>
      <c r="AF110" s="9"/>
      <c r="AG110" s="9"/>
      <c r="AH110" s="12">
        <f t="shared" si="9"/>
        <v>83.2</v>
      </c>
      <c r="AI110" s="12">
        <f t="shared" si="10"/>
        <v>34.1</v>
      </c>
      <c r="AJ110" s="12">
        <f t="shared" si="11"/>
        <v>12.4</v>
      </c>
      <c r="AK110" s="12">
        <f t="shared" si="12"/>
        <v>13.600000000000001</v>
      </c>
      <c r="AL110" s="12">
        <f t="shared" si="13"/>
        <v>23.599999999999998</v>
      </c>
    </row>
    <row r="111" spans="1:38" ht="15.75" customHeight="1" x14ac:dyDescent="0.25">
      <c r="A111" s="1" t="s">
        <v>208</v>
      </c>
      <c r="B111" s="7" t="s">
        <v>109</v>
      </c>
      <c r="C111" s="4" t="s">
        <v>8</v>
      </c>
      <c r="D111" s="4">
        <v>9</v>
      </c>
      <c r="E111" s="4">
        <v>94</v>
      </c>
      <c r="F111" s="4">
        <v>9</v>
      </c>
      <c r="G111" s="4">
        <v>4</v>
      </c>
      <c r="H111" s="4">
        <v>10.4</v>
      </c>
      <c r="I111" s="4">
        <v>1.4</v>
      </c>
      <c r="J111" s="4">
        <v>3.6</v>
      </c>
      <c r="K111" s="4">
        <v>0.40600000000000003</v>
      </c>
      <c r="L111" s="4">
        <v>0.2</v>
      </c>
      <c r="M111" s="4">
        <v>1.4</v>
      </c>
      <c r="N111" s="4">
        <v>0.154</v>
      </c>
      <c r="O111" s="4">
        <v>1.2</v>
      </c>
      <c r="P111" s="4">
        <v>2.1</v>
      </c>
      <c r="Q111" s="4">
        <v>0.57899999999999996</v>
      </c>
      <c r="R111" s="4">
        <v>0.8</v>
      </c>
      <c r="S111" s="4">
        <v>0.8</v>
      </c>
      <c r="T111" s="4">
        <v>1</v>
      </c>
      <c r="U111" s="4">
        <v>0.9</v>
      </c>
      <c r="V111" s="4">
        <v>1.8</v>
      </c>
      <c r="W111" s="4">
        <v>0.4</v>
      </c>
      <c r="X111" s="4">
        <v>0.2</v>
      </c>
      <c r="Y111" s="4">
        <v>0</v>
      </c>
      <c r="Z111" s="4">
        <v>0.2</v>
      </c>
      <c r="AA111" s="4">
        <v>1.4</v>
      </c>
      <c r="AB111" s="4">
        <v>3.9</v>
      </c>
      <c r="AC111" s="10">
        <f t="shared" si="7"/>
        <v>0.93930635838150289</v>
      </c>
      <c r="AD111" s="10">
        <f t="shared" si="8"/>
        <v>0</v>
      </c>
      <c r="AE111" s="12">
        <f>100*(AC111/TOTAL_BASIC!$D$302)</f>
        <v>98.68917169800703</v>
      </c>
      <c r="AF111" s="9"/>
      <c r="AG111" s="9"/>
      <c r="AH111" s="12">
        <f t="shared" si="9"/>
        <v>0</v>
      </c>
      <c r="AI111" s="12">
        <f t="shared" si="10"/>
        <v>47.199999999999996</v>
      </c>
      <c r="AJ111" s="12">
        <f t="shared" si="11"/>
        <v>14.899999999999999</v>
      </c>
      <c r="AK111" s="12">
        <f t="shared" si="12"/>
        <v>7.3999999999999995</v>
      </c>
      <c r="AL111" s="12">
        <f t="shared" si="13"/>
        <v>84.399999999999991</v>
      </c>
    </row>
    <row r="112" spans="1:38" ht="15.75" customHeight="1" x14ac:dyDescent="0.25">
      <c r="A112" s="1" t="s">
        <v>220</v>
      </c>
      <c r="B112" s="7" t="s">
        <v>98</v>
      </c>
      <c r="C112" s="4" t="s">
        <v>8</v>
      </c>
      <c r="D112" s="4">
        <v>7</v>
      </c>
      <c r="E112" s="4">
        <v>92</v>
      </c>
      <c r="F112" s="4">
        <v>7</v>
      </c>
      <c r="G112" s="4">
        <v>0</v>
      </c>
      <c r="H112" s="4">
        <v>13.1</v>
      </c>
      <c r="I112" s="4">
        <v>1.6</v>
      </c>
      <c r="J112" s="4">
        <v>3.9</v>
      </c>
      <c r="K112" s="4">
        <v>0.40699999999999997</v>
      </c>
      <c r="L112" s="4">
        <v>0.9</v>
      </c>
      <c r="M112" s="4">
        <v>2.1</v>
      </c>
      <c r="N112" s="4">
        <v>0.4</v>
      </c>
      <c r="O112" s="4">
        <v>0.7</v>
      </c>
      <c r="P112" s="4">
        <v>1.7</v>
      </c>
      <c r="Q112" s="4">
        <v>0.41699999999999998</v>
      </c>
      <c r="R112" s="4">
        <v>0.4</v>
      </c>
      <c r="S112" s="4">
        <v>0.4</v>
      </c>
      <c r="T112" s="4">
        <v>1</v>
      </c>
      <c r="U112" s="4">
        <v>0.6</v>
      </c>
      <c r="V112" s="4">
        <v>1.7</v>
      </c>
      <c r="W112" s="4">
        <v>1.6</v>
      </c>
      <c r="X112" s="4">
        <v>0.6</v>
      </c>
      <c r="Y112" s="4">
        <v>0.3</v>
      </c>
      <c r="Z112" s="4">
        <v>0.6</v>
      </c>
      <c r="AA112" s="4">
        <v>1.4</v>
      </c>
      <c r="AB112" s="4">
        <v>4.4000000000000004</v>
      </c>
      <c r="AC112" s="10">
        <f t="shared" si="7"/>
        <v>0.94097519247219863</v>
      </c>
      <c r="AD112" s="10">
        <f t="shared" si="8"/>
        <v>0.2142857142857143</v>
      </c>
      <c r="AE112" s="12">
        <f>100*(AC112/TOTAL_BASIC!$D$302)</f>
        <v>98.864509438077192</v>
      </c>
      <c r="AF112" s="9"/>
      <c r="AG112" s="9"/>
      <c r="AH112" s="12">
        <f t="shared" si="9"/>
        <v>65.2</v>
      </c>
      <c r="AI112" s="12">
        <f t="shared" si="10"/>
        <v>47.8</v>
      </c>
      <c r="AJ112" s="12">
        <f t="shared" si="11"/>
        <v>21.7</v>
      </c>
      <c r="AK112" s="12">
        <f t="shared" si="12"/>
        <v>19.2</v>
      </c>
      <c r="AL112" s="12">
        <f t="shared" si="13"/>
        <v>84.399999999999991</v>
      </c>
    </row>
    <row r="113" spans="1:38" ht="15.75" customHeight="1" x14ac:dyDescent="0.25">
      <c r="A113" s="1" t="s">
        <v>196</v>
      </c>
      <c r="B113" s="7" t="s">
        <v>98</v>
      </c>
      <c r="C113" s="4" t="s">
        <v>8</v>
      </c>
      <c r="D113" s="4">
        <v>7</v>
      </c>
      <c r="E113" s="4">
        <v>86</v>
      </c>
      <c r="F113" s="4">
        <v>7</v>
      </c>
      <c r="G113" s="4">
        <v>0</v>
      </c>
      <c r="H113" s="4">
        <v>12.3</v>
      </c>
      <c r="I113" s="4">
        <v>0.9</v>
      </c>
      <c r="J113" s="4">
        <v>1.9</v>
      </c>
      <c r="K113" s="4">
        <v>0.46200000000000002</v>
      </c>
      <c r="L113" s="4">
        <v>0.4</v>
      </c>
      <c r="M113" s="4">
        <v>1</v>
      </c>
      <c r="N113" s="4">
        <v>0.42899999999999999</v>
      </c>
      <c r="O113" s="4">
        <v>0.4</v>
      </c>
      <c r="P113" s="4">
        <v>0.9</v>
      </c>
      <c r="Q113" s="4">
        <v>0.5</v>
      </c>
      <c r="R113" s="4">
        <v>0.1</v>
      </c>
      <c r="S113" s="4">
        <v>0.1</v>
      </c>
      <c r="T113" s="4">
        <v>1</v>
      </c>
      <c r="U113" s="4">
        <v>0.1</v>
      </c>
      <c r="V113" s="4">
        <v>0.4</v>
      </c>
      <c r="W113" s="4">
        <v>1.1000000000000001</v>
      </c>
      <c r="X113" s="4">
        <v>0.3</v>
      </c>
      <c r="Y113" s="4">
        <v>0</v>
      </c>
      <c r="Z113" s="4">
        <v>0.4</v>
      </c>
      <c r="AA113" s="4">
        <v>1.1000000000000001</v>
      </c>
      <c r="AB113" s="4">
        <v>2.2999999999999998</v>
      </c>
      <c r="AC113" s="10">
        <f t="shared" si="7"/>
        <v>0.98122866894197946</v>
      </c>
      <c r="AD113" s="10">
        <f t="shared" si="8"/>
        <v>0</v>
      </c>
      <c r="AE113" s="12">
        <f>100*(AC113/TOTAL_BASIC!$D$302)</f>
        <v>103.09378161889471</v>
      </c>
      <c r="AF113" s="9"/>
      <c r="AG113" s="9"/>
      <c r="AH113" s="12">
        <f t="shared" si="9"/>
        <v>0</v>
      </c>
      <c r="AI113" s="12">
        <f t="shared" si="10"/>
        <v>59</v>
      </c>
      <c r="AJ113" s="12">
        <f t="shared" si="11"/>
        <v>4.3</v>
      </c>
      <c r="AK113" s="12">
        <f t="shared" si="12"/>
        <v>16.100000000000001</v>
      </c>
      <c r="AL113" s="12">
        <f t="shared" si="13"/>
        <v>84.399999999999991</v>
      </c>
    </row>
    <row r="114" spans="1:38" ht="15.75" customHeight="1" x14ac:dyDescent="0.25">
      <c r="A114" s="1" t="s">
        <v>200</v>
      </c>
      <c r="B114" s="7" t="s">
        <v>101</v>
      </c>
      <c r="C114" s="4" t="s">
        <v>8</v>
      </c>
      <c r="D114" s="4">
        <v>8</v>
      </c>
      <c r="E114" s="4">
        <v>85</v>
      </c>
      <c r="F114" s="4">
        <v>8</v>
      </c>
      <c r="G114" s="4">
        <v>0</v>
      </c>
      <c r="H114" s="4">
        <v>10.6</v>
      </c>
      <c r="I114" s="4">
        <v>1.8</v>
      </c>
      <c r="J114" s="4">
        <v>5</v>
      </c>
      <c r="K114" s="4">
        <v>0.35</v>
      </c>
      <c r="L114" s="4">
        <v>0.6</v>
      </c>
      <c r="M114" s="4">
        <v>1.9</v>
      </c>
      <c r="N114" s="4">
        <v>0.33300000000000002</v>
      </c>
      <c r="O114" s="4">
        <v>1.1000000000000001</v>
      </c>
      <c r="P114" s="4">
        <v>3.1</v>
      </c>
      <c r="Q114" s="4">
        <v>0.36</v>
      </c>
      <c r="R114" s="4">
        <v>1.1000000000000001</v>
      </c>
      <c r="S114" s="4">
        <v>1.3</v>
      </c>
      <c r="T114" s="4">
        <v>0.9</v>
      </c>
      <c r="U114" s="4">
        <v>0.6</v>
      </c>
      <c r="V114" s="4">
        <v>2.2999999999999998</v>
      </c>
      <c r="W114" s="4">
        <v>1</v>
      </c>
      <c r="X114" s="4">
        <v>1.1000000000000001</v>
      </c>
      <c r="Y114" s="4">
        <v>0.4</v>
      </c>
      <c r="Z114" s="4">
        <v>0.6</v>
      </c>
      <c r="AA114" s="4">
        <v>1.9</v>
      </c>
      <c r="AB114" s="4">
        <v>5.3</v>
      </c>
      <c r="AC114" s="10">
        <f t="shared" si="7"/>
        <v>0.85871678548282571</v>
      </c>
      <c r="AD114" s="10">
        <f t="shared" si="8"/>
        <v>0.2105263157894737</v>
      </c>
      <c r="AE114" s="12">
        <f>100*(AC114/TOTAL_BASIC!$D$302)</f>
        <v>90.221946786881347</v>
      </c>
      <c r="AF114" s="9"/>
      <c r="AG114" s="9"/>
      <c r="AH114" s="12">
        <f t="shared" si="9"/>
        <v>63.9</v>
      </c>
      <c r="AI114" s="12">
        <f t="shared" si="10"/>
        <v>29.799999999999997</v>
      </c>
      <c r="AJ114" s="12">
        <f t="shared" si="11"/>
        <v>29.799999999999997</v>
      </c>
      <c r="AK114" s="12">
        <f t="shared" si="12"/>
        <v>8</v>
      </c>
      <c r="AL114" s="12">
        <f t="shared" si="13"/>
        <v>75.099999999999994</v>
      </c>
    </row>
    <row r="115" spans="1:38" ht="15.75" customHeight="1" x14ac:dyDescent="0.25">
      <c r="A115" s="1" t="s">
        <v>216</v>
      </c>
      <c r="B115" s="7" t="s">
        <v>142</v>
      </c>
      <c r="C115" s="4" t="s">
        <v>90</v>
      </c>
      <c r="D115" s="4">
        <v>6</v>
      </c>
      <c r="E115" s="4">
        <v>83</v>
      </c>
      <c r="F115" s="4">
        <v>6</v>
      </c>
      <c r="G115" s="4">
        <v>0</v>
      </c>
      <c r="H115" s="4">
        <v>13.8</v>
      </c>
      <c r="I115" s="4">
        <v>2</v>
      </c>
      <c r="J115" s="4">
        <v>4.3</v>
      </c>
      <c r="K115" s="4">
        <v>0.46200000000000002</v>
      </c>
      <c r="L115" s="4">
        <v>0</v>
      </c>
      <c r="M115" s="4">
        <v>0</v>
      </c>
      <c r="N115" s="4">
        <v>0</v>
      </c>
      <c r="O115" s="4">
        <v>2</v>
      </c>
      <c r="P115" s="4">
        <v>4.3</v>
      </c>
      <c r="Q115" s="4">
        <v>0.46200000000000002</v>
      </c>
      <c r="R115" s="4">
        <v>1.7</v>
      </c>
      <c r="S115" s="4">
        <v>2.2000000000000002</v>
      </c>
      <c r="T115" s="4">
        <v>0.76900000000000002</v>
      </c>
      <c r="U115" s="4">
        <v>1.2</v>
      </c>
      <c r="V115" s="4">
        <v>3</v>
      </c>
      <c r="W115" s="4">
        <v>0.3</v>
      </c>
      <c r="X115" s="4">
        <v>0</v>
      </c>
      <c r="Y115" s="4">
        <v>0.2</v>
      </c>
      <c r="Z115" s="4">
        <v>0.5</v>
      </c>
      <c r="AA115" s="4">
        <v>1.7</v>
      </c>
      <c r="AB115" s="4">
        <v>5.7</v>
      </c>
      <c r="AC115" s="10">
        <f t="shared" si="7"/>
        <v>0.9882108183079058</v>
      </c>
      <c r="AD115" s="10">
        <f t="shared" si="8"/>
        <v>0.11764705882352942</v>
      </c>
      <c r="AE115" s="12">
        <f>100*(AC115/TOTAL_BASIC!$D$302)</f>
        <v>103.82736819738049</v>
      </c>
      <c r="AF115" s="9"/>
      <c r="AG115" s="9"/>
      <c r="AH115" s="12">
        <f t="shared" si="9"/>
        <v>45.300000000000004</v>
      </c>
      <c r="AI115" s="12">
        <f t="shared" si="10"/>
        <v>61.4</v>
      </c>
      <c r="AJ115" s="12">
        <f t="shared" si="11"/>
        <v>34.699999999999996</v>
      </c>
      <c r="AK115" s="12">
        <f t="shared" si="12"/>
        <v>22.900000000000002</v>
      </c>
      <c r="AL115" s="12">
        <f t="shared" si="13"/>
        <v>44</v>
      </c>
    </row>
    <row r="116" spans="1:38" ht="15.75" customHeight="1" x14ac:dyDescent="0.25">
      <c r="A116" s="1" t="s">
        <v>188</v>
      </c>
      <c r="B116" s="7" t="s">
        <v>109</v>
      </c>
      <c r="C116" s="4" t="s">
        <v>90</v>
      </c>
      <c r="D116" s="4">
        <v>5</v>
      </c>
      <c r="E116" s="4">
        <v>83</v>
      </c>
      <c r="F116" s="4">
        <v>5</v>
      </c>
      <c r="G116" s="4">
        <v>1</v>
      </c>
      <c r="H116" s="4">
        <v>16.600000000000001</v>
      </c>
      <c r="I116" s="4">
        <v>2.2000000000000002</v>
      </c>
      <c r="J116" s="4">
        <v>3.8</v>
      </c>
      <c r="K116" s="4">
        <v>0.57899999999999996</v>
      </c>
      <c r="L116" s="4">
        <v>0</v>
      </c>
      <c r="M116" s="4">
        <v>0</v>
      </c>
      <c r="N116" s="4">
        <v>0</v>
      </c>
      <c r="O116" s="4">
        <v>2.2000000000000002</v>
      </c>
      <c r="P116" s="4">
        <v>3.8</v>
      </c>
      <c r="Q116" s="4">
        <v>0.57899999999999996</v>
      </c>
      <c r="R116" s="4">
        <v>1.8</v>
      </c>
      <c r="S116" s="4">
        <v>2.8</v>
      </c>
      <c r="T116" s="4">
        <v>0.64300000000000002</v>
      </c>
      <c r="U116" s="4">
        <v>1</v>
      </c>
      <c r="V116" s="4">
        <v>2.8</v>
      </c>
      <c r="W116" s="4">
        <v>3.2</v>
      </c>
      <c r="X116" s="4">
        <v>1</v>
      </c>
      <c r="Y116" s="4">
        <v>0.6</v>
      </c>
      <c r="Z116" s="4">
        <v>1</v>
      </c>
      <c r="AA116" s="4">
        <v>3</v>
      </c>
      <c r="AB116" s="4">
        <v>6.2</v>
      </c>
      <c r="AC116" s="10">
        <f t="shared" si="7"/>
        <v>1.0278514588859418</v>
      </c>
      <c r="AD116" s="10">
        <f t="shared" si="8"/>
        <v>0.19999999999999998</v>
      </c>
      <c r="AE116" s="12">
        <f>100*(AC116/TOTAL_BASIC!$D$302)</f>
        <v>107.99225215597058</v>
      </c>
      <c r="AF116" s="9"/>
      <c r="AG116" s="9"/>
      <c r="AH116" s="12">
        <f t="shared" si="9"/>
        <v>60.8</v>
      </c>
      <c r="AI116" s="12">
        <f t="shared" si="10"/>
        <v>70.8</v>
      </c>
      <c r="AJ116" s="12">
        <f t="shared" si="11"/>
        <v>38.5</v>
      </c>
      <c r="AK116" s="12">
        <f t="shared" si="12"/>
        <v>35.4</v>
      </c>
      <c r="AL116" s="12">
        <f t="shared" si="13"/>
        <v>21.7</v>
      </c>
    </row>
    <row r="117" spans="1:38" ht="15.75" customHeight="1" x14ac:dyDescent="0.25">
      <c r="A117" s="1" t="s">
        <v>175</v>
      </c>
      <c r="B117" s="4" t="s">
        <v>109</v>
      </c>
      <c r="C117" s="4" t="s">
        <v>90</v>
      </c>
      <c r="D117" s="4">
        <v>3</v>
      </c>
      <c r="E117" s="4">
        <v>82</v>
      </c>
      <c r="F117" s="4">
        <v>3</v>
      </c>
      <c r="G117" s="4">
        <v>3</v>
      </c>
      <c r="H117" s="4">
        <v>27.3</v>
      </c>
      <c r="I117" s="4">
        <v>6</v>
      </c>
      <c r="J117" s="4">
        <v>11.3</v>
      </c>
      <c r="K117" s="4">
        <v>0.52900000000000003</v>
      </c>
      <c r="L117" s="4">
        <v>0</v>
      </c>
      <c r="M117" s="4">
        <v>0.7</v>
      </c>
      <c r="N117" s="4">
        <v>0</v>
      </c>
      <c r="O117" s="4">
        <v>6</v>
      </c>
      <c r="P117" s="4">
        <v>10.7</v>
      </c>
      <c r="Q117" s="4">
        <v>0.56299999999999994</v>
      </c>
      <c r="R117" s="4">
        <v>3</v>
      </c>
      <c r="S117" s="4">
        <v>4</v>
      </c>
      <c r="T117" s="4">
        <v>0.75</v>
      </c>
      <c r="U117" s="4">
        <v>3</v>
      </c>
      <c r="V117" s="4">
        <v>5.7</v>
      </c>
      <c r="W117" s="4">
        <v>2</v>
      </c>
      <c r="X117" s="4">
        <v>0.7</v>
      </c>
      <c r="Y117" s="4">
        <v>0.7</v>
      </c>
      <c r="Z117" s="4">
        <v>2</v>
      </c>
      <c r="AA117" s="4">
        <v>3</v>
      </c>
      <c r="AB117" s="4">
        <v>15</v>
      </c>
      <c r="AC117" s="10">
        <f t="shared" si="7"/>
        <v>0.99601593625498008</v>
      </c>
      <c r="AD117" s="10">
        <f t="shared" si="8"/>
        <v>0.23333333333333331</v>
      </c>
      <c r="AE117" s="12">
        <f>100*(AC117/TOTAL_BASIC!$D$302)</f>
        <v>104.64742080144171</v>
      </c>
      <c r="AF117" s="9"/>
      <c r="AG117" s="9"/>
      <c r="AH117" s="12">
        <f t="shared" si="9"/>
        <v>67.7</v>
      </c>
      <c r="AI117" s="12">
        <f t="shared" si="10"/>
        <v>63.9</v>
      </c>
      <c r="AJ117" s="12">
        <f t="shared" si="11"/>
        <v>83.2</v>
      </c>
      <c r="AK117" s="12">
        <f t="shared" si="12"/>
        <v>75.7</v>
      </c>
      <c r="AL117" s="12">
        <f t="shared" si="13"/>
        <v>37.200000000000003</v>
      </c>
    </row>
    <row r="118" spans="1:38" ht="15.75" customHeight="1" x14ac:dyDescent="0.25">
      <c r="A118" s="1" t="s">
        <v>157</v>
      </c>
      <c r="B118" s="7" t="s">
        <v>86</v>
      </c>
      <c r="C118" s="4" t="s">
        <v>8</v>
      </c>
      <c r="D118" s="4">
        <v>5</v>
      </c>
      <c r="E118" s="4">
        <v>81</v>
      </c>
      <c r="F118" s="4">
        <v>5</v>
      </c>
      <c r="G118" s="4">
        <v>0</v>
      </c>
      <c r="H118" s="4">
        <v>16.2</v>
      </c>
      <c r="I118" s="4">
        <v>1.8</v>
      </c>
      <c r="J118" s="4">
        <v>3.4</v>
      </c>
      <c r="K118" s="4">
        <v>0.52900000000000003</v>
      </c>
      <c r="L118" s="4">
        <v>1.4</v>
      </c>
      <c r="M118" s="4">
        <v>2.8</v>
      </c>
      <c r="N118" s="4">
        <v>0.5</v>
      </c>
      <c r="O118" s="4">
        <v>0.4</v>
      </c>
      <c r="P118" s="4">
        <v>0.6</v>
      </c>
      <c r="Q118" s="4">
        <v>0.66700000000000004</v>
      </c>
      <c r="R118" s="4">
        <v>0.8</v>
      </c>
      <c r="S118" s="4">
        <v>0.8</v>
      </c>
      <c r="T118" s="4">
        <v>1</v>
      </c>
      <c r="U118" s="4">
        <v>0.2</v>
      </c>
      <c r="V118" s="4">
        <v>2</v>
      </c>
      <c r="W118" s="4">
        <v>5.4</v>
      </c>
      <c r="X118" s="4">
        <v>0.4</v>
      </c>
      <c r="Y118" s="4">
        <v>0</v>
      </c>
      <c r="Z118" s="4">
        <v>2.4</v>
      </c>
      <c r="AA118" s="4">
        <v>2.2000000000000002</v>
      </c>
      <c r="AB118" s="4">
        <v>5.8</v>
      </c>
      <c r="AC118" s="10">
        <f t="shared" si="7"/>
        <v>0.94278283485045522</v>
      </c>
      <c r="AD118" s="10">
        <f t="shared" si="8"/>
        <v>0</v>
      </c>
      <c r="AE118" s="12">
        <f>100*(AC118/TOTAL_BASIC!$D$302)</f>
        <v>99.054431211143594</v>
      </c>
      <c r="AF118" s="9"/>
      <c r="AG118" s="9"/>
      <c r="AH118" s="12">
        <f t="shared" si="9"/>
        <v>0</v>
      </c>
      <c r="AI118" s="12">
        <f t="shared" si="10"/>
        <v>49</v>
      </c>
      <c r="AJ118" s="12">
        <f t="shared" si="11"/>
        <v>36</v>
      </c>
      <c r="AK118" s="12">
        <f t="shared" si="12"/>
        <v>33.5</v>
      </c>
      <c r="AL118" s="12">
        <f t="shared" si="13"/>
        <v>84.399999999999991</v>
      </c>
    </row>
    <row r="119" spans="1:38" ht="15.75" customHeight="1" x14ac:dyDescent="0.25">
      <c r="A119" s="1" t="s">
        <v>166</v>
      </c>
      <c r="B119" s="7" t="s">
        <v>164</v>
      </c>
      <c r="C119" s="4" t="s">
        <v>8</v>
      </c>
      <c r="D119" s="4">
        <v>3</v>
      </c>
      <c r="E119" s="4">
        <v>80</v>
      </c>
      <c r="F119" s="4">
        <v>3</v>
      </c>
      <c r="G119" s="4">
        <v>3</v>
      </c>
      <c r="H119" s="4">
        <v>26.7</v>
      </c>
      <c r="I119" s="4">
        <v>1.3</v>
      </c>
      <c r="J119" s="4">
        <v>3.7</v>
      </c>
      <c r="K119" s="4">
        <v>0.36399999999999999</v>
      </c>
      <c r="L119" s="4">
        <v>0.7</v>
      </c>
      <c r="M119" s="4">
        <v>2.2999999999999998</v>
      </c>
      <c r="N119" s="4">
        <v>0.28599999999999998</v>
      </c>
      <c r="O119" s="4">
        <v>0.7</v>
      </c>
      <c r="P119" s="4">
        <v>1.3</v>
      </c>
      <c r="Q119" s="4">
        <v>0.5</v>
      </c>
      <c r="R119" s="4">
        <v>0</v>
      </c>
      <c r="S119" s="4">
        <v>0</v>
      </c>
      <c r="T119" s="4">
        <v>0</v>
      </c>
      <c r="U119" s="4">
        <v>0</v>
      </c>
      <c r="V119" s="4">
        <v>2.2999999999999998</v>
      </c>
      <c r="W119" s="4">
        <v>4</v>
      </c>
      <c r="X119" s="4">
        <v>2</v>
      </c>
      <c r="Y119" s="4">
        <v>0</v>
      </c>
      <c r="Z119" s="4">
        <v>1.3</v>
      </c>
      <c r="AA119" s="4">
        <v>0.7</v>
      </c>
      <c r="AB119" s="4">
        <v>3.3</v>
      </c>
      <c r="AC119" s="10">
        <f t="shared" si="7"/>
        <v>0.65999999999999992</v>
      </c>
      <c r="AD119" s="10">
        <f t="shared" si="8"/>
        <v>0</v>
      </c>
      <c r="AE119" s="12">
        <f>100*(AC119/TOTAL_BASIC!$D$302)</f>
        <v>69.343566919867328</v>
      </c>
      <c r="AF119" s="9"/>
      <c r="AG119" s="9"/>
      <c r="AH119" s="12">
        <f t="shared" si="9"/>
        <v>0</v>
      </c>
      <c r="AI119" s="12">
        <f t="shared" si="10"/>
        <v>8.6</v>
      </c>
      <c r="AJ119" s="12">
        <f t="shared" si="11"/>
        <v>11.1</v>
      </c>
      <c r="AK119" s="12">
        <f t="shared" si="12"/>
        <v>71.399999999999991</v>
      </c>
      <c r="AL119" s="12">
        <f t="shared" si="13"/>
        <v>0</v>
      </c>
    </row>
    <row r="120" spans="1:38" ht="15.75" customHeight="1" x14ac:dyDescent="0.25">
      <c r="A120" s="1" t="s">
        <v>124</v>
      </c>
      <c r="B120" s="7" t="s">
        <v>116</v>
      </c>
      <c r="C120" s="4" t="s">
        <v>90</v>
      </c>
      <c r="D120" s="4">
        <v>3</v>
      </c>
      <c r="E120" s="4">
        <v>80</v>
      </c>
      <c r="F120" s="4">
        <v>3</v>
      </c>
      <c r="G120" s="4">
        <v>3</v>
      </c>
      <c r="H120" s="4">
        <v>26.7</v>
      </c>
      <c r="I120" s="4">
        <v>6.3</v>
      </c>
      <c r="J120" s="4">
        <v>13.3</v>
      </c>
      <c r="K120" s="4">
        <v>0.47499999999999998</v>
      </c>
      <c r="L120" s="4">
        <v>0.7</v>
      </c>
      <c r="M120" s="4">
        <v>1.7</v>
      </c>
      <c r="N120" s="4">
        <v>0.4</v>
      </c>
      <c r="O120" s="4">
        <v>5.7</v>
      </c>
      <c r="P120" s="4">
        <v>11.7</v>
      </c>
      <c r="Q120" s="4">
        <v>0.48599999999999999</v>
      </c>
      <c r="R120" s="4">
        <v>2.7</v>
      </c>
      <c r="S120" s="4">
        <v>5</v>
      </c>
      <c r="T120" s="4">
        <v>0.53300000000000003</v>
      </c>
      <c r="U120" s="4">
        <v>1.7</v>
      </c>
      <c r="V120" s="4">
        <v>7.3</v>
      </c>
      <c r="W120" s="4">
        <v>0.3</v>
      </c>
      <c r="X120" s="4">
        <v>1</v>
      </c>
      <c r="Y120" s="4">
        <v>2</v>
      </c>
      <c r="Z120" s="4">
        <v>2</v>
      </c>
      <c r="AA120" s="4">
        <v>2.7</v>
      </c>
      <c r="AB120" s="4">
        <v>16</v>
      </c>
      <c r="AC120" s="10">
        <f t="shared" si="7"/>
        <v>0.91428571428571426</v>
      </c>
      <c r="AD120" s="10">
        <f t="shared" si="8"/>
        <v>0.7407407407407407</v>
      </c>
      <c r="AE120" s="12">
        <f>100*(AC120/TOTAL_BASIC!$D$302)</f>
        <v>96.060352443106268</v>
      </c>
      <c r="AF120" s="9"/>
      <c r="AG120" s="9"/>
      <c r="AH120" s="12">
        <f t="shared" si="9"/>
        <v>95.6</v>
      </c>
      <c r="AI120" s="12">
        <f t="shared" si="10"/>
        <v>38.5</v>
      </c>
      <c r="AJ120" s="12">
        <f t="shared" si="11"/>
        <v>88.1</v>
      </c>
      <c r="AK120" s="12">
        <f t="shared" si="12"/>
        <v>71.399999999999991</v>
      </c>
      <c r="AL120" s="12">
        <f t="shared" si="13"/>
        <v>16.7</v>
      </c>
    </row>
    <row r="121" spans="1:38" ht="15.75" customHeight="1" x14ac:dyDescent="0.25">
      <c r="A121" s="1" t="s">
        <v>245</v>
      </c>
      <c r="B121" s="7" t="s">
        <v>109</v>
      </c>
      <c r="C121" s="4" t="s">
        <v>87</v>
      </c>
      <c r="D121" s="4">
        <v>6</v>
      </c>
      <c r="E121" s="4">
        <v>78</v>
      </c>
      <c r="F121" s="4">
        <v>6</v>
      </c>
      <c r="G121" s="4">
        <v>0</v>
      </c>
      <c r="H121" s="4">
        <v>13</v>
      </c>
      <c r="I121" s="4">
        <v>2</v>
      </c>
      <c r="J121" s="4">
        <v>3.8</v>
      </c>
      <c r="K121" s="4">
        <v>0.52200000000000002</v>
      </c>
      <c r="L121" s="4">
        <v>0.2</v>
      </c>
      <c r="M121" s="4">
        <v>0.3</v>
      </c>
      <c r="N121" s="4">
        <v>0.5</v>
      </c>
      <c r="O121" s="4">
        <v>1.8</v>
      </c>
      <c r="P121" s="4">
        <v>3.5</v>
      </c>
      <c r="Q121" s="4">
        <v>0.52400000000000002</v>
      </c>
      <c r="R121" s="4">
        <v>1</v>
      </c>
      <c r="S121" s="4">
        <v>2</v>
      </c>
      <c r="T121" s="4">
        <v>0.5</v>
      </c>
      <c r="U121" s="4">
        <v>0.7</v>
      </c>
      <c r="V121" s="4">
        <v>2</v>
      </c>
      <c r="W121" s="4">
        <v>0.3</v>
      </c>
      <c r="X121" s="4">
        <v>0.5</v>
      </c>
      <c r="Y121" s="4">
        <v>0.2</v>
      </c>
      <c r="Z121" s="4">
        <v>0.7</v>
      </c>
      <c r="AA121" s="4">
        <v>2.2999999999999998</v>
      </c>
      <c r="AB121" s="4">
        <v>5.2</v>
      </c>
      <c r="AC121" s="10">
        <f t="shared" si="7"/>
        <v>0.96654275092936803</v>
      </c>
      <c r="AD121" s="10">
        <f t="shared" si="8"/>
        <v>8.6956521739130446E-2</v>
      </c>
      <c r="AE121" s="12">
        <f>100*(AC121/TOTAL_BASIC!$D$302)</f>
        <v>101.550790803005</v>
      </c>
      <c r="AF121" s="9"/>
      <c r="AG121" s="9"/>
      <c r="AH121" s="12">
        <f t="shared" si="9"/>
        <v>39.1</v>
      </c>
      <c r="AI121" s="12">
        <f t="shared" si="10"/>
        <v>52.7</v>
      </c>
      <c r="AJ121" s="12">
        <f t="shared" si="11"/>
        <v>28.499999999999996</v>
      </c>
      <c r="AK121" s="12">
        <f t="shared" si="12"/>
        <v>18</v>
      </c>
      <c r="AL121" s="12">
        <f t="shared" si="13"/>
        <v>9.9</v>
      </c>
    </row>
    <row r="122" spans="1:38" ht="15.75" customHeight="1" x14ac:dyDescent="0.25">
      <c r="A122" s="1" t="s">
        <v>240</v>
      </c>
      <c r="B122" s="7" t="s">
        <v>133</v>
      </c>
      <c r="C122" s="4" t="s">
        <v>8</v>
      </c>
      <c r="D122" s="4">
        <v>5</v>
      </c>
      <c r="E122" s="4">
        <v>77</v>
      </c>
      <c r="F122" s="4">
        <v>5</v>
      </c>
      <c r="G122" s="4">
        <v>0</v>
      </c>
      <c r="H122" s="4">
        <v>15.4</v>
      </c>
      <c r="I122" s="4">
        <v>1.4</v>
      </c>
      <c r="J122" s="4">
        <v>4.2</v>
      </c>
      <c r="K122" s="4">
        <v>0.33300000000000002</v>
      </c>
      <c r="L122" s="4">
        <v>0</v>
      </c>
      <c r="M122" s="4">
        <v>1</v>
      </c>
      <c r="N122" s="4">
        <v>0</v>
      </c>
      <c r="O122" s="4">
        <v>1.4</v>
      </c>
      <c r="P122" s="4">
        <v>3.2</v>
      </c>
      <c r="Q122" s="4">
        <v>0.438</v>
      </c>
      <c r="R122" s="4">
        <v>2.2000000000000002</v>
      </c>
      <c r="S122" s="4">
        <v>2.2000000000000002</v>
      </c>
      <c r="T122" s="4">
        <v>1</v>
      </c>
      <c r="U122" s="4">
        <v>0.4</v>
      </c>
      <c r="V122" s="4">
        <v>1.8</v>
      </c>
      <c r="W122" s="4">
        <v>0.8</v>
      </c>
      <c r="X122" s="4">
        <v>1</v>
      </c>
      <c r="Y122" s="4">
        <v>0</v>
      </c>
      <c r="Z122" s="4">
        <v>0.2</v>
      </c>
      <c r="AA122" s="4">
        <v>2.6</v>
      </c>
      <c r="AB122" s="4">
        <v>5</v>
      </c>
      <c r="AC122" s="10">
        <f t="shared" si="7"/>
        <v>0.9314456035767511</v>
      </c>
      <c r="AD122" s="10">
        <f t="shared" si="8"/>
        <v>0</v>
      </c>
      <c r="AE122" s="12">
        <f>100*(AC122/TOTAL_BASIC!$D$302)</f>
        <v>97.863273551273736</v>
      </c>
      <c r="AF122" s="9"/>
      <c r="AG122" s="9"/>
      <c r="AH122" s="12">
        <f t="shared" si="9"/>
        <v>0</v>
      </c>
      <c r="AI122" s="12">
        <f t="shared" si="10"/>
        <v>45.9</v>
      </c>
      <c r="AJ122" s="12">
        <f t="shared" si="11"/>
        <v>25.4</v>
      </c>
      <c r="AK122" s="12">
        <f t="shared" si="12"/>
        <v>27.900000000000002</v>
      </c>
      <c r="AL122" s="12">
        <f t="shared" si="13"/>
        <v>84.399999999999991</v>
      </c>
    </row>
    <row r="123" spans="1:38" ht="15.75" customHeight="1" x14ac:dyDescent="0.25">
      <c r="A123" s="1" t="s">
        <v>246</v>
      </c>
      <c r="B123" s="7" t="s">
        <v>244</v>
      </c>
      <c r="C123" s="4" t="s">
        <v>87</v>
      </c>
      <c r="D123" s="4">
        <v>7</v>
      </c>
      <c r="E123" s="4">
        <v>77</v>
      </c>
      <c r="F123" s="4">
        <v>7</v>
      </c>
      <c r="G123" s="4">
        <v>0</v>
      </c>
      <c r="H123" s="4">
        <v>11</v>
      </c>
      <c r="I123" s="4">
        <v>1.1000000000000001</v>
      </c>
      <c r="J123" s="4">
        <v>2.9</v>
      </c>
      <c r="K123" s="4">
        <v>0.4</v>
      </c>
      <c r="L123" s="4">
        <v>0</v>
      </c>
      <c r="M123" s="4">
        <v>0</v>
      </c>
      <c r="N123" s="4">
        <v>0</v>
      </c>
      <c r="O123" s="4">
        <v>1.1000000000000001</v>
      </c>
      <c r="P123" s="4">
        <v>2.9</v>
      </c>
      <c r="Q123" s="4">
        <v>0.4</v>
      </c>
      <c r="R123" s="4">
        <v>1</v>
      </c>
      <c r="S123" s="4">
        <v>2.1</v>
      </c>
      <c r="T123" s="4">
        <v>0.46700000000000003</v>
      </c>
      <c r="U123" s="4">
        <v>0.6</v>
      </c>
      <c r="V123" s="4">
        <v>2.6</v>
      </c>
      <c r="W123" s="4">
        <v>0.3</v>
      </c>
      <c r="X123" s="4">
        <v>0.6</v>
      </c>
      <c r="Y123" s="4">
        <v>0.6</v>
      </c>
      <c r="Z123" s="4">
        <v>0.1</v>
      </c>
      <c r="AA123" s="4">
        <v>1.3</v>
      </c>
      <c r="AB123" s="4">
        <v>3.3</v>
      </c>
      <c r="AC123" s="10">
        <f t="shared" si="7"/>
        <v>0.84097859327217117</v>
      </c>
      <c r="AD123" s="10">
        <f t="shared" si="8"/>
        <v>0.46153846153846151</v>
      </c>
      <c r="AE123" s="12">
        <f>100*(AC123/TOTAL_BASIC!$D$302)</f>
        <v>88.358265698098023</v>
      </c>
      <c r="AF123" s="9"/>
      <c r="AG123" s="9"/>
      <c r="AH123" s="12">
        <f t="shared" si="9"/>
        <v>86.3</v>
      </c>
      <c r="AI123" s="12">
        <f t="shared" si="10"/>
        <v>26.700000000000003</v>
      </c>
      <c r="AJ123" s="12">
        <f t="shared" si="11"/>
        <v>11.1</v>
      </c>
      <c r="AK123" s="12">
        <f t="shared" si="12"/>
        <v>9.9</v>
      </c>
      <c r="AL123" s="12">
        <f t="shared" si="13"/>
        <v>8.6</v>
      </c>
    </row>
    <row r="124" spans="1:38" ht="15.75" customHeight="1" x14ac:dyDescent="0.25">
      <c r="A124" s="1" t="s">
        <v>232</v>
      </c>
      <c r="B124" s="7" t="s">
        <v>160</v>
      </c>
      <c r="C124" s="4" t="s">
        <v>8</v>
      </c>
      <c r="D124" s="4">
        <v>6</v>
      </c>
      <c r="E124" s="4">
        <v>75</v>
      </c>
      <c r="F124" s="4">
        <v>6</v>
      </c>
      <c r="G124" s="4">
        <v>1</v>
      </c>
      <c r="H124" s="4">
        <v>12.5</v>
      </c>
      <c r="I124" s="4">
        <v>0.8</v>
      </c>
      <c r="J124" s="4">
        <v>2.8</v>
      </c>
      <c r="K124" s="4">
        <v>0.29399999999999998</v>
      </c>
      <c r="L124" s="4">
        <v>0.2</v>
      </c>
      <c r="M124" s="4">
        <v>1.3</v>
      </c>
      <c r="N124" s="4">
        <v>0.125</v>
      </c>
      <c r="O124" s="4">
        <v>0.7</v>
      </c>
      <c r="P124" s="4">
        <v>1.5</v>
      </c>
      <c r="Q124" s="4">
        <v>0.44400000000000001</v>
      </c>
      <c r="R124" s="4">
        <v>0.3</v>
      </c>
      <c r="S124" s="4">
        <v>0.3</v>
      </c>
      <c r="T124" s="4">
        <v>1</v>
      </c>
      <c r="U124" s="4">
        <v>0</v>
      </c>
      <c r="V124" s="4">
        <v>1</v>
      </c>
      <c r="W124" s="4">
        <v>2</v>
      </c>
      <c r="X124" s="4">
        <v>0.3</v>
      </c>
      <c r="Y124" s="4">
        <v>0.2</v>
      </c>
      <c r="Z124" s="4">
        <v>0.7</v>
      </c>
      <c r="AA124" s="4">
        <v>1</v>
      </c>
      <c r="AB124" s="4">
        <v>2.2000000000000002</v>
      </c>
      <c r="AC124" s="10">
        <f t="shared" si="7"/>
        <v>0.60572687224669619</v>
      </c>
      <c r="AD124" s="10">
        <f t="shared" si="8"/>
        <v>0.2</v>
      </c>
      <c r="AE124" s="12">
        <f>100*(AC124/TOTAL_BASIC!$D$302)</f>
        <v>63.641305910304105</v>
      </c>
      <c r="AF124" s="9"/>
      <c r="AG124" s="9"/>
      <c r="AH124" s="12">
        <f t="shared" si="9"/>
        <v>63.3</v>
      </c>
      <c r="AI124" s="12">
        <f t="shared" si="10"/>
        <v>5.5</v>
      </c>
      <c r="AJ124" s="12">
        <f t="shared" si="11"/>
        <v>3.1</v>
      </c>
      <c r="AK124" s="12">
        <f t="shared" si="12"/>
        <v>16.7</v>
      </c>
      <c r="AL124" s="12">
        <f t="shared" si="13"/>
        <v>84.399999999999991</v>
      </c>
    </row>
    <row r="125" spans="1:38" ht="15.75" customHeight="1" x14ac:dyDescent="0.25">
      <c r="A125" s="1" t="s">
        <v>241</v>
      </c>
      <c r="B125" s="7" t="s">
        <v>142</v>
      </c>
      <c r="C125" s="4" t="s">
        <v>8</v>
      </c>
      <c r="D125" s="4">
        <v>4</v>
      </c>
      <c r="E125" s="4">
        <v>74</v>
      </c>
      <c r="F125" s="4">
        <v>4</v>
      </c>
      <c r="G125" s="4">
        <v>2</v>
      </c>
      <c r="H125" s="4">
        <v>18.5</v>
      </c>
      <c r="I125" s="4">
        <v>1.8</v>
      </c>
      <c r="J125" s="4">
        <v>4.8</v>
      </c>
      <c r="K125" s="4">
        <v>0.36799999999999999</v>
      </c>
      <c r="L125" s="4">
        <v>0.8</v>
      </c>
      <c r="M125" s="4">
        <v>2</v>
      </c>
      <c r="N125" s="4">
        <v>0.375</v>
      </c>
      <c r="O125" s="4">
        <v>1</v>
      </c>
      <c r="P125" s="4">
        <v>2.8</v>
      </c>
      <c r="Q125" s="4">
        <v>0.36399999999999999</v>
      </c>
      <c r="R125" s="4">
        <v>1.3</v>
      </c>
      <c r="S125" s="4">
        <v>1.5</v>
      </c>
      <c r="T125" s="4">
        <v>0.83299999999999996</v>
      </c>
      <c r="U125" s="4">
        <v>0.5</v>
      </c>
      <c r="V125" s="4">
        <v>2</v>
      </c>
      <c r="W125" s="4">
        <v>1.5</v>
      </c>
      <c r="X125" s="4">
        <v>0.3</v>
      </c>
      <c r="Y125" s="4">
        <v>0.3</v>
      </c>
      <c r="Z125" s="4">
        <v>1.5</v>
      </c>
      <c r="AA125" s="4">
        <v>3</v>
      </c>
      <c r="AB125" s="4">
        <v>5.5</v>
      </c>
      <c r="AC125" s="10">
        <f t="shared" si="7"/>
        <v>0.79022988505747127</v>
      </c>
      <c r="AD125" s="10">
        <f t="shared" si="8"/>
        <v>9.9999999999999992E-2</v>
      </c>
      <c r="AE125" s="12">
        <f>100*(AC125/TOTAL_BASIC!$D$302)</f>
        <v>83.026301388730047</v>
      </c>
      <c r="AF125" s="9"/>
      <c r="AG125" s="9"/>
      <c r="AH125" s="12">
        <f t="shared" si="9"/>
        <v>40.300000000000004</v>
      </c>
      <c r="AI125" s="12">
        <f t="shared" si="10"/>
        <v>18.600000000000001</v>
      </c>
      <c r="AJ125" s="12">
        <f t="shared" si="11"/>
        <v>32.9</v>
      </c>
      <c r="AK125" s="12">
        <f t="shared" si="12"/>
        <v>43.4</v>
      </c>
      <c r="AL125" s="12">
        <f t="shared" si="13"/>
        <v>58.3</v>
      </c>
    </row>
    <row r="126" spans="1:38" ht="15.75" customHeight="1" x14ac:dyDescent="0.25">
      <c r="A126" s="1" t="s">
        <v>229</v>
      </c>
      <c r="B126" s="7" t="s">
        <v>142</v>
      </c>
      <c r="C126" s="4" t="s">
        <v>87</v>
      </c>
      <c r="D126" s="4">
        <v>6</v>
      </c>
      <c r="E126" s="4">
        <v>70</v>
      </c>
      <c r="F126" s="4">
        <v>6</v>
      </c>
      <c r="G126" s="4">
        <v>0</v>
      </c>
      <c r="H126" s="4">
        <v>11.7</v>
      </c>
      <c r="I126" s="4">
        <v>1.7</v>
      </c>
      <c r="J126" s="4">
        <v>3.7</v>
      </c>
      <c r="K126" s="4">
        <v>0.45500000000000002</v>
      </c>
      <c r="L126" s="4">
        <v>0.3</v>
      </c>
      <c r="M126" s="4">
        <v>1.5</v>
      </c>
      <c r="N126" s="4">
        <v>0.222</v>
      </c>
      <c r="O126" s="4">
        <v>1.3</v>
      </c>
      <c r="P126" s="4">
        <v>2.2000000000000002</v>
      </c>
      <c r="Q126" s="4">
        <v>0.61499999999999999</v>
      </c>
      <c r="R126" s="4">
        <v>0.3</v>
      </c>
      <c r="S126" s="4">
        <v>0.8</v>
      </c>
      <c r="T126" s="4">
        <v>0.4</v>
      </c>
      <c r="U126" s="4">
        <v>0.5</v>
      </c>
      <c r="V126" s="4">
        <v>2.7</v>
      </c>
      <c r="W126" s="4">
        <v>0.7</v>
      </c>
      <c r="X126" s="4">
        <v>0.5</v>
      </c>
      <c r="Y126" s="4">
        <v>0.3</v>
      </c>
      <c r="Z126" s="4">
        <v>0.3</v>
      </c>
      <c r="AA126" s="4">
        <v>1.2</v>
      </c>
      <c r="AB126" s="4">
        <v>4</v>
      </c>
      <c r="AC126" s="10">
        <f t="shared" si="7"/>
        <v>0.91911764705882348</v>
      </c>
      <c r="AD126" s="10">
        <f t="shared" si="8"/>
        <v>0.25</v>
      </c>
      <c r="AE126" s="12">
        <f>100*(AC126/TOTAL_BASIC!$D$302)</f>
        <v>96.568024342506874</v>
      </c>
      <c r="AF126" s="9"/>
      <c r="AG126" s="9"/>
      <c r="AH126" s="12">
        <f t="shared" si="9"/>
        <v>68.899999999999991</v>
      </c>
      <c r="AI126" s="12">
        <f t="shared" si="10"/>
        <v>40.300000000000004</v>
      </c>
      <c r="AJ126" s="12">
        <f t="shared" si="11"/>
        <v>16.7</v>
      </c>
      <c r="AK126" s="12">
        <f t="shared" si="12"/>
        <v>13</v>
      </c>
      <c r="AL126" s="12">
        <f t="shared" si="13"/>
        <v>6.8000000000000007</v>
      </c>
    </row>
    <row r="127" spans="1:38" ht="15.75" customHeight="1" x14ac:dyDescent="0.25">
      <c r="A127" s="1" t="s">
        <v>233</v>
      </c>
      <c r="B127" s="7" t="s">
        <v>244</v>
      </c>
      <c r="C127" s="4" t="s">
        <v>8</v>
      </c>
      <c r="D127" s="4">
        <v>3</v>
      </c>
      <c r="E127" s="4">
        <v>68</v>
      </c>
      <c r="F127" s="4">
        <v>3</v>
      </c>
      <c r="G127" s="4">
        <v>2</v>
      </c>
      <c r="H127" s="4">
        <v>22.7</v>
      </c>
      <c r="I127" s="4">
        <v>4.3</v>
      </c>
      <c r="J127" s="4">
        <v>10.3</v>
      </c>
      <c r="K127" s="4">
        <v>0.41899999999999998</v>
      </c>
      <c r="L127" s="4">
        <v>0.7</v>
      </c>
      <c r="M127" s="4">
        <v>2.7</v>
      </c>
      <c r="N127" s="4">
        <v>0.25</v>
      </c>
      <c r="O127" s="4">
        <v>3.7</v>
      </c>
      <c r="P127" s="4">
        <v>7.7</v>
      </c>
      <c r="Q127" s="4">
        <v>0.47799999999999998</v>
      </c>
      <c r="R127" s="4">
        <v>2</v>
      </c>
      <c r="S127" s="4">
        <v>3.3</v>
      </c>
      <c r="T127" s="4">
        <v>0.6</v>
      </c>
      <c r="U127" s="4">
        <v>0.3</v>
      </c>
      <c r="V127" s="4">
        <v>1.7</v>
      </c>
      <c r="W127" s="4">
        <v>5.7</v>
      </c>
      <c r="X127" s="4">
        <v>0.7</v>
      </c>
      <c r="Y127" s="4">
        <v>0</v>
      </c>
      <c r="Z127" s="4">
        <v>2</v>
      </c>
      <c r="AA127" s="4">
        <v>1.7</v>
      </c>
      <c r="AB127" s="4">
        <v>11.3</v>
      </c>
      <c r="AC127" s="10">
        <f t="shared" si="7"/>
        <v>0.82169866201279818</v>
      </c>
      <c r="AD127" s="10">
        <f t="shared" si="8"/>
        <v>0</v>
      </c>
      <c r="AE127" s="12">
        <f>100*(AC127/TOTAL_BASIC!$D$302)</f>
        <v>86.332600238257456</v>
      </c>
      <c r="AF127" s="9"/>
      <c r="AG127" s="9"/>
      <c r="AH127" s="12">
        <f t="shared" si="9"/>
        <v>0</v>
      </c>
      <c r="AI127" s="12">
        <f t="shared" si="10"/>
        <v>22.900000000000002</v>
      </c>
      <c r="AJ127" s="12">
        <f t="shared" si="11"/>
        <v>68.899999999999991</v>
      </c>
      <c r="AK127" s="12">
        <f t="shared" si="12"/>
        <v>55.900000000000006</v>
      </c>
      <c r="AL127" s="12">
        <f t="shared" si="13"/>
        <v>18.600000000000001</v>
      </c>
    </row>
    <row r="128" spans="1:38" ht="15.75" customHeight="1" x14ac:dyDescent="0.25">
      <c r="A128" s="1" t="s">
        <v>247</v>
      </c>
      <c r="B128" s="4" t="s">
        <v>86</v>
      </c>
      <c r="C128" s="4" t="s">
        <v>114</v>
      </c>
      <c r="D128" s="4">
        <v>4</v>
      </c>
      <c r="E128" s="4">
        <v>67</v>
      </c>
      <c r="F128" s="4">
        <v>4</v>
      </c>
      <c r="G128" s="4">
        <v>0</v>
      </c>
      <c r="H128" s="4">
        <v>16.8</v>
      </c>
      <c r="I128" s="4">
        <v>0.5</v>
      </c>
      <c r="J128" s="4">
        <v>4.3</v>
      </c>
      <c r="K128" s="4">
        <v>0.11799999999999999</v>
      </c>
      <c r="L128" s="4">
        <v>0.5</v>
      </c>
      <c r="M128" s="4">
        <v>3</v>
      </c>
      <c r="N128" s="4">
        <v>0.16700000000000001</v>
      </c>
      <c r="O128" s="4">
        <v>0</v>
      </c>
      <c r="P128" s="4">
        <v>1.3</v>
      </c>
      <c r="Q128" s="4">
        <v>0</v>
      </c>
      <c r="R128" s="4">
        <v>1.5</v>
      </c>
      <c r="S128" s="4">
        <v>1.5</v>
      </c>
      <c r="T128" s="4">
        <v>1</v>
      </c>
      <c r="U128" s="4">
        <v>0.3</v>
      </c>
      <c r="V128" s="4">
        <v>2.2999999999999998</v>
      </c>
      <c r="W128" s="4">
        <v>1</v>
      </c>
      <c r="X128" s="4">
        <v>0.5</v>
      </c>
      <c r="Y128" s="4">
        <v>0.3</v>
      </c>
      <c r="Z128" s="4">
        <v>0.8</v>
      </c>
      <c r="AA128" s="4">
        <v>2.2999999999999998</v>
      </c>
      <c r="AB128" s="4">
        <v>3</v>
      </c>
      <c r="AC128" s="10">
        <f t="shared" si="7"/>
        <v>0.52083333333333337</v>
      </c>
      <c r="AD128" s="10">
        <f t="shared" si="8"/>
        <v>0.13043478260869565</v>
      </c>
      <c r="AE128" s="12">
        <f>100*(AC128/TOTAL_BASIC!$D$302)</f>
        <v>54.721880460753901</v>
      </c>
      <c r="AF128" s="9"/>
      <c r="AG128" s="9"/>
      <c r="AH128" s="12">
        <f t="shared" si="9"/>
        <v>47.8</v>
      </c>
      <c r="AI128" s="12">
        <f t="shared" si="10"/>
        <v>2.4</v>
      </c>
      <c r="AJ128" s="12">
        <f t="shared" si="11"/>
        <v>9.3000000000000007</v>
      </c>
      <c r="AK128" s="12">
        <f t="shared" si="12"/>
        <v>36</v>
      </c>
      <c r="AL128" s="12">
        <f t="shared" si="13"/>
        <v>84.399999999999991</v>
      </c>
    </row>
    <row r="129" spans="1:38" ht="15.75" customHeight="1" x14ac:dyDescent="0.25">
      <c r="A129" s="1" t="s">
        <v>248</v>
      </c>
      <c r="B129" s="7" t="s">
        <v>93</v>
      </c>
      <c r="C129" s="4" t="s">
        <v>8</v>
      </c>
      <c r="D129" s="4">
        <v>5</v>
      </c>
      <c r="E129" s="4">
        <v>67</v>
      </c>
      <c r="F129" s="4">
        <v>5</v>
      </c>
      <c r="G129" s="4">
        <v>1</v>
      </c>
      <c r="H129" s="4">
        <v>13.4</v>
      </c>
      <c r="I129" s="4">
        <v>2.4</v>
      </c>
      <c r="J129" s="4">
        <v>5.6</v>
      </c>
      <c r="K129" s="4">
        <v>0.42899999999999999</v>
      </c>
      <c r="L129" s="4">
        <v>0.6</v>
      </c>
      <c r="M129" s="4">
        <v>1.8</v>
      </c>
      <c r="N129" s="4">
        <v>0.33300000000000002</v>
      </c>
      <c r="O129" s="4">
        <v>1.8</v>
      </c>
      <c r="P129" s="4">
        <v>3.8</v>
      </c>
      <c r="Q129" s="4">
        <v>0.47399999999999998</v>
      </c>
      <c r="R129" s="4">
        <v>2.2000000000000002</v>
      </c>
      <c r="S129" s="4">
        <v>2.4</v>
      </c>
      <c r="T129" s="4">
        <v>0.91700000000000004</v>
      </c>
      <c r="U129" s="4">
        <v>0</v>
      </c>
      <c r="V129" s="4">
        <v>1.2</v>
      </c>
      <c r="W129" s="4">
        <v>1.6</v>
      </c>
      <c r="X129" s="4">
        <v>0.2</v>
      </c>
      <c r="Y129" s="4">
        <v>0</v>
      </c>
      <c r="Z129" s="4">
        <v>0.6</v>
      </c>
      <c r="AA129" s="4">
        <v>2</v>
      </c>
      <c r="AB129" s="4">
        <v>7.6</v>
      </c>
      <c r="AC129" s="10">
        <f t="shared" si="7"/>
        <v>1.0474090407938259</v>
      </c>
      <c r="AD129" s="10">
        <f t="shared" si="8"/>
        <v>0</v>
      </c>
      <c r="AE129" s="12">
        <f>100*(AC129/TOTAL_BASIC!$D$302)</f>
        <v>110.04708926175869</v>
      </c>
      <c r="AF129" s="9"/>
      <c r="AG129" s="9"/>
      <c r="AH129" s="12">
        <f t="shared" si="9"/>
        <v>0</v>
      </c>
      <c r="AI129" s="12">
        <f t="shared" si="10"/>
        <v>75.099999999999994</v>
      </c>
      <c r="AJ129" s="12">
        <f t="shared" si="11"/>
        <v>48.4</v>
      </c>
      <c r="AK129" s="12">
        <f t="shared" si="12"/>
        <v>21.099999999999998</v>
      </c>
      <c r="AL129" s="12">
        <f t="shared" si="13"/>
        <v>81.3</v>
      </c>
    </row>
    <row r="130" spans="1:38" ht="15.75" customHeight="1" x14ac:dyDescent="0.25">
      <c r="A130" s="1" t="s">
        <v>215</v>
      </c>
      <c r="B130" s="7" t="s">
        <v>95</v>
      </c>
      <c r="C130" s="4" t="s">
        <v>90</v>
      </c>
      <c r="D130" s="4">
        <v>7</v>
      </c>
      <c r="E130" s="4">
        <v>67</v>
      </c>
      <c r="F130" s="4">
        <v>7</v>
      </c>
      <c r="G130" s="4">
        <v>0</v>
      </c>
      <c r="H130" s="4">
        <v>9.6</v>
      </c>
      <c r="I130" s="4">
        <v>1.1000000000000001</v>
      </c>
      <c r="J130" s="4">
        <v>2.7</v>
      </c>
      <c r="K130" s="4">
        <v>0.42099999999999999</v>
      </c>
      <c r="L130" s="4">
        <v>0.6</v>
      </c>
      <c r="M130" s="4">
        <v>1.6</v>
      </c>
      <c r="N130" s="4">
        <v>0.36399999999999999</v>
      </c>
      <c r="O130" s="4">
        <v>0.6</v>
      </c>
      <c r="P130" s="4">
        <v>1.1000000000000001</v>
      </c>
      <c r="Q130" s="4">
        <v>0.5</v>
      </c>
      <c r="R130" s="4">
        <v>1</v>
      </c>
      <c r="S130" s="4">
        <v>1.3</v>
      </c>
      <c r="T130" s="4">
        <v>0.77800000000000002</v>
      </c>
      <c r="U130" s="4">
        <v>1</v>
      </c>
      <c r="V130" s="4">
        <v>2.7</v>
      </c>
      <c r="W130" s="4">
        <v>0.6</v>
      </c>
      <c r="X130" s="4">
        <v>0.6</v>
      </c>
      <c r="Y130" s="4">
        <v>0.9</v>
      </c>
      <c r="Z130" s="4">
        <v>0.6</v>
      </c>
      <c r="AA130" s="4">
        <v>1.6</v>
      </c>
      <c r="AB130" s="4">
        <v>3.9</v>
      </c>
      <c r="AC130" s="10">
        <f t="shared" si="7"/>
        <v>1.0072314049586775</v>
      </c>
      <c r="AD130" s="10">
        <f t="shared" si="8"/>
        <v>0.5625</v>
      </c>
      <c r="AE130" s="12">
        <f>100*(AC130/TOTAL_BASIC!$D$302)</f>
        <v>105.82578535385463</v>
      </c>
      <c r="AF130" s="9"/>
      <c r="AG130" s="9"/>
      <c r="AH130" s="12">
        <f t="shared" si="9"/>
        <v>89.4</v>
      </c>
      <c r="AI130" s="12">
        <f t="shared" si="10"/>
        <v>65.8</v>
      </c>
      <c r="AJ130" s="12">
        <f t="shared" si="11"/>
        <v>14.899999999999999</v>
      </c>
      <c r="AK130" s="12">
        <f t="shared" si="12"/>
        <v>6.2</v>
      </c>
      <c r="AL130" s="12">
        <f t="shared" si="13"/>
        <v>45.300000000000004</v>
      </c>
    </row>
    <row r="131" spans="1:38" ht="15.75" customHeight="1" x14ac:dyDescent="0.25">
      <c r="A131" s="1" t="s">
        <v>191</v>
      </c>
      <c r="B131" s="7" t="s">
        <v>119</v>
      </c>
      <c r="C131" s="4" t="s">
        <v>121</v>
      </c>
      <c r="D131" s="4">
        <v>6</v>
      </c>
      <c r="E131" s="4">
        <v>65</v>
      </c>
      <c r="F131" s="4">
        <v>6</v>
      </c>
      <c r="G131" s="4">
        <v>0</v>
      </c>
      <c r="H131" s="4">
        <v>10.8</v>
      </c>
      <c r="I131" s="4">
        <v>0.3</v>
      </c>
      <c r="J131" s="4">
        <v>0.5</v>
      </c>
      <c r="K131" s="4">
        <v>0.66700000000000004</v>
      </c>
      <c r="L131" s="4">
        <v>0</v>
      </c>
      <c r="M131" s="4">
        <v>0</v>
      </c>
      <c r="N131" s="4">
        <v>0</v>
      </c>
      <c r="O131" s="4">
        <v>0.3</v>
      </c>
      <c r="P131" s="4">
        <v>0.5</v>
      </c>
      <c r="Q131" s="4">
        <v>0.66700000000000004</v>
      </c>
      <c r="R131" s="4">
        <v>0.3</v>
      </c>
      <c r="S131" s="4">
        <v>0.3</v>
      </c>
      <c r="T131" s="4">
        <v>1</v>
      </c>
      <c r="U131" s="4">
        <v>0.8</v>
      </c>
      <c r="V131" s="4">
        <v>2.7</v>
      </c>
      <c r="W131" s="4">
        <v>0.3</v>
      </c>
      <c r="X131" s="4">
        <v>0.5</v>
      </c>
      <c r="Y131" s="4">
        <v>0.7</v>
      </c>
      <c r="Z131" s="4">
        <v>0.5</v>
      </c>
      <c r="AA131" s="4">
        <v>1</v>
      </c>
      <c r="AB131" s="4">
        <v>1</v>
      </c>
      <c r="AC131" s="10">
        <f t="shared" si="7"/>
        <v>0.88339222614840984</v>
      </c>
      <c r="AD131" s="10">
        <f t="shared" si="8"/>
        <v>0.7</v>
      </c>
      <c r="AE131" s="12">
        <f>100*(AC131/TOTAL_BASIC!$D$302)</f>
        <v>92.814496894564897</v>
      </c>
      <c r="AF131" s="9"/>
      <c r="AG131" s="9"/>
      <c r="AH131" s="12">
        <f t="shared" si="9"/>
        <v>95</v>
      </c>
      <c r="AI131" s="12">
        <f t="shared" si="10"/>
        <v>34.699999999999996</v>
      </c>
      <c r="AJ131" s="12">
        <f t="shared" si="11"/>
        <v>0.6</v>
      </c>
      <c r="AK131" s="12">
        <f t="shared" si="12"/>
        <v>9.3000000000000007</v>
      </c>
      <c r="AL131" s="12">
        <f t="shared" si="13"/>
        <v>84.399999999999991</v>
      </c>
    </row>
    <row r="132" spans="1:38" ht="15.75" customHeight="1" x14ac:dyDescent="0.25">
      <c r="A132" s="1" t="s">
        <v>212</v>
      </c>
      <c r="B132" s="7" t="s">
        <v>119</v>
      </c>
      <c r="C132" s="4" t="s">
        <v>87</v>
      </c>
      <c r="D132" s="4">
        <v>6</v>
      </c>
      <c r="E132" s="4">
        <v>64</v>
      </c>
      <c r="F132" s="4">
        <v>6</v>
      </c>
      <c r="G132" s="4">
        <v>0</v>
      </c>
      <c r="H132" s="4">
        <v>10.7</v>
      </c>
      <c r="I132" s="4">
        <v>1.8</v>
      </c>
      <c r="J132" s="4">
        <v>3.3</v>
      </c>
      <c r="K132" s="4">
        <v>0.55000000000000004</v>
      </c>
      <c r="L132" s="4">
        <v>0.2</v>
      </c>
      <c r="M132" s="4">
        <v>0.5</v>
      </c>
      <c r="N132" s="4">
        <v>0.33300000000000002</v>
      </c>
      <c r="O132" s="4">
        <v>1.7</v>
      </c>
      <c r="P132" s="4">
        <v>2.8</v>
      </c>
      <c r="Q132" s="4">
        <v>0.58799999999999997</v>
      </c>
      <c r="R132" s="4">
        <v>1</v>
      </c>
      <c r="S132" s="4">
        <v>1.2</v>
      </c>
      <c r="T132" s="4">
        <v>0.85699999999999998</v>
      </c>
      <c r="U132" s="4">
        <v>0.8</v>
      </c>
      <c r="V132" s="4">
        <v>2.2999999999999998</v>
      </c>
      <c r="W132" s="4">
        <v>0.5</v>
      </c>
      <c r="X132" s="4">
        <v>0.3</v>
      </c>
      <c r="Y132" s="4">
        <v>1</v>
      </c>
      <c r="Z132" s="4">
        <v>0.7</v>
      </c>
      <c r="AA132" s="4">
        <v>1.5</v>
      </c>
      <c r="AB132" s="4">
        <v>4.8</v>
      </c>
      <c r="AC132" s="10">
        <f t="shared" ref="AC132:AC164" si="14">(AB132)/(J132+(0.44*S132)+Z132)</f>
        <v>1.0600706713780919</v>
      </c>
      <c r="AD132" s="10">
        <f t="shared" ref="AD132:AD164" si="15">Y132/AA132</f>
        <v>0.66666666666666663</v>
      </c>
      <c r="AE132" s="12">
        <f>100*(AC132/TOTAL_BASIC!$D$302)</f>
        <v>111.37739627347788</v>
      </c>
      <c r="AF132" s="9"/>
      <c r="AG132" s="9"/>
      <c r="AH132" s="12">
        <f t="shared" ref="AH132:AH164" si="16">(PERCENTRANK(AD$3:AD$298,AD132))*100</f>
        <v>93.7</v>
      </c>
      <c r="AI132" s="12">
        <f t="shared" ref="AI132:AI164" si="17">(PERCENTRANK(AE$3:AE$298,AE132))*100</f>
        <v>77.600000000000009</v>
      </c>
      <c r="AJ132" s="12">
        <f t="shared" ref="AJ132:AJ164" si="18">(PERCENTRANK(AB$3:AB$298,AB132))*100</f>
        <v>22.900000000000002</v>
      </c>
      <c r="AK132" s="12">
        <f t="shared" ref="AK132:AK164" si="19">(PERCENTRANK(H$3:H$298,H132))*100</f>
        <v>8.6</v>
      </c>
      <c r="AL132" s="12">
        <f t="shared" ref="AL132:AL164" si="20">(PERCENTRANK(T$3:T$298,T132))*100</f>
        <v>65.8</v>
      </c>
    </row>
    <row r="133" spans="1:38" ht="15.75" customHeight="1" x14ac:dyDescent="0.25">
      <c r="A133" s="1" t="s">
        <v>249</v>
      </c>
      <c r="B133" s="4" t="s">
        <v>133</v>
      </c>
      <c r="C133" s="4" t="s">
        <v>8</v>
      </c>
      <c r="D133" s="4">
        <v>5</v>
      </c>
      <c r="E133" s="4">
        <v>63</v>
      </c>
      <c r="F133" s="4">
        <v>5</v>
      </c>
      <c r="G133" s="4">
        <v>0</v>
      </c>
      <c r="H133" s="4">
        <v>12.6</v>
      </c>
      <c r="I133" s="4">
        <v>2.8</v>
      </c>
      <c r="J133" s="4">
        <v>8.6</v>
      </c>
      <c r="K133" s="4">
        <v>0.32600000000000001</v>
      </c>
      <c r="L133" s="4">
        <v>1.2</v>
      </c>
      <c r="M133" s="4">
        <v>5.4</v>
      </c>
      <c r="N133" s="4">
        <v>0.222</v>
      </c>
      <c r="O133" s="4">
        <v>1.6</v>
      </c>
      <c r="P133" s="4">
        <v>3.2</v>
      </c>
      <c r="Q133" s="4">
        <v>0.5</v>
      </c>
      <c r="R133" s="4">
        <v>2.8</v>
      </c>
      <c r="S133" s="4">
        <v>3.2</v>
      </c>
      <c r="T133" s="4">
        <v>0.875</v>
      </c>
      <c r="U133" s="4">
        <v>0.6</v>
      </c>
      <c r="V133" s="4">
        <v>1</v>
      </c>
      <c r="W133" s="4">
        <v>1</v>
      </c>
      <c r="X133" s="4">
        <v>0.4</v>
      </c>
      <c r="Y133" s="4">
        <v>0.2</v>
      </c>
      <c r="Z133" s="4">
        <v>0.4</v>
      </c>
      <c r="AA133" s="4">
        <v>1.6</v>
      </c>
      <c r="AB133" s="4">
        <v>9.6</v>
      </c>
      <c r="AC133" s="10">
        <f t="shared" si="14"/>
        <v>0.92236740968485786</v>
      </c>
      <c r="AD133" s="10">
        <f t="shared" si="15"/>
        <v>0.125</v>
      </c>
      <c r="AE133" s="12">
        <f>100*(AC133/TOTAL_BASIC!$D$302)</f>
        <v>96.909463936646418</v>
      </c>
      <c r="AF133" s="9"/>
      <c r="AG133" s="9"/>
      <c r="AH133" s="12">
        <f t="shared" si="16"/>
        <v>45.9</v>
      </c>
      <c r="AI133" s="12">
        <f t="shared" si="17"/>
        <v>41.6</v>
      </c>
      <c r="AJ133" s="12">
        <f t="shared" si="18"/>
        <v>63.9</v>
      </c>
      <c r="AK133" s="12">
        <f t="shared" si="19"/>
        <v>17.299999999999997</v>
      </c>
      <c r="AL133" s="12">
        <f t="shared" si="20"/>
        <v>69.5</v>
      </c>
    </row>
    <row r="134" spans="1:38" ht="15.75" customHeight="1" x14ac:dyDescent="0.25">
      <c r="A134" s="1" t="s">
        <v>210</v>
      </c>
      <c r="B134" s="4" t="s">
        <v>244</v>
      </c>
      <c r="C134" s="4" t="s">
        <v>121</v>
      </c>
      <c r="D134" s="4">
        <v>5</v>
      </c>
      <c r="E134" s="4">
        <v>60</v>
      </c>
      <c r="F134" s="4">
        <v>5</v>
      </c>
      <c r="G134" s="4">
        <v>0</v>
      </c>
      <c r="H134" s="4">
        <v>12</v>
      </c>
      <c r="I134" s="4">
        <v>1.4</v>
      </c>
      <c r="J134" s="4">
        <v>2.8</v>
      </c>
      <c r="K134" s="4">
        <v>0.5</v>
      </c>
      <c r="L134" s="4">
        <v>0.4</v>
      </c>
      <c r="M134" s="4">
        <v>1.6</v>
      </c>
      <c r="N134" s="4">
        <v>0.25</v>
      </c>
      <c r="O134" s="4">
        <v>1</v>
      </c>
      <c r="P134" s="4">
        <v>1.2</v>
      </c>
      <c r="Q134" s="4">
        <v>0.83299999999999996</v>
      </c>
      <c r="R134" s="4">
        <v>0.8</v>
      </c>
      <c r="S134" s="4">
        <v>0.8</v>
      </c>
      <c r="T134" s="4">
        <v>1</v>
      </c>
      <c r="U134" s="4">
        <v>0.6</v>
      </c>
      <c r="V134" s="4">
        <v>1.6</v>
      </c>
      <c r="W134" s="4">
        <v>0.2</v>
      </c>
      <c r="X134" s="4">
        <v>0</v>
      </c>
      <c r="Y134" s="4">
        <v>0</v>
      </c>
      <c r="Z134" s="4">
        <v>0.4</v>
      </c>
      <c r="AA134" s="4">
        <v>1.4</v>
      </c>
      <c r="AB134" s="4">
        <v>4</v>
      </c>
      <c r="AC134" s="10">
        <f t="shared" si="14"/>
        <v>1.1261261261261262</v>
      </c>
      <c r="AD134" s="10">
        <f t="shared" si="15"/>
        <v>0</v>
      </c>
      <c r="AE134" s="12">
        <f>100*(AC134/TOTAL_BASIC!$D$302)</f>
        <v>118.31757937460303</v>
      </c>
      <c r="AF134" s="9"/>
      <c r="AG134" s="9"/>
      <c r="AH134" s="12">
        <f t="shared" si="16"/>
        <v>0</v>
      </c>
      <c r="AI134" s="12">
        <f t="shared" si="17"/>
        <v>90</v>
      </c>
      <c r="AJ134" s="12">
        <f t="shared" si="18"/>
        <v>16.7</v>
      </c>
      <c r="AK134" s="12">
        <f t="shared" si="19"/>
        <v>14.899999999999999</v>
      </c>
      <c r="AL134" s="12">
        <f t="shared" si="20"/>
        <v>84.399999999999991</v>
      </c>
    </row>
    <row r="135" spans="1:38" ht="15.75" customHeight="1" x14ac:dyDescent="0.25">
      <c r="A135" s="1" t="s">
        <v>250</v>
      </c>
      <c r="B135" s="7" t="s">
        <v>164</v>
      </c>
      <c r="C135" s="4" t="s">
        <v>8</v>
      </c>
      <c r="D135" s="4">
        <v>8</v>
      </c>
      <c r="E135" s="4">
        <v>60</v>
      </c>
      <c r="F135" s="4">
        <v>8</v>
      </c>
      <c r="G135" s="4">
        <v>0</v>
      </c>
      <c r="H135" s="4">
        <v>7.5</v>
      </c>
      <c r="I135" s="4">
        <v>0.4</v>
      </c>
      <c r="J135" s="4">
        <v>1.3</v>
      </c>
      <c r="K135" s="4">
        <v>0.3</v>
      </c>
      <c r="L135" s="4">
        <v>0.3</v>
      </c>
      <c r="M135" s="4">
        <v>0.5</v>
      </c>
      <c r="N135" s="4">
        <v>0.5</v>
      </c>
      <c r="O135" s="4">
        <v>0.1</v>
      </c>
      <c r="P135" s="4">
        <v>0.8</v>
      </c>
      <c r="Q135" s="4">
        <v>0.16700000000000001</v>
      </c>
      <c r="R135" s="4">
        <v>0.1</v>
      </c>
      <c r="S135" s="4">
        <v>0.1</v>
      </c>
      <c r="T135" s="4">
        <v>1</v>
      </c>
      <c r="U135" s="4">
        <v>0.4</v>
      </c>
      <c r="V135" s="4">
        <v>0.8</v>
      </c>
      <c r="W135" s="4">
        <v>0.9</v>
      </c>
      <c r="X135" s="4">
        <v>0.1</v>
      </c>
      <c r="Y135" s="4">
        <v>0</v>
      </c>
      <c r="Z135" s="4">
        <v>0.5</v>
      </c>
      <c r="AA135" s="4">
        <v>0.9</v>
      </c>
      <c r="AB135" s="4">
        <v>1.1000000000000001</v>
      </c>
      <c r="AC135" s="10">
        <f t="shared" si="14"/>
        <v>0.59652928416485906</v>
      </c>
      <c r="AD135" s="10">
        <f t="shared" si="15"/>
        <v>0</v>
      </c>
      <c r="AE135" s="12">
        <f>100*(AC135/TOTAL_BASIC!$D$302)</f>
        <v>62.674952024464339</v>
      </c>
      <c r="AF135" s="9"/>
      <c r="AG135" s="9"/>
      <c r="AH135" s="12">
        <f t="shared" si="16"/>
        <v>0</v>
      </c>
      <c r="AI135" s="12">
        <f t="shared" si="17"/>
        <v>4.3</v>
      </c>
      <c r="AJ135" s="12">
        <f t="shared" si="18"/>
        <v>1.2</v>
      </c>
      <c r="AK135" s="12">
        <f t="shared" si="19"/>
        <v>1.2</v>
      </c>
      <c r="AL135" s="12">
        <f t="shared" si="20"/>
        <v>84.399999999999991</v>
      </c>
    </row>
    <row r="136" spans="1:38" ht="15.75" customHeight="1" x14ac:dyDescent="0.25">
      <c r="A136" s="1" t="s">
        <v>202</v>
      </c>
      <c r="B136" s="7" t="s">
        <v>142</v>
      </c>
      <c r="C136" s="4" t="s">
        <v>8</v>
      </c>
      <c r="D136" s="4">
        <v>5</v>
      </c>
      <c r="E136" s="4">
        <v>59</v>
      </c>
      <c r="F136" s="4">
        <v>5</v>
      </c>
      <c r="G136" s="4">
        <v>0</v>
      </c>
      <c r="H136" s="4">
        <v>11.8</v>
      </c>
      <c r="I136" s="4">
        <v>0.4</v>
      </c>
      <c r="J136" s="4">
        <v>1.8</v>
      </c>
      <c r="K136" s="4">
        <v>0.222</v>
      </c>
      <c r="L136" s="4">
        <v>0.2</v>
      </c>
      <c r="M136" s="4">
        <v>1</v>
      </c>
      <c r="N136" s="4">
        <v>0.2</v>
      </c>
      <c r="O136" s="4">
        <v>0.2</v>
      </c>
      <c r="P136" s="4">
        <v>0.8</v>
      </c>
      <c r="Q136" s="4">
        <v>0.25</v>
      </c>
      <c r="R136" s="4">
        <v>0.6</v>
      </c>
      <c r="S136" s="4">
        <v>0.8</v>
      </c>
      <c r="T136" s="4">
        <v>0.75</v>
      </c>
      <c r="U136" s="4">
        <v>0</v>
      </c>
      <c r="V136" s="4">
        <v>1.6</v>
      </c>
      <c r="W136" s="4">
        <v>1.8</v>
      </c>
      <c r="X136" s="4">
        <v>1</v>
      </c>
      <c r="Y136" s="4">
        <v>0</v>
      </c>
      <c r="Z136" s="4">
        <v>2.2000000000000002</v>
      </c>
      <c r="AA136" s="4">
        <v>1.8</v>
      </c>
      <c r="AB136" s="4">
        <v>1.6</v>
      </c>
      <c r="AC136" s="10">
        <f t="shared" si="14"/>
        <v>0.36764705882352938</v>
      </c>
      <c r="AD136" s="10">
        <f t="shared" si="15"/>
        <v>0</v>
      </c>
      <c r="AE136" s="12">
        <f>100*(AC136/TOTAL_BASIC!$D$302)</f>
        <v>38.627209737002751</v>
      </c>
      <c r="AF136" s="9"/>
      <c r="AG136" s="9"/>
      <c r="AH136" s="12">
        <f t="shared" si="16"/>
        <v>0</v>
      </c>
      <c r="AI136" s="12">
        <f t="shared" si="17"/>
        <v>0.6</v>
      </c>
      <c r="AJ136" s="12">
        <f t="shared" si="18"/>
        <v>2.4</v>
      </c>
      <c r="AK136" s="12">
        <f t="shared" si="19"/>
        <v>13.600000000000001</v>
      </c>
      <c r="AL136" s="12">
        <f t="shared" si="20"/>
        <v>37.200000000000003</v>
      </c>
    </row>
    <row r="137" spans="1:38" ht="15.75" customHeight="1" x14ac:dyDescent="0.25">
      <c r="A137" s="1" t="s">
        <v>203</v>
      </c>
      <c r="B137" s="4" t="s">
        <v>142</v>
      </c>
      <c r="C137" s="4" t="s">
        <v>8</v>
      </c>
      <c r="D137" s="4">
        <v>4</v>
      </c>
      <c r="E137" s="4">
        <v>58</v>
      </c>
      <c r="F137" s="4">
        <v>4</v>
      </c>
      <c r="G137" s="4">
        <v>0</v>
      </c>
      <c r="H137" s="4">
        <v>14.5</v>
      </c>
      <c r="I137" s="4">
        <v>1</v>
      </c>
      <c r="J137" s="4">
        <v>3.8</v>
      </c>
      <c r="K137" s="4">
        <v>0.26700000000000002</v>
      </c>
      <c r="L137" s="4">
        <v>0.5</v>
      </c>
      <c r="M137" s="4">
        <v>2.8</v>
      </c>
      <c r="N137" s="4">
        <v>0.182</v>
      </c>
      <c r="O137" s="4">
        <v>0.5</v>
      </c>
      <c r="P137" s="4">
        <v>1</v>
      </c>
      <c r="Q137" s="4">
        <v>0.5</v>
      </c>
      <c r="R137" s="4">
        <v>0.5</v>
      </c>
      <c r="S137" s="4">
        <v>0.8</v>
      </c>
      <c r="T137" s="4">
        <v>0.66700000000000004</v>
      </c>
      <c r="U137" s="4">
        <v>1.3</v>
      </c>
      <c r="V137" s="4">
        <v>1.8</v>
      </c>
      <c r="W137" s="4">
        <v>0.8</v>
      </c>
      <c r="X137" s="4">
        <v>0</v>
      </c>
      <c r="Y137" s="4">
        <v>0.3</v>
      </c>
      <c r="Z137" s="4">
        <v>0.5</v>
      </c>
      <c r="AA137" s="4">
        <v>1.8</v>
      </c>
      <c r="AB137" s="4">
        <v>3</v>
      </c>
      <c r="AC137" s="10">
        <f t="shared" si="14"/>
        <v>0.64488392089423907</v>
      </c>
      <c r="AD137" s="10">
        <f t="shared" si="15"/>
        <v>0.16666666666666666</v>
      </c>
      <c r="AE137" s="12">
        <f>100*(AC137/TOTAL_BASIC!$D$302)</f>
        <v>67.755380794054702</v>
      </c>
      <c r="AF137" s="9"/>
      <c r="AG137" s="9"/>
      <c r="AH137" s="12">
        <f t="shared" si="16"/>
        <v>53.400000000000006</v>
      </c>
      <c r="AI137" s="12">
        <f t="shared" si="17"/>
        <v>7.3999999999999995</v>
      </c>
      <c r="AJ137" s="12">
        <f t="shared" si="18"/>
        <v>9.3000000000000007</v>
      </c>
      <c r="AK137" s="12">
        <f t="shared" si="19"/>
        <v>26</v>
      </c>
      <c r="AL137" s="12">
        <f t="shared" si="20"/>
        <v>23.599999999999998</v>
      </c>
    </row>
    <row r="138" spans="1:38" ht="15.75" customHeight="1" x14ac:dyDescent="0.25">
      <c r="A138" s="1" t="s">
        <v>236</v>
      </c>
      <c r="B138" s="7" t="s">
        <v>95</v>
      </c>
      <c r="C138" s="4" t="s">
        <v>87</v>
      </c>
      <c r="D138" s="4">
        <v>5</v>
      </c>
      <c r="E138" s="4">
        <v>57</v>
      </c>
      <c r="F138" s="4">
        <v>5</v>
      </c>
      <c r="G138" s="4">
        <v>1</v>
      </c>
      <c r="H138" s="4">
        <v>11.4</v>
      </c>
      <c r="I138" s="4">
        <v>1</v>
      </c>
      <c r="J138" s="4">
        <v>2.8</v>
      </c>
      <c r="K138" s="4">
        <v>0.35699999999999998</v>
      </c>
      <c r="L138" s="4">
        <v>0.4</v>
      </c>
      <c r="M138" s="4">
        <v>1</v>
      </c>
      <c r="N138" s="4">
        <v>0.4</v>
      </c>
      <c r="O138" s="4">
        <v>0.6</v>
      </c>
      <c r="P138" s="4">
        <v>1.8</v>
      </c>
      <c r="Q138" s="4">
        <v>0.33300000000000002</v>
      </c>
      <c r="R138" s="4">
        <v>1.6</v>
      </c>
      <c r="S138" s="4">
        <v>2.6</v>
      </c>
      <c r="T138" s="4">
        <v>0.61499999999999999</v>
      </c>
      <c r="U138" s="4">
        <v>0.4</v>
      </c>
      <c r="V138" s="4">
        <v>2.2000000000000002</v>
      </c>
      <c r="W138" s="4">
        <v>1</v>
      </c>
      <c r="X138" s="4">
        <v>0.6</v>
      </c>
      <c r="Y138" s="4">
        <v>0</v>
      </c>
      <c r="Z138" s="4">
        <v>0.8</v>
      </c>
      <c r="AA138" s="4">
        <v>2</v>
      </c>
      <c r="AB138" s="4">
        <v>4</v>
      </c>
      <c r="AC138" s="10">
        <f t="shared" si="14"/>
        <v>0.84317032040472184</v>
      </c>
      <c r="AD138" s="10">
        <f t="shared" si="15"/>
        <v>0</v>
      </c>
      <c r="AE138" s="12">
        <f>100*(AC138/TOTAL_BASIC!$D$302)</f>
        <v>88.588541723986083</v>
      </c>
      <c r="AF138" s="9"/>
      <c r="AG138" s="9"/>
      <c r="AH138" s="12">
        <f t="shared" si="16"/>
        <v>0</v>
      </c>
      <c r="AI138" s="12">
        <f t="shared" si="17"/>
        <v>27.3</v>
      </c>
      <c r="AJ138" s="12">
        <f t="shared" si="18"/>
        <v>16.7</v>
      </c>
      <c r="AK138" s="12">
        <f t="shared" si="19"/>
        <v>11.799999999999999</v>
      </c>
      <c r="AL138" s="12">
        <f t="shared" si="20"/>
        <v>19.2</v>
      </c>
    </row>
    <row r="139" spans="1:38" ht="15.75" customHeight="1" x14ac:dyDescent="0.25">
      <c r="A139" s="1" t="s">
        <v>251</v>
      </c>
      <c r="B139" s="4" t="s">
        <v>109</v>
      </c>
      <c r="C139" s="4" t="s">
        <v>8</v>
      </c>
      <c r="D139" s="4">
        <v>4</v>
      </c>
      <c r="E139" s="4">
        <v>57</v>
      </c>
      <c r="F139" s="4">
        <v>4</v>
      </c>
      <c r="G139" s="4">
        <v>0</v>
      </c>
      <c r="H139" s="4">
        <v>14.3</v>
      </c>
      <c r="I139" s="4">
        <v>1</v>
      </c>
      <c r="J139" s="4">
        <v>2.2999999999999998</v>
      </c>
      <c r="K139" s="4">
        <v>0.44400000000000001</v>
      </c>
      <c r="L139" s="4">
        <v>0.5</v>
      </c>
      <c r="M139" s="4">
        <v>1.8</v>
      </c>
      <c r="N139" s="4">
        <v>0.28599999999999998</v>
      </c>
      <c r="O139" s="4">
        <v>0.5</v>
      </c>
      <c r="P139" s="4">
        <v>0.5</v>
      </c>
      <c r="Q139" s="4">
        <v>1</v>
      </c>
      <c r="R139" s="4">
        <v>0</v>
      </c>
      <c r="S139" s="4">
        <v>0.5</v>
      </c>
      <c r="T139" s="4">
        <v>0</v>
      </c>
      <c r="U139" s="4">
        <v>0</v>
      </c>
      <c r="V139" s="4">
        <v>1.3</v>
      </c>
      <c r="W139" s="4">
        <v>1.3</v>
      </c>
      <c r="X139" s="4">
        <v>1.5</v>
      </c>
      <c r="Y139" s="4">
        <v>0</v>
      </c>
      <c r="Z139" s="4">
        <v>0.8</v>
      </c>
      <c r="AA139" s="4">
        <v>0.5</v>
      </c>
      <c r="AB139" s="4">
        <v>2.5</v>
      </c>
      <c r="AC139" s="10">
        <f t="shared" si="14"/>
        <v>0.75301204819277101</v>
      </c>
      <c r="AD139" s="10">
        <f t="shared" si="15"/>
        <v>0</v>
      </c>
      <c r="AE139" s="12">
        <f>100*(AC139/TOTAL_BASIC!$D$302)</f>
        <v>79.11597175048756</v>
      </c>
      <c r="AF139" s="9"/>
      <c r="AG139" s="9"/>
      <c r="AH139" s="12">
        <f t="shared" si="16"/>
        <v>0</v>
      </c>
      <c r="AI139" s="12">
        <f t="shared" si="17"/>
        <v>15.5</v>
      </c>
      <c r="AJ139" s="12">
        <f t="shared" si="18"/>
        <v>6.2</v>
      </c>
      <c r="AK139" s="12">
        <f t="shared" si="19"/>
        <v>25.4</v>
      </c>
      <c r="AL139" s="12">
        <f t="shared" si="20"/>
        <v>0</v>
      </c>
    </row>
    <row r="140" spans="1:38" ht="15.75" customHeight="1" x14ac:dyDescent="0.25">
      <c r="A140" s="1" t="s">
        <v>214</v>
      </c>
      <c r="B140" s="7" t="s">
        <v>244</v>
      </c>
      <c r="C140" s="4" t="s">
        <v>114</v>
      </c>
      <c r="D140" s="4">
        <v>5</v>
      </c>
      <c r="E140" s="4">
        <v>57</v>
      </c>
      <c r="F140" s="4">
        <v>5</v>
      </c>
      <c r="G140" s="4">
        <v>0</v>
      </c>
      <c r="H140" s="4">
        <v>11.4</v>
      </c>
      <c r="I140" s="4">
        <v>2</v>
      </c>
      <c r="J140" s="4">
        <v>3.4</v>
      </c>
      <c r="K140" s="4">
        <v>0.58799999999999997</v>
      </c>
      <c r="L140" s="4">
        <v>0</v>
      </c>
      <c r="M140" s="4">
        <v>0.6</v>
      </c>
      <c r="N140" s="4">
        <v>0</v>
      </c>
      <c r="O140" s="4">
        <v>2</v>
      </c>
      <c r="P140" s="4">
        <v>2.8</v>
      </c>
      <c r="Q140" s="4">
        <v>0.71399999999999997</v>
      </c>
      <c r="R140" s="4">
        <v>1.2</v>
      </c>
      <c r="S140" s="4">
        <v>1.6</v>
      </c>
      <c r="T140" s="4">
        <v>0.75</v>
      </c>
      <c r="U140" s="4">
        <v>0.4</v>
      </c>
      <c r="V140" s="4">
        <v>2.2000000000000002</v>
      </c>
      <c r="W140" s="4">
        <v>1</v>
      </c>
      <c r="X140" s="4">
        <v>0.4</v>
      </c>
      <c r="Y140" s="4">
        <v>0</v>
      </c>
      <c r="Z140" s="4">
        <v>1.2</v>
      </c>
      <c r="AA140" s="4">
        <v>1.8</v>
      </c>
      <c r="AB140" s="4">
        <v>5.2</v>
      </c>
      <c r="AC140" s="10">
        <f t="shared" si="14"/>
        <v>0.98039215686274506</v>
      </c>
      <c r="AD140" s="10">
        <f t="shared" si="15"/>
        <v>0</v>
      </c>
      <c r="AE140" s="12">
        <f>100*(AC140/TOTAL_BASIC!$D$302)</f>
        <v>103.00589263200732</v>
      </c>
      <c r="AF140" s="9"/>
      <c r="AG140" s="9"/>
      <c r="AH140" s="12">
        <f t="shared" si="16"/>
        <v>0</v>
      </c>
      <c r="AI140" s="12">
        <f t="shared" si="17"/>
        <v>57.699999999999996</v>
      </c>
      <c r="AJ140" s="12">
        <f t="shared" si="18"/>
        <v>28.499999999999996</v>
      </c>
      <c r="AK140" s="12">
        <f t="shared" si="19"/>
        <v>11.799999999999999</v>
      </c>
      <c r="AL140" s="12">
        <f t="shared" si="20"/>
        <v>37.200000000000003</v>
      </c>
    </row>
    <row r="141" spans="1:38" ht="15.75" customHeight="1" x14ac:dyDescent="0.25">
      <c r="A141" s="1" t="s">
        <v>252</v>
      </c>
      <c r="B141" s="7" t="s">
        <v>164</v>
      </c>
      <c r="C141" s="4" t="s">
        <v>90</v>
      </c>
      <c r="D141" s="4">
        <v>6</v>
      </c>
      <c r="E141" s="4">
        <v>55</v>
      </c>
      <c r="F141" s="4">
        <v>6</v>
      </c>
      <c r="G141" s="4">
        <v>1</v>
      </c>
      <c r="H141" s="4">
        <v>9.1999999999999993</v>
      </c>
      <c r="I141" s="4">
        <v>1.2</v>
      </c>
      <c r="J141" s="4">
        <v>2.5</v>
      </c>
      <c r="K141" s="4">
        <v>0.46700000000000003</v>
      </c>
      <c r="L141" s="4">
        <v>0</v>
      </c>
      <c r="M141" s="4">
        <v>0.3</v>
      </c>
      <c r="N141" s="4">
        <v>0</v>
      </c>
      <c r="O141" s="4">
        <v>1.2</v>
      </c>
      <c r="P141" s="4">
        <v>2.2000000000000002</v>
      </c>
      <c r="Q141" s="4">
        <v>0.53800000000000003</v>
      </c>
      <c r="R141" s="4">
        <v>0.5</v>
      </c>
      <c r="S141" s="4">
        <v>0.7</v>
      </c>
      <c r="T141" s="4">
        <v>0.75</v>
      </c>
      <c r="U141" s="4">
        <v>0.3</v>
      </c>
      <c r="V141" s="4">
        <v>1.5</v>
      </c>
      <c r="W141" s="4">
        <v>0.3</v>
      </c>
      <c r="X141" s="4">
        <v>0</v>
      </c>
      <c r="Y141" s="4">
        <v>0</v>
      </c>
      <c r="Z141" s="4">
        <v>0.8</v>
      </c>
      <c r="AA141" s="4">
        <v>1.2</v>
      </c>
      <c r="AB141" s="4">
        <v>2.8</v>
      </c>
      <c r="AC141" s="10">
        <f t="shared" si="14"/>
        <v>0.77605321507760539</v>
      </c>
      <c r="AD141" s="10">
        <f t="shared" si="15"/>
        <v>0</v>
      </c>
      <c r="AE141" s="12">
        <f>100*(AC141/TOTAL_BASIC!$D$302)</f>
        <v>81.536815231988072</v>
      </c>
      <c r="AF141" s="9"/>
      <c r="AG141" s="9"/>
      <c r="AH141" s="12">
        <f t="shared" si="16"/>
        <v>0</v>
      </c>
      <c r="AI141" s="12">
        <f t="shared" si="17"/>
        <v>16.7</v>
      </c>
      <c r="AJ141" s="12">
        <f t="shared" si="18"/>
        <v>7.3999999999999995</v>
      </c>
      <c r="AK141" s="12">
        <f t="shared" si="19"/>
        <v>3.6999999999999997</v>
      </c>
      <c r="AL141" s="12">
        <f t="shared" si="20"/>
        <v>37.200000000000003</v>
      </c>
    </row>
    <row r="142" spans="1:38" ht="15.75" customHeight="1" x14ac:dyDescent="0.25">
      <c r="A142" s="1" t="s">
        <v>234</v>
      </c>
      <c r="B142" s="7" t="s">
        <v>130</v>
      </c>
      <c r="C142" s="4" t="s">
        <v>90</v>
      </c>
      <c r="D142" s="4">
        <v>6</v>
      </c>
      <c r="E142" s="4">
        <v>55</v>
      </c>
      <c r="F142" s="4">
        <v>6</v>
      </c>
      <c r="G142" s="4">
        <v>0</v>
      </c>
      <c r="H142" s="4">
        <v>9.1999999999999993</v>
      </c>
      <c r="I142" s="4">
        <v>1.8</v>
      </c>
      <c r="J142" s="4">
        <v>3.7</v>
      </c>
      <c r="K142" s="4">
        <v>0.5</v>
      </c>
      <c r="L142" s="4">
        <v>0</v>
      </c>
      <c r="M142" s="4">
        <v>0.5</v>
      </c>
      <c r="N142" s="4">
        <v>0</v>
      </c>
      <c r="O142" s="4">
        <v>1.8</v>
      </c>
      <c r="P142" s="4">
        <v>3.2</v>
      </c>
      <c r="Q142" s="4">
        <v>0.57899999999999996</v>
      </c>
      <c r="R142" s="4">
        <v>0.7</v>
      </c>
      <c r="S142" s="4">
        <v>1.2</v>
      </c>
      <c r="T142" s="4">
        <v>0.57099999999999995</v>
      </c>
      <c r="U142" s="4">
        <v>1</v>
      </c>
      <c r="V142" s="4">
        <v>4.7</v>
      </c>
      <c r="W142" s="4">
        <v>0.2</v>
      </c>
      <c r="X142" s="4">
        <v>0.2</v>
      </c>
      <c r="Y142" s="4">
        <v>0.3</v>
      </c>
      <c r="Z142" s="4">
        <v>1.7</v>
      </c>
      <c r="AA142" s="4">
        <v>1.5</v>
      </c>
      <c r="AB142" s="4">
        <v>4.3</v>
      </c>
      <c r="AC142" s="10">
        <f t="shared" si="14"/>
        <v>0.72537112010796223</v>
      </c>
      <c r="AD142" s="10">
        <f t="shared" si="15"/>
        <v>0.19999999999999998</v>
      </c>
      <c r="AE142" s="12">
        <f>100*(AC142/TOTAL_BASIC!$D$302)</f>
        <v>76.211849710523651</v>
      </c>
      <c r="AF142" s="9"/>
      <c r="AG142" s="9"/>
      <c r="AH142" s="12">
        <f t="shared" si="16"/>
        <v>60.8</v>
      </c>
      <c r="AI142" s="12">
        <f t="shared" si="17"/>
        <v>13</v>
      </c>
      <c r="AJ142" s="12">
        <f t="shared" si="18"/>
        <v>21.099999999999998</v>
      </c>
      <c r="AK142" s="12">
        <f t="shared" si="19"/>
        <v>3.6999999999999997</v>
      </c>
      <c r="AL142" s="12">
        <f t="shared" si="20"/>
        <v>17.299999999999997</v>
      </c>
    </row>
    <row r="143" spans="1:38" ht="15.75" customHeight="1" x14ac:dyDescent="0.25">
      <c r="A143" s="1" t="s">
        <v>181</v>
      </c>
      <c r="B143" s="7" t="s">
        <v>98</v>
      </c>
      <c r="C143" s="4" t="s">
        <v>90</v>
      </c>
      <c r="D143" s="4">
        <v>3</v>
      </c>
      <c r="E143" s="4">
        <v>52</v>
      </c>
      <c r="F143" s="4">
        <v>3</v>
      </c>
      <c r="G143" s="4">
        <v>0</v>
      </c>
      <c r="H143" s="4">
        <v>17.3</v>
      </c>
      <c r="I143" s="4">
        <v>3.3</v>
      </c>
      <c r="J143" s="4">
        <v>5.3</v>
      </c>
      <c r="K143" s="4">
        <v>0.625</v>
      </c>
      <c r="L143" s="4">
        <v>0</v>
      </c>
      <c r="M143" s="4">
        <v>0.3</v>
      </c>
      <c r="N143" s="4">
        <v>0</v>
      </c>
      <c r="O143" s="4">
        <v>3.3</v>
      </c>
      <c r="P143" s="4">
        <v>5</v>
      </c>
      <c r="Q143" s="4">
        <v>0.66700000000000004</v>
      </c>
      <c r="R143" s="4">
        <v>1.7</v>
      </c>
      <c r="S143" s="4">
        <v>2.7</v>
      </c>
      <c r="T143" s="4">
        <v>0.625</v>
      </c>
      <c r="U143" s="4">
        <v>1.3</v>
      </c>
      <c r="V143" s="4">
        <v>3.7</v>
      </c>
      <c r="W143" s="4">
        <v>0</v>
      </c>
      <c r="X143" s="4">
        <v>0.3</v>
      </c>
      <c r="Y143" s="4">
        <v>0.7</v>
      </c>
      <c r="Z143" s="4">
        <v>1.3</v>
      </c>
      <c r="AA143" s="4">
        <v>4</v>
      </c>
      <c r="AB143" s="4">
        <v>8.3000000000000007</v>
      </c>
      <c r="AC143" s="10">
        <f t="shared" si="14"/>
        <v>1.0657421674370828</v>
      </c>
      <c r="AD143" s="10">
        <f t="shared" si="15"/>
        <v>0.17499999999999999</v>
      </c>
      <c r="AE143" s="12">
        <f>100*(AC143/TOTAL_BASIC!$D$302)</f>
        <v>111.97327773787546</v>
      </c>
      <c r="AF143" s="9"/>
      <c r="AG143" s="9"/>
      <c r="AH143" s="12">
        <f t="shared" si="16"/>
        <v>57.099999999999994</v>
      </c>
      <c r="AI143" s="12">
        <f t="shared" si="17"/>
        <v>79.5</v>
      </c>
      <c r="AJ143" s="12">
        <f t="shared" si="18"/>
        <v>56.499999999999993</v>
      </c>
      <c r="AK143" s="12">
        <f t="shared" si="19"/>
        <v>37.200000000000003</v>
      </c>
      <c r="AL143" s="12">
        <f t="shared" si="20"/>
        <v>19.8</v>
      </c>
    </row>
    <row r="144" spans="1:38" ht="15.75" customHeight="1" x14ac:dyDescent="0.25">
      <c r="A144" s="1" t="s">
        <v>253</v>
      </c>
      <c r="B144" s="7" t="s">
        <v>244</v>
      </c>
      <c r="C144" s="4" t="s">
        <v>8</v>
      </c>
      <c r="D144" s="4">
        <v>3</v>
      </c>
      <c r="E144" s="4">
        <v>52</v>
      </c>
      <c r="F144" s="4">
        <v>3</v>
      </c>
      <c r="G144" s="4">
        <v>0</v>
      </c>
      <c r="H144" s="4">
        <v>17.3</v>
      </c>
      <c r="I144" s="4">
        <v>2.2999999999999998</v>
      </c>
      <c r="J144" s="4">
        <v>5</v>
      </c>
      <c r="K144" s="4">
        <v>0.46700000000000003</v>
      </c>
      <c r="L144" s="4">
        <v>1</v>
      </c>
      <c r="M144" s="4">
        <v>1</v>
      </c>
      <c r="N144" s="4">
        <v>1</v>
      </c>
      <c r="O144" s="4">
        <v>1.3</v>
      </c>
      <c r="P144" s="4">
        <v>4</v>
      </c>
      <c r="Q144" s="4">
        <v>0.33300000000000002</v>
      </c>
      <c r="R144" s="4">
        <v>0.3</v>
      </c>
      <c r="S144" s="4">
        <v>1</v>
      </c>
      <c r="T144" s="4">
        <v>0.33300000000000002</v>
      </c>
      <c r="U144" s="4">
        <v>0.7</v>
      </c>
      <c r="V144" s="4">
        <v>1.3</v>
      </c>
      <c r="W144" s="4">
        <v>5</v>
      </c>
      <c r="X144" s="4">
        <v>0.7</v>
      </c>
      <c r="Y144" s="4">
        <v>0</v>
      </c>
      <c r="Z144" s="4">
        <v>3</v>
      </c>
      <c r="AA144" s="4">
        <v>2.2999999999999998</v>
      </c>
      <c r="AB144" s="4">
        <v>6</v>
      </c>
      <c r="AC144" s="10">
        <f t="shared" si="14"/>
        <v>0.71090047393364919</v>
      </c>
      <c r="AD144" s="10">
        <f t="shared" si="15"/>
        <v>0</v>
      </c>
      <c r="AE144" s="12">
        <f>100*(AC144/TOTAL_BASIC!$D$302)</f>
        <v>74.691476647853648</v>
      </c>
      <c r="AF144" s="9"/>
      <c r="AG144" s="9"/>
      <c r="AH144" s="12">
        <f t="shared" si="16"/>
        <v>0</v>
      </c>
      <c r="AI144" s="12">
        <f t="shared" si="17"/>
        <v>10.5</v>
      </c>
      <c r="AJ144" s="12">
        <f t="shared" si="18"/>
        <v>36.6</v>
      </c>
      <c r="AK144" s="12">
        <f t="shared" si="19"/>
        <v>37.200000000000003</v>
      </c>
      <c r="AL144" s="12">
        <f t="shared" si="20"/>
        <v>4.3</v>
      </c>
    </row>
    <row r="145" spans="1:38" ht="15.75" customHeight="1" x14ac:dyDescent="0.25">
      <c r="A145" s="1" t="s">
        <v>254</v>
      </c>
      <c r="B145" s="7" t="s">
        <v>101</v>
      </c>
      <c r="C145" s="4" t="s">
        <v>87</v>
      </c>
      <c r="D145" s="4">
        <v>6</v>
      </c>
      <c r="E145" s="4">
        <v>50</v>
      </c>
      <c r="F145" s="4">
        <v>6</v>
      </c>
      <c r="G145" s="4">
        <v>0</v>
      </c>
      <c r="H145" s="4">
        <v>8.3000000000000007</v>
      </c>
      <c r="I145" s="4">
        <v>0.7</v>
      </c>
      <c r="J145" s="4">
        <v>1.3</v>
      </c>
      <c r="K145" s="4">
        <v>0.5</v>
      </c>
      <c r="L145" s="4">
        <v>0.5</v>
      </c>
      <c r="M145" s="4">
        <v>1.2</v>
      </c>
      <c r="N145" s="4">
        <v>0.42899999999999999</v>
      </c>
      <c r="O145" s="4">
        <v>0.2</v>
      </c>
      <c r="P145" s="4">
        <v>0.2</v>
      </c>
      <c r="Q145" s="4">
        <v>1</v>
      </c>
      <c r="R145" s="4">
        <v>0.5</v>
      </c>
      <c r="S145" s="4">
        <v>0.7</v>
      </c>
      <c r="T145" s="4">
        <v>0.75</v>
      </c>
      <c r="U145" s="4">
        <v>0.2</v>
      </c>
      <c r="V145" s="4">
        <v>1</v>
      </c>
      <c r="W145" s="4">
        <v>0.2</v>
      </c>
      <c r="X145" s="4">
        <v>0.2</v>
      </c>
      <c r="Y145" s="4">
        <v>0.2</v>
      </c>
      <c r="Z145" s="4">
        <v>0.5</v>
      </c>
      <c r="AA145" s="4">
        <v>1.3</v>
      </c>
      <c r="AB145" s="4">
        <v>2.2999999999999998</v>
      </c>
      <c r="AC145" s="10">
        <f t="shared" si="14"/>
        <v>1.0910815939278935</v>
      </c>
      <c r="AD145" s="10">
        <f t="shared" si="15"/>
        <v>0.15384615384615385</v>
      </c>
      <c r="AE145" s="12">
        <f>100*(AC145/TOTAL_BASIC!$D$302)</f>
        <v>114.63559018723394</v>
      </c>
      <c r="AF145" s="9"/>
      <c r="AG145" s="9"/>
      <c r="AH145" s="12">
        <f t="shared" si="16"/>
        <v>51.5</v>
      </c>
      <c r="AI145" s="12">
        <f t="shared" si="17"/>
        <v>83.2</v>
      </c>
      <c r="AJ145" s="12">
        <f t="shared" si="18"/>
        <v>4.3</v>
      </c>
      <c r="AK145" s="12">
        <f t="shared" si="19"/>
        <v>3.1</v>
      </c>
      <c r="AL145" s="12">
        <f t="shared" si="20"/>
        <v>37.200000000000003</v>
      </c>
    </row>
    <row r="146" spans="1:38" ht="15.75" customHeight="1" x14ac:dyDescent="0.25">
      <c r="A146" s="1" t="s">
        <v>218</v>
      </c>
      <c r="B146" s="7" t="s">
        <v>255</v>
      </c>
      <c r="C146" s="4" t="s">
        <v>87</v>
      </c>
      <c r="D146" s="4">
        <v>5</v>
      </c>
      <c r="E146" s="4">
        <v>50</v>
      </c>
      <c r="F146" s="4">
        <v>5</v>
      </c>
      <c r="G146" s="4">
        <v>0</v>
      </c>
      <c r="H146" s="4">
        <v>10</v>
      </c>
      <c r="I146" s="4">
        <v>1</v>
      </c>
      <c r="J146" s="4">
        <v>1.6</v>
      </c>
      <c r="K146" s="4">
        <v>0.625</v>
      </c>
      <c r="L146" s="4">
        <v>0.4</v>
      </c>
      <c r="M146" s="4">
        <v>0.6</v>
      </c>
      <c r="N146" s="4">
        <v>0.66700000000000004</v>
      </c>
      <c r="O146" s="4">
        <v>0.6</v>
      </c>
      <c r="P146" s="4">
        <v>1</v>
      </c>
      <c r="Q146" s="4">
        <v>0.6</v>
      </c>
      <c r="R146" s="4">
        <v>1</v>
      </c>
      <c r="S146" s="4">
        <v>1.6</v>
      </c>
      <c r="T146" s="4">
        <v>0.625</v>
      </c>
      <c r="U146" s="4">
        <v>0.2</v>
      </c>
      <c r="V146" s="4">
        <v>1.2</v>
      </c>
      <c r="W146" s="4">
        <v>0.6</v>
      </c>
      <c r="X146" s="4">
        <v>0.8</v>
      </c>
      <c r="Y146" s="4">
        <v>0.6</v>
      </c>
      <c r="Z146" s="4">
        <v>0.2</v>
      </c>
      <c r="AA146" s="4">
        <v>0.4</v>
      </c>
      <c r="AB146" s="4">
        <v>3.4</v>
      </c>
      <c r="AC146" s="10">
        <f t="shared" si="14"/>
        <v>1.3578274760383384</v>
      </c>
      <c r="AD146" s="10">
        <f t="shared" si="15"/>
        <v>1.4999999999999998</v>
      </c>
      <c r="AE146" s="12">
        <f>100*(AC146/TOTAL_BASIC!$D$302)</f>
        <v>142.66151583378647</v>
      </c>
      <c r="AF146" s="9"/>
      <c r="AG146" s="9"/>
      <c r="AH146" s="12">
        <f t="shared" si="16"/>
        <v>99.3</v>
      </c>
      <c r="AI146" s="12">
        <f t="shared" si="17"/>
        <v>99.3</v>
      </c>
      <c r="AJ146" s="12">
        <f t="shared" si="18"/>
        <v>12.4</v>
      </c>
      <c r="AK146" s="12">
        <f t="shared" si="19"/>
        <v>6.8000000000000007</v>
      </c>
      <c r="AL146" s="12">
        <f t="shared" si="20"/>
        <v>19.8</v>
      </c>
    </row>
    <row r="147" spans="1:38" ht="15.75" customHeight="1" x14ac:dyDescent="0.25">
      <c r="A147" s="1" t="s">
        <v>228</v>
      </c>
      <c r="B147" s="7" t="s">
        <v>139</v>
      </c>
      <c r="C147" s="4" t="s">
        <v>8</v>
      </c>
      <c r="D147" s="4">
        <v>5</v>
      </c>
      <c r="E147" s="4">
        <v>47</v>
      </c>
      <c r="F147" s="4">
        <v>5</v>
      </c>
      <c r="G147" s="4">
        <v>0</v>
      </c>
      <c r="H147" s="4">
        <v>9.4</v>
      </c>
      <c r="I147" s="4">
        <v>0.6</v>
      </c>
      <c r="J147" s="4">
        <v>2.2000000000000002</v>
      </c>
      <c r="K147" s="4">
        <v>0.27300000000000002</v>
      </c>
      <c r="L147" s="4">
        <v>0</v>
      </c>
      <c r="M147" s="4">
        <v>1.2</v>
      </c>
      <c r="N147" s="4">
        <v>0</v>
      </c>
      <c r="O147" s="4">
        <v>0.6</v>
      </c>
      <c r="P147" s="4">
        <v>1</v>
      </c>
      <c r="Q147" s="4">
        <v>0.6</v>
      </c>
      <c r="R147" s="4">
        <v>0</v>
      </c>
      <c r="S147" s="4">
        <v>0</v>
      </c>
      <c r="T147" s="4">
        <v>0</v>
      </c>
      <c r="U147" s="4">
        <v>0</v>
      </c>
      <c r="V147" s="4">
        <v>0.8</v>
      </c>
      <c r="W147" s="4">
        <v>0.4</v>
      </c>
      <c r="X147" s="4">
        <v>0</v>
      </c>
      <c r="Y147" s="4">
        <v>0</v>
      </c>
      <c r="Z147" s="4">
        <v>0.4</v>
      </c>
      <c r="AA147" s="4">
        <v>1.2</v>
      </c>
      <c r="AB147" s="4">
        <v>1.2</v>
      </c>
      <c r="AC147" s="10">
        <f t="shared" si="14"/>
        <v>0.46153846153846151</v>
      </c>
      <c r="AD147" s="10">
        <f t="shared" si="15"/>
        <v>0</v>
      </c>
      <c r="AE147" s="12">
        <f>100*(AC147/TOTAL_BASIC!$D$302)</f>
        <v>48.492004839068066</v>
      </c>
      <c r="AF147" s="9"/>
      <c r="AG147" s="9"/>
      <c r="AH147" s="12">
        <f t="shared" si="16"/>
        <v>0</v>
      </c>
      <c r="AI147" s="12">
        <f t="shared" si="17"/>
        <v>1.2</v>
      </c>
      <c r="AJ147" s="12">
        <f t="shared" si="18"/>
        <v>1.7999999999999998</v>
      </c>
      <c r="AK147" s="12">
        <f t="shared" si="19"/>
        <v>5.5</v>
      </c>
      <c r="AL147" s="12">
        <f t="shared" si="20"/>
        <v>0</v>
      </c>
    </row>
    <row r="148" spans="1:38" ht="15.75" customHeight="1" x14ac:dyDescent="0.25">
      <c r="A148" s="1" t="s">
        <v>256</v>
      </c>
      <c r="B148" s="7" t="s">
        <v>98</v>
      </c>
      <c r="C148" s="4" t="s">
        <v>87</v>
      </c>
      <c r="D148" s="4">
        <v>6</v>
      </c>
      <c r="E148" s="4">
        <v>47</v>
      </c>
      <c r="F148" s="4">
        <v>6</v>
      </c>
      <c r="G148" s="4">
        <v>0</v>
      </c>
      <c r="H148" s="4">
        <v>7.8</v>
      </c>
      <c r="I148" s="4">
        <v>1.3</v>
      </c>
      <c r="J148" s="4">
        <v>2.2999999999999998</v>
      </c>
      <c r="K148" s="4">
        <v>0.57099999999999995</v>
      </c>
      <c r="L148" s="4">
        <v>0</v>
      </c>
      <c r="M148" s="4">
        <v>0</v>
      </c>
      <c r="N148" s="4">
        <v>0</v>
      </c>
      <c r="O148" s="4">
        <v>1.3</v>
      </c>
      <c r="P148" s="4">
        <v>2.2999999999999998</v>
      </c>
      <c r="Q148" s="4">
        <v>0.57099999999999995</v>
      </c>
      <c r="R148" s="4">
        <v>0.2</v>
      </c>
      <c r="S148" s="4">
        <v>0.3</v>
      </c>
      <c r="T148" s="4">
        <v>0.5</v>
      </c>
      <c r="U148" s="4">
        <v>0.7</v>
      </c>
      <c r="V148" s="4">
        <v>1.2</v>
      </c>
      <c r="W148" s="4">
        <v>0.7</v>
      </c>
      <c r="X148" s="4">
        <v>0.5</v>
      </c>
      <c r="Y148" s="4">
        <v>0.3</v>
      </c>
      <c r="Z148" s="4">
        <v>0.5</v>
      </c>
      <c r="AA148" s="4">
        <v>1.5</v>
      </c>
      <c r="AB148" s="4">
        <v>2.8</v>
      </c>
      <c r="AC148" s="10">
        <f t="shared" si="14"/>
        <v>0.95497953615279674</v>
      </c>
      <c r="AD148" s="10">
        <f t="shared" si="15"/>
        <v>0.19999999999999998</v>
      </c>
      <c r="AE148" s="12">
        <f>100*(AC148/TOTAL_BASIC!$D$302)</f>
        <v>100.33588995805354</v>
      </c>
      <c r="AF148" s="9"/>
      <c r="AG148" s="9"/>
      <c r="AH148" s="12">
        <f t="shared" si="16"/>
        <v>60.8</v>
      </c>
      <c r="AI148" s="12">
        <f t="shared" si="17"/>
        <v>51.5</v>
      </c>
      <c r="AJ148" s="12">
        <f t="shared" si="18"/>
        <v>7.3999999999999995</v>
      </c>
      <c r="AK148" s="12">
        <f t="shared" si="19"/>
        <v>1.7999999999999998</v>
      </c>
      <c r="AL148" s="12">
        <f t="shared" si="20"/>
        <v>9.9</v>
      </c>
    </row>
    <row r="149" spans="1:38" ht="15.75" customHeight="1" x14ac:dyDescent="0.25">
      <c r="A149" s="1" t="s">
        <v>257</v>
      </c>
      <c r="B149" s="7" t="s">
        <v>86</v>
      </c>
      <c r="C149" s="4" t="s">
        <v>87</v>
      </c>
      <c r="D149" s="4">
        <v>3</v>
      </c>
      <c r="E149" s="4">
        <v>46</v>
      </c>
      <c r="F149" s="4">
        <v>3</v>
      </c>
      <c r="G149" s="4">
        <v>3</v>
      </c>
      <c r="H149" s="4">
        <v>15.3</v>
      </c>
      <c r="I149" s="4">
        <v>2.7</v>
      </c>
      <c r="J149" s="4">
        <v>7.7</v>
      </c>
      <c r="K149" s="4">
        <v>0.34799999999999998</v>
      </c>
      <c r="L149" s="4">
        <v>1.3</v>
      </c>
      <c r="M149" s="4">
        <v>3.3</v>
      </c>
      <c r="N149" s="4">
        <v>0.4</v>
      </c>
      <c r="O149" s="4">
        <v>1.3</v>
      </c>
      <c r="P149" s="4">
        <v>4.3</v>
      </c>
      <c r="Q149" s="4">
        <v>0.308</v>
      </c>
      <c r="R149" s="4">
        <v>2.2999999999999998</v>
      </c>
      <c r="S149" s="4">
        <v>2.2999999999999998</v>
      </c>
      <c r="T149" s="4">
        <v>1</v>
      </c>
      <c r="U149" s="4">
        <v>0.3</v>
      </c>
      <c r="V149" s="4">
        <v>2</v>
      </c>
      <c r="W149" s="4">
        <v>1.3</v>
      </c>
      <c r="X149" s="4">
        <v>0</v>
      </c>
      <c r="Y149" s="4">
        <v>0.3</v>
      </c>
      <c r="Z149" s="4">
        <v>1.3</v>
      </c>
      <c r="AA149" s="4">
        <v>3</v>
      </c>
      <c r="AB149" s="4">
        <v>9</v>
      </c>
      <c r="AC149" s="10">
        <f t="shared" si="14"/>
        <v>0.89892129444666391</v>
      </c>
      <c r="AD149" s="10">
        <f t="shared" si="15"/>
        <v>9.9999999999999992E-2</v>
      </c>
      <c r="AE149" s="12">
        <f>100*(AC149/TOTAL_BASIC!$D$302)</f>
        <v>94.446074147206076</v>
      </c>
      <c r="AF149" s="9"/>
      <c r="AG149" s="9"/>
      <c r="AH149" s="12">
        <f t="shared" si="16"/>
        <v>40.300000000000004</v>
      </c>
      <c r="AI149" s="12">
        <f t="shared" si="17"/>
        <v>36</v>
      </c>
      <c r="AJ149" s="12">
        <f t="shared" si="18"/>
        <v>60.199999999999996</v>
      </c>
      <c r="AK149" s="12">
        <f t="shared" si="19"/>
        <v>27.3</v>
      </c>
      <c r="AL149" s="12">
        <f t="shared" si="20"/>
        <v>84.399999999999991</v>
      </c>
    </row>
    <row r="150" spans="1:38" ht="15.75" customHeight="1" x14ac:dyDescent="0.25">
      <c r="A150" s="1" t="s">
        <v>209</v>
      </c>
      <c r="B150" s="7" t="s">
        <v>119</v>
      </c>
      <c r="C150" s="4" t="s">
        <v>87</v>
      </c>
      <c r="D150" s="4">
        <v>4</v>
      </c>
      <c r="E150" s="4">
        <v>44</v>
      </c>
      <c r="F150" s="4">
        <v>4</v>
      </c>
      <c r="G150" s="4">
        <v>0</v>
      </c>
      <c r="H150" s="4">
        <v>11</v>
      </c>
      <c r="I150" s="4">
        <v>0</v>
      </c>
      <c r="J150" s="4">
        <v>1.8</v>
      </c>
      <c r="K150" s="4">
        <v>0</v>
      </c>
      <c r="L150" s="4">
        <v>0</v>
      </c>
      <c r="M150" s="4">
        <v>0.8</v>
      </c>
      <c r="N150" s="4">
        <v>0</v>
      </c>
      <c r="O150" s="4">
        <v>0</v>
      </c>
      <c r="P150" s="4">
        <v>1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4">
        <v>1.8</v>
      </c>
      <c r="W150" s="4">
        <v>0.8</v>
      </c>
      <c r="X150" s="4">
        <v>0.5</v>
      </c>
      <c r="Y150" s="4">
        <v>0.3</v>
      </c>
      <c r="Z150" s="4">
        <v>0.5</v>
      </c>
      <c r="AA150" s="4">
        <v>0.5</v>
      </c>
      <c r="AB150" s="4">
        <v>0</v>
      </c>
      <c r="AC150" s="10">
        <f t="shared" si="14"/>
        <v>0</v>
      </c>
      <c r="AD150" s="10">
        <f t="shared" si="15"/>
        <v>0.6</v>
      </c>
      <c r="AE150" s="12">
        <f>100*(AC150/TOTAL_BASIC!$D$302)</f>
        <v>0</v>
      </c>
      <c r="AF150" s="9"/>
      <c r="AG150" s="9"/>
      <c r="AH150" s="12">
        <f t="shared" si="16"/>
        <v>91.9</v>
      </c>
      <c r="AI150" s="12">
        <f t="shared" si="17"/>
        <v>0</v>
      </c>
      <c r="AJ150" s="12">
        <f t="shared" si="18"/>
        <v>0</v>
      </c>
      <c r="AK150" s="12">
        <f t="shared" si="19"/>
        <v>9.9</v>
      </c>
      <c r="AL150" s="12">
        <f t="shared" si="20"/>
        <v>0</v>
      </c>
    </row>
    <row r="151" spans="1:38" ht="15.75" customHeight="1" x14ac:dyDescent="0.25">
      <c r="A151" s="1" t="s">
        <v>258</v>
      </c>
      <c r="B151" s="7" t="s">
        <v>130</v>
      </c>
      <c r="C151" s="4" t="s">
        <v>8</v>
      </c>
      <c r="D151" s="4">
        <v>6</v>
      </c>
      <c r="E151" s="4">
        <v>42</v>
      </c>
      <c r="F151" s="4">
        <v>6</v>
      </c>
      <c r="G151" s="4">
        <v>0</v>
      </c>
      <c r="H151" s="4">
        <v>7</v>
      </c>
      <c r="I151" s="4">
        <v>1</v>
      </c>
      <c r="J151" s="4">
        <v>2.2999999999999998</v>
      </c>
      <c r="K151" s="4">
        <v>0.42899999999999999</v>
      </c>
      <c r="L151" s="4">
        <v>0.3</v>
      </c>
      <c r="M151" s="4">
        <v>1</v>
      </c>
      <c r="N151" s="4">
        <v>0.33300000000000002</v>
      </c>
      <c r="O151" s="4">
        <v>0.7</v>
      </c>
      <c r="P151" s="4">
        <v>1.3</v>
      </c>
      <c r="Q151" s="4">
        <v>0.5</v>
      </c>
      <c r="R151" s="4">
        <v>0</v>
      </c>
      <c r="S151" s="4">
        <v>0</v>
      </c>
      <c r="T151" s="4">
        <v>0</v>
      </c>
      <c r="U151" s="4">
        <v>0.3</v>
      </c>
      <c r="V151" s="4">
        <v>1.2</v>
      </c>
      <c r="W151" s="4">
        <v>0.8</v>
      </c>
      <c r="X151" s="4">
        <v>0</v>
      </c>
      <c r="Y151" s="4">
        <v>0.2</v>
      </c>
      <c r="Z151" s="4">
        <v>0</v>
      </c>
      <c r="AA151" s="4">
        <v>0.2</v>
      </c>
      <c r="AB151" s="4">
        <v>2.2999999999999998</v>
      </c>
      <c r="AC151" s="10">
        <f t="shared" si="14"/>
        <v>1</v>
      </c>
      <c r="AD151" s="10">
        <f t="shared" si="15"/>
        <v>1</v>
      </c>
      <c r="AE151" s="12">
        <f>100*(AC151/TOTAL_BASIC!$D$302)</f>
        <v>105.06601048464748</v>
      </c>
      <c r="AF151" s="9"/>
      <c r="AG151" s="9"/>
      <c r="AH151" s="12">
        <f t="shared" si="16"/>
        <v>97.5</v>
      </c>
      <c r="AI151" s="12">
        <f t="shared" si="17"/>
        <v>64.5</v>
      </c>
      <c r="AJ151" s="12">
        <f t="shared" si="18"/>
        <v>4.3</v>
      </c>
      <c r="AK151" s="12">
        <f t="shared" si="19"/>
        <v>0</v>
      </c>
      <c r="AL151" s="12">
        <f t="shared" si="20"/>
        <v>0</v>
      </c>
    </row>
    <row r="152" spans="1:38" ht="15.75" customHeight="1" x14ac:dyDescent="0.25">
      <c r="A152" s="1" t="s">
        <v>259</v>
      </c>
      <c r="B152" s="7" t="s">
        <v>142</v>
      </c>
      <c r="C152" s="4" t="s">
        <v>87</v>
      </c>
      <c r="D152" s="4">
        <v>2</v>
      </c>
      <c r="E152" s="4">
        <v>40</v>
      </c>
      <c r="F152" s="4">
        <v>2</v>
      </c>
      <c r="G152" s="4">
        <v>2</v>
      </c>
      <c r="H152" s="4">
        <v>20</v>
      </c>
      <c r="I152" s="4">
        <v>3</v>
      </c>
      <c r="J152" s="4">
        <v>6.5</v>
      </c>
      <c r="K152" s="4">
        <v>0.46200000000000002</v>
      </c>
      <c r="L152" s="4">
        <v>1.5</v>
      </c>
      <c r="M152" s="4">
        <v>4</v>
      </c>
      <c r="N152" s="4">
        <v>0.375</v>
      </c>
      <c r="O152" s="4">
        <v>1.5</v>
      </c>
      <c r="P152" s="4">
        <v>2.5</v>
      </c>
      <c r="Q152" s="4">
        <v>0.6</v>
      </c>
      <c r="R152" s="4">
        <v>2.5</v>
      </c>
      <c r="S152" s="4">
        <v>3</v>
      </c>
      <c r="T152" s="4">
        <v>0.83299999999999996</v>
      </c>
      <c r="U152" s="4">
        <v>1</v>
      </c>
      <c r="V152" s="4">
        <v>1</v>
      </c>
      <c r="W152" s="4">
        <v>1</v>
      </c>
      <c r="X152" s="4">
        <v>0.5</v>
      </c>
      <c r="Y152" s="4">
        <v>0</v>
      </c>
      <c r="Z152" s="4">
        <v>2</v>
      </c>
      <c r="AA152" s="4">
        <v>3</v>
      </c>
      <c r="AB152" s="4">
        <v>10</v>
      </c>
      <c r="AC152" s="10">
        <f t="shared" si="14"/>
        <v>1.0183299389002036</v>
      </c>
      <c r="AD152" s="10">
        <f t="shared" si="15"/>
        <v>0</v>
      </c>
      <c r="AE152" s="12">
        <f>100*(AC152/TOTAL_BASIC!$D$302)</f>
        <v>106.99186403731922</v>
      </c>
      <c r="AF152" s="9"/>
      <c r="AG152" s="9"/>
      <c r="AH152" s="12">
        <f t="shared" si="16"/>
        <v>0</v>
      </c>
      <c r="AI152" s="12">
        <f t="shared" si="17"/>
        <v>68.899999999999991</v>
      </c>
      <c r="AJ152" s="12">
        <f t="shared" si="18"/>
        <v>64.5</v>
      </c>
      <c r="AK152" s="12">
        <f t="shared" si="19"/>
        <v>47.199999999999996</v>
      </c>
      <c r="AL152" s="12">
        <f t="shared" si="20"/>
        <v>58.3</v>
      </c>
    </row>
    <row r="153" spans="1:38" ht="15.75" customHeight="1" x14ac:dyDescent="0.25">
      <c r="A153" s="1" t="s">
        <v>260</v>
      </c>
      <c r="B153" s="7" t="s">
        <v>98</v>
      </c>
      <c r="C153" s="4" t="s">
        <v>87</v>
      </c>
      <c r="D153" s="4">
        <v>3</v>
      </c>
      <c r="E153" s="4">
        <v>39</v>
      </c>
      <c r="F153" s="4">
        <v>3</v>
      </c>
      <c r="G153" s="4">
        <v>0</v>
      </c>
      <c r="H153" s="4">
        <v>13</v>
      </c>
      <c r="I153" s="4">
        <v>1.3</v>
      </c>
      <c r="J153" s="4">
        <v>2.2999999999999998</v>
      </c>
      <c r="K153" s="4">
        <v>0.57099999999999995</v>
      </c>
      <c r="L153" s="4">
        <v>0.7</v>
      </c>
      <c r="M153" s="4">
        <v>1</v>
      </c>
      <c r="N153" s="4">
        <v>0.66700000000000004</v>
      </c>
      <c r="O153" s="4">
        <v>0.7</v>
      </c>
      <c r="P153" s="4">
        <v>1.3</v>
      </c>
      <c r="Q153" s="4">
        <v>0.5</v>
      </c>
      <c r="R153" s="4">
        <v>0.7</v>
      </c>
      <c r="S153" s="4">
        <v>2</v>
      </c>
      <c r="T153" s="4">
        <v>0.33300000000000002</v>
      </c>
      <c r="U153" s="4">
        <v>1</v>
      </c>
      <c r="V153" s="4">
        <v>4</v>
      </c>
      <c r="W153" s="4">
        <v>0</v>
      </c>
      <c r="X153" s="4">
        <v>0.7</v>
      </c>
      <c r="Y153" s="4">
        <v>1</v>
      </c>
      <c r="Z153" s="4">
        <v>1</v>
      </c>
      <c r="AA153" s="4">
        <v>1.3</v>
      </c>
      <c r="AB153" s="4">
        <v>4</v>
      </c>
      <c r="AC153" s="10">
        <f t="shared" si="14"/>
        <v>0.95693779904306231</v>
      </c>
      <c r="AD153" s="10">
        <f t="shared" si="15"/>
        <v>0.76923076923076916</v>
      </c>
      <c r="AE153" s="12">
        <f>100*(AC153/TOTAL_BASIC!$D$302)</f>
        <v>100.54163682741387</v>
      </c>
      <c r="AF153" s="9"/>
      <c r="AG153" s="9"/>
      <c r="AH153" s="12">
        <f t="shared" si="16"/>
        <v>96.2</v>
      </c>
      <c r="AI153" s="12">
        <f t="shared" si="17"/>
        <v>52.1</v>
      </c>
      <c r="AJ153" s="12">
        <f t="shared" si="18"/>
        <v>16.7</v>
      </c>
      <c r="AK153" s="12">
        <f t="shared" si="19"/>
        <v>18</v>
      </c>
      <c r="AL153" s="12">
        <f t="shared" si="20"/>
        <v>4.3</v>
      </c>
    </row>
    <row r="154" spans="1:38" ht="15.75" customHeight="1" x14ac:dyDescent="0.25">
      <c r="A154" s="1" t="s">
        <v>261</v>
      </c>
      <c r="B154" s="7" t="s">
        <v>116</v>
      </c>
      <c r="C154" s="4" t="s">
        <v>90</v>
      </c>
      <c r="D154" s="4">
        <v>2</v>
      </c>
      <c r="E154" s="4">
        <v>38</v>
      </c>
      <c r="F154" s="4">
        <v>2</v>
      </c>
      <c r="G154" s="4">
        <v>0</v>
      </c>
      <c r="H154" s="4">
        <v>19</v>
      </c>
      <c r="I154" s="4">
        <v>3</v>
      </c>
      <c r="J154" s="4">
        <v>6</v>
      </c>
      <c r="K154" s="4">
        <v>0.5</v>
      </c>
      <c r="L154" s="4">
        <v>0</v>
      </c>
      <c r="M154" s="4">
        <v>1</v>
      </c>
      <c r="N154" s="4">
        <v>0</v>
      </c>
      <c r="O154" s="4">
        <v>3</v>
      </c>
      <c r="P154" s="4">
        <v>5</v>
      </c>
      <c r="Q154" s="4">
        <v>0.6</v>
      </c>
      <c r="R154" s="4">
        <v>2</v>
      </c>
      <c r="S154" s="4">
        <v>3</v>
      </c>
      <c r="T154" s="4">
        <v>0.66700000000000004</v>
      </c>
      <c r="U154" s="4">
        <v>2</v>
      </c>
      <c r="V154" s="4">
        <v>3.5</v>
      </c>
      <c r="W154" s="4">
        <v>0</v>
      </c>
      <c r="X154" s="4">
        <v>0.5</v>
      </c>
      <c r="Y154" s="4">
        <v>0</v>
      </c>
      <c r="Z154" s="4">
        <v>1.5</v>
      </c>
      <c r="AA154" s="4">
        <v>4</v>
      </c>
      <c r="AB154" s="4">
        <v>8</v>
      </c>
      <c r="AC154" s="10">
        <f t="shared" si="14"/>
        <v>0.90702947845804982</v>
      </c>
      <c r="AD154" s="10">
        <f t="shared" si="15"/>
        <v>0</v>
      </c>
      <c r="AE154" s="12">
        <f>100*(AC154/TOTAL_BASIC!$D$302)</f>
        <v>95.297968693557806</v>
      </c>
      <c r="AF154" s="9"/>
      <c r="AG154" s="9"/>
      <c r="AH154" s="12">
        <f t="shared" si="16"/>
        <v>0</v>
      </c>
      <c r="AI154" s="12">
        <f t="shared" si="17"/>
        <v>36.6</v>
      </c>
      <c r="AJ154" s="12">
        <f t="shared" si="18"/>
        <v>52.1</v>
      </c>
      <c r="AK154" s="12">
        <f t="shared" si="19"/>
        <v>44.7</v>
      </c>
      <c r="AL154" s="12">
        <f t="shared" si="20"/>
        <v>23.599999999999998</v>
      </c>
    </row>
    <row r="155" spans="1:38" ht="15.75" customHeight="1" x14ac:dyDescent="0.25">
      <c r="A155" s="1" t="s">
        <v>227</v>
      </c>
      <c r="B155" s="7" t="s">
        <v>160</v>
      </c>
      <c r="C155" s="4" t="s">
        <v>187</v>
      </c>
      <c r="D155" s="4">
        <v>4</v>
      </c>
      <c r="E155" s="4">
        <v>37</v>
      </c>
      <c r="F155" s="4">
        <v>4</v>
      </c>
      <c r="G155" s="4">
        <v>0</v>
      </c>
      <c r="H155" s="4">
        <v>9.3000000000000007</v>
      </c>
      <c r="I155" s="4">
        <v>1.5</v>
      </c>
      <c r="J155" s="4">
        <v>2.8</v>
      </c>
      <c r="K155" s="4">
        <v>0.54500000000000004</v>
      </c>
      <c r="L155" s="4">
        <v>1</v>
      </c>
      <c r="M155" s="4">
        <v>2.2999999999999998</v>
      </c>
      <c r="N155" s="4">
        <v>0.44400000000000001</v>
      </c>
      <c r="O155" s="4">
        <v>0.5</v>
      </c>
      <c r="P155" s="4">
        <v>0.5</v>
      </c>
      <c r="Q155" s="4">
        <v>1</v>
      </c>
      <c r="R155" s="4">
        <v>0</v>
      </c>
      <c r="S155" s="4">
        <v>0</v>
      </c>
      <c r="T155" s="4">
        <v>0</v>
      </c>
      <c r="U155" s="4">
        <v>0</v>
      </c>
      <c r="V155" s="4">
        <v>1</v>
      </c>
      <c r="W155" s="4">
        <v>0.3</v>
      </c>
      <c r="X155" s="4">
        <v>0.3</v>
      </c>
      <c r="Y155" s="4">
        <v>0.5</v>
      </c>
      <c r="Z155" s="4">
        <v>0.8</v>
      </c>
      <c r="AA155" s="4">
        <v>2.8</v>
      </c>
      <c r="AB155" s="4">
        <v>4</v>
      </c>
      <c r="AC155" s="10">
        <f t="shared" si="14"/>
        <v>1.1111111111111112</v>
      </c>
      <c r="AD155" s="10">
        <f t="shared" si="15"/>
        <v>0.17857142857142858</v>
      </c>
      <c r="AE155" s="12">
        <f>100*(AC155/TOTAL_BASIC!$D$302)</f>
        <v>116.74001164960832</v>
      </c>
      <c r="AF155" s="9"/>
      <c r="AG155" s="9"/>
      <c r="AH155" s="12">
        <f t="shared" si="16"/>
        <v>58.3</v>
      </c>
      <c r="AI155" s="12">
        <f t="shared" si="17"/>
        <v>85.7</v>
      </c>
      <c r="AJ155" s="12">
        <f t="shared" si="18"/>
        <v>16.7</v>
      </c>
      <c r="AK155" s="12">
        <f t="shared" si="19"/>
        <v>4.9000000000000004</v>
      </c>
      <c r="AL155" s="12">
        <f t="shared" si="20"/>
        <v>0</v>
      </c>
    </row>
    <row r="156" spans="1:38" ht="15.75" customHeight="1" x14ac:dyDescent="0.25">
      <c r="A156" s="1" t="s">
        <v>262</v>
      </c>
      <c r="B156" s="7" t="s">
        <v>101</v>
      </c>
      <c r="C156" s="4" t="s">
        <v>90</v>
      </c>
      <c r="D156" s="4">
        <v>5</v>
      </c>
      <c r="E156" s="4">
        <v>37</v>
      </c>
      <c r="F156" s="4">
        <v>5</v>
      </c>
      <c r="G156" s="4">
        <v>0</v>
      </c>
      <c r="H156" s="4">
        <v>7.4</v>
      </c>
      <c r="I156" s="4">
        <v>0.2</v>
      </c>
      <c r="J156" s="4">
        <v>1.8</v>
      </c>
      <c r="K156" s="4">
        <v>0.111</v>
      </c>
      <c r="L156" s="4">
        <v>0.2</v>
      </c>
      <c r="M156" s="4">
        <v>1</v>
      </c>
      <c r="N156" s="4">
        <v>0.2</v>
      </c>
      <c r="O156" s="4">
        <v>0</v>
      </c>
      <c r="P156" s="4">
        <v>0.8</v>
      </c>
      <c r="Q156" s="4">
        <v>0</v>
      </c>
      <c r="R156" s="4">
        <v>1.6</v>
      </c>
      <c r="S156" s="4">
        <v>2.4</v>
      </c>
      <c r="T156" s="4">
        <v>0.66700000000000004</v>
      </c>
      <c r="U156" s="4">
        <v>1.4</v>
      </c>
      <c r="V156" s="4">
        <v>2.8</v>
      </c>
      <c r="W156" s="4">
        <v>0.6</v>
      </c>
      <c r="X156" s="4">
        <v>0.2</v>
      </c>
      <c r="Y156" s="4">
        <v>0</v>
      </c>
      <c r="Z156" s="4">
        <v>0.2</v>
      </c>
      <c r="AA156" s="4">
        <v>0.6</v>
      </c>
      <c r="AB156" s="4">
        <v>2.2000000000000002</v>
      </c>
      <c r="AC156" s="10">
        <f t="shared" si="14"/>
        <v>0.71989528795811519</v>
      </c>
      <c r="AD156" s="10">
        <f t="shared" si="15"/>
        <v>0</v>
      </c>
      <c r="AE156" s="12">
        <f>100*(AC156/TOTAL_BASIC!$D$302)</f>
        <v>75.63652587245565</v>
      </c>
      <c r="AF156" s="9"/>
      <c r="AG156" s="9"/>
      <c r="AH156" s="12">
        <f t="shared" si="16"/>
        <v>0</v>
      </c>
      <c r="AI156" s="12">
        <f t="shared" si="17"/>
        <v>11.799999999999999</v>
      </c>
      <c r="AJ156" s="12">
        <f t="shared" si="18"/>
        <v>3.1</v>
      </c>
      <c r="AK156" s="12">
        <f t="shared" si="19"/>
        <v>0.6</v>
      </c>
      <c r="AL156" s="12">
        <f t="shared" si="20"/>
        <v>23.599999999999998</v>
      </c>
    </row>
    <row r="157" spans="1:38" ht="15.75" customHeight="1" x14ac:dyDescent="0.25">
      <c r="A157" s="1" t="s">
        <v>263</v>
      </c>
      <c r="B157" s="7" t="s">
        <v>93</v>
      </c>
      <c r="C157" s="4" t="s">
        <v>87</v>
      </c>
      <c r="D157" s="4">
        <v>3</v>
      </c>
      <c r="E157" s="4">
        <v>34</v>
      </c>
      <c r="F157" s="4">
        <v>3</v>
      </c>
      <c r="G157" s="4">
        <v>0</v>
      </c>
      <c r="H157" s="4">
        <v>11.3</v>
      </c>
      <c r="I157" s="4">
        <v>2.7</v>
      </c>
      <c r="J157" s="4">
        <v>6</v>
      </c>
      <c r="K157" s="4">
        <v>0.44400000000000001</v>
      </c>
      <c r="L157" s="4">
        <v>1.7</v>
      </c>
      <c r="M157" s="4">
        <v>3.3</v>
      </c>
      <c r="N157" s="4">
        <v>0.5</v>
      </c>
      <c r="O157" s="4">
        <v>1</v>
      </c>
      <c r="P157" s="4">
        <v>2.7</v>
      </c>
      <c r="Q157" s="4">
        <v>0.375</v>
      </c>
      <c r="R157" s="4">
        <v>0.3</v>
      </c>
      <c r="S157" s="4">
        <v>1</v>
      </c>
      <c r="T157" s="4">
        <v>0.33300000000000002</v>
      </c>
      <c r="U157" s="4">
        <v>0</v>
      </c>
      <c r="V157" s="4">
        <v>1</v>
      </c>
      <c r="W157" s="4">
        <v>1.7</v>
      </c>
      <c r="X157" s="4">
        <v>0.3</v>
      </c>
      <c r="Y157" s="4">
        <v>0</v>
      </c>
      <c r="Z157" s="4">
        <v>1</v>
      </c>
      <c r="AA157" s="4">
        <v>0.7</v>
      </c>
      <c r="AB157" s="4">
        <v>7.3</v>
      </c>
      <c r="AC157" s="10">
        <f t="shared" si="14"/>
        <v>0.98118279569892464</v>
      </c>
      <c r="AD157" s="10">
        <f t="shared" si="15"/>
        <v>0</v>
      </c>
      <c r="AE157" s="12">
        <f>100*(AC157/TOTAL_BASIC!$D$302)</f>
        <v>103.08896190025894</v>
      </c>
      <c r="AF157" s="9"/>
      <c r="AG157" s="9"/>
      <c r="AH157" s="12">
        <f t="shared" si="16"/>
        <v>0</v>
      </c>
      <c r="AI157" s="12">
        <f t="shared" si="17"/>
        <v>58.3</v>
      </c>
      <c r="AJ157" s="12">
        <f t="shared" si="18"/>
        <v>44.7</v>
      </c>
      <c r="AK157" s="12">
        <f t="shared" si="19"/>
        <v>11.1</v>
      </c>
      <c r="AL157" s="12">
        <f t="shared" si="20"/>
        <v>4.3</v>
      </c>
    </row>
    <row r="158" spans="1:38" ht="15.75" customHeight="1" x14ac:dyDescent="0.25">
      <c r="A158" s="1" t="s">
        <v>264</v>
      </c>
      <c r="B158" s="7" t="s">
        <v>86</v>
      </c>
      <c r="C158" s="4" t="s">
        <v>87</v>
      </c>
      <c r="D158" s="4">
        <v>1</v>
      </c>
      <c r="E158" s="4">
        <v>33</v>
      </c>
      <c r="F158" s="4">
        <v>1</v>
      </c>
      <c r="G158" s="4">
        <v>1</v>
      </c>
      <c r="H158" s="4">
        <v>33</v>
      </c>
      <c r="I158" s="4">
        <v>3</v>
      </c>
      <c r="J158" s="4">
        <v>4</v>
      </c>
      <c r="K158" s="4">
        <v>0.75</v>
      </c>
      <c r="L158" s="4">
        <v>2</v>
      </c>
      <c r="M158" s="4">
        <v>3</v>
      </c>
      <c r="N158" s="4">
        <v>0.66700000000000004</v>
      </c>
      <c r="O158" s="4">
        <v>1</v>
      </c>
      <c r="P158" s="4">
        <v>1</v>
      </c>
      <c r="Q158" s="4">
        <v>1</v>
      </c>
      <c r="R158" s="4">
        <v>1</v>
      </c>
      <c r="S158" s="4">
        <v>1</v>
      </c>
      <c r="T158" s="4">
        <v>1</v>
      </c>
      <c r="U158" s="4">
        <v>0</v>
      </c>
      <c r="V158" s="4">
        <v>0</v>
      </c>
      <c r="W158" s="4">
        <v>1</v>
      </c>
      <c r="X158" s="4">
        <v>2</v>
      </c>
      <c r="Y158" s="4">
        <v>0</v>
      </c>
      <c r="Z158" s="4">
        <v>3</v>
      </c>
      <c r="AA158" s="4">
        <v>3</v>
      </c>
      <c r="AB158" s="4">
        <v>9</v>
      </c>
      <c r="AC158" s="10">
        <f t="shared" si="14"/>
        <v>1.2096774193548387</v>
      </c>
      <c r="AD158" s="10">
        <f t="shared" si="15"/>
        <v>0</v>
      </c>
      <c r="AE158" s="12">
        <f>100*(AC158/TOTAL_BASIC!$D$302)</f>
        <v>127.09598042497679</v>
      </c>
      <c r="AF158" s="9"/>
      <c r="AG158" s="9"/>
      <c r="AH158" s="12">
        <f t="shared" si="16"/>
        <v>0</v>
      </c>
      <c r="AI158" s="12">
        <f t="shared" si="17"/>
        <v>93.100000000000009</v>
      </c>
      <c r="AJ158" s="12">
        <f t="shared" si="18"/>
        <v>60.199999999999996</v>
      </c>
      <c r="AK158" s="12">
        <f t="shared" si="19"/>
        <v>95</v>
      </c>
      <c r="AL158" s="12">
        <f t="shared" si="20"/>
        <v>84.399999999999991</v>
      </c>
    </row>
    <row r="159" spans="1:38" ht="15.75" customHeight="1" x14ac:dyDescent="0.25">
      <c r="A159" s="1" t="s">
        <v>265</v>
      </c>
      <c r="B159" s="7" t="s">
        <v>116</v>
      </c>
      <c r="C159" s="4" t="s">
        <v>8</v>
      </c>
      <c r="D159" s="4">
        <v>2</v>
      </c>
      <c r="E159" s="4">
        <v>33</v>
      </c>
      <c r="F159" s="4">
        <v>2</v>
      </c>
      <c r="G159" s="4">
        <v>0</v>
      </c>
      <c r="H159" s="4">
        <v>16.5</v>
      </c>
      <c r="I159" s="4">
        <v>1.5</v>
      </c>
      <c r="J159" s="4">
        <v>2.5</v>
      </c>
      <c r="K159" s="4">
        <v>0.6</v>
      </c>
      <c r="L159" s="4">
        <v>1</v>
      </c>
      <c r="M159" s="4">
        <v>2</v>
      </c>
      <c r="N159" s="4">
        <v>0.5</v>
      </c>
      <c r="O159" s="4">
        <v>0.5</v>
      </c>
      <c r="P159" s="4">
        <v>0.5</v>
      </c>
      <c r="Q159" s="4">
        <v>1</v>
      </c>
      <c r="R159" s="4">
        <v>1.5</v>
      </c>
      <c r="S159" s="4">
        <v>2</v>
      </c>
      <c r="T159" s="4">
        <v>0.75</v>
      </c>
      <c r="U159" s="4">
        <v>0</v>
      </c>
      <c r="V159" s="4">
        <v>1.5</v>
      </c>
      <c r="W159" s="4">
        <v>1</v>
      </c>
      <c r="X159" s="4">
        <v>1</v>
      </c>
      <c r="Y159" s="4">
        <v>0</v>
      </c>
      <c r="Z159" s="4">
        <v>0.5</v>
      </c>
      <c r="AA159" s="4">
        <v>0.5</v>
      </c>
      <c r="AB159" s="4">
        <v>5.5</v>
      </c>
      <c r="AC159" s="10">
        <f t="shared" si="14"/>
        <v>1.4175257731958764</v>
      </c>
      <c r="AD159" s="10">
        <f t="shared" si="15"/>
        <v>0</v>
      </c>
      <c r="AE159" s="12">
        <f>100*(AC159/TOTAL_BASIC!$D$302)</f>
        <v>148.93377774885596</v>
      </c>
      <c r="AF159" s="9"/>
      <c r="AG159" s="9"/>
      <c r="AH159" s="12">
        <f t="shared" si="16"/>
        <v>0</v>
      </c>
      <c r="AI159" s="12">
        <f t="shared" si="17"/>
        <v>100</v>
      </c>
      <c r="AJ159" s="12">
        <f t="shared" si="18"/>
        <v>32.9</v>
      </c>
      <c r="AK159" s="12">
        <f t="shared" si="19"/>
        <v>34.699999999999996</v>
      </c>
      <c r="AL159" s="12">
        <f t="shared" si="20"/>
        <v>37.200000000000003</v>
      </c>
    </row>
    <row r="160" spans="1:38" ht="15.75" customHeight="1" x14ac:dyDescent="0.25">
      <c r="A160" s="1" t="s">
        <v>266</v>
      </c>
      <c r="B160" s="7" t="s">
        <v>86</v>
      </c>
      <c r="C160" s="4" t="s">
        <v>87</v>
      </c>
      <c r="D160" s="4">
        <v>2</v>
      </c>
      <c r="E160" s="4">
        <v>31</v>
      </c>
      <c r="F160" s="4">
        <v>2</v>
      </c>
      <c r="G160" s="4">
        <v>0</v>
      </c>
      <c r="H160" s="4">
        <v>15.5</v>
      </c>
      <c r="I160" s="4">
        <v>2</v>
      </c>
      <c r="J160" s="4">
        <v>5</v>
      </c>
      <c r="K160" s="4">
        <v>0.4</v>
      </c>
      <c r="L160" s="4">
        <v>1</v>
      </c>
      <c r="M160" s="4">
        <v>3.5</v>
      </c>
      <c r="N160" s="4">
        <v>0.28599999999999998</v>
      </c>
      <c r="O160" s="4">
        <v>1</v>
      </c>
      <c r="P160" s="4">
        <v>1.5</v>
      </c>
      <c r="Q160" s="4">
        <v>0.66700000000000004</v>
      </c>
      <c r="R160" s="4">
        <v>1</v>
      </c>
      <c r="S160" s="4">
        <v>1</v>
      </c>
      <c r="T160" s="4">
        <v>1</v>
      </c>
      <c r="U160" s="4">
        <v>0</v>
      </c>
      <c r="V160" s="4">
        <v>0</v>
      </c>
      <c r="W160" s="4">
        <v>0.5</v>
      </c>
      <c r="X160" s="4">
        <v>0.5</v>
      </c>
      <c r="Y160" s="4">
        <v>0</v>
      </c>
      <c r="Z160" s="4">
        <v>1.5</v>
      </c>
      <c r="AA160" s="4">
        <v>5</v>
      </c>
      <c r="AB160" s="4">
        <v>6</v>
      </c>
      <c r="AC160" s="10">
        <f t="shared" si="14"/>
        <v>0.86455331412103742</v>
      </c>
      <c r="AD160" s="10">
        <f t="shared" si="15"/>
        <v>0</v>
      </c>
      <c r="AE160" s="12">
        <f>100*(AC160/TOTAL_BASIC!$D$302)</f>
        <v>90.835167565977642</v>
      </c>
      <c r="AF160" s="9"/>
      <c r="AG160" s="9"/>
      <c r="AH160" s="12">
        <f t="shared" si="16"/>
        <v>0</v>
      </c>
      <c r="AI160" s="12">
        <f t="shared" si="17"/>
        <v>31.6</v>
      </c>
      <c r="AJ160" s="12">
        <f t="shared" si="18"/>
        <v>36.6</v>
      </c>
      <c r="AK160" s="12">
        <f t="shared" si="19"/>
        <v>29.099999999999998</v>
      </c>
      <c r="AL160" s="12">
        <f t="shared" si="20"/>
        <v>84.399999999999991</v>
      </c>
    </row>
    <row r="161" spans="1:38" ht="15.75" customHeight="1" x14ac:dyDescent="0.25">
      <c r="A161" s="1" t="s">
        <v>267</v>
      </c>
      <c r="B161" s="7" t="s">
        <v>86</v>
      </c>
      <c r="C161" s="4" t="s">
        <v>8</v>
      </c>
      <c r="D161" s="4">
        <v>1</v>
      </c>
      <c r="E161" s="4">
        <v>31</v>
      </c>
      <c r="F161" s="4">
        <v>1</v>
      </c>
      <c r="G161" s="4">
        <v>1</v>
      </c>
      <c r="H161" s="4">
        <v>31</v>
      </c>
      <c r="I161" s="4">
        <v>4</v>
      </c>
      <c r="J161" s="4">
        <v>15</v>
      </c>
      <c r="K161" s="4">
        <v>0.26700000000000002</v>
      </c>
      <c r="L161" s="4">
        <v>2</v>
      </c>
      <c r="M161" s="4">
        <v>5</v>
      </c>
      <c r="N161" s="4">
        <v>0.4</v>
      </c>
      <c r="O161" s="4">
        <v>2</v>
      </c>
      <c r="P161" s="4">
        <v>10</v>
      </c>
      <c r="Q161" s="4">
        <v>0.2</v>
      </c>
      <c r="R161" s="4">
        <v>1</v>
      </c>
      <c r="S161" s="4">
        <v>2</v>
      </c>
      <c r="T161" s="4">
        <v>0.5</v>
      </c>
      <c r="U161" s="4">
        <v>0</v>
      </c>
      <c r="V161" s="4">
        <v>5</v>
      </c>
      <c r="W161" s="4">
        <v>7</v>
      </c>
      <c r="X161" s="4">
        <v>0</v>
      </c>
      <c r="Y161" s="4">
        <v>0</v>
      </c>
      <c r="Z161" s="4">
        <v>1</v>
      </c>
      <c r="AA161" s="4">
        <v>2</v>
      </c>
      <c r="AB161" s="4">
        <v>11</v>
      </c>
      <c r="AC161" s="10">
        <f t="shared" si="14"/>
        <v>0.65165876777251175</v>
      </c>
      <c r="AD161" s="10">
        <f t="shared" si="15"/>
        <v>0</v>
      </c>
      <c r="AE161" s="12">
        <f>100*(AC161/TOTAL_BASIC!$D$302)</f>
        <v>68.46718692719918</v>
      </c>
      <c r="AF161" s="9"/>
      <c r="AG161" s="9"/>
      <c r="AH161" s="12">
        <f t="shared" si="16"/>
        <v>0</v>
      </c>
      <c r="AI161" s="12">
        <f t="shared" si="17"/>
        <v>8</v>
      </c>
      <c r="AJ161" s="12">
        <f t="shared" si="18"/>
        <v>67</v>
      </c>
      <c r="AK161" s="12">
        <f t="shared" si="19"/>
        <v>89.4</v>
      </c>
      <c r="AL161" s="12">
        <f t="shared" si="20"/>
        <v>9.9</v>
      </c>
    </row>
    <row r="162" spans="1:38" ht="15.75" customHeight="1" x14ac:dyDescent="0.25">
      <c r="A162" s="1" t="s">
        <v>268</v>
      </c>
      <c r="B162" s="7" t="s">
        <v>139</v>
      </c>
      <c r="C162" s="4" t="s">
        <v>8</v>
      </c>
      <c r="D162" s="4">
        <v>4</v>
      </c>
      <c r="E162" s="4">
        <v>31</v>
      </c>
      <c r="F162" s="4">
        <v>4</v>
      </c>
      <c r="G162" s="4">
        <v>0</v>
      </c>
      <c r="H162" s="4">
        <v>7.8</v>
      </c>
      <c r="I162" s="4">
        <v>1</v>
      </c>
      <c r="J162" s="4">
        <v>2.2999999999999998</v>
      </c>
      <c r="K162" s="4">
        <v>0.44400000000000001</v>
      </c>
      <c r="L162" s="4">
        <v>0.8</v>
      </c>
      <c r="M162" s="4">
        <v>1.8</v>
      </c>
      <c r="N162" s="4">
        <v>0.42899999999999999</v>
      </c>
      <c r="O162" s="4">
        <v>0.3</v>
      </c>
      <c r="P162" s="4">
        <v>0.5</v>
      </c>
      <c r="Q162" s="4">
        <v>0.5</v>
      </c>
      <c r="R162" s="4">
        <v>0</v>
      </c>
      <c r="S162" s="4">
        <v>0</v>
      </c>
      <c r="T162" s="4">
        <v>0</v>
      </c>
      <c r="U162" s="4">
        <v>0</v>
      </c>
      <c r="V162" s="4">
        <v>0.3</v>
      </c>
      <c r="W162" s="4">
        <v>0.3</v>
      </c>
      <c r="X162" s="4">
        <v>0.3</v>
      </c>
      <c r="Y162" s="4">
        <v>0</v>
      </c>
      <c r="Z162" s="4">
        <v>0.3</v>
      </c>
      <c r="AA162" s="4">
        <v>0.5</v>
      </c>
      <c r="AB162" s="4">
        <v>2.8</v>
      </c>
      <c r="AC162" s="10">
        <f t="shared" si="14"/>
        <v>1.0769230769230771</v>
      </c>
      <c r="AD162" s="10">
        <f t="shared" si="15"/>
        <v>0</v>
      </c>
      <c r="AE162" s="12">
        <f>100*(AC162/TOTAL_BASIC!$D$302)</f>
        <v>113.14801129115884</v>
      </c>
      <c r="AF162" s="9"/>
      <c r="AG162" s="9"/>
      <c r="AH162" s="12">
        <f t="shared" si="16"/>
        <v>0</v>
      </c>
      <c r="AI162" s="12">
        <f t="shared" si="17"/>
        <v>80.100000000000009</v>
      </c>
      <c r="AJ162" s="12">
        <f t="shared" si="18"/>
        <v>7.3999999999999995</v>
      </c>
      <c r="AK162" s="12">
        <f t="shared" si="19"/>
        <v>1.7999999999999998</v>
      </c>
      <c r="AL162" s="12">
        <f t="shared" si="20"/>
        <v>0</v>
      </c>
    </row>
    <row r="163" spans="1:38" ht="15.75" customHeight="1" x14ac:dyDescent="0.25">
      <c r="A163" s="1" t="s">
        <v>269</v>
      </c>
      <c r="B163" s="7" t="s">
        <v>133</v>
      </c>
      <c r="C163" s="4" t="s">
        <v>121</v>
      </c>
      <c r="D163" s="4">
        <v>2</v>
      </c>
      <c r="E163" s="4">
        <v>31</v>
      </c>
      <c r="F163" s="4">
        <v>2</v>
      </c>
      <c r="G163" s="4">
        <v>1</v>
      </c>
      <c r="H163" s="4">
        <v>15.5</v>
      </c>
      <c r="I163" s="4">
        <v>3</v>
      </c>
      <c r="J163" s="4">
        <v>8.5</v>
      </c>
      <c r="K163" s="4">
        <v>0.35299999999999998</v>
      </c>
      <c r="L163" s="4">
        <v>0.5</v>
      </c>
      <c r="M163" s="4">
        <v>3.5</v>
      </c>
      <c r="N163" s="4">
        <v>0.14299999999999999</v>
      </c>
      <c r="O163" s="4">
        <v>2.5</v>
      </c>
      <c r="P163" s="4">
        <v>5</v>
      </c>
      <c r="Q163" s="4">
        <v>0.5</v>
      </c>
      <c r="R163" s="4">
        <v>1.5</v>
      </c>
      <c r="S163" s="4">
        <v>1.5</v>
      </c>
      <c r="T163" s="4">
        <v>1</v>
      </c>
      <c r="U163" s="4">
        <v>0</v>
      </c>
      <c r="V163" s="4">
        <v>1.5</v>
      </c>
      <c r="W163" s="4">
        <v>2</v>
      </c>
      <c r="X163" s="4">
        <v>1</v>
      </c>
      <c r="Y163" s="4">
        <v>0.5</v>
      </c>
      <c r="Z163" s="4">
        <v>1</v>
      </c>
      <c r="AA163" s="4">
        <v>1.5</v>
      </c>
      <c r="AB163" s="4">
        <v>8</v>
      </c>
      <c r="AC163" s="10">
        <f t="shared" si="14"/>
        <v>0.78740157480314954</v>
      </c>
      <c r="AD163" s="10">
        <f t="shared" si="15"/>
        <v>0.33333333333333331</v>
      </c>
      <c r="AE163" s="12">
        <f>100*(AC163/TOTAL_BASIC!$D$302)</f>
        <v>82.729142113895648</v>
      </c>
      <c r="AF163" s="9"/>
      <c r="AG163" s="9"/>
      <c r="AH163" s="12">
        <f t="shared" si="16"/>
        <v>78.2</v>
      </c>
      <c r="AI163" s="12">
        <f t="shared" si="17"/>
        <v>18</v>
      </c>
      <c r="AJ163" s="12">
        <f t="shared" si="18"/>
        <v>52.1</v>
      </c>
      <c r="AK163" s="12">
        <f t="shared" si="19"/>
        <v>29.099999999999998</v>
      </c>
      <c r="AL163" s="12">
        <f t="shared" si="20"/>
        <v>84.399999999999991</v>
      </c>
    </row>
    <row r="164" spans="1:38" ht="15.75" customHeight="1" x14ac:dyDescent="0.25">
      <c r="A164" s="1" t="s">
        <v>217</v>
      </c>
      <c r="B164" s="7" t="s">
        <v>244</v>
      </c>
      <c r="C164" s="4" t="s">
        <v>8</v>
      </c>
      <c r="D164" s="4">
        <v>2</v>
      </c>
      <c r="E164" s="4">
        <v>30</v>
      </c>
      <c r="F164" s="4">
        <v>2</v>
      </c>
      <c r="G164" s="4">
        <v>1</v>
      </c>
      <c r="H164" s="4">
        <v>15</v>
      </c>
      <c r="I164" s="4">
        <v>2.5</v>
      </c>
      <c r="J164" s="4">
        <v>5</v>
      </c>
      <c r="K164" s="4">
        <v>0.5</v>
      </c>
      <c r="L164" s="4">
        <v>2</v>
      </c>
      <c r="M164" s="4">
        <v>3.5</v>
      </c>
      <c r="N164" s="4">
        <v>0.57099999999999995</v>
      </c>
      <c r="O164" s="4">
        <v>0.5</v>
      </c>
      <c r="P164" s="4">
        <v>1.5</v>
      </c>
      <c r="Q164" s="4">
        <v>0.33300000000000002</v>
      </c>
      <c r="R164" s="4">
        <v>0.5</v>
      </c>
      <c r="S164" s="4">
        <v>0.5</v>
      </c>
      <c r="T164" s="4">
        <v>1</v>
      </c>
      <c r="U164" s="4">
        <v>0</v>
      </c>
      <c r="V164" s="4">
        <v>0</v>
      </c>
      <c r="W164" s="4">
        <v>3</v>
      </c>
      <c r="X164" s="4">
        <v>0</v>
      </c>
      <c r="Y164" s="4">
        <v>0</v>
      </c>
      <c r="Z164" s="4">
        <v>2</v>
      </c>
      <c r="AA164" s="4">
        <v>1</v>
      </c>
      <c r="AB164" s="4">
        <v>7.5</v>
      </c>
      <c r="AC164" s="10">
        <f t="shared" si="14"/>
        <v>1.0387811634349031</v>
      </c>
      <c r="AD164" s="10">
        <f t="shared" si="15"/>
        <v>0</v>
      </c>
      <c r="AE164" s="12">
        <f>100*(AC164/TOTAL_BASIC!$D$302)</f>
        <v>109.14059260870583</v>
      </c>
      <c r="AF164" s="9"/>
      <c r="AG164" s="9"/>
      <c r="AH164" s="12">
        <f t="shared" si="16"/>
        <v>0</v>
      </c>
      <c r="AI164" s="12">
        <f t="shared" si="17"/>
        <v>73.2</v>
      </c>
      <c r="AJ164" s="12">
        <f t="shared" si="18"/>
        <v>47.8</v>
      </c>
      <c r="AK164" s="12">
        <f t="shared" si="19"/>
        <v>26.700000000000003</v>
      </c>
      <c r="AL164" s="12">
        <f t="shared" si="20"/>
        <v>84.399999999999991</v>
      </c>
    </row>
    <row r="165" spans="1:38" ht="15.75" customHeight="1" x14ac:dyDescent="0.25">
      <c r="A165" s="1"/>
      <c r="B165" s="7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10"/>
      <c r="AD165" s="10"/>
      <c r="AE165" s="12"/>
      <c r="AF165" s="9"/>
      <c r="AG165" s="9"/>
      <c r="AH165" s="12"/>
      <c r="AI165" s="12"/>
      <c r="AJ165" s="12"/>
      <c r="AK165" s="12"/>
      <c r="AL165" s="12"/>
    </row>
    <row r="166" spans="1:38" ht="15.75" customHeight="1" x14ac:dyDescent="0.25">
      <c r="A166" s="1"/>
      <c r="B166" s="7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10"/>
      <c r="AD166" s="10"/>
      <c r="AE166" s="12"/>
      <c r="AF166" s="9"/>
      <c r="AG166" s="9"/>
      <c r="AH166" s="12"/>
      <c r="AI166" s="12"/>
      <c r="AJ166" s="12"/>
      <c r="AK166" s="12"/>
      <c r="AL166" s="12"/>
    </row>
    <row r="167" spans="1:38" ht="15.75" customHeight="1" x14ac:dyDescent="0.25">
      <c r="A167" s="1"/>
      <c r="B167" s="7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10"/>
      <c r="AD167" s="10"/>
      <c r="AE167" s="12"/>
      <c r="AF167" s="9"/>
      <c r="AG167" s="9"/>
      <c r="AH167" s="12"/>
      <c r="AI167" s="12"/>
      <c r="AJ167" s="12"/>
      <c r="AK167" s="12"/>
      <c r="AL167" s="12"/>
    </row>
    <row r="168" spans="1:38" ht="15.75" customHeight="1" x14ac:dyDescent="0.25">
      <c r="A168" s="1"/>
      <c r="B168" s="7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10"/>
      <c r="AD168" s="10"/>
      <c r="AE168" s="12"/>
      <c r="AF168" s="9"/>
      <c r="AG168" s="9"/>
      <c r="AH168" s="12"/>
      <c r="AI168" s="12"/>
      <c r="AJ168" s="12"/>
      <c r="AK168" s="12"/>
      <c r="AL168" s="12"/>
    </row>
    <row r="169" spans="1:38" ht="15.75" customHeight="1" x14ac:dyDescent="0.25">
      <c r="A169" s="1"/>
      <c r="B169" s="7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10"/>
      <c r="AD169" s="10"/>
      <c r="AE169" s="12"/>
      <c r="AF169" s="9"/>
      <c r="AG169" s="9"/>
      <c r="AH169" s="12"/>
      <c r="AI169" s="12"/>
      <c r="AJ169" s="12"/>
      <c r="AK169" s="12"/>
      <c r="AL169" s="12"/>
    </row>
    <row r="170" spans="1:38" ht="15.75" customHeight="1" x14ac:dyDescent="0.25">
      <c r="A170" s="1"/>
      <c r="B170" s="7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10"/>
      <c r="AD170" s="10"/>
      <c r="AE170" s="12"/>
      <c r="AF170" s="9"/>
      <c r="AG170" s="9"/>
      <c r="AH170" s="12"/>
      <c r="AI170" s="12"/>
      <c r="AJ170" s="12"/>
      <c r="AK170" s="12"/>
      <c r="AL170" s="12"/>
    </row>
    <row r="171" spans="1:38" ht="15.75" customHeight="1" x14ac:dyDescent="0.25">
      <c r="A171" s="1"/>
      <c r="B171" s="7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10"/>
      <c r="AD171" s="10"/>
      <c r="AE171" s="12"/>
      <c r="AF171" s="9"/>
      <c r="AG171" s="9"/>
      <c r="AH171" s="12"/>
      <c r="AI171" s="12"/>
      <c r="AJ171" s="12"/>
      <c r="AK171" s="12"/>
      <c r="AL171" s="12"/>
    </row>
    <row r="172" spans="1:38" ht="15.75" customHeight="1" x14ac:dyDescent="0.25">
      <c r="A172" s="1"/>
      <c r="B172" s="7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10"/>
      <c r="AD172" s="10"/>
      <c r="AE172" s="12"/>
      <c r="AF172" s="9"/>
      <c r="AG172" s="9"/>
      <c r="AH172" s="12"/>
      <c r="AI172" s="12"/>
      <c r="AJ172" s="12"/>
      <c r="AK172" s="12"/>
      <c r="AL172" s="12"/>
    </row>
    <row r="173" spans="1:38" ht="15.75" customHeight="1" x14ac:dyDescent="0.25">
      <c r="A173" s="1"/>
      <c r="B173" s="7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10"/>
      <c r="AD173" s="10"/>
      <c r="AE173" s="12"/>
      <c r="AF173" s="9"/>
      <c r="AG173" s="9"/>
      <c r="AH173" s="12"/>
      <c r="AI173" s="12"/>
      <c r="AJ173" s="12"/>
      <c r="AK173" s="12"/>
      <c r="AL173" s="12"/>
    </row>
    <row r="174" spans="1:38" ht="15.75" customHeight="1" x14ac:dyDescent="0.25">
      <c r="A174" s="1"/>
      <c r="B174" s="7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10"/>
      <c r="AD174" s="10"/>
      <c r="AE174" s="12"/>
      <c r="AF174" s="9"/>
      <c r="AG174" s="9"/>
      <c r="AH174" s="12"/>
      <c r="AI174" s="12"/>
      <c r="AJ174" s="12"/>
      <c r="AK174" s="12"/>
      <c r="AL174" s="12"/>
    </row>
    <row r="175" spans="1:38" ht="15.75" customHeight="1" x14ac:dyDescent="0.25">
      <c r="A175" s="1"/>
      <c r="B175" s="7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10"/>
      <c r="AD175" s="10"/>
      <c r="AE175" s="12"/>
      <c r="AF175" s="9"/>
      <c r="AG175" s="9"/>
      <c r="AH175" s="12"/>
      <c r="AI175" s="12"/>
      <c r="AJ175" s="12"/>
      <c r="AK175" s="12"/>
      <c r="AL175" s="12"/>
    </row>
    <row r="176" spans="1:38" ht="15.75" customHeight="1" x14ac:dyDescent="0.25">
      <c r="A176" s="1"/>
      <c r="B176" s="7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10"/>
      <c r="AD176" s="10"/>
      <c r="AE176" s="12"/>
      <c r="AF176" s="9"/>
      <c r="AG176" s="9"/>
      <c r="AH176" s="12"/>
      <c r="AI176" s="12"/>
      <c r="AJ176" s="12"/>
      <c r="AK176" s="12"/>
      <c r="AL176" s="12"/>
    </row>
    <row r="177" spans="1:38" ht="15.75" customHeight="1" x14ac:dyDescent="0.25">
      <c r="A177" s="1"/>
      <c r="B177" s="7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10"/>
      <c r="AD177" s="10"/>
      <c r="AE177" s="12"/>
      <c r="AF177" s="9"/>
      <c r="AG177" s="9"/>
      <c r="AH177" s="12"/>
      <c r="AI177" s="12"/>
      <c r="AJ177" s="12"/>
      <c r="AK177" s="12"/>
      <c r="AL177" s="12"/>
    </row>
    <row r="178" spans="1:38" ht="15.75" customHeight="1" x14ac:dyDescent="0.25">
      <c r="A178" s="1"/>
      <c r="B178" s="7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10"/>
      <c r="AD178" s="10"/>
      <c r="AE178" s="12"/>
      <c r="AF178" s="9"/>
      <c r="AG178" s="9"/>
      <c r="AH178" s="12"/>
      <c r="AI178" s="12"/>
      <c r="AJ178" s="12"/>
      <c r="AK178" s="12"/>
      <c r="AL178" s="12"/>
    </row>
    <row r="179" spans="1:38" ht="15.75" customHeight="1" x14ac:dyDescent="0.25">
      <c r="A179" s="1"/>
      <c r="B179" s="7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10"/>
      <c r="AD179" s="10"/>
      <c r="AE179" s="12"/>
      <c r="AF179" s="9"/>
      <c r="AG179" s="9"/>
      <c r="AH179" s="12"/>
      <c r="AI179" s="12"/>
      <c r="AJ179" s="12"/>
      <c r="AK179" s="12"/>
      <c r="AL179" s="12"/>
    </row>
    <row r="180" spans="1:38" ht="15.75" customHeight="1" x14ac:dyDescent="0.25">
      <c r="A180" s="1"/>
      <c r="B180" s="7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10"/>
      <c r="AD180" s="10"/>
      <c r="AE180" s="12"/>
      <c r="AF180" s="9"/>
      <c r="AG180" s="9"/>
      <c r="AH180" s="12"/>
      <c r="AI180" s="12"/>
      <c r="AJ180" s="12"/>
      <c r="AK180" s="12"/>
      <c r="AL180" s="12"/>
    </row>
    <row r="181" spans="1:38" ht="15.75" customHeight="1" x14ac:dyDescent="0.25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/>
      <c r="AD181" s="10"/>
      <c r="AE181" s="12"/>
      <c r="AF181" s="9"/>
      <c r="AG181" s="9"/>
      <c r="AH181" s="12"/>
      <c r="AI181" s="12"/>
      <c r="AJ181" s="12"/>
      <c r="AK181" s="12"/>
      <c r="AL181" s="12"/>
    </row>
    <row r="182" spans="1:38" ht="15.75" customHeight="1" x14ac:dyDescent="0.25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/>
      <c r="AD182" s="10"/>
      <c r="AE182" s="12"/>
      <c r="AF182" s="9"/>
      <c r="AG182" s="9"/>
      <c r="AH182" s="12"/>
      <c r="AI182" s="12"/>
      <c r="AJ182" s="12"/>
      <c r="AK182" s="12"/>
      <c r="AL182" s="12"/>
    </row>
    <row r="183" spans="1:38" ht="15.75" customHeight="1" x14ac:dyDescent="0.25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/>
      <c r="AD183" s="10"/>
      <c r="AE183" s="12"/>
      <c r="AF183" s="9"/>
      <c r="AG183" s="9"/>
      <c r="AH183" s="12"/>
      <c r="AI183" s="12"/>
      <c r="AJ183" s="12"/>
      <c r="AK183" s="12"/>
      <c r="AL183" s="12"/>
    </row>
    <row r="184" spans="1:38" ht="15.75" customHeight="1" x14ac:dyDescent="0.25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/>
      <c r="AD184" s="10"/>
      <c r="AE184" s="12"/>
      <c r="AF184" s="9"/>
      <c r="AG184" s="9"/>
      <c r="AH184" s="12"/>
      <c r="AI184" s="12"/>
      <c r="AJ184" s="12"/>
      <c r="AK184" s="12"/>
      <c r="AL184" s="12"/>
    </row>
    <row r="185" spans="1:38" ht="15.75" customHeight="1" x14ac:dyDescent="0.25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  <c r="AJ185" s="12"/>
      <c r="AK185" s="12"/>
      <c r="AL185" s="12"/>
    </row>
    <row r="186" spans="1:38" ht="15.75" customHeight="1" x14ac:dyDescent="0.25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  <c r="AJ186" s="12"/>
      <c r="AK186" s="12"/>
      <c r="AL186" s="12"/>
    </row>
    <row r="187" spans="1:38" ht="15.75" customHeight="1" x14ac:dyDescent="0.25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  <c r="AJ187" s="12"/>
      <c r="AK187" s="12"/>
      <c r="AL187" s="12"/>
    </row>
    <row r="188" spans="1:38" ht="15.75" customHeight="1" x14ac:dyDescent="0.25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  <c r="AJ188" s="12"/>
      <c r="AK188" s="12"/>
      <c r="AL188" s="12"/>
    </row>
    <row r="189" spans="1:38" ht="15.75" customHeight="1" x14ac:dyDescent="0.25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  <c r="AJ189" s="12"/>
      <c r="AK189" s="12"/>
      <c r="AL189" s="12"/>
    </row>
    <row r="190" spans="1:38" ht="15.75" customHeight="1" x14ac:dyDescent="0.25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  <c r="AJ190" s="12"/>
      <c r="AK190" s="12"/>
      <c r="AL190" s="12"/>
    </row>
    <row r="191" spans="1:38" ht="15.75" customHeight="1" x14ac:dyDescent="0.25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  <c r="AJ191" s="12"/>
      <c r="AK191" s="12"/>
      <c r="AL191" s="12"/>
    </row>
    <row r="192" spans="1:38" ht="15.75" customHeight="1" x14ac:dyDescent="0.25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  <c r="AJ192" s="12"/>
      <c r="AK192" s="12"/>
      <c r="AL192" s="12"/>
    </row>
    <row r="193" spans="1:38" ht="15.75" customHeight="1" x14ac:dyDescent="0.25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  <c r="AJ193" s="12"/>
      <c r="AK193" s="12"/>
      <c r="AL193" s="12"/>
    </row>
    <row r="194" spans="1:38" ht="15.75" customHeight="1" x14ac:dyDescent="0.25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  <c r="AJ194" s="12"/>
      <c r="AK194" s="12"/>
      <c r="AL194" s="12"/>
    </row>
    <row r="195" spans="1:38" ht="15.75" customHeight="1" x14ac:dyDescent="0.25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  <c r="AJ195" s="12"/>
      <c r="AK195" s="12"/>
      <c r="AL195" s="12"/>
    </row>
    <row r="196" spans="1:38" ht="15.75" customHeight="1" x14ac:dyDescent="0.25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  <c r="AJ196" s="12"/>
      <c r="AK196" s="12"/>
      <c r="AL196" s="12"/>
    </row>
    <row r="197" spans="1:38" ht="15.75" customHeight="1" x14ac:dyDescent="0.25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  <c r="AJ197" s="12"/>
      <c r="AK197" s="12"/>
      <c r="AL197" s="12"/>
    </row>
    <row r="198" spans="1:38" ht="15.75" customHeight="1" x14ac:dyDescent="0.25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  <c r="AJ198" s="12"/>
      <c r="AK198" s="12"/>
      <c r="AL198" s="12"/>
    </row>
    <row r="199" spans="1:38" ht="15.75" customHeight="1" x14ac:dyDescent="0.25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  <c r="AJ199" s="12"/>
      <c r="AK199" s="12"/>
      <c r="AL199" s="12"/>
    </row>
    <row r="200" spans="1:38" ht="15.75" customHeight="1" x14ac:dyDescent="0.25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  <c r="AJ200" s="12"/>
      <c r="AK200" s="12"/>
      <c r="AL200" s="12"/>
    </row>
    <row r="201" spans="1:38" ht="15.75" customHeight="1" x14ac:dyDescent="0.25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  <c r="AJ201" s="12"/>
      <c r="AK201" s="12"/>
      <c r="AL201" s="12"/>
    </row>
    <row r="202" spans="1:38" ht="15.75" customHeight="1" x14ac:dyDescent="0.25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  <c r="AJ202" s="12"/>
      <c r="AK202" s="12"/>
      <c r="AL202" s="12"/>
    </row>
    <row r="203" spans="1:38" ht="15.75" customHeight="1" x14ac:dyDescent="0.25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  <c r="AJ203" s="12"/>
      <c r="AK203" s="12"/>
      <c r="AL203" s="12"/>
    </row>
    <row r="204" spans="1:38" ht="15.75" customHeight="1" x14ac:dyDescent="0.25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  <c r="AJ204" s="12"/>
      <c r="AK204" s="12"/>
      <c r="AL204" s="12"/>
    </row>
    <row r="205" spans="1:38" ht="15.75" customHeight="1" x14ac:dyDescent="0.25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  <c r="AJ205" s="12"/>
      <c r="AK205" s="12"/>
      <c r="AL205" s="12"/>
    </row>
    <row r="206" spans="1:38" ht="15.75" customHeight="1" x14ac:dyDescent="0.25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  <c r="AJ206" s="12"/>
      <c r="AK206" s="12"/>
      <c r="AL206" s="12"/>
    </row>
    <row r="207" spans="1:38" ht="15.75" customHeight="1" x14ac:dyDescent="0.25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  <c r="AJ207" s="12"/>
      <c r="AK207" s="12"/>
      <c r="AL207" s="12"/>
    </row>
    <row r="208" spans="1:38" ht="15.75" customHeight="1" x14ac:dyDescent="0.25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  <c r="AJ208" s="12"/>
      <c r="AK208" s="12"/>
      <c r="AL208" s="12"/>
    </row>
    <row r="209" spans="2:38" ht="15.75" customHeight="1" x14ac:dyDescent="0.25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  <c r="AJ209" s="12"/>
      <c r="AK209" s="12"/>
      <c r="AL209" s="12"/>
    </row>
    <row r="210" spans="2:38" ht="15.75" customHeight="1" x14ac:dyDescent="0.25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  <c r="AJ210" s="12"/>
      <c r="AK210" s="12"/>
      <c r="AL210" s="12"/>
    </row>
    <row r="211" spans="2:38" ht="15.75" customHeight="1" x14ac:dyDescent="0.25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  <c r="AJ211" s="12"/>
      <c r="AK211" s="12"/>
      <c r="AL211" s="12"/>
    </row>
    <row r="212" spans="2:38" ht="15.75" customHeight="1" x14ac:dyDescent="0.25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  <c r="AJ212" s="12"/>
      <c r="AK212" s="12"/>
      <c r="AL212" s="12"/>
    </row>
    <row r="213" spans="2:38" ht="15.75" customHeight="1" x14ac:dyDescent="0.25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  <c r="AJ213" s="12"/>
      <c r="AK213" s="12"/>
      <c r="AL213" s="12"/>
    </row>
    <row r="214" spans="2:38" ht="15.75" customHeight="1" x14ac:dyDescent="0.25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  <c r="AJ214" s="12"/>
      <c r="AK214" s="12"/>
      <c r="AL214" s="12"/>
    </row>
    <row r="215" spans="2:38" ht="15.75" customHeight="1" x14ac:dyDescent="0.25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  <c r="AJ215" s="12"/>
      <c r="AK215" s="12"/>
      <c r="AL215" s="12"/>
    </row>
    <row r="216" spans="2:38" ht="15.75" customHeight="1" x14ac:dyDescent="0.25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  <c r="AJ216" s="12"/>
      <c r="AK216" s="12"/>
      <c r="AL216" s="12"/>
    </row>
    <row r="217" spans="2:38" ht="15.75" customHeight="1" x14ac:dyDescent="0.25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  <c r="AJ217" s="12"/>
      <c r="AK217" s="12"/>
      <c r="AL217" s="12"/>
    </row>
    <row r="218" spans="2:38" ht="15.75" customHeight="1" x14ac:dyDescent="0.25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  <c r="AJ218" s="12"/>
      <c r="AK218" s="12"/>
      <c r="AL218" s="12"/>
    </row>
    <row r="219" spans="2:38" ht="15.75" customHeight="1" x14ac:dyDescent="0.25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  <c r="AJ219" s="12"/>
      <c r="AK219" s="12"/>
      <c r="AL219" s="12"/>
    </row>
    <row r="220" spans="2:38" ht="15.75" customHeight="1" x14ac:dyDescent="0.25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  <c r="AJ220" s="12"/>
      <c r="AK220" s="12"/>
      <c r="AL220" s="12"/>
    </row>
    <row r="221" spans="2:38" ht="15.75" customHeight="1" x14ac:dyDescent="0.25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  <c r="AJ221" s="12"/>
      <c r="AK221" s="12"/>
      <c r="AL221" s="12"/>
    </row>
    <row r="222" spans="2:38" ht="15.75" customHeight="1" x14ac:dyDescent="0.25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  <c r="AJ222" s="12"/>
      <c r="AK222" s="12"/>
      <c r="AL222" s="12"/>
    </row>
    <row r="223" spans="2:38" ht="15.75" customHeight="1" x14ac:dyDescent="0.25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  <c r="AJ223" s="12"/>
      <c r="AK223" s="12"/>
      <c r="AL223" s="12"/>
    </row>
    <row r="224" spans="2:38" ht="15.75" customHeight="1" x14ac:dyDescent="0.25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  <c r="AJ224" s="12"/>
      <c r="AK224" s="12"/>
      <c r="AL224" s="12"/>
    </row>
    <row r="225" spans="2:38" ht="15.75" customHeight="1" x14ac:dyDescent="0.25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  <c r="AJ225" s="12"/>
      <c r="AK225" s="12"/>
      <c r="AL225" s="12"/>
    </row>
    <row r="226" spans="2:38" ht="15.75" customHeight="1" x14ac:dyDescent="0.25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  <c r="AJ226" s="12"/>
      <c r="AK226" s="12"/>
      <c r="AL226" s="12"/>
    </row>
    <row r="227" spans="2:38" ht="15.75" customHeight="1" x14ac:dyDescent="0.25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  <c r="AJ227" s="12"/>
      <c r="AK227" s="12"/>
      <c r="AL227" s="12"/>
    </row>
    <row r="228" spans="2:38" ht="15.75" customHeight="1" x14ac:dyDescent="0.25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  <c r="AJ228" s="12"/>
      <c r="AK228" s="12"/>
      <c r="AL228" s="12"/>
    </row>
    <row r="229" spans="2:38" ht="15.75" customHeight="1" x14ac:dyDescent="0.25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  <c r="AJ229" s="12"/>
      <c r="AK229" s="12"/>
      <c r="AL229" s="12"/>
    </row>
    <row r="230" spans="2:38" ht="15.75" customHeight="1" x14ac:dyDescent="0.25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  <c r="AJ230" s="12"/>
      <c r="AK230" s="12"/>
      <c r="AL230" s="12"/>
    </row>
    <row r="231" spans="2:38" ht="15.75" customHeight="1" x14ac:dyDescent="0.25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  <c r="AJ231" s="12"/>
      <c r="AK231" s="12"/>
      <c r="AL231" s="12"/>
    </row>
    <row r="232" spans="2:38" ht="15.75" customHeight="1" x14ac:dyDescent="0.25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  <c r="AJ232" s="12"/>
      <c r="AK232" s="12"/>
      <c r="AL232" s="12"/>
    </row>
    <row r="233" spans="2:38" ht="15.75" customHeight="1" x14ac:dyDescent="0.25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  <c r="AJ233" s="12"/>
      <c r="AK233" s="12"/>
      <c r="AL233" s="12"/>
    </row>
    <row r="234" spans="2:38" ht="15.75" customHeight="1" x14ac:dyDescent="0.25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  <c r="AJ234" s="12"/>
      <c r="AK234" s="12"/>
      <c r="AL234" s="12"/>
    </row>
    <row r="235" spans="2:38" ht="15.75" customHeight="1" x14ac:dyDescent="0.25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  <c r="AJ235" s="12"/>
      <c r="AK235" s="12"/>
      <c r="AL235" s="12"/>
    </row>
    <row r="236" spans="2:38" ht="15.75" customHeight="1" x14ac:dyDescent="0.25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  <c r="AJ236" s="12"/>
      <c r="AK236" s="12"/>
      <c r="AL236" s="12"/>
    </row>
    <row r="237" spans="2:38" ht="15.75" customHeight="1" x14ac:dyDescent="0.25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  <c r="AJ237" s="12"/>
      <c r="AK237" s="12"/>
      <c r="AL237" s="12"/>
    </row>
    <row r="238" spans="2:38" ht="15.75" customHeight="1" x14ac:dyDescent="0.25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  <c r="AJ238" s="12"/>
      <c r="AK238" s="12"/>
      <c r="AL238" s="12"/>
    </row>
    <row r="239" spans="2:38" ht="15.75" customHeight="1" x14ac:dyDescent="0.25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  <c r="AJ239" s="12"/>
      <c r="AK239" s="12"/>
      <c r="AL239" s="12"/>
    </row>
    <row r="240" spans="2:38" ht="15.75" customHeight="1" x14ac:dyDescent="0.25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  <c r="AJ240" s="12"/>
      <c r="AK240" s="12"/>
      <c r="AL240" s="12"/>
    </row>
    <row r="241" spans="2:38" ht="15.75" customHeight="1" x14ac:dyDescent="0.25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  <c r="AJ241" s="12"/>
      <c r="AK241" s="12"/>
      <c r="AL241" s="12"/>
    </row>
    <row r="242" spans="2:38" ht="15.75" customHeight="1" x14ac:dyDescent="0.25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  <c r="AJ242" s="12"/>
      <c r="AK242" s="12"/>
      <c r="AL242" s="12"/>
    </row>
    <row r="243" spans="2:38" ht="15.75" customHeight="1" x14ac:dyDescent="0.25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  <c r="AJ243" s="12"/>
      <c r="AK243" s="12"/>
      <c r="AL243" s="12"/>
    </row>
    <row r="244" spans="2:38" ht="15.75" customHeight="1" x14ac:dyDescent="0.25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  <c r="AJ244" s="12"/>
      <c r="AK244" s="12"/>
      <c r="AL244" s="12"/>
    </row>
    <row r="245" spans="2:38" ht="15.75" customHeight="1" x14ac:dyDescent="0.25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  <c r="AJ245" s="12"/>
      <c r="AK245" s="12"/>
      <c r="AL245" s="12"/>
    </row>
    <row r="246" spans="2:38" ht="15.75" customHeight="1" x14ac:dyDescent="0.25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  <c r="AJ246" s="12"/>
      <c r="AK246" s="12"/>
      <c r="AL246" s="12"/>
    </row>
    <row r="247" spans="2:38" ht="15.75" customHeight="1" x14ac:dyDescent="0.25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  <c r="AJ247" s="12"/>
      <c r="AK247" s="12"/>
      <c r="AL247" s="12"/>
    </row>
    <row r="248" spans="2:38" ht="15.75" customHeight="1" x14ac:dyDescent="0.25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  <c r="AJ248" s="12"/>
      <c r="AK248" s="12"/>
      <c r="AL248" s="12"/>
    </row>
    <row r="249" spans="2:38" ht="15.75" customHeight="1" x14ac:dyDescent="0.25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  <c r="AJ249" s="12"/>
      <c r="AK249" s="12"/>
      <c r="AL249" s="12"/>
    </row>
    <row r="250" spans="2:38" ht="15.75" customHeight="1" x14ac:dyDescent="0.25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  <c r="AJ250" s="12"/>
      <c r="AK250" s="12"/>
      <c r="AL250" s="12"/>
    </row>
    <row r="251" spans="2:38" ht="15.75" customHeight="1" x14ac:dyDescent="0.25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  <c r="AJ251" s="12"/>
      <c r="AK251" s="12"/>
      <c r="AL251" s="12"/>
    </row>
    <row r="252" spans="2:38" ht="15.75" customHeight="1" x14ac:dyDescent="0.25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  <c r="AJ252" s="12"/>
      <c r="AK252" s="12"/>
      <c r="AL252" s="12"/>
    </row>
    <row r="253" spans="2:38" ht="15.75" customHeight="1" x14ac:dyDescent="0.25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  <c r="AJ253" s="12"/>
      <c r="AK253" s="12"/>
      <c r="AL253" s="12"/>
    </row>
    <row r="254" spans="2:38" ht="15.75" customHeight="1" x14ac:dyDescent="0.25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  <c r="AJ254" s="12"/>
      <c r="AK254" s="12"/>
      <c r="AL254" s="12"/>
    </row>
    <row r="255" spans="2:38" ht="15.75" customHeight="1" x14ac:dyDescent="0.25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  <c r="AJ255" s="12"/>
      <c r="AK255" s="12"/>
      <c r="AL255" s="12"/>
    </row>
    <row r="256" spans="2:38" ht="15.75" customHeight="1" x14ac:dyDescent="0.25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  <c r="AJ256" s="12"/>
      <c r="AK256" s="12"/>
      <c r="AL256" s="12"/>
    </row>
    <row r="257" spans="2:38" ht="15.75" customHeight="1" x14ac:dyDescent="0.25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  <c r="AJ257" s="12"/>
      <c r="AK257" s="12"/>
      <c r="AL257" s="12"/>
    </row>
    <row r="258" spans="2:38" ht="15.75" customHeight="1" x14ac:dyDescent="0.25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  <c r="AJ258" s="12"/>
      <c r="AK258" s="12"/>
      <c r="AL258" s="12"/>
    </row>
    <row r="259" spans="2:38" ht="15.75" customHeight="1" x14ac:dyDescent="0.25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  <c r="AJ259" s="12"/>
      <c r="AK259" s="12"/>
      <c r="AL259" s="12"/>
    </row>
    <row r="260" spans="2:38" ht="15.75" customHeight="1" x14ac:dyDescent="0.25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  <c r="AJ260" s="12"/>
      <c r="AK260" s="12"/>
      <c r="AL260" s="12"/>
    </row>
    <row r="261" spans="2:38" ht="15.75" customHeight="1" x14ac:dyDescent="0.25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  <c r="AJ261" s="12"/>
      <c r="AK261" s="12"/>
      <c r="AL261" s="12"/>
    </row>
    <row r="262" spans="2:38" ht="15.75" customHeight="1" x14ac:dyDescent="0.25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  <c r="AJ262" s="12"/>
      <c r="AK262" s="12"/>
      <c r="AL262" s="12"/>
    </row>
    <row r="263" spans="2:38" ht="15.75" customHeight="1" x14ac:dyDescent="0.25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  <c r="AJ263" s="12"/>
      <c r="AK263" s="12"/>
      <c r="AL263" s="12"/>
    </row>
    <row r="264" spans="2:38" ht="15.75" customHeight="1" x14ac:dyDescent="0.25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  <c r="AJ264" s="12"/>
      <c r="AK264" s="12"/>
      <c r="AL264" s="12"/>
    </row>
    <row r="265" spans="2:38" ht="15.75" customHeight="1" x14ac:dyDescent="0.25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  <c r="AJ265" s="12"/>
      <c r="AK265" s="12"/>
      <c r="AL265" s="12"/>
    </row>
    <row r="266" spans="2:38" ht="15.75" customHeight="1" x14ac:dyDescent="0.25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  <c r="AJ266" s="12"/>
      <c r="AK266" s="12"/>
      <c r="AL266" s="12"/>
    </row>
    <row r="267" spans="2:38" ht="15.75" customHeight="1" x14ac:dyDescent="0.25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  <c r="AJ267" s="12"/>
      <c r="AK267" s="12"/>
      <c r="AL267" s="12"/>
    </row>
    <row r="268" spans="2:38" ht="15.75" customHeight="1" x14ac:dyDescent="0.25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  <c r="AJ268" s="12"/>
      <c r="AK268" s="12"/>
      <c r="AL268" s="12"/>
    </row>
    <row r="269" spans="2:38" ht="15.75" customHeight="1" x14ac:dyDescent="0.25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  <c r="AJ269" s="12"/>
      <c r="AK269" s="12"/>
      <c r="AL269" s="12"/>
    </row>
    <row r="270" spans="2:38" ht="15.75" customHeight="1" x14ac:dyDescent="0.25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  <c r="AJ270" s="12"/>
      <c r="AK270" s="12"/>
      <c r="AL270" s="12"/>
    </row>
    <row r="271" spans="2:38" ht="15.75" customHeight="1" x14ac:dyDescent="0.25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  <c r="AJ271" s="12"/>
      <c r="AK271" s="12"/>
      <c r="AL271" s="12"/>
    </row>
    <row r="272" spans="2:38" ht="15.75" customHeight="1" x14ac:dyDescent="0.25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  <c r="AJ272" s="12"/>
      <c r="AK272" s="12"/>
      <c r="AL272" s="12"/>
    </row>
    <row r="273" spans="2:38" ht="15.75" customHeight="1" x14ac:dyDescent="0.25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  <c r="AJ273" s="12"/>
      <c r="AK273" s="12"/>
      <c r="AL273" s="12"/>
    </row>
    <row r="274" spans="2:38" ht="15.75" customHeight="1" x14ac:dyDescent="0.25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  <c r="AJ274" s="12"/>
      <c r="AK274" s="12"/>
      <c r="AL274" s="12"/>
    </row>
    <row r="275" spans="2:38" ht="15.75" customHeight="1" x14ac:dyDescent="0.25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  <c r="AJ275" s="12"/>
      <c r="AK275" s="12"/>
      <c r="AL275" s="12"/>
    </row>
    <row r="276" spans="2:38" ht="15.75" customHeight="1" x14ac:dyDescent="0.25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  <c r="AJ276" s="12"/>
      <c r="AK276" s="12"/>
      <c r="AL276" s="12"/>
    </row>
    <row r="277" spans="2:38" ht="15.75" customHeight="1" x14ac:dyDescent="0.25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  <c r="AJ277" s="12"/>
      <c r="AK277" s="12"/>
      <c r="AL277" s="12"/>
    </row>
    <row r="278" spans="2:38" ht="15.75" customHeight="1" x14ac:dyDescent="0.25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  <c r="AJ278" s="12"/>
      <c r="AK278" s="12"/>
      <c r="AL278" s="12"/>
    </row>
    <row r="279" spans="2:38" ht="15.75" customHeight="1" x14ac:dyDescent="0.25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  <c r="AJ279" s="12"/>
      <c r="AK279" s="12"/>
      <c r="AL279" s="12"/>
    </row>
    <row r="280" spans="2:38" ht="15.75" customHeight="1" x14ac:dyDescent="0.25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  <c r="AJ280" s="12"/>
      <c r="AK280" s="12"/>
      <c r="AL280" s="12"/>
    </row>
    <row r="281" spans="2:38" ht="15.75" customHeight="1" x14ac:dyDescent="0.25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  <c r="AJ281" s="12"/>
      <c r="AK281" s="12"/>
      <c r="AL281" s="12"/>
    </row>
    <row r="282" spans="2:38" ht="15.75" customHeight="1" x14ac:dyDescent="0.25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  <c r="AJ282" s="12"/>
      <c r="AK282" s="12"/>
      <c r="AL282" s="12"/>
    </row>
    <row r="283" spans="2:38" ht="15.75" customHeight="1" x14ac:dyDescent="0.25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  <c r="AJ283" s="12"/>
      <c r="AK283" s="12"/>
      <c r="AL283" s="12"/>
    </row>
    <row r="284" spans="2:38" ht="15.75" customHeight="1" x14ac:dyDescent="0.25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  <c r="AJ284" s="12"/>
      <c r="AK284" s="12"/>
      <c r="AL284" s="12"/>
    </row>
    <row r="285" spans="2:38" ht="15.75" customHeight="1" x14ac:dyDescent="0.25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  <c r="AJ285" s="12"/>
      <c r="AK285" s="12"/>
      <c r="AL285" s="12"/>
    </row>
    <row r="286" spans="2:38" ht="15.75" customHeight="1" x14ac:dyDescent="0.25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  <c r="AJ286" s="12"/>
      <c r="AK286" s="12"/>
      <c r="AL286" s="12"/>
    </row>
    <row r="287" spans="2:38" ht="15.75" customHeight="1" x14ac:dyDescent="0.25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  <c r="AJ287" s="12"/>
      <c r="AK287" s="12"/>
      <c r="AL287" s="12"/>
    </row>
    <row r="288" spans="2:38" ht="15.75" customHeight="1" x14ac:dyDescent="0.25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  <c r="AJ288" s="12"/>
      <c r="AK288" s="12"/>
      <c r="AL288" s="12"/>
    </row>
    <row r="289" spans="1:38" ht="15.75" customHeight="1" x14ac:dyDescent="0.25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  <c r="AJ289" s="12"/>
      <c r="AK289" s="12"/>
      <c r="AL289" s="12"/>
    </row>
    <row r="290" spans="1:38" ht="15.75" customHeight="1" x14ac:dyDescent="0.25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  <c r="AJ290" s="12"/>
      <c r="AK290" s="12"/>
      <c r="AL290" s="12"/>
    </row>
    <row r="291" spans="1:38" ht="15.75" customHeight="1" x14ac:dyDescent="0.25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  <c r="AJ291" s="12"/>
      <c r="AK291" s="12"/>
      <c r="AL291" s="12"/>
    </row>
    <row r="292" spans="1:38" ht="15.75" customHeight="1" x14ac:dyDescent="0.25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  <c r="AJ292" s="12"/>
      <c r="AK292" s="12"/>
      <c r="AL292" s="12"/>
    </row>
    <row r="293" spans="1:38" ht="15.75" customHeight="1" x14ac:dyDescent="0.25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  <c r="AJ293" s="12"/>
      <c r="AK293" s="12"/>
      <c r="AL293" s="12"/>
    </row>
    <row r="294" spans="1:38" ht="15.75" customHeight="1" x14ac:dyDescent="0.25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  <c r="AJ294" s="12"/>
      <c r="AK294" s="12"/>
      <c r="AL294" s="12"/>
    </row>
    <row r="295" spans="1:38" ht="15.75" customHeight="1" x14ac:dyDescent="0.25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  <c r="AJ295" s="12"/>
      <c r="AK295" s="12"/>
      <c r="AL295" s="12"/>
    </row>
    <row r="296" spans="1:38" ht="15.75" customHeight="1" x14ac:dyDescent="0.25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  <c r="AJ296" s="12"/>
      <c r="AK296" s="12"/>
      <c r="AL296" s="12"/>
    </row>
    <row r="297" spans="1:38" ht="15.75" customHeight="1" x14ac:dyDescent="0.25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  <c r="AJ297" s="12"/>
      <c r="AK297" s="12"/>
      <c r="AL297" s="12"/>
    </row>
    <row r="298" spans="1:38" ht="15.75" customHeight="1" x14ac:dyDescent="0.25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  <c r="AJ298" s="12"/>
      <c r="AK298" s="12"/>
      <c r="AL298" s="12"/>
    </row>
    <row r="299" spans="1:38" ht="15.75" customHeight="1" x14ac:dyDescent="0.25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8" ht="15.75" customHeight="1" x14ac:dyDescent="0.25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8" ht="15.75" customHeight="1" x14ac:dyDescent="0.25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8" ht="15.75" customHeight="1" x14ac:dyDescent="0.25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8" ht="15.75" customHeight="1" x14ac:dyDescent="0.25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8" ht="15.75" customHeight="1" x14ac:dyDescent="0.25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 x14ac:dyDescent="0.25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 x14ac:dyDescent="0.25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 x14ac:dyDescent="0.25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 x14ac:dyDescent="0.25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 x14ac:dyDescent="0.25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 x14ac:dyDescent="0.25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 x14ac:dyDescent="0.25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 x14ac:dyDescent="0.25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 x14ac:dyDescent="0.25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 x14ac:dyDescent="0.25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 x14ac:dyDescent="0.25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 x14ac:dyDescent="0.25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 x14ac:dyDescent="0.25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 x14ac:dyDescent="0.25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 x14ac:dyDescent="0.25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 x14ac:dyDescent="0.25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 x14ac:dyDescent="0.25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 x14ac:dyDescent="0.25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 x14ac:dyDescent="0.25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 x14ac:dyDescent="0.25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 x14ac:dyDescent="0.25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 x14ac:dyDescent="0.25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 x14ac:dyDescent="0.25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 x14ac:dyDescent="0.25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 x14ac:dyDescent="0.25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 x14ac:dyDescent="0.25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 x14ac:dyDescent="0.25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 x14ac:dyDescent="0.25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 x14ac:dyDescent="0.25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 x14ac:dyDescent="0.25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 x14ac:dyDescent="0.25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 x14ac:dyDescent="0.25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 x14ac:dyDescent="0.25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 x14ac:dyDescent="0.25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 x14ac:dyDescent="0.25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 x14ac:dyDescent="0.25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 x14ac:dyDescent="0.25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 x14ac:dyDescent="0.25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 x14ac:dyDescent="0.25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 x14ac:dyDescent="0.25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 x14ac:dyDescent="0.25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 x14ac:dyDescent="0.25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 x14ac:dyDescent="0.25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 x14ac:dyDescent="0.25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 x14ac:dyDescent="0.25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 x14ac:dyDescent="0.25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 x14ac:dyDescent="0.25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 x14ac:dyDescent="0.25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 x14ac:dyDescent="0.25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 x14ac:dyDescent="0.25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 x14ac:dyDescent="0.25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 x14ac:dyDescent="0.25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 x14ac:dyDescent="0.25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 x14ac:dyDescent="0.25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 x14ac:dyDescent="0.25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 x14ac:dyDescent="0.25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 x14ac:dyDescent="0.25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 x14ac:dyDescent="0.25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 x14ac:dyDescent="0.25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 x14ac:dyDescent="0.25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 x14ac:dyDescent="0.25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 x14ac:dyDescent="0.25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 x14ac:dyDescent="0.25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 x14ac:dyDescent="0.25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 x14ac:dyDescent="0.25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 x14ac:dyDescent="0.25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 x14ac:dyDescent="0.25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 x14ac:dyDescent="0.25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 x14ac:dyDescent="0.25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 x14ac:dyDescent="0.25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 x14ac:dyDescent="0.25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 x14ac:dyDescent="0.25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 x14ac:dyDescent="0.25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 x14ac:dyDescent="0.25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 x14ac:dyDescent="0.25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 x14ac:dyDescent="0.25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 x14ac:dyDescent="0.25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 x14ac:dyDescent="0.25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 x14ac:dyDescent="0.25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 x14ac:dyDescent="0.25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 x14ac:dyDescent="0.25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 x14ac:dyDescent="0.25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 x14ac:dyDescent="0.25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 x14ac:dyDescent="0.25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 x14ac:dyDescent="0.25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 x14ac:dyDescent="0.25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 x14ac:dyDescent="0.25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 x14ac:dyDescent="0.25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 x14ac:dyDescent="0.25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 x14ac:dyDescent="0.25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 x14ac:dyDescent="0.25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 x14ac:dyDescent="0.25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 x14ac:dyDescent="0.25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 x14ac:dyDescent="0.25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 x14ac:dyDescent="0.25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 x14ac:dyDescent="0.25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 x14ac:dyDescent="0.25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 x14ac:dyDescent="0.25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 x14ac:dyDescent="0.25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 x14ac:dyDescent="0.25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 x14ac:dyDescent="0.25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 x14ac:dyDescent="0.25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 x14ac:dyDescent="0.25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 x14ac:dyDescent="0.25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 x14ac:dyDescent="0.25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 x14ac:dyDescent="0.25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 x14ac:dyDescent="0.25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 x14ac:dyDescent="0.25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 x14ac:dyDescent="0.25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 x14ac:dyDescent="0.25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 x14ac:dyDescent="0.25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 x14ac:dyDescent="0.25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 x14ac:dyDescent="0.25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 x14ac:dyDescent="0.25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 x14ac:dyDescent="0.25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 x14ac:dyDescent="0.25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 x14ac:dyDescent="0.25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 x14ac:dyDescent="0.25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 x14ac:dyDescent="0.25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 x14ac:dyDescent="0.25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 x14ac:dyDescent="0.25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 x14ac:dyDescent="0.25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 x14ac:dyDescent="0.25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 x14ac:dyDescent="0.25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 x14ac:dyDescent="0.25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 x14ac:dyDescent="0.25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 x14ac:dyDescent="0.25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 x14ac:dyDescent="0.25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 x14ac:dyDescent="0.25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 x14ac:dyDescent="0.25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 x14ac:dyDescent="0.25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 x14ac:dyDescent="0.25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 x14ac:dyDescent="0.25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 x14ac:dyDescent="0.25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 x14ac:dyDescent="0.25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 x14ac:dyDescent="0.25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 x14ac:dyDescent="0.25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 x14ac:dyDescent="0.25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 x14ac:dyDescent="0.25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 x14ac:dyDescent="0.25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 x14ac:dyDescent="0.25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 x14ac:dyDescent="0.25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 x14ac:dyDescent="0.25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 x14ac:dyDescent="0.25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 x14ac:dyDescent="0.25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 x14ac:dyDescent="0.25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 x14ac:dyDescent="0.25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 x14ac:dyDescent="0.25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 x14ac:dyDescent="0.25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 x14ac:dyDescent="0.25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 x14ac:dyDescent="0.25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 x14ac:dyDescent="0.25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 x14ac:dyDescent="0.25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 x14ac:dyDescent="0.25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 x14ac:dyDescent="0.25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 x14ac:dyDescent="0.25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 x14ac:dyDescent="0.25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 x14ac:dyDescent="0.25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 x14ac:dyDescent="0.25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 x14ac:dyDescent="0.25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 x14ac:dyDescent="0.25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 x14ac:dyDescent="0.25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 x14ac:dyDescent="0.25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 x14ac:dyDescent="0.25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 x14ac:dyDescent="0.25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 x14ac:dyDescent="0.25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 x14ac:dyDescent="0.25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 x14ac:dyDescent="0.25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 x14ac:dyDescent="0.25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 x14ac:dyDescent="0.25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 x14ac:dyDescent="0.25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 x14ac:dyDescent="0.25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 x14ac:dyDescent="0.25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 x14ac:dyDescent="0.25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 x14ac:dyDescent="0.25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 x14ac:dyDescent="0.25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 x14ac:dyDescent="0.25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 x14ac:dyDescent="0.25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 x14ac:dyDescent="0.25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 x14ac:dyDescent="0.25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 x14ac:dyDescent="0.25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 x14ac:dyDescent="0.25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 x14ac:dyDescent="0.25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 x14ac:dyDescent="0.25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 x14ac:dyDescent="0.25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 x14ac:dyDescent="0.25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 x14ac:dyDescent="0.25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 x14ac:dyDescent="0.25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 x14ac:dyDescent="0.25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 x14ac:dyDescent="0.25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 x14ac:dyDescent="0.25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 x14ac:dyDescent="0.25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 x14ac:dyDescent="0.25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 x14ac:dyDescent="0.25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 x14ac:dyDescent="0.25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 x14ac:dyDescent="0.25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 x14ac:dyDescent="0.25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 x14ac:dyDescent="0.25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 x14ac:dyDescent="0.25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 x14ac:dyDescent="0.25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 x14ac:dyDescent="0.25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 x14ac:dyDescent="0.25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 x14ac:dyDescent="0.25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 x14ac:dyDescent="0.25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 x14ac:dyDescent="0.25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 x14ac:dyDescent="0.25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 x14ac:dyDescent="0.25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 x14ac:dyDescent="0.25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 x14ac:dyDescent="0.25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 x14ac:dyDescent="0.25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 x14ac:dyDescent="0.25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 x14ac:dyDescent="0.25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 x14ac:dyDescent="0.25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 x14ac:dyDescent="0.25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 x14ac:dyDescent="0.25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 x14ac:dyDescent="0.25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 x14ac:dyDescent="0.25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 x14ac:dyDescent="0.25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 x14ac:dyDescent="0.25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 x14ac:dyDescent="0.25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 x14ac:dyDescent="0.25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 x14ac:dyDescent="0.25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 x14ac:dyDescent="0.25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 x14ac:dyDescent="0.25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 x14ac:dyDescent="0.25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 x14ac:dyDescent="0.25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 x14ac:dyDescent="0.25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 x14ac:dyDescent="0.25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 x14ac:dyDescent="0.25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 x14ac:dyDescent="0.25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 x14ac:dyDescent="0.25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 x14ac:dyDescent="0.25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 x14ac:dyDescent="0.25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 x14ac:dyDescent="0.25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 x14ac:dyDescent="0.25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 x14ac:dyDescent="0.25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 x14ac:dyDescent="0.25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 x14ac:dyDescent="0.25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 x14ac:dyDescent="0.25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 x14ac:dyDescent="0.25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 x14ac:dyDescent="0.25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 x14ac:dyDescent="0.25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 x14ac:dyDescent="0.25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 x14ac:dyDescent="0.25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 x14ac:dyDescent="0.25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 x14ac:dyDescent="0.25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 x14ac:dyDescent="0.25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 x14ac:dyDescent="0.25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 x14ac:dyDescent="0.25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 x14ac:dyDescent="0.25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 x14ac:dyDescent="0.25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 x14ac:dyDescent="0.25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 x14ac:dyDescent="0.25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 x14ac:dyDescent="0.25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 x14ac:dyDescent="0.25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 x14ac:dyDescent="0.25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 x14ac:dyDescent="0.25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 x14ac:dyDescent="0.25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 x14ac:dyDescent="0.25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 x14ac:dyDescent="0.25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 x14ac:dyDescent="0.25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 x14ac:dyDescent="0.25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 x14ac:dyDescent="0.25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 x14ac:dyDescent="0.25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 x14ac:dyDescent="0.25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 x14ac:dyDescent="0.25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 x14ac:dyDescent="0.25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 x14ac:dyDescent="0.25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 x14ac:dyDescent="0.25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 x14ac:dyDescent="0.25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 x14ac:dyDescent="0.25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 x14ac:dyDescent="0.25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 x14ac:dyDescent="0.25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 x14ac:dyDescent="0.25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 x14ac:dyDescent="0.25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 x14ac:dyDescent="0.25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 x14ac:dyDescent="0.25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 x14ac:dyDescent="0.25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 x14ac:dyDescent="0.25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 x14ac:dyDescent="0.25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 x14ac:dyDescent="0.25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 x14ac:dyDescent="0.25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 x14ac:dyDescent="0.25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 x14ac:dyDescent="0.25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 x14ac:dyDescent="0.25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 x14ac:dyDescent="0.25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 x14ac:dyDescent="0.25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 x14ac:dyDescent="0.25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 x14ac:dyDescent="0.25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 x14ac:dyDescent="0.25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 x14ac:dyDescent="0.25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 x14ac:dyDescent="0.25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 x14ac:dyDescent="0.25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 x14ac:dyDescent="0.25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 x14ac:dyDescent="0.25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 x14ac:dyDescent="0.25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 x14ac:dyDescent="0.25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 x14ac:dyDescent="0.25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 x14ac:dyDescent="0.25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 x14ac:dyDescent="0.25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 x14ac:dyDescent="0.25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 x14ac:dyDescent="0.25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 x14ac:dyDescent="0.25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 x14ac:dyDescent="0.25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 x14ac:dyDescent="0.25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 x14ac:dyDescent="0.25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 x14ac:dyDescent="0.25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 x14ac:dyDescent="0.25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 x14ac:dyDescent="0.25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 x14ac:dyDescent="0.25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 x14ac:dyDescent="0.25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 x14ac:dyDescent="0.25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 x14ac:dyDescent="0.25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 x14ac:dyDescent="0.25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 x14ac:dyDescent="0.25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 x14ac:dyDescent="0.25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 x14ac:dyDescent="0.25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 x14ac:dyDescent="0.25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 x14ac:dyDescent="0.25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 x14ac:dyDescent="0.25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 x14ac:dyDescent="0.25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 x14ac:dyDescent="0.25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 x14ac:dyDescent="0.25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 x14ac:dyDescent="0.25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 x14ac:dyDescent="0.25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 x14ac:dyDescent="0.25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 x14ac:dyDescent="0.25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 x14ac:dyDescent="0.25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 x14ac:dyDescent="0.25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 x14ac:dyDescent="0.25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 x14ac:dyDescent="0.25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 x14ac:dyDescent="0.25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 x14ac:dyDescent="0.25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 x14ac:dyDescent="0.25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 x14ac:dyDescent="0.25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 x14ac:dyDescent="0.25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 x14ac:dyDescent="0.25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 x14ac:dyDescent="0.25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 x14ac:dyDescent="0.25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 x14ac:dyDescent="0.25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 x14ac:dyDescent="0.25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 x14ac:dyDescent="0.25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 x14ac:dyDescent="0.25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 x14ac:dyDescent="0.25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 x14ac:dyDescent="0.25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 x14ac:dyDescent="0.25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 x14ac:dyDescent="0.25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 x14ac:dyDescent="0.25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 x14ac:dyDescent="0.25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 x14ac:dyDescent="0.25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 x14ac:dyDescent="0.25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 x14ac:dyDescent="0.25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 x14ac:dyDescent="0.25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 x14ac:dyDescent="0.25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 x14ac:dyDescent="0.25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 x14ac:dyDescent="0.25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 x14ac:dyDescent="0.25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 x14ac:dyDescent="0.25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 x14ac:dyDescent="0.25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 x14ac:dyDescent="0.25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 x14ac:dyDescent="0.25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 x14ac:dyDescent="0.25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 x14ac:dyDescent="0.25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 x14ac:dyDescent="0.25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 x14ac:dyDescent="0.25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 x14ac:dyDescent="0.25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 x14ac:dyDescent="0.25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 x14ac:dyDescent="0.25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 x14ac:dyDescent="0.25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 x14ac:dyDescent="0.25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 x14ac:dyDescent="0.25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 x14ac:dyDescent="0.25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 x14ac:dyDescent="0.25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 x14ac:dyDescent="0.25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 x14ac:dyDescent="0.25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 x14ac:dyDescent="0.25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 x14ac:dyDescent="0.25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 x14ac:dyDescent="0.25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 x14ac:dyDescent="0.25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 x14ac:dyDescent="0.25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 x14ac:dyDescent="0.25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 x14ac:dyDescent="0.25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 x14ac:dyDescent="0.25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 x14ac:dyDescent="0.25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 x14ac:dyDescent="0.25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 x14ac:dyDescent="0.25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 x14ac:dyDescent="0.25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 x14ac:dyDescent="0.25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 x14ac:dyDescent="0.25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 x14ac:dyDescent="0.25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 x14ac:dyDescent="0.25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 x14ac:dyDescent="0.25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 x14ac:dyDescent="0.25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 x14ac:dyDescent="0.25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 x14ac:dyDescent="0.25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 x14ac:dyDescent="0.25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 x14ac:dyDescent="0.25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 x14ac:dyDescent="0.25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 x14ac:dyDescent="0.25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 x14ac:dyDescent="0.25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 x14ac:dyDescent="0.25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 x14ac:dyDescent="0.25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 x14ac:dyDescent="0.25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 x14ac:dyDescent="0.25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 x14ac:dyDescent="0.25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 x14ac:dyDescent="0.25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 x14ac:dyDescent="0.25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 x14ac:dyDescent="0.25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 x14ac:dyDescent="0.25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 x14ac:dyDescent="0.25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 x14ac:dyDescent="0.25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 x14ac:dyDescent="0.25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 x14ac:dyDescent="0.25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 x14ac:dyDescent="0.25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 x14ac:dyDescent="0.25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 x14ac:dyDescent="0.25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 x14ac:dyDescent="0.25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 x14ac:dyDescent="0.25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 x14ac:dyDescent="0.25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 x14ac:dyDescent="0.25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 x14ac:dyDescent="0.25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 x14ac:dyDescent="0.25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 x14ac:dyDescent="0.25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 x14ac:dyDescent="0.25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 x14ac:dyDescent="0.25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 x14ac:dyDescent="0.25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 x14ac:dyDescent="0.25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 x14ac:dyDescent="0.25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 x14ac:dyDescent="0.25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 x14ac:dyDescent="0.25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 x14ac:dyDescent="0.25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 x14ac:dyDescent="0.25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 x14ac:dyDescent="0.25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 x14ac:dyDescent="0.25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 x14ac:dyDescent="0.25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 x14ac:dyDescent="0.25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 x14ac:dyDescent="0.25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 x14ac:dyDescent="0.25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 x14ac:dyDescent="0.25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 x14ac:dyDescent="0.25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 x14ac:dyDescent="0.25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 x14ac:dyDescent="0.25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 x14ac:dyDescent="0.25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 x14ac:dyDescent="0.25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 x14ac:dyDescent="0.25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 x14ac:dyDescent="0.25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 x14ac:dyDescent="0.25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 x14ac:dyDescent="0.25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 x14ac:dyDescent="0.25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 x14ac:dyDescent="0.25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 x14ac:dyDescent="0.25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 x14ac:dyDescent="0.25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 x14ac:dyDescent="0.25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 x14ac:dyDescent="0.25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 x14ac:dyDescent="0.25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 x14ac:dyDescent="0.25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 x14ac:dyDescent="0.25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 x14ac:dyDescent="0.25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 x14ac:dyDescent="0.25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 x14ac:dyDescent="0.25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 x14ac:dyDescent="0.25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 x14ac:dyDescent="0.25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 x14ac:dyDescent="0.25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 x14ac:dyDescent="0.25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 x14ac:dyDescent="0.25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 x14ac:dyDescent="0.25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 x14ac:dyDescent="0.25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 x14ac:dyDescent="0.25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 x14ac:dyDescent="0.25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 x14ac:dyDescent="0.25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 x14ac:dyDescent="0.25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 x14ac:dyDescent="0.25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 x14ac:dyDescent="0.25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 x14ac:dyDescent="0.25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 x14ac:dyDescent="0.25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 x14ac:dyDescent="0.25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 x14ac:dyDescent="0.25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 x14ac:dyDescent="0.25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 x14ac:dyDescent="0.25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 x14ac:dyDescent="0.25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 x14ac:dyDescent="0.25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 x14ac:dyDescent="0.25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 x14ac:dyDescent="0.25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 x14ac:dyDescent="0.25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 x14ac:dyDescent="0.25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 x14ac:dyDescent="0.25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 x14ac:dyDescent="0.25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 x14ac:dyDescent="0.25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 x14ac:dyDescent="0.25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 x14ac:dyDescent="0.25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 x14ac:dyDescent="0.25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 x14ac:dyDescent="0.25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 x14ac:dyDescent="0.25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 x14ac:dyDescent="0.25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 x14ac:dyDescent="0.25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 x14ac:dyDescent="0.25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 x14ac:dyDescent="0.25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 x14ac:dyDescent="0.25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 x14ac:dyDescent="0.25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 x14ac:dyDescent="0.25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 x14ac:dyDescent="0.25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 x14ac:dyDescent="0.25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 x14ac:dyDescent="0.25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 x14ac:dyDescent="0.25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 x14ac:dyDescent="0.25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 x14ac:dyDescent="0.25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 x14ac:dyDescent="0.25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 x14ac:dyDescent="0.25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 x14ac:dyDescent="0.25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 x14ac:dyDescent="0.25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 x14ac:dyDescent="0.25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 x14ac:dyDescent="0.25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 x14ac:dyDescent="0.25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 x14ac:dyDescent="0.25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 x14ac:dyDescent="0.25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 x14ac:dyDescent="0.25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 x14ac:dyDescent="0.25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 x14ac:dyDescent="0.25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 x14ac:dyDescent="0.25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 x14ac:dyDescent="0.25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 x14ac:dyDescent="0.25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 x14ac:dyDescent="0.25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 x14ac:dyDescent="0.25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 x14ac:dyDescent="0.25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 x14ac:dyDescent="0.25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 x14ac:dyDescent="0.25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 x14ac:dyDescent="0.25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 x14ac:dyDescent="0.25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 x14ac:dyDescent="0.25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 x14ac:dyDescent="0.25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 x14ac:dyDescent="0.25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 x14ac:dyDescent="0.25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 x14ac:dyDescent="0.25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 x14ac:dyDescent="0.25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 x14ac:dyDescent="0.25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 x14ac:dyDescent="0.25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 x14ac:dyDescent="0.25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 x14ac:dyDescent="0.25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 x14ac:dyDescent="0.25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 x14ac:dyDescent="0.25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 x14ac:dyDescent="0.25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 x14ac:dyDescent="0.25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 x14ac:dyDescent="0.25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 x14ac:dyDescent="0.25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 x14ac:dyDescent="0.25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 x14ac:dyDescent="0.25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 x14ac:dyDescent="0.25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 x14ac:dyDescent="0.25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 x14ac:dyDescent="0.25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 x14ac:dyDescent="0.25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 x14ac:dyDescent="0.25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 x14ac:dyDescent="0.25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 x14ac:dyDescent="0.25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 x14ac:dyDescent="0.25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 x14ac:dyDescent="0.25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 x14ac:dyDescent="0.25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 x14ac:dyDescent="0.25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 x14ac:dyDescent="0.25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 x14ac:dyDescent="0.25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 x14ac:dyDescent="0.25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 x14ac:dyDescent="0.25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 x14ac:dyDescent="0.25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 x14ac:dyDescent="0.25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 x14ac:dyDescent="0.25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 x14ac:dyDescent="0.25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 x14ac:dyDescent="0.25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 x14ac:dyDescent="0.25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 x14ac:dyDescent="0.25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 x14ac:dyDescent="0.25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 x14ac:dyDescent="0.25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 x14ac:dyDescent="0.25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 x14ac:dyDescent="0.25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 x14ac:dyDescent="0.25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 x14ac:dyDescent="0.25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 x14ac:dyDescent="0.25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 x14ac:dyDescent="0.25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 x14ac:dyDescent="0.25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 x14ac:dyDescent="0.25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 x14ac:dyDescent="0.25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 x14ac:dyDescent="0.25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 x14ac:dyDescent="0.25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 x14ac:dyDescent="0.25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 x14ac:dyDescent="0.25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 x14ac:dyDescent="0.25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 x14ac:dyDescent="0.25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 x14ac:dyDescent="0.25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 x14ac:dyDescent="0.25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 x14ac:dyDescent="0.25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 x14ac:dyDescent="0.25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 x14ac:dyDescent="0.25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 x14ac:dyDescent="0.25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 x14ac:dyDescent="0.25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 x14ac:dyDescent="0.25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 x14ac:dyDescent="0.25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 x14ac:dyDescent="0.25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 x14ac:dyDescent="0.25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 x14ac:dyDescent="0.25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 x14ac:dyDescent="0.25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 x14ac:dyDescent="0.25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 x14ac:dyDescent="0.25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 x14ac:dyDescent="0.25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 x14ac:dyDescent="0.25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 x14ac:dyDescent="0.25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 x14ac:dyDescent="0.25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 x14ac:dyDescent="0.25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 x14ac:dyDescent="0.25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 x14ac:dyDescent="0.25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 x14ac:dyDescent="0.25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 x14ac:dyDescent="0.25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 x14ac:dyDescent="0.25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 x14ac:dyDescent="0.25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 x14ac:dyDescent="0.25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 x14ac:dyDescent="0.25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 x14ac:dyDescent="0.25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 x14ac:dyDescent="0.25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 x14ac:dyDescent="0.25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 x14ac:dyDescent="0.25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 x14ac:dyDescent="0.25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 x14ac:dyDescent="0.25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 x14ac:dyDescent="0.25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 x14ac:dyDescent="0.25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 x14ac:dyDescent="0.25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 x14ac:dyDescent="0.25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 x14ac:dyDescent="0.25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 x14ac:dyDescent="0.25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 x14ac:dyDescent="0.25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 x14ac:dyDescent="0.25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 x14ac:dyDescent="0.25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 x14ac:dyDescent="0.25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 x14ac:dyDescent="0.25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 x14ac:dyDescent="0.25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 x14ac:dyDescent="0.25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 x14ac:dyDescent="0.25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 x14ac:dyDescent="0.25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 x14ac:dyDescent="0.25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 x14ac:dyDescent="0.25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 x14ac:dyDescent="0.25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 x14ac:dyDescent="0.25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 x14ac:dyDescent="0.25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 x14ac:dyDescent="0.25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 x14ac:dyDescent="0.25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 x14ac:dyDescent="0.25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 x14ac:dyDescent="0.25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 x14ac:dyDescent="0.25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 x14ac:dyDescent="0.25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 x14ac:dyDescent="0.25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 x14ac:dyDescent="0.25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 x14ac:dyDescent="0.25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 x14ac:dyDescent="0.25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 x14ac:dyDescent="0.25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 x14ac:dyDescent="0.25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 x14ac:dyDescent="0.25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 x14ac:dyDescent="0.25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 x14ac:dyDescent="0.25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 x14ac:dyDescent="0.25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 x14ac:dyDescent="0.25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 x14ac:dyDescent="0.25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 x14ac:dyDescent="0.25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 x14ac:dyDescent="0.25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 x14ac:dyDescent="0.25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 x14ac:dyDescent="0.25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 x14ac:dyDescent="0.25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 x14ac:dyDescent="0.25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 x14ac:dyDescent="0.25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 x14ac:dyDescent="0.25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 x14ac:dyDescent="0.25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 x14ac:dyDescent="0.25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 x14ac:dyDescent="0.25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 x14ac:dyDescent="0.25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 x14ac:dyDescent="0.25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 x14ac:dyDescent="0.25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 x14ac:dyDescent="0.25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 x14ac:dyDescent="0.25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 x14ac:dyDescent="0.25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 x14ac:dyDescent="0.25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 x14ac:dyDescent="0.25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 x14ac:dyDescent="0.25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 x14ac:dyDescent="0.25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 x14ac:dyDescent="0.25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 x14ac:dyDescent="0.25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 x14ac:dyDescent="0.25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 x14ac:dyDescent="0.25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 x14ac:dyDescent="0.25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 x14ac:dyDescent="0.25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 x14ac:dyDescent="0.25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 x14ac:dyDescent="0.25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 x14ac:dyDescent="0.25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 x14ac:dyDescent="0.25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 x14ac:dyDescent="0.25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 x14ac:dyDescent="0.25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 x14ac:dyDescent="0.25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 x14ac:dyDescent="0.25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 x14ac:dyDescent="0.25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 x14ac:dyDescent="0.25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 x14ac:dyDescent="0.25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 x14ac:dyDescent="0.25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 x14ac:dyDescent="0.25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 x14ac:dyDescent="0.25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 x14ac:dyDescent="0.25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 x14ac:dyDescent="0.25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 x14ac:dyDescent="0.25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 x14ac:dyDescent="0.25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 x14ac:dyDescent="0.25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 x14ac:dyDescent="0.25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 x14ac:dyDescent="0.25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 x14ac:dyDescent="0.25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 x14ac:dyDescent="0.25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 x14ac:dyDescent="0.25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 x14ac:dyDescent="0.25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 x14ac:dyDescent="0.25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 x14ac:dyDescent="0.25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 x14ac:dyDescent="0.25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 x14ac:dyDescent="0.25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 x14ac:dyDescent="0.25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 x14ac:dyDescent="0.25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 x14ac:dyDescent="0.25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 x14ac:dyDescent="0.25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 x14ac:dyDescent="0.25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 x14ac:dyDescent="0.25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 x14ac:dyDescent="0.25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 x14ac:dyDescent="0.25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 x14ac:dyDescent="0.25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 x14ac:dyDescent="0.25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 x14ac:dyDescent="0.25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 x14ac:dyDescent="0.25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 x14ac:dyDescent="0.25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 x14ac:dyDescent="0.25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 x14ac:dyDescent="0.25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 x14ac:dyDescent="0.25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 x14ac:dyDescent="0.25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 x14ac:dyDescent="0.25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 x14ac:dyDescent="0.25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 x14ac:dyDescent="0.25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 x14ac:dyDescent="0.25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 x14ac:dyDescent="0.25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 x14ac:dyDescent="0.25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 x14ac:dyDescent="0.25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 x14ac:dyDescent="0.25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 x14ac:dyDescent="0.25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 x14ac:dyDescent="0.25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 x14ac:dyDescent="0.25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 x14ac:dyDescent="0.25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 x14ac:dyDescent="0.25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 x14ac:dyDescent="0.25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 x14ac:dyDescent="0.25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 x14ac:dyDescent="0.25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 x14ac:dyDescent="0.25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 x14ac:dyDescent="0.25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 x14ac:dyDescent="0.25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 x14ac:dyDescent="0.25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 x14ac:dyDescent="0.25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 x14ac:dyDescent="0.25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 x14ac:dyDescent="0.25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 x14ac:dyDescent="0.25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 x14ac:dyDescent="0.25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 x14ac:dyDescent="0.25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 x14ac:dyDescent="0.25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 x14ac:dyDescent="0.25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 x14ac:dyDescent="0.25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 x14ac:dyDescent="0.25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 x14ac:dyDescent="0.25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 x14ac:dyDescent="0.25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 x14ac:dyDescent="0.25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 x14ac:dyDescent="0.25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 x14ac:dyDescent="0.25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 x14ac:dyDescent="0.25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 x14ac:dyDescent="0.25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 x14ac:dyDescent="0.25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 x14ac:dyDescent="0.25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 x14ac:dyDescent="0.25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 x14ac:dyDescent="0.25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 x14ac:dyDescent="0.25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 x14ac:dyDescent="0.25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 x14ac:dyDescent="0.25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 x14ac:dyDescent="0.25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 x14ac:dyDescent="0.25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 x14ac:dyDescent="0.25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 x14ac:dyDescent="0.25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 x14ac:dyDescent="0.25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 x14ac:dyDescent="0.25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 x14ac:dyDescent="0.25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 x14ac:dyDescent="0.25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 x14ac:dyDescent="0.25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 x14ac:dyDescent="0.25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 x14ac:dyDescent="0.25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 x14ac:dyDescent="0.25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 x14ac:dyDescent="0.25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 x14ac:dyDescent="0.25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 x14ac:dyDescent="0.25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 x14ac:dyDescent="0.25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 x14ac:dyDescent="0.25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 x14ac:dyDescent="0.25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 x14ac:dyDescent="0.25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 x14ac:dyDescent="0.25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 x14ac:dyDescent="0.25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 x14ac:dyDescent="0.25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 x14ac:dyDescent="0.25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 x14ac:dyDescent="0.25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 x14ac:dyDescent="0.25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 x14ac:dyDescent="0.25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 x14ac:dyDescent="0.25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 x14ac:dyDescent="0.25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 x14ac:dyDescent="0.25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 x14ac:dyDescent="0.25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 x14ac:dyDescent="0.25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 x14ac:dyDescent="0.25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 x14ac:dyDescent="0.25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 x14ac:dyDescent="0.25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 x14ac:dyDescent="0.25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 x14ac:dyDescent="0.25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 x14ac:dyDescent="0.25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 x14ac:dyDescent="0.25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 x14ac:dyDescent="0.25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 x14ac:dyDescent="0.25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 x14ac:dyDescent="0.25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 x14ac:dyDescent="0.25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 x14ac:dyDescent="0.25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 x14ac:dyDescent="0.25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 x14ac:dyDescent="0.25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 x14ac:dyDescent="0.25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 x14ac:dyDescent="0.25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 x14ac:dyDescent="0.25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 x14ac:dyDescent="0.25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 x14ac:dyDescent="0.25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 x14ac:dyDescent="0.25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 x14ac:dyDescent="0.25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 x14ac:dyDescent="0.25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 x14ac:dyDescent="0.25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 x14ac:dyDescent="0.25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 x14ac:dyDescent="0.25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 x14ac:dyDescent="0.25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 x14ac:dyDescent="0.25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 x14ac:dyDescent="0.25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 x14ac:dyDescent="0.25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 xr:uid="{00000000-0009-0000-0000-000002000000}"/>
  <mergeCells count="2">
    <mergeCell ref="A1:AE1"/>
    <mergeCell ref="AH1:AL1"/>
  </mergeCells>
  <conditionalFormatting sqref="D3:D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3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D3:AD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3:AH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AJ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AL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5703125" defaultRowHeight="15" customHeight="1" x14ac:dyDescent="0.25"/>
  <cols>
    <col min="1" max="1" width="25.7109375" customWidth="1"/>
    <col min="2" max="27" width="7.7109375" customWidth="1"/>
    <col min="28" max="28" width="13.85546875" bestFit="1" customWidth="1"/>
    <col min="29" max="29" width="7.7109375" customWidth="1"/>
    <col min="31" max="31" width="14.7109375" bestFit="1" customWidth="1"/>
    <col min="32" max="32" width="13.42578125" bestFit="1" customWidth="1"/>
  </cols>
  <sheetData>
    <row r="1" spans="1:61" ht="26.25" x14ac:dyDescent="0.25">
      <c r="A1" s="22" t="s">
        <v>69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H1" s="2"/>
      <c r="AI1" s="22" t="s">
        <v>70</v>
      </c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</row>
    <row r="2" spans="1:61" ht="3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68</v>
      </c>
      <c r="AC2" s="2" t="s">
        <v>52</v>
      </c>
      <c r="AD2" s="2" t="s">
        <v>64</v>
      </c>
      <c r="AE2" s="2" t="s">
        <v>65</v>
      </c>
      <c r="AF2" s="2" t="s">
        <v>66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68</v>
      </c>
      <c r="BF2" s="2" t="s">
        <v>52</v>
      </c>
      <c r="BG2" s="2" t="s">
        <v>64</v>
      </c>
      <c r="BH2" s="2" t="s">
        <v>65</v>
      </c>
      <c r="BI2" s="2" t="s">
        <v>66</v>
      </c>
    </row>
    <row r="3" spans="1:61" x14ac:dyDescent="0.25">
      <c r="A3" s="1" t="s">
        <v>94</v>
      </c>
      <c r="B3" s="3" t="s">
        <v>95</v>
      </c>
      <c r="C3" s="4" t="s">
        <v>96</v>
      </c>
      <c r="D3" s="4">
        <v>8</v>
      </c>
      <c r="E3" s="4">
        <v>269</v>
      </c>
      <c r="F3" s="4">
        <v>8</v>
      </c>
      <c r="G3" s="4">
        <v>269</v>
      </c>
      <c r="H3" s="4">
        <v>9.1</v>
      </c>
      <c r="I3" s="4">
        <v>0.45600000000000002</v>
      </c>
      <c r="J3" s="4">
        <v>0.371</v>
      </c>
      <c r="K3" s="4">
        <v>0.34300000000000003</v>
      </c>
      <c r="L3" s="4">
        <v>0.4</v>
      </c>
      <c r="M3" s="4">
        <v>0.9</v>
      </c>
      <c r="N3" s="4">
        <v>4.4000000000000004</v>
      </c>
      <c r="O3" s="4">
        <v>12.5</v>
      </c>
      <c r="P3" s="4">
        <v>1.3</v>
      </c>
      <c r="Q3" s="4">
        <v>0</v>
      </c>
      <c r="R3" s="4">
        <v>12.7</v>
      </c>
      <c r="S3" s="4">
        <v>31.1</v>
      </c>
      <c r="T3" s="4">
        <v>89</v>
      </c>
      <c r="U3" s="4">
        <v>114</v>
      </c>
      <c r="V3" s="4">
        <v>0</v>
      </c>
      <c r="W3" s="4">
        <v>-0.6</v>
      </c>
      <c r="X3" s="4">
        <v>0.1</v>
      </c>
      <c r="Y3" s="4">
        <v>-0.5</v>
      </c>
      <c r="Z3" s="4">
        <v>-7.4999999999999997E-2</v>
      </c>
      <c r="AA3" s="13">
        <f>(I3/TOTAL_BASIC!$D$301)*100</f>
        <v>81.691860917941582</v>
      </c>
      <c r="AB3" s="5">
        <f t="shared" ref="AB3" si="0">(T3/100)</f>
        <v>0.89</v>
      </c>
      <c r="AC3" s="3">
        <f t="shared" ref="AC3:AC100" si="1">T3-U3</f>
        <v>-25</v>
      </c>
      <c r="AD3" s="9">
        <f>2*I3</f>
        <v>0.91200000000000003</v>
      </c>
      <c r="AE3" s="16">
        <f>IF(S3=0,0,O3/S3)</f>
        <v>0.40192926045016075</v>
      </c>
      <c r="AF3" s="16">
        <f>IF(R3=0,0,O3/R3)</f>
        <v>0.98425196850393704</v>
      </c>
      <c r="AG3" s="9"/>
      <c r="AH3" s="9"/>
      <c r="AI3" s="12">
        <f>(PERCENTRANK(F$3:F$298,F3))*100</f>
        <v>69.5</v>
      </c>
      <c r="AJ3" s="12">
        <f>(PERCENTRANK(G$3:G$298,G3))*100</f>
        <v>99.3</v>
      </c>
      <c r="AK3" s="12">
        <f t="shared" ref="AK3:BI18" si="2">(PERCENTRANK(H$3:H$298,H3))*100</f>
        <v>21.099999999999998</v>
      </c>
      <c r="AL3" s="12">
        <f t="shared" si="2"/>
        <v>16.100000000000001</v>
      </c>
      <c r="AM3" s="12">
        <f t="shared" si="2"/>
        <v>9.9</v>
      </c>
      <c r="AN3" s="12">
        <f t="shared" si="2"/>
        <v>40.300000000000004</v>
      </c>
      <c r="AO3" s="12">
        <f t="shared" si="2"/>
        <v>68.899999999999991</v>
      </c>
      <c r="AP3" s="12">
        <f t="shared" si="2"/>
        <v>16.7</v>
      </c>
      <c r="AQ3" s="12">
        <f t="shared" si="2"/>
        <v>11.799999999999999</v>
      </c>
      <c r="AR3" s="12">
        <f t="shared" si="2"/>
        <v>47.8</v>
      </c>
      <c r="AS3" s="12">
        <f t="shared" si="2"/>
        <v>28.499999999999996</v>
      </c>
      <c r="AT3" s="12">
        <f t="shared" si="2"/>
        <v>0</v>
      </c>
      <c r="AU3" s="12">
        <f>100-(PERCENTRANK(R$3:R$298,R3))*100</f>
        <v>63.4</v>
      </c>
      <c r="AV3" s="12">
        <f t="shared" si="2"/>
        <v>96.2</v>
      </c>
      <c r="AW3" s="12">
        <f t="shared" si="2"/>
        <v>12.4</v>
      </c>
      <c r="AX3" s="12">
        <f>100-(PERCENTRANK(U$3:U$298,U3))*100</f>
        <v>19.299999999999997</v>
      </c>
      <c r="AY3" s="12"/>
      <c r="AZ3" s="12">
        <f t="shared" si="2"/>
        <v>0.6</v>
      </c>
      <c r="BA3" s="12">
        <f t="shared" si="2"/>
        <v>24.2</v>
      </c>
      <c r="BB3" s="12">
        <f t="shared" si="2"/>
        <v>0.6</v>
      </c>
      <c r="BC3" s="12">
        <f t="shared" si="2"/>
        <v>4.3</v>
      </c>
      <c r="BD3" s="12">
        <f t="shared" si="2"/>
        <v>16.100000000000001</v>
      </c>
      <c r="BE3" s="12">
        <f t="shared" si="2"/>
        <v>12.4</v>
      </c>
      <c r="BF3" s="12">
        <f t="shared" si="2"/>
        <v>9.3000000000000007</v>
      </c>
      <c r="BG3" s="12">
        <f t="shared" si="2"/>
        <v>16.100000000000001</v>
      </c>
      <c r="BH3" s="12">
        <f t="shared" si="2"/>
        <v>17.299999999999997</v>
      </c>
      <c r="BI3" s="12">
        <f t="shared" si="2"/>
        <v>51.5</v>
      </c>
    </row>
    <row r="4" spans="1:61" x14ac:dyDescent="0.25">
      <c r="A4" s="1" t="s">
        <v>99</v>
      </c>
      <c r="B4" s="3" t="s">
        <v>95</v>
      </c>
      <c r="C4" s="4" t="s">
        <v>87</v>
      </c>
      <c r="D4" s="4">
        <v>8</v>
      </c>
      <c r="E4" s="4">
        <v>269</v>
      </c>
      <c r="F4" s="4">
        <v>8</v>
      </c>
      <c r="G4" s="4">
        <v>269</v>
      </c>
      <c r="H4" s="4">
        <v>23.6</v>
      </c>
      <c r="I4" s="4">
        <v>0.59499999999999997</v>
      </c>
      <c r="J4" s="4">
        <v>0.53400000000000003</v>
      </c>
      <c r="K4" s="4">
        <v>0</v>
      </c>
      <c r="L4" s="4">
        <v>0.65900000000000003</v>
      </c>
      <c r="M4" s="4">
        <v>5.6</v>
      </c>
      <c r="N4" s="4">
        <v>13.8</v>
      </c>
      <c r="O4" s="4">
        <v>44.7</v>
      </c>
      <c r="P4" s="4">
        <v>2.8</v>
      </c>
      <c r="Q4" s="4">
        <v>0.4</v>
      </c>
      <c r="R4" s="4">
        <v>19.8</v>
      </c>
      <c r="S4" s="4">
        <v>23.3</v>
      </c>
      <c r="T4" s="4">
        <v>116</v>
      </c>
      <c r="U4" s="4">
        <v>107</v>
      </c>
      <c r="V4" s="4">
        <v>0</v>
      </c>
      <c r="W4" s="4">
        <v>0.8</v>
      </c>
      <c r="X4" s="4">
        <v>0.4</v>
      </c>
      <c r="Y4" s="4">
        <v>1.2</v>
      </c>
      <c r="Z4" s="4">
        <v>0.18099999999999999</v>
      </c>
      <c r="AA4" s="13">
        <f>(I4/TOTAL_BASIC!$D$301)*100</f>
        <v>106.59354659248956</v>
      </c>
      <c r="AB4" s="5">
        <f t="shared" ref="AB4:AB67" si="3">(T4/100)</f>
        <v>1.1599999999999999</v>
      </c>
      <c r="AC4" s="3">
        <f t="shared" si="1"/>
        <v>9</v>
      </c>
      <c r="AD4" s="9">
        <f t="shared" ref="AD4:AD67" si="4">2*I4</f>
        <v>1.19</v>
      </c>
      <c r="AE4" s="16">
        <f t="shared" ref="AE4:AE67" si="5">IF(S4=0,0,O4/S4)</f>
        <v>1.9184549356223177</v>
      </c>
      <c r="AF4" s="16">
        <f t="shared" ref="AF4:AF67" si="6">IF(R4=0,0,O4/R4)</f>
        <v>2.2575757575757578</v>
      </c>
      <c r="AG4" s="9"/>
      <c r="AH4" s="9"/>
      <c r="AI4" s="12">
        <f t="shared" ref="AI4:AI67" si="7">(PERCENTRANK(F$3:F$298,F4))*100</f>
        <v>69.5</v>
      </c>
      <c r="AJ4" s="12">
        <f t="shared" ref="AJ4:AN67" si="8">(PERCENTRANK(G$3:G$298,G4))*100</f>
        <v>99.3</v>
      </c>
      <c r="AK4" s="12">
        <f t="shared" si="2"/>
        <v>93.100000000000009</v>
      </c>
      <c r="AL4" s="12">
        <f t="shared" si="2"/>
        <v>67</v>
      </c>
      <c r="AM4" s="12">
        <f t="shared" si="2"/>
        <v>58.3</v>
      </c>
      <c r="AN4" s="12">
        <f t="shared" si="2"/>
        <v>0</v>
      </c>
      <c r="AO4" s="12">
        <f t="shared" si="2"/>
        <v>93.7</v>
      </c>
      <c r="AP4" s="12">
        <f t="shared" si="2"/>
        <v>67.7</v>
      </c>
      <c r="AQ4" s="12">
        <f t="shared" si="2"/>
        <v>79.5</v>
      </c>
      <c r="AR4" s="12">
        <f t="shared" si="2"/>
        <v>97.5</v>
      </c>
      <c r="AS4" s="12">
        <f t="shared" si="2"/>
        <v>83.8</v>
      </c>
      <c r="AT4" s="12">
        <f t="shared" si="2"/>
        <v>26</v>
      </c>
      <c r="AU4" s="12">
        <f t="shared" ref="AU4:AU67" si="9">100-(PERCENTRANK(R$3:R$298,R4))*100</f>
        <v>24.299999999999997</v>
      </c>
      <c r="AV4" s="12">
        <f t="shared" si="2"/>
        <v>74.5</v>
      </c>
      <c r="AW4" s="12">
        <f t="shared" si="2"/>
        <v>71.399999999999991</v>
      </c>
      <c r="AX4" s="12">
        <f t="shared" ref="AX4:AX67" si="10">100-(PERCENTRANK(U$3:U$298,U4))*100</f>
        <v>60.9</v>
      </c>
      <c r="AY4" s="9"/>
      <c r="AZ4" s="12">
        <f t="shared" si="2"/>
        <v>94.399999999999991</v>
      </c>
      <c r="BA4" s="12">
        <f t="shared" si="2"/>
        <v>87.5</v>
      </c>
      <c r="BB4" s="12">
        <f t="shared" ref="BB4:BE67" si="11">(PERCENTRANK(Y$3:Y$298,Y4))*100</f>
        <v>97.5</v>
      </c>
      <c r="BC4" s="12">
        <f t="shared" si="11"/>
        <v>85</v>
      </c>
      <c r="BD4" s="12">
        <f t="shared" si="11"/>
        <v>67</v>
      </c>
      <c r="BE4" s="12">
        <f t="shared" si="11"/>
        <v>71.399999999999991</v>
      </c>
      <c r="BF4" s="12">
        <f t="shared" ref="BF4:BI67" si="12">(PERCENTRANK(AC$3:AC$298,AC4))*100</f>
        <v>68.300000000000011</v>
      </c>
      <c r="BG4" s="12">
        <f t="shared" si="12"/>
        <v>67</v>
      </c>
      <c r="BH4" s="12">
        <f t="shared" si="12"/>
        <v>96.8</v>
      </c>
      <c r="BI4" s="12">
        <f t="shared" si="12"/>
        <v>92.5</v>
      </c>
    </row>
    <row r="5" spans="1:61" x14ac:dyDescent="0.25">
      <c r="A5" s="1" t="s">
        <v>100</v>
      </c>
      <c r="B5" s="3" t="s">
        <v>101</v>
      </c>
      <c r="C5" s="4" t="s">
        <v>8</v>
      </c>
      <c r="D5" s="4">
        <v>8</v>
      </c>
      <c r="E5" s="4">
        <v>266</v>
      </c>
      <c r="F5" s="4">
        <v>8</v>
      </c>
      <c r="G5" s="4">
        <v>266</v>
      </c>
      <c r="H5" s="4">
        <v>20.5</v>
      </c>
      <c r="I5" s="4">
        <v>0.62</v>
      </c>
      <c r="J5" s="4">
        <v>0.58199999999999996</v>
      </c>
      <c r="K5" s="4">
        <v>0.318</v>
      </c>
      <c r="L5" s="4">
        <v>0.309</v>
      </c>
      <c r="M5" s="4">
        <v>1.4</v>
      </c>
      <c r="N5" s="4">
        <v>5.6</v>
      </c>
      <c r="O5" s="4">
        <v>25.9</v>
      </c>
      <c r="P5" s="4">
        <v>0.6</v>
      </c>
      <c r="Q5" s="4">
        <v>1</v>
      </c>
      <c r="R5" s="4">
        <v>10.7</v>
      </c>
      <c r="S5" s="4">
        <v>23.9</v>
      </c>
      <c r="T5" s="4">
        <v>121</v>
      </c>
      <c r="U5" s="4">
        <v>113</v>
      </c>
      <c r="V5" s="4">
        <v>0</v>
      </c>
      <c r="W5" s="4">
        <v>1</v>
      </c>
      <c r="X5" s="4">
        <v>0.1</v>
      </c>
      <c r="Y5" s="4">
        <v>1.1000000000000001</v>
      </c>
      <c r="Z5" s="4">
        <v>0.16500000000000001</v>
      </c>
      <c r="AA5" s="13">
        <f>(I5/TOTAL_BASIC!$D$301)*100</f>
        <v>111.07226703755215</v>
      </c>
      <c r="AB5" s="5">
        <f t="shared" si="3"/>
        <v>1.21</v>
      </c>
      <c r="AC5" s="3">
        <f t="shared" si="1"/>
        <v>8</v>
      </c>
      <c r="AD5" s="9">
        <f t="shared" si="4"/>
        <v>1.24</v>
      </c>
      <c r="AE5" s="16">
        <f t="shared" si="5"/>
        <v>1.0836820083682008</v>
      </c>
      <c r="AF5" s="16">
        <f t="shared" si="6"/>
        <v>2.4205607476635516</v>
      </c>
      <c r="AG5" s="9"/>
      <c r="AH5" s="9"/>
      <c r="AI5" s="12">
        <f t="shared" si="7"/>
        <v>69.5</v>
      </c>
      <c r="AJ5" s="12">
        <f t="shared" si="8"/>
        <v>98.7</v>
      </c>
      <c r="AK5" s="12">
        <f t="shared" si="2"/>
        <v>83.2</v>
      </c>
      <c r="AL5" s="12">
        <f t="shared" si="2"/>
        <v>73.2</v>
      </c>
      <c r="AM5" s="12">
        <f t="shared" si="2"/>
        <v>75.7</v>
      </c>
      <c r="AN5" s="12">
        <f t="shared" si="2"/>
        <v>34.1</v>
      </c>
      <c r="AO5" s="12">
        <f t="shared" si="2"/>
        <v>49</v>
      </c>
      <c r="AP5" s="12">
        <f t="shared" si="2"/>
        <v>20.399999999999999</v>
      </c>
      <c r="AQ5" s="12">
        <f t="shared" si="2"/>
        <v>21.7</v>
      </c>
      <c r="AR5" s="12">
        <f t="shared" si="2"/>
        <v>85</v>
      </c>
      <c r="AS5" s="12">
        <f t="shared" si="2"/>
        <v>9.9</v>
      </c>
      <c r="AT5" s="12">
        <f t="shared" si="2"/>
        <v>42.199999999999996</v>
      </c>
      <c r="AU5" s="12">
        <f t="shared" si="9"/>
        <v>75.8</v>
      </c>
      <c r="AV5" s="12">
        <f t="shared" si="2"/>
        <v>80.100000000000009</v>
      </c>
      <c r="AW5" s="12">
        <f t="shared" si="2"/>
        <v>83.8</v>
      </c>
      <c r="AX5" s="12">
        <f t="shared" si="10"/>
        <v>23</v>
      </c>
      <c r="AY5" s="9"/>
      <c r="AZ5" s="12">
        <f t="shared" si="2"/>
        <v>97.5</v>
      </c>
      <c r="BA5" s="12">
        <f t="shared" si="2"/>
        <v>24.2</v>
      </c>
      <c r="BB5" s="12">
        <f t="shared" si="11"/>
        <v>95.6</v>
      </c>
      <c r="BC5" s="12">
        <f t="shared" si="11"/>
        <v>76.3</v>
      </c>
      <c r="BD5" s="12">
        <f t="shared" si="11"/>
        <v>73.2</v>
      </c>
      <c r="BE5" s="12">
        <f t="shared" si="11"/>
        <v>83.8</v>
      </c>
      <c r="BF5" s="12">
        <f t="shared" si="12"/>
        <v>67</v>
      </c>
      <c r="BG5" s="12">
        <f t="shared" si="12"/>
        <v>73.2</v>
      </c>
      <c r="BH5" s="12">
        <f t="shared" si="12"/>
        <v>76.3</v>
      </c>
      <c r="BI5" s="12">
        <f t="shared" si="12"/>
        <v>95</v>
      </c>
    </row>
    <row r="6" spans="1:61" x14ac:dyDescent="0.25">
      <c r="A6" s="1" t="s">
        <v>85</v>
      </c>
      <c r="B6" s="3" t="s">
        <v>86</v>
      </c>
      <c r="C6" s="4" t="s">
        <v>87</v>
      </c>
      <c r="D6" s="4">
        <v>8</v>
      </c>
      <c r="E6" s="4">
        <v>264</v>
      </c>
      <c r="F6" s="4">
        <v>8</v>
      </c>
      <c r="G6" s="4">
        <v>264</v>
      </c>
      <c r="H6" s="4">
        <v>20.3</v>
      </c>
      <c r="I6" s="4">
        <v>0.56100000000000005</v>
      </c>
      <c r="J6" s="4">
        <v>0.46600000000000003</v>
      </c>
      <c r="K6" s="4">
        <v>0.19500000000000001</v>
      </c>
      <c r="L6" s="4">
        <v>0.47499999999999998</v>
      </c>
      <c r="M6" s="4">
        <v>5.2</v>
      </c>
      <c r="N6" s="4">
        <v>16.2</v>
      </c>
      <c r="O6" s="4">
        <v>12.8</v>
      </c>
      <c r="P6" s="4">
        <v>1.9</v>
      </c>
      <c r="Q6" s="4">
        <v>3.7</v>
      </c>
      <c r="R6" s="4">
        <v>13.4</v>
      </c>
      <c r="S6" s="4">
        <v>28.7</v>
      </c>
      <c r="T6" s="4">
        <v>107</v>
      </c>
      <c r="U6" s="4">
        <v>102</v>
      </c>
      <c r="V6" s="4">
        <v>0</v>
      </c>
      <c r="W6" s="4">
        <v>0.4</v>
      </c>
      <c r="X6" s="4">
        <v>0.5</v>
      </c>
      <c r="Y6" s="4">
        <v>0.9</v>
      </c>
      <c r="Z6" s="4">
        <v>0.14099999999999999</v>
      </c>
      <c r="AA6" s="13">
        <f>(I6/TOTAL_BASIC!$D$301)*100</f>
        <v>100.50248678720446</v>
      </c>
      <c r="AB6" s="5">
        <f t="shared" si="3"/>
        <v>1.07</v>
      </c>
      <c r="AC6" s="3">
        <f t="shared" si="1"/>
        <v>5</v>
      </c>
      <c r="AD6" s="9">
        <f t="shared" si="4"/>
        <v>1.1220000000000001</v>
      </c>
      <c r="AE6" s="16">
        <f t="shared" si="5"/>
        <v>0.44599303135888507</v>
      </c>
      <c r="AF6" s="16">
        <f t="shared" si="6"/>
        <v>0.95522388059701491</v>
      </c>
      <c r="AG6" s="9"/>
      <c r="AH6" s="9"/>
      <c r="AI6" s="12">
        <f t="shared" si="7"/>
        <v>69.5</v>
      </c>
      <c r="AJ6" s="12">
        <f t="shared" si="8"/>
        <v>98.1</v>
      </c>
      <c r="AK6" s="12">
        <f t="shared" si="2"/>
        <v>81.3</v>
      </c>
      <c r="AL6" s="12">
        <f t="shared" si="2"/>
        <v>47.8</v>
      </c>
      <c r="AM6" s="12">
        <f t="shared" si="2"/>
        <v>30.4</v>
      </c>
      <c r="AN6" s="12">
        <f t="shared" si="2"/>
        <v>21.099999999999998</v>
      </c>
      <c r="AO6" s="12">
        <f t="shared" si="2"/>
        <v>78.8</v>
      </c>
      <c r="AP6" s="12">
        <f t="shared" si="2"/>
        <v>63.9</v>
      </c>
      <c r="AQ6" s="12">
        <f t="shared" si="2"/>
        <v>85.7</v>
      </c>
      <c r="AR6" s="12">
        <f t="shared" si="2"/>
        <v>50.9</v>
      </c>
      <c r="AS6" s="12">
        <f t="shared" si="2"/>
        <v>58.3</v>
      </c>
      <c r="AT6" s="12">
        <f t="shared" si="2"/>
        <v>83.2</v>
      </c>
      <c r="AU6" s="12">
        <f t="shared" si="9"/>
        <v>58.4</v>
      </c>
      <c r="AV6" s="12">
        <f t="shared" si="2"/>
        <v>91.9</v>
      </c>
      <c r="AW6" s="12">
        <f t="shared" si="2"/>
        <v>44</v>
      </c>
      <c r="AX6" s="12">
        <f t="shared" si="10"/>
        <v>88.2</v>
      </c>
      <c r="AY6" s="9"/>
      <c r="AZ6" s="12">
        <f t="shared" si="2"/>
        <v>74.5</v>
      </c>
      <c r="BA6" s="12">
        <f t="shared" si="2"/>
        <v>96.8</v>
      </c>
      <c r="BB6" s="12">
        <f t="shared" si="11"/>
        <v>84.399999999999991</v>
      </c>
      <c r="BC6" s="12">
        <f t="shared" si="11"/>
        <v>68.899999999999991</v>
      </c>
      <c r="BD6" s="12">
        <f t="shared" si="11"/>
        <v>47.8</v>
      </c>
      <c r="BE6" s="12">
        <f t="shared" si="11"/>
        <v>44</v>
      </c>
      <c r="BF6" s="12">
        <f t="shared" si="12"/>
        <v>61.4</v>
      </c>
      <c r="BG6" s="12">
        <f t="shared" si="12"/>
        <v>47.8</v>
      </c>
      <c r="BH6" s="12">
        <f t="shared" si="12"/>
        <v>24.2</v>
      </c>
      <c r="BI6" s="12">
        <f t="shared" si="12"/>
        <v>49.6</v>
      </c>
    </row>
    <row r="7" spans="1:61" x14ac:dyDescent="0.25">
      <c r="A7" s="1" t="s">
        <v>163</v>
      </c>
      <c r="B7" s="3" t="s">
        <v>164</v>
      </c>
      <c r="C7" s="4" t="s">
        <v>8</v>
      </c>
      <c r="D7" s="4">
        <v>8</v>
      </c>
      <c r="E7" s="4">
        <v>257</v>
      </c>
      <c r="F7" s="4">
        <v>8</v>
      </c>
      <c r="G7" s="4">
        <v>257</v>
      </c>
      <c r="H7" s="4">
        <v>21.1</v>
      </c>
      <c r="I7" s="4">
        <v>0.54800000000000004</v>
      </c>
      <c r="J7" s="4">
        <v>0.434</v>
      </c>
      <c r="K7" s="4">
        <v>0.33100000000000002</v>
      </c>
      <c r="L7" s="4">
        <v>0.53700000000000003</v>
      </c>
      <c r="M7" s="4">
        <v>3.7</v>
      </c>
      <c r="N7" s="4">
        <v>7.9</v>
      </c>
      <c r="O7" s="4">
        <v>25.1</v>
      </c>
      <c r="P7" s="4">
        <v>2.2999999999999998</v>
      </c>
      <c r="Q7" s="4">
        <v>1.1000000000000001</v>
      </c>
      <c r="R7" s="4">
        <v>11.8</v>
      </c>
      <c r="S7" s="4">
        <v>28.8</v>
      </c>
      <c r="T7" s="4">
        <v>114</v>
      </c>
      <c r="U7" s="4">
        <v>115</v>
      </c>
      <c r="V7" s="4">
        <v>0</v>
      </c>
      <c r="W7" s="4">
        <v>0.8</v>
      </c>
      <c r="X7" s="4">
        <v>0.1</v>
      </c>
      <c r="Y7" s="4">
        <v>0.9</v>
      </c>
      <c r="Z7" s="4">
        <v>0.13600000000000001</v>
      </c>
      <c r="AA7" s="13">
        <f>(I7/TOTAL_BASIC!$D$301)*100</f>
        <v>98.173552155771915</v>
      </c>
      <c r="AB7" s="5">
        <f t="shared" si="3"/>
        <v>1.1399999999999999</v>
      </c>
      <c r="AC7" s="3">
        <f t="shared" si="1"/>
        <v>-1</v>
      </c>
      <c r="AD7" s="9">
        <f t="shared" si="4"/>
        <v>1.0960000000000001</v>
      </c>
      <c r="AE7" s="16">
        <f t="shared" si="5"/>
        <v>0.87152777777777779</v>
      </c>
      <c r="AF7" s="16">
        <f t="shared" si="6"/>
        <v>2.1271186440677967</v>
      </c>
      <c r="AG7" s="9"/>
      <c r="AH7" s="9"/>
      <c r="AI7" s="12">
        <f t="shared" si="7"/>
        <v>69.5</v>
      </c>
      <c r="AJ7" s="12">
        <f t="shared" si="8"/>
        <v>97.5</v>
      </c>
      <c r="AK7" s="12">
        <f t="shared" si="2"/>
        <v>86.9</v>
      </c>
      <c r="AL7" s="12">
        <f t="shared" si="2"/>
        <v>43.4</v>
      </c>
      <c r="AM7" s="12">
        <f t="shared" si="2"/>
        <v>22.900000000000002</v>
      </c>
      <c r="AN7" s="12">
        <f t="shared" si="2"/>
        <v>36</v>
      </c>
      <c r="AO7" s="12">
        <f t="shared" si="2"/>
        <v>86.3</v>
      </c>
      <c r="AP7" s="12">
        <f t="shared" si="2"/>
        <v>45.300000000000004</v>
      </c>
      <c r="AQ7" s="12">
        <f t="shared" si="2"/>
        <v>41.6</v>
      </c>
      <c r="AR7" s="12">
        <f t="shared" si="2"/>
        <v>83.8</v>
      </c>
      <c r="AS7" s="12">
        <f t="shared" si="2"/>
        <v>70.099999999999994</v>
      </c>
      <c r="AT7" s="12">
        <f t="shared" si="2"/>
        <v>44.7</v>
      </c>
      <c r="AU7" s="12">
        <f t="shared" si="9"/>
        <v>67.8</v>
      </c>
      <c r="AV7" s="12">
        <f t="shared" si="2"/>
        <v>93.100000000000009</v>
      </c>
      <c r="AW7" s="12">
        <f t="shared" si="2"/>
        <v>67</v>
      </c>
      <c r="AX7" s="12">
        <f t="shared" si="10"/>
        <v>12.5</v>
      </c>
      <c r="AY7" s="9"/>
      <c r="AZ7" s="12">
        <f t="shared" si="2"/>
        <v>94.399999999999991</v>
      </c>
      <c r="BA7" s="12">
        <f t="shared" si="2"/>
        <v>24.2</v>
      </c>
      <c r="BB7" s="12">
        <f t="shared" si="11"/>
        <v>84.399999999999991</v>
      </c>
      <c r="BC7" s="12">
        <f t="shared" si="11"/>
        <v>65.8</v>
      </c>
      <c r="BD7" s="12">
        <f t="shared" si="11"/>
        <v>43.4</v>
      </c>
      <c r="BE7" s="12">
        <f t="shared" si="11"/>
        <v>67</v>
      </c>
      <c r="BF7" s="12">
        <f t="shared" si="12"/>
        <v>48.4</v>
      </c>
      <c r="BG7" s="12">
        <f t="shared" si="12"/>
        <v>43.4</v>
      </c>
      <c r="BH7" s="12">
        <f t="shared" si="12"/>
        <v>64.5</v>
      </c>
      <c r="BI7" s="12">
        <f t="shared" si="12"/>
        <v>87.5</v>
      </c>
    </row>
    <row r="8" spans="1:61" x14ac:dyDescent="0.25">
      <c r="A8" s="1" t="s">
        <v>104</v>
      </c>
      <c r="B8" s="3" t="s">
        <v>101</v>
      </c>
      <c r="C8" s="4" t="s">
        <v>87</v>
      </c>
      <c r="D8" s="4">
        <v>8</v>
      </c>
      <c r="E8" s="4">
        <v>254</v>
      </c>
      <c r="F8" s="4">
        <v>8</v>
      </c>
      <c r="G8" s="4">
        <v>254</v>
      </c>
      <c r="H8" s="4">
        <v>23.4</v>
      </c>
      <c r="I8" s="4">
        <v>0.60199999999999998</v>
      </c>
      <c r="J8" s="4">
        <v>0.56799999999999995</v>
      </c>
      <c r="K8" s="4">
        <v>6.8000000000000005E-2</v>
      </c>
      <c r="L8" s="4">
        <v>0.378</v>
      </c>
      <c r="M8" s="4">
        <v>10.9</v>
      </c>
      <c r="N8" s="4">
        <v>22.4</v>
      </c>
      <c r="O8" s="4">
        <v>31.9</v>
      </c>
      <c r="P8" s="4">
        <v>0.6</v>
      </c>
      <c r="Q8" s="4">
        <v>0</v>
      </c>
      <c r="R8" s="4">
        <v>11.3</v>
      </c>
      <c r="S8" s="4">
        <v>17.399999999999999</v>
      </c>
      <c r="T8" s="4">
        <v>133</v>
      </c>
      <c r="U8" s="4">
        <v>109</v>
      </c>
      <c r="V8" s="4">
        <v>0</v>
      </c>
      <c r="W8" s="4">
        <v>1.2</v>
      </c>
      <c r="X8" s="4">
        <v>0.3</v>
      </c>
      <c r="Y8" s="4">
        <v>1.5</v>
      </c>
      <c r="Z8" s="4">
        <v>0.23799999999999999</v>
      </c>
      <c r="AA8" s="13">
        <f>(I8/TOTAL_BASIC!$D$301)*100</f>
        <v>107.84758831710708</v>
      </c>
      <c r="AB8" s="5">
        <f t="shared" si="3"/>
        <v>1.33</v>
      </c>
      <c r="AC8" s="3">
        <f t="shared" si="1"/>
        <v>24</v>
      </c>
      <c r="AD8" s="9">
        <f t="shared" si="4"/>
        <v>1.204</v>
      </c>
      <c r="AE8" s="16">
        <f t="shared" si="5"/>
        <v>1.8333333333333335</v>
      </c>
      <c r="AF8" s="16">
        <f t="shared" si="6"/>
        <v>2.8230088495575218</v>
      </c>
      <c r="AG8" s="9"/>
      <c r="AH8" s="9"/>
      <c r="AI8" s="12">
        <f t="shared" si="7"/>
        <v>69.5</v>
      </c>
      <c r="AJ8" s="12">
        <f t="shared" si="8"/>
        <v>96.8</v>
      </c>
      <c r="AK8" s="12">
        <f t="shared" si="2"/>
        <v>92.5</v>
      </c>
      <c r="AL8" s="12">
        <f t="shared" si="2"/>
        <v>68.899999999999991</v>
      </c>
      <c r="AM8" s="12">
        <f t="shared" si="2"/>
        <v>69.5</v>
      </c>
      <c r="AN8" s="12">
        <f t="shared" si="2"/>
        <v>9.3000000000000007</v>
      </c>
      <c r="AO8" s="12">
        <f t="shared" si="2"/>
        <v>67.7</v>
      </c>
      <c r="AP8" s="12">
        <f t="shared" si="2"/>
        <v>85</v>
      </c>
      <c r="AQ8" s="12">
        <f t="shared" si="2"/>
        <v>97.5</v>
      </c>
      <c r="AR8" s="12">
        <f t="shared" si="2"/>
        <v>91.3</v>
      </c>
      <c r="AS8" s="12">
        <f t="shared" si="2"/>
        <v>9.9</v>
      </c>
      <c r="AT8" s="12">
        <f t="shared" si="2"/>
        <v>0</v>
      </c>
      <c r="AU8" s="12">
        <f t="shared" si="9"/>
        <v>72.7</v>
      </c>
      <c r="AV8" s="12">
        <f t="shared" si="2"/>
        <v>40.9</v>
      </c>
      <c r="AW8" s="12">
        <f t="shared" si="2"/>
        <v>95</v>
      </c>
      <c r="AX8" s="12">
        <f t="shared" si="10"/>
        <v>47.3</v>
      </c>
      <c r="AY8" s="9"/>
      <c r="AZ8" s="12">
        <f t="shared" si="2"/>
        <v>99.3</v>
      </c>
      <c r="BA8" s="12">
        <f t="shared" si="2"/>
        <v>75.099999999999994</v>
      </c>
      <c r="BB8" s="12">
        <f t="shared" si="11"/>
        <v>100</v>
      </c>
      <c r="BC8" s="12">
        <f t="shared" si="11"/>
        <v>96.8</v>
      </c>
      <c r="BD8" s="12">
        <f t="shared" si="11"/>
        <v>68.899999999999991</v>
      </c>
      <c r="BE8" s="12">
        <f t="shared" si="11"/>
        <v>95</v>
      </c>
      <c r="BF8" s="12">
        <f t="shared" si="12"/>
        <v>94.399999999999991</v>
      </c>
      <c r="BG8" s="12">
        <f t="shared" si="12"/>
        <v>68.899999999999991</v>
      </c>
      <c r="BH8" s="12">
        <f t="shared" si="12"/>
        <v>96.2</v>
      </c>
      <c r="BI8" s="12">
        <f t="shared" si="12"/>
        <v>96.2</v>
      </c>
    </row>
    <row r="9" spans="1:61" x14ac:dyDescent="0.25">
      <c r="A9" s="1" t="s">
        <v>103</v>
      </c>
      <c r="B9" s="3" t="s">
        <v>101</v>
      </c>
      <c r="C9" s="4" t="s">
        <v>8</v>
      </c>
      <c r="D9" s="4">
        <v>8</v>
      </c>
      <c r="E9" s="4">
        <v>241</v>
      </c>
      <c r="F9" s="4">
        <v>8</v>
      </c>
      <c r="G9" s="4">
        <v>241</v>
      </c>
      <c r="H9" s="4">
        <v>10</v>
      </c>
      <c r="I9" s="4">
        <v>0.47499999999999998</v>
      </c>
      <c r="J9" s="4">
        <v>0.40699999999999997</v>
      </c>
      <c r="K9" s="4">
        <v>0.441</v>
      </c>
      <c r="L9" s="4">
        <v>0.28399999999999997</v>
      </c>
      <c r="M9" s="4">
        <v>1.5</v>
      </c>
      <c r="N9" s="4">
        <v>3.9</v>
      </c>
      <c r="O9" s="4">
        <v>14.3</v>
      </c>
      <c r="P9" s="4">
        <v>1.1000000000000001</v>
      </c>
      <c r="Q9" s="4">
        <v>0.4</v>
      </c>
      <c r="R9" s="4">
        <v>10.199999999999999</v>
      </c>
      <c r="S9" s="4">
        <v>24.1</v>
      </c>
      <c r="T9" s="4">
        <v>98</v>
      </c>
      <c r="U9" s="4">
        <v>114</v>
      </c>
      <c r="V9" s="4">
        <v>0</v>
      </c>
      <c r="W9" s="4">
        <v>-0.1</v>
      </c>
      <c r="X9" s="4">
        <v>0.1</v>
      </c>
      <c r="Y9" s="4">
        <v>0</v>
      </c>
      <c r="Z9" s="4">
        <v>6.0000000000000001E-3</v>
      </c>
      <c r="AA9" s="13">
        <f>(I9/TOTAL_BASIC!$D$301)*100</f>
        <v>85.095688456189151</v>
      </c>
      <c r="AB9" s="5">
        <f t="shared" si="3"/>
        <v>0.98</v>
      </c>
      <c r="AC9" s="3">
        <f t="shared" si="1"/>
        <v>-16</v>
      </c>
      <c r="AD9" s="9">
        <f t="shared" si="4"/>
        <v>0.95</v>
      </c>
      <c r="AE9" s="16">
        <f t="shared" si="5"/>
        <v>0.59336099585062241</v>
      </c>
      <c r="AF9" s="16">
        <f t="shared" si="6"/>
        <v>1.4019607843137256</v>
      </c>
      <c r="AG9" s="9"/>
      <c r="AH9" s="9"/>
      <c r="AI9" s="12">
        <f t="shared" si="7"/>
        <v>69.5</v>
      </c>
      <c r="AJ9" s="12">
        <f t="shared" si="8"/>
        <v>96.2</v>
      </c>
      <c r="AK9" s="12">
        <f t="shared" si="2"/>
        <v>26</v>
      </c>
      <c r="AL9" s="12">
        <f t="shared" si="2"/>
        <v>19.8</v>
      </c>
      <c r="AM9" s="12">
        <f t="shared" si="2"/>
        <v>16.7</v>
      </c>
      <c r="AN9" s="12">
        <f t="shared" si="2"/>
        <v>62.1</v>
      </c>
      <c r="AO9" s="12">
        <f t="shared" si="2"/>
        <v>43.4</v>
      </c>
      <c r="AP9" s="12">
        <f t="shared" si="2"/>
        <v>21.099999999999998</v>
      </c>
      <c r="AQ9" s="12">
        <f t="shared" si="2"/>
        <v>9.3000000000000007</v>
      </c>
      <c r="AR9" s="12">
        <f t="shared" si="2"/>
        <v>57.699999999999996</v>
      </c>
      <c r="AS9" s="12">
        <f t="shared" si="2"/>
        <v>22.3</v>
      </c>
      <c r="AT9" s="12">
        <f t="shared" si="2"/>
        <v>26</v>
      </c>
      <c r="AU9" s="12">
        <f t="shared" si="9"/>
        <v>78.900000000000006</v>
      </c>
      <c r="AV9" s="12">
        <f t="shared" si="2"/>
        <v>80.7</v>
      </c>
      <c r="AW9" s="12">
        <f t="shared" si="2"/>
        <v>27.3</v>
      </c>
      <c r="AX9" s="12">
        <f t="shared" si="10"/>
        <v>19.299999999999997</v>
      </c>
      <c r="AY9" s="9"/>
      <c r="AZ9" s="12">
        <f t="shared" si="2"/>
        <v>14.899999999999999</v>
      </c>
      <c r="BA9" s="12">
        <f t="shared" ref="BA9:BD72" si="13">(PERCENTRANK(X$3:X$298,X9))*100</f>
        <v>24.2</v>
      </c>
      <c r="BB9" s="12">
        <f t="shared" si="11"/>
        <v>12.4</v>
      </c>
      <c r="BC9" s="12">
        <f t="shared" si="11"/>
        <v>22.900000000000002</v>
      </c>
      <c r="BD9" s="12">
        <f t="shared" si="11"/>
        <v>19.8</v>
      </c>
      <c r="BE9" s="12">
        <f t="shared" si="11"/>
        <v>27.3</v>
      </c>
      <c r="BF9" s="12">
        <f t="shared" si="12"/>
        <v>21.099999999999998</v>
      </c>
      <c r="BG9" s="12">
        <f t="shared" si="12"/>
        <v>19.8</v>
      </c>
      <c r="BH9" s="12">
        <f t="shared" si="12"/>
        <v>41.6</v>
      </c>
      <c r="BI9" s="12">
        <f t="shared" si="12"/>
        <v>74.5</v>
      </c>
    </row>
    <row r="10" spans="1:61" x14ac:dyDescent="0.25">
      <c r="A10" s="1" t="s">
        <v>111</v>
      </c>
      <c r="B10" s="3" t="s">
        <v>244</v>
      </c>
      <c r="C10" s="4" t="s">
        <v>87</v>
      </c>
      <c r="D10" s="4">
        <v>8</v>
      </c>
      <c r="E10" s="4">
        <v>234</v>
      </c>
      <c r="F10" s="4">
        <v>8</v>
      </c>
      <c r="G10" s="4">
        <v>234</v>
      </c>
      <c r="H10" s="4">
        <v>20.5</v>
      </c>
      <c r="I10" s="4">
        <v>0.60299999999999998</v>
      </c>
      <c r="J10" s="4">
        <v>0.55500000000000005</v>
      </c>
      <c r="K10" s="4">
        <v>0.61499999999999999</v>
      </c>
      <c r="L10" s="4">
        <v>0.253</v>
      </c>
      <c r="M10" s="4">
        <v>2.2000000000000002</v>
      </c>
      <c r="N10" s="4">
        <v>7.6</v>
      </c>
      <c r="O10" s="4">
        <v>12.7</v>
      </c>
      <c r="P10" s="4">
        <v>3.7</v>
      </c>
      <c r="Q10" s="4">
        <v>0.9</v>
      </c>
      <c r="R10" s="4">
        <v>7.3</v>
      </c>
      <c r="S10" s="4">
        <v>21.2</v>
      </c>
      <c r="T10" s="4">
        <v>119</v>
      </c>
      <c r="U10" s="4">
        <v>107</v>
      </c>
      <c r="V10" s="4">
        <v>0</v>
      </c>
      <c r="W10" s="4">
        <v>0.7</v>
      </c>
      <c r="X10" s="4">
        <v>0.3</v>
      </c>
      <c r="Y10" s="4">
        <v>1</v>
      </c>
      <c r="Z10" s="4">
        <v>0.17</v>
      </c>
      <c r="AA10" s="13">
        <f>(I10/TOTAL_BASIC!$D$301)*100</f>
        <v>108.0267371349096</v>
      </c>
      <c r="AB10" s="5">
        <f t="shared" si="3"/>
        <v>1.19</v>
      </c>
      <c r="AC10" s="3">
        <f t="shared" si="1"/>
        <v>12</v>
      </c>
      <c r="AD10" s="9">
        <f t="shared" si="4"/>
        <v>1.206</v>
      </c>
      <c r="AE10" s="16">
        <f t="shared" si="5"/>
        <v>0.59905660377358494</v>
      </c>
      <c r="AF10" s="16">
        <f t="shared" si="6"/>
        <v>1.7397260273972601</v>
      </c>
      <c r="AG10" s="9"/>
      <c r="AH10" s="9"/>
      <c r="AI10" s="12">
        <f t="shared" si="7"/>
        <v>69.5</v>
      </c>
      <c r="AJ10" s="12">
        <f t="shared" si="8"/>
        <v>95.6</v>
      </c>
      <c r="AK10" s="12">
        <f t="shared" si="2"/>
        <v>83.2</v>
      </c>
      <c r="AL10" s="12">
        <f t="shared" si="2"/>
        <v>69.5</v>
      </c>
      <c r="AM10" s="12">
        <f t="shared" si="2"/>
        <v>63.9</v>
      </c>
      <c r="AN10" s="12">
        <f t="shared" si="2"/>
        <v>85.7</v>
      </c>
      <c r="AO10" s="12">
        <f t="shared" si="2"/>
        <v>39.700000000000003</v>
      </c>
      <c r="AP10" s="12">
        <f t="shared" si="2"/>
        <v>27.3</v>
      </c>
      <c r="AQ10" s="12">
        <f t="shared" si="2"/>
        <v>39.1</v>
      </c>
      <c r="AR10" s="12">
        <f t="shared" si="2"/>
        <v>50.3</v>
      </c>
      <c r="AS10" s="12">
        <f t="shared" si="2"/>
        <v>95</v>
      </c>
      <c r="AT10" s="12">
        <f t="shared" si="2"/>
        <v>39.1</v>
      </c>
      <c r="AU10" s="12">
        <f t="shared" si="9"/>
        <v>92</v>
      </c>
      <c r="AV10" s="12">
        <f t="shared" si="2"/>
        <v>66.400000000000006</v>
      </c>
      <c r="AW10" s="12">
        <f t="shared" si="2"/>
        <v>80.100000000000009</v>
      </c>
      <c r="AX10" s="12">
        <f t="shared" si="10"/>
        <v>60.9</v>
      </c>
      <c r="AY10" s="9"/>
      <c r="AZ10" s="12">
        <f t="shared" si="2"/>
        <v>91.9</v>
      </c>
      <c r="BA10" s="12">
        <f t="shared" si="13"/>
        <v>75.099999999999994</v>
      </c>
      <c r="BB10" s="12">
        <f t="shared" si="11"/>
        <v>93.100000000000009</v>
      </c>
      <c r="BC10" s="12">
        <f t="shared" si="11"/>
        <v>80.7</v>
      </c>
      <c r="BD10" s="12">
        <f t="shared" si="11"/>
        <v>69.5</v>
      </c>
      <c r="BE10" s="12">
        <f t="shared" si="11"/>
        <v>80.100000000000009</v>
      </c>
      <c r="BF10" s="12">
        <f t="shared" si="12"/>
        <v>77</v>
      </c>
      <c r="BG10" s="12">
        <f t="shared" si="12"/>
        <v>69.5</v>
      </c>
      <c r="BH10" s="12">
        <f t="shared" si="12"/>
        <v>42.199999999999996</v>
      </c>
      <c r="BI10" s="12">
        <f t="shared" si="12"/>
        <v>81.3</v>
      </c>
    </row>
    <row r="11" spans="1:61" x14ac:dyDescent="0.25">
      <c r="A11" s="1" t="s">
        <v>88</v>
      </c>
      <c r="B11" s="3" t="s">
        <v>86</v>
      </c>
      <c r="C11" s="4" t="s">
        <v>8</v>
      </c>
      <c r="D11" s="4">
        <v>8</v>
      </c>
      <c r="E11" s="4">
        <v>231</v>
      </c>
      <c r="F11" s="4">
        <v>8</v>
      </c>
      <c r="G11" s="4">
        <v>231</v>
      </c>
      <c r="H11" s="4">
        <v>17.600000000000001</v>
      </c>
      <c r="I11" s="4">
        <v>0.627</v>
      </c>
      <c r="J11" s="4">
        <v>0.61699999999999999</v>
      </c>
      <c r="K11" s="4">
        <v>0.80500000000000005</v>
      </c>
      <c r="L11" s="4">
        <v>0.104</v>
      </c>
      <c r="M11" s="4">
        <v>4.0999999999999996</v>
      </c>
      <c r="N11" s="4">
        <v>6.4</v>
      </c>
      <c r="O11" s="4">
        <v>27.4</v>
      </c>
      <c r="P11" s="4">
        <v>2.7</v>
      </c>
      <c r="Q11" s="4">
        <v>0.4</v>
      </c>
      <c r="R11" s="4">
        <v>17.399999999999999</v>
      </c>
      <c r="S11" s="4">
        <v>19.399999999999999</v>
      </c>
      <c r="T11" s="4">
        <v>115</v>
      </c>
      <c r="U11" s="4">
        <v>108</v>
      </c>
      <c r="V11" s="4">
        <v>0</v>
      </c>
      <c r="W11" s="4">
        <v>0.5</v>
      </c>
      <c r="X11" s="4">
        <v>0.3</v>
      </c>
      <c r="Y11" s="4">
        <v>0.8</v>
      </c>
      <c r="Z11" s="4">
        <v>0.13700000000000001</v>
      </c>
      <c r="AA11" s="13">
        <f>(I11/TOTAL_BASIC!$D$301)*100</f>
        <v>112.32630876216967</v>
      </c>
      <c r="AB11" s="5">
        <f t="shared" si="3"/>
        <v>1.1499999999999999</v>
      </c>
      <c r="AC11" s="3">
        <f t="shared" si="1"/>
        <v>7</v>
      </c>
      <c r="AD11" s="9">
        <f t="shared" si="4"/>
        <v>1.254</v>
      </c>
      <c r="AE11" s="16">
        <f t="shared" si="5"/>
        <v>1.4123711340206186</v>
      </c>
      <c r="AF11" s="16">
        <f t="shared" si="6"/>
        <v>1.5747126436781609</v>
      </c>
      <c r="AG11" s="9"/>
      <c r="AH11" s="9"/>
      <c r="AI11" s="12">
        <f t="shared" si="7"/>
        <v>69.5</v>
      </c>
      <c r="AJ11" s="12">
        <f t="shared" si="8"/>
        <v>93.7</v>
      </c>
      <c r="AK11" s="12">
        <f t="shared" si="2"/>
        <v>69.5</v>
      </c>
      <c r="AL11" s="12">
        <f t="shared" si="2"/>
        <v>77</v>
      </c>
      <c r="AM11" s="12">
        <f t="shared" si="2"/>
        <v>81.899999999999991</v>
      </c>
      <c r="AN11" s="12">
        <f t="shared" si="2"/>
        <v>98.1</v>
      </c>
      <c r="AO11" s="12">
        <f t="shared" si="2"/>
        <v>13</v>
      </c>
      <c r="AP11" s="12">
        <f t="shared" si="2"/>
        <v>50.3</v>
      </c>
      <c r="AQ11" s="12">
        <f t="shared" si="2"/>
        <v>25.4</v>
      </c>
      <c r="AR11" s="12">
        <f t="shared" si="2"/>
        <v>87.5</v>
      </c>
      <c r="AS11" s="12">
        <f t="shared" si="2"/>
        <v>80.7</v>
      </c>
      <c r="AT11" s="12">
        <f t="shared" si="2"/>
        <v>26</v>
      </c>
      <c r="AU11" s="12">
        <f t="shared" si="9"/>
        <v>33</v>
      </c>
      <c r="AV11" s="12">
        <f t="shared" si="2"/>
        <v>57.699999999999996</v>
      </c>
      <c r="AW11" s="12">
        <f t="shared" si="2"/>
        <v>70.8</v>
      </c>
      <c r="AX11" s="12">
        <f t="shared" si="10"/>
        <v>56</v>
      </c>
      <c r="AY11" s="9"/>
      <c r="AZ11" s="12">
        <f t="shared" si="2"/>
        <v>79.5</v>
      </c>
      <c r="BA11" s="12">
        <f t="shared" si="13"/>
        <v>75.099999999999994</v>
      </c>
      <c r="BB11" s="12">
        <f t="shared" si="11"/>
        <v>80.7</v>
      </c>
      <c r="BC11" s="12">
        <f t="shared" si="11"/>
        <v>67</v>
      </c>
      <c r="BD11" s="12">
        <f t="shared" si="11"/>
        <v>77</v>
      </c>
      <c r="BE11" s="12">
        <f t="shared" si="11"/>
        <v>70.8</v>
      </c>
      <c r="BF11" s="12">
        <f t="shared" si="12"/>
        <v>64.5</v>
      </c>
      <c r="BG11" s="12">
        <f t="shared" si="12"/>
        <v>77</v>
      </c>
      <c r="BH11" s="12">
        <f t="shared" si="12"/>
        <v>86.3</v>
      </c>
      <c r="BI11" s="12">
        <f t="shared" si="12"/>
        <v>78.2</v>
      </c>
    </row>
    <row r="12" spans="1:61" x14ac:dyDescent="0.25">
      <c r="A12" s="1" t="s">
        <v>89</v>
      </c>
      <c r="B12" s="3" t="s">
        <v>86</v>
      </c>
      <c r="C12" s="4" t="s">
        <v>90</v>
      </c>
      <c r="D12" s="4">
        <v>8</v>
      </c>
      <c r="E12" s="4">
        <v>231</v>
      </c>
      <c r="F12" s="4">
        <v>8</v>
      </c>
      <c r="G12" s="4">
        <v>231</v>
      </c>
      <c r="H12" s="4">
        <v>17.2</v>
      </c>
      <c r="I12" s="4">
        <v>0.55500000000000005</v>
      </c>
      <c r="J12" s="4">
        <v>0.47499999999999998</v>
      </c>
      <c r="K12" s="4">
        <v>0.38800000000000001</v>
      </c>
      <c r="L12" s="4">
        <v>0.41299999999999998</v>
      </c>
      <c r="M12" s="4">
        <v>8.3000000000000007</v>
      </c>
      <c r="N12" s="4">
        <v>18</v>
      </c>
      <c r="O12" s="4">
        <v>16.2</v>
      </c>
      <c r="P12" s="4">
        <v>1.3</v>
      </c>
      <c r="Q12" s="4">
        <v>3</v>
      </c>
      <c r="R12" s="4">
        <v>15.2</v>
      </c>
      <c r="S12" s="4">
        <v>22.2</v>
      </c>
      <c r="T12" s="4">
        <v>109</v>
      </c>
      <c r="U12" s="4">
        <v>104</v>
      </c>
      <c r="V12" s="4">
        <v>0</v>
      </c>
      <c r="W12" s="4">
        <v>0.4</v>
      </c>
      <c r="X12" s="4">
        <v>0.4</v>
      </c>
      <c r="Y12" s="4">
        <v>0.8</v>
      </c>
      <c r="Z12" s="4">
        <v>0.13700000000000001</v>
      </c>
      <c r="AA12" s="13">
        <f>(I12/TOTAL_BASIC!$D$301)*100</f>
        <v>99.427593880389438</v>
      </c>
      <c r="AB12" s="5">
        <f t="shared" si="3"/>
        <v>1.0900000000000001</v>
      </c>
      <c r="AC12" s="3">
        <f t="shared" si="1"/>
        <v>5</v>
      </c>
      <c r="AD12" s="9">
        <f t="shared" si="4"/>
        <v>1.1100000000000001</v>
      </c>
      <c r="AE12" s="16">
        <f t="shared" si="5"/>
        <v>0.72972972972972971</v>
      </c>
      <c r="AF12" s="16">
        <f t="shared" si="6"/>
        <v>1.0657894736842106</v>
      </c>
      <c r="AG12" s="9"/>
      <c r="AH12" s="9"/>
      <c r="AI12" s="12">
        <f t="shared" si="7"/>
        <v>69.5</v>
      </c>
      <c r="AJ12" s="12">
        <f t="shared" si="8"/>
        <v>93.7</v>
      </c>
      <c r="AK12" s="12">
        <f t="shared" si="2"/>
        <v>68.300000000000011</v>
      </c>
      <c r="AL12" s="12">
        <f t="shared" si="2"/>
        <v>46.5</v>
      </c>
      <c r="AM12" s="12">
        <f t="shared" si="2"/>
        <v>33.5</v>
      </c>
      <c r="AN12" s="12">
        <f t="shared" si="2"/>
        <v>50.9</v>
      </c>
      <c r="AO12" s="12">
        <f t="shared" si="2"/>
        <v>70.099999999999994</v>
      </c>
      <c r="AP12" s="12">
        <f t="shared" si="2"/>
        <v>78.2</v>
      </c>
      <c r="AQ12" s="12">
        <f t="shared" si="2"/>
        <v>92.5</v>
      </c>
      <c r="AR12" s="12">
        <f t="shared" si="2"/>
        <v>67.7</v>
      </c>
      <c r="AS12" s="12">
        <f t="shared" si="2"/>
        <v>28.499999999999996</v>
      </c>
      <c r="AT12" s="12">
        <f t="shared" si="2"/>
        <v>78.2</v>
      </c>
      <c r="AU12" s="12">
        <f t="shared" si="9"/>
        <v>45.4</v>
      </c>
      <c r="AV12" s="12">
        <f t="shared" si="2"/>
        <v>70.8</v>
      </c>
      <c r="AW12" s="12">
        <f t="shared" si="2"/>
        <v>51.5</v>
      </c>
      <c r="AX12" s="12">
        <f t="shared" si="10"/>
        <v>76.400000000000006</v>
      </c>
      <c r="AY12" s="9"/>
      <c r="AZ12" s="12">
        <f t="shared" si="2"/>
        <v>74.5</v>
      </c>
      <c r="BA12" s="12">
        <f t="shared" si="13"/>
        <v>87.5</v>
      </c>
      <c r="BB12" s="12">
        <f t="shared" si="11"/>
        <v>80.7</v>
      </c>
      <c r="BC12" s="12">
        <f t="shared" si="11"/>
        <v>67</v>
      </c>
      <c r="BD12" s="12">
        <f t="shared" si="11"/>
        <v>46.5</v>
      </c>
      <c r="BE12" s="12">
        <f t="shared" si="11"/>
        <v>51.5</v>
      </c>
      <c r="BF12" s="12">
        <f t="shared" si="12"/>
        <v>61.4</v>
      </c>
      <c r="BG12" s="12">
        <f t="shared" si="12"/>
        <v>46.5</v>
      </c>
      <c r="BH12" s="12">
        <f t="shared" si="12"/>
        <v>52.7</v>
      </c>
      <c r="BI12" s="12">
        <f t="shared" si="12"/>
        <v>54</v>
      </c>
    </row>
    <row r="13" spans="1:61" x14ac:dyDescent="0.25">
      <c r="A13" s="1" t="s">
        <v>97</v>
      </c>
      <c r="B13" s="3" t="s">
        <v>98</v>
      </c>
      <c r="C13" s="4" t="s">
        <v>8</v>
      </c>
      <c r="D13" s="4">
        <v>7</v>
      </c>
      <c r="E13" s="4">
        <v>231</v>
      </c>
      <c r="F13" s="4">
        <v>7</v>
      </c>
      <c r="G13" s="4">
        <v>231</v>
      </c>
      <c r="H13" s="4">
        <v>16.5</v>
      </c>
      <c r="I13" s="4">
        <v>0.58799999999999997</v>
      </c>
      <c r="J13" s="4">
        <v>0.51400000000000001</v>
      </c>
      <c r="K13" s="4">
        <v>0.41899999999999998</v>
      </c>
      <c r="L13" s="4">
        <v>0.41899999999999998</v>
      </c>
      <c r="M13" s="4">
        <v>2.2999999999999998</v>
      </c>
      <c r="N13" s="4">
        <v>7.8</v>
      </c>
      <c r="O13" s="4">
        <v>8.3000000000000007</v>
      </c>
      <c r="P13" s="4">
        <v>2.6</v>
      </c>
      <c r="Q13" s="4">
        <v>0.8</v>
      </c>
      <c r="R13" s="4">
        <v>11.2</v>
      </c>
      <c r="S13" s="4">
        <v>18.7</v>
      </c>
      <c r="T13" s="4">
        <v>117</v>
      </c>
      <c r="U13" s="4">
        <v>103</v>
      </c>
      <c r="V13" s="4">
        <v>0</v>
      </c>
      <c r="W13" s="4">
        <v>0.5</v>
      </c>
      <c r="X13" s="4">
        <v>0.5</v>
      </c>
      <c r="Y13" s="4">
        <v>1</v>
      </c>
      <c r="Z13" s="4">
        <v>0.17100000000000001</v>
      </c>
      <c r="AA13" s="13">
        <f>(I13/TOTAL_BASIC!$D$301)*100</f>
        <v>105.33950486787205</v>
      </c>
      <c r="AB13" s="5">
        <f t="shared" si="3"/>
        <v>1.17</v>
      </c>
      <c r="AC13" s="3">
        <f t="shared" si="1"/>
        <v>14</v>
      </c>
      <c r="AD13" s="9">
        <f t="shared" si="4"/>
        <v>1.1759999999999999</v>
      </c>
      <c r="AE13" s="16">
        <f t="shared" si="5"/>
        <v>0.4438502673796792</v>
      </c>
      <c r="AF13" s="16">
        <f t="shared" si="6"/>
        <v>0.74107142857142871</v>
      </c>
      <c r="AG13" s="9"/>
      <c r="AH13" s="9"/>
      <c r="AI13" s="12">
        <f t="shared" si="7"/>
        <v>47.199999999999996</v>
      </c>
      <c r="AJ13" s="12">
        <f t="shared" si="8"/>
        <v>93.7</v>
      </c>
      <c r="AK13" s="12">
        <f t="shared" si="2"/>
        <v>63.9</v>
      </c>
      <c r="AL13" s="12">
        <f t="shared" si="2"/>
        <v>62.7</v>
      </c>
      <c r="AM13" s="12">
        <f t="shared" si="2"/>
        <v>49.6</v>
      </c>
      <c r="AN13" s="12">
        <f t="shared" si="2"/>
        <v>56.499999999999993</v>
      </c>
      <c r="AO13" s="12">
        <f t="shared" si="2"/>
        <v>70.8</v>
      </c>
      <c r="AP13" s="12">
        <f t="shared" si="2"/>
        <v>27.900000000000002</v>
      </c>
      <c r="AQ13" s="12">
        <f t="shared" si="2"/>
        <v>40.9</v>
      </c>
      <c r="AR13" s="12">
        <f t="shared" si="2"/>
        <v>27.3</v>
      </c>
      <c r="AS13" s="12">
        <f t="shared" si="2"/>
        <v>78.8</v>
      </c>
      <c r="AT13" s="12">
        <f t="shared" si="2"/>
        <v>37.200000000000003</v>
      </c>
      <c r="AU13" s="12">
        <f t="shared" si="9"/>
        <v>74</v>
      </c>
      <c r="AV13" s="12">
        <f t="shared" si="2"/>
        <v>53.400000000000006</v>
      </c>
      <c r="AW13" s="12">
        <f t="shared" si="2"/>
        <v>73.2</v>
      </c>
      <c r="AX13" s="12">
        <f t="shared" si="10"/>
        <v>82</v>
      </c>
      <c r="AY13" s="9"/>
      <c r="AZ13" s="12">
        <f t="shared" si="2"/>
        <v>79.5</v>
      </c>
      <c r="BA13" s="12">
        <f t="shared" si="13"/>
        <v>96.8</v>
      </c>
      <c r="BB13" s="12">
        <f t="shared" si="11"/>
        <v>93.100000000000009</v>
      </c>
      <c r="BC13" s="12">
        <f t="shared" si="11"/>
        <v>81.899999999999991</v>
      </c>
      <c r="BD13" s="12">
        <f t="shared" si="11"/>
        <v>62.7</v>
      </c>
      <c r="BE13" s="12">
        <f t="shared" si="11"/>
        <v>73.2</v>
      </c>
      <c r="BF13" s="12">
        <f t="shared" si="12"/>
        <v>82.6</v>
      </c>
      <c r="BG13" s="12">
        <f t="shared" si="12"/>
        <v>62.7</v>
      </c>
      <c r="BH13" s="12">
        <f t="shared" si="12"/>
        <v>23.599999999999998</v>
      </c>
      <c r="BI13" s="12">
        <f t="shared" si="12"/>
        <v>39.1</v>
      </c>
    </row>
    <row r="14" spans="1:61" x14ac:dyDescent="0.25">
      <c r="A14" s="1" t="s">
        <v>113</v>
      </c>
      <c r="B14" s="3" t="s">
        <v>95</v>
      </c>
      <c r="C14" s="4" t="s">
        <v>114</v>
      </c>
      <c r="D14" s="4">
        <v>8</v>
      </c>
      <c r="E14" s="4">
        <v>225</v>
      </c>
      <c r="F14" s="4">
        <v>8</v>
      </c>
      <c r="G14" s="4">
        <v>225</v>
      </c>
      <c r="H14" s="4">
        <v>11.3</v>
      </c>
      <c r="I14" s="4">
        <v>0.47099999999999997</v>
      </c>
      <c r="J14" s="4">
        <v>0.42</v>
      </c>
      <c r="K14" s="4">
        <v>0.47799999999999998</v>
      </c>
      <c r="L14" s="4">
        <v>0.17399999999999999</v>
      </c>
      <c r="M14" s="4">
        <v>3.6</v>
      </c>
      <c r="N14" s="4">
        <v>12.2</v>
      </c>
      <c r="O14" s="4">
        <v>7.4</v>
      </c>
      <c r="P14" s="4">
        <v>1.8</v>
      </c>
      <c r="Q14" s="4">
        <v>2.6</v>
      </c>
      <c r="R14" s="4">
        <v>8.6</v>
      </c>
      <c r="S14" s="4">
        <v>16</v>
      </c>
      <c r="T14" s="4">
        <v>98</v>
      </c>
      <c r="U14" s="4">
        <v>108</v>
      </c>
      <c r="V14" s="4">
        <v>0</v>
      </c>
      <c r="W14" s="4">
        <v>0</v>
      </c>
      <c r="X14" s="4">
        <v>0.3</v>
      </c>
      <c r="Y14" s="4">
        <v>0.3</v>
      </c>
      <c r="Z14" s="4">
        <v>4.7E-2</v>
      </c>
      <c r="AA14" s="13">
        <f>(I14/TOTAL_BASIC!$D$301)*100</f>
        <v>84.379093184979126</v>
      </c>
      <c r="AB14" s="5">
        <f t="shared" si="3"/>
        <v>0.98</v>
      </c>
      <c r="AC14" s="3">
        <f t="shared" si="1"/>
        <v>-10</v>
      </c>
      <c r="AD14" s="9">
        <f t="shared" si="4"/>
        <v>0.94199999999999995</v>
      </c>
      <c r="AE14" s="16">
        <f t="shared" si="5"/>
        <v>0.46250000000000002</v>
      </c>
      <c r="AF14" s="16">
        <f t="shared" si="6"/>
        <v>0.86046511627906985</v>
      </c>
      <c r="AG14" s="9"/>
      <c r="AH14" s="9"/>
      <c r="AI14" s="12">
        <f t="shared" si="7"/>
        <v>69.5</v>
      </c>
      <c r="AJ14" s="12">
        <f t="shared" si="8"/>
        <v>93.100000000000009</v>
      </c>
      <c r="AK14" s="12">
        <f t="shared" si="2"/>
        <v>33.5</v>
      </c>
      <c r="AL14" s="12">
        <f t="shared" si="2"/>
        <v>18</v>
      </c>
      <c r="AM14" s="12">
        <f t="shared" si="2"/>
        <v>20.399999999999999</v>
      </c>
      <c r="AN14" s="12">
        <f t="shared" si="2"/>
        <v>68.300000000000011</v>
      </c>
      <c r="AO14" s="12">
        <f t="shared" si="2"/>
        <v>22.3</v>
      </c>
      <c r="AP14" s="12">
        <f t="shared" si="2"/>
        <v>42.8</v>
      </c>
      <c r="AQ14" s="12">
        <f t="shared" si="2"/>
        <v>70.099999999999994</v>
      </c>
      <c r="AR14" s="12">
        <f t="shared" si="2"/>
        <v>19.8</v>
      </c>
      <c r="AS14" s="12">
        <f t="shared" si="2"/>
        <v>55.900000000000006</v>
      </c>
      <c r="AT14" s="12">
        <f t="shared" si="2"/>
        <v>69.5</v>
      </c>
      <c r="AU14" s="12">
        <f t="shared" si="9"/>
        <v>86.4</v>
      </c>
      <c r="AV14" s="12">
        <f t="shared" si="2"/>
        <v>29.099999999999998</v>
      </c>
      <c r="AW14" s="12">
        <f t="shared" si="2"/>
        <v>27.3</v>
      </c>
      <c r="AX14" s="12">
        <f t="shared" si="10"/>
        <v>56</v>
      </c>
      <c r="AY14" s="9"/>
      <c r="AZ14" s="12">
        <f t="shared" si="2"/>
        <v>22.3</v>
      </c>
      <c r="BA14" s="12">
        <f t="shared" si="13"/>
        <v>75.099999999999994</v>
      </c>
      <c r="BB14" s="12">
        <f t="shared" si="11"/>
        <v>51.5</v>
      </c>
      <c r="BC14" s="12">
        <f t="shared" si="11"/>
        <v>32.200000000000003</v>
      </c>
      <c r="BD14" s="12">
        <f t="shared" si="11"/>
        <v>18</v>
      </c>
      <c r="BE14" s="12">
        <f t="shared" si="11"/>
        <v>27.3</v>
      </c>
      <c r="BF14" s="12">
        <f t="shared" si="12"/>
        <v>29.099999999999998</v>
      </c>
      <c r="BG14" s="12">
        <f t="shared" si="12"/>
        <v>18</v>
      </c>
      <c r="BH14" s="12">
        <f t="shared" si="12"/>
        <v>26.700000000000003</v>
      </c>
      <c r="BI14" s="12">
        <f t="shared" si="12"/>
        <v>47.199999999999996</v>
      </c>
    </row>
    <row r="15" spans="1:61" x14ac:dyDescent="0.25">
      <c r="A15" s="1" t="s">
        <v>108</v>
      </c>
      <c r="B15" s="3" t="s">
        <v>109</v>
      </c>
      <c r="C15" s="4" t="s">
        <v>96</v>
      </c>
      <c r="D15" s="4">
        <v>9</v>
      </c>
      <c r="E15" s="4">
        <v>219</v>
      </c>
      <c r="F15" s="4">
        <v>9</v>
      </c>
      <c r="G15" s="4">
        <v>219</v>
      </c>
      <c r="H15" s="4">
        <v>7.1</v>
      </c>
      <c r="I15" s="4">
        <v>0.41199999999999998</v>
      </c>
      <c r="J15" s="4">
        <v>0.38400000000000001</v>
      </c>
      <c r="K15" s="4">
        <v>0.435</v>
      </c>
      <c r="L15" s="4">
        <v>0.20300000000000001</v>
      </c>
      <c r="M15" s="4">
        <v>3.6</v>
      </c>
      <c r="N15" s="4">
        <v>8.8000000000000007</v>
      </c>
      <c r="O15" s="4">
        <v>16.8</v>
      </c>
      <c r="P15" s="4">
        <v>2.2999999999999998</v>
      </c>
      <c r="Q15" s="4">
        <v>3.6</v>
      </c>
      <c r="R15" s="4">
        <v>21.8</v>
      </c>
      <c r="S15" s="4">
        <v>19</v>
      </c>
      <c r="T15" s="4">
        <v>79</v>
      </c>
      <c r="U15" s="4">
        <v>110</v>
      </c>
      <c r="V15" s="4">
        <v>0</v>
      </c>
      <c r="W15" s="4">
        <v>-0.6</v>
      </c>
      <c r="X15" s="4">
        <v>0.2</v>
      </c>
      <c r="Y15" s="4">
        <v>-0.4</v>
      </c>
      <c r="Z15" s="4">
        <v>-7.4999999999999997E-2</v>
      </c>
      <c r="AA15" s="13">
        <f>(I15/TOTAL_BASIC!$D$301)*100</f>
        <v>73.809312934631421</v>
      </c>
      <c r="AB15" s="5">
        <f t="shared" si="3"/>
        <v>0.79</v>
      </c>
      <c r="AC15" s="3">
        <f t="shared" si="1"/>
        <v>-31</v>
      </c>
      <c r="AD15" s="9">
        <f t="shared" si="4"/>
        <v>0.82399999999999995</v>
      </c>
      <c r="AE15" s="16">
        <f t="shared" si="5"/>
        <v>0.88421052631578956</v>
      </c>
      <c r="AF15" s="16">
        <f t="shared" si="6"/>
        <v>0.77064220183486243</v>
      </c>
      <c r="AG15" s="9"/>
      <c r="AH15" s="9"/>
      <c r="AI15" s="12">
        <f t="shared" si="7"/>
        <v>96.2</v>
      </c>
      <c r="AJ15" s="12">
        <f t="shared" si="8"/>
        <v>92.5</v>
      </c>
      <c r="AK15" s="12">
        <f t="shared" si="2"/>
        <v>13</v>
      </c>
      <c r="AL15" s="12">
        <f t="shared" si="2"/>
        <v>8.6</v>
      </c>
      <c r="AM15" s="12">
        <f t="shared" si="2"/>
        <v>12.4</v>
      </c>
      <c r="AN15" s="12">
        <f t="shared" si="2"/>
        <v>60.8</v>
      </c>
      <c r="AO15" s="12">
        <f t="shared" si="2"/>
        <v>27.900000000000002</v>
      </c>
      <c r="AP15" s="12">
        <f t="shared" si="2"/>
        <v>42.8</v>
      </c>
      <c r="AQ15" s="12">
        <f t="shared" si="2"/>
        <v>49</v>
      </c>
      <c r="AR15" s="12">
        <f t="shared" si="2"/>
        <v>68.899999999999991</v>
      </c>
      <c r="AS15" s="12">
        <f t="shared" si="2"/>
        <v>70.099999999999994</v>
      </c>
      <c r="AT15" s="12">
        <f t="shared" si="2"/>
        <v>81.899999999999991</v>
      </c>
      <c r="AU15" s="12">
        <f t="shared" si="9"/>
        <v>17.400000000000006</v>
      </c>
      <c r="AV15" s="12">
        <f t="shared" si="2"/>
        <v>55.900000000000006</v>
      </c>
      <c r="AW15" s="12">
        <f t="shared" si="2"/>
        <v>4.3</v>
      </c>
      <c r="AX15" s="12">
        <f t="shared" si="10"/>
        <v>41</v>
      </c>
      <c r="AY15" s="9"/>
      <c r="AZ15" s="12">
        <f t="shared" si="2"/>
        <v>0.6</v>
      </c>
      <c r="BA15" s="12">
        <f t="shared" si="13"/>
        <v>57.099999999999994</v>
      </c>
      <c r="BB15" s="12">
        <f t="shared" si="11"/>
        <v>1.2</v>
      </c>
      <c r="BC15" s="12">
        <f t="shared" si="11"/>
        <v>4.3</v>
      </c>
      <c r="BD15" s="12">
        <f t="shared" si="11"/>
        <v>8.6</v>
      </c>
      <c r="BE15" s="12">
        <f t="shared" si="11"/>
        <v>4.3</v>
      </c>
      <c r="BF15" s="12">
        <f t="shared" si="12"/>
        <v>5.5</v>
      </c>
      <c r="BG15" s="12">
        <f t="shared" si="12"/>
        <v>8.6</v>
      </c>
      <c r="BH15" s="12">
        <f t="shared" si="12"/>
        <v>66.400000000000006</v>
      </c>
      <c r="BI15" s="12">
        <f t="shared" si="12"/>
        <v>40.9</v>
      </c>
    </row>
    <row r="16" spans="1:61" x14ac:dyDescent="0.25">
      <c r="A16" s="1" t="s">
        <v>105</v>
      </c>
      <c r="B16" s="3" t="s">
        <v>98</v>
      </c>
      <c r="C16" s="4" t="s">
        <v>8</v>
      </c>
      <c r="D16" s="4">
        <v>7</v>
      </c>
      <c r="E16" s="4">
        <v>218</v>
      </c>
      <c r="F16" s="4">
        <v>7</v>
      </c>
      <c r="G16" s="4">
        <v>218</v>
      </c>
      <c r="H16" s="4">
        <v>20.6</v>
      </c>
      <c r="I16" s="4">
        <v>0.54200000000000004</v>
      </c>
      <c r="J16" s="4">
        <v>0.53200000000000003</v>
      </c>
      <c r="K16" s="4">
        <v>0.29599999999999999</v>
      </c>
      <c r="L16" s="4">
        <v>5.6000000000000001E-2</v>
      </c>
      <c r="M16" s="4">
        <v>2.4</v>
      </c>
      <c r="N16" s="4">
        <v>10.199999999999999</v>
      </c>
      <c r="O16" s="4">
        <v>21.6</v>
      </c>
      <c r="P16" s="4">
        <v>2.5</v>
      </c>
      <c r="Q16" s="4">
        <v>1.8</v>
      </c>
      <c r="R16" s="4">
        <v>9.8000000000000007</v>
      </c>
      <c r="S16" s="4">
        <v>24.6</v>
      </c>
      <c r="T16" s="4">
        <v>113</v>
      </c>
      <c r="U16" s="4">
        <v>101</v>
      </c>
      <c r="V16" s="4">
        <v>0</v>
      </c>
      <c r="W16" s="4">
        <v>0.5</v>
      </c>
      <c r="X16" s="4">
        <v>0.5</v>
      </c>
      <c r="Y16" s="4">
        <v>1</v>
      </c>
      <c r="Z16" s="4">
        <v>0.18099999999999999</v>
      </c>
      <c r="AA16" s="13">
        <f>(I16/TOTAL_BASIC!$D$301)*100</f>
        <v>97.098659248956892</v>
      </c>
      <c r="AB16" s="5">
        <f t="shared" si="3"/>
        <v>1.1299999999999999</v>
      </c>
      <c r="AC16" s="3">
        <f t="shared" si="1"/>
        <v>12</v>
      </c>
      <c r="AD16" s="9">
        <f t="shared" si="4"/>
        <v>1.0840000000000001</v>
      </c>
      <c r="AE16" s="16">
        <f t="shared" si="5"/>
        <v>0.87804878048780488</v>
      </c>
      <c r="AF16" s="16">
        <f t="shared" si="6"/>
        <v>2.204081632653061</v>
      </c>
      <c r="AG16" s="9"/>
      <c r="AH16" s="9"/>
      <c r="AI16" s="12">
        <f t="shared" si="7"/>
        <v>47.199999999999996</v>
      </c>
      <c r="AJ16" s="12">
        <f t="shared" si="8"/>
        <v>91.9</v>
      </c>
      <c r="AK16" s="12">
        <f t="shared" si="2"/>
        <v>85</v>
      </c>
      <c r="AL16" s="12">
        <f t="shared" si="2"/>
        <v>41.6</v>
      </c>
      <c r="AM16" s="12">
        <f t="shared" si="2"/>
        <v>57.099999999999994</v>
      </c>
      <c r="AN16" s="12">
        <f t="shared" si="2"/>
        <v>32.9</v>
      </c>
      <c r="AO16" s="12">
        <f t="shared" si="2"/>
        <v>4.9000000000000004</v>
      </c>
      <c r="AP16" s="12">
        <f t="shared" si="2"/>
        <v>29.799999999999997</v>
      </c>
      <c r="AQ16" s="12">
        <f t="shared" si="2"/>
        <v>60.199999999999996</v>
      </c>
      <c r="AR16" s="12">
        <f t="shared" si="2"/>
        <v>76.3</v>
      </c>
      <c r="AS16" s="12">
        <f t="shared" si="2"/>
        <v>75.7</v>
      </c>
      <c r="AT16" s="12">
        <f t="shared" si="2"/>
        <v>58.3</v>
      </c>
      <c r="AU16" s="12">
        <f t="shared" si="9"/>
        <v>82</v>
      </c>
      <c r="AV16" s="12">
        <f t="shared" si="2"/>
        <v>82.6</v>
      </c>
      <c r="AW16" s="12">
        <f t="shared" si="2"/>
        <v>66.400000000000006</v>
      </c>
      <c r="AX16" s="12">
        <f t="shared" si="10"/>
        <v>92</v>
      </c>
      <c r="AY16" s="9"/>
      <c r="AZ16" s="12">
        <f t="shared" si="2"/>
        <v>79.5</v>
      </c>
      <c r="BA16" s="12">
        <f t="shared" si="13"/>
        <v>96.8</v>
      </c>
      <c r="BB16" s="12">
        <f t="shared" si="11"/>
        <v>93.100000000000009</v>
      </c>
      <c r="BC16" s="12">
        <f t="shared" si="11"/>
        <v>85</v>
      </c>
      <c r="BD16" s="12">
        <f t="shared" si="11"/>
        <v>41.6</v>
      </c>
      <c r="BE16" s="12">
        <f t="shared" si="11"/>
        <v>66.400000000000006</v>
      </c>
      <c r="BF16" s="12">
        <f t="shared" si="12"/>
        <v>77</v>
      </c>
      <c r="BG16" s="12">
        <f t="shared" si="12"/>
        <v>41.6</v>
      </c>
      <c r="BH16" s="12">
        <f t="shared" si="12"/>
        <v>65.8</v>
      </c>
      <c r="BI16" s="12">
        <f t="shared" si="12"/>
        <v>91.3</v>
      </c>
    </row>
    <row r="17" spans="1:61" x14ac:dyDescent="0.25">
      <c r="A17" s="1" t="s">
        <v>162</v>
      </c>
      <c r="B17" s="3" t="s">
        <v>160</v>
      </c>
      <c r="C17" s="4" t="s">
        <v>8</v>
      </c>
      <c r="D17" s="4">
        <v>7</v>
      </c>
      <c r="E17" s="4">
        <v>217</v>
      </c>
      <c r="F17" s="4">
        <v>7</v>
      </c>
      <c r="G17" s="4">
        <v>217</v>
      </c>
      <c r="H17" s="4">
        <v>16.5</v>
      </c>
      <c r="I17" s="4">
        <v>0.56499999999999995</v>
      </c>
      <c r="J17" s="4">
        <v>0.51700000000000002</v>
      </c>
      <c r="K17" s="4">
        <v>0.36199999999999999</v>
      </c>
      <c r="L17" s="4">
        <v>0.29299999999999998</v>
      </c>
      <c r="M17" s="4">
        <v>2.2999999999999998</v>
      </c>
      <c r="N17" s="4">
        <v>1.8</v>
      </c>
      <c r="O17" s="4">
        <v>13.5</v>
      </c>
      <c r="P17" s="4">
        <v>0.7</v>
      </c>
      <c r="Q17" s="4">
        <v>0</v>
      </c>
      <c r="R17" s="4">
        <v>7.7</v>
      </c>
      <c r="S17" s="4">
        <v>27.9</v>
      </c>
      <c r="T17" s="4">
        <v>111</v>
      </c>
      <c r="U17" s="4">
        <v>110</v>
      </c>
      <c r="V17" s="4">
        <v>0</v>
      </c>
      <c r="W17" s="4">
        <v>0.5</v>
      </c>
      <c r="X17" s="4">
        <v>0.2</v>
      </c>
      <c r="Y17" s="4">
        <v>0.7</v>
      </c>
      <c r="Z17" s="4">
        <v>0.124</v>
      </c>
      <c r="AA17" s="13">
        <f>(I17/TOTAL_BASIC!$D$301)*100</f>
        <v>101.21908205841446</v>
      </c>
      <c r="AB17" s="5">
        <f t="shared" si="3"/>
        <v>1.1100000000000001</v>
      </c>
      <c r="AC17" s="3">
        <f t="shared" si="1"/>
        <v>1</v>
      </c>
      <c r="AD17" s="9">
        <f t="shared" si="4"/>
        <v>1.1299999999999999</v>
      </c>
      <c r="AE17" s="16">
        <f t="shared" si="5"/>
        <v>0.4838709677419355</v>
      </c>
      <c r="AF17" s="16">
        <f t="shared" si="6"/>
        <v>1.7532467532467533</v>
      </c>
      <c r="AG17" s="9"/>
      <c r="AH17" s="9"/>
      <c r="AI17" s="12">
        <f t="shared" si="7"/>
        <v>47.199999999999996</v>
      </c>
      <c r="AJ17" s="12">
        <f t="shared" si="8"/>
        <v>90.600000000000009</v>
      </c>
      <c r="AK17" s="12">
        <f t="shared" si="2"/>
        <v>63.9</v>
      </c>
      <c r="AL17" s="12">
        <f t="shared" si="2"/>
        <v>49</v>
      </c>
      <c r="AM17" s="12">
        <f t="shared" si="2"/>
        <v>51.5</v>
      </c>
      <c r="AN17" s="12">
        <f t="shared" si="2"/>
        <v>45.300000000000004</v>
      </c>
      <c r="AO17" s="12">
        <f t="shared" si="2"/>
        <v>46.5</v>
      </c>
      <c r="AP17" s="12">
        <f t="shared" si="2"/>
        <v>27.900000000000002</v>
      </c>
      <c r="AQ17" s="12">
        <f t="shared" si="2"/>
        <v>3.1</v>
      </c>
      <c r="AR17" s="12">
        <f t="shared" si="2"/>
        <v>52.7</v>
      </c>
      <c r="AS17" s="12">
        <f t="shared" si="2"/>
        <v>12.4</v>
      </c>
      <c r="AT17" s="12">
        <f t="shared" si="2"/>
        <v>0</v>
      </c>
      <c r="AU17" s="12">
        <f t="shared" si="9"/>
        <v>88.9</v>
      </c>
      <c r="AV17" s="12">
        <f t="shared" si="2"/>
        <v>90.600000000000009</v>
      </c>
      <c r="AW17" s="12">
        <f t="shared" si="2"/>
        <v>58.3</v>
      </c>
      <c r="AX17" s="12">
        <f t="shared" si="10"/>
        <v>41</v>
      </c>
      <c r="AY17" s="9"/>
      <c r="AZ17" s="12">
        <f t="shared" si="2"/>
        <v>79.5</v>
      </c>
      <c r="BA17" s="12">
        <f t="shared" si="13"/>
        <v>57.099999999999994</v>
      </c>
      <c r="BB17" s="12">
        <f t="shared" si="11"/>
        <v>76.3</v>
      </c>
      <c r="BC17" s="12">
        <f t="shared" si="11"/>
        <v>62.1</v>
      </c>
      <c r="BD17" s="12">
        <f t="shared" si="11"/>
        <v>49</v>
      </c>
      <c r="BE17" s="12">
        <f t="shared" si="11"/>
        <v>58.3</v>
      </c>
      <c r="BF17" s="12">
        <f t="shared" si="12"/>
        <v>50.3</v>
      </c>
      <c r="BG17" s="12">
        <f t="shared" si="12"/>
        <v>49</v>
      </c>
      <c r="BH17" s="12">
        <f t="shared" si="12"/>
        <v>29.799999999999997</v>
      </c>
      <c r="BI17" s="12">
        <f t="shared" si="12"/>
        <v>83.8</v>
      </c>
    </row>
    <row r="18" spans="1:61" x14ac:dyDescent="0.25">
      <c r="A18" s="1" t="s">
        <v>125</v>
      </c>
      <c r="B18" s="3" t="s">
        <v>109</v>
      </c>
      <c r="C18" s="4" t="s">
        <v>87</v>
      </c>
      <c r="D18" s="4">
        <v>9</v>
      </c>
      <c r="E18" s="4">
        <v>217</v>
      </c>
      <c r="F18" s="4">
        <v>9</v>
      </c>
      <c r="G18" s="4">
        <v>217</v>
      </c>
      <c r="H18" s="4">
        <v>15.1</v>
      </c>
      <c r="I18" s="4">
        <v>0.47099999999999997</v>
      </c>
      <c r="J18" s="4">
        <v>0.45500000000000002</v>
      </c>
      <c r="K18" s="4">
        <v>0.32</v>
      </c>
      <c r="L18" s="4">
        <v>0.21</v>
      </c>
      <c r="M18" s="4">
        <v>14.4</v>
      </c>
      <c r="N18" s="4">
        <v>24.2</v>
      </c>
      <c r="O18" s="4">
        <v>9</v>
      </c>
      <c r="P18" s="4">
        <v>1.6</v>
      </c>
      <c r="Q18" s="4">
        <v>1.4</v>
      </c>
      <c r="R18" s="4">
        <v>15.5</v>
      </c>
      <c r="S18" s="4">
        <v>25.7</v>
      </c>
      <c r="T18" s="4">
        <v>92</v>
      </c>
      <c r="U18" s="4">
        <v>108</v>
      </c>
      <c r="V18" s="4">
        <v>0</v>
      </c>
      <c r="W18" s="4">
        <v>-0.3</v>
      </c>
      <c r="X18" s="4">
        <v>0.3</v>
      </c>
      <c r="Y18" s="4">
        <v>0</v>
      </c>
      <c r="Z18" s="4">
        <v>-7.0000000000000001E-3</v>
      </c>
      <c r="AA18" s="13">
        <f>(I18/TOTAL_BASIC!$D$301)*100</f>
        <v>84.379093184979126</v>
      </c>
      <c r="AB18" s="5">
        <f t="shared" si="3"/>
        <v>0.92</v>
      </c>
      <c r="AC18" s="3">
        <f t="shared" si="1"/>
        <v>-16</v>
      </c>
      <c r="AD18" s="9">
        <f t="shared" si="4"/>
        <v>0.94199999999999995</v>
      </c>
      <c r="AE18" s="16">
        <f t="shared" si="5"/>
        <v>0.35019455252918291</v>
      </c>
      <c r="AF18" s="16">
        <f t="shared" si="6"/>
        <v>0.58064516129032262</v>
      </c>
      <c r="AG18" s="9"/>
      <c r="AH18" s="9"/>
      <c r="AI18" s="12">
        <f t="shared" si="7"/>
        <v>96.2</v>
      </c>
      <c r="AJ18" s="12">
        <f t="shared" si="8"/>
        <v>90.600000000000009</v>
      </c>
      <c r="AK18" s="12">
        <f t="shared" si="2"/>
        <v>57.099999999999994</v>
      </c>
      <c r="AL18" s="12">
        <f t="shared" si="2"/>
        <v>18</v>
      </c>
      <c r="AM18" s="12">
        <f t="shared" si="2"/>
        <v>28.499999999999996</v>
      </c>
      <c r="AN18" s="12">
        <f t="shared" si="2"/>
        <v>34.699999999999996</v>
      </c>
      <c r="AO18" s="12">
        <f t="shared" si="2"/>
        <v>29.799999999999997</v>
      </c>
      <c r="AP18" s="12">
        <f t="shared" si="2"/>
        <v>96.8</v>
      </c>
      <c r="AQ18" s="12">
        <f t="shared" si="2"/>
        <v>99.3</v>
      </c>
      <c r="AR18" s="12">
        <f t="shared" si="2"/>
        <v>31</v>
      </c>
      <c r="AS18" s="12">
        <f t="shared" si="2"/>
        <v>45.300000000000004</v>
      </c>
      <c r="AT18" s="12">
        <f t="shared" si="2"/>
        <v>50.9</v>
      </c>
      <c r="AU18" s="12">
        <f t="shared" si="9"/>
        <v>42.300000000000004</v>
      </c>
      <c r="AV18" s="12">
        <f t="shared" si="2"/>
        <v>83.8</v>
      </c>
      <c r="AW18" s="12">
        <f t="shared" si="2"/>
        <v>16.100000000000001</v>
      </c>
      <c r="AX18" s="12">
        <f t="shared" si="10"/>
        <v>56</v>
      </c>
      <c r="AY18" s="9"/>
      <c r="AZ18" s="12">
        <f t="shared" si="2"/>
        <v>3.1</v>
      </c>
      <c r="BA18" s="12">
        <f t="shared" si="13"/>
        <v>75.099999999999994</v>
      </c>
      <c r="BB18" s="12">
        <f t="shared" si="11"/>
        <v>12.4</v>
      </c>
      <c r="BC18" s="12">
        <f t="shared" si="11"/>
        <v>17.299999999999997</v>
      </c>
      <c r="BD18" s="12">
        <f t="shared" si="11"/>
        <v>18</v>
      </c>
      <c r="BE18" s="12">
        <f t="shared" si="11"/>
        <v>16.100000000000001</v>
      </c>
      <c r="BF18" s="12">
        <f t="shared" si="12"/>
        <v>21.099999999999998</v>
      </c>
      <c r="BG18" s="12">
        <f t="shared" si="12"/>
        <v>18</v>
      </c>
      <c r="BH18" s="12">
        <f t="shared" si="12"/>
        <v>12.4</v>
      </c>
      <c r="BI18" s="12">
        <f t="shared" si="12"/>
        <v>26</v>
      </c>
    </row>
    <row r="19" spans="1:61" x14ac:dyDescent="0.25">
      <c r="A19" s="1" t="s">
        <v>123</v>
      </c>
      <c r="B19" s="3" t="s">
        <v>119</v>
      </c>
      <c r="C19" s="4" t="s">
        <v>8</v>
      </c>
      <c r="D19" s="4">
        <v>7</v>
      </c>
      <c r="E19" s="4">
        <v>216</v>
      </c>
      <c r="F19" s="4">
        <v>7</v>
      </c>
      <c r="G19" s="4">
        <v>216</v>
      </c>
      <c r="H19" s="4">
        <v>14.5</v>
      </c>
      <c r="I19" s="4">
        <v>0.58199999999999996</v>
      </c>
      <c r="J19" s="4">
        <v>0.56699999999999995</v>
      </c>
      <c r="K19" s="4">
        <v>0.47799999999999998</v>
      </c>
      <c r="L19" s="4">
        <v>0.06</v>
      </c>
      <c r="M19" s="4">
        <v>0.6</v>
      </c>
      <c r="N19" s="4">
        <v>7.1</v>
      </c>
      <c r="O19" s="4">
        <v>30.1</v>
      </c>
      <c r="P19" s="4">
        <v>1.1000000000000001</v>
      </c>
      <c r="Q19" s="4">
        <v>2.6</v>
      </c>
      <c r="R19" s="4">
        <v>25.1</v>
      </c>
      <c r="S19" s="4">
        <v>18.2</v>
      </c>
      <c r="T19" s="4">
        <v>104</v>
      </c>
      <c r="U19" s="4">
        <v>108</v>
      </c>
      <c r="V19" s="4">
        <v>0</v>
      </c>
      <c r="W19" s="4">
        <v>0.1</v>
      </c>
      <c r="X19" s="4">
        <v>0.2</v>
      </c>
      <c r="Y19" s="4">
        <v>0.4</v>
      </c>
      <c r="Z19" s="4">
        <v>7.0999999999999994E-2</v>
      </c>
      <c r="AA19" s="13">
        <f>(I19/TOTAL_BASIC!$D$301)*100</f>
        <v>104.26461196105701</v>
      </c>
      <c r="AB19" s="5">
        <f t="shared" si="3"/>
        <v>1.04</v>
      </c>
      <c r="AC19" s="3">
        <f t="shared" si="1"/>
        <v>-4</v>
      </c>
      <c r="AD19" s="9">
        <f t="shared" si="4"/>
        <v>1.1639999999999999</v>
      </c>
      <c r="AE19" s="16">
        <f t="shared" si="5"/>
        <v>1.653846153846154</v>
      </c>
      <c r="AF19" s="16">
        <f t="shared" si="6"/>
        <v>1.1992031872509961</v>
      </c>
      <c r="AG19" s="9"/>
      <c r="AH19" s="9"/>
      <c r="AI19" s="12">
        <f t="shared" si="7"/>
        <v>47.199999999999996</v>
      </c>
      <c r="AJ19" s="12">
        <f t="shared" si="8"/>
        <v>89.4</v>
      </c>
      <c r="AK19" s="12">
        <f t="shared" si="8"/>
        <v>52.7</v>
      </c>
      <c r="AL19" s="12">
        <f t="shared" si="8"/>
        <v>60.8</v>
      </c>
      <c r="AM19" s="12">
        <f t="shared" si="8"/>
        <v>68.300000000000011</v>
      </c>
      <c r="AN19" s="12">
        <f t="shared" si="8"/>
        <v>68.300000000000011</v>
      </c>
      <c r="AO19" s="12">
        <f t="shared" ref="AO19:AR82" si="14">(PERCENTRANK(L$3:L$298,L19))*100</f>
        <v>6.2</v>
      </c>
      <c r="AP19" s="12">
        <f t="shared" si="14"/>
        <v>13.600000000000001</v>
      </c>
      <c r="AQ19" s="12">
        <f t="shared" si="14"/>
        <v>32.200000000000003</v>
      </c>
      <c r="AR19" s="12">
        <f t="shared" si="14"/>
        <v>90.600000000000009</v>
      </c>
      <c r="AS19" s="12">
        <f t="shared" ref="AS19:AV82" si="15">(PERCENTRANK(P$3:P$298,P19))*100</f>
        <v>22.3</v>
      </c>
      <c r="AT19" s="12">
        <f t="shared" si="15"/>
        <v>69.5</v>
      </c>
      <c r="AU19" s="12">
        <f t="shared" si="9"/>
        <v>8.7000000000000028</v>
      </c>
      <c r="AV19" s="12">
        <f t="shared" si="15"/>
        <v>47.8</v>
      </c>
      <c r="AW19" s="12">
        <f t="shared" ref="AW19:AW82" si="16">(PERCENTRANK(T$3:T$298,T19))*100</f>
        <v>40.300000000000004</v>
      </c>
      <c r="AX19" s="12">
        <f t="shared" si="10"/>
        <v>56</v>
      </c>
      <c r="AY19" s="9"/>
      <c r="AZ19" s="12">
        <f t="shared" ref="AZ19:BD82" si="17">(PERCENTRANK(W$3:W$298,W19))*100</f>
        <v>40.300000000000004</v>
      </c>
      <c r="BA19" s="12">
        <f t="shared" si="13"/>
        <v>57.099999999999994</v>
      </c>
      <c r="BB19" s="12">
        <f t="shared" si="11"/>
        <v>62.1</v>
      </c>
      <c r="BC19" s="12">
        <f t="shared" si="11"/>
        <v>42.8</v>
      </c>
      <c r="BD19" s="12">
        <f t="shared" si="11"/>
        <v>60.8</v>
      </c>
      <c r="BE19" s="12">
        <f t="shared" si="11"/>
        <v>40.300000000000004</v>
      </c>
      <c r="BF19" s="12">
        <f t="shared" si="12"/>
        <v>41.6</v>
      </c>
      <c r="BG19" s="12">
        <f t="shared" si="12"/>
        <v>60.8</v>
      </c>
      <c r="BH19" s="12">
        <f t="shared" si="12"/>
        <v>93.100000000000009</v>
      </c>
      <c r="BI19" s="12">
        <f t="shared" si="12"/>
        <v>62.1</v>
      </c>
    </row>
    <row r="20" spans="1:61" x14ac:dyDescent="0.25">
      <c r="A20" s="1" t="s">
        <v>106</v>
      </c>
      <c r="B20" s="3" t="s">
        <v>98</v>
      </c>
      <c r="C20" s="4" t="s">
        <v>8</v>
      </c>
      <c r="D20" s="4">
        <v>7</v>
      </c>
      <c r="E20" s="4">
        <v>216</v>
      </c>
      <c r="F20" s="4">
        <v>7</v>
      </c>
      <c r="G20" s="4">
        <v>216</v>
      </c>
      <c r="H20" s="4">
        <v>19</v>
      </c>
      <c r="I20" s="4">
        <v>0.56599999999999995</v>
      </c>
      <c r="J20" s="4">
        <v>0.48799999999999999</v>
      </c>
      <c r="K20" s="4">
        <v>0.17499999999999999</v>
      </c>
      <c r="L20" s="4">
        <v>0.38800000000000001</v>
      </c>
      <c r="M20" s="4">
        <v>2.4</v>
      </c>
      <c r="N20" s="4">
        <v>9.5</v>
      </c>
      <c r="O20" s="4">
        <v>27.3</v>
      </c>
      <c r="P20" s="4">
        <v>2.2999999999999998</v>
      </c>
      <c r="Q20" s="4">
        <v>2.2000000000000002</v>
      </c>
      <c r="R20" s="4">
        <v>19</v>
      </c>
      <c r="S20" s="4">
        <v>23.4</v>
      </c>
      <c r="T20" s="4">
        <v>111</v>
      </c>
      <c r="U20" s="4">
        <v>101</v>
      </c>
      <c r="V20" s="4">
        <v>0</v>
      </c>
      <c r="W20" s="4">
        <v>0.4</v>
      </c>
      <c r="X20" s="4">
        <v>0.5</v>
      </c>
      <c r="Y20" s="4">
        <v>0.9</v>
      </c>
      <c r="Z20" s="4">
        <v>0.16900000000000001</v>
      </c>
      <c r="AA20" s="13">
        <f>(I20/TOTAL_BASIC!$D$301)*100</f>
        <v>101.39823087621696</v>
      </c>
      <c r="AB20" s="5">
        <f t="shared" si="3"/>
        <v>1.1100000000000001</v>
      </c>
      <c r="AC20" s="3">
        <f t="shared" si="1"/>
        <v>10</v>
      </c>
      <c r="AD20" s="9">
        <f t="shared" si="4"/>
        <v>1.1319999999999999</v>
      </c>
      <c r="AE20" s="16">
        <f t="shared" si="5"/>
        <v>1.1666666666666667</v>
      </c>
      <c r="AF20" s="16">
        <f t="shared" si="6"/>
        <v>1.4368421052631579</v>
      </c>
      <c r="AG20" s="9"/>
      <c r="AH20" s="9"/>
      <c r="AI20" s="12">
        <f t="shared" si="7"/>
        <v>47.199999999999996</v>
      </c>
      <c r="AJ20" s="12">
        <f t="shared" si="8"/>
        <v>89.4</v>
      </c>
      <c r="AK20" s="12">
        <f t="shared" si="8"/>
        <v>76.3</v>
      </c>
      <c r="AL20" s="12">
        <f t="shared" si="8"/>
        <v>50.3</v>
      </c>
      <c r="AM20" s="12">
        <f t="shared" si="8"/>
        <v>37.200000000000003</v>
      </c>
      <c r="AN20" s="12">
        <f t="shared" si="8"/>
        <v>18.600000000000001</v>
      </c>
      <c r="AO20" s="12">
        <f t="shared" si="14"/>
        <v>68.300000000000011</v>
      </c>
      <c r="AP20" s="12">
        <f t="shared" si="14"/>
        <v>29.799999999999997</v>
      </c>
      <c r="AQ20" s="12">
        <f t="shared" si="14"/>
        <v>57.099999999999994</v>
      </c>
      <c r="AR20" s="12">
        <f t="shared" si="14"/>
        <v>86.3</v>
      </c>
      <c r="AS20" s="12">
        <f t="shared" si="15"/>
        <v>70.099999999999994</v>
      </c>
      <c r="AT20" s="12">
        <f t="shared" si="15"/>
        <v>63.9</v>
      </c>
      <c r="AU20" s="12">
        <f t="shared" si="9"/>
        <v>27.400000000000006</v>
      </c>
      <c r="AV20" s="12">
        <f t="shared" si="15"/>
        <v>75.7</v>
      </c>
      <c r="AW20" s="12">
        <f t="shared" si="16"/>
        <v>58.3</v>
      </c>
      <c r="AX20" s="12">
        <f t="shared" si="10"/>
        <v>92</v>
      </c>
      <c r="AY20" s="9"/>
      <c r="AZ20" s="12">
        <f t="shared" si="17"/>
        <v>74.5</v>
      </c>
      <c r="BA20" s="12">
        <f t="shared" si="13"/>
        <v>96.8</v>
      </c>
      <c r="BB20" s="12">
        <f t="shared" si="11"/>
        <v>84.399999999999991</v>
      </c>
      <c r="BC20" s="12">
        <f t="shared" si="11"/>
        <v>80.100000000000009</v>
      </c>
      <c r="BD20" s="12">
        <f t="shared" si="11"/>
        <v>50.3</v>
      </c>
      <c r="BE20" s="12">
        <f t="shared" si="11"/>
        <v>58.3</v>
      </c>
      <c r="BF20" s="12">
        <f t="shared" si="12"/>
        <v>72.599999999999994</v>
      </c>
      <c r="BG20" s="12">
        <f t="shared" si="12"/>
        <v>50.3</v>
      </c>
      <c r="BH20" s="12">
        <f t="shared" si="12"/>
        <v>78.8</v>
      </c>
      <c r="BI20" s="12">
        <f t="shared" si="12"/>
        <v>75.7</v>
      </c>
    </row>
    <row r="21" spans="1:61" ht="15.75" customHeight="1" x14ac:dyDescent="0.25">
      <c r="A21" s="1" t="s">
        <v>206</v>
      </c>
      <c r="B21" s="3" t="s">
        <v>164</v>
      </c>
      <c r="C21" s="4" t="s">
        <v>8</v>
      </c>
      <c r="D21" s="4">
        <v>8</v>
      </c>
      <c r="E21" s="4">
        <v>215</v>
      </c>
      <c r="F21" s="4">
        <v>8</v>
      </c>
      <c r="G21" s="4">
        <v>215</v>
      </c>
      <c r="H21" s="4">
        <v>20.5</v>
      </c>
      <c r="I21" s="4">
        <v>0.68700000000000006</v>
      </c>
      <c r="J21" s="4">
        <v>0.63600000000000001</v>
      </c>
      <c r="K21" s="4">
        <v>0.33900000000000002</v>
      </c>
      <c r="L21" s="4">
        <v>0.55900000000000005</v>
      </c>
      <c r="M21" s="4">
        <v>5</v>
      </c>
      <c r="N21" s="4">
        <v>10.6</v>
      </c>
      <c r="O21" s="4">
        <v>18.7</v>
      </c>
      <c r="P21" s="4">
        <v>1.4</v>
      </c>
      <c r="Q21" s="4">
        <v>0.4</v>
      </c>
      <c r="R21" s="4">
        <v>8.6999999999999993</v>
      </c>
      <c r="S21" s="4">
        <v>16.3</v>
      </c>
      <c r="T21" s="4">
        <v>141</v>
      </c>
      <c r="U21" s="4">
        <v>116</v>
      </c>
      <c r="V21" s="4">
        <v>0</v>
      </c>
      <c r="W21" s="4">
        <v>1.1000000000000001</v>
      </c>
      <c r="X21" s="4">
        <v>0</v>
      </c>
      <c r="Y21" s="4">
        <v>1.1000000000000001</v>
      </c>
      <c r="Z21" s="4">
        <v>0.2</v>
      </c>
      <c r="AA21" s="13">
        <f>(I21/TOTAL_BASIC!$D$301)*100</f>
        <v>123.07523783031991</v>
      </c>
      <c r="AB21" s="5">
        <f t="shared" si="3"/>
        <v>1.41</v>
      </c>
      <c r="AC21" s="3">
        <f t="shared" si="1"/>
        <v>25</v>
      </c>
      <c r="AD21" s="9">
        <f t="shared" si="4"/>
        <v>1.3740000000000001</v>
      </c>
      <c r="AE21" s="16">
        <f t="shared" si="5"/>
        <v>1.1472392638036808</v>
      </c>
      <c r="AF21" s="16">
        <f t="shared" si="6"/>
        <v>2.1494252873563218</v>
      </c>
      <c r="AG21" s="9"/>
      <c r="AH21" s="9"/>
      <c r="AI21" s="12">
        <f t="shared" si="7"/>
        <v>69.5</v>
      </c>
      <c r="AJ21" s="12">
        <f t="shared" si="8"/>
        <v>88.8</v>
      </c>
      <c r="AK21" s="12">
        <f t="shared" si="8"/>
        <v>83.2</v>
      </c>
      <c r="AL21" s="12">
        <f t="shared" si="8"/>
        <v>89.4</v>
      </c>
      <c r="AM21" s="12">
        <f t="shared" si="8"/>
        <v>84.399999999999991</v>
      </c>
      <c r="AN21" s="12">
        <f t="shared" si="8"/>
        <v>39.1</v>
      </c>
      <c r="AO21" s="12">
        <f t="shared" si="14"/>
        <v>88.1</v>
      </c>
      <c r="AP21" s="12">
        <f t="shared" si="14"/>
        <v>62.1</v>
      </c>
      <c r="AQ21" s="12">
        <f t="shared" si="14"/>
        <v>63.3</v>
      </c>
      <c r="AR21" s="12">
        <f t="shared" si="14"/>
        <v>71.399999999999991</v>
      </c>
      <c r="AS21" s="12">
        <f t="shared" si="15"/>
        <v>34.1</v>
      </c>
      <c r="AT21" s="12">
        <f t="shared" si="15"/>
        <v>26</v>
      </c>
      <c r="AU21" s="12">
        <f t="shared" si="9"/>
        <v>85.1</v>
      </c>
      <c r="AV21" s="12">
        <f t="shared" si="15"/>
        <v>32.9</v>
      </c>
      <c r="AW21" s="12">
        <f t="shared" si="16"/>
        <v>98.1</v>
      </c>
      <c r="AX21" s="12">
        <f t="shared" si="10"/>
        <v>9.3999999999999915</v>
      </c>
      <c r="AY21" s="9"/>
      <c r="AZ21" s="12">
        <f t="shared" si="17"/>
        <v>98.7</v>
      </c>
      <c r="BA21" s="12">
        <f t="shared" si="13"/>
        <v>3.1</v>
      </c>
      <c r="BB21" s="12">
        <f t="shared" si="11"/>
        <v>95.6</v>
      </c>
      <c r="BC21" s="12">
        <f t="shared" si="11"/>
        <v>90.600000000000009</v>
      </c>
      <c r="BD21" s="12">
        <f t="shared" si="11"/>
        <v>89.4</v>
      </c>
      <c r="BE21" s="12">
        <f t="shared" si="11"/>
        <v>98.1</v>
      </c>
      <c r="BF21" s="12">
        <f t="shared" si="12"/>
        <v>95.6</v>
      </c>
      <c r="BG21" s="12">
        <f t="shared" si="12"/>
        <v>89.4</v>
      </c>
      <c r="BH21" s="12">
        <f t="shared" si="12"/>
        <v>78.2</v>
      </c>
      <c r="BI21" s="12">
        <f t="shared" si="12"/>
        <v>88.8</v>
      </c>
    </row>
    <row r="22" spans="1:61" ht="15.75" customHeight="1" x14ac:dyDescent="0.25">
      <c r="A22" s="1" t="s">
        <v>140</v>
      </c>
      <c r="B22" s="3" t="s">
        <v>116</v>
      </c>
      <c r="C22" s="4" t="s">
        <v>8</v>
      </c>
      <c r="D22" s="4">
        <v>8</v>
      </c>
      <c r="E22" s="4">
        <v>214</v>
      </c>
      <c r="F22" s="4">
        <v>8</v>
      </c>
      <c r="G22" s="4">
        <v>214</v>
      </c>
      <c r="H22" s="4">
        <v>13.4</v>
      </c>
      <c r="I22" s="4">
        <v>0.52900000000000003</v>
      </c>
      <c r="J22" s="4">
        <v>0.48299999999999998</v>
      </c>
      <c r="K22" s="4">
        <v>0.433</v>
      </c>
      <c r="L22" s="4">
        <v>0.21099999999999999</v>
      </c>
      <c r="M22" s="4">
        <v>0</v>
      </c>
      <c r="N22" s="4">
        <v>4.2</v>
      </c>
      <c r="O22" s="4">
        <v>29.8</v>
      </c>
      <c r="P22" s="4">
        <v>1.2</v>
      </c>
      <c r="Q22" s="4">
        <v>0.4</v>
      </c>
      <c r="R22" s="4">
        <v>13.2</v>
      </c>
      <c r="S22" s="4">
        <v>24.4</v>
      </c>
      <c r="T22" s="4">
        <v>101</v>
      </c>
      <c r="U22" s="4">
        <v>111</v>
      </c>
      <c r="V22" s="4">
        <v>0</v>
      </c>
      <c r="W22" s="4">
        <v>0.1</v>
      </c>
      <c r="X22" s="4">
        <v>0.2</v>
      </c>
      <c r="Y22" s="4">
        <v>0.3</v>
      </c>
      <c r="Z22" s="4">
        <v>4.9000000000000002E-2</v>
      </c>
      <c r="AA22" s="13">
        <f>(I22/TOTAL_BASIC!$D$301)*100</f>
        <v>94.769724617524346</v>
      </c>
      <c r="AB22" s="5">
        <f t="shared" si="3"/>
        <v>1.01</v>
      </c>
      <c r="AC22" s="3">
        <f t="shared" si="1"/>
        <v>-10</v>
      </c>
      <c r="AD22" s="9">
        <f t="shared" si="4"/>
        <v>1.0580000000000001</v>
      </c>
      <c r="AE22" s="16">
        <f t="shared" si="5"/>
        <v>1.2213114754098362</v>
      </c>
      <c r="AF22" s="16">
        <f t="shared" si="6"/>
        <v>2.2575757575757578</v>
      </c>
      <c r="AG22" s="9"/>
      <c r="AH22" s="9"/>
      <c r="AI22" s="12">
        <f t="shared" si="7"/>
        <v>69.5</v>
      </c>
      <c r="AJ22" s="12">
        <f t="shared" si="8"/>
        <v>87.5</v>
      </c>
      <c r="AK22" s="12">
        <f t="shared" si="8"/>
        <v>43.4</v>
      </c>
      <c r="AL22" s="12">
        <f t="shared" si="8"/>
        <v>37.799999999999997</v>
      </c>
      <c r="AM22" s="12">
        <f t="shared" si="8"/>
        <v>35.4</v>
      </c>
      <c r="AN22" s="12">
        <f t="shared" si="8"/>
        <v>60.199999999999996</v>
      </c>
      <c r="AO22" s="12">
        <f t="shared" si="14"/>
        <v>30.4</v>
      </c>
      <c r="AP22" s="12">
        <f t="shared" si="14"/>
        <v>0</v>
      </c>
      <c r="AQ22" s="12">
        <f t="shared" si="14"/>
        <v>10.5</v>
      </c>
      <c r="AR22" s="12">
        <f t="shared" si="14"/>
        <v>90</v>
      </c>
      <c r="AS22" s="12">
        <f t="shared" si="15"/>
        <v>25.4</v>
      </c>
      <c r="AT22" s="12">
        <f t="shared" si="15"/>
        <v>26</v>
      </c>
      <c r="AU22" s="12">
        <f t="shared" si="9"/>
        <v>61.5</v>
      </c>
      <c r="AV22" s="12">
        <f t="shared" si="15"/>
        <v>81.899999999999991</v>
      </c>
      <c r="AW22" s="12">
        <f t="shared" si="16"/>
        <v>34.699999999999996</v>
      </c>
      <c r="AX22" s="12">
        <f t="shared" si="10"/>
        <v>33.599999999999994</v>
      </c>
      <c r="AY22" s="9"/>
      <c r="AZ22" s="12">
        <f t="shared" si="17"/>
        <v>40.300000000000004</v>
      </c>
      <c r="BA22" s="12">
        <f t="shared" si="13"/>
        <v>57.099999999999994</v>
      </c>
      <c r="BB22" s="12">
        <f t="shared" si="11"/>
        <v>51.5</v>
      </c>
      <c r="BC22" s="12">
        <f t="shared" si="11"/>
        <v>33.5</v>
      </c>
      <c r="BD22" s="12">
        <f t="shared" si="11"/>
        <v>37.799999999999997</v>
      </c>
      <c r="BE22" s="12">
        <f t="shared" si="11"/>
        <v>34.699999999999996</v>
      </c>
      <c r="BF22" s="12">
        <f t="shared" si="12"/>
        <v>29.099999999999998</v>
      </c>
      <c r="BG22" s="12">
        <f t="shared" si="12"/>
        <v>37.799999999999997</v>
      </c>
      <c r="BH22" s="12">
        <f t="shared" si="12"/>
        <v>80.7</v>
      </c>
      <c r="BI22" s="12">
        <f t="shared" si="12"/>
        <v>92.5</v>
      </c>
    </row>
    <row r="23" spans="1:61" ht="15.75" customHeight="1" x14ac:dyDescent="0.25">
      <c r="A23" s="1" t="s">
        <v>168</v>
      </c>
      <c r="B23" s="3" t="s">
        <v>164</v>
      </c>
      <c r="C23" s="4" t="s">
        <v>8</v>
      </c>
      <c r="D23" s="4">
        <v>8</v>
      </c>
      <c r="E23" s="4">
        <v>214</v>
      </c>
      <c r="F23" s="4">
        <v>8</v>
      </c>
      <c r="G23" s="4">
        <v>214</v>
      </c>
      <c r="H23" s="4">
        <v>21.3</v>
      </c>
      <c r="I23" s="4">
        <v>0.57699999999999996</v>
      </c>
      <c r="J23" s="4">
        <v>0.52200000000000002</v>
      </c>
      <c r="K23" s="4">
        <v>0.58299999999999996</v>
      </c>
      <c r="L23" s="4">
        <v>0.29599999999999999</v>
      </c>
      <c r="M23" s="4">
        <v>3.9</v>
      </c>
      <c r="N23" s="4">
        <v>9.4</v>
      </c>
      <c r="O23" s="4">
        <v>26.1</v>
      </c>
      <c r="P23" s="4">
        <v>2.2999999999999998</v>
      </c>
      <c r="Q23" s="4">
        <v>1.3</v>
      </c>
      <c r="R23" s="4">
        <v>15</v>
      </c>
      <c r="S23" s="4">
        <v>31.2</v>
      </c>
      <c r="T23" s="4">
        <v>110</v>
      </c>
      <c r="U23" s="4">
        <v>114</v>
      </c>
      <c r="V23" s="4">
        <v>0</v>
      </c>
      <c r="W23" s="4">
        <v>0.5</v>
      </c>
      <c r="X23" s="4">
        <v>0.1</v>
      </c>
      <c r="Y23" s="4">
        <v>0.6</v>
      </c>
      <c r="Z23" s="4">
        <v>0.111</v>
      </c>
      <c r="AA23" s="13">
        <f>(I23/TOTAL_BASIC!$D$301)*100</f>
        <v>103.36886787204449</v>
      </c>
      <c r="AB23" s="5">
        <f t="shared" si="3"/>
        <v>1.1000000000000001</v>
      </c>
      <c r="AC23" s="3">
        <f t="shared" si="1"/>
        <v>-4</v>
      </c>
      <c r="AD23" s="9">
        <f t="shared" si="4"/>
        <v>1.1539999999999999</v>
      </c>
      <c r="AE23" s="16">
        <f t="shared" si="5"/>
        <v>0.83653846153846156</v>
      </c>
      <c r="AF23" s="16">
        <f t="shared" si="6"/>
        <v>1.74</v>
      </c>
      <c r="AG23" s="9"/>
      <c r="AH23" s="9"/>
      <c r="AI23" s="12">
        <f t="shared" si="7"/>
        <v>69.5</v>
      </c>
      <c r="AJ23" s="12">
        <f t="shared" si="8"/>
        <v>87.5</v>
      </c>
      <c r="AK23" s="12">
        <f t="shared" si="8"/>
        <v>87.5</v>
      </c>
      <c r="AL23" s="12">
        <f t="shared" si="8"/>
        <v>59.599999999999994</v>
      </c>
      <c r="AM23" s="12">
        <f t="shared" si="8"/>
        <v>52.7</v>
      </c>
      <c r="AN23" s="12">
        <f t="shared" si="8"/>
        <v>81.899999999999991</v>
      </c>
      <c r="AO23" s="12">
        <f t="shared" si="14"/>
        <v>47.199999999999996</v>
      </c>
      <c r="AP23" s="12">
        <f t="shared" si="14"/>
        <v>47.8</v>
      </c>
      <c r="AQ23" s="12">
        <f t="shared" si="14"/>
        <v>56.499999999999993</v>
      </c>
      <c r="AR23" s="12">
        <f t="shared" si="14"/>
        <v>85.7</v>
      </c>
      <c r="AS23" s="12">
        <f t="shared" si="15"/>
        <v>70.099999999999994</v>
      </c>
      <c r="AT23" s="12">
        <f t="shared" si="15"/>
        <v>47.8</v>
      </c>
      <c r="AU23" s="12">
        <f t="shared" si="9"/>
        <v>47.9</v>
      </c>
      <c r="AV23" s="12">
        <f t="shared" si="15"/>
        <v>96.8</v>
      </c>
      <c r="AW23" s="12">
        <f t="shared" si="16"/>
        <v>52.7</v>
      </c>
      <c r="AX23" s="12">
        <f t="shared" si="10"/>
        <v>19.299999999999997</v>
      </c>
      <c r="AY23" s="9"/>
      <c r="AZ23" s="12">
        <f t="shared" si="17"/>
        <v>79.5</v>
      </c>
      <c r="BA23" s="12">
        <f t="shared" si="13"/>
        <v>24.2</v>
      </c>
      <c r="BB23" s="12">
        <f t="shared" si="11"/>
        <v>72</v>
      </c>
      <c r="BC23" s="12">
        <f t="shared" si="11"/>
        <v>57.099999999999994</v>
      </c>
      <c r="BD23" s="12">
        <f t="shared" si="11"/>
        <v>59.599999999999994</v>
      </c>
      <c r="BE23" s="12">
        <f t="shared" si="11"/>
        <v>52.7</v>
      </c>
      <c r="BF23" s="12">
        <f t="shared" si="12"/>
        <v>41.6</v>
      </c>
      <c r="BG23" s="12">
        <f t="shared" si="12"/>
        <v>59.599999999999994</v>
      </c>
      <c r="BH23" s="12">
        <f t="shared" si="12"/>
        <v>62.7</v>
      </c>
      <c r="BI23" s="12">
        <f t="shared" si="12"/>
        <v>81.899999999999991</v>
      </c>
    </row>
    <row r="24" spans="1:61" ht="15.75" customHeight="1" x14ac:dyDescent="0.25">
      <c r="A24" s="1" t="s">
        <v>115</v>
      </c>
      <c r="B24" s="3" t="s">
        <v>116</v>
      </c>
      <c r="C24" s="4" t="s">
        <v>8</v>
      </c>
      <c r="D24" s="4">
        <v>8</v>
      </c>
      <c r="E24" s="4">
        <v>213</v>
      </c>
      <c r="F24" s="4">
        <v>8</v>
      </c>
      <c r="G24" s="4">
        <v>213</v>
      </c>
      <c r="H24" s="4">
        <v>13</v>
      </c>
      <c r="I24" s="4">
        <v>0.46</v>
      </c>
      <c r="J24" s="4">
        <v>0.35799999999999998</v>
      </c>
      <c r="K24" s="4">
        <v>0.38600000000000001</v>
      </c>
      <c r="L24" s="4">
        <v>0.42</v>
      </c>
      <c r="M24" s="4">
        <v>3.5</v>
      </c>
      <c r="N24" s="4">
        <v>10.8</v>
      </c>
      <c r="O24" s="4">
        <v>11.8</v>
      </c>
      <c r="P24" s="4">
        <v>1.9</v>
      </c>
      <c r="Q24" s="4">
        <v>5.5</v>
      </c>
      <c r="R24" s="4">
        <v>12.6</v>
      </c>
      <c r="S24" s="4">
        <v>25.8</v>
      </c>
      <c r="T24" s="4">
        <v>91</v>
      </c>
      <c r="U24" s="4">
        <v>103</v>
      </c>
      <c r="V24" s="4">
        <v>0</v>
      </c>
      <c r="W24" s="4">
        <v>-0.3</v>
      </c>
      <c r="X24" s="4">
        <v>0.4</v>
      </c>
      <c r="Y24" s="4">
        <v>0.1</v>
      </c>
      <c r="Z24" s="4">
        <v>1.6E-2</v>
      </c>
      <c r="AA24" s="13">
        <f>(I24/TOTAL_BASIC!$D$301)*100</f>
        <v>82.408456189151607</v>
      </c>
      <c r="AB24" s="5">
        <f t="shared" si="3"/>
        <v>0.91</v>
      </c>
      <c r="AC24" s="3">
        <f t="shared" si="1"/>
        <v>-12</v>
      </c>
      <c r="AD24" s="9">
        <f t="shared" si="4"/>
        <v>0.92</v>
      </c>
      <c r="AE24" s="16">
        <f t="shared" si="5"/>
        <v>0.45736434108527135</v>
      </c>
      <c r="AF24" s="16">
        <f t="shared" si="6"/>
        <v>0.93650793650793662</v>
      </c>
      <c r="AG24" s="9"/>
      <c r="AH24" s="9"/>
      <c r="AI24" s="12">
        <f t="shared" si="7"/>
        <v>69.5</v>
      </c>
      <c r="AJ24" s="12">
        <f t="shared" si="8"/>
        <v>86.9</v>
      </c>
      <c r="AK24" s="12">
        <f t="shared" si="8"/>
        <v>42.199999999999996</v>
      </c>
      <c r="AL24" s="12">
        <f t="shared" si="8"/>
        <v>16.7</v>
      </c>
      <c r="AM24" s="12">
        <f t="shared" si="8"/>
        <v>8.6</v>
      </c>
      <c r="AN24" s="12">
        <f t="shared" si="8"/>
        <v>49.6</v>
      </c>
      <c r="AO24" s="12">
        <f t="shared" si="14"/>
        <v>71.399999999999991</v>
      </c>
      <c r="AP24" s="12">
        <f t="shared" si="14"/>
        <v>42.199999999999996</v>
      </c>
      <c r="AQ24" s="12">
        <f t="shared" si="14"/>
        <v>64.5</v>
      </c>
      <c r="AR24" s="12">
        <f t="shared" si="14"/>
        <v>45.9</v>
      </c>
      <c r="AS24" s="12">
        <f t="shared" si="15"/>
        <v>58.3</v>
      </c>
      <c r="AT24" s="12">
        <f t="shared" si="15"/>
        <v>91.9</v>
      </c>
      <c r="AU24" s="12">
        <f t="shared" si="9"/>
        <v>64.599999999999994</v>
      </c>
      <c r="AV24" s="12">
        <f t="shared" si="15"/>
        <v>85.7</v>
      </c>
      <c r="AW24" s="12">
        <f t="shared" si="16"/>
        <v>15.5</v>
      </c>
      <c r="AX24" s="12">
        <f t="shared" si="10"/>
        <v>82</v>
      </c>
      <c r="AY24" s="9"/>
      <c r="AZ24" s="12">
        <f t="shared" si="17"/>
        <v>3.1</v>
      </c>
      <c r="BA24" s="12">
        <f t="shared" si="13"/>
        <v>87.5</v>
      </c>
      <c r="BB24" s="12">
        <f t="shared" si="11"/>
        <v>27.3</v>
      </c>
      <c r="BC24" s="12">
        <f t="shared" si="11"/>
        <v>24.2</v>
      </c>
      <c r="BD24" s="12">
        <f t="shared" si="11"/>
        <v>16.7</v>
      </c>
      <c r="BE24" s="12">
        <f t="shared" si="11"/>
        <v>15.5</v>
      </c>
      <c r="BF24" s="12">
        <f t="shared" si="12"/>
        <v>26.700000000000003</v>
      </c>
      <c r="BG24" s="12">
        <f t="shared" si="12"/>
        <v>16.7</v>
      </c>
      <c r="BH24" s="12">
        <f t="shared" si="12"/>
        <v>25.4</v>
      </c>
      <c r="BI24" s="12">
        <f t="shared" si="12"/>
        <v>49</v>
      </c>
    </row>
    <row r="25" spans="1:61" ht="15.75" customHeight="1" x14ac:dyDescent="0.25">
      <c r="A25" s="1" t="s">
        <v>138</v>
      </c>
      <c r="B25" s="3" t="s">
        <v>139</v>
      </c>
      <c r="C25" s="4" t="s">
        <v>8</v>
      </c>
      <c r="D25" s="4">
        <v>6</v>
      </c>
      <c r="E25" s="4">
        <v>211</v>
      </c>
      <c r="F25" s="4">
        <v>6</v>
      </c>
      <c r="G25" s="4">
        <v>211</v>
      </c>
      <c r="H25" s="4">
        <v>27.5</v>
      </c>
      <c r="I25" s="4">
        <v>0.72899999999999998</v>
      </c>
      <c r="J25" s="4">
        <v>0.69499999999999995</v>
      </c>
      <c r="K25" s="4">
        <v>0.432</v>
      </c>
      <c r="L25" s="4">
        <v>0.36799999999999999</v>
      </c>
      <c r="M25" s="4">
        <v>0.7</v>
      </c>
      <c r="N25" s="4">
        <v>3.6</v>
      </c>
      <c r="O25" s="4">
        <v>32.9</v>
      </c>
      <c r="P25" s="4">
        <v>1.6</v>
      </c>
      <c r="Q25" s="4">
        <v>0</v>
      </c>
      <c r="R25" s="4">
        <v>15.3</v>
      </c>
      <c r="S25" s="4">
        <v>27.2</v>
      </c>
      <c r="T25" s="4">
        <v>132</v>
      </c>
      <c r="U25" s="4">
        <v>123</v>
      </c>
      <c r="V25" s="4">
        <v>0</v>
      </c>
      <c r="W25" s="4">
        <v>1.3</v>
      </c>
      <c r="X25" s="4">
        <v>-0.2</v>
      </c>
      <c r="Y25" s="4">
        <v>1.1000000000000001</v>
      </c>
      <c r="Z25" s="4">
        <v>0.218</v>
      </c>
      <c r="AA25" s="13">
        <f>(I25/TOTAL_BASIC!$D$301)*100</f>
        <v>130.59948817802501</v>
      </c>
      <c r="AB25" s="5">
        <f t="shared" si="3"/>
        <v>1.32</v>
      </c>
      <c r="AC25" s="3">
        <f t="shared" si="1"/>
        <v>9</v>
      </c>
      <c r="AD25" s="9">
        <f t="shared" si="4"/>
        <v>1.458</v>
      </c>
      <c r="AE25" s="16">
        <f t="shared" si="5"/>
        <v>1.2095588235294117</v>
      </c>
      <c r="AF25" s="16">
        <f t="shared" si="6"/>
        <v>2.1503267973856208</v>
      </c>
      <c r="AG25" s="9"/>
      <c r="AH25" s="9"/>
      <c r="AI25" s="12">
        <f t="shared" si="7"/>
        <v>25.4</v>
      </c>
      <c r="AJ25" s="12">
        <f t="shared" si="8"/>
        <v>85.7</v>
      </c>
      <c r="AK25" s="12">
        <f t="shared" si="8"/>
        <v>98.7</v>
      </c>
      <c r="AL25" s="12">
        <f t="shared" si="8"/>
        <v>95</v>
      </c>
      <c r="AM25" s="12">
        <f t="shared" si="8"/>
        <v>92.5</v>
      </c>
      <c r="AN25" s="12">
        <f t="shared" si="8"/>
        <v>59.599999999999994</v>
      </c>
      <c r="AO25" s="12">
        <f t="shared" si="14"/>
        <v>65.2</v>
      </c>
      <c r="AP25" s="12">
        <f t="shared" si="14"/>
        <v>14.899999999999999</v>
      </c>
      <c r="AQ25" s="12">
        <f t="shared" si="14"/>
        <v>8</v>
      </c>
      <c r="AR25" s="12">
        <f t="shared" si="14"/>
        <v>91.9</v>
      </c>
      <c r="AS25" s="12">
        <f t="shared" si="15"/>
        <v>45.300000000000004</v>
      </c>
      <c r="AT25" s="12">
        <f t="shared" si="15"/>
        <v>0</v>
      </c>
      <c r="AU25" s="12">
        <f t="shared" si="9"/>
        <v>44.8</v>
      </c>
      <c r="AV25" s="12">
        <f t="shared" si="15"/>
        <v>88.1</v>
      </c>
      <c r="AW25" s="12">
        <f t="shared" si="16"/>
        <v>93.7</v>
      </c>
      <c r="AX25" s="12">
        <f t="shared" si="10"/>
        <v>1.9000000000000057</v>
      </c>
      <c r="AY25" s="9"/>
      <c r="AZ25" s="12">
        <f t="shared" si="17"/>
        <v>100</v>
      </c>
      <c r="BA25" s="12">
        <f t="shared" si="13"/>
        <v>0</v>
      </c>
      <c r="BB25" s="12">
        <f t="shared" si="11"/>
        <v>95.6</v>
      </c>
      <c r="BC25" s="12">
        <f t="shared" si="11"/>
        <v>93.7</v>
      </c>
      <c r="BD25" s="12">
        <f t="shared" si="11"/>
        <v>95</v>
      </c>
      <c r="BE25" s="12">
        <f t="shared" si="11"/>
        <v>93.7</v>
      </c>
      <c r="BF25" s="12">
        <f t="shared" si="12"/>
        <v>68.300000000000011</v>
      </c>
      <c r="BG25" s="12">
        <f t="shared" si="12"/>
        <v>95</v>
      </c>
      <c r="BH25" s="12">
        <f t="shared" si="12"/>
        <v>79.5</v>
      </c>
      <c r="BI25" s="12">
        <f t="shared" si="12"/>
        <v>89.4</v>
      </c>
    </row>
    <row r="26" spans="1:61" ht="15.75" customHeight="1" x14ac:dyDescent="0.25">
      <c r="A26" s="1" t="s">
        <v>131</v>
      </c>
      <c r="B26" s="3" t="s">
        <v>109</v>
      </c>
      <c r="C26" s="4" t="s">
        <v>8</v>
      </c>
      <c r="D26" s="4">
        <v>9</v>
      </c>
      <c r="E26" s="4">
        <v>211</v>
      </c>
      <c r="F26" s="4">
        <v>9</v>
      </c>
      <c r="G26" s="4">
        <v>211</v>
      </c>
      <c r="H26" s="4">
        <v>4.7</v>
      </c>
      <c r="I26" s="4">
        <v>0.32700000000000001</v>
      </c>
      <c r="J26" s="4">
        <v>0.28199999999999997</v>
      </c>
      <c r="K26" s="4">
        <v>0.28199999999999997</v>
      </c>
      <c r="L26" s="4">
        <v>0.22500000000000001</v>
      </c>
      <c r="M26" s="4">
        <v>2.1</v>
      </c>
      <c r="N26" s="4">
        <v>5.7</v>
      </c>
      <c r="O26" s="4">
        <v>25.5</v>
      </c>
      <c r="P26" s="4">
        <v>2.1</v>
      </c>
      <c r="Q26" s="4">
        <v>2.2999999999999998</v>
      </c>
      <c r="R26" s="4">
        <v>18.7</v>
      </c>
      <c r="S26" s="4">
        <v>19.7</v>
      </c>
      <c r="T26" s="4">
        <v>74</v>
      </c>
      <c r="U26" s="4">
        <v>112</v>
      </c>
      <c r="V26" s="4">
        <v>0</v>
      </c>
      <c r="W26" s="4">
        <v>-0.8</v>
      </c>
      <c r="X26" s="4">
        <v>0.1</v>
      </c>
      <c r="Y26" s="4">
        <v>-0.6</v>
      </c>
      <c r="Z26" s="4">
        <v>-0.121</v>
      </c>
      <c r="AA26" s="13">
        <f>(I26/TOTAL_BASIC!$D$301)*100</f>
        <v>58.581663421418639</v>
      </c>
      <c r="AB26" s="5">
        <f t="shared" si="3"/>
        <v>0.74</v>
      </c>
      <c r="AC26" s="3">
        <f t="shared" si="1"/>
        <v>-38</v>
      </c>
      <c r="AD26" s="9">
        <f t="shared" si="4"/>
        <v>0.65400000000000003</v>
      </c>
      <c r="AE26" s="16">
        <f t="shared" si="5"/>
        <v>1.2944162436548223</v>
      </c>
      <c r="AF26" s="16">
        <f t="shared" si="6"/>
        <v>1.3636363636363638</v>
      </c>
      <c r="AG26" s="9"/>
      <c r="AH26" s="9"/>
      <c r="AI26" s="12">
        <f t="shared" si="7"/>
        <v>96.2</v>
      </c>
      <c r="AJ26" s="12">
        <f t="shared" si="8"/>
        <v>85.7</v>
      </c>
      <c r="AK26" s="12">
        <f t="shared" si="8"/>
        <v>6.2</v>
      </c>
      <c r="AL26" s="12">
        <f t="shared" si="8"/>
        <v>2.4</v>
      </c>
      <c r="AM26" s="12">
        <f t="shared" si="8"/>
        <v>3.1</v>
      </c>
      <c r="AN26" s="12">
        <f t="shared" si="8"/>
        <v>30.4</v>
      </c>
      <c r="AO26" s="12">
        <f t="shared" si="14"/>
        <v>33.5</v>
      </c>
      <c r="AP26" s="12">
        <f t="shared" si="14"/>
        <v>26.700000000000003</v>
      </c>
      <c r="AQ26" s="12">
        <f t="shared" si="14"/>
        <v>22.900000000000002</v>
      </c>
      <c r="AR26" s="12">
        <f t="shared" si="14"/>
        <v>84.399999999999991</v>
      </c>
      <c r="AS26" s="12">
        <f t="shared" si="15"/>
        <v>65.2</v>
      </c>
      <c r="AT26" s="12">
        <f t="shared" si="15"/>
        <v>64.5</v>
      </c>
      <c r="AU26" s="12">
        <f t="shared" si="9"/>
        <v>29.900000000000006</v>
      </c>
      <c r="AV26" s="12">
        <f t="shared" si="15"/>
        <v>59.599999999999994</v>
      </c>
      <c r="AW26" s="12">
        <f t="shared" si="16"/>
        <v>3.6999999999999997</v>
      </c>
      <c r="AX26" s="12">
        <f t="shared" si="10"/>
        <v>29.200000000000003</v>
      </c>
      <c r="AY26" s="9"/>
      <c r="AZ26" s="12">
        <f t="shared" si="17"/>
        <v>0</v>
      </c>
      <c r="BA26" s="12">
        <f t="shared" si="13"/>
        <v>24.2</v>
      </c>
      <c r="BB26" s="12">
        <f t="shared" si="11"/>
        <v>0</v>
      </c>
      <c r="BC26" s="12">
        <f t="shared" si="11"/>
        <v>1.7999999999999998</v>
      </c>
      <c r="BD26" s="12">
        <f t="shared" si="11"/>
        <v>2.4</v>
      </c>
      <c r="BE26" s="12">
        <f t="shared" si="11"/>
        <v>3.6999999999999997</v>
      </c>
      <c r="BF26" s="12">
        <f t="shared" si="12"/>
        <v>2.4</v>
      </c>
      <c r="BG26" s="12">
        <f t="shared" si="12"/>
        <v>2.4</v>
      </c>
      <c r="BH26" s="12">
        <f t="shared" si="12"/>
        <v>83.2</v>
      </c>
      <c r="BI26" s="12">
        <f t="shared" si="12"/>
        <v>69.5</v>
      </c>
    </row>
    <row r="27" spans="1:61" ht="15.75" customHeight="1" x14ac:dyDescent="0.25">
      <c r="A27" s="1" t="s">
        <v>134</v>
      </c>
      <c r="B27" s="3" t="s">
        <v>119</v>
      </c>
      <c r="C27" s="4" t="s">
        <v>90</v>
      </c>
      <c r="D27" s="4">
        <v>7</v>
      </c>
      <c r="E27" s="4">
        <v>208</v>
      </c>
      <c r="F27" s="4">
        <v>7</v>
      </c>
      <c r="G27" s="4">
        <v>208</v>
      </c>
      <c r="H27" s="4">
        <v>29.5</v>
      </c>
      <c r="I27" s="4">
        <v>0.61899999999999999</v>
      </c>
      <c r="J27" s="4">
        <v>0.56399999999999995</v>
      </c>
      <c r="K27" s="4">
        <v>0.11899999999999999</v>
      </c>
      <c r="L27" s="4">
        <v>0.373</v>
      </c>
      <c r="M27" s="4">
        <v>4.5999999999999996</v>
      </c>
      <c r="N27" s="4">
        <v>13.7</v>
      </c>
      <c r="O27" s="4">
        <v>15.6</v>
      </c>
      <c r="P27" s="4">
        <v>1.6</v>
      </c>
      <c r="Q27" s="4">
        <v>5.4</v>
      </c>
      <c r="R27" s="4">
        <v>11.6</v>
      </c>
      <c r="S27" s="4">
        <v>32.1</v>
      </c>
      <c r="T27" s="4">
        <v>116</v>
      </c>
      <c r="U27" s="4">
        <v>103</v>
      </c>
      <c r="V27" s="4">
        <v>0</v>
      </c>
      <c r="W27" s="4">
        <v>0.8</v>
      </c>
      <c r="X27" s="4">
        <v>0.4</v>
      </c>
      <c r="Y27" s="4">
        <v>1.2</v>
      </c>
      <c r="Z27" s="4">
        <v>0.22600000000000001</v>
      </c>
      <c r="AA27" s="13">
        <f>(I27/TOTAL_BASIC!$D$301)*100</f>
        <v>110.89311821974965</v>
      </c>
      <c r="AB27" s="5">
        <f t="shared" si="3"/>
        <v>1.1599999999999999</v>
      </c>
      <c r="AC27" s="3">
        <f t="shared" si="1"/>
        <v>13</v>
      </c>
      <c r="AD27" s="9">
        <f t="shared" si="4"/>
        <v>1.238</v>
      </c>
      <c r="AE27" s="16">
        <f t="shared" si="5"/>
        <v>0.4859813084112149</v>
      </c>
      <c r="AF27" s="16">
        <f t="shared" si="6"/>
        <v>1.3448275862068966</v>
      </c>
      <c r="AG27" s="9"/>
      <c r="AH27" s="9"/>
      <c r="AI27" s="12">
        <f t="shared" si="7"/>
        <v>47.199999999999996</v>
      </c>
      <c r="AJ27" s="12">
        <f t="shared" si="8"/>
        <v>85</v>
      </c>
      <c r="AK27" s="12">
        <f t="shared" si="8"/>
        <v>99.3</v>
      </c>
      <c r="AL27" s="12">
        <f t="shared" si="8"/>
        <v>72.599999999999994</v>
      </c>
      <c r="AM27" s="12">
        <f t="shared" si="8"/>
        <v>66.400000000000006</v>
      </c>
      <c r="AN27" s="12">
        <f t="shared" si="8"/>
        <v>14.2</v>
      </c>
      <c r="AO27" s="12">
        <f t="shared" si="14"/>
        <v>66.400000000000006</v>
      </c>
      <c r="AP27" s="12">
        <f t="shared" si="14"/>
        <v>57.099999999999994</v>
      </c>
      <c r="AQ27" s="12">
        <f t="shared" si="14"/>
        <v>78.8</v>
      </c>
      <c r="AR27" s="12">
        <f t="shared" si="14"/>
        <v>62.7</v>
      </c>
      <c r="AS27" s="12">
        <f t="shared" si="15"/>
        <v>45.300000000000004</v>
      </c>
      <c r="AT27" s="12">
        <f t="shared" si="15"/>
        <v>90.600000000000009</v>
      </c>
      <c r="AU27" s="12">
        <f t="shared" si="9"/>
        <v>69</v>
      </c>
      <c r="AV27" s="12">
        <f t="shared" si="15"/>
        <v>98.1</v>
      </c>
      <c r="AW27" s="12">
        <f t="shared" si="16"/>
        <v>71.399999999999991</v>
      </c>
      <c r="AX27" s="12">
        <f t="shared" si="10"/>
        <v>82</v>
      </c>
      <c r="AY27" s="9"/>
      <c r="AZ27" s="12">
        <f t="shared" si="17"/>
        <v>94.399999999999991</v>
      </c>
      <c r="BA27" s="12">
        <f t="shared" si="13"/>
        <v>87.5</v>
      </c>
      <c r="BB27" s="12">
        <f t="shared" si="11"/>
        <v>97.5</v>
      </c>
      <c r="BC27" s="12">
        <f t="shared" si="11"/>
        <v>94.399999999999991</v>
      </c>
      <c r="BD27" s="12">
        <f t="shared" si="11"/>
        <v>72.599999999999994</v>
      </c>
      <c r="BE27" s="12">
        <f t="shared" si="11"/>
        <v>71.399999999999991</v>
      </c>
      <c r="BF27" s="12">
        <f t="shared" si="12"/>
        <v>80.100000000000009</v>
      </c>
      <c r="BG27" s="12">
        <f t="shared" si="12"/>
        <v>72.599999999999994</v>
      </c>
      <c r="BH27" s="12">
        <f t="shared" si="12"/>
        <v>30.4</v>
      </c>
      <c r="BI27" s="12">
        <f t="shared" si="12"/>
        <v>68.899999999999991</v>
      </c>
    </row>
    <row r="28" spans="1:61" ht="15.75" customHeight="1" x14ac:dyDescent="0.25">
      <c r="A28" s="1" t="s">
        <v>91</v>
      </c>
      <c r="B28" s="3" t="s">
        <v>86</v>
      </c>
      <c r="C28" s="4" t="s">
        <v>8</v>
      </c>
      <c r="D28" s="4">
        <v>8</v>
      </c>
      <c r="E28" s="4">
        <v>205</v>
      </c>
      <c r="F28" s="4">
        <v>8</v>
      </c>
      <c r="G28" s="4">
        <v>205</v>
      </c>
      <c r="H28" s="4">
        <v>17.7</v>
      </c>
      <c r="I28" s="4">
        <v>0.67800000000000005</v>
      </c>
      <c r="J28" s="4">
        <v>0.65300000000000002</v>
      </c>
      <c r="K28" s="4">
        <v>0.27100000000000002</v>
      </c>
      <c r="L28" s="4">
        <v>0.33900000000000002</v>
      </c>
      <c r="M28" s="4">
        <v>4.7</v>
      </c>
      <c r="N28" s="4">
        <v>8.1999999999999993</v>
      </c>
      <c r="O28" s="4">
        <v>22.6</v>
      </c>
      <c r="P28" s="4">
        <v>1.7</v>
      </c>
      <c r="Q28" s="4">
        <v>1</v>
      </c>
      <c r="R28" s="4">
        <v>17.100000000000001</v>
      </c>
      <c r="S28" s="4">
        <v>18.399999999999999</v>
      </c>
      <c r="T28" s="4">
        <v>122</v>
      </c>
      <c r="U28" s="4">
        <v>109</v>
      </c>
      <c r="V28" s="4">
        <v>0</v>
      </c>
      <c r="W28" s="4">
        <v>0.6</v>
      </c>
      <c r="X28" s="4">
        <v>0.2</v>
      </c>
      <c r="Y28" s="4">
        <v>0.8</v>
      </c>
      <c r="Z28" s="4">
        <v>0.16500000000000001</v>
      </c>
      <c r="AA28" s="13">
        <f>(I28/TOTAL_BASIC!$D$301)*100</f>
        <v>121.46289847009737</v>
      </c>
      <c r="AB28" s="5">
        <f t="shared" si="3"/>
        <v>1.22</v>
      </c>
      <c r="AC28" s="3">
        <f t="shared" si="1"/>
        <v>13</v>
      </c>
      <c r="AD28" s="9">
        <f t="shared" si="4"/>
        <v>1.3560000000000001</v>
      </c>
      <c r="AE28" s="16">
        <f t="shared" si="5"/>
        <v>1.2282608695652175</v>
      </c>
      <c r="AF28" s="16">
        <f t="shared" si="6"/>
        <v>1.3216374269005848</v>
      </c>
      <c r="AG28" s="9"/>
      <c r="AH28" s="9"/>
      <c r="AI28" s="12">
        <f t="shared" si="7"/>
        <v>69.5</v>
      </c>
      <c r="AJ28" s="12">
        <f t="shared" si="8"/>
        <v>84.399999999999991</v>
      </c>
      <c r="AK28" s="12">
        <f t="shared" si="8"/>
        <v>70.8</v>
      </c>
      <c r="AL28" s="12">
        <f t="shared" si="8"/>
        <v>86.3</v>
      </c>
      <c r="AM28" s="12">
        <f t="shared" si="8"/>
        <v>87.5</v>
      </c>
      <c r="AN28" s="12">
        <f t="shared" si="8"/>
        <v>28.499999999999996</v>
      </c>
      <c r="AO28" s="12">
        <f t="shared" si="14"/>
        <v>54.6</v>
      </c>
      <c r="AP28" s="12">
        <f t="shared" si="14"/>
        <v>57.699999999999996</v>
      </c>
      <c r="AQ28" s="12">
        <f t="shared" si="14"/>
        <v>44</v>
      </c>
      <c r="AR28" s="12">
        <f t="shared" si="14"/>
        <v>78.8</v>
      </c>
      <c r="AS28" s="12">
        <f t="shared" si="15"/>
        <v>52.1</v>
      </c>
      <c r="AT28" s="12">
        <f t="shared" si="15"/>
        <v>42.199999999999996</v>
      </c>
      <c r="AU28" s="12">
        <f t="shared" si="9"/>
        <v>33.599999999999994</v>
      </c>
      <c r="AV28" s="12">
        <f t="shared" si="15"/>
        <v>50.3</v>
      </c>
      <c r="AW28" s="12">
        <f t="shared" si="16"/>
        <v>88.1</v>
      </c>
      <c r="AX28" s="12">
        <f t="shared" si="10"/>
        <v>47.3</v>
      </c>
      <c r="AY28" s="9"/>
      <c r="AZ28" s="12">
        <f t="shared" si="17"/>
        <v>88.8</v>
      </c>
      <c r="BA28" s="12">
        <f t="shared" si="13"/>
        <v>57.099999999999994</v>
      </c>
      <c r="BB28" s="12">
        <f t="shared" si="11"/>
        <v>80.7</v>
      </c>
      <c r="BC28" s="12">
        <f t="shared" si="11"/>
        <v>76.3</v>
      </c>
      <c r="BD28" s="12">
        <f t="shared" si="11"/>
        <v>86.3</v>
      </c>
      <c r="BE28" s="12">
        <f t="shared" si="11"/>
        <v>88.1</v>
      </c>
      <c r="BF28" s="12">
        <f t="shared" si="12"/>
        <v>80.100000000000009</v>
      </c>
      <c r="BG28" s="12">
        <f t="shared" si="12"/>
        <v>86.3</v>
      </c>
      <c r="BH28" s="12">
        <f t="shared" si="12"/>
        <v>81.3</v>
      </c>
      <c r="BI28" s="12">
        <f t="shared" si="12"/>
        <v>66.400000000000006</v>
      </c>
    </row>
    <row r="29" spans="1:61" ht="15.75" customHeight="1" x14ac:dyDescent="0.25">
      <c r="A29" s="1" t="s">
        <v>151</v>
      </c>
      <c r="B29" s="4" t="s">
        <v>130</v>
      </c>
      <c r="C29" s="4" t="s">
        <v>8</v>
      </c>
      <c r="D29" s="4">
        <v>6</v>
      </c>
      <c r="E29" s="4">
        <v>204</v>
      </c>
      <c r="F29" s="4">
        <v>6</v>
      </c>
      <c r="G29" s="4">
        <v>204</v>
      </c>
      <c r="H29" s="4">
        <v>18.399999999999999</v>
      </c>
      <c r="I29" s="4">
        <v>0.58799999999999997</v>
      </c>
      <c r="J29" s="4">
        <v>0.53600000000000003</v>
      </c>
      <c r="K29" s="4">
        <v>0.39600000000000002</v>
      </c>
      <c r="L29" s="4">
        <v>0.34399999999999997</v>
      </c>
      <c r="M29" s="4">
        <v>2.2999999999999998</v>
      </c>
      <c r="N29" s="4">
        <v>7.3</v>
      </c>
      <c r="O29" s="4">
        <v>7.6</v>
      </c>
      <c r="P29" s="4">
        <v>1.2</v>
      </c>
      <c r="Q29" s="4">
        <v>1.7</v>
      </c>
      <c r="R29" s="4">
        <v>10.5</v>
      </c>
      <c r="S29" s="4">
        <v>26</v>
      </c>
      <c r="T29" s="4">
        <v>114</v>
      </c>
      <c r="U29" s="4">
        <v>105</v>
      </c>
      <c r="V29" s="4">
        <v>0</v>
      </c>
      <c r="W29" s="4">
        <v>0.5</v>
      </c>
      <c r="X29" s="4">
        <v>0.4</v>
      </c>
      <c r="Y29" s="4">
        <v>0.9</v>
      </c>
      <c r="Z29" s="4">
        <v>0.17</v>
      </c>
      <c r="AA29" s="13">
        <f>(I29/TOTAL_BASIC!$D$301)*100</f>
        <v>105.33950486787205</v>
      </c>
      <c r="AB29" s="5">
        <f t="shared" si="3"/>
        <v>1.1399999999999999</v>
      </c>
      <c r="AC29" s="3">
        <f t="shared" si="1"/>
        <v>9</v>
      </c>
      <c r="AD29" s="9">
        <f t="shared" si="4"/>
        <v>1.1759999999999999</v>
      </c>
      <c r="AE29" s="16">
        <f t="shared" si="5"/>
        <v>0.29230769230769227</v>
      </c>
      <c r="AF29" s="16">
        <f t="shared" si="6"/>
        <v>0.72380952380952379</v>
      </c>
      <c r="AG29" s="9"/>
      <c r="AH29" s="9"/>
      <c r="AI29" s="12">
        <f t="shared" si="7"/>
        <v>25.4</v>
      </c>
      <c r="AJ29" s="12">
        <f t="shared" si="8"/>
        <v>83.8</v>
      </c>
      <c r="AK29" s="12">
        <f t="shared" si="8"/>
        <v>74.5</v>
      </c>
      <c r="AL29" s="12">
        <f t="shared" si="8"/>
        <v>62.7</v>
      </c>
      <c r="AM29" s="12">
        <f t="shared" si="8"/>
        <v>59</v>
      </c>
      <c r="AN29" s="12">
        <f t="shared" si="8"/>
        <v>52.1</v>
      </c>
      <c r="AO29" s="12">
        <f t="shared" si="14"/>
        <v>55.900000000000006</v>
      </c>
      <c r="AP29" s="12">
        <f t="shared" si="14"/>
        <v>27.900000000000002</v>
      </c>
      <c r="AQ29" s="12">
        <f t="shared" si="14"/>
        <v>34.1</v>
      </c>
      <c r="AR29" s="12">
        <f t="shared" si="14"/>
        <v>21.7</v>
      </c>
      <c r="AS29" s="12">
        <f t="shared" si="15"/>
        <v>25.4</v>
      </c>
      <c r="AT29" s="12">
        <f t="shared" si="15"/>
        <v>55.900000000000006</v>
      </c>
      <c r="AU29" s="12">
        <f t="shared" si="9"/>
        <v>77.099999999999994</v>
      </c>
      <c r="AV29" s="12">
        <f t="shared" si="15"/>
        <v>86.3</v>
      </c>
      <c r="AW29" s="12">
        <f t="shared" si="16"/>
        <v>67</v>
      </c>
      <c r="AX29" s="12">
        <f t="shared" si="10"/>
        <v>70.900000000000006</v>
      </c>
      <c r="AY29" s="9"/>
      <c r="AZ29" s="12">
        <f t="shared" si="17"/>
        <v>79.5</v>
      </c>
      <c r="BA29" s="12">
        <f t="shared" si="13"/>
        <v>87.5</v>
      </c>
      <c r="BB29" s="12">
        <f t="shared" si="11"/>
        <v>84.399999999999991</v>
      </c>
      <c r="BC29" s="12">
        <f t="shared" si="11"/>
        <v>80.7</v>
      </c>
      <c r="BD29" s="12">
        <f t="shared" si="11"/>
        <v>62.7</v>
      </c>
      <c r="BE29" s="12">
        <f t="shared" si="11"/>
        <v>67</v>
      </c>
      <c r="BF29" s="12">
        <f t="shared" si="12"/>
        <v>68.300000000000011</v>
      </c>
      <c r="BG29" s="12">
        <f t="shared" si="12"/>
        <v>62.7</v>
      </c>
      <c r="BH29" s="12">
        <f t="shared" si="12"/>
        <v>8.6</v>
      </c>
      <c r="BI29" s="12">
        <f t="shared" si="12"/>
        <v>36.6</v>
      </c>
    </row>
    <row r="30" spans="1:61" ht="15.75" customHeight="1" x14ac:dyDescent="0.25">
      <c r="A30" s="1" t="s">
        <v>173</v>
      </c>
      <c r="B30" s="4" t="s">
        <v>109</v>
      </c>
      <c r="C30" s="4" t="s">
        <v>8</v>
      </c>
      <c r="D30" s="4">
        <v>9</v>
      </c>
      <c r="E30" s="4">
        <v>203</v>
      </c>
      <c r="F30" s="4">
        <v>9</v>
      </c>
      <c r="G30" s="4">
        <v>203</v>
      </c>
      <c r="H30" s="4">
        <v>8.9</v>
      </c>
      <c r="I30" s="4">
        <v>0.48599999999999999</v>
      </c>
      <c r="J30" s="4">
        <v>0.44600000000000001</v>
      </c>
      <c r="K30" s="4">
        <v>0.36899999999999999</v>
      </c>
      <c r="L30" s="4">
        <v>0.35399999999999998</v>
      </c>
      <c r="M30" s="4">
        <v>1.1000000000000001</v>
      </c>
      <c r="N30" s="4">
        <v>5</v>
      </c>
      <c r="O30" s="4">
        <v>20.399999999999999</v>
      </c>
      <c r="P30" s="4">
        <v>1.5</v>
      </c>
      <c r="Q30" s="4">
        <v>0</v>
      </c>
      <c r="R30" s="4">
        <v>14.8</v>
      </c>
      <c r="S30" s="4">
        <v>18.7</v>
      </c>
      <c r="T30" s="4">
        <v>97</v>
      </c>
      <c r="U30" s="4">
        <v>115</v>
      </c>
      <c r="V30" s="4">
        <v>0</v>
      </c>
      <c r="W30" s="4">
        <v>-0.1</v>
      </c>
      <c r="X30" s="4">
        <v>0</v>
      </c>
      <c r="Y30" s="4">
        <v>0</v>
      </c>
      <c r="Z30" s="4">
        <v>-4.0000000000000001E-3</v>
      </c>
      <c r="AA30" s="13">
        <f>(I30/TOTAL_BASIC!$D$301)*100</f>
        <v>87.066325452016684</v>
      </c>
      <c r="AB30" s="5">
        <f t="shared" si="3"/>
        <v>0.97</v>
      </c>
      <c r="AC30" s="3">
        <f t="shared" si="1"/>
        <v>-18</v>
      </c>
      <c r="AD30" s="9">
        <f t="shared" si="4"/>
        <v>0.97199999999999998</v>
      </c>
      <c r="AE30" s="16">
        <f t="shared" si="5"/>
        <v>1.0909090909090908</v>
      </c>
      <c r="AF30" s="16">
        <f t="shared" si="6"/>
        <v>1.3783783783783783</v>
      </c>
      <c r="AG30" s="9"/>
      <c r="AH30" s="9"/>
      <c r="AI30" s="12">
        <f t="shared" si="7"/>
        <v>96.2</v>
      </c>
      <c r="AJ30" s="12">
        <f t="shared" si="8"/>
        <v>83.2</v>
      </c>
      <c r="AK30" s="12">
        <f t="shared" si="8"/>
        <v>19.8</v>
      </c>
      <c r="AL30" s="12">
        <f t="shared" si="8"/>
        <v>24.8</v>
      </c>
      <c r="AM30" s="12">
        <f t="shared" si="8"/>
        <v>24.8</v>
      </c>
      <c r="AN30" s="12">
        <f t="shared" si="8"/>
        <v>45.9</v>
      </c>
      <c r="AO30" s="12">
        <f t="shared" si="14"/>
        <v>59</v>
      </c>
      <c r="AP30" s="12">
        <f t="shared" si="14"/>
        <v>18</v>
      </c>
      <c r="AQ30" s="12">
        <f t="shared" si="14"/>
        <v>14.2</v>
      </c>
      <c r="AR30" s="12">
        <f t="shared" si="14"/>
        <v>75.099999999999994</v>
      </c>
      <c r="AS30" s="12">
        <f t="shared" si="15"/>
        <v>39.1</v>
      </c>
      <c r="AT30" s="12">
        <f t="shared" si="15"/>
        <v>0</v>
      </c>
      <c r="AU30" s="12">
        <f t="shared" si="9"/>
        <v>50.4</v>
      </c>
      <c r="AV30" s="12">
        <f t="shared" si="15"/>
        <v>53.400000000000006</v>
      </c>
      <c r="AW30" s="12">
        <f t="shared" si="16"/>
        <v>25.4</v>
      </c>
      <c r="AX30" s="12">
        <f t="shared" si="10"/>
        <v>12.5</v>
      </c>
      <c r="AY30" s="9"/>
      <c r="AZ30" s="12">
        <f t="shared" si="17"/>
        <v>14.899999999999999</v>
      </c>
      <c r="BA30" s="12">
        <f t="shared" si="13"/>
        <v>3.1</v>
      </c>
      <c r="BB30" s="12">
        <f t="shared" si="11"/>
        <v>12.4</v>
      </c>
      <c r="BC30" s="12">
        <f t="shared" si="11"/>
        <v>18.600000000000001</v>
      </c>
      <c r="BD30" s="12">
        <f t="shared" si="11"/>
        <v>24.8</v>
      </c>
      <c r="BE30" s="12">
        <f t="shared" si="11"/>
        <v>25.4</v>
      </c>
      <c r="BF30" s="12">
        <f t="shared" si="12"/>
        <v>16.100000000000001</v>
      </c>
      <c r="BG30" s="12">
        <f t="shared" si="12"/>
        <v>24.8</v>
      </c>
      <c r="BH30" s="12">
        <f t="shared" si="12"/>
        <v>77</v>
      </c>
      <c r="BI30" s="12">
        <f t="shared" si="12"/>
        <v>70.8</v>
      </c>
    </row>
    <row r="31" spans="1:61" ht="15.75" customHeight="1" x14ac:dyDescent="0.25">
      <c r="A31" s="1" t="s">
        <v>92</v>
      </c>
      <c r="B31" s="3" t="s">
        <v>93</v>
      </c>
      <c r="C31" s="4" t="s">
        <v>8</v>
      </c>
      <c r="D31" s="4">
        <v>7</v>
      </c>
      <c r="E31" s="4">
        <v>202</v>
      </c>
      <c r="F31" s="4">
        <v>7</v>
      </c>
      <c r="G31" s="4">
        <v>202</v>
      </c>
      <c r="H31" s="4">
        <v>22.1</v>
      </c>
      <c r="I31" s="4">
        <v>0.56499999999999995</v>
      </c>
      <c r="J31" s="4">
        <v>0.48199999999999998</v>
      </c>
      <c r="K31" s="4">
        <v>0.378</v>
      </c>
      <c r="L31" s="4">
        <v>0.45100000000000001</v>
      </c>
      <c r="M31" s="4">
        <v>3.2</v>
      </c>
      <c r="N31" s="4">
        <v>6.6</v>
      </c>
      <c r="O31" s="4">
        <v>35.700000000000003</v>
      </c>
      <c r="P31" s="4">
        <v>1.8</v>
      </c>
      <c r="Q31" s="4">
        <v>3.5</v>
      </c>
      <c r="R31" s="4">
        <v>10.1</v>
      </c>
      <c r="S31" s="4">
        <v>23.7</v>
      </c>
      <c r="T31" s="4">
        <v>123</v>
      </c>
      <c r="U31" s="4">
        <v>102</v>
      </c>
      <c r="V31" s="4">
        <v>0</v>
      </c>
      <c r="W31" s="4">
        <v>0.9</v>
      </c>
      <c r="X31" s="4">
        <v>0.4</v>
      </c>
      <c r="Y31" s="4">
        <v>1.3</v>
      </c>
      <c r="Z31" s="4">
        <v>0.25700000000000001</v>
      </c>
      <c r="AA31" s="13">
        <f>(I31/TOTAL_BASIC!$D$301)*100</f>
        <v>101.21908205841446</v>
      </c>
      <c r="AB31" s="5">
        <f t="shared" si="3"/>
        <v>1.23</v>
      </c>
      <c r="AC31" s="3">
        <f t="shared" si="1"/>
        <v>21</v>
      </c>
      <c r="AD31" s="9">
        <f t="shared" si="4"/>
        <v>1.1299999999999999</v>
      </c>
      <c r="AE31" s="16">
        <f t="shared" si="5"/>
        <v>1.5063291139240509</v>
      </c>
      <c r="AF31" s="16">
        <f t="shared" si="6"/>
        <v>3.5346534653465351</v>
      </c>
      <c r="AG31" s="9"/>
      <c r="AH31" s="9"/>
      <c r="AI31" s="12">
        <f t="shared" si="7"/>
        <v>47.199999999999996</v>
      </c>
      <c r="AJ31" s="12">
        <f t="shared" si="8"/>
        <v>82.6</v>
      </c>
      <c r="AK31" s="12">
        <f t="shared" si="8"/>
        <v>90</v>
      </c>
      <c r="AL31" s="12">
        <f t="shared" si="8"/>
        <v>49</v>
      </c>
      <c r="AM31" s="12">
        <f t="shared" si="8"/>
        <v>34.1</v>
      </c>
      <c r="AN31" s="12">
        <f t="shared" si="8"/>
        <v>47.8</v>
      </c>
      <c r="AO31" s="12">
        <f t="shared" si="14"/>
        <v>74.5</v>
      </c>
      <c r="AP31" s="12">
        <f t="shared" si="14"/>
        <v>40.9</v>
      </c>
      <c r="AQ31" s="12">
        <f t="shared" si="14"/>
        <v>28.499999999999996</v>
      </c>
      <c r="AR31" s="12">
        <f t="shared" si="14"/>
        <v>95.6</v>
      </c>
      <c r="AS31" s="12">
        <f t="shared" si="15"/>
        <v>55.900000000000006</v>
      </c>
      <c r="AT31" s="12">
        <f t="shared" si="15"/>
        <v>81.3</v>
      </c>
      <c r="AU31" s="12">
        <f t="shared" si="9"/>
        <v>80.2</v>
      </c>
      <c r="AV31" s="12">
        <f t="shared" si="15"/>
        <v>77</v>
      </c>
      <c r="AW31" s="12">
        <f t="shared" si="16"/>
        <v>89.4</v>
      </c>
      <c r="AX31" s="12">
        <f t="shared" si="10"/>
        <v>88.2</v>
      </c>
      <c r="AY31" s="9"/>
      <c r="AZ31" s="12">
        <f t="shared" si="17"/>
        <v>96.2</v>
      </c>
      <c r="BA31" s="12">
        <f t="shared" si="13"/>
        <v>87.5</v>
      </c>
      <c r="BB31" s="12">
        <f t="shared" si="11"/>
        <v>98.7</v>
      </c>
      <c r="BC31" s="12">
        <f t="shared" si="11"/>
        <v>100</v>
      </c>
      <c r="BD31" s="12">
        <f t="shared" si="11"/>
        <v>49</v>
      </c>
      <c r="BE31" s="12">
        <f t="shared" si="11"/>
        <v>89.4</v>
      </c>
      <c r="BF31" s="12">
        <f t="shared" si="12"/>
        <v>92.5</v>
      </c>
      <c r="BG31" s="12">
        <f t="shared" si="12"/>
        <v>49</v>
      </c>
      <c r="BH31" s="12">
        <f t="shared" si="12"/>
        <v>89.4</v>
      </c>
      <c r="BI31" s="12">
        <f t="shared" si="12"/>
        <v>97.5</v>
      </c>
    </row>
    <row r="32" spans="1:61" ht="15.75" customHeight="1" x14ac:dyDescent="0.25">
      <c r="A32" s="1" t="s">
        <v>120</v>
      </c>
      <c r="B32" s="3" t="s">
        <v>95</v>
      </c>
      <c r="C32" s="4" t="s">
        <v>121</v>
      </c>
      <c r="D32" s="4">
        <v>8</v>
      </c>
      <c r="E32" s="4">
        <v>201</v>
      </c>
      <c r="F32" s="4">
        <v>8</v>
      </c>
      <c r="G32" s="4">
        <v>201</v>
      </c>
      <c r="H32" s="4">
        <v>24.5</v>
      </c>
      <c r="I32" s="4">
        <v>0.745</v>
      </c>
      <c r="J32" s="4">
        <v>0.71899999999999997</v>
      </c>
      <c r="K32" s="4">
        <v>4.2000000000000003E-2</v>
      </c>
      <c r="L32" s="4">
        <v>0.33300000000000002</v>
      </c>
      <c r="M32" s="4">
        <v>13.8</v>
      </c>
      <c r="N32" s="4">
        <v>19.3</v>
      </c>
      <c r="O32" s="4">
        <v>10.9</v>
      </c>
      <c r="P32" s="4">
        <v>1.3</v>
      </c>
      <c r="Q32" s="4">
        <v>6.3</v>
      </c>
      <c r="R32" s="4">
        <v>11.3</v>
      </c>
      <c r="S32" s="4">
        <v>13.7</v>
      </c>
      <c r="T32" s="4">
        <v>145</v>
      </c>
      <c r="U32" s="4">
        <v>105</v>
      </c>
      <c r="V32" s="4">
        <v>0</v>
      </c>
      <c r="W32" s="4">
        <v>1</v>
      </c>
      <c r="X32" s="4">
        <v>0.3</v>
      </c>
      <c r="Y32" s="4">
        <v>1.3</v>
      </c>
      <c r="Z32" s="4">
        <v>0.253</v>
      </c>
      <c r="AA32" s="13">
        <f>(I32/TOTAL_BASIC!$D$301)*100</f>
        <v>133.46586926286508</v>
      </c>
      <c r="AB32" s="5">
        <f t="shared" si="3"/>
        <v>1.45</v>
      </c>
      <c r="AC32" s="3">
        <f t="shared" si="1"/>
        <v>40</v>
      </c>
      <c r="AD32" s="9">
        <f t="shared" si="4"/>
        <v>1.49</v>
      </c>
      <c r="AE32" s="16">
        <f t="shared" si="5"/>
        <v>0.79562043795620441</v>
      </c>
      <c r="AF32" s="16">
        <f t="shared" si="6"/>
        <v>0.96460176991150437</v>
      </c>
      <c r="AG32" s="9"/>
      <c r="AH32" s="9"/>
      <c r="AI32" s="12">
        <f t="shared" si="7"/>
        <v>69.5</v>
      </c>
      <c r="AJ32" s="12">
        <f t="shared" si="8"/>
        <v>81.899999999999991</v>
      </c>
      <c r="AK32" s="12">
        <f t="shared" si="8"/>
        <v>95.6</v>
      </c>
      <c r="AL32" s="12">
        <f t="shared" si="8"/>
        <v>96.8</v>
      </c>
      <c r="AM32" s="12">
        <f t="shared" si="8"/>
        <v>96.2</v>
      </c>
      <c r="AN32" s="12">
        <f t="shared" si="8"/>
        <v>6.8000000000000007</v>
      </c>
      <c r="AO32" s="12">
        <f t="shared" si="14"/>
        <v>53.400000000000006</v>
      </c>
      <c r="AP32" s="12">
        <f t="shared" si="14"/>
        <v>95.6</v>
      </c>
      <c r="AQ32" s="12">
        <f t="shared" si="14"/>
        <v>95</v>
      </c>
      <c r="AR32" s="12">
        <f t="shared" si="14"/>
        <v>40.300000000000004</v>
      </c>
      <c r="AS32" s="12">
        <f t="shared" si="15"/>
        <v>28.499999999999996</v>
      </c>
      <c r="AT32" s="12">
        <f t="shared" si="15"/>
        <v>95</v>
      </c>
      <c r="AU32" s="12">
        <f t="shared" si="9"/>
        <v>72.7</v>
      </c>
      <c r="AV32" s="12">
        <f t="shared" si="15"/>
        <v>14.899999999999999</v>
      </c>
      <c r="AW32" s="12">
        <f t="shared" si="16"/>
        <v>100</v>
      </c>
      <c r="AX32" s="12">
        <f t="shared" si="10"/>
        <v>70.900000000000006</v>
      </c>
      <c r="AY32" s="9"/>
      <c r="AZ32" s="12">
        <f t="shared" si="17"/>
        <v>97.5</v>
      </c>
      <c r="BA32" s="12">
        <f t="shared" si="13"/>
        <v>75.099999999999994</v>
      </c>
      <c r="BB32" s="12">
        <f t="shared" si="11"/>
        <v>98.7</v>
      </c>
      <c r="BC32" s="12">
        <f t="shared" si="11"/>
        <v>99.3</v>
      </c>
      <c r="BD32" s="12">
        <f t="shared" si="11"/>
        <v>96.8</v>
      </c>
      <c r="BE32" s="12">
        <f t="shared" si="11"/>
        <v>100</v>
      </c>
      <c r="BF32" s="12">
        <f t="shared" si="12"/>
        <v>99.3</v>
      </c>
      <c r="BG32" s="12">
        <f t="shared" si="12"/>
        <v>96.8</v>
      </c>
      <c r="BH32" s="12">
        <f t="shared" si="12"/>
        <v>59.599999999999994</v>
      </c>
      <c r="BI32" s="12">
        <f t="shared" si="12"/>
        <v>50.3</v>
      </c>
    </row>
    <row r="33" spans="1:61" ht="15.75" customHeight="1" x14ac:dyDescent="0.25">
      <c r="A33" s="1" t="s">
        <v>117</v>
      </c>
      <c r="B33" s="3" t="s">
        <v>98</v>
      </c>
      <c r="C33" s="4" t="s">
        <v>87</v>
      </c>
      <c r="D33" s="4">
        <v>7</v>
      </c>
      <c r="E33" s="4">
        <v>200</v>
      </c>
      <c r="F33" s="4">
        <v>7</v>
      </c>
      <c r="G33" s="4">
        <v>200</v>
      </c>
      <c r="H33" s="4">
        <v>24.2</v>
      </c>
      <c r="I33" s="4">
        <v>0.65400000000000003</v>
      </c>
      <c r="J33" s="4">
        <v>0.67100000000000004</v>
      </c>
      <c r="K33" s="4">
        <v>2.4E-2</v>
      </c>
      <c r="L33" s="4">
        <v>0.35399999999999998</v>
      </c>
      <c r="M33" s="4">
        <v>17.7</v>
      </c>
      <c r="N33" s="4">
        <v>16.899999999999999</v>
      </c>
      <c r="O33" s="4">
        <v>23.5</v>
      </c>
      <c r="P33" s="4">
        <v>1.5</v>
      </c>
      <c r="Q33" s="4">
        <v>2.4</v>
      </c>
      <c r="R33" s="4">
        <v>24</v>
      </c>
      <c r="S33" s="4">
        <v>27.3</v>
      </c>
      <c r="T33" s="4">
        <v>111</v>
      </c>
      <c r="U33" s="4">
        <v>102</v>
      </c>
      <c r="V33" s="4">
        <v>0</v>
      </c>
      <c r="W33" s="4">
        <v>0.5</v>
      </c>
      <c r="X33" s="4">
        <v>0.4</v>
      </c>
      <c r="Y33" s="4">
        <v>0.9</v>
      </c>
      <c r="Z33" s="4">
        <v>0.182</v>
      </c>
      <c r="AA33" s="13">
        <f>(I33/TOTAL_BASIC!$D$301)*100</f>
        <v>117.16332684283728</v>
      </c>
      <c r="AB33" s="5">
        <f t="shared" si="3"/>
        <v>1.1100000000000001</v>
      </c>
      <c r="AC33" s="3">
        <f t="shared" si="1"/>
        <v>9</v>
      </c>
      <c r="AD33" s="9">
        <f t="shared" si="4"/>
        <v>1.3080000000000001</v>
      </c>
      <c r="AE33" s="16">
        <f t="shared" si="5"/>
        <v>0.86080586080586075</v>
      </c>
      <c r="AF33" s="16">
        <f t="shared" si="6"/>
        <v>0.97916666666666663</v>
      </c>
      <c r="AG33" s="9"/>
      <c r="AH33" s="9"/>
      <c r="AI33" s="12">
        <f t="shared" si="7"/>
        <v>47.199999999999996</v>
      </c>
      <c r="AJ33" s="12">
        <f t="shared" si="8"/>
        <v>80.7</v>
      </c>
      <c r="AK33" s="12">
        <f t="shared" si="8"/>
        <v>94.399999999999991</v>
      </c>
      <c r="AL33" s="12">
        <f t="shared" si="8"/>
        <v>82.6</v>
      </c>
      <c r="AM33" s="12">
        <f t="shared" si="8"/>
        <v>89.4</v>
      </c>
      <c r="AN33" s="12">
        <f t="shared" si="8"/>
        <v>5.5</v>
      </c>
      <c r="AO33" s="12">
        <f t="shared" si="14"/>
        <v>59</v>
      </c>
      <c r="AP33" s="12">
        <f t="shared" si="14"/>
        <v>98.7</v>
      </c>
      <c r="AQ33" s="12">
        <f t="shared" si="14"/>
        <v>88.8</v>
      </c>
      <c r="AR33" s="12">
        <f t="shared" si="14"/>
        <v>80.7</v>
      </c>
      <c r="AS33" s="12">
        <f t="shared" si="15"/>
        <v>39.1</v>
      </c>
      <c r="AT33" s="12">
        <f t="shared" si="15"/>
        <v>65.8</v>
      </c>
      <c r="AU33" s="12">
        <f t="shared" si="9"/>
        <v>9.3999999999999915</v>
      </c>
      <c r="AV33" s="12">
        <f t="shared" si="15"/>
        <v>88.8</v>
      </c>
      <c r="AW33" s="12">
        <f t="shared" si="16"/>
        <v>58.3</v>
      </c>
      <c r="AX33" s="12">
        <f t="shared" si="10"/>
        <v>88.2</v>
      </c>
      <c r="AY33" s="9"/>
      <c r="AZ33" s="12">
        <f t="shared" si="17"/>
        <v>79.5</v>
      </c>
      <c r="BA33" s="12">
        <f t="shared" si="13"/>
        <v>87.5</v>
      </c>
      <c r="BB33" s="12">
        <f t="shared" si="11"/>
        <v>84.399999999999991</v>
      </c>
      <c r="BC33" s="12">
        <f t="shared" si="11"/>
        <v>86.3</v>
      </c>
      <c r="BD33" s="12">
        <f t="shared" si="11"/>
        <v>82.6</v>
      </c>
      <c r="BE33" s="12">
        <f t="shared" si="11"/>
        <v>58.3</v>
      </c>
      <c r="BF33" s="12">
        <f t="shared" si="12"/>
        <v>68.300000000000011</v>
      </c>
      <c r="BG33" s="12">
        <f t="shared" si="12"/>
        <v>82.6</v>
      </c>
      <c r="BH33" s="12">
        <f t="shared" si="12"/>
        <v>63.3</v>
      </c>
      <c r="BI33" s="12">
        <f t="shared" si="12"/>
        <v>50.9</v>
      </c>
    </row>
    <row r="34" spans="1:61" ht="15.75" customHeight="1" x14ac:dyDescent="0.25">
      <c r="A34" s="1" t="s">
        <v>118</v>
      </c>
      <c r="B34" s="3" t="s">
        <v>119</v>
      </c>
      <c r="C34" s="4" t="s">
        <v>8</v>
      </c>
      <c r="D34" s="4">
        <v>7</v>
      </c>
      <c r="E34" s="4">
        <v>200</v>
      </c>
      <c r="F34" s="4">
        <v>7</v>
      </c>
      <c r="G34" s="4">
        <v>200</v>
      </c>
      <c r="H34" s="4">
        <v>10.6</v>
      </c>
      <c r="I34" s="4">
        <v>0.39400000000000002</v>
      </c>
      <c r="J34" s="4">
        <v>0.374</v>
      </c>
      <c r="K34" s="4">
        <v>0.31</v>
      </c>
      <c r="L34" s="4">
        <v>0.08</v>
      </c>
      <c r="M34" s="4">
        <v>3.6</v>
      </c>
      <c r="N34" s="4">
        <v>8.8000000000000007</v>
      </c>
      <c r="O34" s="4">
        <v>27.3</v>
      </c>
      <c r="P34" s="4">
        <v>1.4</v>
      </c>
      <c r="Q34" s="4">
        <v>1.6</v>
      </c>
      <c r="R34" s="4">
        <v>12.6</v>
      </c>
      <c r="S34" s="4">
        <v>22.1</v>
      </c>
      <c r="T34" s="4">
        <v>92</v>
      </c>
      <c r="U34" s="4">
        <v>108</v>
      </c>
      <c r="V34" s="4">
        <v>0</v>
      </c>
      <c r="W34" s="4">
        <v>-0.2</v>
      </c>
      <c r="X34" s="4">
        <v>0.2</v>
      </c>
      <c r="Y34" s="4">
        <v>0</v>
      </c>
      <c r="Z34" s="4">
        <v>0</v>
      </c>
      <c r="AA34" s="13">
        <f>(I34/TOTAL_BASIC!$D$301)*100</f>
        <v>70.584634214186366</v>
      </c>
      <c r="AB34" s="5">
        <f t="shared" si="3"/>
        <v>0.92</v>
      </c>
      <c r="AC34" s="3">
        <f t="shared" si="1"/>
        <v>-16</v>
      </c>
      <c r="AD34" s="9">
        <f t="shared" si="4"/>
        <v>0.78800000000000003</v>
      </c>
      <c r="AE34" s="16">
        <f t="shared" si="5"/>
        <v>1.2352941176470589</v>
      </c>
      <c r="AF34" s="16">
        <f t="shared" si="6"/>
        <v>2.166666666666667</v>
      </c>
      <c r="AG34" s="9"/>
      <c r="AH34" s="9"/>
      <c r="AI34" s="12">
        <f t="shared" si="7"/>
        <v>47.199999999999996</v>
      </c>
      <c r="AJ34" s="12">
        <f t="shared" si="8"/>
        <v>80.7</v>
      </c>
      <c r="AK34" s="12">
        <f t="shared" si="8"/>
        <v>29.799999999999997</v>
      </c>
      <c r="AL34" s="12">
        <f t="shared" si="8"/>
        <v>8</v>
      </c>
      <c r="AM34" s="12">
        <f t="shared" si="8"/>
        <v>10.5</v>
      </c>
      <c r="AN34" s="12">
        <f t="shared" si="8"/>
        <v>33.5</v>
      </c>
      <c r="AO34" s="12">
        <f t="shared" si="14"/>
        <v>9.3000000000000007</v>
      </c>
      <c r="AP34" s="12">
        <f t="shared" si="14"/>
        <v>42.8</v>
      </c>
      <c r="AQ34" s="12">
        <f t="shared" si="14"/>
        <v>49</v>
      </c>
      <c r="AR34" s="12">
        <f t="shared" si="14"/>
        <v>86.3</v>
      </c>
      <c r="AS34" s="12">
        <f t="shared" si="15"/>
        <v>34.1</v>
      </c>
      <c r="AT34" s="12">
        <f t="shared" si="15"/>
        <v>54.6</v>
      </c>
      <c r="AU34" s="12">
        <f t="shared" si="9"/>
        <v>64.599999999999994</v>
      </c>
      <c r="AV34" s="12">
        <f t="shared" si="15"/>
        <v>69.5</v>
      </c>
      <c r="AW34" s="12">
        <f t="shared" si="16"/>
        <v>16.100000000000001</v>
      </c>
      <c r="AX34" s="12">
        <f t="shared" si="10"/>
        <v>56</v>
      </c>
      <c r="AY34" s="9"/>
      <c r="AZ34" s="12">
        <f t="shared" si="17"/>
        <v>5.5</v>
      </c>
      <c r="BA34" s="12">
        <f t="shared" si="13"/>
        <v>57.099999999999994</v>
      </c>
      <c r="BB34" s="12">
        <f t="shared" si="11"/>
        <v>12.4</v>
      </c>
      <c r="BC34" s="12">
        <f t="shared" si="11"/>
        <v>21.099999999999998</v>
      </c>
      <c r="BD34" s="12">
        <f t="shared" si="11"/>
        <v>8</v>
      </c>
      <c r="BE34" s="12">
        <f t="shared" si="11"/>
        <v>16.100000000000001</v>
      </c>
      <c r="BF34" s="12">
        <f t="shared" si="12"/>
        <v>21.099999999999998</v>
      </c>
      <c r="BG34" s="12">
        <f t="shared" si="12"/>
        <v>8</v>
      </c>
      <c r="BH34" s="12">
        <f t="shared" si="12"/>
        <v>82.6</v>
      </c>
      <c r="BI34" s="12">
        <f t="shared" si="12"/>
        <v>90.600000000000009</v>
      </c>
    </row>
    <row r="35" spans="1:61" ht="15.75" customHeight="1" x14ac:dyDescent="0.25">
      <c r="A35" s="1" t="s">
        <v>143</v>
      </c>
      <c r="B35" s="3" t="s">
        <v>116</v>
      </c>
      <c r="C35" s="4" t="s">
        <v>90</v>
      </c>
      <c r="D35" s="4">
        <v>8</v>
      </c>
      <c r="E35" s="4">
        <v>199</v>
      </c>
      <c r="F35" s="4">
        <v>8</v>
      </c>
      <c r="G35" s="4">
        <v>199</v>
      </c>
      <c r="H35" s="4">
        <v>12.7</v>
      </c>
      <c r="I35" s="4">
        <v>0.69399999999999995</v>
      </c>
      <c r="J35" s="4">
        <v>0.60599999999999998</v>
      </c>
      <c r="K35" s="4">
        <v>0.48499999999999999</v>
      </c>
      <c r="L35" s="4">
        <v>0.60599999999999998</v>
      </c>
      <c r="M35" s="4">
        <v>2.5</v>
      </c>
      <c r="N35" s="4">
        <v>9.1</v>
      </c>
      <c r="O35" s="4">
        <v>12.6</v>
      </c>
      <c r="P35" s="4">
        <v>1</v>
      </c>
      <c r="Q35" s="4">
        <v>4.0999999999999996</v>
      </c>
      <c r="R35" s="4">
        <v>19.3</v>
      </c>
      <c r="S35" s="4">
        <v>12</v>
      </c>
      <c r="T35" s="4">
        <v>121</v>
      </c>
      <c r="U35" s="4">
        <v>106</v>
      </c>
      <c r="V35" s="4">
        <v>0</v>
      </c>
      <c r="W35" s="4">
        <v>0.4</v>
      </c>
      <c r="X35" s="4">
        <v>0.3</v>
      </c>
      <c r="Y35" s="4">
        <v>0.7</v>
      </c>
      <c r="Z35" s="4">
        <v>0.13400000000000001</v>
      </c>
      <c r="AA35" s="13">
        <f>(I35/TOTAL_BASIC!$D$301)*100</f>
        <v>124.3292795549374</v>
      </c>
      <c r="AB35" s="5">
        <f t="shared" si="3"/>
        <v>1.21</v>
      </c>
      <c r="AC35" s="3">
        <f t="shared" si="1"/>
        <v>15</v>
      </c>
      <c r="AD35" s="9">
        <f t="shared" si="4"/>
        <v>1.3879999999999999</v>
      </c>
      <c r="AE35" s="16">
        <f t="shared" si="5"/>
        <v>1.05</v>
      </c>
      <c r="AF35" s="16">
        <f t="shared" si="6"/>
        <v>0.65284974093264247</v>
      </c>
      <c r="AG35" s="9"/>
      <c r="AH35" s="9"/>
      <c r="AI35" s="12">
        <f t="shared" si="7"/>
        <v>69.5</v>
      </c>
      <c r="AJ35" s="12">
        <f t="shared" si="8"/>
        <v>80.100000000000009</v>
      </c>
      <c r="AK35" s="12">
        <f t="shared" si="8"/>
        <v>39.700000000000003</v>
      </c>
      <c r="AL35" s="12">
        <f t="shared" si="8"/>
        <v>90.600000000000009</v>
      </c>
      <c r="AM35" s="12">
        <f t="shared" si="8"/>
        <v>80.100000000000009</v>
      </c>
      <c r="AN35" s="12">
        <f t="shared" si="8"/>
        <v>70.8</v>
      </c>
      <c r="AO35" s="12">
        <f t="shared" si="14"/>
        <v>90.600000000000009</v>
      </c>
      <c r="AP35" s="12">
        <f t="shared" si="14"/>
        <v>31.6</v>
      </c>
      <c r="AQ35" s="12">
        <f t="shared" si="14"/>
        <v>52.1</v>
      </c>
      <c r="AR35" s="12">
        <f t="shared" si="14"/>
        <v>48.4</v>
      </c>
      <c r="AS35" s="12">
        <f t="shared" si="15"/>
        <v>17.299999999999997</v>
      </c>
      <c r="AT35" s="12">
        <f t="shared" si="15"/>
        <v>85.7</v>
      </c>
      <c r="AU35" s="12">
        <f t="shared" si="9"/>
        <v>24.900000000000006</v>
      </c>
      <c r="AV35" s="12">
        <f t="shared" si="15"/>
        <v>8.6</v>
      </c>
      <c r="AW35" s="12">
        <f t="shared" si="16"/>
        <v>83.8</v>
      </c>
      <c r="AX35" s="12">
        <f t="shared" si="10"/>
        <v>67.8</v>
      </c>
      <c r="AY35" s="9"/>
      <c r="AZ35" s="12">
        <f t="shared" si="17"/>
        <v>74.5</v>
      </c>
      <c r="BA35" s="12">
        <f t="shared" si="13"/>
        <v>75.099999999999994</v>
      </c>
      <c r="BB35" s="12">
        <f t="shared" si="11"/>
        <v>76.3</v>
      </c>
      <c r="BC35" s="12">
        <f t="shared" si="11"/>
        <v>65.2</v>
      </c>
      <c r="BD35" s="12">
        <f t="shared" si="11"/>
        <v>90.600000000000009</v>
      </c>
      <c r="BE35" s="12">
        <f t="shared" si="11"/>
        <v>83.8</v>
      </c>
      <c r="BF35" s="12">
        <f t="shared" si="12"/>
        <v>85.7</v>
      </c>
      <c r="BG35" s="12">
        <f t="shared" si="12"/>
        <v>90.600000000000009</v>
      </c>
      <c r="BH35" s="12">
        <f t="shared" si="12"/>
        <v>74.5</v>
      </c>
      <c r="BI35" s="12">
        <f t="shared" si="12"/>
        <v>31.6</v>
      </c>
    </row>
    <row r="36" spans="1:61" ht="15.75" customHeight="1" x14ac:dyDescent="0.25">
      <c r="A36" s="1" t="s">
        <v>141</v>
      </c>
      <c r="B36" s="3" t="s">
        <v>142</v>
      </c>
      <c r="C36" s="4" t="s">
        <v>8</v>
      </c>
      <c r="D36" s="4">
        <v>6</v>
      </c>
      <c r="E36" s="4">
        <v>196</v>
      </c>
      <c r="F36" s="4">
        <v>6</v>
      </c>
      <c r="G36" s="4">
        <v>196</v>
      </c>
      <c r="H36" s="4">
        <v>20.399999999999999</v>
      </c>
      <c r="I36" s="4">
        <v>0.65100000000000002</v>
      </c>
      <c r="J36" s="4">
        <v>0.56499999999999995</v>
      </c>
      <c r="K36" s="4">
        <v>0.35499999999999998</v>
      </c>
      <c r="L36" s="4">
        <v>0.629</v>
      </c>
      <c r="M36" s="4">
        <v>4.7</v>
      </c>
      <c r="N36" s="4">
        <v>7.2</v>
      </c>
      <c r="O36" s="4">
        <v>11.7</v>
      </c>
      <c r="P36" s="4">
        <v>2.4</v>
      </c>
      <c r="Q36" s="4">
        <v>1.5</v>
      </c>
      <c r="R36" s="4">
        <v>15</v>
      </c>
      <c r="S36" s="4">
        <v>21.7</v>
      </c>
      <c r="T36" s="4">
        <v>121</v>
      </c>
      <c r="U36" s="4">
        <v>109</v>
      </c>
      <c r="V36" s="4">
        <v>0</v>
      </c>
      <c r="W36" s="4">
        <v>0.6</v>
      </c>
      <c r="X36" s="4">
        <v>0.2</v>
      </c>
      <c r="Y36" s="4">
        <v>0.9</v>
      </c>
      <c r="Z36" s="4">
        <v>0.17599999999999999</v>
      </c>
      <c r="AA36" s="13">
        <f>(I36/TOTAL_BASIC!$D$301)*100</f>
        <v>116.62588038942975</v>
      </c>
      <c r="AB36" s="5">
        <f t="shared" si="3"/>
        <v>1.21</v>
      </c>
      <c r="AC36" s="3">
        <f t="shared" si="1"/>
        <v>12</v>
      </c>
      <c r="AD36" s="9">
        <f t="shared" si="4"/>
        <v>1.302</v>
      </c>
      <c r="AE36" s="16">
        <f t="shared" si="5"/>
        <v>0.53917050691244239</v>
      </c>
      <c r="AF36" s="16">
        <f t="shared" si="6"/>
        <v>0.77999999999999992</v>
      </c>
      <c r="AG36" s="9"/>
      <c r="AH36" s="9"/>
      <c r="AI36" s="12">
        <f t="shared" si="7"/>
        <v>25.4</v>
      </c>
      <c r="AJ36" s="12">
        <f t="shared" si="8"/>
        <v>78.8</v>
      </c>
      <c r="AK36" s="12">
        <f t="shared" si="8"/>
        <v>82.6</v>
      </c>
      <c r="AL36" s="12">
        <f t="shared" si="8"/>
        <v>81.899999999999991</v>
      </c>
      <c r="AM36" s="12">
        <f t="shared" si="8"/>
        <v>67</v>
      </c>
      <c r="AN36" s="12">
        <f t="shared" si="8"/>
        <v>42.8</v>
      </c>
      <c r="AO36" s="12">
        <f t="shared" si="14"/>
        <v>92.5</v>
      </c>
      <c r="AP36" s="12">
        <f t="shared" si="14"/>
        <v>57.699999999999996</v>
      </c>
      <c r="AQ36" s="12">
        <f t="shared" si="14"/>
        <v>32.9</v>
      </c>
      <c r="AR36" s="12">
        <f t="shared" si="14"/>
        <v>45.300000000000004</v>
      </c>
      <c r="AS36" s="12">
        <f t="shared" si="15"/>
        <v>75.099999999999994</v>
      </c>
      <c r="AT36" s="12">
        <f t="shared" si="15"/>
        <v>53.400000000000006</v>
      </c>
      <c r="AU36" s="12">
        <f t="shared" si="9"/>
        <v>47.9</v>
      </c>
      <c r="AV36" s="12">
        <f t="shared" si="15"/>
        <v>68.300000000000011</v>
      </c>
      <c r="AW36" s="12">
        <f t="shared" si="16"/>
        <v>83.8</v>
      </c>
      <c r="AX36" s="12">
        <f t="shared" si="10"/>
        <v>47.3</v>
      </c>
      <c r="AY36" s="9"/>
      <c r="AZ36" s="12">
        <f t="shared" si="17"/>
        <v>88.8</v>
      </c>
      <c r="BA36" s="12">
        <f t="shared" si="13"/>
        <v>57.099999999999994</v>
      </c>
      <c r="BB36" s="12">
        <f t="shared" si="11"/>
        <v>84.399999999999991</v>
      </c>
      <c r="BC36" s="12">
        <f t="shared" si="11"/>
        <v>83.8</v>
      </c>
      <c r="BD36" s="12">
        <f t="shared" si="11"/>
        <v>81.899999999999991</v>
      </c>
      <c r="BE36" s="12">
        <f t="shared" si="11"/>
        <v>83.8</v>
      </c>
      <c r="BF36" s="12">
        <f t="shared" si="12"/>
        <v>77</v>
      </c>
      <c r="BG36" s="12">
        <f t="shared" si="12"/>
        <v>81.899999999999991</v>
      </c>
      <c r="BH36" s="12">
        <f t="shared" si="12"/>
        <v>36</v>
      </c>
      <c r="BI36" s="12">
        <f t="shared" si="12"/>
        <v>42.8</v>
      </c>
    </row>
    <row r="37" spans="1:61" ht="15.75" customHeight="1" x14ac:dyDescent="0.25">
      <c r="A37" s="1" t="s">
        <v>147</v>
      </c>
      <c r="B37" s="3" t="s">
        <v>116</v>
      </c>
      <c r="C37" s="4" t="s">
        <v>8</v>
      </c>
      <c r="D37" s="4">
        <v>8</v>
      </c>
      <c r="E37" s="4">
        <v>196</v>
      </c>
      <c r="F37" s="4">
        <v>8</v>
      </c>
      <c r="G37" s="4">
        <v>196</v>
      </c>
      <c r="H37" s="4">
        <v>18.2</v>
      </c>
      <c r="I37" s="4">
        <v>0.626</v>
      </c>
      <c r="J37" s="4">
        <v>0.52900000000000003</v>
      </c>
      <c r="K37" s="4">
        <v>0.255</v>
      </c>
      <c r="L37" s="4">
        <v>0.82399999999999995</v>
      </c>
      <c r="M37" s="4">
        <v>2.5</v>
      </c>
      <c r="N37" s="4">
        <v>4.5999999999999996</v>
      </c>
      <c r="O37" s="4">
        <v>33.6</v>
      </c>
      <c r="P37" s="4">
        <v>2.6</v>
      </c>
      <c r="Q37" s="4">
        <v>0.9</v>
      </c>
      <c r="R37" s="4">
        <v>18.7</v>
      </c>
      <c r="S37" s="4">
        <v>20.100000000000001</v>
      </c>
      <c r="T37" s="4">
        <v>117</v>
      </c>
      <c r="U37" s="4">
        <v>108</v>
      </c>
      <c r="V37" s="4">
        <v>0</v>
      </c>
      <c r="W37" s="4">
        <v>0.5</v>
      </c>
      <c r="X37" s="4">
        <v>0.2</v>
      </c>
      <c r="Y37" s="4">
        <v>0.8</v>
      </c>
      <c r="Z37" s="4">
        <v>0.161</v>
      </c>
      <c r="AA37" s="13">
        <f>(I37/TOTAL_BASIC!$D$301)*100</f>
        <v>112.14715994436717</v>
      </c>
      <c r="AB37" s="5">
        <f t="shared" si="3"/>
        <v>1.17</v>
      </c>
      <c r="AC37" s="3">
        <f t="shared" si="1"/>
        <v>9</v>
      </c>
      <c r="AD37" s="9">
        <f t="shared" si="4"/>
        <v>1.252</v>
      </c>
      <c r="AE37" s="16">
        <f t="shared" si="5"/>
        <v>1.6716417910447761</v>
      </c>
      <c r="AF37" s="16">
        <f t="shared" si="6"/>
        <v>1.7967914438502675</v>
      </c>
      <c r="AG37" s="9"/>
      <c r="AH37" s="9"/>
      <c r="AI37" s="12">
        <f t="shared" si="7"/>
        <v>69.5</v>
      </c>
      <c r="AJ37" s="12">
        <f t="shared" si="8"/>
        <v>78.8</v>
      </c>
      <c r="AK37" s="12">
        <f t="shared" si="8"/>
        <v>73.900000000000006</v>
      </c>
      <c r="AL37" s="12">
        <f t="shared" si="8"/>
        <v>75.7</v>
      </c>
      <c r="AM37" s="12">
        <f t="shared" si="8"/>
        <v>54.6</v>
      </c>
      <c r="AN37" s="12">
        <f t="shared" si="8"/>
        <v>26</v>
      </c>
      <c r="AO37" s="12">
        <f t="shared" si="14"/>
        <v>97.5</v>
      </c>
      <c r="AP37" s="12">
        <f t="shared" si="14"/>
        <v>31.6</v>
      </c>
      <c r="AQ37" s="12">
        <f t="shared" si="14"/>
        <v>13</v>
      </c>
      <c r="AR37" s="12">
        <f t="shared" si="14"/>
        <v>92.5</v>
      </c>
      <c r="AS37" s="12">
        <f t="shared" si="15"/>
        <v>78.8</v>
      </c>
      <c r="AT37" s="12">
        <f t="shared" si="15"/>
        <v>39.1</v>
      </c>
      <c r="AU37" s="12">
        <f t="shared" si="9"/>
        <v>29.900000000000006</v>
      </c>
      <c r="AV37" s="12">
        <f t="shared" si="15"/>
        <v>61.4</v>
      </c>
      <c r="AW37" s="12">
        <f t="shared" si="16"/>
        <v>73.2</v>
      </c>
      <c r="AX37" s="12">
        <f t="shared" si="10"/>
        <v>56</v>
      </c>
      <c r="AY37" s="9"/>
      <c r="AZ37" s="12">
        <f t="shared" si="17"/>
        <v>79.5</v>
      </c>
      <c r="BA37" s="12">
        <f t="shared" si="13"/>
        <v>57.099999999999994</v>
      </c>
      <c r="BB37" s="12">
        <f t="shared" si="11"/>
        <v>80.7</v>
      </c>
      <c r="BC37" s="12">
        <f t="shared" si="11"/>
        <v>75.7</v>
      </c>
      <c r="BD37" s="12">
        <f t="shared" si="11"/>
        <v>75.7</v>
      </c>
      <c r="BE37" s="12">
        <f t="shared" si="11"/>
        <v>73.2</v>
      </c>
      <c r="BF37" s="12">
        <f t="shared" si="12"/>
        <v>68.300000000000011</v>
      </c>
      <c r="BG37" s="12">
        <f t="shared" si="12"/>
        <v>75.7</v>
      </c>
      <c r="BH37" s="12">
        <f t="shared" si="12"/>
        <v>94.399999999999991</v>
      </c>
      <c r="BI37" s="12">
        <f t="shared" si="12"/>
        <v>84.399999999999991</v>
      </c>
    </row>
    <row r="38" spans="1:61" ht="15.75" customHeight="1" x14ac:dyDescent="0.25">
      <c r="A38" s="1" t="s">
        <v>127</v>
      </c>
      <c r="B38" s="3" t="s">
        <v>119</v>
      </c>
      <c r="C38" s="4" t="s">
        <v>8</v>
      </c>
      <c r="D38" s="4">
        <v>7</v>
      </c>
      <c r="E38" s="4">
        <v>191</v>
      </c>
      <c r="F38" s="4">
        <v>7</v>
      </c>
      <c r="G38" s="4">
        <v>191</v>
      </c>
      <c r="H38" s="4">
        <v>5.0999999999999996</v>
      </c>
      <c r="I38" s="4">
        <v>0.42799999999999999</v>
      </c>
      <c r="J38" s="4">
        <v>0.42</v>
      </c>
      <c r="K38" s="4">
        <v>0.71399999999999997</v>
      </c>
      <c r="L38" s="4">
        <v>0.14299999999999999</v>
      </c>
      <c r="M38" s="4">
        <v>0</v>
      </c>
      <c r="N38" s="4">
        <v>5.4</v>
      </c>
      <c r="O38" s="4">
        <v>7.3</v>
      </c>
      <c r="P38" s="4">
        <v>1</v>
      </c>
      <c r="Q38" s="4">
        <v>1.3</v>
      </c>
      <c r="R38" s="4">
        <v>9.1999999999999993</v>
      </c>
      <c r="S38" s="4">
        <v>14.7</v>
      </c>
      <c r="T38" s="4">
        <v>87</v>
      </c>
      <c r="U38" s="4">
        <v>110</v>
      </c>
      <c r="V38" s="4">
        <v>0</v>
      </c>
      <c r="W38" s="4">
        <v>-0.2</v>
      </c>
      <c r="X38" s="4">
        <v>0.2</v>
      </c>
      <c r="Y38" s="4">
        <v>-0.1</v>
      </c>
      <c r="Z38" s="4">
        <v>-1.2E-2</v>
      </c>
      <c r="AA38" s="13">
        <f>(I38/TOTAL_BASIC!$D$301)*100</f>
        <v>76.675694019471479</v>
      </c>
      <c r="AB38" s="5">
        <f t="shared" si="3"/>
        <v>0.87</v>
      </c>
      <c r="AC38" s="3">
        <f t="shared" si="1"/>
        <v>-23</v>
      </c>
      <c r="AD38" s="9">
        <f t="shared" si="4"/>
        <v>0.85599999999999998</v>
      </c>
      <c r="AE38" s="16">
        <f t="shared" si="5"/>
        <v>0.49659863945578231</v>
      </c>
      <c r="AF38" s="16">
        <f t="shared" si="6"/>
        <v>0.7934782608695653</v>
      </c>
      <c r="AG38" s="9"/>
      <c r="AH38" s="9"/>
      <c r="AI38" s="12">
        <f t="shared" si="7"/>
        <v>47.199999999999996</v>
      </c>
      <c r="AJ38" s="12">
        <f t="shared" si="8"/>
        <v>77.600000000000009</v>
      </c>
      <c r="AK38" s="12">
        <f t="shared" si="8"/>
        <v>8</v>
      </c>
      <c r="AL38" s="12">
        <f t="shared" si="8"/>
        <v>11.799999999999999</v>
      </c>
      <c r="AM38" s="12">
        <f t="shared" si="8"/>
        <v>20.399999999999999</v>
      </c>
      <c r="AN38" s="12">
        <f t="shared" si="8"/>
        <v>91.9</v>
      </c>
      <c r="AO38" s="12">
        <f t="shared" si="14"/>
        <v>19.2</v>
      </c>
      <c r="AP38" s="12">
        <f t="shared" si="14"/>
        <v>0</v>
      </c>
      <c r="AQ38" s="12">
        <f t="shared" si="14"/>
        <v>19.2</v>
      </c>
      <c r="AR38" s="12">
        <f t="shared" si="14"/>
        <v>19.2</v>
      </c>
      <c r="AS38" s="12">
        <f t="shared" si="15"/>
        <v>17.299999999999997</v>
      </c>
      <c r="AT38" s="12">
        <f t="shared" si="15"/>
        <v>47.8</v>
      </c>
      <c r="AU38" s="12">
        <f t="shared" si="9"/>
        <v>83.9</v>
      </c>
      <c r="AV38" s="12">
        <f t="shared" si="15"/>
        <v>21.099999999999998</v>
      </c>
      <c r="AW38" s="12">
        <f t="shared" si="16"/>
        <v>8</v>
      </c>
      <c r="AX38" s="12">
        <f t="shared" si="10"/>
        <v>41</v>
      </c>
      <c r="AY38" s="9"/>
      <c r="AZ38" s="12">
        <f t="shared" si="17"/>
        <v>5.5</v>
      </c>
      <c r="BA38" s="12">
        <f t="shared" si="13"/>
        <v>57.099999999999994</v>
      </c>
      <c r="BB38" s="12">
        <f t="shared" si="11"/>
        <v>6.8000000000000007</v>
      </c>
      <c r="BC38" s="12">
        <f t="shared" si="11"/>
        <v>15.5</v>
      </c>
      <c r="BD38" s="12">
        <f t="shared" si="11"/>
        <v>11.799999999999999</v>
      </c>
      <c r="BE38" s="12">
        <f t="shared" si="11"/>
        <v>8</v>
      </c>
      <c r="BF38" s="12">
        <f t="shared" si="12"/>
        <v>11.799999999999999</v>
      </c>
      <c r="BG38" s="12">
        <f t="shared" si="12"/>
        <v>11.799999999999999</v>
      </c>
      <c r="BH38" s="12">
        <f t="shared" si="12"/>
        <v>31</v>
      </c>
      <c r="BI38" s="12">
        <f t="shared" si="12"/>
        <v>44.7</v>
      </c>
    </row>
    <row r="39" spans="1:61" ht="15.75" customHeight="1" x14ac:dyDescent="0.25">
      <c r="A39" s="1" t="s">
        <v>152</v>
      </c>
      <c r="B39" s="3" t="s">
        <v>95</v>
      </c>
      <c r="C39" s="4" t="s">
        <v>8</v>
      </c>
      <c r="D39" s="4">
        <v>8</v>
      </c>
      <c r="E39" s="4">
        <v>191</v>
      </c>
      <c r="F39" s="4">
        <v>8</v>
      </c>
      <c r="G39" s="4">
        <v>191</v>
      </c>
      <c r="H39" s="4">
        <v>17</v>
      </c>
      <c r="I39" s="4">
        <v>0.66500000000000004</v>
      </c>
      <c r="J39" s="4">
        <v>0.59899999999999998</v>
      </c>
      <c r="K39" s="4">
        <v>0.62</v>
      </c>
      <c r="L39" s="4">
        <v>0.42299999999999999</v>
      </c>
      <c r="M39" s="4">
        <v>3</v>
      </c>
      <c r="N39" s="4">
        <v>2.8</v>
      </c>
      <c r="O39" s="4">
        <v>14.2</v>
      </c>
      <c r="P39" s="4">
        <v>1.6</v>
      </c>
      <c r="Q39" s="4">
        <v>0</v>
      </c>
      <c r="R39" s="4">
        <v>16</v>
      </c>
      <c r="S39" s="4">
        <v>23.3</v>
      </c>
      <c r="T39" s="4">
        <v>117</v>
      </c>
      <c r="U39" s="4">
        <v>114</v>
      </c>
      <c r="V39" s="4">
        <v>0</v>
      </c>
      <c r="W39" s="4">
        <v>0.6</v>
      </c>
      <c r="X39" s="4">
        <v>0.1</v>
      </c>
      <c r="Y39" s="4">
        <v>0.6</v>
      </c>
      <c r="Z39" s="4">
        <v>0.128</v>
      </c>
      <c r="AA39" s="13">
        <f>(I39/TOTAL_BASIC!$D$301)*100</f>
        <v>119.13396383866481</v>
      </c>
      <c r="AB39" s="5">
        <f t="shared" si="3"/>
        <v>1.17</v>
      </c>
      <c r="AC39" s="3">
        <f t="shared" si="1"/>
        <v>3</v>
      </c>
      <c r="AD39" s="9">
        <f t="shared" si="4"/>
        <v>1.33</v>
      </c>
      <c r="AE39" s="16">
        <f t="shared" si="5"/>
        <v>0.6094420600858369</v>
      </c>
      <c r="AF39" s="16">
        <f t="shared" si="6"/>
        <v>0.88749999999999996</v>
      </c>
      <c r="AG39" s="9"/>
      <c r="AH39" s="9"/>
      <c r="AI39" s="12">
        <f t="shared" si="7"/>
        <v>69.5</v>
      </c>
      <c r="AJ39" s="12">
        <f t="shared" si="8"/>
        <v>77.600000000000009</v>
      </c>
      <c r="AK39" s="12">
        <f t="shared" si="8"/>
        <v>67.7</v>
      </c>
      <c r="AL39" s="12">
        <f t="shared" si="8"/>
        <v>84.399999999999991</v>
      </c>
      <c r="AM39" s="12">
        <f t="shared" si="8"/>
        <v>79.5</v>
      </c>
      <c r="AN39" s="12">
        <f t="shared" si="8"/>
        <v>87.5</v>
      </c>
      <c r="AO39" s="12">
        <f t="shared" si="14"/>
        <v>72</v>
      </c>
      <c r="AP39" s="12">
        <f t="shared" si="14"/>
        <v>39.1</v>
      </c>
      <c r="AQ39" s="12">
        <f t="shared" si="14"/>
        <v>5.5</v>
      </c>
      <c r="AR39" s="12">
        <f t="shared" si="14"/>
        <v>56.499999999999993</v>
      </c>
      <c r="AS39" s="12">
        <f t="shared" si="15"/>
        <v>45.300000000000004</v>
      </c>
      <c r="AT39" s="12">
        <f t="shared" si="15"/>
        <v>0</v>
      </c>
      <c r="AU39" s="12">
        <f t="shared" si="9"/>
        <v>41</v>
      </c>
      <c r="AV39" s="12">
        <f t="shared" si="15"/>
        <v>74.5</v>
      </c>
      <c r="AW39" s="12">
        <f t="shared" si="16"/>
        <v>73.2</v>
      </c>
      <c r="AX39" s="12">
        <f t="shared" si="10"/>
        <v>19.299999999999997</v>
      </c>
      <c r="AY39" s="9"/>
      <c r="AZ39" s="12">
        <f t="shared" si="17"/>
        <v>88.8</v>
      </c>
      <c r="BA39" s="12">
        <f t="shared" si="13"/>
        <v>24.2</v>
      </c>
      <c r="BB39" s="12">
        <f t="shared" si="11"/>
        <v>72</v>
      </c>
      <c r="BC39" s="12">
        <f t="shared" si="11"/>
        <v>63.3</v>
      </c>
      <c r="BD39" s="12">
        <f t="shared" si="11"/>
        <v>84.399999999999991</v>
      </c>
      <c r="BE39" s="12">
        <f t="shared" si="11"/>
        <v>73.2</v>
      </c>
      <c r="BF39" s="12">
        <f t="shared" si="12"/>
        <v>56.499999999999993</v>
      </c>
      <c r="BG39" s="12">
        <f t="shared" si="12"/>
        <v>84.399999999999991</v>
      </c>
      <c r="BH39" s="12">
        <f t="shared" si="12"/>
        <v>44</v>
      </c>
      <c r="BI39" s="12">
        <f t="shared" si="12"/>
        <v>48.4</v>
      </c>
    </row>
    <row r="40" spans="1:61" ht="15.75" customHeight="1" x14ac:dyDescent="0.25">
      <c r="A40" s="1" t="s">
        <v>146</v>
      </c>
      <c r="B40" s="3" t="s">
        <v>130</v>
      </c>
      <c r="C40" s="4" t="s">
        <v>87</v>
      </c>
      <c r="D40" s="4">
        <v>6</v>
      </c>
      <c r="E40" s="4">
        <v>189</v>
      </c>
      <c r="F40" s="4">
        <v>6</v>
      </c>
      <c r="G40" s="4">
        <v>189</v>
      </c>
      <c r="H40" s="4">
        <v>6.1</v>
      </c>
      <c r="I40" s="4">
        <v>0.47</v>
      </c>
      <c r="J40" s="4">
        <v>0.46700000000000003</v>
      </c>
      <c r="K40" s="4">
        <v>0.41299999999999998</v>
      </c>
      <c r="L40" s="4">
        <v>0.19600000000000001</v>
      </c>
      <c r="M40" s="4">
        <v>5.5</v>
      </c>
      <c r="N40" s="4">
        <v>9.1</v>
      </c>
      <c r="O40" s="4">
        <v>5</v>
      </c>
      <c r="P40" s="4">
        <v>0.5</v>
      </c>
      <c r="Q40" s="4">
        <v>0</v>
      </c>
      <c r="R40" s="4">
        <v>15.3</v>
      </c>
      <c r="S40" s="4">
        <v>13.4</v>
      </c>
      <c r="T40" s="4">
        <v>93</v>
      </c>
      <c r="U40" s="4">
        <v>107</v>
      </c>
      <c r="V40" s="4">
        <v>0</v>
      </c>
      <c r="W40" s="4">
        <v>-0.1</v>
      </c>
      <c r="X40" s="4">
        <v>0.3</v>
      </c>
      <c r="Y40" s="4">
        <v>0.1</v>
      </c>
      <c r="Z40" s="4">
        <v>3.1E-2</v>
      </c>
      <c r="AA40" s="13">
        <f>(I40/TOTAL_BASIC!$D$301)*100</f>
        <v>84.199944367176627</v>
      </c>
      <c r="AB40" s="5">
        <f t="shared" si="3"/>
        <v>0.93</v>
      </c>
      <c r="AC40" s="3">
        <f t="shared" si="1"/>
        <v>-14</v>
      </c>
      <c r="AD40" s="9">
        <f t="shared" si="4"/>
        <v>0.94</v>
      </c>
      <c r="AE40" s="16">
        <f t="shared" si="5"/>
        <v>0.37313432835820892</v>
      </c>
      <c r="AF40" s="16">
        <f t="shared" si="6"/>
        <v>0.32679738562091504</v>
      </c>
      <c r="AG40" s="9"/>
      <c r="AH40" s="9"/>
      <c r="AI40" s="12">
        <f t="shared" si="7"/>
        <v>25.4</v>
      </c>
      <c r="AJ40" s="12">
        <f t="shared" si="8"/>
        <v>77</v>
      </c>
      <c r="AK40" s="12">
        <f t="shared" si="8"/>
        <v>10.5</v>
      </c>
      <c r="AL40" s="12">
        <f t="shared" si="8"/>
        <v>17.299999999999997</v>
      </c>
      <c r="AM40" s="12">
        <f t="shared" si="8"/>
        <v>31</v>
      </c>
      <c r="AN40" s="12">
        <f t="shared" si="8"/>
        <v>55.900000000000006</v>
      </c>
      <c r="AO40" s="12">
        <f t="shared" si="14"/>
        <v>25.4</v>
      </c>
      <c r="AP40" s="12">
        <f t="shared" si="14"/>
        <v>66.400000000000006</v>
      </c>
      <c r="AQ40" s="12">
        <f t="shared" si="14"/>
        <v>52.1</v>
      </c>
      <c r="AR40" s="12">
        <f t="shared" si="14"/>
        <v>9.9</v>
      </c>
      <c r="AS40" s="12">
        <f t="shared" si="15"/>
        <v>6.8000000000000007</v>
      </c>
      <c r="AT40" s="12">
        <f t="shared" si="15"/>
        <v>0</v>
      </c>
      <c r="AU40" s="12">
        <f t="shared" si="9"/>
        <v>44.8</v>
      </c>
      <c r="AV40" s="12">
        <f t="shared" si="15"/>
        <v>13</v>
      </c>
      <c r="AW40" s="12">
        <f t="shared" si="16"/>
        <v>19.2</v>
      </c>
      <c r="AX40" s="12">
        <f t="shared" si="10"/>
        <v>60.9</v>
      </c>
      <c r="AY40" s="9"/>
      <c r="AZ40" s="12">
        <f t="shared" si="17"/>
        <v>14.899999999999999</v>
      </c>
      <c r="BA40" s="12">
        <f t="shared" si="13"/>
        <v>75.099999999999994</v>
      </c>
      <c r="BB40" s="12">
        <f t="shared" si="11"/>
        <v>27.3</v>
      </c>
      <c r="BC40" s="12">
        <f t="shared" si="11"/>
        <v>26.700000000000003</v>
      </c>
      <c r="BD40" s="12">
        <f t="shared" si="11"/>
        <v>17.299999999999997</v>
      </c>
      <c r="BE40" s="12">
        <f t="shared" si="11"/>
        <v>19.2</v>
      </c>
      <c r="BF40" s="12">
        <f t="shared" si="12"/>
        <v>24.2</v>
      </c>
      <c r="BG40" s="12">
        <f t="shared" si="12"/>
        <v>17.299999999999997</v>
      </c>
      <c r="BH40" s="12">
        <f t="shared" si="12"/>
        <v>14.899999999999999</v>
      </c>
      <c r="BI40" s="12">
        <f t="shared" si="12"/>
        <v>9.3000000000000007</v>
      </c>
    </row>
    <row r="41" spans="1:61" ht="15.75" customHeight="1" x14ac:dyDescent="0.25">
      <c r="A41" s="1" t="s">
        <v>122</v>
      </c>
      <c r="B41" s="3" t="s">
        <v>98</v>
      </c>
      <c r="C41" s="4" t="s">
        <v>87</v>
      </c>
      <c r="D41" s="4">
        <v>7</v>
      </c>
      <c r="E41" s="4">
        <v>187</v>
      </c>
      <c r="F41" s="4">
        <v>7</v>
      </c>
      <c r="G41" s="4">
        <v>187</v>
      </c>
      <c r="H41" s="4">
        <v>13.4</v>
      </c>
      <c r="I41" s="4">
        <v>0.65700000000000003</v>
      </c>
      <c r="J41" s="4">
        <v>0.65200000000000002</v>
      </c>
      <c r="K41" s="4">
        <v>0.54300000000000004</v>
      </c>
      <c r="L41" s="4">
        <v>2.1999999999999999E-2</v>
      </c>
      <c r="M41" s="4">
        <v>2.8</v>
      </c>
      <c r="N41" s="4">
        <v>12.2</v>
      </c>
      <c r="O41" s="4">
        <v>6.5</v>
      </c>
      <c r="P41" s="4">
        <v>1.1000000000000001</v>
      </c>
      <c r="Q41" s="4">
        <v>4.0999999999999996</v>
      </c>
      <c r="R41" s="4">
        <v>14.7</v>
      </c>
      <c r="S41" s="4">
        <v>12.8</v>
      </c>
      <c r="T41" s="4">
        <v>118</v>
      </c>
      <c r="U41" s="4">
        <v>101</v>
      </c>
      <c r="V41" s="4">
        <v>0</v>
      </c>
      <c r="W41" s="4">
        <v>0.3</v>
      </c>
      <c r="X41" s="4">
        <v>0.4</v>
      </c>
      <c r="Y41" s="4">
        <v>0.7</v>
      </c>
      <c r="Z41" s="4">
        <v>0.152</v>
      </c>
      <c r="AA41" s="13">
        <f>(I41/TOTAL_BASIC!$D$301)*100</f>
        <v>117.70077329624478</v>
      </c>
      <c r="AB41" s="5">
        <f t="shared" si="3"/>
        <v>1.18</v>
      </c>
      <c r="AC41" s="3">
        <f t="shared" si="1"/>
        <v>17</v>
      </c>
      <c r="AD41" s="9">
        <f t="shared" si="4"/>
        <v>1.3140000000000001</v>
      </c>
      <c r="AE41" s="16">
        <f t="shared" si="5"/>
        <v>0.5078125</v>
      </c>
      <c r="AF41" s="16">
        <f t="shared" si="6"/>
        <v>0.44217687074829937</v>
      </c>
      <c r="AG41" s="9"/>
      <c r="AH41" s="9"/>
      <c r="AI41" s="12">
        <f t="shared" si="7"/>
        <v>47.199999999999996</v>
      </c>
      <c r="AJ41" s="12">
        <f t="shared" si="8"/>
        <v>75.7</v>
      </c>
      <c r="AK41" s="12">
        <f t="shared" si="8"/>
        <v>43.4</v>
      </c>
      <c r="AL41" s="12">
        <f t="shared" si="8"/>
        <v>83.2</v>
      </c>
      <c r="AM41" s="12">
        <f t="shared" si="8"/>
        <v>85.7</v>
      </c>
      <c r="AN41" s="12">
        <f t="shared" si="8"/>
        <v>76.3</v>
      </c>
      <c r="AO41" s="12">
        <f t="shared" si="14"/>
        <v>3.6999999999999997</v>
      </c>
      <c r="AP41" s="12">
        <f t="shared" si="14"/>
        <v>36</v>
      </c>
      <c r="AQ41" s="12">
        <f t="shared" si="14"/>
        <v>70.099999999999994</v>
      </c>
      <c r="AR41" s="12">
        <f t="shared" si="14"/>
        <v>16.100000000000001</v>
      </c>
      <c r="AS41" s="12">
        <f t="shared" si="15"/>
        <v>22.3</v>
      </c>
      <c r="AT41" s="12">
        <f t="shared" si="15"/>
        <v>85.7</v>
      </c>
      <c r="AU41" s="12">
        <f t="shared" si="9"/>
        <v>51.6</v>
      </c>
      <c r="AV41" s="12">
        <f t="shared" si="15"/>
        <v>11.799999999999999</v>
      </c>
      <c r="AW41" s="12">
        <f t="shared" si="16"/>
        <v>77.600000000000009</v>
      </c>
      <c r="AX41" s="12">
        <f t="shared" si="10"/>
        <v>92</v>
      </c>
      <c r="AY41" s="9"/>
      <c r="AZ41" s="12">
        <f t="shared" si="17"/>
        <v>68.899999999999991</v>
      </c>
      <c r="BA41" s="12">
        <f t="shared" si="13"/>
        <v>87.5</v>
      </c>
      <c r="BB41" s="12">
        <f t="shared" si="11"/>
        <v>76.3</v>
      </c>
      <c r="BC41" s="12">
        <f t="shared" si="11"/>
        <v>72</v>
      </c>
      <c r="BD41" s="12">
        <f t="shared" si="11"/>
        <v>83.2</v>
      </c>
      <c r="BE41" s="12">
        <f t="shared" si="11"/>
        <v>77.600000000000009</v>
      </c>
      <c r="BF41" s="12">
        <f t="shared" si="12"/>
        <v>89.4</v>
      </c>
      <c r="BG41" s="12">
        <f t="shared" si="12"/>
        <v>83.2</v>
      </c>
      <c r="BH41" s="12">
        <f t="shared" si="12"/>
        <v>32.9</v>
      </c>
      <c r="BI41" s="12">
        <f t="shared" si="12"/>
        <v>16.7</v>
      </c>
    </row>
    <row r="42" spans="1:61" ht="15.75" customHeight="1" x14ac:dyDescent="0.25">
      <c r="A42" s="1" t="s">
        <v>153</v>
      </c>
      <c r="B42" s="3" t="s">
        <v>130</v>
      </c>
      <c r="C42" s="4" t="s">
        <v>87</v>
      </c>
      <c r="D42" s="4">
        <v>6</v>
      </c>
      <c r="E42" s="4">
        <v>187</v>
      </c>
      <c r="F42" s="4">
        <v>6</v>
      </c>
      <c r="G42" s="4">
        <v>187</v>
      </c>
      <c r="H42" s="4">
        <v>15.2</v>
      </c>
      <c r="I42" s="4">
        <v>0.48099999999999998</v>
      </c>
      <c r="J42" s="4">
        <v>0.40300000000000002</v>
      </c>
      <c r="K42" s="4">
        <v>8.1000000000000003E-2</v>
      </c>
      <c r="L42" s="4">
        <v>0.54800000000000004</v>
      </c>
      <c r="M42" s="4">
        <v>20.5</v>
      </c>
      <c r="N42" s="4">
        <v>20</v>
      </c>
      <c r="O42" s="4">
        <v>15.9</v>
      </c>
      <c r="P42" s="4">
        <v>2.1</v>
      </c>
      <c r="Q42" s="4">
        <v>2.7</v>
      </c>
      <c r="R42" s="4">
        <v>25.3</v>
      </c>
      <c r="S42" s="4">
        <v>23.7</v>
      </c>
      <c r="T42" s="4">
        <v>95</v>
      </c>
      <c r="U42" s="4">
        <v>100</v>
      </c>
      <c r="V42" s="4">
        <v>0</v>
      </c>
      <c r="W42" s="4">
        <v>-0.2</v>
      </c>
      <c r="X42" s="4">
        <v>0.4</v>
      </c>
      <c r="Y42" s="4">
        <v>0.3</v>
      </c>
      <c r="Z42" s="4">
        <v>6.3E-2</v>
      </c>
      <c r="AA42" s="13">
        <f>(I42/TOTAL_BASIC!$D$301)*100</f>
        <v>86.170581363004175</v>
      </c>
      <c r="AB42" s="5">
        <f t="shared" si="3"/>
        <v>0.95</v>
      </c>
      <c r="AC42" s="3">
        <f t="shared" si="1"/>
        <v>-5</v>
      </c>
      <c r="AD42" s="9">
        <f t="shared" si="4"/>
        <v>0.96199999999999997</v>
      </c>
      <c r="AE42" s="16">
        <f t="shared" si="5"/>
        <v>0.67088607594936711</v>
      </c>
      <c r="AF42" s="16">
        <f t="shared" si="6"/>
        <v>0.62845849802371545</v>
      </c>
      <c r="AG42" s="9"/>
      <c r="AH42" s="9"/>
      <c r="AI42" s="12">
        <f t="shared" si="7"/>
        <v>25.4</v>
      </c>
      <c r="AJ42" s="12">
        <f t="shared" si="8"/>
        <v>75.7</v>
      </c>
      <c r="AK42" s="12">
        <f t="shared" si="8"/>
        <v>59</v>
      </c>
      <c r="AL42" s="12">
        <f t="shared" si="8"/>
        <v>22.3</v>
      </c>
      <c r="AM42" s="12">
        <f t="shared" si="8"/>
        <v>16.100000000000001</v>
      </c>
      <c r="AN42" s="12">
        <f t="shared" si="8"/>
        <v>11.1</v>
      </c>
      <c r="AO42" s="12">
        <f t="shared" si="14"/>
        <v>87.5</v>
      </c>
      <c r="AP42" s="12">
        <f t="shared" si="14"/>
        <v>99.3</v>
      </c>
      <c r="AQ42" s="12">
        <f t="shared" si="14"/>
        <v>95.6</v>
      </c>
      <c r="AR42" s="12">
        <f t="shared" si="14"/>
        <v>63.9</v>
      </c>
      <c r="AS42" s="12">
        <f t="shared" si="15"/>
        <v>65.2</v>
      </c>
      <c r="AT42" s="12">
        <f t="shared" si="15"/>
        <v>71.399999999999991</v>
      </c>
      <c r="AU42" s="12">
        <f t="shared" si="9"/>
        <v>8.0999999999999943</v>
      </c>
      <c r="AV42" s="12">
        <f t="shared" si="15"/>
        <v>77</v>
      </c>
      <c r="AW42" s="12">
        <f t="shared" si="16"/>
        <v>22.3</v>
      </c>
      <c r="AX42" s="12">
        <f t="shared" si="10"/>
        <v>95.1</v>
      </c>
      <c r="AY42" s="9"/>
      <c r="AZ42" s="12">
        <f t="shared" si="17"/>
        <v>5.5</v>
      </c>
      <c r="BA42" s="12">
        <f t="shared" si="13"/>
        <v>87.5</v>
      </c>
      <c r="BB42" s="12">
        <f t="shared" si="11"/>
        <v>51.5</v>
      </c>
      <c r="BC42" s="12">
        <f t="shared" si="11"/>
        <v>39.1</v>
      </c>
      <c r="BD42" s="12">
        <f t="shared" si="11"/>
        <v>22.3</v>
      </c>
      <c r="BE42" s="12">
        <f t="shared" si="11"/>
        <v>22.3</v>
      </c>
      <c r="BF42" s="12">
        <f t="shared" si="12"/>
        <v>39.700000000000003</v>
      </c>
      <c r="BG42" s="12">
        <f t="shared" si="12"/>
        <v>22.3</v>
      </c>
      <c r="BH42" s="12">
        <f t="shared" si="12"/>
        <v>48.4</v>
      </c>
      <c r="BI42" s="12">
        <f t="shared" si="12"/>
        <v>27.900000000000002</v>
      </c>
    </row>
    <row r="43" spans="1:61" ht="15.75" customHeight="1" x14ac:dyDescent="0.25">
      <c r="A43" s="1" t="s">
        <v>195</v>
      </c>
      <c r="B43" s="3" t="s">
        <v>164</v>
      </c>
      <c r="C43" s="4" t="s">
        <v>87</v>
      </c>
      <c r="D43" s="4">
        <v>8</v>
      </c>
      <c r="E43" s="4">
        <v>186</v>
      </c>
      <c r="F43" s="4">
        <v>8</v>
      </c>
      <c r="G43" s="4">
        <v>186</v>
      </c>
      <c r="H43" s="4">
        <v>4.7</v>
      </c>
      <c r="I43" s="4">
        <v>0.41399999999999998</v>
      </c>
      <c r="J43" s="4">
        <v>0.39700000000000002</v>
      </c>
      <c r="K43" s="4">
        <v>0.58699999999999997</v>
      </c>
      <c r="L43" s="4">
        <v>7.9000000000000001E-2</v>
      </c>
      <c r="M43" s="4">
        <v>6.4</v>
      </c>
      <c r="N43" s="4">
        <v>9.8000000000000007</v>
      </c>
      <c r="O43" s="4">
        <v>6</v>
      </c>
      <c r="P43" s="4">
        <v>0.5</v>
      </c>
      <c r="Q43" s="4">
        <v>0.5</v>
      </c>
      <c r="R43" s="4">
        <v>12.1</v>
      </c>
      <c r="S43" s="4">
        <v>17.399999999999999</v>
      </c>
      <c r="T43" s="4">
        <v>88</v>
      </c>
      <c r="U43" s="4">
        <v>119</v>
      </c>
      <c r="V43" s="4">
        <v>0</v>
      </c>
      <c r="W43" s="4">
        <v>-0.2</v>
      </c>
      <c r="X43" s="4">
        <v>-0.1</v>
      </c>
      <c r="Y43" s="4">
        <v>-0.3</v>
      </c>
      <c r="Z43" s="4">
        <v>-6.5000000000000002E-2</v>
      </c>
      <c r="AA43" s="13">
        <f>(I43/TOTAL_BASIC!$D$301)*100</f>
        <v>74.167610570236434</v>
      </c>
      <c r="AB43" s="5">
        <f t="shared" si="3"/>
        <v>0.88</v>
      </c>
      <c r="AC43" s="3">
        <f t="shared" si="1"/>
        <v>-31</v>
      </c>
      <c r="AD43" s="9">
        <f t="shared" si="4"/>
        <v>0.82799999999999996</v>
      </c>
      <c r="AE43" s="16">
        <f t="shared" si="5"/>
        <v>0.34482758620689657</v>
      </c>
      <c r="AF43" s="16">
        <f t="shared" si="6"/>
        <v>0.49586776859504134</v>
      </c>
      <c r="AG43" s="9"/>
      <c r="AH43" s="9"/>
      <c r="AI43" s="12">
        <f t="shared" si="7"/>
        <v>69.5</v>
      </c>
      <c r="AJ43" s="12">
        <f t="shared" si="8"/>
        <v>75.099999999999994</v>
      </c>
      <c r="AK43" s="12">
        <f t="shared" si="8"/>
        <v>6.2</v>
      </c>
      <c r="AL43" s="12">
        <f t="shared" si="8"/>
        <v>9.3000000000000007</v>
      </c>
      <c r="AM43" s="12">
        <f t="shared" si="8"/>
        <v>14.2</v>
      </c>
      <c r="AN43" s="12">
        <f t="shared" si="8"/>
        <v>82.6</v>
      </c>
      <c r="AO43" s="12">
        <f t="shared" si="14"/>
        <v>8.6</v>
      </c>
      <c r="AP43" s="12">
        <f t="shared" si="14"/>
        <v>72</v>
      </c>
      <c r="AQ43" s="12">
        <f t="shared" si="14"/>
        <v>59</v>
      </c>
      <c r="AR43" s="12">
        <f t="shared" si="14"/>
        <v>12.4</v>
      </c>
      <c r="AS43" s="12">
        <f t="shared" si="15"/>
        <v>6.8000000000000007</v>
      </c>
      <c r="AT43" s="12">
        <f t="shared" si="15"/>
        <v>29.099999999999998</v>
      </c>
      <c r="AU43" s="12">
        <f t="shared" si="9"/>
        <v>67.099999999999994</v>
      </c>
      <c r="AV43" s="12">
        <f t="shared" si="15"/>
        <v>40.9</v>
      </c>
      <c r="AW43" s="12">
        <f t="shared" si="16"/>
        <v>9.9</v>
      </c>
      <c r="AX43" s="12">
        <f t="shared" si="10"/>
        <v>5</v>
      </c>
      <c r="AY43" s="9"/>
      <c r="AZ43" s="12">
        <f t="shared" si="17"/>
        <v>5.5</v>
      </c>
      <c r="BA43" s="12">
        <f t="shared" si="13"/>
        <v>1.2</v>
      </c>
      <c r="BB43" s="12">
        <f t="shared" si="11"/>
        <v>2.4</v>
      </c>
      <c r="BC43" s="12">
        <f t="shared" si="11"/>
        <v>6.2</v>
      </c>
      <c r="BD43" s="12">
        <f t="shared" si="11"/>
        <v>9.3000000000000007</v>
      </c>
      <c r="BE43" s="12">
        <f t="shared" si="11"/>
        <v>9.9</v>
      </c>
      <c r="BF43" s="12">
        <f t="shared" si="12"/>
        <v>5.5</v>
      </c>
      <c r="BG43" s="12">
        <f t="shared" si="12"/>
        <v>9.3000000000000007</v>
      </c>
      <c r="BH43" s="12">
        <f t="shared" si="12"/>
        <v>11.799999999999999</v>
      </c>
      <c r="BI43" s="12">
        <f t="shared" si="12"/>
        <v>21.7</v>
      </c>
    </row>
    <row r="44" spans="1:61" ht="15.75" customHeight="1" x14ac:dyDescent="0.25">
      <c r="A44" s="1" t="s">
        <v>172</v>
      </c>
      <c r="B44" s="3" t="s">
        <v>139</v>
      </c>
      <c r="C44" s="4" t="s">
        <v>87</v>
      </c>
      <c r="D44" s="4">
        <v>6</v>
      </c>
      <c r="E44" s="4">
        <v>185</v>
      </c>
      <c r="F44" s="4">
        <v>6</v>
      </c>
      <c r="G44" s="4">
        <v>185</v>
      </c>
      <c r="H44" s="4">
        <v>24.4</v>
      </c>
      <c r="I44" s="4">
        <v>0.69199999999999995</v>
      </c>
      <c r="J44" s="4">
        <v>0.63500000000000001</v>
      </c>
      <c r="K44" s="4">
        <v>0.14299999999999999</v>
      </c>
      <c r="L44" s="4">
        <v>0.61899999999999999</v>
      </c>
      <c r="M44" s="4">
        <v>10</v>
      </c>
      <c r="N44" s="4">
        <v>18.100000000000001</v>
      </c>
      <c r="O44" s="4">
        <v>14.2</v>
      </c>
      <c r="P44" s="4">
        <v>1.9</v>
      </c>
      <c r="Q44" s="4">
        <v>0</v>
      </c>
      <c r="R44" s="4">
        <v>14</v>
      </c>
      <c r="S44" s="4">
        <v>22.2</v>
      </c>
      <c r="T44" s="4">
        <v>131</v>
      </c>
      <c r="U44" s="4">
        <v>117</v>
      </c>
      <c r="V44" s="4">
        <v>0</v>
      </c>
      <c r="W44" s="4">
        <v>0.9</v>
      </c>
      <c r="X44" s="4">
        <v>0</v>
      </c>
      <c r="Y44" s="4">
        <v>0.9</v>
      </c>
      <c r="Z44" s="4">
        <v>0.19900000000000001</v>
      </c>
      <c r="AA44" s="13">
        <f>(I44/TOTAL_BASIC!$D$301)*100</f>
        <v>123.9709819193324</v>
      </c>
      <c r="AB44" s="5">
        <f t="shared" si="3"/>
        <v>1.31</v>
      </c>
      <c r="AC44" s="3">
        <f t="shared" si="1"/>
        <v>14</v>
      </c>
      <c r="AD44" s="9">
        <f t="shared" si="4"/>
        <v>1.3839999999999999</v>
      </c>
      <c r="AE44" s="16">
        <f t="shared" si="5"/>
        <v>0.63963963963963966</v>
      </c>
      <c r="AF44" s="16">
        <f t="shared" si="6"/>
        <v>1.0142857142857142</v>
      </c>
      <c r="AG44" s="9"/>
      <c r="AH44" s="9"/>
      <c r="AI44" s="12">
        <f t="shared" si="7"/>
        <v>25.4</v>
      </c>
      <c r="AJ44" s="12">
        <f t="shared" si="8"/>
        <v>74.5</v>
      </c>
      <c r="AK44" s="12">
        <f t="shared" si="8"/>
        <v>95</v>
      </c>
      <c r="AL44" s="12">
        <f t="shared" si="8"/>
        <v>90</v>
      </c>
      <c r="AM44" s="12">
        <f t="shared" si="8"/>
        <v>83.8</v>
      </c>
      <c r="AN44" s="12">
        <f t="shared" si="8"/>
        <v>16.7</v>
      </c>
      <c r="AO44" s="12">
        <f t="shared" si="14"/>
        <v>91.9</v>
      </c>
      <c r="AP44" s="12">
        <f t="shared" si="14"/>
        <v>81.899999999999991</v>
      </c>
      <c r="AQ44" s="12">
        <f t="shared" si="14"/>
        <v>93.100000000000009</v>
      </c>
      <c r="AR44" s="12">
        <f t="shared" si="14"/>
        <v>56.499999999999993</v>
      </c>
      <c r="AS44" s="12">
        <f t="shared" si="15"/>
        <v>58.3</v>
      </c>
      <c r="AT44" s="12">
        <f t="shared" si="15"/>
        <v>0</v>
      </c>
      <c r="AU44" s="12">
        <f t="shared" si="9"/>
        <v>54.699999999999996</v>
      </c>
      <c r="AV44" s="12">
        <f t="shared" si="15"/>
        <v>70.8</v>
      </c>
      <c r="AW44" s="12">
        <f t="shared" si="16"/>
        <v>93.100000000000009</v>
      </c>
      <c r="AX44" s="12">
        <f t="shared" si="10"/>
        <v>7.5</v>
      </c>
      <c r="AY44" s="9"/>
      <c r="AZ44" s="12">
        <f t="shared" si="17"/>
        <v>96.2</v>
      </c>
      <c r="BA44" s="12">
        <f t="shared" si="13"/>
        <v>3.1</v>
      </c>
      <c r="BB44" s="12">
        <f t="shared" si="11"/>
        <v>84.399999999999991</v>
      </c>
      <c r="BC44" s="12">
        <f t="shared" si="11"/>
        <v>90</v>
      </c>
      <c r="BD44" s="12">
        <f t="shared" si="11"/>
        <v>90</v>
      </c>
      <c r="BE44" s="12">
        <f t="shared" si="11"/>
        <v>93.100000000000009</v>
      </c>
      <c r="BF44" s="12">
        <f t="shared" si="12"/>
        <v>82.6</v>
      </c>
      <c r="BG44" s="12">
        <f t="shared" si="12"/>
        <v>90</v>
      </c>
      <c r="BH44" s="12">
        <f t="shared" si="12"/>
        <v>46.5</v>
      </c>
      <c r="BI44" s="12">
        <f t="shared" si="12"/>
        <v>52.7</v>
      </c>
    </row>
    <row r="45" spans="1:61" ht="15.75" customHeight="1" x14ac:dyDescent="0.25">
      <c r="A45" s="1" t="s">
        <v>159</v>
      </c>
      <c r="B45" s="3" t="s">
        <v>160</v>
      </c>
      <c r="C45" s="4" t="s">
        <v>8</v>
      </c>
      <c r="D45" s="4">
        <v>6</v>
      </c>
      <c r="E45" s="4">
        <v>184</v>
      </c>
      <c r="F45" s="4">
        <v>6</v>
      </c>
      <c r="G45" s="4">
        <v>184</v>
      </c>
      <c r="H45" s="4">
        <v>22.8</v>
      </c>
      <c r="I45" s="4">
        <v>0.58299999999999996</v>
      </c>
      <c r="J45" s="4">
        <v>0.5</v>
      </c>
      <c r="K45" s="4">
        <v>0.52</v>
      </c>
      <c r="L45" s="4">
        <v>0.36</v>
      </c>
      <c r="M45" s="4">
        <v>0.7</v>
      </c>
      <c r="N45" s="4">
        <v>9.1</v>
      </c>
      <c r="O45" s="4">
        <v>48.9</v>
      </c>
      <c r="P45" s="4">
        <v>2.1</v>
      </c>
      <c r="Q45" s="4">
        <v>2.9</v>
      </c>
      <c r="R45" s="4">
        <v>21.1</v>
      </c>
      <c r="S45" s="4">
        <v>34</v>
      </c>
      <c r="T45" s="4">
        <v>107</v>
      </c>
      <c r="U45" s="4">
        <v>102</v>
      </c>
      <c r="V45" s="4">
        <v>0</v>
      </c>
      <c r="W45" s="4">
        <v>0.4</v>
      </c>
      <c r="X45" s="4">
        <v>0.4</v>
      </c>
      <c r="Y45" s="4">
        <v>0.7</v>
      </c>
      <c r="Z45" s="4">
        <v>0.158</v>
      </c>
      <c r="AA45" s="13">
        <f>(I45/TOTAL_BASIC!$D$301)*100</f>
        <v>104.44376077885951</v>
      </c>
      <c r="AB45" s="5">
        <f t="shared" si="3"/>
        <v>1.07</v>
      </c>
      <c r="AC45" s="3">
        <f t="shared" si="1"/>
        <v>5</v>
      </c>
      <c r="AD45" s="9">
        <f t="shared" si="4"/>
        <v>1.1659999999999999</v>
      </c>
      <c r="AE45" s="16">
        <f t="shared" si="5"/>
        <v>1.4382352941176471</v>
      </c>
      <c r="AF45" s="16">
        <f t="shared" si="6"/>
        <v>2.3175355450236963</v>
      </c>
      <c r="AG45" s="9"/>
      <c r="AH45" s="9"/>
      <c r="AI45" s="12">
        <f t="shared" si="7"/>
        <v>25.4</v>
      </c>
      <c r="AJ45" s="12">
        <f t="shared" si="8"/>
        <v>73.2</v>
      </c>
      <c r="AK45" s="12">
        <f t="shared" si="8"/>
        <v>91.3</v>
      </c>
      <c r="AL45" s="12">
        <f t="shared" si="8"/>
        <v>61.4</v>
      </c>
      <c r="AM45" s="12">
        <f t="shared" si="8"/>
        <v>40.9</v>
      </c>
      <c r="AN45" s="12">
        <f t="shared" si="8"/>
        <v>74.5</v>
      </c>
      <c r="AO45" s="12">
        <f t="shared" si="14"/>
        <v>61.4</v>
      </c>
      <c r="AP45" s="12">
        <f t="shared" si="14"/>
        <v>14.899999999999999</v>
      </c>
      <c r="AQ45" s="12">
        <f t="shared" si="14"/>
        <v>52.1</v>
      </c>
      <c r="AR45" s="12">
        <f t="shared" si="14"/>
        <v>99.3</v>
      </c>
      <c r="AS45" s="12">
        <f t="shared" si="15"/>
        <v>65.2</v>
      </c>
      <c r="AT45" s="12">
        <f t="shared" si="15"/>
        <v>76.3</v>
      </c>
      <c r="AU45" s="12">
        <f t="shared" si="9"/>
        <v>21.200000000000003</v>
      </c>
      <c r="AV45" s="12">
        <f t="shared" si="15"/>
        <v>99.3</v>
      </c>
      <c r="AW45" s="12">
        <f t="shared" si="16"/>
        <v>44</v>
      </c>
      <c r="AX45" s="12">
        <f t="shared" si="10"/>
        <v>88.2</v>
      </c>
      <c r="AY45" s="9"/>
      <c r="AZ45" s="12">
        <f t="shared" si="17"/>
        <v>74.5</v>
      </c>
      <c r="BA45" s="12">
        <f t="shared" si="13"/>
        <v>87.5</v>
      </c>
      <c r="BB45" s="12">
        <f t="shared" si="11"/>
        <v>76.3</v>
      </c>
      <c r="BC45" s="12">
        <f t="shared" si="11"/>
        <v>73.900000000000006</v>
      </c>
      <c r="BD45" s="12">
        <f t="shared" si="11"/>
        <v>61.4</v>
      </c>
      <c r="BE45" s="12">
        <f t="shared" si="11"/>
        <v>44</v>
      </c>
      <c r="BF45" s="12">
        <f t="shared" si="12"/>
        <v>61.4</v>
      </c>
      <c r="BG45" s="12">
        <f t="shared" si="12"/>
        <v>61.4</v>
      </c>
      <c r="BH45" s="12">
        <f t="shared" si="12"/>
        <v>87.5</v>
      </c>
      <c r="BI45" s="12">
        <f t="shared" si="12"/>
        <v>93.7</v>
      </c>
    </row>
    <row r="46" spans="1:61" ht="15.75" customHeight="1" x14ac:dyDescent="0.25">
      <c r="A46" s="1" t="s">
        <v>150</v>
      </c>
      <c r="B46" s="3" t="s">
        <v>244</v>
      </c>
      <c r="C46" s="4" t="s">
        <v>87</v>
      </c>
      <c r="D46" s="4">
        <v>8</v>
      </c>
      <c r="E46" s="4">
        <v>184</v>
      </c>
      <c r="F46" s="4">
        <v>8</v>
      </c>
      <c r="G46" s="4">
        <v>184</v>
      </c>
      <c r="H46" s="4">
        <v>15.5</v>
      </c>
      <c r="I46" s="4">
        <v>0.59299999999999997</v>
      </c>
      <c r="J46" s="4">
        <v>0.54800000000000004</v>
      </c>
      <c r="K46" s="4">
        <v>0.442</v>
      </c>
      <c r="L46" s="4">
        <v>0.26900000000000002</v>
      </c>
      <c r="M46" s="4">
        <v>2.8</v>
      </c>
      <c r="N46" s="4">
        <v>9.6</v>
      </c>
      <c r="O46" s="4">
        <v>8</v>
      </c>
      <c r="P46" s="4">
        <v>3.1</v>
      </c>
      <c r="Q46" s="4">
        <v>10.4</v>
      </c>
      <c r="R46" s="4">
        <v>21.6</v>
      </c>
      <c r="S46" s="4">
        <v>18.3</v>
      </c>
      <c r="T46" s="4">
        <v>97</v>
      </c>
      <c r="U46" s="4">
        <v>103</v>
      </c>
      <c r="V46" s="4">
        <v>0</v>
      </c>
      <c r="W46" s="4">
        <v>0</v>
      </c>
      <c r="X46" s="4">
        <v>0.4</v>
      </c>
      <c r="Y46" s="4">
        <v>0.3</v>
      </c>
      <c r="Z46" s="4">
        <v>6.8000000000000005E-2</v>
      </c>
      <c r="AA46" s="13">
        <f>(I46/TOTAL_BASIC!$D$301)*100</f>
        <v>106.23524895688456</v>
      </c>
      <c r="AB46" s="5">
        <f t="shared" si="3"/>
        <v>0.97</v>
      </c>
      <c r="AC46" s="3">
        <f t="shared" si="1"/>
        <v>-6</v>
      </c>
      <c r="AD46" s="9">
        <f t="shared" si="4"/>
        <v>1.1859999999999999</v>
      </c>
      <c r="AE46" s="16">
        <f t="shared" si="5"/>
        <v>0.43715846994535518</v>
      </c>
      <c r="AF46" s="16">
        <f t="shared" si="6"/>
        <v>0.37037037037037035</v>
      </c>
      <c r="AG46" s="9"/>
      <c r="AH46" s="9"/>
      <c r="AI46" s="12">
        <f t="shared" si="7"/>
        <v>69.5</v>
      </c>
      <c r="AJ46" s="12">
        <f t="shared" si="8"/>
        <v>73.2</v>
      </c>
      <c r="AK46" s="12">
        <f t="shared" si="8"/>
        <v>60.199999999999996</v>
      </c>
      <c r="AL46" s="12">
        <f t="shared" si="8"/>
        <v>65.8</v>
      </c>
      <c r="AM46" s="12">
        <f t="shared" si="8"/>
        <v>62.1</v>
      </c>
      <c r="AN46" s="12">
        <f t="shared" si="8"/>
        <v>62.7</v>
      </c>
      <c r="AO46" s="12">
        <f t="shared" si="14"/>
        <v>42.199999999999996</v>
      </c>
      <c r="AP46" s="12">
        <f t="shared" si="14"/>
        <v>36</v>
      </c>
      <c r="AQ46" s="12">
        <f t="shared" si="14"/>
        <v>57.699999999999996</v>
      </c>
      <c r="AR46" s="12">
        <f t="shared" si="14"/>
        <v>23.599999999999998</v>
      </c>
      <c r="AS46" s="12">
        <f t="shared" si="15"/>
        <v>88.8</v>
      </c>
      <c r="AT46" s="12">
        <f t="shared" si="15"/>
        <v>100</v>
      </c>
      <c r="AU46" s="12">
        <f t="shared" si="9"/>
        <v>19.299999999999997</v>
      </c>
      <c r="AV46" s="12">
        <f t="shared" si="15"/>
        <v>49.6</v>
      </c>
      <c r="AW46" s="12">
        <f t="shared" si="16"/>
        <v>25.4</v>
      </c>
      <c r="AX46" s="12">
        <f t="shared" si="10"/>
        <v>82</v>
      </c>
      <c r="AY46" s="9"/>
      <c r="AZ46" s="12">
        <f t="shared" si="17"/>
        <v>22.3</v>
      </c>
      <c r="BA46" s="12">
        <f t="shared" si="13"/>
        <v>87.5</v>
      </c>
      <c r="BB46" s="12">
        <f t="shared" si="11"/>
        <v>51.5</v>
      </c>
      <c r="BC46" s="12">
        <f t="shared" si="11"/>
        <v>40.9</v>
      </c>
      <c r="BD46" s="12">
        <f t="shared" si="11"/>
        <v>65.8</v>
      </c>
      <c r="BE46" s="12">
        <f t="shared" si="11"/>
        <v>25.4</v>
      </c>
      <c r="BF46" s="12">
        <f t="shared" si="12"/>
        <v>38.5</v>
      </c>
      <c r="BG46" s="12">
        <f t="shared" si="12"/>
        <v>65.8</v>
      </c>
      <c r="BH46" s="12">
        <f t="shared" si="12"/>
        <v>20.399999999999999</v>
      </c>
      <c r="BI46" s="12">
        <f t="shared" si="12"/>
        <v>11.799999999999999</v>
      </c>
    </row>
    <row r="47" spans="1:61" ht="15.75" customHeight="1" x14ac:dyDescent="0.25">
      <c r="A47" s="1" t="s">
        <v>169</v>
      </c>
      <c r="B47" s="4" t="s">
        <v>130</v>
      </c>
      <c r="C47" s="4" t="s">
        <v>8</v>
      </c>
      <c r="D47" s="4">
        <v>6</v>
      </c>
      <c r="E47" s="4">
        <v>182</v>
      </c>
      <c r="F47" s="4">
        <v>6</v>
      </c>
      <c r="G47" s="4">
        <v>182</v>
      </c>
      <c r="H47" s="4">
        <v>20.3</v>
      </c>
      <c r="I47" s="4">
        <v>0.59099999999999997</v>
      </c>
      <c r="J47" s="4">
        <v>0.54700000000000004</v>
      </c>
      <c r="K47" s="4">
        <v>0.35799999999999998</v>
      </c>
      <c r="L47" s="4">
        <v>0.30199999999999999</v>
      </c>
      <c r="M47" s="4">
        <v>1.9</v>
      </c>
      <c r="N47" s="4">
        <v>7.9</v>
      </c>
      <c r="O47" s="4">
        <v>37.9</v>
      </c>
      <c r="P47" s="4">
        <v>3.9</v>
      </c>
      <c r="Q47" s="4">
        <v>0.5</v>
      </c>
      <c r="R47" s="4">
        <v>17.8</v>
      </c>
      <c r="S47" s="4">
        <v>17.3</v>
      </c>
      <c r="T47" s="4">
        <v>121</v>
      </c>
      <c r="U47" s="4">
        <v>100</v>
      </c>
      <c r="V47" s="4">
        <v>0</v>
      </c>
      <c r="W47" s="4">
        <v>0.5</v>
      </c>
      <c r="X47" s="4">
        <v>0.4</v>
      </c>
      <c r="Y47" s="4">
        <v>1</v>
      </c>
      <c r="Z47" s="4">
        <v>0.215</v>
      </c>
      <c r="AA47" s="13">
        <f>(I47/TOTAL_BASIC!$D$301)*100</f>
        <v>105.87695132127955</v>
      </c>
      <c r="AB47" s="5">
        <f t="shared" si="3"/>
        <v>1.21</v>
      </c>
      <c r="AC47" s="3">
        <f t="shared" si="1"/>
        <v>21</v>
      </c>
      <c r="AD47" s="9">
        <f t="shared" si="4"/>
        <v>1.1819999999999999</v>
      </c>
      <c r="AE47" s="16">
        <f t="shared" si="5"/>
        <v>2.1907514450867049</v>
      </c>
      <c r="AF47" s="16">
        <f t="shared" si="6"/>
        <v>2.1292134831460672</v>
      </c>
      <c r="AG47" s="9"/>
      <c r="AH47" s="9"/>
      <c r="AI47" s="12">
        <f t="shared" si="7"/>
        <v>25.4</v>
      </c>
      <c r="AJ47" s="12">
        <f t="shared" si="8"/>
        <v>72</v>
      </c>
      <c r="AK47" s="12">
        <f t="shared" si="8"/>
        <v>81.3</v>
      </c>
      <c r="AL47" s="12">
        <f t="shared" si="8"/>
        <v>64.5</v>
      </c>
      <c r="AM47" s="12">
        <f t="shared" si="8"/>
        <v>61.4</v>
      </c>
      <c r="AN47" s="12">
        <f t="shared" si="8"/>
        <v>44</v>
      </c>
      <c r="AO47" s="12">
        <f t="shared" si="14"/>
        <v>47.8</v>
      </c>
      <c r="AP47" s="12">
        <f t="shared" si="14"/>
        <v>24.2</v>
      </c>
      <c r="AQ47" s="12">
        <f t="shared" si="14"/>
        <v>41.6</v>
      </c>
      <c r="AR47" s="12">
        <f t="shared" si="14"/>
        <v>96.8</v>
      </c>
      <c r="AS47" s="12">
        <f t="shared" si="15"/>
        <v>96.8</v>
      </c>
      <c r="AT47" s="12">
        <f t="shared" si="15"/>
        <v>29.099999999999998</v>
      </c>
      <c r="AU47" s="12">
        <f t="shared" si="9"/>
        <v>31.699999999999989</v>
      </c>
      <c r="AV47" s="12">
        <f t="shared" si="15"/>
        <v>39.1</v>
      </c>
      <c r="AW47" s="12">
        <f t="shared" si="16"/>
        <v>83.8</v>
      </c>
      <c r="AX47" s="12">
        <f t="shared" si="10"/>
        <v>95.1</v>
      </c>
      <c r="AY47" s="9"/>
      <c r="AZ47" s="12">
        <f t="shared" si="17"/>
        <v>79.5</v>
      </c>
      <c r="BA47" s="12">
        <f t="shared" si="13"/>
        <v>87.5</v>
      </c>
      <c r="BB47" s="12">
        <f t="shared" si="11"/>
        <v>93.100000000000009</v>
      </c>
      <c r="BC47" s="12">
        <f t="shared" si="11"/>
        <v>93.100000000000009</v>
      </c>
      <c r="BD47" s="12">
        <f t="shared" si="11"/>
        <v>64.5</v>
      </c>
      <c r="BE47" s="12">
        <f t="shared" si="11"/>
        <v>83.8</v>
      </c>
      <c r="BF47" s="12">
        <f t="shared" si="12"/>
        <v>92.5</v>
      </c>
      <c r="BG47" s="12">
        <f t="shared" si="12"/>
        <v>64.5</v>
      </c>
      <c r="BH47" s="12">
        <f t="shared" si="12"/>
        <v>98.7</v>
      </c>
      <c r="BI47" s="12">
        <f t="shared" si="12"/>
        <v>88.1</v>
      </c>
    </row>
    <row r="48" spans="1:61" ht="15.75" customHeight="1" x14ac:dyDescent="0.25">
      <c r="A48" s="1" t="s">
        <v>154</v>
      </c>
      <c r="B48" s="3" t="s">
        <v>133</v>
      </c>
      <c r="C48" s="4" t="s">
        <v>8</v>
      </c>
      <c r="D48" s="4">
        <v>7</v>
      </c>
      <c r="E48" s="4">
        <v>182</v>
      </c>
      <c r="F48" s="4">
        <v>7</v>
      </c>
      <c r="G48" s="4">
        <v>182</v>
      </c>
      <c r="H48" s="4">
        <v>12</v>
      </c>
      <c r="I48" s="4">
        <v>0.55800000000000005</v>
      </c>
      <c r="J48" s="4">
        <v>0.5</v>
      </c>
      <c r="K48" s="4">
        <v>0.5</v>
      </c>
      <c r="L48" s="4">
        <v>0.22700000000000001</v>
      </c>
      <c r="M48" s="4">
        <v>0.6</v>
      </c>
      <c r="N48" s="4">
        <v>4</v>
      </c>
      <c r="O48" s="4">
        <v>12.9</v>
      </c>
      <c r="P48" s="4">
        <v>2.7</v>
      </c>
      <c r="Q48" s="4">
        <v>1.9</v>
      </c>
      <c r="R48" s="4">
        <v>7.6</v>
      </c>
      <c r="S48" s="4">
        <v>12.6</v>
      </c>
      <c r="T48" s="4">
        <v>114</v>
      </c>
      <c r="U48" s="4">
        <v>109</v>
      </c>
      <c r="V48" s="4">
        <v>0</v>
      </c>
      <c r="W48" s="4">
        <v>0.2</v>
      </c>
      <c r="X48" s="4">
        <v>0.2</v>
      </c>
      <c r="Y48" s="4">
        <v>0.4</v>
      </c>
      <c r="Z48" s="4">
        <v>9.8000000000000004E-2</v>
      </c>
      <c r="AA48" s="13">
        <f>(I48/TOTAL_BASIC!$D$301)*100</f>
        <v>99.965040333796949</v>
      </c>
      <c r="AB48" s="5">
        <f t="shared" si="3"/>
        <v>1.1399999999999999</v>
      </c>
      <c r="AC48" s="3">
        <f t="shared" si="1"/>
        <v>5</v>
      </c>
      <c r="AD48" s="9">
        <f t="shared" si="4"/>
        <v>1.1160000000000001</v>
      </c>
      <c r="AE48" s="16">
        <f t="shared" si="5"/>
        <v>1.0238095238095239</v>
      </c>
      <c r="AF48" s="16">
        <f t="shared" si="6"/>
        <v>1.6973684210526316</v>
      </c>
      <c r="AG48" s="9"/>
      <c r="AH48" s="9"/>
      <c r="AI48" s="12">
        <f t="shared" si="7"/>
        <v>47.199999999999996</v>
      </c>
      <c r="AJ48" s="12">
        <f t="shared" si="8"/>
        <v>72</v>
      </c>
      <c r="AK48" s="12">
        <f t="shared" si="8"/>
        <v>37.799999999999997</v>
      </c>
      <c r="AL48" s="12">
        <f t="shared" si="8"/>
        <v>47.199999999999996</v>
      </c>
      <c r="AM48" s="12">
        <f t="shared" si="8"/>
        <v>40.9</v>
      </c>
      <c r="AN48" s="12">
        <f t="shared" si="8"/>
        <v>72</v>
      </c>
      <c r="AO48" s="12">
        <f t="shared" si="14"/>
        <v>34.1</v>
      </c>
      <c r="AP48" s="12">
        <f t="shared" si="14"/>
        <v>13.600000000000001</v>
      </c>
      <c r="AQ48" s="12">
        <f t="shared" si="14"/>
        <v>9.9</v>
      </c>
      <c r="AR48" s="12">
        <f t="shared" si="14"/>
        <v>51.5</v>
      </c>
      <c r="AS48" s="12">
        <f t="shared" si="15"/>
        <v>80.7</v>
      </c>
      <c r="AT48" s="12">
        <f t="shared" si="15"/>
        <v>60.199999999999996</v>
      </c>
      <c r="AU48" s="12">
        <f t="shared" si="9"/>
        <v>90.1</v>
      </c>
      <c r="AV48" s="12">
        <f t="shared" si="15"/>
        <v>10.5</v>
      </c>
      <c r="AW48" s="12">
        <f t="shared" si="16"/>
        <v>67</v>
      </c>
      <c r="AX48" s="12">
        <f t="shared" si="10"/>
        <v>47.3</v>
      </c>
      <c r="AY48" s="9"/>
      <c r="AZ48" s="12">
        <f t="shared" si="17"/>
        <v>57.099999999999994</v>
      </c>
      <c r="BA48" s="12">
        <f t="shared" si="13"/>
        <v>57.099999999999994</v>
      </c>
      <c r="BB48" s="12">
        <f t="shared" si="11"/>
        <v>62.1</v>
      </c>
      <c r="BC48" s="12">
        <f t="shared" si="11"/>
        <v>50.3</v>
      </c>
      <c r="BD48" s="12">
        <f t="shared" si="11"/>
        <v>47.199999999999996</v>
      </c>
      <c r="BE48" s="12">
        <f t="shared" si="11"/>
        <v>67</v>
      </c>
      <c r="BF48" s="12">
        <f t="shared" si="12"/>
        <v>61.4</v>
      </c>
      <c r="BG48" s="12">
        <f t="shared" si="12"/>
        <v>47.199999999999996</v>
      </c>
      <c r="BH48" s="12">
        <f t="shared" si="12"/>
        <v>72</v>
      </c>
      <c r="BI48" s="12">
        <f t="shared" si="12"/>
        <v>80.7</v>
      </c>
    </row>
    <row r="49" spans="1:61" ht="15.75" customHeight="1" x14ac:dyDescent="0.25">
      <c r="A49" s="1" t="s">
        <v>149</v>
      </c>
      <c r="B49" s="3" t="s">
        <v>133</v>
      </c>
      <c r="C49" s="4" t="s">
        <v>8</v>
      </c>
      <c r="D49" s="4">
        <v>6</v>
      </c>
      <c r="E49" s="4">
        <v>181</v>
      </c>
      <c r="F49" s="4">
        <v>6</v>
      </c>
      <c r="G49" s="4">
        <v>181</v>
      </c>
      <c r="H49" s="4">
        <v>19.5</v>
      </c>
      <c r="I49" s="4">
        <v>0.501</v>
      </c>
      <c r="J49" s="4">
        <v>0.45300000000000001</v>
      </c>
      <c r="K49" s="4">
        <v>0.29299999999999998</v>
      </c>
      <c r="L49" s="4">
        <v>0.36</v>
      </c>
      <c r="M49" s="4">
        <v>3</v>
      </c>
      <c r="N49" s="4">
        <v>8.3000000000000007</v>
      </c>
      <c r="O49" s="4">
        <v>34.799999999999997</v>
      </c>
      <c r="P49" s="4">
        <v>1.6</v>
      </c>
      <c r="Q49" s="4">
        <v>3.3</v>
      </c>
      <c r="R49" s="4">
        <v>7.5</v>
      </c>
      <c r="S49" s="4">
        <v>22.6</v>
      </c>
      <c r="T49" s="4">
        <v>110</v>
      </c>
      <c r="U49" s="4">
        <v>108</v>
      </c>
      <c r="V49" s="4">
        <v>0</v>
      </c>
      <c r="W49" s="4">
        <v>0.3</v>
      </c>
      <c r="X49" s="4">
        <v>0.2</v>
      </c>
      <c r="Y49" s="4">
        <v>0.6</v>
      </c>
      <c r="Z49" s="4">
        <v>0.124</v>
      </c>
      <c r="AA49" s="13">
        <f>(I49/TOTAL_BASIC!$D$301)*100</f>
        <v>89.753557719054243</v>
      </c>
      <c r="AB49" s="5">
        <f t="shared" si="3"/>
        <v>1.1000000000000001</v>
      </c>
      <c r="AC49" s="3">
        <f t="shared" si="1"/>
        <v>2</v>
      </c>
      <c r="AD49" s="9">
        <f t="shared" si="4"/>
        <v>1.002</v>
      </c>
      <c r="AE49" s="16">
        <f t="shared" si="5"/>
        <v>1.5398230088495573</v>
      </c>
      <c r="AF49" s="16">
        <f t="shared" si="6"/>
        <v>4.6399999999999997</v>
      </c>
      <c r="AG49" s="9"/>
      <c r="AH49" s="9"/>
      <c r="AI49" s="12">
        <f t="shared" si="7"/>
        <v>25.4</v>
      </c>
      <c r="AJ49" s="12">
        <f t="shared" si="8"/>
        <v>70.8</v>
      </c>
      <c r="AK49" s="12">
        <f t="shared" si="8"/>
        <v>78.8</v>
      </c>
      <c r="AL49" s="12">
        <f t="shared" si="8"/>
        <v>28.499999999999996</v>
      </c>
      <c r="AM49" s="12">
        <f t="shared" si="8"/>
        <v>27.900000000000002</v>
      </c>
      <c r="AN49" s="12">
        <f t="shared" si="8"/>
        <v>32.200000000000003</v>
      </c>
      <c r="AO49" s="12">
        <f t="shared" si="14"/>
        <v>61.4</v>
      </c>
      <c r="AP49" s="12">
        <f t="shared" si="14"/>
        <v>39.1</v>
      </c>
      <c r="AQ49" s="12">
        <f t="shared" si="14"/>
        <v>44.7</v>
      </c>
      <c r="AR49" s="12">
        <f t="shared" si="14"/>
        <v>95</v>
      </c>
      <c r="AS49" s="12">
        <f t="shared" si="15"/>
        <v>45.300000000000004</v>
      </c>
      <c r="AT49" s="12">
        <f t="shared" si="15"/>
        <v>80.100000000000009</v>
      </c>
      <c r="AU49" s="12">
        <f t="shared" si="9"/>
        <v>90.7</v>
      </c>
      <c r="AV49" s="12">
        <f t="shared" si="15"/>
        <v>73.900000000000006</v>
      </c>
      <c r="AW49" s="12">
        <f t="shared" si="16"/>
        <v>52.7</v>
      </c>
      <c r="AX49" s="12">
        <f t="shared" si="10"/>
        <v>56</v>
      </c>
      <c r="AY49" s="9"/>
      <c r="AZ49" s="12">
        <f t="shared" si="17"/>
        <v>68.899999999999991</v>
      </c>
      <c r="BA49" s="12">
        <f t="shared" si="13"/>
        <v>57.099999999999994</v>
      </c>
      <c r="BB49" s="12">
        <f t="shared" si="11"/>
        <v>72</v>
      </c>
      <c r="BC49" s="12">
        <f t="shared" si="11"/>
        <v>62.1</v>
      </c>
      <c r="BD49" s="12">
        <f t="shared" si="11"/>
        <v>28.499999999999996</v>
      </c>
      <c r="BE49" s="12">
        <f t="shared" si="11"/>
        <v>52.7</v>
      </c>
      <c r="BF49" s="12">
        <f t="shared" si="12"/>
        <v>54</v>
      </c>
      <c r="BG49" s="12">
        <f t="shared" si="12"/>
        <v>28.499999999999996</v>
      </c>
      <c r="BH49" s="12">
        <f t="shared" si="12"/>
        <v>90.600000000000009</v>
      </c>
      <c r="BI49" s="12">
        <f t="shared" si="12"/>
        <v>99.3</v>
      </c>
    </row>
    <row r="50" spans="1:61" ht="15.75" customHeight="1" x14ac:dyDescent="0.25">
      <c r="A50" s="1" t="s">
        <v>207</v>
      </c>
      <c r="B50" s="3" t="s">
        <v>101</v>
      </c>
      <c r="C50" s="4" t="s">
        <v>8</v>
      </c>
      <c r="D50" s="4">
        <v>7</v>
      </c>
      <c r="E50" s="4">
        <v>181</v>
      </c>
      <c r="F50" s="4">
        <v>7</v>
      </c>
      <c r="G50" s="4">
        <v>181</v>
      </c>
      <c r="H50" s="4">
        <v>19.600000000000001</v>
      </c>
      <c r="I50" s="4">
        <v>0.67900000000000005</v>
      </c>
      <c r="J50" s="4">
        <v>0.67500000000000004</v>
      </c>
      <c r="K50" s="4">
        <v>0.44400000000000001</v>
      </c>
      <c r="L50" s="4">
        <v>6.3E-2</v>
      </c>
      <c r="M50" s="4">
        <v>2</v>
      </c>
      <c r="N50" s="4">
        <v>3.5</v>
      </c>
      <c r="O50" s="4">
        <v>8.1999999999999993</v>
      </c>
      <c r="P50" s="4">
        <v>2.2999999999999998</v>
      </c>
      <c r="Q50" s="4">
        <v>3.3</v>
      </c>
      <c r="R50" s="4">
        <v>7.2</v>
      </c>
      <c r="S50" s="4">
        <v>17.5</v>
      </c>
      <c r="T50" s="4">
        <v>124</v>
      </c>
      <c r="U50" s="4">
        <v>109</v>
      </c>
      <c r="V50" s="4">
        <v>0</v>
      </c>
      <c r="W50" s="4">
        <v>0.5</v>
      </c>
      <c r="X50" s="4">
        <v>0.2</v>
      </c>
      <c r="Y50" s="4">
        <v>0.7</v>
      </c>
      <c r="Z50" s="4">
        <v>0.154</v>
      </c>
      <c r="AA50" s="13">
        <f>(I50/TOTAL_BASIC!$D$301)*100</f>
        <v>121.64204728789987</v>
      </c>
      <c r="AB50" s="5">
        <f t="shared" si="3"/>
        <v>1.24</v>
      </c>
      <c r="AC50" s="3">
        <f t="shared" si="1"/>
        <v>15</v>
      </c>
      <c r="AD50" s="9">
        <f t="shared" si="4"/>
        <v>1.3580000000000001</v>
      </c>
      <c r="AE50" s="16">
        <f t="shared" si="5"/>
        <v>0.46857142857142853</v>
      </c>
      <c r="AF50" s="16">
        <f t="shared" si="6"/>
        <v>1.1388888888888888</v>
      </c>
      <c r="AG50" s="9"/>
      <c r="AH50" s="9"/>
      <c r="AI50" s="12">
        <f t="shared" si="7"/>
        <v>47.199999999999996</v>
      </c>
      <c r="AJ50" s="12">
        <f t="shared" si="8"/>
        <v>70.8</v>
      </c>
      <c r="AK50" s="12">
        <f t="shared" si="8"/>
        <v>79.5</v>
      </c>
      <c r="AL50" s="12">
        <f t="shared" si="8"/>
        <v>86.9</v>
      </c>
      <c r="AM50" s="12">
        <f t="shared" si="8"/>
        <v>90</v>
      </c>
      <c r="AN50" s="12">
        <f t="shared" si="8"/>
        <v>63.3</v>
      </c>
      <c r="AO50" s="12">
        <f t="shared" si="14"/>
        <v>6.8000000000000007</v>
      </c>
      <c r="AP50" s="12">
        <f t="shared" si="14"/>
        <v>25.4</v>
      </c>
      <c r="AQ50" s="12">
        <f t="shared" si="14"/>
        <v>7.3999999999999995</v>
      </c>
      <c r="AR50" s="12">
        <f t="shared" si="14"/>
        <v>25.4</v>
      </c>
      <c r="AS50" s="12">
        <f t="shared" si="15"/>
        <v>70.099999999999994</v>
      </c>
      <c r="AT50" s="12">
        <f t="shared" si="15"/>
        <v>80.100000000000009</v>
      </c>
      <c r="AU50" s="12">
        <f t="shared" si="9"/>
        <v>92.6</v>
      </c>
      <c r="AV50" s="12">
        <f t="shared" si="15"/>
        <v>43.4</v>
      </c>
      <c r="AW50" s="12">
        <f t="shared" si="16"/>
        <v>91.3</v>
      </c>
      <c r="AX50" s="12">
        <f t="shared" si="10"/>
        <v>47.3</v>
      </c>
      <c r="AY50" s="9"/>
      <c r="AZ50" s="12">
        <f t="shared" si="17"/>
        <v>79.5</v>
      </c>
      <c r="BA50" s="12">
        <f t="shared" si="13"/>
        <v>57.099999999999994</v>
      </c>
      <c r="BB50" s="12">
        <f t="shared" si="11"/>
        <v>76.3</v>
      </c>
      <c r="BC50" s="12">
        <f t="shared" si="11"/>
        <v>72.599999999999994</v>
      </c>
      <c r="BD50" s="12">
        <f t="shared" si="11"/>
        <v>86.9</v>
      </c>
      <c r="BE50" s="12">
        <f t="shared" si="11"/>
        <v>91.3</v>
      </c>
      <c r="BF50" s="12">
        <f t="shared" si="12"/>
        <v>85.7</v>
      </c>
      <c r="BG50" s="12">
        <f t="shared" si="12"/>
        <v>86.9</v>
      </c>
      <c r="BH50" s="12">
        <f t="shared" si="12"/>
        <v>28.499999999999996</v>
      </c>
      <c r="BI50" s="12">
        <f t="shared" si="12"/>
        <v>57.699999999999996</v>
      </c>
    </row>
    <row r="51" spans="1:61" ht="15.75" customHeight="1" x14ac:dyDescent="0.25">
      <c r="A51" s="1" t="s">
        <v>129</v>
      </c>
      <c r="B51" s="3" t="s">
        <v>130</v>
      </c>
      <c r="C51" s="4" t="s">
        <v>8</v>
      </c>
      <c r="D51" s="4">
        <v>5</v>
      </c>
      <c r="E51" s="4">
        <v>180</v>
      </c>
      <c r="F51" s="4">
        <v>5</v>
      </c>
      <c r="G51" s="4">
        <v>180</v>
      </c>
      <c r="H51" s="4">
        <v>18.7</v>
      </c>
      <c r="I51" s="4">
        <v>0.56599999999999995</v>
      </c>
      <c r="J51" s="4">
        <v>0.49199999999999999</v>
      </c>
      <c r="K51" s="4">
        <v>0.6</v>
      </c>
      <c r="L51" s="4">
        <v>0.35399999999999998</v>
      </c>
      <c r="M51" s="4">
        <v>3.9</v>
      </c>
      <c r="N51" s="4">
        <v>7.3</v>
      </c>
      <c r="O51" s="4">
        <v>19.5</v>
      </c>
      <c r="P51" s="4">
        <v>2.8</v>
      </c>
      <c r="Q51" s="4">
        <v>2.2999999999999998</v>
      </c>
      <c r="R51" s="4">
        <v>10.7</v>
      </c>
      <c r="S51" s="4">
        <v>20.100000000000001</v>
      </c>
      <c r="T51" s="4">
        <v>121</v>
      </c>
      <c r="U51" s="4">
        <v>101</v>
      </c>
      <c r="V51" s="4">
        <v>0</v>
      </c>
      <c r="W51" s="4">
        <v>0.5</v>
      </c>
      <c r="X51" s="4">
        <v>0.4</v>
      </c>
      <c r="Y51" s="4">
        <v>0.9</v>
      </c>
      <c r="Z51" s="4">
        <v>0.21</v>
      </c>
      <c r="AA51" s="13">
        <f>(I51/TOTAL_BASIC!$D$301)*100</f>
        <v>101.39823087621696</v>
      </c>
      <c r="AB51" s="5">
        <f t="shared" si="3"/>
        <v>1.21</v>
      </c>
      <c r="AC51" s="3">
        <f t="shared" si="1"/>
        <v>20</v>
      </c>
      <c r="AD51" s="9">
        <f t="shared" si="4"/>
        <v>1.1319999999999999</v>
      </c>
      <c r="AE51" s="16">
        <f t="shared" si="5"/>
        <v>0.9701492537313432</v>
      </c>
      <c r="AF51" s="16">
        <f t="shared" si="6"/>
        <v>1.8224299065420562</v>
      </c>
      <c r="AG51" s="9"/>
      <c r="AH51" s="9"/>
      <c r="AI51" s="12">
        <f t="shared" si="7"/>
        <v>16.100000000000001</v>
      </c>
      <c r="AJ51" s="12">
        <f t="shared" si="8"/>
        <v>69.5</v>
      </c>
      <c r="AK51" s="12">
        <f t="shared" si="8"/>
        <v>75.7</v>
      </c>
      <c r="AL51" s="12">
        <f t="shared" si="8"/>
        <v>50.3</v>
      </c>
      <c r="AM51" s="12">
        <f t="shared" si="8"/>
        <v>38.5</v>
      </c>
      <c r="AN51" s="12">
        <f t="shared" si="8"/>
        <v>83.2</v>
      </c>
      <c r="AO51" s="12">
        <f t="shared" si="14"/>
        <v>59</v>
      </c>
      <c r="AP51" s="12">
        <f t="shared" si="14"/>
        <v>47.8</v>
      </c>
      <c r="AQ51" s="12">
        <f t="shared" si="14"/>
        <v>34.1</v>
      </c>
      <c r="AR51" s="12">
        <f t="shared" si="14"/>
        <v>72.599999999999994</v>
      </c>
      <c r="AS51" s="12">
        <f t="shared" si="15"/>
        <v>83.8</v>
      </c>
      <c r="AT51" s="12">
        <f t="shared" si="15"/>
        <v>64.5</v>
      </c>
      <c r="AU51" s="12">
        <f t="shared" si="9"/>
        <v>75.8</v>
      </c>
      <c r="AV51" s="12">
        <f t="shared" si="15"/>
        <v>61.4</v>
      </c>
      <c r="AW51" s="12">
        <f t="shared" si="16"/>
        <v>83.8</v>
      </c>
      <c r="AX51" s="12">
        <f t="shared" si="10"/>
        <v>92</v>
      </c>
      <c r="AY51" s="9"/>
      <c r="AZ51" s="12">
        <f t="shared" si="17"/>
        <v>79.5</v>
      </c>
      <c r="BA51" s="12">
        <f t="shared" si="13"/>
        <v>87.5</v>
      </c>
      <c r="BB51" s="12">
        <f t="shared" si="11"/>
        <v>84.399999999999991</v>
      </c>
      <c r="BC51" s="12">
        <f t="shared" si="11"/>
        <v>91.9</v>
      </c>
      <c r="BD51" s="12">
        <f t="shared" si="11"/>
        <v>50.3</v>
      </c>
      <c r="BE51" s="12">
        <f t="shared" si="11"/>
        <v>83.8</v>
      </c>
      <c r="BF51" s="12">
        <f t="shared" si="12"/>
        <v>90.600000000000009</v>
      </c>
      <c r="BG51" s="12">
        <f t="shared" si="12"/>
        <v>50.3</v>
      </c>
      <c r="BH51" s="12">
        <f t="shared" si="12"/>
        <v>68.899999999999991</v>
      </c>
      <c r="BI51" s="12">
        <f t="shared" si="12"/>
        <v>85.7</v>
      </c>
    </row>
    <row r="52" spans="1:61" ht="15.75" customHeight="1" x14ac:dyDescent="0.25">
      <c r="A52" s="1" t="s">
        <v>107</v>
      </c>
      <c r="B52" s="3" t="s">
        <v>93</v>
      </c>
      <c r="C52" s="4" t="s">
        <v>87</v>
      </c>
      <c r="D52" s="4">
        <v>7</v>
      </c>
      <c r="E52" s="4">
        <v>180</v>
      </c>
      <c r="F52" s="4">
        <v>7</v>
      </c>
      <c r="G52" s="4">
        <v>180</v>
      </c>
      <c r="H52" s="4">
        <v>9.9</v>
      </c>
      <c r="I52" s="4">
        <v>0.48399999999999999</v>
      </c>
      <c r="J52" s="4">
        <v>0.44600000000000001</v>
      </c>
      <c r="K52" s="4">
        <v>0.48199999999999998</v>
      </c>
      <c r="L52" s="4">
        <v>0.161</v>
      </c>
      <c r="M52" s="4">
        <v>6</v>
      </c>
      <c r="N52" s="4">
        <v>11.2</v>
      </c>
      <c r="O52" s="4">
        <v>3.6</v>
      </c>
      <c r="P52" s="4">
        <v>1.4</v>
      </c>
      <c r="Q52" s="4">
        <v>1.7</v>
      </c>
      <c r="R52" s="4">
        <v>10.5</v>
      </c>
      <c r="S52" s="4">
        <v>16.3</v>
      </c>
      <c r="T52" s="4">
        <v>99</v>
      </c>
      <c r="U52" s="4">
        <v>102</v>
      </c>
      <c r="V52" s="4">
        <v>0</v>
      </c>
      <c r="W52" s="4">
        <v>0</v>
      </c>
      <c r="X52" s="4">
        <v>0.4</v>
      </c>
      <c r="Y52" s="4">
        <v>0.4</v>
      </c>
      <c r="Z52" s="4">
        <v>8.5999999999999993E-2</v>
      </c>
      <c r="AA52" s="13">
        <f>(I52/TOTAL_BASIC!$D$301)*100</f>
        <v>86.708027816411686</v>
      </c>
      <c r="AB52" s="5">
        <f t="shared" si="3"/>
        <v>0.99</v>
      </c>
      <c r="AC52" s="3">
        <f t="shared" si="1"/>
        <v>-3</v>
      </c>
      <c r="AD52" s="9">
        <f t="shared" si="4"/>
        <v>0.96799999999999997</v>
      </c>
      <c r="AE52" s="16">
        <f t="shared" si="5"/>
        <v>0.22085889570552147</v>
      </c>
      <c r="AF52" s="16">
        <f t="shared" si="6"/>
        <v>0.34285714285714286</v>
      </c>
      <c r="AG52" s="9"/>
      <c r="AH52" s="9"/>
      <c r="AI52" s="12">
        <f t="shared" si="7"/>
        <v>47.199999999999996</v>
      </c>
      <c r="AJ52" s="12">
        <f t="shared" si="8"/>
        <v>69.5</v>
      </c>
      <c r="AK52" s="12">
        <f t="shared" si="8"/>
        <v>25.4</v>
      </c>
      <c r="AL52" s="12">
        <f t="shared" si="8"/>
        <v>22.900000000000002</v>
      </c>
      <c r="AM52" s="12">
        <f t="shared" si="8"/>
        <v>24.8</v>
      </c>
      <c r="AN52" s="12">
        <f t="shared" si="8"/>
        <v>70.099999999999994</v>
      </c>
      <c r="AO52" s="12">
        <f t="shared" si="14"/>
        <v>21.099999999999998</v>
      </c>
      <c r="AP52" s="12">
        <f t="shared" si="14"/>
        <v>70.8</v>
      </c>
      <c r="AQ52" s="12">
        <f t="shared" si="14"/>
        <v>65.8</v>
      </c>
      <c r="AR52" s="12">
        <f t="shared" si="14"/>
        <v>4.9000000000000004</v>
      </c>
      <c r="AS52" s="12">
        <f t="shared" si="15"/>
        <v>34.1</v>
      </c>
      <c r="AT52" s="12">
        <f t="shared" si="15"/>
        <v>55.900000000000006</v>
      </c>
      <c r="AU52" s="12">
        <f t="shared" si="9"/>
        <v>77.099999999999994</v>
      </c>
      <c r="AV52" s="12">
        <f t="shared" si="15"/>
        <v>32.9</v>
      </c>
      <c r="AW52" s="12">
        <f t="shared" si="16"/>
        <v>29.799999999999997</v>
      </c>
      <c r="AX52" s="12">
        <f t="shared" si="10"/>
        <v>88.2</v>
      </c>
      <c r="AY52" s="9"/>
      <c r="AZ52" s="12">
        <f t="shared" si="17"/>
        <v>22.3</v>
      </c>
      <c r="BA52" s="12">
        <f t="shared" si="13"/>
        <v>87.5</v>
      </c>
      <c r="BB52" s="12">
        <f t="shared" si="11"/>
        <v>62.1</v>
      </c>
      <c r="BC52" s="12">
        <f t="shared" si="11"/>
        <v>47.8</v>
      </c>
      <c r="BD52" s="12">
        <f t="shared" si="11"/>
        <v>22.900000000000002</v>
      </c>
      <c r="BE52" s="12">
        <f t="shared" si="11"/>
        <v>29.799999999999997</v>
      </c>
      <c r="BF52" s="12">
        <f t="shared" si="12"/>
        <v>43.4</v>
      </c>
      <c r="BG52" s="12">
        <f t="shared" si="12"/>
        <v>22.900000000000002</v>
      </c>
      <c r="BH52" s="12">
        <f t="shared" si="12"/>
        <v>3.6999999999999997</v>
      </c>
      <c r="BI52" s="12">
        <f t="shared" si="12"/>
        <v>9.9</v>
      </c>
    </row>
    <row r="53" spans="1:61" ht="15.75" customHeight="1" x14ac:dyDescent="0.25">
      <c r="A53" s="1" t="s">
        <v>161</v>
      </c>
      <c r="B53" s="3" t="s">
        <v>142</v>
      </c>
      <c r="C53" s="4" t="s">
        <v>90</v>
      </c>
      <c r="D53" s="4">
        <v>6</v>
      </c>
      <c r="E53" s="4">
        <v>179</v>
      </c>
      <c r="F53" s="4">
        <v>6</v>
      </c>
      <c r="G53" s="4">
        <v>179</v>
      </c>
      <c r="H53" s="4">
        <v>21.7</v>
      </c>
      <c r="I53" s="4">
        <v>0.57999999999999996</v>
      </c>
      <c r="J53" s="4">
        <v>0.52200000000000002</v>
      </c>
      <c r="K53" s="4">
        <v>0.09</v>
      </c>
      <c r="L53" s="4">
        <v>0.50700000000000001</v>
      </c>
      <c r="M53" s="4">
        <v>3.7</v>
      </c>
      <c r="N53" s="4">
        <v>17.5</v>
      </c>
      <c r="O53" s="4">
        <v>19.100000000000001</v>
      </c>
      <c r="P53" s="4">
        <v>1.5</v>
      </c>
      <c r="Q53" s="4">
        <v>4.5</v>
      </c>
      <c r="R53" s="4">
        <v>13.7</v>
      </c>
      <c r="S53" s="4">
        <v>24.3</v>
      </c>
      <c r="T53" s="4">
        <v>112</v>
      </c>
      <c r="U53" s="4">
        <v>102</v>
      </c>
      <c r="V53" s="4">
        <v>0</v>
      </c>
      <c r="W53" s="4">
        <v>0.4</v>
      </c>
      <c r="X53" s="4">
        <v>0.4</v>
      </c>
      <c r="Y53" s="4">
        <v>0.8</v>
      </c>
      <c r="Z53" s="4">
        <v>0.17100000000000001</v>
      </c>
      <c r="AA53" s="13">
        <f>(I53/TOTAL_BASIC!$D$301)*100</f>
        <v>103.90631432545202</v>
      </c>
      <c r="AB53" s="5">
        <f t="shared" si="3"/>
        <v>1.1200000000000001</v>
      </c>
      <c r="AC53" s="3">
        <f t="shared" si="1"/>
        <v>10</v>
      </c>
      <c r="AD53" s="9">
        <f t="shared" si="4"/>
        <v>1.1599999999999999</v>
      </c>
      <c r="AE53" s="16">
        <f t="shared" si="5"/>
        <v>0.78600823045267498</v>
      </c>
      <c r="AF53" s="16">
        <f t="shared" si="6"/>
        <v>1.394160583941606</v>
      </c>
      <c r="AG53" s="9"/>
      <c r="AH53" s="9"/>
      <c r="AI53" s="12">
        <f t="shared" si="7"/>
        <v>25.4</v>
      </c>
      <c r="AJ53" s="12">
        <f t="shared" si="8"/>
        <v>67.7</v>
      </c>
      <c r="AK53" s="12">
        <f t="shared" si="8"/>
        <v>88.8</v>
      </c>
      <c r="AL53" s="12">
        <f t="shared" si="8"/>
        <v>60.199999999999996</v>
      </c>
      <c r="AM53" s="12">
        <f t="shared" si="8"/>
        <v>52.7</v>
      </c>
      <c r="AN53" s="12">
        <f t="shared" si="8"/>
        <v>12.4</v>
      </c>
      <c r="AO53" s="12">
        <f t="shared" si="14"/>
        <v>83.8</v>
      </c>
      <c r="AP53" s="12">
        <f t="shared" si="14"/>
        <v>45.300000000000004</v>
      </c>
      <c r="AQ53" s="12">
        <f t="shared" si="14"/>
        <v>91.3</v>
      </c>
      <c r="AR53" s="12">
        <f t="shared" si="14"/>
        <v>72</v>
      </c>
      <c r="AS53" s="12">
        <f t="shared" si="15"/>
        <v>39.1</v>
      </c>
      <c r="AT53" s="12">
        <f t="shared" si="15"/>
        <v>88.1</v>
      </c>
      <c r="AU53" s="12">
        <f t="shared" si="9"/>
        <v>57.2</v>
      </c>
      <c r="AV53" s="12">
        <f t="shared" si="15"/>
        <v>81.3</v>
      </c>
      <c r="AW53" s="12">
        <f t="shared" si="16"/>
        <v>63.3</v>
      </c>
      <c r="AX53" s="12">
        <f t="shared" si="10"/>
        <v>88.2</v>
      </c>
      <c r="AY53" s="9"/>
      <c r="AZ53" s="12">
        <f t="shared" si="17"/>
        <v>74.5</v>
      </c>
      <c r="BA53" s="12">
        <f t="shared" si="13"/>
        <v>87.5</v>
      </c>
      <c r="BB53" s="12">
        <f t="shared" si="11"/>
        <v>80.7</v>
      </c>
      <c r="BC53" s="12">
        <f t="shared" si="11"/>
        <v>81.899999999999991</v>
      </c>
      <c r="BD53" s="12">
        <f t="shared" si="11"/>
        <v>60.199999999999996</v>
      </c>
      <c r="BE53" s="12">
        <f t="shared" si="11"/>
        <v>63.3</v>
      </c>
      <c r="BF53" s="12">
        <f t="shared" si="12"/>
        <v>72.599999999999994</v>
      </c>
      <c r="BG53" s="12">
        <f t="shared" si="12"/>
        <v>60.199999999999996</v>
      </c>
      <c r="BH53" s="12">
        <f t="shared" si="12"/>
        <v>58.3</v>
      </c>
      <c r="BI53" s="12">
        <f t="shared" si="12"/>
        <v>73.900000000000006</v>
      </c>
    </row>
    <row r="54" spans="1:61" ht="15.75" customHeight="1" x14ac:dyDescent="0.25">
      <c r="A54" s="1" t="s">
        <v>137</v>
      </c>
      <c r="B54" s="3" t="s">
        <v>244</v>
      </c>
      <c r="C54" s="4" t="s">
        <v>90</v>
      </c>
      <c r="D54" s="4">
        <v>8</v>
      </c>
      <c r="E54" s="4">
        <v>179</v>
      </c>
      <c r="F54" s="4">
        <v>8</v>
      </c>
      <c r="G54" s="4">
        <v>179</v>
      </c>
      <c r="H54" s="4">
        <v>7.6</v>
      </c>
      <c r="I54" s="4">
        <v>0.42</v>
      </c>
      <c r="J54" s="4">
        <v>0.38</v>
      </c>
      <c r="K54" s="4">
        <v>0.48099999999999998</v>
      </c>
      <c r="L54" s="4">
        <v>0.13</v>
      </c>
      <c r="M54" s="4">
        <v>2.9</v>
      </c>
      <c r="N54" s="4">
        <v>11.3</v>
      </c>
      <c r="O54" s="4">
        <v>12.9</v>
      </c>
      <c r="P54" s="4">
        <v>1.7</v>
      </c>
      <c r="Q54" s="4">
        <v>2.4</v>
      </c>
      <c r="R54" s="4">
        <v>12.3</v>
      </c>
      <c r="S54" s="4">
        <v>16.5</v>
      </c>
      <c r="T54" s="4">
        <v>89</v>
      </c>
      <c r="U54" s="4">
        <v>109</v>
      </c>
      <c r="V54" s="4">
        <v>0</v>
      </c>
      <c r="W54" s="4">
        <v>-0.2</v>
      </c>
      <c r="X54" s="4">
        <v>0.2</v>
      </c>
      <c r="Y54" s="4">
        <v>0</v>
      </c>
      <c r="Z54" s="4">
        <v>-4.0000000000000001E-3</v>
      </c>
      <c r="AA54" s="13">
        <f>(I54/TOTAL_BASIC!$D$301)*100</f>
        <v>75.242503477051457</v>
      </c>
      <c r="AB54" s="5">
        <f t="shared" si="3"/>
        <v>0.89</v>
      </c>
      <c r="AC54" s="3">
        <f t="shared" si="1"/>
        <v>-20</v>
      </c>
      <c r="AD54" s="9">
        <f t="shared" si="4"/>
        <v>0.84</v>
      </c>
      <c r="AE54" s="16">
        <f t="shared" si="5"/>
        <v>0.78181818181818186</v>
      </c>
      <c r="AF54" s="16">
        <f t="shared" si="6"/>
        <v>1.0487804878048781</v>
      </c>
      <c r="AG54" s="9"/>
      <c r="AH54" s="9"/>
      <c r="AI54" s="12">
        <f t="shared" si="7"/>
        <v>69.5</v>
      </c>
      <c r="AJ54" s="12">
        <f t="shared" si="8"/>
        <v>67.7</v>
      </c>
      <c r="AK54" s="12">
        <f t="shared" si="8"/>
        <v>14.899999999999999</v>
      </c>
      <c r="AL54" s="12">
        <f t="shared" si="8"/>
        <v>10.5</v>
      </c>
      <c r="AM54" s="12">
        <f t="shared" si="8"/>
        <v>11.1</v>
      </c>
      <c r="AN54" s="12">
        <f t="shared" si="8"/>
        <v>69.5</v>
      </c>
      <c r="AO54" s="12">
        <f t="shared" si="14"/>
        <v>16.7</v>
      </c>
      <c r="AP54" s="12">
        <f t="shared" si="14"/>
        <v>37.799999999999997</v>
      </c>
      <c r="AQ54" s="12">
        <f t="shared" si="14"/>
        <v>67.7</v>
      </c>
      <c r="AR54" s="12">
        <f t="shared" si="14"/>
        <v>51.5</v>
      </c>
      <c r="AS54" s="12">
        <f t="shared" si="15"/>
        <v>52.1</v>
      </c>
      <c r="AT54" s="12">
        <f t="shared" si="15"/>
        <v>65.8</v>
      </c>
      <c r="AU54" s="12">
        <f t="shared" si="9"/>
        <v>66.5</v>
      </c>
      <c r="AV54" s="12">
        <f t="shared" si="15"/>
        <v>34.699999999999996</v>
      </c>
      <c r="AW54" s="12">
        <f t="shared" si="16"/>
        <v>12.4</v>
      </c>
      <c r="AX54" s="12">
        <f t="shared" si="10"/>
        <v>47.3</v>
      </c>
      <c r="AY54" s="9"/>
      <c r="AZ54" s="12">
        <f t="shared" si="17"/>
        <v>5.5</v>
      </c>
      <c r="BA54" s="12">
        <f t="shared" si="13"/>
        <v>57.099999999999994</v>
      </c>
      <c r="BB54" s="12">
        <f t="shared" si="11"/>
        <v>12.4</v>
      </c>
      <c r="BC54" s="12">
        <f t="shared" si="11"/>
        <v>18.600000000000001</v>
      </c>
      <c r="BD54" s="12">
        <f t="shared" si="11"/>
        <v>10.5</v>
      </c>
      <c r="BE54" s="12">
        <f t="shared" si="11"/>
        <v>12.4</v>
      </c>
      <c r="BF54" s="12">
        <f t="shared" si="12"/>
        <v>14.2</v>
      </c>
      <c r="BG54" s="12">
        <f t="shared" si="12"/>
        <v>10.5</v>
      </c>
      <c r="BH54" s="12">
        <f t="shared" si="12"/>
        <v>57.099999999999994</v>
      </c>
      <c r="BI54" s="12">
        <f t="shared" si="12"/>
        <v>53.400000000000006</v>
      </c>
    </row>
    <row r="55" spans="1:61" ht="15.75" customHeight="1" x14ac:dyDescent="0.25">
      <c r="A55" s="1" t="s">
        <v>128</v>
      </c>
      <c r="B55" s="3" t="s">
        <v>109</v>
      </c>
      <c r="C55" s="4" t="s">
        <v>87</v>
      </c>
      <c r="D55" s="4">
        <v>9</v>
      </c>
      <c r="E55" s="4">
        <v>179</v>
      </c>
      <c r="F55" s="4">
        <v>9</v>
      </c>
      <c r="G55" s="4">
        <v>179</v>
      </c>
      <c r="H55" s="4">
        <v>6.3</v>
      </c>
      <c r="I55" s="4">
        <v>0.44</v>
      </c>
      <c r="J55" s="4">
        <v>0.34599999999999997</v>
      </c>
      <c r="K55" s="4">
        <v>0.39700000000000002</v>
      </c>
      <c r="L55" s="4">
        <v>0.42599999999999999</v>
      </c>
      <c r="M55" s="4">
        <v>2.5</v>
      </c>
      <c r="N55" s="4">
        <v>6.4</v>
      </c>
      <c r="O55" s="4">
        <v>6.6</v>
      </c>
      <c r="P55" s="4">
        <v>2.5</v>
      </c>
      <c r="Q55" s="4">
        <v>0.6</v>
      </c>
      <c r="R55" s="4">
        <v>12.9</v>
      </c>
      <c r="S55" s="4">
        <v>22.4</v>
      </c>
      <c r="T55" s="4">
        <v>88</v>
      </c>
      <c r="U55" s="4">
        <v>112</v>
      </c>
      <c r="V55" s="4">
        <v>0</v>
      </c>
      <c r="W55" s="4">
        <v>-0.3</v>
      </c>
      <c r="X55" s="4">
        <v>0.1</v>
      </c>
      <c r="Y55" s="4">
        <v>-0.2</v>
      </c>
      <c r="Z55" s="4">
        <v>-0.04</v>
      </c>
      <c r="AA55" s="13">
        <f>(I55/TOTAL_BASIC!$D$301)*100</f>
        <v>78.825479833101525</v>
      </c>
      <c r="AB55" s="5">
        <f t="shared" si="3"/>
        <v>0.88</v>
      </c>
      <c r="AC55" s="3">
        <f t="shared" si="1"/>
        <v>-24</v>
      </c>
      <c r="AD55" s="9">
        <f t="shared" si="4"/>
        <v>0.88</v>
      </c>
      <c r="AE55" s="16">
        <f t="shared" si="5"/>
        <v>0.29464285714285715</v>
      </c>
      <c r="AF55" s="16">
        <f t="shared" si="6"/>
        <v>0.5116279069767441</v>
      </c>
      <c r="AG55" s="9"/>
      <c r="AH55" s="9"/>
      <c r="AI55" s="12">
        <f t="shared" si="7"/>
        <v>96.2</v>
      </c>
      <c r="AJ55" s="12">
        <f t="shared" si="8"/>
        <v>67.7</v>
      </c>
      <c r="AK55" s="12">
        <f t="shared" si="8"/>
        <v>11.1</v>
      </c>
      <c r="AL55" s="12">
        <f t="shared" si="8"/>
        <v>14.2</v>
      </c>
      <c r="AM55" s="12">
        <f t="shared" si="8"/>
        <v>7.3999999999999995</v>
      </c>
      <c r="AN55" s="12">
        <f t="shared" si="8"/>
        <v>52.7</v>
      </c>
      <c r="AO55" s="12">
        <f t="shared" si="14"/>
        <v>72.599999999999994</v>
      </c>
      <c r="AP55" s="12">
        <f t="shared" si="14"/>
        <v>31.6</v>
      </c>
      <c r="AQ55" s="12">
        <f t="shared" si="14"/>
        <v>25.4</v>
      </c>
      <c r="AR55" s="12">
        <f t="shared" si="14"/>
        <v>16.7</v>
      </c>
      <c r="AS55" s="12">
        <f t="shared" si="15"/>
        <v>75.7</v>
      </c>
      <c r="AT55" s="12">
        <f t="shared" si="15"/>
        <v>31</v>
      </c>
      <c r="AU55" s="12">
        <f t="shared" si="9"/>
        <v>62.8</v>
      </c>
      <c r="AV55" s="12">
        <f t="shared" si="15"/>
        <v>72</v>
      </c>
      <c r="AW55" s="12">
        <f t="shared" si="16"/>
        <v>9.9</v>
      </c>
      <c r="AX55" s="12">
        <f t="shared" si="10"/>
        <v>29.200000000000003</v>
      </c>
      <c r="AY55" s="9"/>
      <c r="AZ55" s="12">
        <f t="shared" si="17"/>
        <v>3.1</v>
      </c>
      <c r="BA55" s="12">
        <f t="shared" si="13"/>
        <v>24.2</v>
      </c>
      <c r="BB55" s="12">
        <f t="shared" si="11"/>
        <v>3.1</v>
      </c>
      <c r="BC55" s="12">
        <f t="shared" si="11"/>
        <v>9.9</v>
      </c>
      <c r="BD55" s="12">
        <f t="shared" si="11"/>
        <v>14.2</v>
      </c>
      <c r="BE55" s="12">
        <f t="shared" si="11"/>
        <v>9.9</v>
      </c>
      <c r="BF55" s="12">
        <f t="shared" si="12"/>
        <v>10.5</v>
      </c>
      <c r="BG55" s="12">
        <f t="shared" si="12"/>
        <v>14.2</v>
      </c>
      <c r="BH55" s="12">
        <f t="shared" si="12"/>
        <v>9.3000000000000007</v>
      </c>
      <c r="BI55" s="12">
        <f t="shared" si="12"/>
        <v>23.599999999999998</v>
      </c>
    </row>
    <row r="56" spans="1:61" ht="15.75" customHeight="1" x14ac:dyDescent="0.25">
      <c r="A56" s="1" t="s">
        <v>180</v>
      </c>
      <c r="B56" s="3" t="s">
        <v>133</v>
      </c>
      <c r="C56" s="4" t="s">
        <v>90</v>
      </c>
      <c r="D56" s="4">
        <v>7</v>
      </c>
      <c r="E56" s="4">
        <v>178</v>
      </c>
      <c r="F56" s="4">
        <v>7</v>
      </c>
      <c r="G56" s="4">
        <v>178</v>
      </c>
      <c r="H56" s="4">
        <v>22.9</v>
      </c>
      <c r="I56" s="4">
        <v>0.57299999999999995</v>
      </c>
      <c r="J56" s="4">
        <v>0.51600000000000001</v>
      </c>
      <c r="K56" s="4">
        <v>0</v>
      </c>
      <c r="L56" s="4">
        <v>0.54700000000000004</v>
      </c>
      <c r="M56" s="4">
        <v>13.9</v>
      </c>
      <c r="N56" s="4">
        <v>20</v>
      </c>
      <c r="O56" s="4">
        <v>15.1</v>
      </c>
      <c r="P56" s="4">
        <v>0.6</v>
      </c>
      <c r="Q56" s="4">
        <v>3.8</v>
      </c>
      <c r="R56" s="4">
        <v>9.1999999999999993</v>
      </c>
      <c r="S56" s="4">
        <v>21.4</v>
      </c>
      <c r="T56" s="4">
        <v>120</v>
      </c>
      <c r="U56" s="4">
        <v>106</v>
      </c>
      <c r="V56" s="4">
        <v>0</v>
      </c>
      <c r="W56" s="4">
        <v>0.6</v>
      </c>
      <c r="X56" s="4">
        <v>0.3</v>
      </c>
      <c r="Y56" s="4">
        <v>0.9</v>
      </c>
      <c r="Z56" s="4">
        <v>0.19700000000000001</v>
      </c>
      <c r="AA56" s="13">
        <f>(I56/TOTAL_BASIC!$D$301)*100</f>
        <v>102.65227260083446</v>
      </c>
      <c r="AB56" s="5">
        <f t="shared" si="3"/>
        <v>1.2</v>
      </c>
      <c r="AC56" s="3">
        <f t="shared" si="1"/>
        <v>14</v>
      </c>
      <c r="AD56" s="9">
        <f t="shared" si="4"/>
        <v>1.1459999999999999</v>
      </c>
      <c r="AE56" s="16">
        <f t="shared" si="5"/>
        <v>0.70560747663551404</v>
      </c>
      <c r="AF56" s="16">
        <f t="shared" si="6"/>
        <v>1.6413043478260871</v>
      </c>
      <c r="AG56" s="9"/>
      <c r="AH56" s="9"/>
      <c r="AI56" s="12">
        <f t="shared" si="7"/>
        <v>47.199999999999996</v>
      </c>
      <c r="AJ56" s="12">
        <f t="shared" si="8"/>
        <v>67</v>
      </c>
      <c r="AK56" s="12">
        <f t="shared" si="8"/>
        <v>91.9</v>
      </c>
      <c r="AL56" s="12">
        <f t="shared" si="8"/>
        <v>56.499999999999993</v>
      </c>
      <c r="AM56" s="12">
        <f t="shared" si="8"/>
        <v>50.3</v>
      </c>
      <c r="AN56" s="12">
        <f t="shared" si="8"/>
        <v>0</v>
      </c>
      <c r="AO56" s="12">
        <f t="shared" si="14"/>
        <v>86.9</v>
      </c>
      <c r="AP56" s="12">
        <f t="shared" si="14"/>
        <v>96.2</v>
      </c>
      <c r="AQ56" s="12">
        <f t="shared" si="14"/>
        <v>95.6</v>
      </c>
      <c r="AR56" s="12">
        <f t="shared" si="14"/>
        <v>60.199999999999996</v>
      </c>
      <c r="AS56" s="12">
        <f t="shared" si="15"/>
        <v>9.9</v>
      </c>
      <c r="AT56" s="12">
        <f t="shared" si="15"/>
        <v>84.399999999999991</v>
      </c>
      <c r="AU56" s="12">
        <f t="shared" si="9"/>
        <v>83.9</v>
      </c>
      <c r="AV56" s="12">
        <f t="shared" si="15"/>
        <v>67</v>
      </c>
      <c r="AW56" s="12">
        <f t="shared" si="16"/>
        <v>82.6</v>
      </c>
      <c r="AX56" s="12">
        <f t="shared" si="10"/>
        <v>67.8</v>
      </c>
      <c r="AY56" s="9"/>
      <c r="AZ56" s="12">
        <f t="shared" si="17"/>
        <v>88.8</v>
      </c>
      <c r="BA56" s="12">
        <f t="shared" si="13"/>
        <v>75.099999999999994</v>
      </c>
      <c r="BB56" s="12">
        <f t="shared" si="11"/>
        <v>84.399999999999991</v>
      </c>
      <c r="BC56" s="12">
        <f t="shared" si="11"/>
        <v>89.4</v>
      </c>
      <c r="BD56" s="12">
        <f t="shared" si="11"/>
        <v>56.499999999999993</v>
      </c>
      <c r="BE56" s="12">
        <f t="shared" si="11"/>
        <v>82.6</v>
      </c>
      <c r="BF56" s="12">
        <f t="shared" si="12"/>
        <v>82.6</v>
      </c>
      <c r="BG56" s="12">
        <f t="shared" si="12"/>
        <v>56.499999999999993</v>
      </c>
      <c r="BH56" s="12">
        <f t="shared" si="12"/>
        <v>51.5</v>
      </c>
      <c r="BI56" s="12">
        <f t="shared" si="12"/>
        <v>79.5</v>
      </c>
    </row>
    <row r="57" spans="1:61" ht="15.75" customHeight="1" x14ac:dyDescent="0.25">
      <c r="A57" s="1" t="s">
        <v>112</v>
      </c>
      <c r="B57" s="3" t="s">
        <v>93</v>
      </c>
      <c r="C57" s="4" t="s">
        <v>87</v>
      </c>
      <c r="D57" s="4">
        <v>7</v>
      </c>
      <c r="E57" s="4">
        <v>177</v>
      </c>
      <c r="F57" s="4">
        <v>7</v>
      </c>
      <c r="G57" s="4">
        <v>177</v>
      </c>
      <c r="H57" s="4">
        <v>20.6</v>
      </c>
      <c r="I57" s="4">
        <v>0.53500000000000003</v>
      </c>
      <c r="J57" s="4">
        <v>0.49399999999999999</v>
      </c>
      <c r="K57" s="4">
        <v>0.46300000000000002</v>
      </c>
      <c r="L57" s="4">
        <v>0.317</v>
      </c>
      <c r="M57" s="4">
        <v>3.7</v>
      </c>
      <c r="N57" s="4">
        <v>8.5</v>
      </c>
      <c r="O57" s="4">
        <v>20.7</v>
      </c>
      <c r="P57" s="4">
        <v>3.8</v>
      </c>
      <c r="Q57" s="4">
        <v>1.1000000000000001</v>
      </c>
      <c r="R57" s="4">
        <v>11.4</v>
      </c>
      <c r="S57" s="4">
        <v>26.1</v>
      </c>
      <c r="T57" s="4">
        <v>108</v>
      </c>
      <c r="U57" s="4">
        <v>98</v>
      </c>
      <c r="V57" s="4">
        <v>0</v>
      </c>
      <c r="W57" s="4">
        <v>0.3</v>
      </c>
      <c r="X57" s="4">
        <v>0.5</v>
      </c>
      <c r="Y57" s="4">
        <v>0.8</v>
      </c>
      <c r="Z57" s="4">
        <v>0.17199999999999999</v>
      </c>
      <c r="AA57" s="13">
        <f>(I57/TOTAL_BASIC!$D$301)*100</f>
        <v>95.844617524339355</v>
      </c>
      <c r="AB57" s="5">
        <f t="shared" si="3"/>
        <v>1.08</v>
      </c>
      <c r="AC57" s="3">
        <f t="shared" si="1"/>
        <v>10</v>
      </c>
      <c r="AD57" s="9">
        <f t="shared" si="4"/>
        <v>1.07</v>
      </c>
      <c r="AE57" s="16">
        <f t="shared" si="5"/>
        <v>0.79310344827586199</v>
      </c>
      <c r="AF57" s="16">
        <f t="shared" si="6"/>
        <v>1.8157894736842104</v>
      </c>
      <c r="AG57" s="9"/>
      <c r="AH57" s="9"/>
      <c r="AI57" s="12">
        <f t="shared" si="7"/>
        <v>47.199999999999996</v>
      </c>
      <c r="AJ57" s="12">
        <f t="shared" si="8"/>
        <v>66.400000000000006</v>
      </c>
      <c r="AK57" s="12">
        <f t="shared" si="8"/>
        <v>85</v>
      </c>
      <c r="AL57" s="12">
        <f t="shared" si="8"/>
        <v>39.700000000000003</v>
      </c>
      <c r="AM57" s="12">
        <f t="shared" si="8"/>
        <v>40.300000000000004</v>
      </c>
      <c r="AN57" s="12">
        <f t="shared" si="8"/>
        <v>65.2</v>
      </c>
      <c r="AO57" s="12">
        <f t="shared" si="14"/>
        <v>50.9</v>
      </c>
      <c r="AP57" s="12">
        <f t="shared" si="14"/>
        <v>45.300000000000004</v>
      </c>
      <c r="AQ57" s="12">
        <f t="shared" si="14"/>
        <v>46.5</v>
      </c>
      <c r="AR57" s="12">
        <f t="shared" si="14"/>
        <v>75.7</v>
      </c>
      <c r="AS57" s="12">
        <f t="shared" si="15"/>
        <v>95.6</v>
      </c>
      <c r="AT57" s="12">
        <f t="shared" si="15"/>
        <v>44.7</v>
      </c>
      <c r="AU57" s="12">
        <f t="shared" si="9"/>
        <v>70.2</v>
      </c>
      <c r="AV57" s="12">
        <f t="shared" si="15"/>
        <v>86.9</v>
      </c>
      <c r="AW57" s="12">
        <f t="shared" si="16"/>
        <v>47.8</v>
      </c>
      <c r="AX57" s="12">
        <f t="shared" si="10"/>
        <v>98.2</v>
      </c>
      <c r="AY57" s="9"/>
      <c r="AZ57" s="12">
        <f t="shared" si="17"/>
        <v>68.899999999999991</v>
      </c>
      <c r="BA57" s="12">
        <f t="shared" si="13"/>
        <v>96.8</v>
      </c>
      <c r="BB57" s="12">
        <f t="shared" si="11"/>
        <v>80.7</v>
      </c>
      <c r="BC57" s="12">
        <f t="shared" si="11"/>
        <v>83.2</v>
      </c>
      <c r="BD57" s="12">
        <f t="shared" si="11"/>
        <v>39.700000000000003</v>
      </c>
      <c r="BE57" s="12">
        <f t="shared" si="11"/>
        <v>47.8</v>
      </c>
      <c r="BF57" s="12">
        <f t="shared" si="12"/>
        <v>72.599999999999994</v>
      </c>
      <c r="BG57" s="12">
        <f t="shared" si="12"/>
        <v>39.700000000000003</v>
      </c>
      <c r="BH57" s="12">
        <f t="shared" si="12"/>
        <v>59</v>
      </c>
      <c r="BI57" s="12">
        <f t="shared" si="12"/>
        <v>85</v>
      </c>
    </row>
    <row r="58" spans="1:61" ht="15.75" customHeight="1" x14ac:dyDescent="0.25">
      <c r="A58" s="1" t="s">
        <v>144</v>
      </c>
      <c r="B58" s="4" t="s">
        <v>244</v>
      </c>
      <c r="C58" s="4" t="s">
        <v>87</v>
      </c>
      <c r="D58" s="4">
        <v>8</v>
      </c>
      <c r="E58" s="4">
        <v>173</v>
      </c>
      <c r="F58" s="4">
        <v>8</v>
      </c>
      <c r="G58" s="4">
        <v>173</v>
      </c>
      <c r="H58" s="4">
        <v>6</v>
      </c>
      <c r="I58" s="4">
        <v>0.42099999999999999</v>
      </c>
      <c r="J58" s="4">
        <v>0.40899999999999997</v>
      </c>
      <c r="K58" s="4">
        <v>0.38600000000000001</v>
      </c>
      <c r="L58" s="4">
        <v>0.182</v>
      </c>
      <c r="M58" s="4">
        <v>6.7</v>
      </c>
      <c r="N58" s="4">
        <v>6.4</v>
      </c>
      <c r="O58" s="4">
        <v>6.2</v>
      </c>
      <c r="P58" s="4">
        <v>2.7</v>
      </c>
      <c r="Q58" s="4">
        <v>0.6</v>
      </c>
      <c r="R58" s="4">
        <v>14.4</v>
      </c>
      <c r="S58" s="4">
        <v>14.6</v>
      </c>
      <c r="T58" s="4">
        <v>86</v>
      </c>
      <c r="U58" s="4">
        <v>111</v>
      </c>
      <c r="V58" s="4">
        <v>0</v>
      </c>
      <c r="W58" s="4">
        <v>-0.2</v>
      </c>
      <c r="X58" s="4">
        <v>0.1</v>
      </c>
      <c r="Y58" s="4">
        <v>-0.1</v>
      </c>
      <c r="Z58" s="4">
        <v>-2.7E-2</v>
      </c>
      <c r="AA58" s="13">
        <f>(I58/TOTAL_BASIC!$D$301)*100</f>
        <v>75.421652294853956</v>
      </c>
      <c r="AB58" s="5">
        <f t="shared" si="3"/>
        <v>0.86</v>
      </c>
      <c r="AC58" s="3">
        <f t="shared" si="1"/>
        <v>-25</v>
      </c>
      <c r="AD58" s="9">
        <f t="shared" si="4"/>
        <v>0.84199999999999997</v>
      </c>
      <c r="AE58" s="16">
        <f t="shared" si="5"/>
        <v>0.42465753424657537</v>
      </c>
      <c r="AF58" s="16">
        <f t="shared" si="6"/>
        <v>0.43055555555555558</v>
      </c>
      <c r="AG58" s="9"/>
      <c r="AH58" s="9"/>
      <c r="AI58" s="12">
        <f t="shared" si="7"/>
        <v>69.5</v>
      </c>
      <c r="AJ58" s="12">
        <f t="shared" si="8"/>
        <v>65.8</v>
      </c>
      <c r="AK58" s="12">
        <f t="shared" si="8"/>
        <v>9.9</v>
      </c>
      <c r="AL58" s="12">
        <f t="shared" si="8"/>
        <v>11.1</v>
      </c>
      <c r="AM58" s="12">
        <f t="shared" si="8"/>
        <v>18</v>
      </c>
      <c r="AN58" s="12">
        <f t="shared" si="8"/>
        <v>49.6</v>
      </c>
      <c r="AO58" s="12">
        <f t="shared" si="14"/>
        <v>24.2</v>
      </c>
      <c r="AP58" s="12">
        <f t="shared" si="14"/>
        <v>74.5</v>
      </c>
      <c r="AQ58" s="12">
        <f t="shared" si="14"/>
        <v>25.4</v>
      </c>
      <c r="AR58" s="12">
        <f t="shared" si="14"/>
        <v>13.600000000000001</v>
      </c>
      <c r="AS58" s="12">
        <f t="shared" si="15"/>
        <v>80.7</v>
      </c>
      <c r="AT58" s="12">
        <f t="shared" si="15"/>
        <v>31</v>
      </c>
      <c r="AU58" s="12">
        <f t="shared" si="9"/>
        <v>54.1</v>
      </c>
      <c r="AV58" s="12">
        <f t="shared" si="15"/>
        <v>20.399999999999999</v>
      </c>
      <c r="AW58" s="12">
        <f t="shared" si="16"/>
        <v>6.2</v>
      </c>
      <c r="AX58" s="12">
        <f t="shared" si="10"/>
        <v>33.599999999999994</v>
      </c>
      <c r="AY58" s="9"/>
      <c r="AZ58" s="12">
        <f t="shared" si="17"/>
        <v>5.5</v>
      </c>
      <c r="BA58" s="12">
        <f t="shared" si="13"/>
        <v>24.2</v>
      </c>
      <c r="BB58" s="12">
        <f t="shared" si="11"/>
        <v>6.8000000000000007</v>
      </c>
      <c r="BC58" s="12">
        <f t="shared" si="11"/>
        <v>11.799999999999999</v>
      </c>
      <c r="BD58" s="12">
        <f t="shared" si="11"/>
        <v>11.1</v>
      </c>
      <c r="BE58" s="12">
        <f t="shared" si="11"/>
        <v>6.2</v>
      </c>
      <c r="BF58" s="12">
        <f t="shared" si="12"/>
        <v>9.3000000000000007</v>
      </c>
      <c r="BG58" s="12">
        <f t="shared" si="12"/>
        <v>11.1</v>
      </c>
      <c r="BH58" s="12">
        <f t="shared" si="12"/>
        <v>19.8</v>
      </c>
      <c r="BI58" s="12">
        <f t="shared" si="12"/>
        <v>15.5</v>
      </c>
    </row>
    <row r="59" spans="1:61" ht="15.75" customHeight="1" x14ac:dyDescent="0.25">
      <c r="A59" s="1" t="s">
        <v>235</v>
      </c>
      <c r="B59" s="3" t="s">
        <v>133</v>
      </c>
      <c r="C59" s="4" t="s">
        <v>8</v>
      </c>
      <c r="D59" s="4">
        <v>6</v>
      </c>
      <c r="E59" s="4">
        <v>171</v>
      </c>
      <c r="F59" s="4">
        <v>6</v>
      </c>
      <c r="G59" s="4">
        <v>171</v>
      </c>
      <c r="H59" s="4">
        <v>13.6</v>
      </c>
      <c r="I59" s="4">
        <v>0.60399999999999998</v>
      </c>
      <c r="J59" s="4">
        <v>0.56999999999999995</v>
      </c>
      <c r="K59" s="4">
        <v>0.36</v>
      </c>
      <c r="L59" s="4">
        <v>0.36</v>
      </c>
      <c r="M59" s="4">
        <v>1.3</v>
      </c>
      <c r="N59" s="4">
        <v>9.1</v>
      </c>
      <c r="O59" s="4">
        <v>28.7</v>
      </c>
      <c r="P59" s="4">
        <v>1.4</v>
      </c>
      <c r="Q59" s="4">
        <v>1</v>
      </c>
      <c r="R59" s="4">
        <v>23.7</v>
      </c>
      <c r="S59" s="4">
        <v>19.399999999999999</v>
      </c>
      <c r="T59" s="4">
        <v>102</v>
      </c>
      <c r="U59" s="4">
        <v>109</v>
      </c>
      <c r="V59" s="4">
        <v>0</v>
      </c>
      <c r="W59" s="4">
        <v>0.1</v>
      </c>
      <c r="X59" s="4">
        <v>0.2</v>
      </c>
      <c r="Y59" s="4">
        <v>0.3</v>
      </c>
      <c r="Z59" s="4">
        <v>6.2E-2</v>
      </c>
      <c r="AA59" s="13">
        <f>(I59/TOTAL_BASIC!$D$301)*100</f>
        <v>108.20588595271209</v>
      </c>
      <c r="AB59" s="5">
        <f t="shared" si="3"/>
        <v>1.02</v>
      </c>
      <c r="AC59" s="3">
        <f t="shared" si="1"/>
        <v>-7</v>
      </c>
      <c r="AD59" s="9">
        <f t="shared" si="4"/>
        <v>1.208</v>
      </c>
      <c r="AE59" s="16">
        <f t="shared" si="5"/>
        <v>1.4793814432989691</v>
      </c>
      <c r="AF59" s="16">
        <f t="shared" si="6"/>
        <v>1.2109704641350212</v>
      </c>
      <c r="AG59" s="9"/>
      <c r="AH59" s="9"/>
      <c r="AI59" s="12">
        <f t="shared" si="7"/>
        <v>25.4</v>
      </c>
      <c r="AJ59" s="12">
        <f t="shared" si="8"/>
        <v>65.2</v>
      </c>
      <c r="AK59" s="12">
        <f t="shared" si="8"/>
        <v>46.5</v>
      </c>
      <c r="AL59" s="12">
        <f t="shared" si="8"/>
        <v>70.099999999999994</v>
      </c>
      <c r="AM59" s="12">
        <f t="shared" si="8"/>
        <v>70.099999999999994</v>
      </c>
      <c r="AN59" s="12">
        <f t="shared" si="8"/>
        <v>44.7</v>
      </c>
      <c r="AO59" s="12">
        <f t="shared" si="14"/>
        <v>61.4</v>
      </c>
      <c r="AP59" s="12">
        <f t="shared" si="14"/>
        <v>19.2</v>
      </c>
      <c r="AQ59" s="12">
        <f t="shared" si="14"/>
        <v>52.1</v>
      </c>
      <c r="AR59" s="12">
        <f t="shared" si="14"/>
        <v>88.1</v>
      </c>
      <c r="AS59" s="12">
        <f t="shared" si="15"/>
        <v>34.1</v>
      </c>
      <c r="AT59" s="12">
        <f t="shared" si="15"/>
        <v>42.199999999999996</v>
      </c>
      <c r="AU59" s="12">
        <f t="shared" si="9"/>
        <v>11.200000000000003</v>
      </c>
      <c r="AV59" s="12">
        <f t="shared" si="15"/>
        <v>57.699999999999996</v>
      </c>
      <c r="AW59" s="12">
        <f t="shared" si="16"/>
        <v>36</v>
      </c>
      <c r="AX59" s="12">
        <f t="shared" si="10"/>
        <v>47.3</v>
      </c>
      <c r="AY59" s="9"/>
      <c r="AZ59" s="12">
        <f t="shared" si="17"/>
        <v>40.300000000000004</v>
      </c>
      <c r="BA59" s="12">
        <f t="shared" si="13"/>
        <v>57.099999999999994</v>
      </c>
      <c r="BB59" s="12">
        <f t="shared" si="11"/>
        <v>51.5</v>
      </c>
      <c r="BC59" s="12">
        <f t="shared" si="11"/>
        <v>38.5</v>
      </c>
      <c r="BD59" s="12">
        <f t="shared" si="11"/>
        <v>70.099999999999994</v>
      </c>
      <c r="BE59" s="12">
        <f t="shared" si="11"/>
        <v>36</v>
      </c>
      <c r="BF59" s="12">
        <f t="shared" si="12"/>
        <v>35.4</v>
      </c>
      <c r="BG59" s="12">
        <f t="shared" si="12"/>
        <v>70.099999999999994</v>
      </c>
      <c r="BH59" s="12">
        <f t="shared" si="12"/>
        <v>88.1</v>
      </c>
      <c r="BI59" s="12">
        <f t="shared" si="12"/>
        <v>63.3</v>
      </c>
    </row>
    <row r="60" spans="1:61" ht="15.75" customHeight="1" x14ac:dyDescent="0.25">
      <c r="A60" s="1" t="s">
        <v>170</v>
      </c>
      <c r="B60" s="4" t="s">
        <v>133</v>
      </c>
      <c r="C60" s="4" t="s">
        <v>8</v>
      </c>
      <c r="D60" s="4">
        <v>6</v>
      </c>
      <c r="E60" s="4">
        <v>170</v>
      </c>
      <c r="F60" s="4">
        <v>6</v>
      </c>
      <c r="G60" s="4">
        <v>170</v>
      </c>
      <c r="H60" s="4">
        <v>13.8</v>
      </c>
      <c r="I60" s="4">
        <v>0.57099999999999995</v>
      </c>
      <c r="J60" s="4">
        <v>0.46899999999999997</v>
      </c>
      <c r="K60" s="4">
        <v>0.245</v>
      </c>
      <c r="L60" s="4">
        <v>0.53100000000000003</v>
      </c>
      <c r="M60" s="4">
        <v>3.2</v>
      </c>
      <c r="N60" s="4">
        <v>10.5</v>
      </c>
      <c r="O60" s="4">
        <v>6.6</v>
      </c>
      <c r="P60" s="4">
        <v>2</v>
      </c>
      <c r="Q60" s="4">
        <v>0</v>
      </c>
      <c r="R60" s="4">
        <v>10.4</v>
      </c>
      <c r="S60" s="4">
        <v>17.3</v>
      </c>
      <c r="T60" s="4">
        <v>111</v>
      </c>
      <c r="U60" s="4">
        <v>108</v>
      </c>
      <c r="V60" s="4">
        <v>0</v>
      </c>
      <c r="W60" s="4">
        <v>0.3</v>
      </c>
      <c r="X60" s="4">
        <v>0.2</v>
      </c>
      <c r="Y60" s="4">
        <v>0.5</v>
      </c>
      <c r="Z60" s="4">
        <v>0.109</v>
      </c>
      <c r="AA60" s="13">
        <f>(I60/TOTAL_BASIC!$D$301)*100</f>
        <v>102.29397496522947</v>
      </c>
      <c r="AB60" s="5">
        <f t="shared" si="3"/>
        <v>1.1100000000000001</v>
      </c>
      <c r="AC60" s="3">
        <f t="shared" si="1"/>
        <v>3</v>
      </c>
      <c r="AD60" s="9">
        <f t="shared" si="4"/>
        <v>1.1419999999999999</v>
      </c>
      <c r="AE60" s="16">
        <f t="shared" si="5"/>
        <v>0.38150289017341038</v>
      </c>
      <c r="AF60" s="16">
        <f t="shared" si="6"/>
        <v>0.63461538461538458</v>
      </c>
      <c r="AG60" s="9"/>
      <c r="AH60" s="9"/>
      <c r="AI60" s="12">
        <f t="shared" si="7"/>
        <v>25.4</v>
      </c>
      <c r="AJ60" s="12">
        <f t="shared" si="8"/>
        <v>64.5</v>
      </c>
      <c r="AK60" s="12">
        <f t="shared" si="8"/>
        <v>47.8</v>
      </c>
      <c r="AL60" s="12">
        <f t="shared" si="8"/>
        <v>54</v>
      </c>
      <c r="AM60" s="12">
        <f t="shared" si="8"/>
        <v>32.200000000000003</v>
      </c>
      <c r="AN60" s="12">
        <f t="shared" si="8"/>
        <v>25.4</v>
      </c>
      <c r="AO60" s="12">
        <f t="shared" si="14"/>
        <v>85.7</v>
      </c>
      <c r="AP60" s="12">
        <f t="shared" si="14"/>
        <v>40.9</v>
      </c>
      <c r="AQ60" s="12">
        <f t="shared" si="14"/>
        <v>62.7</v>
      </c>
      <c r="AR60" s="12">
        <f t="shared" si="14"/>
        <v>16.7</v>
      </c>
      <c r="AS60" s="12">
        <f t="shared" si="15"/>
        <v>63.9</v>
      </c>
      <c r="AT60" s="12">
        <f t="shared" si="15"/>
        <v>0</v>
      </c>
      <c r="AU60" s="12">
        <f t="shared" si="9"/>
        <v>77.7</v>
      </c>
      <c r="AV60" s="12">
        <f t="shared" si="15"/>
        <v>39.1</v>
      </c>
      <c r="AW60" s="12">
        <f t="shared" si="16"/>
        <v>58.3</v>
      </c>
      <c r="AX60" s="12">
        <f t="shared" si="10"/>
        <v>56</v>
      </c>
      <c r="AY60" s="9"/>
      <c r="AZ60" s="12">
        <f t="shared" si="17"/>
        <v>68.899999999999991</v>
      </c>
      <c r="BA60" s="12">
        <f t="shared" si="13"/>
        <v>57.099999999999994</v>
      </c>
      <c r="BB60" s="12">
        <f t="shared" si="11"/>
        <v>68.300000000000011</v>
      </c>
      <c r="BC60" s="12">
        <f t="shared" si="11"/>
        <v>54</v>
      </c>
      <c r="BD60" s="12">
        <f t="shared" si="11"/>
        <v>54</v>
      </c>
      <c r="BE60" s="12">
        <f t="shared" si="11"/>
        <v>58.3</v>
      </c>
      <c r="BF60" s="12">
        <f t="shared" si="12"/>
        <v>56.499999999999993</v>
      </c>
      <c r="BG60" s="12">
        <f t="shared" si="12"/>
        <v>54</v>
      </c>
      <c r="BH60" s="12">
        <f t="shared" si="12"/>
        <v>15.5</v>
      </c>
      <c r="BI60" s="12">
        <f t="shared" si="12"/>
        <v>29.799999999999997</v>
      </c>
    </row>
    <row r="61" spans="1:61" ht="15.75" customHeight="1" x14ac:dyDescent="0.25">
      <c r="A61" s="1" t="s">
        <v>176</v>
      </c>
      <c r="B61" s="3" t="s">
        <v>142</v>
      </c>
      <c r="C61" s="4" t="s">
        <v>87</v>
      </c>
      <c r="D61" s="4">
        <v>6</v>
      </c>
      <c r="E61" s="4">
        <v>168</v>
      </c>
      <c r="F61" s="4">
        <v>6</v>
      </c>
      <c r="G61" s="4">
        <v>168</v>
      </c>
      <c r="H61" s="4">
        <v>23.6</v>
      </c>
      <c r="I61" s="4">
        <v>0.628</v>
      </c>
      <c r="J61" s="4">
        <v>0.59199999999999997</v>
      </c>
      <c r="K61" s="4">
        <v>0.11700000000000001</v>
      </c>
      <c r="L61" s="4">
        <v>0.5</v>
      </c>
      <c r="M61" s="4">
        <v>15</v>
      </c>
      <c r="N61" s="4">
        <v>23.5</v>
      </c>
      <c r="O61" s="4">
        <v>11</v>
      </c>
      <c r="P61" s="4">
        <v>1.6</v>
      </c>
      <c r="Q61" s="4">
        <v>1.8</v>
      </c>
      <c r="R61" s="4">
        <v>15.1</v>
      </c>
      <c r="S61" s="4">
        <v>23.5</v>
      </c>
      <c r="T61" s="4">
        <v>118</v>
      </c>
      <c r="U61" s="4">
        <v>103</v>
      </c>
      <c r="V61" s="4">
        <v>0</v>
      </c>
      <c r="W61" s="4">
        <v>0.5</v>
      </c>
      <c r="X61" s="4">
        <v>0.3</v>
      </c>
      <c r="Y61" s="4">
        <v>0.9</v>
      </c>
      <c r="Z61" s="4">
        <v>0.20699999999999999</v>
      </c>
      <c r="AA61" s="13">
        <f>(I61/TOTAL_BASIC!$D$301)*100</f>
        <v>112.50545757997219</v>
      </c>
      <c r="AB61" s="5">
        <f t="shared" si="3"/>
        <v>1.18</v>
      </c>
      <c r="AC61" s="3">
        <f t="shared" si="1"/>
        <v>15</v>
      </c>
      <c r="AD61" s="9">
        <f t="shared" si="4"/>
        <v>1.256</v>
      </c>
      <c r="AE61" s="16">
        <f t="shared" si="5"/>
        <v>0.46808510638297873</v>
      </c>
      <c r="AF61" s="16">
        <f t="shared" si="6"/>
        <v>0.72847682119205304</v>
      </c>
      <c r="AG61" s="9"/>
      <c r="AH61" s="9"/>
      <c r="AI61" s="12">
        <f t="shared" si="7"/>
        <v>25.4</v>
      </c>
      <c r="AJ61" s="12">
        <f t="shared" si="8"/>
        <v>63.3</v>
      </c>
      <c r="AK61" s="12">
        <f t="shared" si="8"/>
        <v>93.100000000000009</v>
      </c>
      <c r="AL61" s="12">
        <f t="shared" si="8"/>
        <v>77.600000000000009</v>
      </c>
      <c r="AM61" s="12">
        <f t="shared" si="8"/>
        <v>78.8</v>
      </c>
      <c r="AN61" s="12">
        <f t="shared" si="8"/>
        <v>13.600000000000001</v>
      </c>
      <c r="AO61" s="12">
        <f t="shared" si="14"/>
        <v>80.7</v>
      </c>
      <c r="AP61" s="12">
        <f t="shared" si="14"/>
        <v>97.5</v>
      </c>
      <c r="AQ61" s="12">
        <f t="shared" si="14"/>
        <v>98.1</v>
      </c>
      <c r="AR61" s="12">
        <f t="shared" si="14"/>
        <v>40.9</v>
      </c>
      <c r="AS61" s="12">
        <f t="shared" si="15"/>
        <v>45.300000000000004</v>
      </c>
      <c r="AT61" s="12">
        <f t="shared" si="15"/>
        <v>58.3</v>
      </c>
      <c r="AU61" s="12">
        <f t="shared" si="9"/>
        <v>46</v>
      </c>
      <c r="AV61" s="12">
        <f t="shared" si="15"/>
        <v>76.3</v>
      </c>
      <c r="AW61" s="12">
        <f t="shared" si="16"/>
        <v>77.600000000000009</v>
      </c>
      <c r="AX61" s="12">
        <f t="shared" si="10"/>
        <v>82</v>
      </c>
      <c r="AY61" s="9"/>
      <c r="AZ61" s="12">
        <f t="shared" si="17"/>
        <v>79.5</v>
      </c>
      <c r="BA61" s="12">
        <f t="shared" si="13"/>
        <v>75.099999999999994</v>
      </c>
      <c r="BB61" s="12">
        <f t="shared" si="11"/>
        <v>84.399999999999991</v>
      </c>
      <c r="BC61" s="12">
        <f t="shared" si="11"/>
        <v>91.3</v>
      </c>
      <c r="BD61" s="12">
        <f t="shared" si="11"/>
        <v>77.600000000000009</v>
      </c>
      <c r="BE61" s="12">
        <f t="shared" si="11"/>
        <v>77.600000000000009</v>
      </c>
      <c r="BF61" s="12">
        <f t="shared" si="12"/>
        <v>85.7</v>
      </c>
      <c r="BG61" s="12">
        <f t="shared" si="12"/>
        <v>77.600000000000009</v>
      </c>
      <c r="BH61" s="12">
        <f t="shared" si="12"/>
        <v>27.900000000000002</v>
      </c>
      <c r="BI61" s="12">
        <f t="shared" si="12"/>
        <v>37.200000000000003</v>
      </c>
    </row>
    <row r="62" spans="1:61" ht="15.75" customHeight="1" x14ac:dyDescent="0.25">
      <c r="A62" s="1" t="s">
        <v>145</v>
      </c>
      <c r="B62" s="3" t="s">
        <v>93</v>
      </c>
      <c r="C62" s="4" t="s">
        <v>87</v>
      </c>
      <c r="D62" s="4">
        <v>7</v>
      </c>
      <c r="E62" s="4">
        <v>168</v>
      </c>
      <c r="F62" s="4">
        <v>7</v>
      </c>
      <c r="G62" s="4">
        <v>168</v>
      </c>
      <c r="H62" s="4">
        <v>16.5</v>
      </c>
      <c r="I62" s="4">
        <v>0.52900000000000003</v>
      </c>
      <c r="J62" s="4">
        <v>0.49299999999999999</v>
      </c>
      <c r="K62" s="4">
        <v>0.6</v>
      </c>
      <c r="L62" s="4">
        <v>0.33300000000000002</v>
      </c>
      <c r="M62" s="4">
        <v>4.5</v>
      </c>
      <c r="N62" s="4">
        <v>8.6</v>
      </c>
      <c r="O62" s="4">
        <v>9.6</v>
      </c>
      <c r="P62" s="4">
        <v>1.8</v>
      </c>
      <c r="Q62" s="4">
        <v>0.6</v>
      </c>
      <c r="R62" s="4">
        <v>5.5</v>
      </c>
      <c r="S62" s="4">
        <v>23.7</v>
      </c>
      <c r="T62" s="4">
        <v>112</v>
      </c>
      <c r="U62" s="4">
        <v>102</v>
      </c>
      <c r="V62" s="4">
        <v>0</v>
      </c>
      <c r="W62" s="4">
        <v>0.3</v>
      </c>
      <c r="X62" s="4">
        <v>0.3</v>
      </c>
      <c r="Y62" s="4">
        <v>0.7</v>
      </c>
      <c r="Z62" s="4">
        <v>0.16</v>
      </c>
      <c r="AA62" s="13">
        <f>(I62/TOTAL_BASIC!$D$301)*100</f>
        <v>94.769724617524346</v>
      </c>
      <c r="AB62" s="5">
        <f t="shared" si="3"/>
        <v>1.1200000000000001</v>
      </c>
      <c r="AC62" s="3">
        <f t="shared" si="1"/>
        <v>10</v>
      </c>
      <c r="AD62" s="9">
        <f t="shared" si="4"/>
        <v>1.0580000000000001</v>
      </c>
      <c r="AE62" s="16">
        <f t="shared" si="5"/>
        <v>0.4050632911392405</v>
      </c>
      <c r="AF62" s="16">
        <f t="shared" si="6"/>
        <v>1.7454545454545454</v>
      </c>
      <c r="AG62" s="9"/>
      <c r="AH62" s="9"/>
      <c r="AI62" s="12">
        <f t="shared" si="7"/>
        <v>47.199999999999996</v>
      </c>
      <c r="AJ62" s="12">
        <f t="shared" si="8"/>
        <v>63.3</v>
      </c>
      <c r="AK62" s="12">
        <f t="shared" si="8"/>
        <v>63.9</v>
      </c>
      <c r="AL62" s="12">
        <f t="shared" si="8"/>
        <v>37.799999999999997</v>
      </c>
      <c r="AM62" s="12">
        <f t="shared" si="8"/>
        <v>39.700000000000003</v>
      </c>
      <c r="AN62" s="12">
        <f t="shared" si="8"/>
        <v>83.2</v>
      </c>
      <c r="AO62" s="12">
        <f t="shared" si="14"/>
        <v>53.400000000000006</v>
      </c>
      <c r="AP62" s="12">
        <f t="shared" si="14"/>
        <v>55.2</v>
      </c>
      <c r="AQ62" s="12">
        <f t="shared" si="14"/>
        <v>47.199999999999996</v>
      </c>
      <c r="AR62" s="12">
        <f t="shared" si="14"/>
        <v>34.1</v>
      </c>
      <c r="AS62" s="12">
        <f t="shared" si="15"/>
        <v>55.900000000000006</v>
      </c>
      <c r="AT62" s="12">
        <f t="shared" si="15"/>
        <v>31</v>
      </c>
      <c r="AU62" s="12">
        <f t="shared" si="9"/>
        <v>95.1</v>
      </c>
      <c r="AV62" s="12">
        <f t="shared" si="15"/>
        <v>77</v>
      </c>
      <c r="AW62" s="12">
        <f t="shared" si="16"/>
        <v>63.3</v>
      </c>
      <c r="AX62" s="12">
        <f t="shared" si="10"/>
        <v>88.2</v>
      </c>
      <c r="AY62" s="9"/>
      <c r="AZ62" s="12">
        <f t="shared" si="17"/>
        <v>68.899999999999991</v>
      </c>
      <c r="BA62" s="12">
        <f t="shared" si="13"/>
        <v>75.099999999999994</v>
      </c>
      <c r="BB62" s="12">
        <f t="shared" si="11"/>
        <v>76.3</v>
      </c>
      <c r="BC62" s="12">
        <f t="shared" si="11"/>
        <v>75.099999999999994</v>
      </c>
      <c r="BD62" s="12">
        <f t="shared" si="11"/>
        <v>37.799999999999997</v>
      </c>
      <c r="BE62" s="12">
        <f t="shared" si="11"/>
        <v>63.3</v>
      </c>
      <c r="BF62" s="12">
        <f t="shared" si="12"/>
        <v>72.599999999999994</v>
      </c>
      <c r="BG62" s="12">
        <f t="shared" si="12"/>
        <v>37.799999999999997</v>
      </c>
      <c r="BH62" s="12">
        <f t="shared" si="12"/>
        <v>18</v>
      </c>
      <c r="BI62" s="12">
        <f t="shared" si="12"/>
        <v>82.6</v>
      </c>
    </row>
    <row r="63" spans="1:61" ht="15.75" customHeight="1" x14ac:dyDescent="0.25">
      <c r="A63" s="1" t="s">
        <v>148</v>
      </c>
      <c r="B63" s="4" t="s">
        <v>244</v>
      </c>
      <c r="C63" s="4" t="s">
        <v>8</v>
      </c>
      <c r="D63" s="4">
        <v>8</v>
      </c>
      <c r="E63" s="4">
        <v>166</v>
      </c>
      <c r="F63" s="4">
        <v>8</v>
      </c>
      <c r="G63" s="4">
        <v>166</v>
      </c>
      <c r="H63" s="4">
        <v>17.8</v>
      </c>
      <c r="I63" s="4">
        <v>0.62</v>
      </c>
      <c r="J63" s="4">
        <v>0.61099999999999999</v>
      </c>
      <c r="K63" s="4">
        <v>0.27800000000000002</v>
      </c>
      <c r="L63" s="4">
        <v>0.20399999999999999</v>
      </c>
      <c r="M63" s="4">
        <v>7.7</v>
      </c>
      <c r="N63" s="4">
        <v>15</v>
      </c>
      <c r="O63" s="4">
        <v>14.8</v>
      </c>
      <c r="P63" s="4">
        <v>2.8</v>
      </c>
      <c r="Q63" s="4">
        <v>1.3</v>
      </c>
      <c r="R63" s="4">
        <v>19.2</v>
      </c>
      <c r="S63" s="4">
        <v>19.899999999999999</v>
      </c>
      <c r="T63" s="4">
        <v>108</v>
      </c>
      <c r="U63" s="4">
        <v>106</v>
      </c>
      <c r="V63" s="4">
        <v>0</v>
      </c>
      <c r="W63" s="4">
        <v>0.2</v>
      </c>
      <c r="X63" s="4">
        <v>0.2</v>
      </c>
      <c r="Y63" s="4">
        <v>0.5</v>
      </c>
      <c r="Z63" s="4">
        <v>0.109</v>
      </c>
      <c r="AA63" s="13">
        <f>(I63/TOTAL_BASIC!$D$301)*100</f>
        <v>111.07226703755215</v>
      </c>
      <c r="AB63" s="5">
        <f t="shared" si="3"/>
        <v>1.08</v>
      </c>
      <c r="AC63" s="3">
        <f t="shared" si="1"/>
        <v>2</v>
      </c>
      <c r="AD63" s="9">
        <f t="shared" si="4"/>
        <v>1.24</v>
      </c>
      <c r="AE63" s="16">
        <f t="shared" si="5"/>
        <v>0.74371859296482423</v>
      </c>
      <c r="AF63" s="16">
        <f t="shared" si="6"/>
        <v>0.77083333333333337</v>
      </c>
      <c r="AG63" s="9"/>
      <c r="AH63" s="9"/>
      <c r="AI63" s="12">
        <f t="shared" si="7"/>
        <v>69.5</v>
      </c>
      <c r="AJ63" s="12">
        <f t="shared" si="8"/>
        <v>62.1</v>
      </c>
      <c r="AK63" s="12">
        <f t="shared" si="8"/>
        <v>71.399999999999991</v>
      </c>
      <c r="AL63" s="12">
        <f t="shared" si="8"/>
        <v>73.2</v>
      </c>
      <c r="AM63" s="12">
        <f t="shared" si="8"/>
        <v>80.7</v>
      </c>
      <c r="AN63" s="12">
        <f t="shared" ref="AN63:AQ126" si="18">(PERCENTRANK(K$3:K$298,K63))*100</f>
        <v>29.099999999999998</v>
      </c>
      <c r="AO63" s="12">
        <f t="shared" si="14"/>
        <v>28.499999999999996</v>
      </c>
      <c r="AP63" s="12">
        <f t="shared" si="14"/>
        <v>77</v>
      </c>
      <c r="AQ63" s="12">
        <f t="shared" si="14"/>
        <v>83.2</v>
      </c>
      <c r="AR63" s="12">
        <f t="shared" si="14"/>
        <v>59</v>
      </c>
      <c r="AS63" s="12">
        <f t="shared" si="15"/>
        <v>83.8</v>
      </c>
      <c r="AT63" s="12">
        <f t="shared" si="15"/>
        <v>47.8</v>
      </c>
      <c r="AU63" s="12">
        <f t="shared" si="9"/>
        <v>26.099999999999994</v>
      </c>
      <c r="AV63" s="12">
        <f t="shared" si="15"/>
        <v>60.8</v>
      </c>
      <c r="AW63" s="12">
        <f t="shared" si="16"/>
        <v>47.8</v>
      </c>
      <c r="AX63" s="12">
        <f t="shared" si="10"/>
        <v>67.8</v>
      </c>
      <c r="AY63" s="9"/>
      <c r="AZ63" s="12">
        <f t="shared" si="17"/>
        <v>57.099999999999994</v>
      </c>
      <c r="BA63" s="12">
        <f t="shared" si="13"/>
        <v>57.099999999999994</v>
      </c>
      <c r="BB63" s="12">
        <f t="shared" si="11"/>
        <v>68.300000000000011</v>
      </c>
      <c r="BC63" s="12">
        <f t="shared" si="11"/>
        <v>54</v>
      </c>
      <c r="BD63" s="12">
        <f t="shared" si="11"/>
        <v>73.2</v>
      </c>
      <c r="BE63" s="12">
        <f t="shared" si="11"/>
        <v>47.8</v>
      </c>
      <c r="BF63" s="12">
        <f t="shared" si="12"/>
        <v>54</v>
      </c>
      <c r="BG63" s="12">
        <f t="shared" si="12"/>
        <v>73.2</v>
      </c>
      <c r="BH63" s="12">
        <f t="shared" si="12"/>
        <v>55.2</v>
      </c>
      <c r="BI63" s="12">
        <f t="shared" si="12"/>
        <v>42.199999999999996</v>
      </c>
    </row>
    <row r="64" spans="1:61" ht="15.75" customHeight="1" x14ac:dyDescent="0.25">
      <c r="A64" s="1" t="s">
        <v>179</v>
      </c>
      <c r="B64" s="3" t="s">
        <v>160</v>
      </c>
      <c r="C64" s="4" t="s">
        <v>8</v>
      </c>
      <c r="D64" s="4">
        <v>7</v>
      </c>
      <c r="E64" s="4">
        <v>166</v>
      </c>
      <c r="F64" s="4">
        <v>7</v>
      </c>
      <c r="G64" s="4">
        <v>166</v>
      </c>
      <c r="H64" s="4">
        <v>12</v>
      </c>
      <c r="I64" s="4">
        <v>0.57599999999999996</v>
      </c>
      <c r="J64" s="4">
        <v>0.53100000000000003</v>
      </c>
      <c r="K64" s="4">
        <v>0.61199999999999999</v>
      </c>
      <c r="L64" s="4">
        <v>0.26500000000000001</v>
      </c>
      <c r="M64" s="4">
        <v>1.5</v>
      </c>
      <c r="N64" s="4">
        <v>7.3</v>
      </c>
      <c r="O64" s="4">
        <v>9.1999999999999993</v>
      </c>
      <c r="P64" s="4">
        <v>1.5</v>
      </c>
      <c r="Q64" s="4">
        <v>0.5</v>
      </c>
      <c r="R64" s="4">
        <v>8.4</v>
      </c>
      <c r="S64" s="4">
        <v>15.3</v>
      </c>
      <c r="T64" s="4">
        <v>114</v>
      </c>
      <c r="U64" s="4">
        <v>106</v>
      </c>
      <c r="V64" s="4">
        <v>0</v>
      </c>
      <c r="W64" s="4">
        <v>0.3</v>
      </c>
      <c r="X64" s="4">
        <v>0.2</v>
      </c>
      <c r="Y64" s="4">
        <v>0.5</v>
      </c>
      <c r="Z64" s="4">
        <v>0.11899999999999999</v>
      </c>
      <c r="AA64" s="13">
        <f>(I64/TOTAL_BASIC!$D$301)*100</f>
        <v>103.18971905424199</v>
      </c>
      <c r="AB64" s="5">
        <f t="shared" si="3"/>
        <v>1.1399999999999999</v>
      </c>
      <c r="AC64" s="3">
        <f t="shared" si="1"/>
        <v>8</v>
      </c>
      <c r="AD64" s="9">
        <f t="shared" si="4"/>
        <v>1.1519999999999999</v>
      </c>
      <c r="AE64" s="16">
        <f t="shared" si="5"/>
        <v>0.60130718954248363</v>
      </c>
      <c r="AF64" s="16">
        <f t="shared" si="6"/>
        <v>1.0952380952380951</v>
      </c>
      <c r="AG64" s="9"/>
      <c r="AH64" s="9"/>
      <c r="AI64" s="12">
        <f t="shared" si="7"/>
        <v>47.199999999999996</v>
      </c>
      <c r="AJ64" s="12">
        <f t="shared" si="8"/>
        <v>62.1</v>
      </c>
      <c r="AK64" s="12">
        <f t="shared" si="8"/>
        <v>37.799999999999997</v>
      </c>
      <c r="AL64" s="12">
        <f t="shared" si="8"/>
        <v>59</v>
      </c>
      <c r="AM64" s="12">
        <f t="shared" si="8"/>
        <v>56.499999999999993</v>
      </c>
      <c r="AN64" s="12">
        <f t="shared" si="18"/>
        <v>85</v>
      </c>
      <c r="AO64" s="12">
        <f t="shared" si="14"/>
        <v>40.300000000000004</v>
      </c>
      <c r="AP64" s="12">
        <f t="shared" si="14"/>
        <v>21.099999999999998</v>
      </c>
      <c r="AQ64" s="12">
        <f t="shared" si="14"/>
        <v>34.1</v>
      </c>
      <c r="AR64" s="12">
        <f t="shared" si="14"/>
        <v>32.9</v>
      </c>
      <c r="AS64" s="12">
        <f t="shared" si="15"/>
        <v>39.1</v>
      </c>
      <c r="AT64" s="12">
        <f t="shared" si="15"/>
        <v>29.099999999999998</v>
      </c>
      <c r="AU64" s="12">
        <f t="shared" si="9"/>
        <v>87</v>
      </c>
      <c r="AV64" s="12">
        <f t="shared" si="15"/>
        <v>24.2</v>
      </c>
      <c r="AW64" s="12">
        <f t="shared" si="16"/>
        <v>67</v>
      </c>
      <c r="AX64" s="12">
        <f t="shared" si="10"/>
        <v>67.8</v>
      </c>
      <c r="AY64" s="9"/>
      <c r="AZ64" s="12">
        <f t="shared" si="17"/>
        <v>68.899999999999991</v>
      </c>
      <c r="BA64" s="12">
        <f t="shared" si="13"/>
        <v>57.099999999999994</v>
      </c>
      <c r="BB64" s="12">
        <f t="shared" si="11"/>
        <v>68.300000000000011</v>
      </c>
      <c r="BC64" s="12">
        <f t="shared" si="11"/>
        <v>60.199999999999996</v>
      </c>
      <c r="BD64" s="12">
        <f t="shared" si="11"/>
        <v>59</v>
      </c>
      <c r="BE64" s="12">
        <f t="shared" si="11"/>
        <v>67</v>
      </c>
      <c r="BF64" s="12">
        <f t="shared" si="12"/>
        <v>67</v>
      </c>
      <c r="BG64" s="12">
        <f t="shared" si="12"/>
        <v>59</v>
      </c>
      <c r="BH64" s="12">
        <f t="shared" si="12"/>
        <v>42.8</v>
      </c>
      <c r="BI64" s="12">
        <f t="shared" si="12"/>
        <v>55.2</v>
      </c>
    </row>
    <row r="65" spans="1:61" ht="15.75" customHeight="1" x14ac:dyDescent="0.25">
      <c r="A65" s="1" t="s">
        <v>205</v>
      </c>
      <c r="B65" s="3" t="s">
        <v>139</v>
      </c>
      <c r="C65" s="4" t="s">
        <v>8</v>
      </c>
      <c r="D65" s="4">
        <v>6</v>
      </c>
      <c r="E65" s="4">
        <v>162</v>
      </c>
      <c r="F65" s="4">
        <v>6</v>
      </c>
      <c r="G65" s="4">
        <v>162</v>
      </c>
      <c r="H65" s="4">
        <v>7.2</v>
      </c>
      <c r="I65" s="4">
        <v>0.38200000000000001</v>
      </c>
      <c r="J65" s="4">
        <v>0.35399999999999998</v>
      </c>
      <c r="K65" s="4">
        <v>0.46300000000000002</v>
      </c>
      <c r="L65" s="4">
        <v>0.122</v>
      </c>
      <c r="M65" s="4">
        <v>1.8</v>
      </c>
      <c r="N65" s="4">
        <v>5.9</v>
      </c>
      <c r="O65" s="4">
        <v>24.2</v>
      </c>
      <c r="P65" s="4">
        <v>2.8</v>
      </c>
      <c r="Q65" s="4">
        <v>0.6</v>
      </c>
      <c r="R65" s="4">
        <v>18.8</v>
      </c>
      <c r="S65" s="4">
        <v>14.5</v>
      </c>
      <c r="T65" s="4">
        <v>93</v>
      </c>
      <c r="U65" s="4">
        <v>119</v>
      </c>
      <c r="V65" s="4">
        <v>0</v>
      </c>
      <c r="W65" s="4">
        <v>-0.1</v>
      </c>
      <c r="X65" s="4">
        <v>-0.1</v>
      </c>
      <c r="Y65" s="4">
        <v>-0.2</v>
      </c>
      <c r="Z65" s="4">
        <v>-4.3999999999999997E-2</v>
      </c>
      <c r="AA65" s="13">
        <f>(I65/TOTAL_BASIC!$D$301)*100</f>
        <v>68.434848400556319</v>
      </c>
      <c r="AB65" s="5">
        <f t="shared" si="3"/>
        <v>0.93</v>
      </c>
      <c r="AC65" s="3">
        <f t="shared" si="1"/>
        <v>-26</v>
      </c>
      <c r="AD65" s="9">
        <f t="shared" si="4"/>
        <v>0.76400000000000001</v>
      </c>
      <c r="AE65" s="16">
        <f t="shared" si="5"/>
        <v>1.6689655172413793</v>
      </c>
      <c r="AF65" s="16">
        <f t="shared" si="6"/>
        <v>1.2872340425531914</v>
      </c>
      <c r="AG65" s="9"/>
      <c r="AH65" s="9"/>
      <c r="AI65" s="12">
        <f t="shared" si="7"/>
        <v>25.4</v>
      </c>
      <c r="AJ65" s="12">
        <f t="shared" si="8"/>
        <v>61.4</v>
      </c>
      <c r="AK65" s="12">
        <f t="shared" si="8"/>
        <v>13.600000000000001</v>
      </c>
      <c r="AL65" s="12">
        <f t="shared" si="8"/>
        <v>6.8000000000000007</v>
      </c>
      <c r="AM65" s="12">
        <f t="shared" si="8"/>
        <v>8</v>
      </c>
      <c r="AN65" s="12">
        <f t="shared" si="18"/>
        <v>65.2</v>
      </c>
      <c r="AO65" s="12">
        <f t="shared" si="14"/>
        <v>16.100000000000001</v>
      </c>
      <c r="AP65" s="12">
        <f t="shared" si="14"/>
        <v>23.599999999999998</v>
      </c>
      <c r="AQ65" s="12">
        <f t="shared" si="14"/>
        <v>24.2</v>
      </c>
      <c r="AR65" s="12">
        <f t="shared" si="14"/>
        <v>81.899999999999991</v>
      </c>
      <c r="AS65" s="12">
        <f t="shared" si="15"/>
        <v>83.8</v>
      </c>
      <c r="AT65" s="12">
        <f t="shared" si="15"/>
        <v>31</v>
      </c>
      <c r="AU65" s="12">
        <f t="shared" si="9"/>
        <v>28.600000000000009</v>
      </c>
      <c r="AV65" s="12">
        <f t="shared" si="15"/>
        <v>19.8</v>
      </c>
      <c r="AW65" s="12">
        <f t="shared" si="16"/>
        <v>19.2</v>
      </c>
      <c r="AX65" s="12">
        <f t="shared" si="10"/>
        <v>5</v>
      </c>
      <c r="AY65" s="9"/>
      <c r="AZ65" s="12">
        <f t="shared" si="17"/>
        <v>14.899999999999999</v>
      </c>
      <c r="BA65" s="12">
        <f t="shared" si="13"/>
        <v>1.2</v>
      </c>
      <c r="BB65" s="12">
        <f t="shared" si="11"/>
        <v>3.1</v>
      </c>
      <c r="BC65" s="12">
        <f t="shared" si="11"/>
        <v>8.6</v>
      </c>
      <c r="BD65" s="12">
        <f t="shared" si="11"/>
        <v>6.8000000000000007</v>
      </c>
      <c r="BE65" s="12">
        <f t="shared" si="11"/>
        <v>19.2</v>
      </c>
      <c r="BF65" s="12">
        <f t="shared" si="12"/>
        <v>8</v>
      </c>
      <c r="BG65" s="12">
        <f t="shared" si="12"/>
        <v>6.8000000000000007</v>
      </c>
      <c r="BH65" s="12">
        <f t="shared" si="12"/>
        <v>93.7</v>
      </c>
      <c r="BI65" s="12">
        <f t="shared" si="12"/>
        <v>65.8</v>
      </c>
    </row>
    <row r="66" spans="1:61" ht="15.75" customHeight="1" x14ac:dyDescent="0.25">
      <c r="A66" s="1" t="s">
        <v>126</v>
      </c>
      <c r="B66" s="3" t="s">
        <v>93</v>
      </c>
      <c r="C66" s="4" t="s">
        <v>96</v>
      </c>
      <c r="D66" s="4">
        <v>7</v>
      </c>
      <c r="E66" s="4">
        <v>161</v>
      </c>
      <c r="F66" s="4">
        <v>7</v>
      </c>
      <c r="G66" s="4">
        <v>161</v>
      </c>
      <c r="H66" s="4">
        <v>11.9</v>
      </c>
      <c r="I66" s="4">
        <v>0.52500000000000002</v>
      </c>
      <c r="J66" s="4">
        <v>0.49</v>
      </c>
      <c r="K66" s="4">
        <v>0.45800000000000002</v>
      </c>
      <c r="L66" s="4">
        <v>0.20799999999999999</v>
      </c>
      <c r="M66" s="4">
        <v>10.1</v>
      </c>
      <c r="N66" s="4">
        <v>15.8</v>
      </c>
      <c r="O66" s="4">
        <v>8.1999999999999993</v>
      </c>
      <c r="P66" s="4">
        <v>1</v>
      </c>
      <c r="Q66" s="4">
        <v>0.6</v>
      </c>
      <c r="R66" s="4">
        <v>16</v>
      </c>
      <c r="S66" s="4">
        <v>17</v>
      </c>
      <c r="T66" s="4">
        <v>104</v>
      </c>
      <c r="U66" s="4">
        <v>102</v>
      </c>
      <c r="V66" s="4">
        <v>0</v>
      </c>
      <c r="W66" s="4">
        <v>0.1</v>
      </c>
      <c r="X66" s="4">
        <v>0.3</v>
      </c>
      <c r="Y66" s="4">
        <v>0.4</v>
      </c>
      <c r="Z66" s="4">
        <v>0.11</v>
      </c>
      <c r="AA66" s="13">
        <f>(I66/TOTAL_BASIC!$D$301)*100</f>
        <v>94.053129346314321</v>
      </c>
      <c r="AB66" s="5">
        <f t="shared" si="3"/>
        <v>1.04</v>
      </c>
      <c r="AC66" s="3">
        <f t="shared" si="1"/>
        <v>2</v>
      </c>
      <c r="AD66" s="9">
        <f t="shared" si="4"/>
        <v>1.05</v>
      </c>
      <c r="AE66" s="16">
        <f t="shared" si="5"/>
        <v>0.48235294117647054</v>
      </c>
      <c r="AF66" s="16">
        <f t="shared" si="6"/>
        <v>0.51249999999999996</v>
      </c>
      <c r="AG66" s="9"/>
      <c r="AH66" s="9"/>
      <c r="AI66" s="12">
        <f t="shared" si="7"/>
        <v>47.199999999999996</v>
      </c>
      <c r="AJ66" s="12">
        <f t="shared" si="8"/>
        <v>60.8</v>
      </c>
      <c r="AK66" s="12">
        <f t="shared" si="8"/>
        <v>37.200000000000003</v>
      </c>
      <c r="AL66" s="12">
        <f t="shared" si="8"/>
        <v>36</v>
      </c>
      <c r="AM66" s="12">
        <f t="shared" si="8"/>
        <v>37.799999999999997</v>
      </c>
      <c r="AN66" s="12">
        <f t="shared" si="18"/>
        <v>64.5</v>
      </c>
      <c r="AO66" s="12">
        <f t="shared" si="14"/>
        <v>29.099999999999998</v>
      </c>
      <c r="AP66" s="12">
        <f t="shared" si="14"/>
        <v>82.6</v>
      </c>
      <c r="AQ66" s="12">
        <f t="shared" si="14"/>
        <v>84.399999999999991</v>
      </c>
      <c r="AR66" s="12">
        <f t="shared" si="14"/>
        <v>25.4</v>
      </c>
      <c r="AS66" s="12">
        <f t="shared" si="15"/>
        <v>17.299999999999997</v>
      </c>
      <c r="AT66" s="12">
        <f t="shared" si="15"/>
        <v>31</v>
      </c>
      <c r="AU66" s="12">
        <f t="shared" si="9"/>
        <v>41</v>
      </c>
      <c r="AV66" s="12">
        <f t="shared" si="15"/>
        <v>36.6</v>
      </c>
      <c r="AW66" s="12">
        <f t="shared" si="16"/>
        <v>40.300000000000004</v>
      </c>
      <c r="AX66" s="12">
        <f t="shared" si="10"/>
        <v>88.2</v>
      </c>
      <c r="AY66" s="9"/>
      <c r="AZ66" s="12">
        <f t="shared" si="17"/>
        <v>40.300000000000004</v>
      </c>
      <c r="BA66" s="12">
        <f t="shared" si="13"/>
        <v>75.099999999999994</v>
      </c>
      <c r="BB66" s="12">
        <f t="shared" si="11"/>
        <v>62.1</v>
      </c>
      <c r="BC66" s="12">
        <f t="shared" si="11"/>
        <v>55.900000000000006</v>
      </c>
      <c r="BD66" s="12">
        <f t="shared" si="11"/>
        <v>36</v>
      </c>
      <c r="BE66" s="12">
        <f t="shared" si="11"/>
        <v>40.300000000000004</v>
      </c>
      <c r="BF66" s="12">
        <f t="shared" si="12"/>
        <v>54</v>
      </c>
      <c r="BG66" s="12">
        <f t="shared" si="12"/>
        <v>36</v>
      </c>
      <c r="BH66" s="12">
        <f t="shared" si="12"/>
        <v>29.099999999999998</v>
      </c>
      <c r="BI66" s="12">
        <f t="shared" si="12"/>
        <v>24.8</v>
      </c>
    </row>
    <row r="67" spans="1:61" ht="15.75" customHeight="1" x14ac:dyDescent="0.25">
      <c r="A67" s="1" t="s">
        <v>230</v>
      </c>
      <c r="B67" s="3" t="s">
        <v>164</v>
      </c>
      <c r="C67" s="4" t="s">
        <v>87</v>
      </c>
      <c r="D67" s="4">
        <v>8</v>
      </c>
      <c r="E67" s="4">
        <v>160</v>
      </c>
      <c r="F67" s="4">
        <v>8</v>
      </c>
      <c r="G67" s="4">
        <v>160</v>
      </c>
      <c r="H67" s="4">
        <v>11.1</v>
      </c>
      <c r="I67" s="4">
        <v>0.63100000000000001</v>
      </c>
      <c r="J67" s="4">
        <v>0.57699999999999996</v>
      </c>
      <c r="K67" s="4">
        <v>0.48699999999999999</v>
      </c>
      <c r="L67" s="4">
        <v>0.35899999999999999</v>
      </c>
      <c r="M67" s="4">
        <v>5.2</v>
      </c>
      <c r="N67" s="4">
        <v>10.7</v>
      </c>
      <c r="O67" s="4">
        <v>10.3</v>
      </c>
      <c r="P67" s="4">
        <v>2.2000000000000002</v>
      </c>
      <c r="Q67" s="4">
        <v>0.6</v>
      </c>
      <c r="R67" s="4">
        <v>21</v>
      </c>
      <c r="S67" s="4">
        <v>15.6</v>
      </c>
      <c r="T67" s="4">
        <v>110</v>
      </c>
      <c r="U67" s="4">
        <v>114</v>
      </c>
      <c r="V67" s="4">
        <v>0</v>
      </c>
      <c r="W67" s="4">
        <v>0.2</v>
      </c>
      <c r="X67" s="4">
        <v>0.1</v>
      </c>
      <c r="Y67" s="4">
        <v>0.3</v>
      </c>
      <c r="Z67" s="4">
        <v>6.6000000000000003E-2</v>
      </c>
      <c r="AA67" s="13">
        <f>(I67/TOTAL_BASIC!$D$301)*100</f>
        <v>113.04290403337968</v>
      </c>
      <c r="AB67" s="5">
        <f t="shared" si="3"/>
        <v>1.1000000000000001</v>
      </c>
      <c r="AC67" s="3">
        <f t="shared" si="1"/>
        <v>-4</v>
      </c>
      <c r="AD67" s="9">
        <f t="shared" si="4"/>
        <v>1.262</v>
      </c>
      <c r="AE67" s="16">
        <f t="shared" si="5"/>
        <v>0.66025641025641035</v>
      </c>
      <c r="AF67" s="16">
        <f t="shared" si="6"/>
        <v>0.49047619047619051</v>
      </c>
      <c r="AG67" s="9"/>
      <c r="AH67" s="9"/>
      <c r="AI67" s="12">
        <f t="shared" si="7"/>
        <v>69.5</v>
      </c>
      <c r="AJ67" s="12">
        <f t="shared" si="8"/>
        <v>60.199999999999996</v>
      </c>
      <c r="AK67" s="12">
        <f t="shared" si="8"/>
        <v>31.6</v>
      </c>
      <c r="AL67" s="12">
        <f t="shared" si="8"/>
        <v>78.8</v>
      </c>
      <c r="AM67" s="12">
        <f t="shared" si="8"/>
        <v>72.599999999999994</v>
      </c>
      <c r="AN67" s="12">
        <f t="shared" si="18"/>
        <v>71.399999999999991</v>
      </c>
      <c r="AO67" s="12">
        <f t="shared" si="14"/>
        <v>60.8</v>
      </c>
      <c r="AP67" s="12">
        <f t="shared" si="14"/>
        <v>63.9</v>
      </c>
      <c r="AQ67" s="12">
        <f t="shared" si="14"/>
        <v>63.9</v>
      </c>
      <c r="AR67" s="12">
        <f t="shared" si="14"/>
        <v>37.799999999999997</v>
      </c>
      <c r="AS67" s="12">
        <f t="shared" si="15"/>
        <v>67</v>
      </c>
      <c r="AT67" s="12">
        <f t="shared" si="15"/>
        <v>31</v>
      </c>
      <c r="AU67" s="12">
        <f t="shared" si="9"/>
        <v>21.799999999999997</v>
      </c>
      <c r="AV67" s="12">
        <f t="shared" si="15"/>
        <v>26</v>
      </c>
      <c r="AW67" s="12">
        <f t="shared" si="16"/>
        <v>52.7</v>
      </c>
      <c r="AX67" s="12">
        <f t="shared" si="10"/>
        <v>19.299999999999997</v>
      </c>
      <c r="AY67" s="9"/>
      <c r="AZ67" s="12">
        <f t="shared" si="17"/>
        <v>57.099999999999994</v>
      </c>
      <c r="BA67" s="12">
        <f t="shared" si="13"/>
        <v>24.2</v>
      </c>
      <c r="BB67" s="12">
        <f t="shared" si="11"/>
        <v>51.5</v>
      </c>
      <c r="BC67" s="12">
        <f t="shared" si="11"/>
        <v>40.300000000000004</v>
      </c>
      <c r="BD67" s="12">
        <f t="shared" si="11"/>
        <v>78.8</v>
      </c>
      <c r="BE67" s="12">
        <f t="shared" ref="BE67:BH130" si="19">(PERCENTRANK(AB$3:AB$298,AB67))*100</f>
        <v>52.7</v>
      </c>
      <c r="BF67" s="12">
        <f t="shared" si="12"/>
        <v>41.6</v>
      </c>
      <c r="BG67" s="12">
        <f t="shared" si="12"/>
        <v>78.8</v>
      </c>
      <c r="BH67" s="12">
        <f t="shared" si="12"/>
        <v>47.8</v>
      </c>
      <c r="BI67" s="12">
        <f t="shared" ref="BI67:BI130" si="20">(PERCENTRANK(AF$3:AF$298,AF67))*100</f>
        <v>21.099999999999998</v>
      </c>
    </row>
    <row r="68" spans="1:61" ht="15.75" customHeight="1" x14ac:dyDescent="0.25">
      <c r="A68" s="1" t="s">
        <v>110</v>
      </c>
      <c r="B68" s="3" t="s">
        <v>86</v>
      </c>
      <c r="C68" s="4" t="s">
        <v>8</v>
      </c>
      <c r="D68" s="4">
        <v>8</v>
      </c>
      <c r="E68" s="4">
        <v>159</v>
      </c>
      <c r="F68" s="4">
        <v>8</v>
      </c>
      <c r="G68" s="4">
        <v>159</v>
      </c>
      <c r="H68" s="4">
        <v>15.1</v>
      </c>
      <c r="I68" s="4">
        <v>0.74299999999999999</v>
      </c>
      <c r="J68" s="4">
        <v>0.70799999999999996</v>
      </c>
      <c r="K68" s="4">
        <v>0.33300000000000002</v>
      </c>
      <c r="L68" s="4">
        <v>0.36099999999999999</v>
      </c>
      <c r="M68" s="4">
        <v>4.3</v>
      </c>
      <c r="N68" s="4">
        <v>7.4</v>
      </c>
      <c r="O68" s="4">
        <v>13.9</v>
      </c>
      <c r="P68" s="4">
        <v>0.6</v>
      </c>
      <c r="Q68" s="4">
        <v>0.6</v>
      </c>
      <c r="R68" s="4">
        <v>17.7</v>
      </c>
      <c r="S68" s="4">
        <v>14.7</v>
      </c>
      <c r="T68" s="4">
        <v>127</v>
      </c>
      <c r="U68" s="4">
        <v>112</v>
      </c>
      <c r="V68" s="4">
        <v>0</v>
      </c>
      <c r="W68" s="4">
        <v>0.5</v>
      </c>
      <c r="X68" s="4">
        <v>0.1</v>
      </c>
      <c r="Y68" s="4">
        <v>0.6</v>
      </c>
      <c r="Z68" s="4">
        <v>0.14099999999999999</v>
      </c>
      <c r="AA68" s="13">
        <f>(I68/TOTAL_BASIC!$D$301)*100</f>
        <v>133.10757162726009</v>
      </c>
      <c r="AB68" s="5">
        <f t="shared" ref="AB68:AB131" si="21">(T68/100)</f>
        <v>1.27</v>
      </c>
      <c r="AC68" s="3">
        <f t="shared" si="1"/>
        <v>15</v>
      </c>
      <c r="AD68" s="9">
        <f t="shared" ref="AD68:AD131" si="22">2*I68</f>
        <v>1.486</v>
      </c>
      <c r="AE68" s="16">
        <f t="shared" ref="AE68:AE131" si="23">IF(S68=0,0,O68/S68)</f>
        <v>0.94557823129251706</v>
      </c>
      <c r="AF68" s="16">
        <f t="shared" ref="AF68:AF131" si="24">IF(R68=0,0,O68/R68)</f>
        <v>0.78531073446327693</v>
      </c>
      <c r="AG68" s="9"/>
      <c r="AH68" s="9"/>
      <c r="AI68" s="12">
        <f t="shared" ref="AI68:AI131" si="25">(PERCENTRANK(F$3:F$298,F68))*100</f>
        <v>69.5</v>
      </c>
      <c r="AJ68" s="12">
        <f t="shared" ref="AJ68:AM131" si="26">(PERCENTRANK(G$3:G$298,G68))*100</f>
        <v>59.599999999999994</v>
      </c>
      <c r="AK68" s="12">
        <f t="shared" si="26"/>
        <v>57.099999999999994</v>
      </c>
      <c r="AL68" s="12">
        <f t="shared" si="26"/>
        <v>96.2</v>
      </c>
      <c r="AM68" s="12">
        <f t="shared" si="26"/>
        <v>94.399999999999991</v>
      </c>
      <c r="AN68" s="12">
        <f t="shared" si="18"/>
        <v>36.6</v>
      </c>
      <c r="AO68" s="12">
        <f t="shared" si="14"/>
        <v>63.3</v>
      </c>
      <c r="AP68" s="12">
        <f t="shared" si="14"/>
        <v>52.1</v>
      </c>
      <c r="AQ68" s="12">
        <f t="shared" si="14"/>
        <v>37.200000000000003</v>
      </c>
      <c r="AR68" s="12">
        <f t="shared" si="14"/>
        <v>54</v>
      </c>
      <c r="AS68" s="12">
        <f t="shared" si="15"/>
        <v>9.9</v>
      </c>
      <c r="AT68" s="12">
        <f t="shared" si="15"/>
        <v>31</v>
      </c>
      <c r="AU68" s="12">
        <f t="shared" ref="AU68:AU131" si="27">100-(PERCENTRANK(R$3:R$298,R68))*100</f>
        <v>32.299999999999997</v>
      </c>
      <c r="AV68" s="12">
        <f t="shared" si="15"/>
        <v>21.099999999999998</v>
      </c>
      <c r="AW68" s="12">
        <f t="shared" si="16"/>
        <v>91.9</v>
      </c>
      <c r="AX68" s="12">
        <f t="shared" ref="AX68:AX131" si="28">100-(PERCENTRANK(U$3:U$298,U68))*100</f>
        <v>29.200000000000003</v>
      </c>
      <c r="AY68" s="9"/>
      <c r="AZ68" s="12">
        <f t="shared" si="17"/>
        <v>79.5</v>
      </c>
      <c r="BA68" s="12">
        <f t="shared" si="13"/>
        <v>24.2</v>
      </c>
      <c r="BB68" s="12">
        <f t="shared" si="13"/>
        <v>72</v>
      </c>
      <c r="BC68" s="12">
        <f t="shared" si="13"/>
        <v>68.899999999999991</v>
      </c>
      <c r="BD68" s="12">
        <f t="shared" si="13"/>
        <v>96.2</v>
      </c>
      <c r="BE68" s="12">
        <f t="shared" si="19"/>
        <v>91.9</v>
      </c>
      <c r="BF68" s="12">
        <f t="shared" si="19"/>
        <v>85.7</v>
      </c>
      <c r="BG68" s="12">
        <f t="shared" si="19"/>
        <v>96.2</v>
      </c>
      <c r="BH68" s="12">
        <f t="shared" si="19"/>
        <v>67.7</v>
      </c>
      <c r="BI68" s="12">
        <f t="shared" si="20"/>
        <v>43.4</v>
      </c>
    </row>
    <row r="69" spans="1:61" ht="15.75" customHeight="1" x14ac:dyDescent="0.25">
      <c r="A69" s="1" t="s">
        <v>156</v>
      </c>
      <c r="B69" s="3" t="s">
        <v>139</v>
      </c>
      <c r="C69" s="4" t="s">
        <v>87</v>
      </c>
      <c r="D69" s="4">
        <v>5</v>
      </c>
      <c r="E69" s="4">
        <v>158</v>
      </c>
      <c r="F69" s="4">
        <v>5</v>
      </c>
      <c r="G69" s="4">
        <v>158</v>
      </c>
      <c r="H69" s="4">
        <v>19.399999999999999</v>
      </c>
      <c r="I69" s="4">
        <v>0.67600000000000005</v>
      </c>
      <c r="J69" s="4">
        <v>0.64400000000000002</v>
      </c>
      <c r="K69" s="4">
        <v>0.26900000000000002</v>
      </c>
      <c r="L69" s="4">
        <v>0.25</v>
      </c>
      <c r="M69" s="4">
        <v>5.4</v>
      </c>
      <c r="N69" s="4">
        <v>14.3</v>
      </c>
      <c r="O69" s="4">
        <v>10.1</v>
      </c>
      <c r="P69" s="4">
        <v>1.9</v>
      </c>
      <c r="Q69" s="4">
        <v>0.6</v>
      </c>
      <c r="R69" s="4">
        <v>14.8</v>
      </c>
      <c r="S69" s="4">
        <v>18.899999999999999</v>
      </c>
      <c r="T69" s="4">
        <v>121</v>
      </c>
      <c r="U69" s="4">
        <v>118</v>
      </c>
      <c r="V69" s="4">
        <v>0</v>
      </c>
      <c r="W69" s="4">
        <v>0.5</v>
      </c>
      <c r="X69" s="4">
        <v>0</v>
      </c>
      <c r="Y69" s="4">
        <v>0.4</v>
      </c>
      <c r="Z69" s="4">
        <v>0.108</v>
      </c>
      <c r="AA69" s="13">
        <f>(I69/TOTAL_BASIC!$D$301)*100</f>
        <v>121.10460083449235</v>
      </c>
      <c r="AB69" s="5">
        <f t="shared" si="21"/>
        <v>1.21</v>
      </c>
      <c r="AC69" s="3">
        <f t="shared" si="1"/>
        <v>3</v>
      </c>
      <c r="AD69" s="9">
        <f t="shared" si="22"/>
        <v>1.3520000000000001</v>
      </c>
      <c r="AE69" s="16">
        <f t="shared" si="23"/>
        <v>0.53439153439153442</v>
      </c>
      <c r="AF69" s="16">
        <f t="shared" si="24"/>
        <v>0.68243243243243235</v>
      </c>
      <c r="AG69" s="9"/>
      <c r="AH69" s="9"/>
      <c r="AI69" s="12">
        <f t="shared" si="25"/>
        <v>16.100000000000001</v>
      </c>
      <c r="AJ69" s="12">
        <f t="shared" si="26"/>
        <v>58.3</v>
      </c>
      <c r="AK69" s="12">
        <f t="shared" si="26"/>
        <v>77.600000000000009</v>
      </c>
      <c r="AL69" s="12">
        <f t="shared" si="26"/>
        <v>85</v>
      </c>
      <c r="AM69" s="12">
        <f t="shared" si="26"/>
        <v>85</v>
      </c>
      <c r="AN69" s="12">
        <f t="shared" si="18"/>
        <v>27.900000000000002</v>
      </c>
      <c r="AO69" s="12">
        <f t="shared" si="14"/>
        <v>36.6</v>
      </c>
      <c r="AP69" s="12">
        <f t="shared" si="14"/>
        <v>65.8</v>
      </c>
      <c r="AQ69" s="12">
        <f t="shared" si="14"/>
        <v>82.6</v>
      </c>
      <c r="AR69" s="12">
        <f t="shared" si="14"/>
        <v>37.200000000000003</v>
      </c>
      <c r="AS69" s="12">
        <f t="shared" si="15"/>
        <v>58.3</v>
      </c>
      <c r="AT69" s="12">
        <f t="shared" si="15"/>
        <v>31</v>
      </c>
      <c r="AU69" s="12">
        <f t="shared" si="27"/>
        <v>50.4</v>
      </c>
      <c r="AV69" s="12">
        <f t="shared" si="15"/>
        <v>55.2</v>
      </c>
      <c r="AW69" s="12">
        <f t="shared" si="16"/>
        <v>83.8</v>
      </c>
      <c r="AX69" s="12">
        <f t="shared" si="28"/>
        <v>6.2999999999999972</v>
      </c>
      <c r="AY69" s="9"/>
      <c r="AZ69" s="12">
        <f t="shared" si="17"/>
        <v>79.5</v>
      </c>
      <c r="BA69" s="12">
        <f t="shared" si="13"/>
        <v>3.1</v>
      </c>
      <c r="BB69" s="12">
        <f t="shared" si="13"/>
        <v>62.1</v>
      </c>
      <c r="BC69" s="12">
        <f t="shared" si="13"/>
        <v>53.400000000000006</v>
      </c>
      <c r="BD69" s="12">
        <f t="shared" si="13"/>
        <v>85</v>
      </c>
      <c r="BE69" s="12">
        <f t="shared" si="19"/>
        <v>83.8</v>
      </c>
      <c r="BF69" s="12">
        <f t="shared" si="19"/>
        <v>56.499999999999993</v>
      </c>
      <c r="BG69" s="12">
        <f t="shared" si="19"/>
        <v>85</v>
      </c>
      <c r="BH69" s="12">
        <f t="shared" si="19"/>
        <v>35.4</v>
      </c>
      <c r="BI69" s="12">
        <f t="shared" si="20"/>
        <v>34.699999999999996</v>
      </c>
    </row>
    <row r="70" spans="1:61" ht="15.75" customHeight="1" x14ac:dyDescent="0.25">
      <c r="A70" s="1" t="s">
        <v>174</v>
      </c>
      <c r="B70" s="3" t="s">
        <v>109</v>
      </c>
      <c r="C70" s="4" t="s">
        <v>8</v>
      </c>
      <c r="D70" s="4">
        <v>9</v>
      </c>
      <c r="E70" s="4">
        <v>158</v>
      </c>
      <c r="F70" s="4">
        <v>9</v>
      </c>
      <c r="G70" s="4">
        <v>158</v>
      </c>
      <c r="H70" s="4">
        <v>14.7</v>
      </c>
      <c r="I70" s="4">
        <v>0.57399999999999995</v>
      </c>
      <c r="J70" s="4">
        <v>0.55700000000000005</v>
      </c>
      <c r="K70" s="4">
        <v>0.27900000000000003</v>
      </c>
      <c r="L70" s="4">
        <v>9.8000000000000004E-2</v>
      </c>
      <c r="M70" s="4">
        <v>0.7</v>
      </c>
      <c r="N70" s="4">
        <v>3.8</v>
      </c>
      <c r="O70" s="4">
        <v>24.7</v>
      </c>
      <c r="P70" s="4">
        <v>1.6</v>
      </c>
      <c r="Q70" s="4">
        <v>1.9</v>
      </c>
      <c r="R70" s="4">
        <v>14.7</v>
      </c>
      <c r="S70" s="4">
        <v>20.399999999999999</v>
      </c>
      <c r="T70" s="4">
        <v>107</v>
      </c>
      <c r="U70" s="4">
        <v>114</v>
      </c>
      <c r="V70" s="4">
        <v>0</v>
      </c>
      <c r="W70" s="4">
        <v>0.2</v>
      </c>
      <c r="X70" s="4">
        <v>0.1</v>
      </c>
      <c r="Y70" s="4">
        <v>0.2</v>
      </c>
      <c r="Z70" s="4">
        <v>5.7000000000000002E-2</v>
      </c>
      <c r="AA70" s="13">
        <f>(I70/TOTAL_BASIC!$D$301)*100</f>
        <v>102.83142141863699</v>
      </c>
      <c r="AB70" s="5">
        <f t="shared" si="21"/>
        <v>1.07</v>
      </c>
      <c r="AC70" s="3">
        <f t="shared" si="1"/>
        <v>-7</v>
      </c>
      <c r="AD70" s="9">
        <f t="shared" si="22"/>
        <v>1.1479999999999999</v>
      </c>
      <c r="AE70" s="16">
        <f t="shared" si="23"/>
        <v>1.2107843137254903</v>
      </c>
      <c r="AF70" s="16">
        <f t="shared" si="24"/>
        <v>1.6802721088435375</v>
      </c>
      <c r="AG70" s="9"/>
      <c r="AH70" s="9"/>
      <c r="AI70" s="12">
        <f t="shared" si="25"/>
        <v>96.2</v>
      </c>
      <c r="AJ70" s="12">
        <f t="shared" si="26"/>
        <v>58.3</v>
      </c>
      <c r="AK70" s="12">
        <f t="shared" si="26"/>
        <v>54</v>
      </c>
      <c r="AL70" s="12">
        <f t="shared" si="26"/>
        <v>58.3</v>
      </c>
      <c r="AM70" s="12">
        <f t="shared" si="26"/>
        <v>65.2</v>
      </c>
      <c r="AN70" s="12">
        <f t="shared" si="18"/>
        <v>29.799999999999997</v>
      </c>
      <c r="AO70" s="12">
        <f t="shared" si="14"/>
        <v>11.1</v>
      </c>
      <c r="AP70" s="12">
        <f t="shared" si="14"/>
        <v>14.899999999999999</v>
      </c>
      <c r="AQ70" s="12">
        <f t="shared" si="14"/>
        <v>8.6</v>
      </c>
      <c r="AR70" s="12">
        <f t="shared" si="14"/>
        <v>83.2</v>
      </c>
      <c r="AS70" s="12">
        <f t="shared" si="15"/>
        <v>45.300000000000004</v>
      </c>
      <c r="AT70" s="12">
        <f t="shared" si="15"/>
        <v>60.199999999999996</v>
      </c>
      <c r="AU70" s="12">
        <f t="shared" si="27"/>
        <v>51.6</v>
      </c>
      <c r="AV70" s="12">
        <f t="shared" si="15"/>
        <v>62.7</v>
      </c>
      <c r="AW70" s="12">
        <f t="shared" si="16"/>
        <v>44</v>
      </c>
      <c r="AX70" s="12">
        <f t="shared" si="28"/>
        <v>19.299999999999997</v>
      </c>
      <c r="AY70" s="9"/>
      <c r="AZ70" s="12">
        <f t="shared" si="17"/>
        <v>57.099999999999994</v>
      </c>
      <c r="BA70" s="12">
        <f t="shared" si="13"/>
        <v>24.2</v>
      </c>
      <c r="BB70" s="12">
        <f t="shared" si="13"/>
        <v>39.700000000000003</v>
      </c>
      <c r="BC70" s="12">
        <f t="shared" si="13"/>
        <v>34.699999999999996</v>
      </c>
      <c r="BD70" s="12">
        <f t="shared" si="13"/>
        <v>58.3</v>
      </c>
      <c r="BE70" s="12">
        <f t="shared" si="19"/>
        <v>44</v>
      </c>
      <c r="BF70" s="12">
        <f t="shared" si="19"/>
        <v>35.4</v>
      </c>
      <c r="BG70" s="12">
        <f t="shared" si="19"/>
        <v>58.3</v>
      </c>
      <c r="BH70" s="12">
        <f t="shared" si="19"/>
        <v>80.100000000000009</v>
      </c>
      <c r="BI70" s="12">
        <f t="shared" si="20"/>
        <v>80.100000000000009</v>
      </c>
    </row>
    <row r="71" spans="1:61" ht="15.75" customHeight="1" x14ac:dyDescent="0.25">
      <c r="A71" s="1" t="s">
        <v>171</v>
      </c>
      <c r="B71" s="3" t="s">
        <v>139</v>
      </c>
      <c r="C71" s="4" t="s">
        <v>96</v>
      </c>
      <c r="D71" s="4">
        <v>6</v>
      </c>
      <c r="E71" s="4">
        <v>157</v>
      </c>
      <c r="F71" s="4">
        <v>6</v>
      </c>
      <c r="G71" s="4">
        <v>157</v>
      </c>
      <c r="H71" s="4">
        <v>8.6999999999999993</v>
      </c>
      <c r="I71" s="4">
        <v>0.58599999999999997</v>
      </c>
      <c r="J71" s="4">
        <v>0.53800000000000003</v>
      </c>
      <c r="K71" s="4">
        <v>0.5</v>
      </c>
      <c r="L71" s="4">
        <v>0.25</v>
      </c>
      <c r="M71" s="4">
        <v>4.5</v>
      </c>
      <c r="N71" s="4">
        <v>6.5</v>
      </c>
      <c r="O71" s="4">
        <v>9.1</v>
      </c>
      <c r="P71" s="4">
        <v>1.3</v>
      </c>
      <c r="Q71" s="4">
        <v>0</v>
      </c>
      <c r="R71" s="4">
        <v>21.3</v>
      </c>
      <c r="S71" s="4">
        <v>15.8</v>
      </c>
      <c r="T71" s="4">
        <v>103</v>
      </c>
      <c r="U71" s="4">
        <v>123</v>
      </c>
      <c r="V71" s="4">
        <v>0</v>
      </c>
      <c r="W71" s="4">
        <v>0.1</v>
      </c>
      <c r="X71" s="4">
        <v>-0.2</v>
      </c>
      <c r="Y71" s="4">
        <v>-0.1</v>
      </c>
      <c r="Z71" s="4">
        <v>-2.3E-2</v>
      </c>
      <c r="AA71" s="13">
        <f>(I71/TOTAL_BASIC!$D$301)*100</f>
        <v>104.98120723226702</v>
      </c>
      <c r="AB71" s="5">
        <f t="shared" si="21"/>
        <v>1.03</v>
      </c>
      <c r="AC71" s="3">
        <f t="shared" si="1"/>
        <v>-20</v>
      </c>
      <c r="AD71" s="9">
        <f t="shared" si="22"/>
        <v>1.1719999999999999</v>
      </c>
      <c r="AE71" s="16">
        <f t="shared" si="23"/>
        <v>0.57594936708860756</v>
      </c>
      <c r="AF71" s="16">
        <f t="shared" si="24"/>
        <v>0.42723004694835676</v>
      </c>
      <c r="AG71" s="9"/>
      <c r="AH71" s="9"/>
      <c r="AI71" s="12">
        <f t="shared" si="25"/>
        <v>25.4</v>
      </c>
      <c r="AJ71" s="12">
        <f t="shared" si="26"/>
        <v>57.699999999999996</v>
      </c>
      <c r="AK71" s="12">
        <f t="shared" si="26"/>
        <v>18</v>
      </c>
      <c r="AL71" s="12">
        <f t="shared" si="26"/>
        <v>62.1</v>
      </c>
      <c r="AM71" s="12">
        <f t="shared" si="26"/>
        <v>59.599999999999994</v>
      </c>
      <c r="AN71" s="12">
        <f t="shared" si="18"/>
        <v>72</v>
      </c>
      <c r="AO71" s="12">
        <f t="shared" si="14"/>
        <v>36.6</v>
      </c>
      <c r="AP71" s="12">
        <f t="shared" si="14"/>
        <v>55.2</v>
      </c>
      <c r="AQ71" s="12">
        <f t="shared" si="14"/>
        <v>27.3</v>
      </c>
      <c r="AR71" s="12">
        <f t="shared" si="14"/>
        <v>31.6</v>
      </c>
      <c r="AS71" s="12">
        <f t="shared" si="15"/>
        <v>28.499999999999996</v>
      </c>
      <c r="AT71" s="12">
        <f t="shared" si="15"/>
        <v>0</v>
      </c>
      <c r="AU71" s="12">
        <f t="shared" si="27"/>
        <v>20.5</v>
      </c>
      <c r="AV71" s="12">
        <f t="shared" si="15"/>
        <v>27.900000000000002</v>
      </c>
      <c r="AW71" s="12">
        <f t="shared" si="16"/>
        <v>38.5</v>
      </c>
      <c r="AX71" s="12">
        <f t="shared" si="28"/>
        <v>1.9000000000000057</v>
      </c>
      <c r="AY71" s="9"/>
      <c r="AZ71" s="12">
        <f t="shared" si="17"/>
        <v>40.300000000000004</v>
      </c>
      <c r="BA71" s="12">
        <f t="shared" si="13"/>
        <v>0</v>
      </c>
      <c r="BB71" s="12">
        <f t="shared" si="13"/>
        <v>6.8000000000000007</v>
      </c>
      <c r="BC71" s="12">
        <f t="shared" si="13"/>
        <v>13</v>
      </c>
      <c r="BD71" s="12">
        <f t="shared" si="13"/>
        <v>62.1</v>
      </c>
      <c r="BE71" s="12">
        <f t="shared" si="19"/>
        <v>38.5</v>
      </c>
      <c r="BF71" s="12">
        <f t="shared" si="19"/>
        <v>14.2</v>
      </c>
      <c r="BG71" s="12">
        <f t="shared" si="19"/>
        <v>62.1</v>
      </c>
      <c r="BH71" s="12">
        <f t="shared" si="19"/>
        <v>39.700000000000003</v>
      </c>
      <c r="BI71" s="12">
        <f t="shared" si="20"/>
        <v>14.899999999999999</v>
      </c>
    </row>
    <row r="72" spans="1:61" ht="15.75" customHeight="1" x14ac:dyDescent="0.25">
      <c r="A72" s="1" t="s">
        <v>155</v>
      </c>
      <c r="B72" s="3" t="s">
        <v>93</v>
      </c>
      <c r="C72" s="4" t="s">
        <v>90</v>
      </c>
      <c r="D72" s="4">
        <v>7</v>
      </c>
      <c r="E72" s="4">
        <v>154</v>
      </c>
      <c r="F72" s="4">
        <v>7</v>
      </c>
      <c r="G72" s="4">
        <v>154</v>
      </c>
      <c r="H72" s="4">
        <v>11.8</v>
      </c>
      <c r="I72" s="4">
        <v>0.441</v>
      </c>
      <c r="J72" s="4">
        <v>0.42899999999999999</v>
      </c>
      <c r="K72" s="4">
        <v>0.28599999999999998</v>
      </c>
      <c r="L72" s="4">
        <v>0.214</v>
      </c>
      <c r="M72" s="4">
        <v>4.9000000000000004</v>
      </c>
      <c r="N72" s="4">
        <v>12.4</v>
      </c>
      <c r="O72" s="4">
        <v>11.8</v>
      </c>
      <c r="P72" s="4">
        <v>1.7</v>
      </c>
      <c r="Q72" s="4">
        <v>9.1999999999999993</v>
      </c>
      <c r="R72" s="4">
        <v>8.9</v>
      </c>
      <c r="S72" s="4">
        <v>9.6</v>
      </c>
      <c r="T72" s="4">
        <v>107</v>
      </c>
      <c r="U72" s="4">
        <v>95</v>
      </c>
      <c r="V72" s="4">
        <v>0</v>
      </c>
      <c r="W72" s="4">
        <v>0.1</v>
      </c>
      <c r="X72" s="4">
        <v>0.5</v>
      </c>
      <c r="Y72" s="4">
        <v>0.6</v>
      </c>
      <c r="Z72" s="4">
        <v>0.14299999999999999</v>
      </c>
      <c r="AA72" s="13">
        <f>(I72/TOTAL_BASIC!$D$301)*100</f>
        <v>79.004628650904024</v>
      </c>
      <c r="AB72" s="5">
        <f t="shared" si="21"/>
        <v>1.07</v>
      </c>
      <c r="AC72" s="3">
        <f t="shared" si="1"/>
        <v>12</v>
      </c>
      <c r="AD72" s="9">
        <f t="shared" si="22"/>
        <v>0.88200000000000001</v>
      </c>
      <c r="AE72" s="16">
        <f t="shared" si="23"/>
        <v>1.2291666666666667</v>
      </c>
      <c r="AF72" s="16">
        <f t="shared" si="24"/>
        <v>1.3258426966292136</v>
      </c>
      <c r="AG72" s="9"/>
      <c r="AH72" s="9"/>
      <c r="AI72" s="12">
        <f t="shared" si="25"/>
        <v>47.199999999999996</v>
      </c>
      <c r="AJ72" s="12">
        <f t="shared" si="26"/>
        <v>57.099999999999994</v>
      </c>
      <c r="AK72" s="12">
        <f t="shared" si="26"/>
        <v>36</v>
      </c>
      <c r="AL72" s="12">
        <f t="shared" si="26"/>
        <v>14.899999999999999</v>
      </c>
      <c r="AM72" s="12">
        <f t="shared" si="26"/>
        <v>21.7</v>
      </c>
      <c r="AN72" s="12">
        <f t="shared" si="18"/>
        <v>31</v>
      </c>
      <c r="AO72" s="12">
        <f t="shared" si="14"/>
        <v>31</v>
      </c>
      <c r="AP72" s="12">
        <f t="shared" si="14"/>
        <v>59.599999999999994</v>
      </c>
      <c r="AQ72" s="12">
        <f t="shared" si="14"/>
        <v>73.2</v>
      </c>
      <c r="AR72" s="12">
        <f t="shared" si="14"/>
        <v>45.9</v>
      </c>
      <c r="AS72" s="12">
        <f t="shared" si="15"/>
        <v>52.1</v>
      </c>
      <c r="AT72" s="12">
        <f t="shared" si="15"/>
        <v>98.7</v>
      </c>
      <c r="AU72" s="12">
        <f t="shared" si="27"/>
        <v>84.5</v>
      </c>
      <c r="AV72" s="12">
        <f t="shared" si="15"/>
        <v>3.1</v>
      </c>
      <c r="AW72" s="12">
        <f t="shared" si="16"/>
        <v>44</v>
      </c>
      <c r="AX72" s="12">
        <f t="shared" si="28"/>
        <v>100</v>
      </c>
      <c r="AY72" s="9"/>
      <c r="AZ72" s="12">
        <f t="shared" si="17"/>
        <v>40.300000000000004</v>
      </c>
      <c r="BA72" s="12">
        <f t="shared" si="13"/>
        <v>96.8</v>
      </c>
      <c r="BB72" s="12">
        <f t="shared" si="13"/>
        <v>72</v>
      </c>
      <c r="BC72" s="12">
        <f t="shared" si="13"/>
        <v>70.8</v>
      </c>
      <c r="BD72" s="12">
        <f t="shared" si="13"/>
        <v>14.899999999999999</v>
      </c>
      <c r="BE72" s="12">
        <f t="shared" si="19"/>
        <v>44</v>
      </c>
      <c r="BF72" s="12">
        <f t="shared" si="19"/>
        <v>77</v>
      </c>
      <c r="BG72" s="12">
        <f t="shared" si="19"/>
        <v>14.899999999999999</v>
      </c>
      <c r="BH72" s="12">
        <f t="shared" si="19"/>
        <v>81.899999999999991</v>
      </c>
      <c r="BI72" s="12">
        <f t="shared" si="20"/>
        <v>67</v>
      </c>
    </row>
    <row r="73" spans="1:61" ht="15.75" customHeight="1" x14ac:dyDescent="0.25">
      <c r="A73" s="1" t="s">
        <v>158</v>
      </c>
      <c r="B73" s="3" t="s">
        <v>119</v>
      </c>
      <c r="C73" s="4" t="s">
        <v>8</v>
      </c>
      <c r="D73" s="4">
        <v>7</v>
      </c>
      <c r="E73" s="4">
        <v>153</v>
      </c>
      <c r="F73" s="4">
        <v>7</v>
      </c>
      <c r="G73" s="4">
        <v>153</v>
      </c>
      <c r="H73" s="4">
        <v>30.7</v>
      </c>
      <c r="I73" s="4">
        <v>0.71699999999999997</v>
      </c>
      <c r="J73" s="4">
        <v>0.70099999999999996</v>
      </c>
      <c r="K73" s="4">
        <v>0.19500000000000001</v>
      </c>
      <c r="L73" s="4">
        <v>0.317</v>
      </c>
      <c r="M73" s="4">
        <v>4.7</v>
      </c>
      <c r="N73" s="4">
        <v>6.7</v>
      </c>
      <c r="O73" s="4">
        <v>15.9</v>
      </c>
      <c r="P73" s="4">
        <v>3.1</v>
      </c>
      <c r="Q73" s="4">
        <v>1.1000000000000001</v>
      </c>
      <c r="R73" s="4">
        <v>13.8</v>
      </c>
      <c r="S73" s="4">
        <v>30.4</v>
      </c>
      <c r="T73" s="4">
        <v>123</v>
      </c>
      <c r="U73" s="4">
        <v>106</v>
      </c>
      <c r="V73" s="4">
        <v>0</v>
      </c>
      <c r="W73" s="4">
        <v>0.7</v>
      </c>
      <c r="X73" s="4">
        <v>0.2</v>
      </c>
      <c r="Y73" s="4">
        <v>0.9</v>
      </c>
      <c r="Z73" s="4">
        <v>0.248</v>
      </c>
      <c r="AA73" s="13">
        <f>(I73/TOTAL_BASIC!$D$301)*100</f>
        <v>128.44970236439499</v>
      </c>
      <c r="AB73" s="5">
        <f t="shared" si="21"/>
        <v>1.23</v>
      </c>
      <c r="AC73" s="3">
        <f t="shared" si="1"/>
        <v>17</v>
      </c>
      <c r="AD73" s="9">
        <f t="shared" si="22"/>
        <v>1.4339999999999999</v>
      </c>
      <c r="AE73" s="16">
        <f t="shared" si="23"/>
        <v>0.52302631578947367</v>
      </c>
      <c r="AF73" s="16">
        <f t="shared" si="24"/>
        <v>1.1521739130434783</v>
      </c>
      <c r="AG73" s="9"/>
      <c r="AH73" s="9"/>
      <c r="AI73" s="12">
        <f t="shared" si="25"/>
        <v>47.199999999999996</v>
      </c>
      <c r="AJ73" s="12">
        <f t="shared" si="26"/>
        <v>56.499999999999993</v>
      </c>
      <c r="AK73" s="12">
        <f t="shared" si="26"/>
        <v>100</v>
      </c>
      <c r="AL73" s="12">
        <f t="shared" si="26"/>
        <v>92.5</v>
      </c>
      <c r="AM73" s="12">
        <f t="shared" si="26"/>
        <v>93.7</v>
      </c>
      <c r="AN73" s="12">
        <f t="shared" si="18"/>
        <v>21.099999999999998</v>
      </c>
      <c r="AO73" s="12">
        <f t="shared" si="14"/>
        <v>50.9</v>
      </c>
      <c r="AP73" s="12">
        <f t="shared" si="14"/>
        <v>57.699999999999996</v>
      </c>
      <c r="AQ73" s="12">
        <f t="shared" si="14"/>
        <v>29.099999999999998</v>
      </c>
      <c r="AR73" s="12">
        <f t="shared" si="14"/>
        <v>63.9</v>
      </c>
      <c r="AS73" s="12">
        <f t="shared" si="15"/>
        <v>88.8</v>
      </c>
      <c r="AT73" s="12">
        <f t="shared" si="15"/>
        <v>44.7</v>
      </c>
      <c r="AU73" s="12">
        <f t="shared" si="27"/>
        <v>56.6</v>
      </c>
      <c r="AV73" s="12">
        <f t="shared" si="15"/>
        <v>95.6</v>
      </c>
      <c r="AW73" s="12">
        <f t="shared" si="16"/>
        <v>89.4</v>
      </c>
      <c r="AX73" s="12">
        <f t="shared" si="28"/>
        <v>67.8</v>
      </c>
      <c r="AY73" s="9"/>
      <c r="AZ73" s="12">
        <f t="shared" si="17"/>
        <v>91.9</v>
      </c>
      <c r="BA73" s="12">
        <f t="shared" si="17"/>
        <v>57.099999999999994</v>
      </c>
      <c r="BB73" s="12">
        <f t="shared" si="17"/>
        <v>84.399999999999991</v>
      </c>
      <c r="BC73" s="12">
        <f t="shared" si="17"/>
        <v>97.5</v>
      </c>
      <c r="BD73" s="12">
        <f t="shared" si="17"/>
        <v>92.5</v>
      </c>
      <c r="BE73" s="12">
        <f t="shared" si="19"/>
        <v>89.4</v>
      </c>
      <c r="BF73" s="12">
        <f t="shared" si="19"/>
        <v>89.4</v>
      </c>
      <c r="BG73" s="12">
        <f t="shared" si="19"/>
        <v>92.5</v>
      </c>
      <c r="BH73" s="12">
        <f t="shared" si="19"/>
        <v>34.1</v>
      </c>
      <c r="BI73" s="12">
        <f t="shared" si="20"/>
        <v>60.199999999999996</v>
      </c>
    </row>
    <row r="74" spans="1:61" ht="15.75" customHeight="1" x14ac:dyDescent="0.25">
      <c r="A74" s="1" t="s">
        <v>183</v>
      </c>
      <c r="B74" s="3" t="s">
        <v>116</v>
      </c>
      <c r="C74" s="4" t="s">
        <v>8</v>
      </c>
      <c r="D74" s="4">
        <v>8</v>
      </c>
      <c r="E74" s="4">
        <v>152</v>
      </c>
      <c r="F74" s="4">
        <v>8</v>
      </c>
      <c r="G74" s="4">
        <v>152</v>
      </c>
      <c r="H74" s="4">
        <v>13.5</v>
      </c>
      <c r="I74" s="4">
        <v>0.48399999999999999</v>
      </c>
      <c r="J74" s="4">
        <v>0.41799999999999998</v>
      </c>
      <c r="K74" s="4">
        <v>0.39200000000000002</v>
      </c>
      <c r="L74" s="4">
        <v>0.34200000000000003</v>
      </c>
      <c r="M74" s="4">
        <v>6.5</v>
      </c>
      <c r="N74" s="4">
        <v>8.8000000000000007</v>
      </c>
      <c r="O74" s="4">
        <v>20</v>
      </c>
      <c r="P74" s="4">
        <v>1.4</v>
      </c>
      <c r="Q74" s="4">
        <v>0</v>
      </c>
      <c r="R74" s="4">
        <v>13.3</v>
      </c>
      <c r="S74" s="4">
        <v>31.8</v>
      </c>
      <c r="T74" s="4">
        <v>94</v>
      </c>
      <c r="U74" s="4">
        <v>110</v>
      </c>
      <c r="V74" s="4">
        <v>0</v>
      </c>
      <c r="W74" s="4">
        <v>-0.2</v>
      </c>
      <c r="X74" s="4">
        <v>0.1</v>
      </c>
      <c r="Y74" s="4">
        <v>0</v>
      </c>
      <c r="Z74" s="4">
        <v>-8.9999999999999993E-3</v>
      </c>
      <c r="AA74" s="13">
        <f>(I74/TOTAL_BASIC!$D$301)*100</f>
        <v>86.708027816411686</v>
      </c>
      <c r="AB74" s="5">
        <f t="shared" si="21"/>
        <v>0.94</v>
      </c>
      <c r="AC74" s="3">
        <f t="shared" si="1"/>
        <v>-16</v>
      </c>
      <c r="AD74" s="9">
        <f t="shared" si="22"/>
        <v>0.96799999999999997</v>
      </c>
      <c r="AE74" s="16">
        <f t="shared" si="23"/>
        <v>0.62893081761006286</v>
      </c>
      <c r="AF74" s="16">
        <f t="shared" si="24"/>
        <v>1.5037593984962405</v>
      </c>
      <c r="AG74" s="9"/>
      <c r="AH74" s="9"/>
      <c r="AI74" s="12">
        <f t="shared" si="25"/>
        <v>69.5</v>
      </c>
      <c r="AJ74" s="12">
        <f t="shared" si="26"/>
        <v>55.900000000000006</v>
      </c>
      <c r="AK74" s="12">
        <f t="shared" si="26"/>
        <v>44.7</v>
      </c>
      <c r="AL74" s="12">
        <f t="shared" si="26"/>
        <v>22.900000000000002</v>
      </c>
      <c r="AM74" s="12">
        <f t="shared" si="26"/>
        <v>19.2</v>
      </c>
      <c r="AN74" s="12">
        <f t="shared" si="18"/>
        <v>51.5</v>
      </c>
      <c r="AO74" s="12">
        <f t="shared" si="14"/>
        <v>55.2</v>
      </c>
      <c r="AP74" s="12">
        <f t="shared" si="14"/>
        <v>73.2</v>
      </c>
      <c r="AQ74" s="12">
        <f t="shared" si="14"/>
        <v>49</v>
      </c>
      <c r="AR74" s="12">
        <f t="shared" si="14"/>
        <v>73.900000000000006</v>
      </c>
      <c r="AS74" s="12">
        <f t="shared" si="15"/>
        <v>34.1</v>
      </c>
      <c r="AT74" s="12">
        <f t="shared" si="15"/>
        <v>0</v>
      </c>
      <c r="AU74" s="12">
        <f t="shared" si="27"/>
        <v>60.9</v>
      </c>
      <c r="AV74" s="12">
        <f t="shared" si="15"/>
        <v>97.5</v>
      </c>
      <c r="AW74" s="12">
        <f t="shared" si="16"/>
        <v>20.399999999999999</v>
      </c>
      <c r="AX74" s="12">
        <f t="shared" si="28"/>
        <v>41</v>
      </c>
      <c r="AY74" s="9"/>
      <c r="AZ74" s="12">
        <f t="shared" si="17"/>
        <v>5.5</v>
      </c>
      <c r="BA74" s="12">
        <f t="shared" si="17"/>
        <v>24.2</v>
      </c>
      <c r="BB74" s="12">
        <f t="shared" si="17"/>
        <v>12.4</v>
      </c>
      <c r="BC74" s="12">
        <f t="shared" si="17"/>
        <v>16.7</v>
      </c>
      <c r="BD74" s="12">
        <f t="shared" si="17"/>
        <v>22.900000000000002</v>
      </c>
      <c r="BE74" s="12">
        <f t="shared" si="19"/>
        <v>20.399999999999999</v>
      </c>
      <c r="BF74" s="12">
        <f t="shared" si="19"/>
        <v>21.099999999999998</v>
      </c>
      <c r="BG74" s="12">
        <f t="shared" si="19"/>
        <v>22.900000000000002</v>
      </c>
      <c r="BH74" s="12">
        <f t="shared" si="19"/>
        <v>45.300000000000004</v>
      </c>
      <c r="BI74" s="12">
        <f t="shared" si="20"/>
        <v>77</v>
      </c>
    </row>
    <row r="75" spans="1:61" ht="15.75" customHeight="1" x14ac:dyDescent="0.25">
      <c r="A75" s="1" t="s">
        <v>184</v>
      </c>
      <c r="B75" s="3" t="s">
        <v>164</v>
      </c>
      <c r="C75" s="4" t="s">
        <v>87</v>
      </c>
      <c r="D75" s="4">
        <v>6</v>
      </c>
      <c r="E75" s="4">
        <v>150</v>
      </c>
      <c r="F75" s="4">
        <v>6</v>
      </c>
      <c r="G75" s="4">
        <v>150</v>
      </c>
      <c r="H75" s="4">
        <v>26.2</v>
      </c>
      <c r="I75" s="4">
        <v>0.67900000000000005</v>
      </c>
      <c r="J75" s="4">
        <v>0.65200000000000002</v>
      </c>
      <c r="K75" s="4">
        <v>0.19600000000000001</v>
      </c>
      <c r="L75" s="4">
        <v>0.45700000000000002</v>
      </c>
      <c r="M75" s="4">
        <v>11.9</v>
      </c>
      <c r="N75" s="4">
        <v>13.9</v>
      </c>
      <c r="O75" s="4">
        <v>14.9</v>
      </c>
      <c r="P75" s="4">
        <v>3</v>
      </c>
      <c r="Q75" s="4">
        <v>5.6</v>
      </c>
      <c r="R75" s="4">
        <v>11.2</v>
      </c>
      <c r="S75" s="4">
        <v>18.100000000000001</v>
      </c>
      <c r="T75" s="4">
        <v>135</v>
      </c>
      <c r="U75" s="4">
        <v>110</v>
      </c>
      <c r="V75" s="4">
        <v>0</v>
      </c>
      <c r="W75" s="4">
        <v>0.7</v>
      </c>
      <c r="X75" s="4">
        <v>0.1</v>
      </c>
      <c r="Y75" s="4">
        <v>0.9</v>
      </c>
      <c r="Z75" s="4">
        <v>0.22800000000000001</v>
      </c>
      <c r="AA75" s="13">
        <f>(I75/TOTAL_BASIC!$D$301)*100</f>
        <v>121.64204728789987</v>
      </c>
      <c r="AB75" s="5">
        <f t="shared" si="21"/>
        <v>1.35</v>
      </c>
      <c r="AC75" s="3">
        <f t="shared" si="1"/>
        <v>25</v>
      </c>
      <c r="AD75" s="9">
        <f t="shared" si="22"/>
        <v>1.3580000000000001</v>
      </c>
      <c r="AE75" s="16">
        <f t="shared" si="23"/>
        <v>0.82320441988950277</v>
      </c>
      <c r="AF75" s="16">
        <f t="shared" si="24"/>
        <v>1.330357142857143</v>
      </c>
      <c r="AG75" s="9"/>
      <c r="AH75" s="9"/>
      <c r="AI75" s="12">
        <f t="shared" si="25"/>
        <v>25.4</v>
      </c>
      <c r="AJ75" s="12">
        <f t="shared" si="26"/>
        <v>55.2</v>
      </c>
      <c r="AK75" s="12">
        <f t="shared" si="26"/>
        <v>98.1</v>
      </c>
      <c r="AL75" s="12">
        <f t="shared" si="26"/>
        <v>86.9</v>
      </c>
      <c r="AM75" s="12">
        <f t="shared" si="26"/>
        <v>85.7</v>
      </c>
      <c r="AN75" s="12">
        <f t="shared" si="18"/>
        <v>22.900000000000002</v>
      </c>
      <c r="AO75" s="12">
        <f t="shared" si="14"/>
        <v>76.3</v>
      </c>
      <c r="AP75" s="12">
        <f t="shared" si="14"/>
        <v>88.1</v>
      </c>
      <c r="AQ75" s="12">
        <f t="shared" si="14"/>
        <v>80.100000000000009</v>
      </c>
      <c r="AR75" s="12">
        <f t="shared" si="14"/>
        <v>59.599999999999994</v>
      </c>
      <c r="AS75" s="12">
        <f t="shared" si="15"/>
        <v>86.3</v>
      </c>
      <c r="AT75" s="12">
        <f t="shared" si="15"/>
        <v>93.7</v>
      </c>
      <c r="AU75" s="12">
        <f t="shared" si="27"/>
        <v>74</v>
      </c>
      <c r="AV75" s="12">
        <f t="shared" si="15"/>
        <v>47.199999999999996</v>
      </c>
      <c r="AW75" s="12">
        <f t="shared" si="16"/>
        <v>96.2</v>
      </c>
      <c r="AX75" s="12">
        <f t="shared" si="28"/>
        <v>41</v>
      </c>
      <c r="AY75" s="9"/>
      <c r="AZ75" s="12">
        <f t="shared" si="17"/>
        <v>91.9</v>
      </c>
      <c r="BA75" s="12">
        <f t="shared" si="17"/>
        <v>24.2</v>
      </c>
      <c r="BB75" s="12">
        <f t="shared" si="17"/>
        <v>84.399999999999991</v>
      </c>
      <c r="BC75" s="12">
        <f t="shared" si="17"/>
        <v>95</v>
      </c>
      <c r="BD75" s="12">
        <f t="shared" si="17"/>
        <v>86.9</v>
      </c>
      <c r="BE75" s="12">
        <f t="shared" si="19"/>
        <v>96.2</v>
      </c>
      <c r="BF75" s="12">
        <f t="shared" si="19"/>
        <v>95.6</v>
      </c>
      <c r="BG75" s="12">
        <f t="shared" si="19"/>
        <v>86.9</v>
      </c>
      <c r="BH75" s="12">
        <f t="shared" si="19"/>
        <v>62.1</v>
      </c>
      <c r="BI75" s="12">
        <f t="shared" si="20"/>
        <v>67.7</v>
      </c>
    </row>
    <row r="76" spans="1:61" ht="15.75" customHeight="1" x14ac:dyDescent="0.25">
      <c r="A76" s="1" t="s">
        <v>192</v>
      </c>
      <c r="B76" s="3" t="s">
        <v>95</v>
      </c>
      <c r="C76" s="4" t="s">
        <v>114</v>
      </c>
      <c r="D76" s="4">
        <v>8</v>
      </c>
      <c r="E76" s="4">
        <v>147</v>
      </c>
      <c r="F76" s="4">
        <v>8</v>
      </c>
      <c r="G76" s="4">
        <v>147</v>
      </c>
      <c r="H76" s="4">
        <v>8.6999999999999993</v>
      </c>
      <c r="I76" s="4">
        <v>0.52500000000000002</v>
      </c>
      <c r="J76" s="4">
        <v>0.51600000000000001</v>
      </c>
      <c r="K76" s="4">
        <v>0.51600000000000001</v>
      </c>
      <c r="L76" s="4">
        <v>3.2000000000000001E-2</v>
      </c>
      <c r="M76" s="4">
        <v>3.9</v>
      </c>
      <c r="N76" s="4">
        <v>8.1</v>
      </c>
      <c r="O76" s="4">
        <v>5.4</v>
      </c>
      <c r="P76" s="4">
        <v>1.4</v>
      </c>
      <c r="Q76" s="4">
        <v>2.7</v>
      </c>
      <c r="R76" s="4">
        <v>11.3</v>
      </c>
      <c r="S76" s="4">
        <v>10.7</v>
      </c>
      <c r="T76" s="4">
        <v>104</v>
      </c>
      <c r="U76" s="4">
        <v>111</v>
      </c>
      <c r="V76" s="4">
        <v>0</v>
      </c>
      <c r="W76" s="4">
        <v>0</v>
      </c>
      <c r="X76" s="4">
        <v>0.1</v>
      </c>
      <c r="Y76" s="4">
        <v>0.2</v>
      </c>
      <c r="Z76" s="4">
        <v>4.4999999999999998E-2</v>
      </c>
      <c r="AA76" s="13">
        <f>(I76/TOTAL_BASIC!$D$301)*100</f>
        <v>94.053129346314321</v>
      </c>
      <c r="AB76" s="5">
        <f t="shared" si="21"/>
        <v>1.04</v>
      </c>
      <c r="AC76" s="3">
        <f t="shared" si="1"/>
        <v>-7</v>
      </c>
      <c r="AD76" s="9">
        <f t="shared" si="22"/>
        <v>1.05</v>
      </c>
      <c r="AE76" s="16">
        <f t="shared" si="23"/>
        <v>0.50467289719626174</v>
      </c>
      <c r="AF76" s="16">
        <f t="shared" si="24"/>
        <v>0.47787610619469029</v>
      </c>
      <c r="AG76" s="9"/>
      <c r="AH76" s="9"/>
      <c r="AI76" s="12">
        <f t="shared" si="25"/>
        <v>69.5</v>
      </c>
      <c r="AJ76" s="12">
        <f t="shared" si="26"/>
        <v>54</v>
      </c>
      <c r="AK76" s="12">
        <f t="shared" si="26"/>
        <v>18</v>
      </c>
      <c r="AL76" s="12">
        <f t="shared" si="26"/>
        <v>36</v>
      </c>
      <c r="AM76" s="12">
        <f t="shared" si="26"/>
        <v>50.3</v>
      </c>
      <c r="AN76" s="12">
        <f t="shared" si="18"/>
        <v>73.900000000000006</v>
      </c>
      <c r="AO76" s="12">
        <f t="shared" si="14"/>
        <v>4.3</v>
      </c>
      <c r="AP76" s="12">
        <f t="shared" si="14"/>
        <v>47.8</v>
      </c>
      <c r="AQ76" s="12">
        <f t="shared" si="14"/>
        <v>42.8</v>
      </c>
      <c r="AR76" s="12">
        <f t="shared" si="14"/>
        <v>11.1</v>
      </c>
      <c r="AS76" s="12">
        <f t="shared" si="15"/>
        <v>34.1</v>
      </c>
      <c r="AT76" s="12">
        <f t="shared" si="15"/>
        <v>71.399999999999991</v>
      </c>
      <c r="AU76" s="12">
        <f t="shared" si="27"/>
        <v>72.7</v>
      </c>
      <c r="AV76" s="12">
        <f t="shared" si="15"/>
        <v>5.5</v>
      </c>
      <c r="AW76" s="12">
        <f t="shared" si="16"/>
        <v>40.300000000000004</v>
      </c>
      <c r="AX76" s="12">
        <f t="shared" si="28"/>
        <v>33.599999999999994</v>
      </c>
      <c r="AY76" s="9"/>
      <c r="AZ76" s="12">
        <f t="shared" si="17"/>
        <v>22.3</v>
      </c>
      <c r="BA76" s="12">
        <f t="shared" si="17"/>
        <v>24.2</v>
      </c>
      <c r="BB76" s="12">
        <f t="shared" si="17"/>
        <v>39.700000000000003</v>
      </c>
      <c r="BC76" s="12">
        <f t="shared" si="17"/>
        <v>31.6</v>
      </c>
      <c r="BD76" s="12">
        <f t="shared" si="17"/>
        <v>36</v>
      </c>
      <c r="BE76" s="12">
        <f t="shared" si="19"/>
        <v>40.300000000000004</v>
      </c>
      <c r="BF76" s="12">
        <f t="shared" si="19"/>
        <v>35.4</v>
      </c>
      <c r="BG76" s="12">
        <f t="shared" si="19"/>
        <v>36</v>
      </c>
      <c r="BH76" s="12">
        <f t="shared" si="19"/>
        <v>31.6</v>
      </c>
      <c r="BI76" s="12">
        <f t="shared" si="20"/>
        <v>20.399999999999999</v>
      </c>
    </row>
    <row r="77" spans="1:61" ht="15.75" customHeight="1" x14ac:dyDescent="0.25">
      <c r="A77" s="1" t="s">
        <v>177</v>
      </c>
      <c r="B77" s="3" t="s">
        <v>119</v>
      </c>
      <c r="C77" s="4" t="s">
        <v>87</v>
      </c>
      <c r="D77" s="4">
        <v>7</v>
      </c>
      <c r="E77" s="4">
        <v>147</v>
      </c>
      <c r="F77" s="4">
        <v>7</v>
      </c>
      <c r="G77" s="4">
        <v>147</v>
      </c>
      <c r="H77" s="4">
        <v>24.5</v>
      </c>
      <c r="I77" s="4">
        <v>0.68400000000000005</v>
      </c>
      <c r="J77" s="4">
        <v>0.71599999999999997</v>
      </c>
      <c r="K77" s="4">
        <v>6.8000000000000005E-2</v>
      </c>
      <c r="L77" s="4">
        <v>0.63600000000000001</v>
      </c>
      <c r="M77" s="4">
        <v>15.5</v>
      </c>
      <c r="N77" s="4">
        <v>18.600000000000001</v>
      </c>
      <c r="O77" s="4">
        <v>7.1</v>
      </c>
      <c r="P77" s="4">
        <v>1.3</v>
      </c>
      <c r="Q77" s="4">
        <v>3.9</v>
      </c>
      <c r="R77" s="4">
        <v>9.6</v>
      </c>
      <c r="S77" s="4">
        <v>18.2</v>
      </c>
      <c r="T77" s="4">
        <v>133</v>
      </c>
      <c r="U77" s="4">
        <v>104</v>
      </c>
      <c r="V77" s="4">
        <v>0</v>
      </c>
      <c r="W77" s="4">
        <v>0.7</v>
      </c>
      <c r="X77" s="4">
        <v>0.3</v>
      </c>
      <c r="Y77" s="4">
        <v>0.9</v>
      </c>
      <c r="Z77" s="4">
        <v>0.248</v>
      </c>
      <c r="AA77" s="13">
        <f>(I77/TOTAL_BASIC!$D$301)*100</f>
        <v>122.53779137691238</v>
      </c>
      <c r="AB77" s="5">
        <f t="shared" si="21"/>
        <v>1.33</v>
      </c>
      <c r="AC77" s="3">
        <f t="shared" si="1"/>
        <v>29</v>
      </c>
      <c r="AD77" s="9">
        <f t="shared" si="22"/>
        <v>1.3680000000000001</v>
      </c>
      <c r="AE77" s="16">
        <f t="shared" si="23"/>
        <v>0.39010989010989011</v>
      </c>
      <c r="AF77" s="16">
        <f t="shared" si="24"/>
        <v>0.73958333333333337</v>
      </c>
      <c r="AG77" s="9"/>
      <c r="AH77" s="9"/>
      <c r="AI77" s="12">
        <f t="shared" si="25"/>
        <v>47.199999999999996</v>
      </c>
      <c r="AJ77" s="12">
        <f t="shared" si="26"/>
        <v>54</v>
      </c>
      <c r="AK77" s="12">
        <f t="shared" si="26"/>
        <v>95.6</v>
      </c>
      <c r="AL77" s="12">
        <f t="shared" si="26"/>
        <v>88.1</v>
      </c>
      <c r="AM77" s="12">
        <f t="shared" si="26"/>
        <v>95.6</v>
      </c>
      <c r="AN77" s="12">
        <f t="shared" si="18"/>
        <v>9.3000000000000007</v>
      </c>
      <c r="AO77" s="12">
        <f t="shared" si="14"/>
        <v>93.100000000000009</v>
      </c>
      <c r="AP77" s="12">
        <f t="shared" si="14"/>
        <v>98.1</v>
      </c>
      <c r="AQ77" s="12">
        <f t="shared" si="14"/>
        <v>93.7</v>
      </c>
      <c r="AR77" s="12">
        <f t="shared" si="14"/>
        <v>18.600000000000001</v>
      </c>
      <c r="AS77" s="12">
        <f t="shared" si="15"/>
        <v>28.499999999999996</v>
      </c>
      <c r="AT77" s="12">
        <f t="shared" si="15"/>
        <v>85</v>
      </c>
      <c r="AU77" s="12">
        <f t="shared" si="27"/>
        <v>82.7</v>
      </c>
      <c r="AV77" s="12">
        <f t="shared" si="15"/>
        <v>47.8</v>
      </c>
      <c r="AW77" s="12">
        <f t="shared" si="16"/>
        <v>95</v>
      </c>
      <c r="AX77" s="12">
        <f t="shared" si="28"/>
        <v>76.400000000000006</v>
      </c>
      <c r="AY77" s="9"/>
      <c r="AZ77" s="12">
        <f t="shared" si="17"/>
        <v>91.9</v>
      </c>
      <c r="BA77" s="12">
        <f t="shared" si="17"/>
        <v>75.099999999999994</v>
      </c>
      <c r="BB77" s="12">
        <f t="shared" si="17"/>
        <v>84.399999999999991</v>
      </c>
      <c r="BC77" s="12">
        <f t="shared" si="17"/>
        <v>97.5</v>
      </c>
      <c r="BD77" s="12">
        <f t="shared" si="17"/>
        <v>88.1</v>
      </c>
      <c r="BE77" s="12">
        <f t="shared" si="19"/>
        <v>95</v>
      </c>
      <c r="BF77" s="12">
        <f t="shared" si="19"/>
        <v>97.5</v>
      </c>
      <c r="BG77" s="12">
        <f t="shared" si="19"/>
        <v>88.1</v>
      </c>
      <c r="BH77" s="12">
        <f t="shared" si="19"/>
        <v>16.100000000000001</v>
      </c>
      <c r="BI77" s="12">
        <f t="shared" si="20"/>
        <v>38.5</v>
      </c>
    </row>
    <row r="78" spans="1:61" ht="15.75" customHeight="1" x14ac:dyDescent="0.25">
      <c r="A78" s="1" t="s">
        <v>135</v>
      </c>
      <c r="B78" s="3" t="s">
        <v>101</v>
      </c>
      <c r="C78" s="4" t="s">
        <v>8</v>
      </c>
      <c r="D78" s="4">
        <v>8</v>
      </c>
      <c r="E78" s="4">
        <v>145</v>
      </c>
      <c r="F78" s="4">
        <v>8</v>
      </c>
      <c r="G78" s="4">
        <v>145</v>
      </c>
      <c r="H78" s="4">
        <v>14.1</v>
      </c>
      <c r="I78" s="4">
        <v>0.625</v>
      </c>
      <c r="J78" s="4">
        <v>0.58299999999999996</v>
      </c>
      <c r="K78" s="4">
        <v>0.28599999999999998</v>
      </c>
      <c r="L78" s="4">
        <v>0.23799999999999999</v>
      </c>
      <c r="M78" s="4">
        <v>0</v>
      </c>
      <c r="N78" s="4">
        <v>2.6</v>
      </c>
      <c r="O78" s="4">
        <v>24.2</v>
      </c>
      <c r="P78" s="4">
        <v>2.5</v>
      </c>
      <c r="Q78" s="4">
        <v>0</v>
      </c>
      <c r="R78" s="4">
        <v>21.9</v>
      </c>
      <c r="S78" s="4">
        <v>18.600000000000001</v>
      </c>
      <c r="T78" s="4">
        <v>108</v>
      </c>
      <c r="U78" s="4">
        <v>111</v>
      </c>
      <c r="V78" s="4">
        <v>0</v>
      </c>
      <c r="W78" s="4">
        <v>0.2</v>
      </c>
      <c r="X78" s="4">
        <v>0.1</v>
      </c>
      <c r="Y78" s="4">
        <v>0.3</v>
      </c>
      <c r="Z78" s="4">
        <v>7.9000000000000001E-2</v>
      </c>
      <c r="AA78" s="13">
        <f>(I78/TOTAL_BASIC!$D$301)*100</f>
        <v>111.96801112656468</v>
      </c>
      <c r="AB78" s="5">
        <f t="shared" si="21"/>
        <v>1.08</v>
      </c>
      <c r="AC78" s="3">
        <f t="shared" si="1"/>
        <v>-3</v>
      </c>
      <c r="AD78" s="9">
        <f t="shared" si="22"/>
        <v>1.25</v>
      </c>
      <c r="AE78" s="16">
        <f t="shared" si="23"/>
        <v>1.3010752688172043</v>
      </c>
      <c r="AF78" s="16">
        <f t="shared" si="24"/>
        <v>1.1050228310502284</v>
      </c>
      <c r="AG78" s="9"/>
      <c r="AH78" s="9"/>
      <c r="AI78" s="12">
        <f t="shared" si="25"/>
        <v>69.5</v>
      </c>
      <c r="AJ78" s="12">
        <f t="shared" si="26"/>
        <v>53.400000000000006</v>
      </c>
      <c r="AK78" s="12">
        <f t="shared" si="26"/>
        <v>49.6</v>
      </c>
      <c r="AL78" s="12">
        <f t="shared" si="26"/>
        <v>75.099999999999994</v>
      </c>
      <c r="AM78" s="12">
        <f t="shared" si="26"/>
        <v>76.3</v>
      </c>
      <c r="AN78" s="12">
        <f t="shared" si="18"/>
        <v>31</v>
      </c>
      <c r="AO78" s="12">
        <f t="shared" si="14"/>
        <v>36</v>
      </c>
      <c r="AP78" s="12">
        <f t="shared" si="14"/>
        <v>0</v>
      </c>
      <c r="AQ78" s="12">
        <f t="shared" si="14"/>
        <v>4.9000000000000004</v>
      </c>
      <c r="AR78" s="12">
        <f t="shared" si="14"/>
        <v>81.899999999999991</v>
      </c>
      <c r="AS78" s="12">
        <f t="shared" si="15"/>
        <v>75.7</v>
      </c>
      <c r="AT78" s="12">
        <f t="shared" si="15"/>
        <v>0</v>
      </c>
      <c r="AU78" s="12">
        <f t="shared" si="27"/>
        <v>16.799999999999997</v>
      </c>
      <c r="AV78" s="12">
        <f t="shared" si="15"/>
        <v>52.1</v>
      </c>
      <c r="AW78" s="12">
        <f t="shared" si="16"/>
        <v>47.8</v>
      </c>
      <c r="AX78" s="12">
        <f t="shared" si="28"/>
        <v>33.599999999999994</v>
      </c>
      <c r="AY78" s="9"/>
      <c r="AZ78" s="12">
        <f t="shared" si="17"/>
        <v>57.099999999999994</v>
      </c>
      <c r="BA78" s="12">
        <f t="shared" si="17"/>
        <v>24.2</v>
      </c>
      <c r="BB78" s="12">
        <f t="shared" si="17"/>
        <v>51.5</v>
      </c>
      <c r="BC78" s="12">
        <f t="shared" si="17"/>
        <v>45.300000000000004</v>
      </c>
      <c r="BD78" s="12">
        <f t="shared" si="17"/>
        <v>75.099999999999994</v>
      </c>
      <c r="BE78" s="12">
        <f t="shared" si="19"/>
        <v>47.8</v>
      </c>
      <c r="BF78" s="12">
        <f t="shared" si="19"/>
        <v>43.4</v>
      </c>
      <c r="BG78" s="12">
        <f t="shared" si="19"/>
        <v>75.099999999999994</v>
      </c>
      <c r="BH78" s="12">
        <f t="shared" si="19"/>
        <v>83.8</v>
      </c>
      <c r="BI78" s="12">
        <f t="shared" si="20"/>
        <v>55.900000000000006</v>
      </c>
    </row>
    <row r="79" spans="1:61" ht="15.75" customHeight="1" x14ac:dyDescent="0.25">
      <c r="A79" s="1" t="s">
        <v>186</v>
      </c>
      <c r="B79" s="3" t="s">
        <v>160</v>
      </c>
      <c r="C79" s="4" t="s">
        <v>187</v>
      </c>
      <c r="D79" s="4">
        <v>6</v>
      </c>
      <c r="E79" s="4">
        <v>143</v>
      </c>
      <c r="F79" s="4">
        <v>6</v>
      </c>
      <c r="G79" s="4">
        <v>143</v>
      </c>
      <c r="H79" s="4">
        <v>25.9</v>
      </c>
      <c r="I79" s="4">
        <v>0.626</v>
      </c>
      <c r="J79" s="4">
        <v>0.56499999999999995</v>
      </c>
      <c r="K79" s="4">
        <v>0.25800000000000001</v>
      </c>
      <c r="L79" s="4">
        <v>0.45200000000000001</v>
      </c>
      <c r="M79" s="4">
        <v>10.6</v>
      </c>
      <c r="N79" s="4">
        <v>20.2</v>
      </c>
      <c r="O79" s="4">
        <v>19.8</v>
      </c>
      <c r="P79" s="4">
        <v>2.7</v>
      </c>
      <c r="Q79" s="4">
        <v>2.4</v>
      </c>
      <c r="R79" s="4">
        <v>13.9</v>
      </c>
      <c r="S79" s="4">
        <v>25.7</v>
      </c>
      <c r="T79" s="4">
        <v>119</v>
      </c>
      <c r="U79" s="4">
        <v>99</v>
      </c>
      <c r="V79" s="4">
        <v>0</v>
      </c>
      <c r="W79" s="4">
        <v>0.5</v>
      </c>
      <c r="X79" s="4">
        <v>0.3</v>
      </c>
      <c r="Y79" s="4">
        <v>0.9</v>
      </c>
      <c r="Z79" s="4">
        <v>0.249</v>
      </c>
      <c r="AA79" s="13">
        <f>(I79/TOTAL_BASIC!$D$301)*100</f>
        <v>112.14715994436717</v>
      </c>
      <c r="AB79" s="5">
        <f t="shared" si="21"/>
        <v>1.19</v>
      </c>
      <c r="AC79" s="3">
        <f t="shared" si="1"/>
        <v>20</v>
      </c>
      <c r="AD79" s="9">
        <f t="shared" si="22"/>
        <v>1.252</v>
      </c>
      <c r="AE79" s="16">
        <f t="shared" si="23"/>
        <v>0.77042801556420237</v>
      </c>
      <c r="AF79" s="16">
        <f t="shared" si="24"/>
        <v>1.4244604316546763</v>
      </c>
      <c r="AG79" s="9"/>
      <c r="AH79" s="9"/>
      <c r="AI79" s="12">
        <f t="shared" si="25"/>
        <v>25.4</v>
      </c>
      <c r="AJ79" s="12">
        <f t="shared" si="26"/>
        <v>52.7</v>
      </c>
      <c r="AK79" s="12">
        <f t="shared" si="26"/>
        <v>97.5</v>
      </c>
      <c r="AL79" s="12">
        <f t="shared" si="26"/>
        <v>75.7</v>
      </c>
      <c r="AM79" s="12">
        <f t="shared" si="26"/>
        <v>67</v>
      </c>
      <c r="AN79" s="12">
        <f t="shared" si="18"/>
        <v>26.700000000000003</v>
      </c>
      <c r="AO79" s="12">
        <f t="shared" si="14"/>
        <v>75.099999999999994</v>
      </c>
      <c r="AP79" s="12">
        <f t="shared" si="14"/>
        <v>84.399999999999991</v>
      </c>
      <c r="AQ79" s="12">
        <f t="shared" si="14"/>
        <v>96.8</v>
      </c>
      <c r="AR79" s="12">
        <f t="shared" si="14"/>
        <v>73.2</v>
      </c>
      <c r="AS79" s="12">
        <f t="shared" si="15"/>
        <v>80.7</v>
      </c>
      <c r="AT79" s="12">
        <f t="shared" si="15"/>
        <v>65.8</v>
      </c>
      <c r="AU79" s="12">
        <f t="shared" si="27"/>
        <v>55.3</v>
      </c>
      <c r="AV79" s="12">
        <f t="shared" si="15"/>
        <v>83.8</v>
      </c>
      <c r="AW79" s="12">
        <f t="shared" si="16"/>
        <v>80.100000000000009</v>
      </c>
      <c r="AX79" s="12">
        <f t="shared" si="28"/>
        <v>96.9</v>
      </c>
      <c r="AY79" s="9"/>
      <c r="AZ79" s="12">
        <f t="shared" si="17"/>
        <v>79.5</v>
      </c>
      <c r="BA79" s="12">
        <f t="shared" si="17"/>
        <v>75.099999999999994</v>
      </c>
      <c r="BB79" s="12">
        <f t="shared" si="17"/>
        <v>84.399999999999991</v>
      </c>
      <c r="BC79" s="12">
        <f t="shared" si="17"/>
        <v>98.7</v>
      </c>
      <c r="BD79" s="12">
        <f t="shared" si="17"/>
        <v>75.7</v>
      </c>
      <c r="BE79" s="12">
        <f t="shared" si="19"/>
        <v>80.100000000000009</v>
      </c>
      <c r="BF79" s="12">
        <f t="shared" si="19"/>
        <v>90.600000000000009</v>
      </c>
      <c r="BG79" s="12">
        <f t="shared" si="19"/>
        <v>75.7</v>
      </c>
      <c r="BH79" s="12">
        <f t="shared" si="19"/>
        <v>56.499999999999993</v>
      </c>
      <c r="BI79" s="12">
        <f t="shared" si="20"/>
        <v>75.099999999999994</v>
      </c>
    </row>
    <row r="80" spans="1:61" ht="15.75" customHeight="1" x14ac:dyDescent="0.25">
      <c r="A80" s="1" t="s">
        <v>199</v>
      </c>
      <c r="B80" s="3" t="s">
        <v>142</v>
      </c>
      <c r="C80" s="4" t="s">
        <v>8</v>
      </c>
      <c r="D80" s="4">
        <v>6</v>
      </c>
      <c r="E80" s="4">
        <v>142</v>
      </c>
      <c r="F80" s="4">
        <v>6</v>
      </c>
      <c r="G80" s="4">
        <v>142</v>
      </c>
      <c r="H80" s="4">
        <v>6.9</v>
      </c>
      <c r="I80" s="4">
        <v>0.497</v>
      </c>
      <c r="J80" s="4">
        <v>0.40799999999999997</v>
      </c>
      <c r="K80" s="4">
        <v>0.65800000000000003</v>
      </c>
      <c r="L80" s="4">
        <v>0.316</v>
      </c>
      <c r="M80" s="4">
        <v>0</v>
      </c>
      <c r="N80" s="4">
        <v>3</v>
      </c>
      <c r="O80" s="4">
        <v>29.2</v>
      </c>
      <c r="P80" s="4">
        <v>1.1000000000000001</v>
      </c>
      <c r="Q80" s="4">
        <v>1.4</v>
      </c>
      <c r="R80" s="4">
        <v>27</v>
      </c>
      <c r="S80" s="4">
        <v>19.100000000000001</v>
      </c>
      <c r="T80" s="4">
        <v>92</v>
      </c>
      <c r="U80" s="4">
        <v>113</v>
      </c>
      <c r="V80" s="4">
        <v>0</v>
      </c>
      <c r="W80" s="4">
        <v>-0.1</v>
      </c>
      <c r="X80" s="4">
        <v>0.1</v>
      </c>
      <c r="Y80" s="4">
        <v>-0.1</v>
      </c>
      <c r="Z80" s="4">
        <v>-1.7999999999999999E-2</v>
      </c>
      <c r="AA80" s="13">
        <f>(I80/TOTAL_BASIC!$D$301)*100</f>
        <v>89.036962447844232</v>
      </c>
      <c r="AB80" s="5">
        <f t="shared" si="21"/>
        <v>0.92</v>
      </c>
      <c r="AC80" s="3">
        <f t="shared" si="1"/>
        <v>-21</v>
      </c>
      <c r="AD80" s="9">
        <f t="shared" si="22"/>
        <v>0.99399999999999999</v>
      </c>
      <c r="AE80" s="16">
        <f t="shared" si="23"/>
        <v>1.5287958115183244</v>
      </c>
      <c r="AF80" s="16">
        <f t="shared" si="24"/>
        <v>1.0814814814814815</v>
      </c>
      <c r="AG80" s="9"/>
      <c r="AH80" s="9"/>
      <c r="AI80" s="12">
        <f t="shared" si="25"/>
        <v>25.4</v>
      </c>
      <c r="AJ80" s="12">
        <f t="shared" si="26"/>
        <v>52.1</v>
      </c>
      <c r="AK80" s="12">
        <f t="shared" si="26"/>
        <v>12.4</v>
      </c>
      <c r="AL80" s="12">
        <f t="shared" si="26"/>
        <v>26.700000000000003</v>
      </c>
      <c r="AM80" s="12">
        <f t="shared" si="26"/>
        <v>17.299999999999997</v>
      </c>
      <c r="AN80" s="12">
        <f t="shared" si="18"/>
        <v>89.4</v>
      </c>
      <c r="AO80" s="12">
        <f t="shared" si="14"/>
        <v>49.6</v>
      </c>
      <c r="AP80" s="12">
        <f t="shared" si="14"/>
        <v>0</v>
      </c>
      <c r="AQ80" s="12">
        <f t="shared" si="14"/>
        <v>6.2</v>
      </c>
      <c r="AR80" s="12">
        <f t="shared" si="14"/>
        <v>88.8</v>
      </c>
      <c r="AS80" s="12">
        <f t="shared" si="15"/>
        <v>22.3</v>
      </c>
      <c r="AT80" s="12">
        <f t="shared" si="15"/>
        <v>50.9</v>
      </c>
      <c r="AU80" s="12">
        <f t="shared" si="27"/>
        <v>5.6000000000000085</v>
      </c>
      <c r="AV80" s="12">
        <f t="shared" si="15"/>
        <v>56.499999999999993</v>
      </c>
      <c r="AW80" s="12">
        <f t="shared" si="16"/>
        <v>16.100000000000001</v>
      </c>
      <c r="AX80" s="12">
        <f t="shared" si="28"/>
        <v>23</v>
      </c>
      <c r="AY80" s="9"/>
      <c r="AZ80" s="12">
        <f t="shared" si="17"/>
        <v>14.899999999999999</v>
      </c>
      <c r="BA80" s="12">
        <f t="shared" si="17"/>
        <v>24.2</v>
      </c>
      <c r="BB80" s="12">
        <f t="shared" si="17"/>
        <v>6.8000000000000007</v>
      </c>
      <c r="BC80" s="12">
        <f t="shared" si="17"/>
        <v>14.2</v>
      </c>
      <c r="BD80" s="12">
        <f t="shared" si="17"/>
        <v>26.700000000000003</v>
      </c>
      <c r="BE80" s="12">
        <f t="shared" si="19"/>
        <v>16.100000000000001</v>
      </c>
      <c r="BF80" s="12">
        <f t="shared" si="19"/>
        <v>13</v>
      </c>
      <c r="BG80" s="12">
        <f t="shared" si="19"/>
        <v>26.700000000000003</v>
      </c>
      <c r="BH80" s="12">
        <f t="shared" si="19"/>
        <v>90</v>
      </c>
      <c r="BI80" s="12">
        <f t="shared" si="20"/>
        <v>54.6</v>
      </c>
    </row>
    <row r="81" spans="1:61" ht="15.75" customHeight="1" x14ac:dyDescent="0.25">
      <c r="A81" s="1" t="s">
        <v>221</v>
      </c>
      <c r="B81" s="3" t="s">
        <v>160</v>
      </c>
      <c r="C81" s="4" t="s">
        <v>8</v>
      </c>
      <c r="D81" s="4">
        <v>7</v>
      </c>
      <c r="E81" s="4">
        <v>141</v>
      </c>
      <c r="F81" s="4">
        <v>7</v>
      </c>
      <c r="G81" s="4">
        <v>141</v>
      </c>
      <c r="H81" s="4">
        <v>9.8000000000000007</v>
      </c>
      <c r="I81" s="4">
        <v>0.59299999999999997</v>
      </c>
      <c r="J81" s="4">
        <v>0.56100000000000005</v>
      </c>
      <c r="K81" s="4">
        <v>0.57599999999999996</v>
      </c>
      <c r="L81" s="4">
        <v>0.45500000000000002</v>
      </c>
      <c r="M81" s="4">
        <v>2.7</v>
      </c>
      <c r="N81" s="4">
        <v>12.7</v>
      </c>
      <c r="O81" s="4">
        <v>6.2</v>
      </c>
      <c r="P81" s="4">
        <v>1.7</v>
      </c>
      <c r="Q81" s="4">
        <v>0.6</v>
      </c>
      <c r="R81" s="4">
        <v>15</v>
      </c>
      <c r="S81" s="4">
        <v>14.1</v>
      </c>
      <c r="T81" s="4">
        <v>107</v>
      </c>
      <c r="U81" s="4">
        <v>104</v>
      </c>
      <c r="V81" s="4">
        <v>0</v>
      </c>
      <c r="W81" s="4">
        <v>0.1</v>
      </c>
      <c r="X81" s="4">
        <v>0.3</v>
      </c>
      <c r="Y81" s="4">
        <v>0.4</v>
      </c>
      <c r="Z81" s="4">
        <v>0.10100000000000001</v>
      </c>
      <c r="AA81" s="13">
        <f>(I81/TOTAL_BASIC!$D$301)*100</f>
        <v>106.23524895688456</v>
      </c>
      <c r="AB81" s="5">
        <f t="shared" si="21"/>
        <v>1.07</v>
      </c>
      <c r="AC81" s="3">
        <f t="shared" si="1"/>
        <v>3</v>
      </c>
      <c r="AD81" s="9">
        <f t="shared" si="22"/>
        <v>1.1859999999999999</v>
      </c>
      <c r="AE81" s="16">
        <f t="shared" si="23"/>
        <v>0.43971631205673761</v>
      </c>
      <c r="AF81" s="16">
        <f t="shared" si="24"/>
        <v>0.41333333333333333</v>
      </c>
      <c r="AG81" s="9"/>
      <c r="AH81" s="9"/>
      <c r="AI81" s="12">
        <f t="shared" si="25"/>
        <v>47.199999999999996</v>
      </c>
      <c r="AJ81" s="12">
        <f t="shared" si="26"/>
        <v>51.5</v>
      </c>
      <c r="AK81" s="12">
        <f t="shared" si="26"/>
        <v>22.3</v>
      </c>
      <c r="AL81" s="12">
        <f t="shared" si="26"/>
        <v>65.8</v>
      </c>
      <c r="AM81" s="12">
        <f t="shared" si="26"/>
        <v>65.8</v>
      </c>
      <c r="AN81" s="12">
        <f t="shared" si="18"/>
        <v>80.7</v>
      </c>
      <c r="AO81" s="12">
        <f t="shared" si="14"/>
        <v>75.7</v>
      </c>
      <c r="AP81" s="12">
        <f t="shared" si="14"/>
        <v>35.4</v>
      </c>
      <c r="AQ81" s="12">
        <f t="shared" si="14"/>
        <v>76.3</v>
      </c>
      <c r="AR81" s="12">
        <f t="shared" si="14"/>
        <v>13.600000000000001</v>
      </c>
      <c r="AS81" s="12">
        <f t="shared" si="15"/>
        <v>52.1</v>
      </c>
      <c r="AT81" s="12">
        <f t="shared" si="15"/>
        <v>31</v>
      </c>
      <c r="AU81" s="12">
        <f t="shared" si="27"/>
        <v>47.9</v>
      </c>
      <c r="AV81" s="12">
        <f t="shared" si="15"/>
        <v>16.100000000000001</v>
      </c>
      <c r="AW81" s="12">
        <f t="shared" si="16"/>
        <v>44</v>
      </c>
      <c r="AX81" s="12">
        <f t="shared" si="28"/>
        <v>76.400000000000006</v>
      </c>
      <c r="AY81" s="9"/>
      <c r="AZ81" s="12">
        <f t="shared" si="17"/>
        <v>40.300000000000004</v>
      </c>
      <c r="BA81" s="12">
        <f t="shared" si="17"/>
        <v>75.099999999999994</v>
      </c>
      <c r="BB81" s="12">
        <f t="shared" si="17"/>
        <v>62.1</v>
      </c>
      <c r="BC81" s="12">
        <f t="shared" si="17"/>
        <v>50.9</v>
      </c>
      <c r="BD81" s="12">
        <f t="shared" si="17"/>
        <v>65.8</v>
      </c>
      <c r="BE81" s="12">
        <f t="shared" si="19"/>
        <v>44</v>
      </c>
      <c r="BF81" s="12">
        <f t="shared" si="19"/>
        <v>56.499999999999993</v>
      </c>
      <c r="BG81" s="12">
        <f t="shared" si="19"/>
        <v>65.8</v>
      </c>
      <c r="BH81" s="12">
        <f t="shared" si="19"/>
        <v>22.3</v>
      </c>
      <c r="BI81" s="12">
        <f t="shared" si="20"/>
        <v>13.600000000000001</v>
      </c>
    </row>
    <row r="82" spans="1:61" ht="15.75" customHeight="1" x14ac:dyDescent="0.25">
      <c r="A82" s="1" t="s">
        <v>190</v>
      </c>
      <c r="B82" s="3" t="s">
        <v>116</v>
      </c>
      <c r="C82" s="4" t="s">
        <v>87</v>
      </c>
      <c r="D82" s="4">
        <v>8</v>
      </c>
      <c r="E82" s="4">
        <v>140</v>
      </c>
      <c r="F82" s="4">
        <v>8</v>
      </c>
      <c r="G82" s="4">
        <v>140</v>
      </c>
      <c r="H82" s="4">
        <v>4.3</v>
      </c>
      <c r="I82" s="4">
        <v>0.33700000000000002</v>
      </c>
      <c r="J82" s="4">
        <v>0.28799999999999998</v>
      </c>
      <c r="K82" s="4">
        <v>0.33300000000000002</v>
      </c>
      <c r="L82" s="4">
        <v>0.182</v>
      </c>
      <c r="M82" s="4">
        <v>2.6</v>
      </c>
      <c r="N82" s="4">
        <v>11.3</v>
      </c>
      <c r="O82" s="4">
        <v>11.1</v>
      </c>
      <c r="P82" s="4">
        <v>3</v>
      </c>
      <c r="Q82" s="4">
        <v>1.9</v>
      </c>
      <c r="R82" s="4">
        <v>21.9</v>
      </c>
      <c r="S82" s="4">
        <v>15</v>
      </c>
      <c r="T82" s="4">
        <v>67</v>
      </c>
      <c r="U82" s="4">
        <v>102</v>
      </c>
      <c r="V82" s="4">
        <v>0</v>
      </c>
      <c r="W82" s="4">
        <v>-0.5</v>
      </c>
      <c r="X82" s="4">
        <v>0.3</v>
      </c>
      <c r="Y82" s="4">
        <v>-0.2</v>
      </c>
      <c r="Z82" s="4">
        <v>-6.3E-2</v>
      </c>
      <c r="AA82" s="13">
        <f>(I82/TOTAL_BASIC!$D$301)*100</f>
        <v>60.373151599443673</v>
      </c>
      <c r="AB82" s="5">
        <f t="shared" si="21"/>
        <v>0.67</v>
      </c>
      <c r="AC82" s="3">
        <f t="shared" si="1"/>
        <v>-35</v>
      </c>
      <c r="AD82" s="9">
        <f t="shared" si="22"/>
        <v>0.67400000000000004</v>
      </c>
      <c r="AE82" s="16">
        <f t="shared" si="23"/>
        <v>0.74</v>
      </c>
      <c r="AF82" s="16">
        <f t="shared" si="24"/>
        <v>0.50684931506849318</v>
      </c>
      <c r="AG82" s="9"/>
      <c r="AH82" s="9"/>
      <c r="AI82" s="12">
        <f t="shared" si="25"/>
        <v>69.5</v>
      </c>
      <c r="AJ82" s="12">
        <f t="shared" si="26"/>
        <v>50.9</v>
      </c>
      <c r="AK82" s="12">
        <f t="shared" si="26"/>
        <v>4.9000000000000004</v>
      </c>
      <c r="AL82" s="12">
        <f t="shared" si="26"/>
        <v>3.1</v>
      </c>
      <c r="AM82" s="12">
        <f t="shared" si="26"/>
        <v>3.6999999999999997</v>
      </c>
      <c r="AN82" s="12">
        <f t="shared" si="18"/>
        <v>36.6</v>
      </c>
      <c r="AO82" s="12">
        <f t="shared" si="14"/>
        <v>24.2</v>
      </c>
      <c r="AP82" s="12">
        <f t="shared" si="14"/>
        <v>34.699999999999996</v>
      </c>
      <c r="AQ82" s="12">
        <f t="shared" si="14"/>
        <v>67.7</v>
      </c>
      <c r="AR82" s="12">
        <f t="shared" ref="AR82:AT141" si="29">(PERCENTRANK(O$3:O$298,O82))*100</f>
        <v>42.199999999999996</v>
      </c>
      <c r="AS82" s="12">
        <f t="shared" si="15"/>
        <v>86.3</v>
      </c>
      <c r="AT82" s="12">
        <f t="shared" si="15"/>
        <v>60.199999999999996</v>
      </c>
      <c r="AU82" s="12">
        <f t="shared" si="27"/>
        <v>16.799999999999997</v>
      </c>
      <c r="AV82" s="12">
        <f t="shared" ref="AV82:AW141" si="30">(PERCENTRANK(S$3:S$298,S82))*100</f>
        <v>22.3</v>
      </c>
      <c r="AW82" s="12">
        <f t="shared" si="16"/>
        <v>1.7999999999999998</v>
      </c>
      <c r="AX82" s="12">
        <f t="shared" si="28"/>
        <v>88.2</v>
      </c>
      <c r="AY82" s="9"/>
      <c r="AZ82" s="12">
        <f t="shared" si="17"/>
        <v>1.7999999999999998</v>
      </c>
      <c r="BA82" s="12">
        <f t="shared" si="17"/>
        <v>75.099999999999994</v>
      </c>
      <c r="BB82" s="12">
        <f t="shared" si="17"/>
        <v>3.1</v>
      </c>
      <c r="BC82" s="12">
        <f t="shared" si="17"/>
        <v>6.8000000000000007</v>
      </c>
      <c r="BD82" s="12">
        <f t="shared" si="17"/>
        <v>3.1</v>
      </c>
      <c r="BE82" s="12">
        <f t="shared" si="19"/>
        <v>1.7999999999999998</v>
      </c>
      <c r="BF82" s="12">
        <f t="shared" si="19"/>
        <v>3.6999999999999997</v>
      </c>
      <c r="BG82" s="12">
        <f t="shared" si="19"/>
        <v>3.1</v>
      </c>
      <c r="BH82" s="12">
        <f t="shared" si="19"/>
        <v>54.6</v>
      </c>
      <c r="BI82" s="12">
        <f t="shared" si="20"/>
        <v>22.900000000000002</v>
      </c>
    </row>
    <row r="83" spans="1:61" ht="15.75" customHeight="1" x14ac:dyDescent="0.25">
      <c r="A83" s="1" t="s">
        <v>178</v>
      </c>
      <c r="B83" s="3" t="s">
        <v>244</v>
      </c>
      <c r="C83" s="4" t="s">
        <v>8</v>
      </c>
      <c r="D83" s="4">
        <v>6</v>
      </c>
      <c r="E83" s="4">
        <v>135</v>
      </c>
      <c r="F83" s="4">
        <v>6</v>
      </c>
      <c r="G83" s="4">
        <v>135</v>
      </c>
      <c r="H83" s="4">
        <v>22.7</v>
      </c>
      <c r="I83" s="4">
        <v>0.61499999999999999</v>
      </c>
      <c r="J83" s="4">
        <v>0.49199999999999999</v>
      </c>
      <c r="K83" s="4">
        <v>0.17499999999999999</v>
      </c>
      <c r="L83" s="4">
        <v>0.60299999999999998</v>
      </c>
      <c r="M83" s="4">
        <v>2.9</v>
      </c>
      <c r="N83" s="4">
        <v>5.3</v>
      </c>
      <c r="O83" s="4">
        <v>33.6</v>
      </c>
      <c r="P83" s="4">
        <v>1.5</v>
      </c>
      <c r="Q83" s="4">
        <v>0</v>
      </c>
      <c r="R83" s="4">
        <v>19.2</v>
      </c>
      <c r="S83" s="4">
        <v>33.200000000000003</v>
      </c>
      <c r="T83" s="4">
        <v>111</v>
      </c>
      <c r="U83" s="4">
        <v>114</v>
      </c>
      <c r="V83" s="4">
        <v>0</v>
      </c>
      <c r="W83" s="4">
        <v>0.4</v>
      </c>
      <c r="X83" s="4">
        <v>0</v>
      </c>
      <c r="Y83" s="4">
        <v>0.5</v>
      </c>
      <c r="Z83" s="4">
        <v>0.13300000000000001</v>
      </c>
      <c r="AA83" s="13">
        <f>(I83/TOTAL_BASIC!$D$301)*100</f>
        <v>110.17652294853963</v>
      </c>
      <c r="AB83" s="5">
        <f t="shared" si="21"/>
        <v>1.1100000000000001</v>
      </c>
      <c r="AC83" s="3">
        <f t="shared" si="1"/>
        <v>-3</v>
      </c>
      <c r="AD83" s="9">
        <f t="shared" si="22"/>
        <v>1.23</v>
      </c>
      <c r="AE83" s="16">
        <f t="shared" si="23"/>
        <v>1.0120481927710843</v>
      </c>
      <c r="AF83" s="16">
        <f t="shared" si="24"/>
        <v>1.7500000000000002</v>
      </c>
      <c r="AG83" s="9"/>
      <c r="AH83" s="9"/>
      <c r="AI83" s="12">
        <f t="shared" si="25"/>
        <v>25.4</v>
      </c>
      <c r="AJ83" s="12">
        <f t="shared" si="26"/>
        <v>50.3</v>
      </c>
      <c r="AK83" s="12">
        <f t="shared" si="26"/>
        <v>90.600000000000009</v>
      </c>
      <c r="AL83" s="12">
        <f t="shared" si="26"/>
        <v>71.399999999999991</v>
      </c>
      <c r="AM83" s="12">
        <f t="shared" si="26"/>
        <v>38.5</v>
      </c>
      <c r="AN83" s="12">
        <f t="shared" si="18"/>
        <v>18.600000000000001</v>
      </c>
      <c r="AO83" s="12">
        <f t="shared" si="18"/>
        <v>90</v>
      </c>
      <c r="AP83" s="12">
        <f t="shared" si="18"/>
        <v>37.799999999999997</v>
      </c>
      <c r="AQ83" s="12">
        <f t="shared" si="18"/>
        <v>18</v>
      </c>
      <c r="AR83" s="12">
        <f t="shared" si="29"/>
        <v>92.5</v>
      </c>
      <c r="AS83" s="12">
        <f t="shared" si="29"/>
        <v>39.1</v>
      </c>
      <c r="AT83" s="12">
        <f t="shared" si="29"/>
        <v>0</v>
      </c>
      <c r="AU83" s="12">
        <f t="shared" si="27"/>
        <v>26.099999999999994</v>
      </c>
      <c r="AV83" s="12">
        <f t="shared" si="30"/>
        <v>98.7</v>
      </c>
      <c r="AW83" s="12">
        <f t="shared" si="30"/>
        <v>58.3</v>
      </c>
      <c r="AX83" s="12">
        <f t="shared" si="28"/>
        <v>19.299999999999997</v>
      </c>
      <c r="AY83" s="9"/>
      <c r="AZ83" s="12">
        <f t="shared" ref="AZ83:BC141" si="31">(PERCENTRANK(W$3:W$298,W83))*100</f>
        <v>74.5</v>
      </c>
      <c r="BA83" s="12">
        <f t="shared" si="31"/>
        <v>3.1</v>
      </c>
      <c r="BB83" s="12">
        <f t="shared" si="31"/>
        <v>68.300000000000011</v>
      </c>
      <c r="BC83" s="12">
        <f t="shared" si="31"/>
        <v>64.5</v>
      </c>
      <c r="BD83" s="12">
        <f t="shared" ref="BD83:BI141" si="32">(PERCENTRANK(AA$3:AA$298,AA83))*100</f>
        <v>71.399999999999991</v>
      </c>
      <c r="BE83" s="12">
        <f t="shared" si="19"/>
        <v>58.3</v>
      </c>
      <c r="BF83" s="12">
        <f t="shared" si="19"/>
        <v>43.4</v>
      </c>
      <c r="BG83" s="12">
        <f t="shared" si="19"/>
        <v>71.399999999999991</v>
      </c>
      <c r="BH83" s="12">
        <f t="shared" si="19"/>
        <v>70.8</v>
      </c>
      <c r="BI83" s="12">
        <f t="shared" si="20"/>
        <v>83.2</v>
      </c>
    </row>
    <row r="84" spans="1:61" ht="15.75" customHeight="1" x14ac:dyDescent="0.25">
      <c r="A84" s="1" t="s">
        <v>224</v>
      </c>
      <c r="B84" s="3" t="s">
        <v>160</v>
      </c>
      <c r="C84" s="4" t="s">
        <v>87</v>
      </c>
      <c r="D84" s="4">
        <v>6</v>
      </c>
      <c r="E84" s="4">
        <v>133</v>
      </c>
      <c r="F84" s="4">
        <v>6</v>
      </c>
      <c r="G84" s="4">
        <v>133</v>
      </c>
      <c r="H84" s="4">
        <v>14.3</v>
      </c>
      <c r="I84" s="4">
        <v>0.505</v>
      </c>
      <c r="J84" s="4">
        <v>0.41899999999999998</v>
      </c>
      <c r="K84" s="4">
        <v>0.19400000000000001</v>
      </c>
      <c r="L84" s="4">
        <v>0.48399999999999999</v>
      </c>
      <c r="M84" s="4">
        <v>12.3</v>
      </c>
      <c r="N84" s="4">
        <v>16.399999999999999</v>
      </c>
      <c r="O84" s="4">
        <v>9.6999999999999993</v>
      </c>
      <c r="P84" s="4">
        <v>2.5</v>
      </c>
      <c r="Q84" s="4">
        <v>2.6</v>
      </c>
      <c r="R84" s="4">
        <v>13.8</v>
      </c>
      <c r="S84" s="4">
        <v>14</v>
      </c>
      <c r="T84" s="4">
        <v>111</v>
      </c>
      <c r="U84" s="4">
        <v>101</v>
      </c>
      <c r="V84" s="4">
        <v>0</v>
      </c>
      <c r="W84" s="4">
        <v>0.2</v>
      </c>
      <c r="X84" s="4">
        <v>0.3</v>
      </c>
      <c r="Y84" s="4">
        <v>0.5</v>
      </c>
      <c r="Z84" s="4">
        <v>0.14000000000000001</v>
      </c>
      <c r="AA84" s="13">
        <f>(I84/TOTAL_BASIC!$D$301)*100</f>
        <v>90.470152990264253</v>
      </c>
      <c r="AB84" s="5">
        <f t="shared" si="21"/>
        <v>1.1100000000000001</v>
      </c>
      <c r="AC84" s="3">
        <f t="shared" si="1"/>
        <v>10</v>
      </c>
      <c r="AD84" s="9">
        <f t="shared" si="22"/>
        <v>1.01</v>
      </c>
      <c r="AE84" s="16">
        <f t="shared" si="23"/>
        <v>0.69285714285714284</v>
      </c>
      <c r="AF84" s="16">
        <f t="shared" si="24"/>
        <v>0.70289855072463758</v>
      </c>
      <c r="AG84" s="9"/>
      <c r="AH84" s="9"/>
      <c r="AI84" s="12">
        <f t="shared" si="25"/>
        <v>25.4</v>
      </c>
      <c r="AJ84" s="12">
        <f t="shared" si="26"/>
        <v>49.6</v>
      </c>
      <c r="AK84" s="12">
        <f t="shared" si="26"/>
        <v>51.5</v>
      </c>
      <c r="AL84" s="12">
        <f t="shared" si="26"/>
        <v>29.099999999999998</v>
      </c>
      <c r="AM84" s="12">
        <f t="shared" si="26"/>
        <v>19.8</v>
      </c>
      <c r="AN84" s="12">
        <f t="shared" si="18"/>
        <v>20.399999999999999</v>
      </c>
      <c r="AO84" s="12">
        <f t="shared" si="18"/>
        <v>80.100000000000009</v>
      </c>
      <c r="AP84" s="12">
        <f t="shared" si="18"/>
        <v>90</v>
      </c>
      <c r="AQ84" s="12">
        <f t="shared" si="18"/>
        <v>86.3</v>
      </c>
      <c r="AR84" s="12">
        <f t="shared" si="29"/>
        <v>34.699999999999996</v>
      </c>
      <c r="AS84" s="12">
        <f t="shared" si="29"/>
        <v>75.7</v>
      </c>
      <c r="AT84" s="12">
        <f t="shared" si="29"/>
        <v>69.5</v>
      </c>
      <c r="AU84" s="12">
        <f t="shared" si="27"/>
        <v>56.6</v>
      </c>
      <c r="AV84" s="12">
        <f t="shared" si="30"/>
        <v>15.5</v>
      </c>
      <c r="AW84" s="12">
        <f t="shared" si="30"/>
        <v>58.3</v>
      </c>
      <c r="AX84" s="12">
        <f t="shared" si="28"/>
        <v>92</v>
      </c>
      <c r="AY84" s="9"/>
      <c r="AZ84" s="12">
        <f t="shared" si="31"/>
        <v>57.099999999999994</v>
      </c>
      <c r="BA84" s="12">
        <f t="shared" si="31"/>
        <v>75.099999999999994</v>
      </c>
      <c r="BB84" s="12">
        <f t="shared" si="31"/>
        <v>68.300000000000011</v>
      </c>
      <c r="BC84" s="12">
        <f t="shared" si="31"/>
        <v>68.300000000000011</v>
      </c>
      <c r="BD84" s="12">
        <f t="shared" si="32"/>
        <v>29.099999999999998</v>
      </c>
      <c r="BE84" s="12">
        <f t="shared" si="19"/>
        <v>58.3</v>
      </c>
      <c r="BF84" s="12">
        <f t="shared" si="19"/>
        <v>72.599999999999994</v>
      </c>
      <c r="BG84" s="12">
        <f t="shared" si="19"/>
        <v>29.099999999999998</v>
      </c>
      <c r="BH84" s="12">
        <f t="shared" si="19"/>
        <v>50.3</v>
      </c>
      <c r="BI84" s="12">
        <f t="shared" si="20"/>
        <v>35.4</v>
      </c>
    </row>
    <row r="85" spans="1:61" ht="15.75" customHeight="1" x14ac:dyDescent="0.25">
      <c r="A85" s="1" t="s">
        <v>167</v>
      </c>
      <c r="B85" s="3" t="s">
        <v>116</v>
      </c>
      <c r="C85" s="4" t="s">
        <v>8</v>
      </c>
      <c r="D85" s="4">
        <v>8</v>
      </c>
      <c r="E85" s="4">
        <v>130</v>
      </c>
      <c r="F85" s="4">
        <v>8</v>
      </c>
      <c r="G85" s="4">
        <v>130</v>
      </c>
      <c r="H85" s="4">
        <v>10.199999999999999</v>
      </c>
      <c r="I85" s="4">
        <v>0.71299999999999997</v>
      </c>
      <c r="J85" s="4">
        <v>0.68799999999999994</v>
      </c>
      <c r="K85" s="4">
        <v>0.75</v>
      </c>
      <c r="L85" s="4">
        <v>0.25</v>
      </c>
      <c r="M85" s="4">
        <v>1</v>
      </c>
      <c r="N85" s="4">
        <v>5.6</v>
      </c>
      <c r="O85" s="4">
        <v>12.6</v>
      </c>
      <c r="P85" s="4">
        <v>1.6</v>
      </c>
      <c r="Q85" s="4">
        <v>0.7</v>
      </c>
      <c r="R85" s="4">
        <v>25.3</v>
      </c>
      <c r="S85" s="4">
        <v>12.6</v>
      </c>
      <c r="T85" s="4">
        <v>107</v>
      </c>
      <c r="U85" s="4">
        <v>109</v>
      </c>
      <c r="V85" s="4">
        <v>0</v>
      </c>
      <c r="W85" s="4">
        <v>0.1</v>
      </c>
      <c r="X85" s="4">
        <v>0.1</v>
      </c>
      <c r="Y85" s="4">
        <v>0.2</v>
      </c>
      <c r="Z85" s="4">
        <v>7.0000000000000007E-2</v>
      </c>
      <c r="AA85" s="13">
        <f>(I85/TOTAL_BASIC!$D$301)*100</f>
        <v>127.73310709318497</v>
      </c>
      <c r="AB85" s="5">
        <f t="shared" si="21"/>
        <v>1.07</v>
      </c>
      <c r="AC85" s="3">
        <f t="shared" si="1"/>
        <v>-2</v>
      </c>
      <c r="AD85" s="9">
        <f t="shared" si="22"/>
        <v>1.4259999999999999</v>
      </c>
      <c r="AE85" s="16">
        <f t="shared" si="23"/>
        <v>1</v>
      </c>
      <c r="AF85" s="16">
        <f t="shared" si="24"/>
        <v>0.49802371541501972</v>
      </c>
      <c r="AG85" s="9"/>
      <c r="AH85" s="9"/>
      <c r="AI85" s="12">
        <f t="shared" si="25"/>
        <v>69.5</v>
      </c>
      <c r="AJ85" s="12">
        <f t="shared" si="26"/>
        <v>49</v>
      </c>
      <c r="AK85" s="12">
        <f t="shared" si="26"/>
        <v>27.3</v>
      </c>
      <c r="AL85" s="12">
        <f t="shared" si="26"/>
        <v>91.9</v>
      </c>
      <c r="AM85" s="12">
        <f t="shared" si="26"/>
        <v>90.600000000000009</v>
      </c>
      <c r="AN85" s="12">
        <f t="shared" si="18"/>
        <v>93.7</v>
      </c>
      <c r="AO85" s="12">
        <f t="shared" si="18"/>
        <v>36.6</v>
      </c>
      <c r="AP85" s="12">
        <f t="shared" si="18"/>
        <v>17.299999999999997</v>
      </c>
      <c r="AQ85" s="12">
        <f t="shared" si="18"/>
        <v>21.7</v>
      </c>
      <c r="AR85" s="12">
        <f t="shared" si="29"/>
        <v>48.4</v>
      </c>
      <c r="AS85" s="12">
        <f t="shared" si="29"/>
        <v>45.300000000000004</v>
      </c>
      <c r="AT85" s="12">
        <f t="shared" si="29"/>
        <v>36.6</v>
      </c>
      <c r="AU85" s="12">
        <f t="shared" si="27"/>
        <v>8.0999999999999943</v>
      </c>
      <c r="AV85" s="12">
        <f t="shared" si="30"/>
        <v>10.5</v>
      </c>
      <c r="AW85" s="12">
        <f t="shared" si="30"/>
        <v>44</v>
      </c>
      <c r="AX85" s="12">
        <f t="shared" si="28"/>
        <v>47.3</v>
      </c>
      <c r="AY85" s="9"/>
      <c r="AZ85" s="12">
        <f t="shared" si="31"/>
        <v>40.300000000000004</v>
      </c>
      <c r="BA85" s="12">
        <f t="shared" si="31"/>
        <v>24.2</v>
      </c>
      <c r="BB85" s="12">
        <f t="shared" si="31"/>
        <v>39.700000000000003</v>
      </c>
      <c r="BC85" s="12">
        <f t="shared" si="31"/>
        <v>41.6</v>
      </c>
      <c r="BD85" s="12">
        <f t="shared" si="32"/>
        <v>91.9</v>
      </c>
      <c r="BE85" s="12">
        <f t="shared" si="19"/>
        <v>44</v>
      </c>
      <c r="BF85" s="12">
        <f t="shared" si="19"/>
        <v>47.199999999999996</v>
      </c>
      <c r="BG85" s="12">
        <f t="shared" si="19"/>
        <v>91.9</v>
      </c>
      <c r="BH85" s="12">
        <f t="shared" si="19"/>
        <v>70.099999999999994</v>
      </c>
      <c r="BI85" s="12">
        <f t="shared" si="20"/>
        <v>22.3</v>
      </c>
    </row>
    <row r="86" spans="1:61" ht="15.75" customHeight="1" x14ac:dyDescent="0.25">
      <c r="A86" s="1" t="s">
        <v>193</v>
      </c>
      <c r="B86" s="3" t="s">
        <v>142</v>
      </c>
      <c r="C86" s="4" t="s">
        <v>8</v>
      </c>
      <c r="D86" s="4">
        <v>6</v>
      </c>
      <c r="E86" s="4">
        <v>129</v>
      </c>
      <c r="F86" s="4">
        <v>6</v>
      </c>
      <c r="G86" s="4">
        <v>129</v>
      </c>
      <c r="H86" s="4">
        <v>-2.1</v>
      </c>
      <c r="I86" s="4">
        <v>0.307</v>
      </c>
      <c r="J86" s="4">
        <v>0.3</v>
      </c>
      <c r="K86" s="4">
        <v>0.34300000000000003</v>
      </c>
      <c r="L86" s="4">
        <v>5.7000000000000002E-2</v>
      </c>
      <c r="M86" s="4">
        <v>5.0999999999999996</v>
      </c>
      <c r="N86" s="4">
        <v>4.3</v>
      </c>
      <c r="O86" s="4">
        <v>8.9</v>
      </c>
      <c r="P86" s="4">
        <v>0.8</v>
      </c>
      <c r="Q86" s="4">
        <v>0.8</v>
      </c>
      <c r="R86" s="4">
        <v>16.3</v>
      </c>
      <c r="S86" s="4">
        <v>15.2</v>
      </c>
      <c r="T86" s="4">
        <v>70</v>
      </c>
      <c r="U86" s="4">
        <v>114</v>
      </c>
      <c r="V86" s="4">
        <v>0</v>
      </c>
      <c r="W86" s="4">
        <v>-0.4</v>
      </c>
      <c r="X86" s="4">
        <v>0</v>
      </c>
      <c r="Y86" s="4">
        <v>-0.4</v>
      </c>
      <c r="Z86" s="4">
        <v>-0.113</v>
      </c>
      <c r="AA86" s="13">
        <f>(I86/TOTAL_BASIC!$D$301)*100</f>
        <v>54.998687065368571</v>
      </c>
      <c r="AB86" s="5">
        <f t="shared" si="21"/>
        <v>0.7</v>
      </c>
      <c r="AC86" s="3">
        <f t="shared" si="1"/>
        <v>-44</v>
      </c>
      <c r="AD86" s="9">
        <f t="shared" si="22"/>
        <v>0.61399999999999999</v>
      </c>
      <c r="AE86" s="16">
        <f t="shared" si="23"/>
        <v>0.58552631578947378</v>
      </c>
      <c r="AF86" s="16">
        <f t="shared" si="24"/>
        <v>0.54601226993865026</v>
      </c>
      <c r="AG86" s="9"/>
      <c r="AH86" s="9"/>
      <c r="AI86" s="12">
        <f t="shared" si="25"/>
        <v>25.4</v>
      </c>
      <c r="AJ86" s="12">
        <f t="shared" si="26"/>
        <v>48.4</v>
      </c>
      <c r="AK86" s="12">
        <f t="shared" si="26"/>
        <v>0.6</v>
      </c>
      <c r="AL86" s="12">
        <f t="shared" si="26"/>
        <v>1.7999999999999998</v>
      </c>
      <c r="AM86" s="12">
        <f t="shared" si="26"/>
        <v>4.3</v>
      </c>
      <c r="AN86" s="12">
        <f t="shared" si="18"/>
        <v>40.300000000000004</v>
      </c>
      <c r="AO86" s="12">
        <f t="shared" si="18"/>
        <v>5.5</v>
      </c>
      <c r="AP86" s="12">
        <f t="shared" si="18"/>
        <v>62.7</v>
      </c>
      <c r="AQ86" s="12">
        <f t="shared" si="18"/>
        <v>11.1</v>
      </c>
      <c r="AR86" s="12">
        <f t="shared" si="29"/>
        <v>30.4</v>
      </c>
      <c r="AS86" s="12">
        <f t="shared" si="29"/>
        <v>13.600000000000001</v>
      </c>
      <c r="AT86" s="12">
        <f t="shared" si="29"/>
        <v>37.200000000000003</v>
      </c>
      <c r="AU86" s="12">
        <f t="shared" si="27"/>
        <v>37.9</v>
      </c>
      <c r="AV86" s="12">
        <f t="shared" si="30"/>
        <v>22.900000000000002</v>
      </c>
      <c r="AW86" s="12">
        <f t="shared" si="30"/>
        <v>2.4</v>
      </c>
      <c r="AX86" s="12">
        <f t="shared" si="28"/>
        <v>19.299999999999997</v>
      </c>
      <c r="AY86" s="9"/>
      <c r="AZ86" s="12">
        <f t="shared" si="31"/>
        <v>2.4</v>
      </c>
      <c r="BA86" s="12">
        <f t="shared" si="31"/>
        <v>3.1</v>
      </c>
      <c r="BB86" s="12">
        <f t="shared" si="31"/>
        <v>1.2</v>
      </c>
      <c r="BC86" s="12">
        <f t="shared" si="31"/>
        <v>2.4</v>
      </c>
      <c r="BD86" s="12">
        <f t="shared" si="32"/>
        <v>1.7999999999999998</v>
      </c>
      <c r="BE86" s="12">
        <f t="shared" si="19"/>
        <v>2.4</v>
      </c>
      <c r="BF86" s="12">
        <f t="shared" si="19"/>
        <v>1.7999999999999998</v>
      </c>
      <c r="BG86" s="12">
        <f t="shared" si="19"/>
        <v>1.7999999999999998</v>
      </c>
      <c r="BH86" s="12">
        <f t="shared" si="19"/>
        <v>40.9</v>
      </c>
      <c r="BI86" s="12">
        <f t="shared" si="20"/>
        <v>25.4</v>
      </c>
    </row>
    <row r="87" spans="1:61" ht="15.75" customHeight="1" x14ac:dyDescent="0.25">
      <c r="A87" s="1" t="s">
        <v>213</v>
      </c>
      <c r="B87" s="3" t="s">
        <v>160</v>
      </c>
      <c r="C87" s="4" t="s">
        <v>87</v>
      </c>
      <c r="D87" s="4">
        <v>7</v>
      </c>
      <c r="E87" s="4">
        <v>128</v>
      </c>
      <c r="F87" s="4">
        <v>7</v>
      </c>
      <c r="G87" s="4">
        <v>128</v>
      </c>
      <c r="H87" s="4">
        <v>12.7</v>
      </c>
      <c r="I87" s="4">
        <v>0.56699999999999995</v>
      </c>
      <c r="J87" s="4">
        <v>0.5</v>
      </c>
      <c r="K87" s="4">
        <v>0.115</v>
      </c>
      <c r="L87" s="4">
        <v>0.26900000000000002</v>
      </c>
      <c r="M87" s="4">
        <v>4.9000000000000004</v>
      </c>
      <c r="N87" s="4">
        <v>11</v>
      </c>
      <c r="O87" s="4">
        <v>22.7</v>
      </c>
      <c r="P87" s="4">
        <v>2.2999999999999998</v>
      </c>
      <c r="Q87" s="4">
        <v>2.7</v>
      </c>
      <c r="R87" s="4">
        <v>25.6</v>
      </c>
      <c r="S87" s="4">
        <v>13</v>
      </c>
      <c r="T87" s="4">
        <v>108</v>
      </c>
      <c r="U87" s="4">
        <v>102</v>
      </c>
      <c r="V87" s="4">
        <v>0</v>
      </c>
      <c r="W87" s="4">
        <v>0.1</v>
      </c>
      <c r="X87" s="4">
        <v>0.3</v>
      </c>
      <c r="Y87" s="4">
        <v>0.4</v>
      </c>
      <c r="Z87" s="4">
        <v>0.11799999999999999</v>
      </c>
      <c r="AA87" s="13">
        <f>(I87/TOTAL_BASIC!$D$301)*100</f>
        <v>101.57737969401946</v>
      </c>
      <c r="AB87" s="5">
        <f t="shared" si="21"/>
        <v>1.08</v>
      </c>
      <c r="AC87" s="3">
        <f t="shared" si="1"/>
        <v>6</v>
      </c>
      <c r="AD87" s="9">
        <f t="shared" si="22"/>
        <v>1.1339999999999999</v>
      </c>
      <c r="AE87" s="16">
        <f t="shared" si="23"/>
        <v>1.7461538461538462</v>
      </c>
      <c r="AF87" s="16">
        <f t="shared" si="24"/>
        <v>0.88671874999999989</v>
      </c>
      <c r="AG87" s="9"/>
      <c r="AH87" s="9"/>
      <c r="AI87" s="12">
        <f t="shared" si="25"/>
        <v>47.199999999999996</v>
      </c>
      <c r="AJ87" s="12">
        <f t="shared" si="26"/>
        <v>47.8</v>
      </c>
      <c r="AK87" s="12">
        <f t="shared" si="26"/>
        <v>39.700000000000003</v>
      </c>
      <c r="AL87" s="12">
        <f t="shared" si="26"/>
        <v>51.5</v>
      </c>
      <c r="AM87" s="12">
        <f t="shared" si="26"/>
        <v>40.9</v>
      </c>
      <c r="AN87" s="12">
        <f t="shared" si="18"/>
        <v>13</v>
      </c>
      <c r="AO87" s="12">
        <f t="shared" si="18"/>
        <v>42.199999999999996</v>
      </c>
      <c r="AP87" s="12">
        <f t="shared" si="18"/>
        <v>59.599999999999994</v>
      </c>
      <c r="AQ87" s="12">
        <f t="shared" si="18"/>
        <v>65.2</v>
      </c>
      <c r="AR87" s="12">
        <f t="shared" si="29"/>
        <v>79.5</v>
      </c>
      <c r="AS87" s="12">
        <f t="shared" si="29"/>
        <v>70.099999999999994</v>
      </c>
      <c r="AT87" s="12">
        <f t="shared" si="29"/>
        <v>71.399999999999991</v>
      </c>
      <c r="AU87" s="12">
        <f t="shared" si="27"/>
        <v>6.8999999999999915</v>
      </c>
      <c r="AV87" s="12">
        <f t="shared" si="30"/>
        <v>12.4</v>
      </c>
      <c r="AW87" s="12">
        <f t="shared" si="30"/>
        <v>47.8</v>
      </c>
      <c r="AX87" s="12">
        <f t="shared" si="28"/>
        <v>88.2</v>
      </c>
      <c r="AY87" s="9"/>
      <c r="AZ87" s="12">
        <f t="shared" si="31"/>
        <v>40.300000000000004</v>
      </c>
      <c r="BA87" s="12">
        <f t="shared" si="31"/>
        <v>75.099999999999994</v>
      </c>
      <c r="BB87" s="12">
        <f t="shared" si="31"/>
        <v>62.1</v>
      </c>
      <c r="BC87" s="12">
        <f t="shared" si="31"/>
        <v>59.599999999999994</v>
      </c>
      <c r="BD87" s="12">
        <f t="shared" si="32"/>
        <v>51.5</v>
      </c>
      <c r="BE87" s="12">
        <f t="shared" si="19"/>
        <v>47.8</v>
      </c>
      <c r="BF87" s="12">
        <f t="shared" si="19"/>
        <v>63.9</v>
      </c>
      <c r="BG87" s="12">
        <f t="shared" si="19"/>
        <v>51.5</v>
      </c>
      <c r="BH87" s="12">
        <f t="shared" si="19"/>
        <v>95</v>
      </c>
      <c r="BI87" s="12">
        <f t="shared" si="20"/>
        <v>47.8</v>
      </c>
    </row>
    <row r="88" spans="1:61" ht="15.75" customHeight="1" x14ac:dyDescent="0.25">
      <c r="A88" s="1" t="s">
        <v>204</v>
      </c>
      <c r="B88" s="3" t="s">
        <v>116</v>
      </c>
      <c r="C88" s="4" t="s">
        <v>87</v>
      </c>
      <c r="D88" s="4">
        <v>8</v>
      </c>
      <c r="E88" s="4">
        <v>127</v>
      </c>
      <c r="F88" s="4">
        <v>8</v>
      </c>
      <c r="G88" s="4">
        <v>127</v>
      </c>
      <c r="H88" s="4">
        <v>18.100000000000001</v>
      </c>
      <c r="I88" s="4">
        <v>0.68400000000000005</v>
      </c>
      <c r="J88" s="4">
        <v>0.65400000000000003</v>
      </c>
      <c r="K88" s="4">
        <v>0.23100000000000001</v>
      </c>
      <c r="L88" s="4">
        <v>0.34599999999999997</v>
      </c>
      <c r="M88" s="4">
        <v>12.6</v>
      </c>
      <c r="N88" s="4">
        <v>19.100000000000001</v>
      </c>
      <c r="O88" s="4">
        <v>7.5</v>
      </c>
      <c r="P88" s="4">
        <v>3.3</v>
      </c>
      <c r="Q88" s="4">
        <v>2.9</v>
      </c>
      <c r="R88" s="4">
        <v>18.899999999999999</v>
      </c>
      <c r="S88" s="4">
        <v>13.4</v>
      </c>
      <c r="T88" s="4">
        <v>122</v>
      </c>
      <c r="U88" s="4">
        <v>99</v>
      </c>
      <c r="V88" s="4">
        <v>0</v>
      </c>
      <c r="W88" s="4">
        <v>0.3</v>
      </c>
      <c r="X88" s="4">
        <v>0.3</v>
      </c>
      <c r="Y88" s="4">
        <v>0.6</v>
      </c>
      <c r="Z88" s="4">
        <v>0.19400000000000001</v>
      </c>
      <c r="AA88" s="13">
        <f>(I88/TOTAL_BASIC!$D$301)*100</f>
        <v>122.53779137691238</v>
      </c>
      <c r="AB88" s="5">
        <f t="shared" si="21"/>
        <v>1.22</v>
      </c>
      <c r="AC88" s="3">
        <f t="shared" si="1"/>
        <v>23</v>
      </c>
      <c r="AD88" s="9">
        <f t="shared" si="22"/>
        <v>1.3680000000000001</v>
      </c>
      <c r="AE88" s="16">
        <f t="shared" si="23"/>
        <v>0.55970149253731338</v>
      </c>
      <c r="AF88" s="16">
        <f t="shared" si="24"/>
        <v>0.39682539682539686</v>
      </c>
      <c r="AG88" s="9"/>
      <c r="AH88" s="9"/>
      <c r="AI88" s="12">
        <f t="shared" si="25"/>
        <v>69.5</v>
      </c>
      <c r="AJ88" s="12">
        <f t="shared" si="26"/>
        <v>47.199999999999996</v>
      </c>
      <c r="AK88" s="12">
        <f t="shared" si="26"/>
        <v>72.599999999999994</v>
      </c>
      <c r="AL88" s="12">
        <f t="shared" si="26"/>
        <v>88.1</v>
      </c>
      <c r="AM88" s="12">
        <f t="shared" si="26"/>
        <v>88.1</v>
      </c>
      <c r="AN88" s="12">
        <f t="shared" si="18"/>
        <v>24.2</v>
      </c>
      <c r="AO88" s="12">
        <f t="shared" si="18"/>
        <v>56.499999999999993</v>
      </c>
      <c r="AP88" s="12">
        <f t="shared" si="18"/>
        <v>90.600000000000009</v>
      </c>
      <c r="AQ88" s="12">
        <f t="shared" si="18"/>
        <v>94.399999999999991</v>
      </c>
      <c r="AR88" s="12">
        <f t="shared" si="29"/>
        <v>20.399999999999999</v>
      </c>
      <c r="AS88" s="12">
        <f t="shared" si="29"/>
        <v>93.7</v>
      </c>
      <c r="AT88" s="12">
        <f t="shared" si="29"/>
        <v>76.3</v>
      </c>
      <c r="AU88" s="12">
        <f t="shared" si="27"/>
        <v>28</v>
      </c>
      <c r="AV88" s="12">
        <f t="shared" si="30"/>
        <v>13</v>
      </c>
      <c r="AW88" s="12">
        <f t="shared" si="30"/>
        <v>88.1</v>
      </c>
      <c r="AX88" s="12">
        <f t="shared" si="28"/>
        <v>96.9</v>
      </c>
      <c r="AY88" s="9"/>
      <c r="AZ88" s="12">
        <f t="shared" si="31"/>
        <v>68.899999999999991</v>
      </c>
      <c r="BA88" s="12">
        <f t="shared" si="31"/>
        <v>75.099999999999994</v>
      </c>
      <c r="BB88" s="12">
        <f t="shared" si="31"/>
        <v>72</v>
      </c>
      <c r="BC88" s="12">
        <f t="shared" si="31"/>
        <v>88.8</v>
      </c>
      <c r="BD88" s="12">
        <f t="shared" si="32"/>
        <v>88.1</v>
      </c>
      <c r="BE88" s="12">
        <f t="shared" si="19"/>
        <v>88.1</v>
      </c>
      <c r="BF88" s="12">
        <f t="shared" si="19"/>
        <v>93.7</v>
      </c>
      <c r="BG88" s="12">
        <f t="shared" si="19"/>
        <v>88.1</v>
      </c>
      <c r="BH88" s="12">
        <f t="shared" si="19"/>
        <v>38.5</v>
      </c>
      <c r="BI88" s="12">
        <f t="shared" si="20"/>
        <v>13</v>
      </c>
    </row>
    <row r="89" spans="1:61" ht="15.75" customHeight="1" x14ac:dyDescent="0.25">
      <c r="A89" s="1" t="s">
        <v>198</v>
      </c>
      <c r="B89" s="4" t="s">
        <v>244</v>
      </c>
      <c r="C89" s="4" t="s">
        <v>90</v>
      </c>
      <c r="D89" s="4">
        <v>8</v>
      </c>
      <c r="E89" s="4">
        <v>125</v>
      </c>
      <c r="F89" s="4">
        <v>8</v>
      </c>
      <c r="G89" s="4">
        <v>125</v>
      </c>
      <c r="H89" s="4">
        <v>22</v>
      </c>
      <c r="I89" s="4">
        <v>0.71</v>
      </c>
      <c r="J89" s="4">
        <v>0.68899999999999995</v>
      </c>
      <c r="K89" s="4">
        <v>0.378</v>
      </c>
      <c r="L89" s="4">
        <v>0.28899999999999998</v>
      </c>
      <c r="M89" s="4">
        <v>6.2</v>
      </c>
      <c r="N89" s="4">
        <v>11.5</v>
      </c>
      <c r="O89" s="4">
        <v>6.2</v>
      </c>
      <c r="P89" s="4">
        <v>0.4</v>
      </c>
      <c r="Q89" s="4">
        <v>2.5</v>
      </c>
      <c r="R89" s="4">
        <v>5.6</v>
      </c>
      <c r="S89" s="4">
        <v>19.5</v>
      </c>
      <c r="T89" s="4">
        <v>136</v>
      </c>
      <c r="U89" s="4">
        <v>112</v>
      </c>
      <c r="V89" s="4">
        <v>0</v>
      </c>
      <c r="W89" s="4">
        <v>0.6</v>
      </c>
      <c r="X89" s="4">
        <v>0.1</v>
      </c>
      <c r="Y89" s="4">
        <v>0.7</v>
      </c>
      <c r="Z89" s="4">
        <v>0.21</v>
      </c>
      <c r="AA89" s="13">
        <f>(I89/TOTAL_BASIC!$D$301)*100</f>
        <v>127.19566063977746</v>
      </c>
      <c r="AB89" s="5">
        <f t="shared" si="21"/>
        <v>1.36</v>
      </c>
      <c r="AC89" s="3">
        <f t="shared" si="1"/>
        <v>24</v>
      </c>
      <c r="AD89" s="9">
        <f t="shared" si="22"/>
        <v>1.42</v>
      </c>
      <c r="AE89" s="16">
        <f t="shared" si="23"/>
        <v>0.31794871794871798</v>
      </c>
      <c r="AF89" s="16">
        <f t="shared" si="24"/>
        <v>1.1071428571428572</v>
      </c>
      <c r="AG89" s="9"/>
      <c r="AH89" s="9"/>
      <c r="AI89" s="12">
        <f t="shared" si="25"/>
        <v>69.5</v>
      </c>
      <c r="AJ89" s="12">
        <f t="shared" si="26"/>
        <v>46.5</v>
      </c>
      <c r="AK89" s="12">
        <f t="shared" si="26"/>
        <v>89.4</v>
      </c>
      <c r="AL89" s="12">
        <f t="shared" si="26"/>
        <v>91.3</v>
      </c>
      <c r="AM89" s="12">
        <f t="shared" si="26"/>
        <v>91.9</v>
      </c>
      <c r="AN89" s="12">
        <f t="shared" si="18"/>
        <v>47.8</v>
      </c>
      <c r="AO89" s="12">
        <f t="shared" si="18"/>
        <v>45.9</v>
      </c>
      <c r="AP89" s="12">
        <f t="shared" si="18"/>
        <v>71.399999999999991</v>
      </c>
      <c r="AQ89" s="12">
        <f t="shared" si="18"/>
        <v>68.899999999999991</v>
      </c>
      <c r="AR89" s="12">
        <f t="shared" si="29"/>
        <v>13.600000000000001</v>
      </c>
      <c r="AS89" s="12">
        <f t="shared" si="29"/>
        <v>5.5</v>
      </c>
      <c r="AT89" s="12">
        <f t="shared" si="29"/>
        <v>68.899999999999991</v>
      </c>
      <c r="AU89" s="12">
        <f t="shared" si="27"/>
        <v>94.5</v>
      </c>
      <c r="AV89" s="12">
        <f t="shared" si="30"/>
        <v>59</v>
      </c>
      <c r="AW89" s="12">
        <f t="shared" si="30"/>
        <v>96.8</v>
      </c>
      <c r="AX89" s="12">
        <f t="shared" si="28"/>
        <v>29.200000000000003</v>
      </c>
      <c r="AY89" s="9"/>
      <c r="AZ89" s="12">
        <f t="shared" si="31"/>
        <v>88.8</v>
      </c>
      <c r="BA89" s="12">
        <f t="shared" si="31"/>
        <v>24.2</v>
      </c>
      <c r="BB89" s="12">
        <f t="shared" si="31"/>
        <v>76.3</v>
      </c>
      <c r="BC89" s="12">
        <f t="shared" si="31"/>
        <v>91.9</v>
      </c>
      <c r="BD89" s="12">
        <f t="shared" si="32"/>
        <v>91.3</v>
      </c>
      <c r="BE89" s="12">
        <f t="shared" si="19"/>
        <v>96.8</v>
      </c>
      <c r="BF89" s="12">
        <f t="shared" si="19"/>
        <v>94.399999999999991</v>
      </c>
      <c r="BG89" s="12">
        <f t="shared" si="19"/>
        <v>91.3</v>
      </c>
      <c r="BH89" s="12">
        <f t="shared" si="19"/>
        <v>10.5</v>
      </c>
      <c r="BI89" s="12">
        <f t="shared" si="20"/>
        <v>56.499999999999993</v>
      </c>
    </row>
    <row r="90" spans="1:61" ht="15.75" customHeight="1" x14ac:dyDescent="0.25">
      <c r="A90" s="1" t="s">
        <v>136</v>
      </c>
      <c r="B90" s="3" t="s">
        <v>101</v>
      </c>
      <c r="C90" s="4" t="s">
        <v>87</v>
      </c>
      <c r="D90" s="4">
        <v>7</v>
      </c>
      <c r="E90" s="4">
        <v>122</v>
      </c>
      <c r="F90" s="4">
        <v>7</v>
      </c>
      <c r="G90" s="4">
        <v>122</v>
      </c>
      <c r="H90" s="4">
        <v>8.3000000000000007</v>
      </c>
      <c r="I90" s="4">
        <v>0.379</v>
      </c>
      <c r="J90" s="4">
        <v>0.36399999999999999</v>
      </c>
      <c r="K90" s="4">
        <v>0.45500000000000002</v>
      </c>
      <c r="L90" s="4">
        <v>9.0999999999999998E-2</v>
      </c>
      <c r="M90" s="4">
        <v>9.8000000000000007</v>
      </c>
      <c r="N90" s="4">
        <v>12.3</v>
      </c>
      <c r="O90" s="4">
        <v>16</v>
      </c>
      <c r="P90" s="4">
        <v>3.4</v>
      </c>
      <c r="Q90" s="4">
        <v>2.8</v>
      </c>
      <c r="R90" s="4">
        <v>20.8</v>
      </c>
      <c r="S90" s="4">
        <v>16.2</v>
      </c>
      <c r="T90" s="4">
        <v>87</v>
      </c>
      <c r="U90" s="4">
        <v>105</v>
      </c>
      <c r="V90" s="4">
        <v>0</v>
      </c>
      <c r="W90" s="4">
        <v>-0.2</v>
      </c>
      <c r="X90" s="4">
        <v>0.2</v>
      </c>
      <c r="Y90" s="4">
        <v>0</v>
      </c>
      <c r="Z90" s="4">
        <v>6.0000000000000001E-3</v>
      </c>
      <c r="AA90" s="13">
        <f>(I90/TOTAL_BASIC!$D$301)*100</f>
        <v>67.897401947148822</v>
      </c>
      <c r="AB90" s="5">
        <f t="shared" si="21"/>
        <v>0.87</v>
      </c>
      <c r="AC90" s="3">
        <f t="shared" si="1"/>
        <v>-18</v>
      </c>
      <c r="AD90" s="9">
        <f t="shared" si="22"/>
        <v>0.75800000000000001</v>
      </c>
      <c r="AE90" s="16">
        <f t="shared" si="23"/>
        <v>0.98765432098765438</v>
      </c>
      <c r="AF90" s="16">
        <f t="shared" si="24"/>
        <v>0.76923076923076916</v>
      </c>
      <c r="AG90" s="9"/>
      <c r="AH90" s="9"/>
      <c r="AI90" s="12">
        <f t="shared" si="25"/>
        <v>47.199999999999996</v>
      </c>
      <c r="AJ90" s="12">
        <f t="shared" si="26"/>
        <v>45.9</v>
      </c>
      <c r="AK90" s="12">
        <f t="shared" si="26"/>
        <v>17.299999999999997</v>
      </c>
      <c r="AL90" s="12">
        <f t="shared" si="26"/>
        <v>6.2</v>
      </c>
      <c r="AM90" s="12">
        <f t="shared" si="26"/>
        <v>9.3000000000000007</v>
      </c>
      <c r="AN90" s="12">
        <f t="shared" si="18"/>
        <v>63.9</v>
      </c>
      <c r="AO90" s="12">
        <f t="shared" si="18"/>
        <v>10.5</v>
      </c>
      <c r="AP90" s="12">
        <f t="shared" si="18"/>
        <v>81.3</v>
      </c>
      <c r="AQ90" s="12">
        <f t="shared" si="18"/>
        <v>72</v>
      </c>
      <c r="AR90" s="12">
        <f t="shared" si="29"/>
        <v>65.8</v>
      </c>
      <c r="AS90" s="12">
        <f t="shared" si="29"/>
        <v>94.399999999999991</v>
      </c>
      <c r="AT90" s="12">
        <f t="shared" si="29"/>
        <v>75.099999999999994</v>
      </c>
      <c r="AU90" s="12">
        <f t="shared" si="27"/>
        <v>22.399999999999991</v>
      </c>
      <c r="AV90" s="12">
        <f t="shared" si="30"/>
        <v>31</v>
      </c>
      <c r="AW90" s="12">
        <f t="shared" si="30"/>
        <v>8</v>
      </c>
      <c r="AX90" s="12">
        <f t="shared" si="28"/>
        <v>70.900000000000006</v>
      </c>
      <c r="AY90" s="9"/>
      <c r="AZ90" s="12">
        <f t="shared" si="31"/>
        <v>5.5</v>
      </c>
      <c r="BA90" s="12">
        <f t="shared" si="31"/>
        <v>57.099999999999994</v>
      </c>
      <c r="BB90" s="12">
        <f t="shared" si="31"/>
        <v>12.4</v>
      </c>
      <c r="BC90" s="12">
        <f t="shared" si="31"/>
        <v>22.900000000000002</v>
      </c>
      <c r="BD90" s="12">
        <f t="shared" si="32"/>
        <v>6.2</v>
      </c>
      <c r="BE90" s="12">
        <f t="shared" si="19"/>
        <v>8</v>
      </c>
      <c r="BF90" s="12">
        <f t="shared" si="19"/>
        <v>16.100000000000001</v>
      </c>
      <c r="BG90" s="12">
        <f t="shared" si="19"/>
        <v>6.2</v>
      </c>
      <c r="BH90" s="12">
        <f t="shared" si="19"/>
        <v>69.5</v>
      </c>
      <c r="BI90" s="12">
        <f t="shared" si="20"/>
        <v>40.300000000000004</v>
      </c>
    </row>
    <row r="91" spans="1:61" ht="15.75" customHeight="1" x14ac:dyDescent="0.25">
      <c r="A91" s="1" t="s">
        <v>219</v>
      </c>
      <c r="B91" s="3" t="s">
        <v>133</v>
      </c>
      <c r="C91" s="4" t="s">
        <v>187</v>
      </c>
      <c r="D91" s="4">
        <v>7</v>
      </c>
      <c r="E91" s="4">
        <v>119</v>
      </c>
      <c r="F91" s="4">
        <v>7</v>
      </c>
      <c r="G91" s="4">
        <v>119</v>
      </c>
      <c r="H91" s="4">
        <v>13.8</v>
      </c>
      <c r="I91" s="4">
        <v>0.48</v>
      </c>
      <c r="J91" s="4">
        <v>0.48299999999999998</v>
      </c>
      <c r="K91" s="4">
        <v>0</v>
      </c>
      <c r="L91" s="4">
        <v>0.58599999999999997</v>
      </c>
      <c r="M91" s="4">
        <v>12.7</v>
      </c>
      <c r="N91" s="4">
        <v>15.9</v>
      </c>
      <c r="O91" s="4">
        <v>10.8</v>
      </c>
      <c r="P91" s="4">
        <v>1.2</v>
      </c>
      <c r="Q91" s="4">
        <v>4.3</v>
      </c>
      <c r="R91" s="4">
        <v>16.100000000000001</v>
      </c>
      <c r="S91" s="4">
        <v>15.9</v>
      </c>
      <c r="T91" s="4">
        <v>100</v>
      </c>
      <c r="U91" s="4">
        <v>107</v>
      </c>
      <c r="V91" s="4">
        <v>0</v>
      </c>
      <c r="W91" s="4">
        <v>0</v>
      </c>
      <c r="X91" s="4">
        <v>0.2</v>
      </c>
      <c r="Y91" s="4">
        <v>0.2</v>
      </c>
      <c r="Z91" s="4">
        <v>5.8999999999999997E-2</v>
      </c>
      <c r="AA91" s="13">
        <f>(I91/TOTAL_BASIC!$D$301)*100</f>
        <v>85.991432545201661</v>
      </c>
      <c r="AB91" s="5">
        <f t="shared" si="21"/>
        <v>1</v>
      </c>
      <c r="AC91" s="3">
        <f t="shared" si="1"/>
        <v>-7</v>
      </c>
      <c r="AD91" s="9">
        <f t="shared" si="22"/>
        <v>0.96</v>
      </c>
      <c r="AE91" s="16">
        <f t="shared" si="23"/>
        <v>0.679245283018868</v>
      </c>
      <c r="AF91" s="16">
        <f t="shared" si="24"/>
        <v>0.670807453416149</v>
      </c>
      <c r="AG91" s="9"/>
      <c r="AH91" s="9"/>
      <c r="AI91" s="12">
        <f t="shared" si="25"/>
        <v>47.199999999999996</v>
      </c>
      <c r="AJ91" s="12">
        <f t="shared" si="26"/>
        <v>45.300000000000004</v>
      </c>
      <c r="AK91" s="12">
        <f t="shared" si="26"/>
        <v>47.8</v>
      </c>
      <c r="AL91" s="12">
        <f t="shared" si="26"/>
        <v>20.399999999999999</v>
      </c>
      <c r="AM91" s="12">
        <f t="shared" si="26"/>
        <v>35.4</v>
      </c>
      <c r="AN91" s="12">
        <f t="shared" si="18"/>
        <v>0</v>
      </c>
      <c r="AO91" s="12">
        <f t="shared" si="18"/>
        <v>89.4</v>
      </c>
      <c r="AP91" s="12">
        <f t="shared" si="18"/>
        <v>91.9</v>
      </c>
      <c r="AQ91" s="12">
        <f t="shared" si="18"/>
        <v>85</v>
      </c>
      <c r="AR91" s="12">
        <f t="shared" si="29"/>
        <v>39.700000000000003</v>
      </c>
      <c r="AS91" s="12">
        <f t="shared" si="29"/>
        <v>25.4</v>
      </c>
      <c r="AT91" s="12">
        <f t="shared" si="29"/>
        <v>87.5</v>
      </c>
      <c r="AU91" s="12">
        <f t="shared" si="27"/>
        <v>38.6</v>
      </c>
      <c r="AV91" s="12">
        <f t="shared" si="30"/>
        <v>28.499999999999996</v>
      </c>
      <c r="AW91" s="12">
        <f t="shared" si="30"/>
        <v>32.9</v>
      </c>
      <c r="AX91" s="12">
        <f t="shared" si="28"/>
        <v>60.9</v>
      </c>
      <c r="AY91" s="9"/>
      <c r="AZ91" s="12">
        <f t="shared" si="31"/>
        <v>22.3</v>
      </c>
      <c r="BA91" s="12">
        <f t="shared" si="31"/>
        <v>57.099999999999994</v>
      </c>
      <c r="BB91" s="12">
        <f t="shared" si="31"/>
        <v>39.700000000000003</v>
      </c>
      <c r="BC91" s="12">
        <f t="shared" si="31"/>
        <v>36</v>
      </c>
      <c r="BD91" s="12">
        <f t="shared" si="32"/>
        <v>20.399999999999999</v>
      </c>
      <c r="BE91" s="12">
        <f t="shared" si="19"/>
        <v>32.9</v>
      </c>
      <c r="BF91" s="12">
        <f t="shared" si="19"/>
        <v>35.4</v>
      </c>
      <c r="BG91" s="12">
        <f t="shared" si="19"/>
        <v>20.399999999999999</v>
      </c>
      <c r="BH91" s="12">
        <f t="shared" si="19"/>
        <v>49</v>
      </c>
      <c r="BI91" s="12">
        <f t="shared" si="20"/>
        <v>32.9</v>
      </c>
    </row>
    <row r="92" spans="1:61" ht="15.75" customHeight="1" x14ac:dyDescent="0.25">
      <c r="A92" s="1" t="s">
        <v>132</v>
      </c>
      <c r="B92" s="3" t="s">
        <v>133</v>
      </c>
      <c r="C92" s="4" t="s">
        <v>87</v>
      </c>
      <c r="D92" s="4">
        <v>4</v>
      </c>
      <c r="E92" s="4">
        <v>118</v>
      </c>
      <c r="F92" s="4">
        <v>4</v>
      </c>
      <c r="G92" s="4">
        <v>118</v>
      </c>
      <c r="H92" s="4">
        <v>17.2</v>
      </c>
      <c r="I92" s="4">
        <v>0.51700000000000002</v>
      </c>
      <c r="J92" s="4">
        <v>0.45</v>
      </c>
      <c r="K92" s="4">
        <v>0.35</v>
      </c>
      <c r="L92" s="4">
        <v>0.36699999999999999</v>
      </c>
      <c r="M92" s="4">
        <v>3.7</v>
      </c>
      <c r="N92" s="4">
        <v>8.9</v>
      </c>
      <c r="O92" s="4">
        <v>12.6</v>
      </c>
      <c r="P92" s="4">
        <v>0.4</v>
      </c>
      <c r="Q92" s="4">
        <v>5</v>
      </c>
      <c r="R92" s="4">
        <v>10.3</v>
      </c>
      <c r="S92" s="4">
        <v>28.7</v>
      </c>
      <c r="T92" s="4">
        <v>100</v>
      </c>
      <c r="U92" s="4">
        <v>110</v>
      </c>
      <c r="V92" s="4">
        <v>0</v>
      </c>
      <c r="W92" s="4">
        <v>0</v>
      </c>
      <c r="X92" s="4">
        <v>0.1</v>
      </c>
      <c r="Y92" s="4">
        <v>0.1</v>
      </c>
      <c r="Z92" s="4">
        <v>4.7E-2</v>
      </c>
      <c r="AA92" s="13">
        <f>(I92/TOTAL_BASIC!$D$301)*100</f>
        <v>92.6199388038943</v>
      </c>
      <c r="AB92" s="5">
        <f t="shared" si="21"/>
        <v>1</v>
      </c>
      <c r="AC92" s="3">
        <f t="shared" si="1"/>
        <v>-10</v>
      </c>
      <c r="AD92" s="9">
        <f t="shared" si="22"/>
        <v>1.034</v>
      </c>
      <c r="AE92" s="16">
        <f t="shared" si="23"/>
        <v>0.43902439024390244</v>
      </c>
      <c r="AF92" s="16">
        <f t="shared" si="24"/>
        <v>1.2233009708737863</v>
      </c>
      <c r="AG92" s="9"/>
      <c r="AH92" s="9"/>
      <c r="AI92" s="12">
        <f t="shared" si="25"/>
        <v>10.5</v>
      </c>
      <c r="AJ92" s="12">
        <f t="shared" si="26"/>
        <v>44.7</v>
      </c>
      <c r="AK92" s="12">
        <f t="shared" si="26"/>
        <v>68.300000000000011</v>
      </c>
      <c r="AL92" s="12">
        <f t="shared" si="26"/>
        <v>33.5</v>
      </c>
      <c r="AM92" s="12">
        <f t="shared" si="26"/>
        <v>26.700000000000003</v>
      </c>
      <c r="AN92" s="12">
        <f t="shared" si="18"/>
        <v>41.6</v>
      </c>
      <c r="AO92" s="12">
        <f t="shared" si="18"/>
        <v>64.5</v>
      </c>
      <c r="AP92" s="12">
        <f t="shared" si="18"/>
        <v>45.300000000000004</v>
      </c>
      <c r="AQ92" s="12">
        <f t="shared" si="18"/>
        <v>51.5</v>
      </c>
      <c r="AR92" s="12">
        <f t="shared" si="29"/>
        <v>48.4</v>
      </c>
      <c r="AS92" s="12">
        <f t="shared" si="29"/>
        <v>5.5</v>
      </c>
      <c r="AT92" s="12">
        <f t="shared" si="29"/>
        <v>89.4</v>
      </c>
      <c r="AU92" s="12">
        <f t="shared" si="27"/>
        <v>78.3</v>
      </c>
      <c r="AV92" s="12">
        <f t="shared" si="30"/>
        <v>91.9</v>
      </c>
      <c r="AW92" s="12">
        <f t="shared" si="30"/>
        <v>32.9</v>
      </c>
      <c r="AX92" s="12">
        <f t="shared" si="28"/>
        <v>41</v>
      </c>
      <c r="AY92" s="9"/>
      <c r="AZ92" s="12">
        <f t="shared" si="31"/>
        <v>22.3</v>
      </c>
      <c r="BA92" s="12">
        <f t="shared" si="31"/>
        <v>24.2</v>
      </c>
      <c r="BB92" s="12">
        <f t="shared" si="31"/>
        <v>27.3</v>
      </c>
      <c r="BC92" s="12">
        <f t="shared" si="31"/>
        <v>32.200000000000003</v>
      </c>
      <c r="BD92" s="12">
        <f t="shared" si="32"/>
        <v>33.5</v>
      </c>
      <c r="BE92" s="12">
        <f t="shared" si="19"/>
        <v>32.9</v>
      </c>
      <c r="BF92" s="12">
        <f t="shared" si="19"/>
        <v>29.099999999999998</v>
      </c>
      <c r="BG92" s="12">
        <f t="shared" si="19"/>
        <v>33.5</v>
      </c>
      <c r="BH92" s="12">
        <f t="shared" si="19"/>
        <v>21.7</v>
      </c>
      <c r="BI92" s="12">
        <f t="shared" si="20"/>
        <v>63.9</v>
      </c>
    </row>
    <row r="93" spans="1:61" ht="15.75" customHeight="1" x14ac:dyDescent="0.25">
      <c r="A93" s="1" t="s">
        <v>185</v>
      </c>
      <c r="B93" s="3" t="s">
        <v>119</v>
      </c>
      <c r="C93" s="4" t="s">
        <v>87</v>
      </c>
      <c r="D93" s="4">
        <v>7</v>
      </c>
      <c r="E93" s="4">
        <v>112</v>
      </c>
      <c r="F93" s="4">
        <v>7</v>
      </c>
      <c r="G93" s="4">
        <v>112</v>
      </c>
      <c r="H93" s="4">
        <v>8.9</v>
      </c>
      <c r="I93" s="4">
        <v>0.53100000000000003</v>
      </c>
      <c r="J93" s="4">
        <v>0.52900000000000003</v>
      </c>
      <c r="K93" s="4">
        <v>0.35299999999999998</v>
      </c>
      <c r="L93" s="4">
        <v>0.11799999999999999</v>
      </c>
      <c r="M93" s="4">
        <v>4.3</v>
      </c>
      <c r="N93" s="4">
        <v>9.1999999999999993</v>
      </c>
      <c r="O93" s="4">
        <v>10</v>
      </c>
      <c r="P93" s="4">
        <v>1.7</v>
      </c>
      <c r="Q93" s="4">
        <v>1.4</v>
      </c>
      <c r="R93" s="4">
        <v>21.9</v>
      </c>
      <c r="S93" s="4">
        <v>8.8000000000000007</v>
      </c>
      <c r="T93" s="4">
        <v>102</v>
      </c>
      <c r="U93" s="4">
        <v>108</v>
      </c>
      <c r="V93" s="4">
        <v>0</v>
      </c>
      <c r="W93" s="4">
        <v>0</v>
      </c>
      <c r="X93" s="4">
        <v>0.1</v>
      </c>
      <c r="Y93" s="4">
        <v>0.2</v>
      </c>
      <c r="Z93" s="4">
        <v>5.8999999999999997E-2</v>
      </c>
      <c r="AA93" s="13">
        <f>(I93/TOTAL_BASIC!$D$301)*100</f>
        <v>95.128022253129359</v>
      </c>
      <c r="AB93" s="5">
        <f t="shared" si="21"/>
        <v>1.02</v>
      </c>
      <c r="AC93" s="3">
        <f t="shared" si="1"/>
        <v>-6</v>
      </c>
      <c r="AD93" s="9">
        <f t="shared" si="22"/>
        <v>1.0620000000000001</v>
      </c>
      <c r="AE93" s="16">
        <f t="shared" si="23"/>
        <v>1.1363636363636362</v>
      </c>
      <c r="AF93" s="16">
        <f t="shared" si="24"/>
        <v>0.45662100456621008</v>
      </c>
      <c r="AG93" s="9"/>
      <c r="AH93" s="9"/>
      <c r="AI93" s="12">
        <f t="shared" si="25"/>
        <v>47.199999999999996</v>
      </c>
      <c r="AJ93" s="12">
        <f t="shared" si="26"/>
        <v>44</v>
      </c>
      <c r="AK93" s="12">
        <f t="shared" si="26"/>
        <v>19.8</v>
      </c>
      <c r="AL93" s="12">
        <f t="shared" si="26"/>
        <v>39.1</v>
      </c>
      <c r="AM93" s="12">
        <f t="shared" si="26"/>
        <v>54.6</v>
      </c>
      <c r="AN93" s="12">
        <f t="shared" si="18"/>
        <v>42.199999999999996</v>
      </c>
      <c r="AO93" s="12">
        <f t="shared" si="18"/>
        <v>14.899999999999999</v>
      </c>
      <c r="AP93" s="12">
        <f t="shared" si="18"/>
        <v>52.1</v>
      </c>
      <c r="AQ93" s="12">
        <f t="shared" si="18"/>
        <v>55.2</v>
      </c>
      <c r="AR93" s="12">
        <f t="shared" si="29"/>
        <v>36</v>
      </c>
      <c r="AS93" s="12">
        <f t="shared" si="29"/>
        <v>52.1</v>
      </c>
      <c r="AT93" s="12">
        <f t="shared" si="29"/>
        <v>50.9</v>
      </c>
      <c r="AU93" s="12">
        <f t="shared" si="27"/>
        <v>16.799999999999997</v>
      </c>
      <c r="AV93" s="12">
        <f t="shared" si="30"/>
        <v>1.7999999999999998</v>
      </c>
      <c r="AW93" s="12">
        <f t="shared" si="30"/>
        <v>36</v>
      </c>
      <c r="AX93" s="12">
        <f t="shared" si="28"/>
        <v>56</v>
      </c>
      <c r="AY93" s="9"/>
      <c r="AZ93" s="12">
        <f t="shared" si="31"/>
        <v>22.3</v>
      </c>
      <c r="BA93" s="12">
        <f t="shared" si="31"/>
        <v>24.2</v>
      </c>
      <c r="BB93" s="12">
        <f t="shared" si="31"/>
        <v>39.700000000000003</v>
      </c>
      <c r="BC93" s="12">
        <f t="shared" si="31"/>
        <v>36</v>
      </c>
      <c r="BD93" s="12">
        <f t="shared" si="32"/>
        <v>39.1</v>
      </c>
      <c r="BE93" s="12">
        <f t="shared" si="19"/>
        <v>36</v>
      </c>
      <c r="BF93" s="12">
        <f t="shared" si="19"/>
        <v>38.5</v>
      </c>
      <c r="BG93" s="12">
        <f t="shared" si="19"/>
        <v>39.1</v>
      </c>
      <c r="BH93" s="12">
        <f t="shared" si="19"/>
        <v>77.600000000000009</v>
      </c>
      <c r="BI93" s="12">
        <f t="shared" si="20"/>
        <v>18.600000000000001</v>
      </c>
    </row>
    <row r="94" spans="1:61" ht="15.75" customHeight="1" x14ac:dyDescent="0.25">
      <c r="A94" s="1" t="s">
        <v>197</v>
      </c>
      <c r="B94" s="3" t="s">
        <v>93</v>
      </c>
      <c r="C94" s="4" t="s">
        <v>8</v>
      </c>
      <c r="D94" s="4">
        <v>7</v>
      </c>
      <c r="E94" s="4">
        <v>111</v>
      </c>
      <c r="F94" s="4">
        <v>7</v>
      </c>
      <c r="G94" s="4">
        <v>111</v>
      </c>
      <c r="H94" s="4">
        <v>14.9</v>
      </c>
      <c r="I94" s="4">
        <v>0.56699999999999995</v>
      </c>
      <c r="J94" s="4">
        <v>0.51200000000000001</v>
      </c>
      <c r="K94" s="4">
        <v>0.19500000000000001</v>
      </c>
      <c r="L94" s="4">
        <v>0.26800000000000002</v>
      </c>
      <c r="M94" s="4">
        <v>4.9000000000000004</v>
      </c>
      <c r="N94" s="4">
        <v>7.3</v>
      </c>
      <c r="O94" s="4">
        <v>16.100000000000001</v>
      </c>
      <c r="P94" s="4">
        <v>0.5</v>
      </c>
      <c r="Q94" s="4">
        <v>0</v>
      </c>
      <c r="R94" s="4">
        <v>11.6</v>
      </c>
      <c r="S94" s="4">
        <v>20.5</v>
      </c>
      <c r="T94" s="4">
        <v>114</v>
      </c>
      <c r="U94" s="4">
        <v>107</v>
      </c>
      <c r="V94" s="4">
        <v>0</v>
      </c>
      <c r="W94" s="4">
        <v>0.2</v>
      </c>
      <c r="X94" s="4">
        <v>0.2</v>
      </c>
      <c r="Y94" s="4">
        <v>0.4</v>
      </c>
      <c r="Z94" s="4">
        <v>0.14099999999999999</v>
      </c>
      <c r="AA94" s="13">
        <f>(I94/TOTAL_BASIC!$D$301)*100</f>
        <v>101.57737969401946</v>
      </c>
      <c r="AB94" s="5">
        <f t="shared" si="21"/>
        <v>1.1399999999999999</v>
      </c>
      <c r="AC94" s="3">
        <f t="shared" si="1"/>
        <v>7</v>
      </c>
      <c r="AD94" s="9">
        <f t="shared" si="22"/>
        <v>1.1339999999999999</v>
      </c>
      <c r="AE94" s="16">
        <f t="shared" si="23"/>
        <v>0.78536585365853662</v>
      </c>
      <c r="AF94" s="16">
        <f t="shared" si="24"/>
        <v>1.3879310344827589</v>
      </c>
      <c r="AG94" s="9"/>
      <c r="AH94" s="9"/>
      <c r="AI94" s="12">
        <f t="shared" si="25"/>
        <v>47.199999999999996</v>
      </c>
      <c r="AJ94" s="12">
        <f t="shared" si="26"/>
        <v>42.199999999999996</v>
      </c>
      <c r="AK94" s="12">
        <f t="shared" si="26"/>
        <v>55.900000000000006</v>
      </c>
      <c r="AL94" s="12">
        <f t="shared" si="26"/>
        <v>51.5</v>
      </c>
      <c r="AM94" s="12">
        <f t="shared" si="26"/>
        <v>49</v>
      </c>
      <c r="AN94" s="12">
        <f t="shared" si="18"/>
        <v>21.099999999999998</v>
      </c>
      <c r="AO94" s="12">
        <f t="shared" si="18"/>
        <v>41.6</v>
      </c>
      <c r="AP94" s="12">
        <f t="shared" si="18"/>
        <v>59.599999999999994</v>
      </c>
      <c r="AQ94" s="12">
        <f t="shared" si="18"/>
        <v>34.1</v>
      </c>
      <c r="AR94" s="12">
        <f t="shared" si="29"/>
        <v>67</v>
      </c>
      <c r="AS94" s="12">
        <f t="shared" si="29"/>
        <v>6.8000000000000007</v>
      </c>
      <c r="AT94" s="12">
        <f t="shared" si="29"/>
        <v>0</v>
      </c>
      <c r="AU94" s="12">
        <f t="shared" si="27"/>
        <v>69</v>
      </c>
      <c r="AV94" s="12">
        <f t="shared" si="30"/>
        <v>63.9</v>
      </c>
      <c r="AW94" s="12">
        <f t="shared" si="30"/>
        <v>67</v>
      </c>
      <c r="AX94" s="12">
        <f t="shared" si="28"/>
        <v>60.9</v>
      </c>
      <c r="AY94" s="9"/>
      <c r="AZ94" s="12">
        <f t="shared" si="31"/>
        <v>57.099999999999994</v>
      </c>
      <c r="BA94" s="12">
        <f t="shared" si="31"/>
        <v>57.099999999999994</v>
      </c>
      <c r="BB94" s="12">
        <f t="shared" si="31"/>
        <v>62.1</v>
      </c>
      <c r="BC94" s="12">
        <f t="shared" si="31"/>
        <v>68.899999999999991</v>
      </c>
      <c r="BD94" s="12">
        <f t="shared" si="32"/>
        <v>51.5</v>
      </c>
      <c r="BE94" s="12">
        <f t="shared" si="19"/>
        <v>67</v>
      </c>
      <c r="BF94" s="12">
        <f t="shared" si="19"/>
        <v>64.5</v>
      </c>
      <c r="BG94" s="12">
        <f t="shared" si="19"/>
        <v>51.5</v>
      </c>
      <c r="BH94" s="12">
        <f t="shared" si="19"/>
        <v>57.699999999999996</v>
      </c>
      <c r="BI94" s="12">
        <f t="shared" si="20"/>
        <v>72.599999999999994</v>
      </c>
    </row>
    <row r="95" spans="1:61" ht="15.75" customHeight="1" x14ac:dyDescent="0.25">
      <c r="A95" s="1" t="s">
        <v>242</v>
      </c>
      <c r="B95" s="3" t="s">
        <v>109</v>
      </c>
      <c r="C95" s="4" t="s">
        <v>87</v>
      </c>
      <c r="D95" s="4">
        <v>6</v>
      </c>
      <c r="E95" s="4">
        <v>111</v>
      </c>
      <c r="F95" s="4">
        <v>6</v>
      </c>
      <c r="G95" s="4">
        <v>111</v>
      </c>
      <c r="H95" s="4">
        <v>13.6</v>
      </c>
      <c r="I95" s="4">
        <v>0.52200000000000002</v>
      </c>
      <c r="J95" s="4">
        <v>0.5</v>
      </c>
      <c r="K95" s="4">
        <v>7.0999999999999994E-2</v>
      </c>
      <c r="L95" s="4">
        <v>0.214</v>
      </c>
      <c r="M95" s="4">
        <v>9</v>
      </c>
      <c r="N95" s="4">
        <v>12.5</v>
      </c>
      <c r="O95" s="4">
        <v>8.8000000000000007</v>
      </c>
      <c r="P95" s="4">
        <v>3.2</v>
      </c>
      <c r="Q95" s="4">
        <v>2.7</v>
      </c>
      <c r="R95" s="4">
        <v>20.7</v>
      </c>
      <c r="S95" s="4">
        <v>22.5</v>
      </c>
      <c r="T95" s="4">
        <v>90</v>
      </c>
      <c r="U95" s="4">
        <v>108</v>
      </c>
      <c r="V95" s="4">
        <v>0</v>
      </c>
      <c r="W95" s="4">
        <v>-0.2</v>
      </c>
      <c r="X95" s="4">
        <v>0.1</v>
      </c>
      <c r="Y95" s="4">
        <v>0</v>
      </c>
      <c r="Z95" s="4">
        <v>-0.01</v>
      </c>
      <c r="AA95" s="13">
        <f>(I95/TOTAL_BASIC!$D$301)*100</f>
        <v>93.51568289290681</v>
      </c>
      <c r="AB95" s="5">
        <f t="shared" si="21"/>
        <v>0.9</v>
      </c>
      <c r="AC95" s="3">
        <f t="shared" si="1"/>
        <v>-18</v>
      </c>
      <c r="AD95" s="9">
        <f t="shared" si="22"/>
        <v>1.044</v>
      </c>
      <c r="AE95" s="16">
        <f t="shared" si="23"/>
        <v>0.39111111111111113</v>
      </c>
      <c r="AF95" s="16">
        <f t="shared" si="24"/>
        <v>0.42512077294685996</v>
      </c>
      <c r="AG95" s="9"/>
      <c r="AH95" s="9"/>
      <c r="AI95" s="12">
        <f t="shared" si="25"/>
        <v>25.4</v>
      </c>
      <c r="AJ95" s="12">
        <f t="shared" si="26"/>
        <v>42.199999999999996</v>
      </c>
      <c r="AK95" s="12">
        <f t="shared" si="26"/>
        <v>46.5</v>
      </c>
      <c r="AL95" s="12">
        <f t="shared" si="26"/>
        <v>35.4</v>
      </c>
      <c r="AM95" s="12">
        <f t="shared" si="26"/>
        <v>40.9</v>
      </c>
      <c r="AN95" s="12">
        <f t="shared" si="18"/>
        <v>10.5</v>
      </c>
      <c r="AO95" s="12">
        <f t="shared" si="18"/>
        <v>31</v>
      </c>
      <c r="AP95" s="12">
        <f t="shared" si="18"/>
        <v>78.8</v>
      </c>
      <c r="AQ95" s="12">
        <f t="shared" si="18"/>
        <v>73.900000000000006</v>
      </c>
      <c r="AR95" s="12">
        <f t="shared" si="29"/>
        <v>29.799999999999997</v>
      </c>
      <c r="AS95" s="12">
        <f t="shared" si="29"/>
        <v>91.3</v>
      </c>
      <c r="AT95" s="12">
        <f t="shared" si="29"/>
        <v>71.399999999999991</v>
      </c>
      <c r="AU95" s="12">
        <f t="shared" si="27"/>
        <v>23</v>
      </c>
      <c r="AV95" s="12">
        <f t="shared" si="30"/>
        <v>72.599999999999994</v>
      </c>
      <c r="AW95" s="12">
        <f t="shared" si="30"/>
        <v>14.899999999999999</v>
      </c>
      <c r="AX95" s="12">
        <f t="shared" si="28"/>
        <v>56</v>
      </c>
      <c r="AY95" s="9"/>
      <c r="AZ95" s="12">
        <f t="shared" si="31"/>
        <v>5.5</v>
      </c>
      <c r="BA95" s="12">
        <f t="shared" si="31"/>
        <v>24.2</v>
      </c>
      <c r="BB95" s="12">
        <f t="shared" si="31"/>
        <v>12.4</v>
      </c>
      <c r="BC95" s="12">
        <f t="shared" si="31"/>
        <v>16.100000000000001</v>
      </c>
      <c r="BD95" s="12">
        <f t="shared" si="32"/>
        <v>35.4</v>
      </c>
      <c r="BE95" s="12">
        <f t="shared" si="19"/>
        <v>14.899999999999999</v>
      </c>
      <c r="BF95" s="12">
        <f t="shared" si="19"/>
        <v>16.100000000000001</v>
      </c>
      <c r="BG95" s="12">
        <f t="shared" si="19"/>
        <v>35.4</v>
      </c>
      <c r="BH95" s="12">
        <f t="shared" si="19"/>
        <v>16.7</v>
      </c>
      <c r="BI95" s="12">
        <f t="shared" si="20"/>
        <v>14.2</v>
      </c>
    </row>
    <row r="96" spans="1:61" ht="15.75" customHeight="1" x14ac:dyDescent="0.25">
      <c r="A96" s="1" t="s">
        <v>231</v>
      </c>
      <c r="B96" s="4" t="s">
        <v>101</v>
      </c>
      <c r="C96" s="4" t="s">
        <v>87</v>
      </c>
      <c r="D96" s="4">
        <v>8</v>
      </c>
      <c r="E96" s="4">
        <v>111</v>
      </c>
      <c r="F96" s="4">
        <v>8</v>
      </c>
      <c r="G96" s="4">
        <v>111</v>
      </c>
      <c r="H96" s="4">
        <v>25.2</v>
      </c>
      <c r="I96" s="4">
        <v>0.80200000000000005</v>
      </c>
      <c r="J96" s="4">
        <v>0.78800000000000003</v>
      </c>
      <c r="K96" s="4">
        <v>0.5</v>
      </c>
      <c r="L96" s="4">
        <v>0.61499999999999999</v>
      </c>
      <c r="M96" s="4">
        <v>4.3</v>
      </c>
      <c r="N96" s="4">
        <v>13.5</v>
      </c>
      <c r="O96" s="4">
        <v>9.6999999999999993</v>
      </c>
      <c r="P96" s="4">
        <v>2.2999999999999998</v>
      </c>
      <c r="Q96" s="4">
        <v>5.4</v>
      </c>
      <c r="R96" s="4">
        <v>15.4</v>
      </c>
      <c r="S96" s="4">
        <v>16</v>
      </c>
      <c r="T96" s="4">
        <v>136</v>
      </c>
      <c r="U96" s="4">
        <v>104</v>
      </c>
      <c r="V96" s="4">
        <v>0</v>
      </c>
      <c r="W96" s="4">
        <v>0.4</v>
      </c>
      <c r="X96" s="4">
        <v>0.2</v>
      </c>
      <c r="Y96" s="4">
        <v>0.6</v>
      </c>
      <c r="Z96" s="4">
        <v>0.23400000000000001</v>
      </c>
      <c r="AA96" s="13">
        <f>(I96/TOTAL_BASIC!$D$301)*100</f>
        <v>143.6773518776078</v>
      </c>
      <c r="AB96" s="5">
        <f t="shared" si="21"/>
        <v>1.36</v>
      </c>
      <c r="AC96" s="3">
        <f t="shared" si="1"/>
        <v>32</v>
      </c>
      <c r="AD96" s="9">
        <f t="shared" si="22"/>
        <v>1.6040000000000001</v>
      </c>
      <c r="AE96" s="16">
        <f t="shared" si="23"/>
        <v>0.60624999999999996</v>
      </c>
      <c r="AF96" s="16">
        <f t="shared" si="24"/>
        <v>0.6298701298701298</v>
      </c>
      <c r="AG96" s="9"/>
      <c r="AH96" s="9"/>
      <c r="AI96" s="12">
        <f t="shared" si="25"/>
        <v>69.5</v>
      </c>
      <c r="AJ96" s="12">
        <f t="shared" si="26"/>
        <v>42.199999999999996</v>
      </c>
      <c r="AK96" s="12">
        <f t="shared" si="26"/>
        <v>96.8</v>
      </c>
      <c r="AL96" s="12">
        <f t="shared" si="26"/>
        <v>98.7</v>
      </c>
      <c r="AM96" s="12">
        <f t="shared" si="26"/>
        <v>98.7</v>
      </c>
      <c r="AN96" s="12">
        <f t="shared" si="18"/>
        <v>72</v>
      </c>
      <c r="AO96" s="12">
        <f t="shared" si="18"/>
        <v>91.3</v>
      </c>
      <c r="AP96" s="12">
        <f t="shared" si="18"/>
        <v>52.1</v>
      </c>
      <c r="AQ96" s="12">
        <f t="shared" si="18"/>
        <v>78.2</v>
      </c>
      <c r="AR96" s="12">
        <f t="shared" si="29"/>
        <v>34.699999999999996</v>
      </c>
      <c r="AS96" s="12">
        <f t="shared" si="29"/>
        <v>70.099999999999994</v>
      </c>
      <c r="AT96" s="12">
        <f t="shared" si="29"/>
        <v>90.600000000000009</v>
      </c>
      <c r="AU96" s="12">
        <f t="shared" si="27"/>
        <v>43.500000000000007</v>
      </c>
      <c r="AV96" s="12">
        <f t="shared" si="30"/>
        <v>29.099999999999998</v>
      </c>
      <c r="AW96" s="12">
        <f t="shared" si="30"/>
        <v>96.8</v>
      </c>
      <c r="AX96" s="12">
        <f t="shared" si="28"/>
        <v>76.400000000000006</v>
      </c>
      <c r="AY96" s="9"/>
      <c r="AZ96" s="12">
        <f t="shared" si="31"/>
        <v>74.5</v>
      </c>
      <c r="BA96" s="12">
        <f t="shared" si="31"/>
        <v>57.099999999999994</v>
      </c>
      <c r="BB96" s="12">
        <f t="shared" si="31"/>
        <v>72</v>
      </c>
      <c r="BC96" s="12">
        <f t="shared" si="31"/>
        <v>96.2</v>
      </c>
      <c r="BD96" s="12">
        <f t="shared" si="32"/>
        <v>98.7</v>
      </c>
      <c r="BE96" s="12">
        <f t="shared" si="19"/>
        <v>96.8</v>
      </c>
      <c r="BF96" s="12">
        <f t="shared" si="19"/>
        <v>98.1</v>
      </c>
      <c r="BG96" s="12">
        <f t="shared" si="19"/>
        <v>98.7</v>
      </c>
      <c r="BH96" s="12">
        <f t="shared" si="19"/>
        <v>43.4</v>
      </c>
      <c r="BI96" s="12">
        <f t="shared" si="20"/>
        <v>28.499999999999996</v>
      </c>
    </row>
    <row r="97" spans="1:61" ht="15.75" customHeight="1" x14ac:dyDescent="0.25">
      <c r="A97" s="1" t="s">
        <v>223</v>
      </c>
      <c r="B97" s="3" t="s">
        <v>133</v>
      </c>
      <c r="C97" s="4" t="s">
        <v>8</v>
      </c>
      <c r="D97" s="4">
        <v>7</v>
      </c>
      <c r="E97" s="4">
        <v>110</v>
      </c>
      <c r="F97" s="4">
        <v>7</v>
      </c>
      <c r="G97" s="4">
        <v>110</v>
      </c>
      <c r="H97" s="4">
        <v>5</v>
      </c>
      <c r="I97" s="4">
        <v>0.49</v>
      </c>
      <c r="J97" s="4">
        <v>0.47199999999999998</v>
      </c>
      <c r="K97" s="4">
        <v>0.72199999999999998</v>
      </c>
      <c r="L97" s="4">
        <v>0.111</v>
      </c>
      <c r="M97" s="4">
        <v>0</v>
      </c>
      <c r="N97" s="4">
        <v>1</v>
      </c>
      <c r="O97" s="4">
        <v>11.6</v>
      </c>
      <c r="P97" s="4">
        <v>0.9</v>
      </c>
      <c r="Q97" s="4">
        <v>0.8</v>
      </c>
      <c r="R97" s="4">
        <v>15.6</v>
      </c>
      <c r="S97" s="4">
        <v>17.7</v>
      </c>
      <c r="T97" s="4">
        <v>88</v>
      </c>
      <c r="U97" s="4">
        <v>115</v>
      </c>
      <c r="V97" s="4">
        <v>0</v>
      </c>
      <c r="W97" s="4">
        <v>-0.2</v>
      </c>
      <c r="X97" s="4">
        <v>0</v>
      </c>
      <c r="Y97" s="4">
        <v>-0.1</v>
      </c>
      <c r="Z97" s="4">
        <v>-4.9000000000000002E-2</v>
      </c>
      <c r="AA97" s="13">
        <f>(I97/TOTAL_BASIC!$D$301)*100</f>
        <v>87.782920723226695</v>
      </c>
      <c r="AB97" s="5">
        <f t="shared" si="21"/>
        <v>0.88</v>
      </c>
      <c r="AC97" s="3">
        <f t="shared" si="1"/>
        <v>-27</v>
      </c>
      <c r="AD97" s="9">
        <f t="shared" si="22"/>
        <v>0.98</v>
      </c>
      <c r="AE97" s="16">
        <f t="shared" si="23"/>
        <v>0.65536723163841804</v>
      </c>
      <c r="AF97" s="16">
        <f t="shared" si="24"/>
        <v>0.74358974358974361</v>
      </c>
      <c r="AG97" s="9"/>
      <c r="AH97" s="9"/>
      <c r="AI97" s="12">
        <f t="shared" si="25"/>
        <v>47.199999999999996</v>
      </c>
      <c r="AJ97" s="12">
        <f t="shared" si="26"/>
        <v>40.9</v>
      </c>
      <c r="AK97" s="12">
        <f t="shared" si="26"/>
        <v>7.3999999999999995</v>
      </c>
      <c r="AL97" s="12">
        <f t="shared" si="26"/>
        <v>25.4</v>
      </c>
      <c r="AM97" s="12">
        <f t="shared" si="26"/>
        <v>32.9</v>
      </c>
      <c r="AN97" s="12">
        <f t="shared" si="18"/>
        <v>92.5</v>
      </c>
      <c r="AO97" s="12">
        <f t="shared" si="18"/>
        <v>13.600000000000001</v>
      </c>
      <c r="AP97" s="12">
        <f t="shared" si="18"/>
        <v>0</v>
      </c>
      <c r="AQ97" s="12">
        <f t="shared" si="18"/>
        <v>1.7999999999999998</v>
      </c>
      <c r="AR97" s="12">
        <f t="shared" si="29"/>
        <v>44</v>
      </c>
      <c r="AS97" s="12">
        <f t="shared" si="29"/>
        <v>15.5</v>
      </c>
      <c r="AT97" s="12">
        <f t="shared" si="29"/>
        <v>37.200000000000003</v>
      </c>
      <c r="AU97" s="12">
        <f t="shared" si="27"/>
        <v>41.7</v>
      </c>
      <c r="AV97" s="12">
        <f t="shared" si="30"/>
        <v>44.7</v>
      </c>
      <c r="AW97" s="12">
        <f t="shared" si="30"/>
        <v>9.9</v>
      </c>
      <c r="AX97" s="12">
        <f t="shared" si="28"/>
        <v>12.5</v>
      </c>
      <c r="AY97" s="9"/>
      <c r="AZ97" s="12">
        <f t="shared" si="31"/>
        <v>5.5</v>
      </c>
      <c r="BA97" s="12">
        <f t="shared" si="31"/>
        <v>3.1</v>
      </c>
      <c r="BB97" s="12">
        <f t="shared" si="31"/>
        <v>6.8000000000000007</v>
      </c>
      <c r="BC97" s="12">
        <f t="shared" si="31"/>
        <v>8</v>
      </c>
      <c r="BD97" s="12">
        <f t="shared" si="32"/>
        <v>25.4</v>
      </c>
      <c r="BE97" s="12">
        <f t="shared" si="19"/>
        <v>9.9</v>
      </c>
      <c r="BF97" s="12">
        <f t="shared" si="19"/>
        <v>6.8000000000000007</v>
      </c>
      <c r="BG97" s="12">
        <f t="shared" si="19"/>
        <v>25.4</v>
      </c>
      <c r="BH97" s="12">
        <f t="shared" si="19"/>
        <v>47.199999999999996</v>
      </c>
      <c r="BI97" s="12">
        <f t="shared" si="20"/>
        <v>39.700000000000003</v>
      </c>
    </row>
    <row r="98" spans="1:61" ht="15.75" customHeight="1" x14ac:dyDescent="0.25">
      <c r="A98" s="1" t="s">
        <v>226</v>
      </c>
      <c r="B98" s="3" t="s">
        <v>109</v>
      </c>
      <c r="C98" s="4" t="s">
        <v>87</v>
      </c>
      <c r="D98" s="4">
        <v>8</v>
      </c>
      <c r="E98" s="4">
        <v>110</v>
      </c>
      <c r="F98" s="4">
        <v>8</v>
      </c>
      <c r="G98" s="4">
        <v>110</v>
      </c>
      <c r="H98" s="4">
        <v>13.9</v>
      </c>
      <c r="I98" s="4">
        <v>0.55300000000000005</v>
      </c>
      <c r="J98" s="4">
        <v>0.55000000000000004</v>
      </c>
      <c r="K98" s="4">
        <v>6.7000000000000004E-2</v>
      </c>
      <c r="L98" s="4">
        <v>0.4</v>
      </c>
      <c r="M98" s="4">
        <v>11.1</v>
      </c>
      <c r="N98" s="4">
        <v>16.399999999999999</v>
      </c>
      <c r="O98" s="4">
        <v>11.4</v>
      </c>
      <c r="P98" s="4">
        <v>2.2999999999999998</v>
      </c>
      <c r="Q98" s="4">
        <v>0</v>
      </c>
      <c r="R98" s="4">
        <v>14.5</v>
      </c>
      <c r="S98" s="4">
        <v>16.2</v>
      </c>
      <c r="T98" s="4">
        <v>108</v>
      </c>
      <c r="U98" s="4">
        <v>110</v>
      </c>
      <c r="V98" s="4">
        <v>0</v>
      </c>
      <c r="W98" s="4">
        <v>0.1</v>
      </c>
      <c r="X98" s="4">
        <v>0.1</v>
      </c>
      <c r="Y98" s="4">
        <v>0.2</v>
      </c>
      <c r="Z98" s="4">
        <v>7.5999999999999998E-2</v>
      </c>
      <c r="AA98" s="13">
        <f>(I98/TOTAL_BASIC!$D$301)*100</f>
        <v>99.069296244784439</v>
      </c>
      <c r="AB98" s="5">
        <f t="shared" si="21"/>
        <v>1.08</v>
      </c>
      <c r="AC98" s="3">
        <f t="shared" si="1"/>
        <v>-2</v>
      </c>
      <c r="AD98" s="9">
        <f t="shared" si="22"/>
        <v>1.1060000000000001</v>
      </c>
      <c r="AE98" s="16">
        <f t="shared" si="23"/>
        <v>0.70370370370370372</v>
      </c>
      <c r="AF98" s="16">
        <f t="shared" si="24"/>
        <v>0.78620689655172415</v>
      </c>
      <c r="AG98" s="9"/>
      <c r="AH98" s="9"/>
      <c r="AI98" s="12">
        <f t="shared" si="25"/>
        <v>69.5</v>
      </c>
      <c r="AJ98" s="12">
        <f t="shared" si="26"/>
        <v>40.9</v>
      </c>
      <c r="AK98" s="12">
        <f t="shared" si="26"/>
        <v>49</v>
      </c>
      <c r="AL98" s="12">
        <f t="shared" si="26"/>
        <v>45.9</v>
      </c>
      <c r="AM98" s="12">
        <f t="shared" si="26"/>
        <v>63.3</v>
      </c>
      <c r="AN98" s="12">
        <f t="shared" si="18"/>
        <v>8.6</v>
      </c>
      <c r="AO98" s="12">
        <f t="shared" si="18"/>
        <v>68.899999999999991</v>
      </c>
      <c r="AP98" s="12">
        <f t="shared" si="18"/>
        <v>85.7</v>
      </c>
      <c r="AQ98" s="12">
        <f t="shared" si="18"/>
        <v>86.3</v>
      </c>
      <c r="AR98" s="12">
        <f t="shared" si="29"/>
        <v>43.4</v>
      </c>
      <c r="AS98" s="12">
        <f t="shared" si="29"/>
        <v>70.099999999999994</v>
      </c>
      <c r="AT98" s="12">
        <f t="shared" si="29"/>
        <v>0</v>
      </c>
      <c r="AU98" s="12">
        <f t="shared" si="27"/>
        <v>53.5</v>
      </c>
      <c r="AV98" s="12">
        <f t="shared" si="30"/>
        <v>31</v>
      </c>
      <c r="AW98" s="12">
        <f t="shared" si="30"/>
        <v>47.8</v>
      </c>
      <c r="AX98" s="12">
        <f t="shared" si="28"/>
        <v>41</v>
      </c>
      <c r="AY98" s="9"/>
      <c r="AZ98" s="12">
        <f t="shared" si="31"/>
        <v>40.300000000000004</v>
      </c>
      <c r="BA98" s="12">
        <f t="shared" si="31"/>
        <v>24.2</v>
      </c>
      <c r="BB98" s="12">
        <f t="shared" si="31"/>
        <v>39.700000000000003</v>
      </c>
      <c r="BC98" s="12">
        <f t="shared" si="31"/>
        <v>44.7</v>
      </c>
      <c r="BD98" s="12">
        <f t="shared" si="32"/>
        <v>45.9</v>
      </c>
      <c r="BE98" s="12">
        <f t="shared" si="19"/>
        <v>47.8</v>
      </c>
      <c r="BF98" s="12">
        <f t="shared" si="19"/>
        <v>47.199999999999996</v>
      </c>
      <c r="BG98" s="12">
        <f t="shared" si="19"/>
        <v>45.9</v>
      </c>
      <c r="BH98" s="12">
        <f t="shared" si="19"/>
        <v>50.9</v>
      </c>
      <c r="BI98" s="12">
        <f t="shared" si="20"/>
        <v>44</v>
      </c>
    </row>
    <row r="99" spans="1:61" ht="15.75" customHeight="1" x14ac:dyDescent="0.25">
      <c r="A99" s="1" t="s">
        <v>182</v>
      </c>
      <c r="B99" s="4" t="s">
        <v>93</v>
      </c>
      <c r="C99" s="4" t="s">
        <v>87</v>
      </c>
      <c r="D99" s="4">
        <v>7</v>
      </c>
      <c r="E99" s="4">
        <v>108</v>
      </c>
      <c r="F99" s="4">
        <v>7</v>
      </c>
      <c r="G99" s="4">
        <v>108</v>
      </c>
      <c r="H99" s="4">
        <v>17.600000000000001</v>
      </c>
      <c r="I99" s="4">
        <v>0.51600000000000001</v>
      </c>
      <c r="J99" s="4">
        <v>0.5</v>
      </c>
      <c r="K99" s="4">
        <v>3.5999999999999997E-2</v>
      </c>
      <c r="L99" s="4">
        <v>0.71399999999999997</v>
      </c>
      <c r="M99" s="4">
        <v>13.1</v>
      </c>
      <c r="N99" s="4">
        <v>17.100000000000001</v>
      </c>
      <c r="O99" s="4">
        <v>18.399999999999999</v>
      </c>
      <c r="P99" s="4">
        <v>1</v>
      </c>
      <c r="Q99" s="4">
        <v>7.5</v>
      </c>
      <c r="R99" s="4">
        <v>16</v>
      </c>
      <c r="S99" s="4">
        <v>17.8</v>
      </c>
      <c r="T99" s="4">
        <v>110</v>
      </c>
      <c r="U99" s="4">
        <v>98</v>
      </c>
      <c r="V99" s="4">
        <v>0</v>
      </c>
      <c r="W99" s="4">
        <v>0.2</v>
      </c>
      <c r="X99" s="4">
        <v>0.3</v>
      </c>
      <c r="Y99" s="4">
        <v>0.5</v>
      </c>
      <c r="Z99" s="4">
        <v>0.16800000000000001</v>
      </c>
      <c r="AA99" s="13">
        <f>(I99/TOTAL_BASIC!$D$301)*100</f>
        <v>92.440789986091801</v>
      </c>
      <c r="AB99" s="5">
        <f t="shared" si="21"/>
        <v>1.1000000000000001</v>
      </c>
      <c r="AC99" s="3">
        <f t="shared" si="1"/>
        <v>12</v>
      </c>
      <c r="AD99" s="9">
        <f t="shared" si="22"/>
        <v>1.032</v>
      </c>
      <c r="AE99" s="16">
        <f t="shared" si="23"/>
        <v>1.0337078651685392</v>
      </c>
      <c r="AF99" s="16">
        <f t="shared" si="24"/>
        <v>1.1499999999999999</v>
      </c>
      <c r="AG99" s="9"/>
      <c r="AH99" s="9"/>
      <c r="AI99" s="12">
        <f t="shared" si="25"/>
        <v>47.199999999999996</v>
      </c>
      <c r="AJ99" s="12">
        <f t="shared" si="26"/>
        <v>38.5</v>
      </c>
      <c r="AK99" s="12">
        <f t="shared" si="26"/>
        <v>69.5</v>
      </c>
      <c r="AL99" s="12">
        <f t="shared" si="26"/>
        <v>32.9</v>
      </c>
      <c r="AM99" s="12">
        <f t="shared" si="26"/>
        <v>40.9</v>
      </c>
      <c r="AN99" s="12">
        <f t="shared" si="18"/>
        <v>6.2</v>
      </c>
      <c r="AO99" s="12">
        <f t="shared" si="18"/>
        <v>95</v>
      </c>
      <c r="AP99" s="12">
        <f t="shared" si="18"/>
        <v>93.7</v>
      </c>
      <c r="AQ99" s="12">
        <f t="shared" si="18"/>
        <v>90.600000000000009</v>
      </c>
      <c r="AR99" s="12">
        <f t="shared" si="29"/>
        <v>70.8</v>
      </c>
      <c r="AS99" s="12">
        <f t="shared" si="29"/>
        <v>17.299999999999997</v>
      </c>
      <c r="AT99" s="12">
        <f t="shared" si="29"/>
        <v>96.8</v>
      </c>
      <c r="AU99" s="12">
        <f t="shared" si="27"/>
        <v>41</v>
      </c>
      <c r="AV99" s="12">
        <f t="shared" si="30"/>
        <v>45.300000000000004</v>
      </c>
      <c r="AW99" s="12">
        <f t="shared" si="30"/>
        <v>52.7</v>
      </c>
      <c r="AX99" s="12">
        <f t="shared" si="28"/>
        <v>98.2</v>
      </c>
      <c r="AY99" s="9"/>
      <c r="AZ99" s="12">
        <f t="shared" si="31"/>
        <v>57.099999999999994</v>
      </c>
      <c r="BA99" s="12">
        <f t="shared" si="31"/>
        <v>75.099999999999994</v>
      </c>
      <c r="BB99" s="12">
        <f t="shared" si="31"/>
        <v>68.300000000000011</v>
      </c>
      <c r="BC99" s="12">
        <f t="shared" si="31"/>
        <v>78.8</v>
      </c>
      <c r="BD99" s="12">
        <f t="shared" si="32"/>
        <v>32.9</v>
      </c>
      <c r="BE99" s="12">
        <f t="shared" si="19"/>
        <v>52.7</v>
      </c>
      <c r="BF99" s="12">
        <f t="shared" si="19"/>
        <v>77</v>
      </c>
      <c r="BG99" s="12">
        <f t="shared" si="19"/>
        <v>32.9</v>
      </c>
      <c r="BH99" s="12">
        <f t="shared" si="19"/>
        <v>73.900000000000006</v>
      </c>
      <c r="BI99" s="12">
        <f t="shared" si="20"/>
        <v>59.599999999999994</v>
      </c>
    </row>
    <row r="100" spans="1:61" ht="15.75" customHeight="1" x14ac:dyDescent="0.25">
      <c r="A100" s="1" t="s">
        <v>102</v>
      </c>
      <c r="B100" s="3" t="s">
        <v>86</v>
      </c>
      <c r="C100" s="4" t="s">
        <v>96</v>
      </c>
      <c r="D100" s="4">
        <v>5</v>
      </c>
      <c r="E100" s="4">
        <v>108</v>
      </c>
      <c r="F100" s="4">
        <v>5</v>
      </c>
      <c r="G100" s="4">
        <v>108</v>
      </c>
      <c r="H100" s="4">
        <v>13.5</v>
      </c>
      <c r="I100" s="4">
        <v>0.66100000000000003</v>
      </c>
      <c r="J100" s="4">
        <v>0.57999999999999996</v>
      </c>
      <c r="K100" s="4">
        <v>0.6</v>
      </c>
      <c r="L100" s="4">
        <v>0.48</v>
      </c>
      <c r="M100" s="4">
        <v>1.3</v>
      </c>
      <c r="N100" s="4">
        <v>5.2</v>
      </c>
      <c r="O100" s="4">
        <v>16.399999999999999</v>
      </c>
      <c r="P100" s="4">
        <v>0.9</v>
      </c>
      <c r="Q100" s="4">
        <v>0.9</v>
      </c>
      <c r="R100" s="4">
        <v>16.5</v>
      </c>
      <c r="S100" s="4">
        <v>15.5</v>
      </c>
      <c r="T100" s="4">
        <v>121</v>
      </c>
      <c r="U100" s="4">
        <v>112</v>
      </c>
      <c r="V100" s="4">
        <v>0</v>
      </c>
      <c r="W100" s="4">
        <v>0.3</v>
      </c>
      <c r="X100" s="4">
        <v>0.1</v>
      </c>
      <c r="Y100" s="4">
        <v>0.3</v>
      </c>
      <c r="Z100" s="4">
        <v>0.122</v>
      </c>
      <c r="AA100" s="13">
        <f>(I100/TOTAL_BASIC!$D$301)*100</f>
        <v>118.4173685674548</v>
      </c>
      <c r="AB100" s="5">
        <f t="shared" si="21"/>
        <v>1.21</v>
      </c>
      <c r="AC100" s="3">
        <f t="shared" si="1"/>
        <v>9</v>
      </c>
      <c r="AD100" s="9">
        <f t="shared" si="22"/>
        <v>1.3220000000000001</v>
      </c>
      <c r="AE100" s="16">
        <f t="shared" si="23"/>
        <v>1.0580645161290321</v>
      </c>
      <c r="AF100" s="16">
        <f t="shared" si="24"/>
        <v>0.9939393939393939</v>
      </c>
      <c r="AG100" s="9"/>
      <c r="AH100" s="9"/>
      <c r="AI100" s="12">
        <f t="shared" si="25"/>
        <v>16.100000000000001</v>
      </c>
      <c r="AJ100" s="12">
        <f t="shared" si="26"/>
        <v>38.5</v>
      </c>
      <c r="AK100" s="12">
        <f t="shared" si="26"/>
        <v>44.7</v>
      </c>
      <c r="AL100" s="12">
        <f t="shared" si="26"/>
        <v>83.8</v>
      </c>
      <c r="AM100" s="12">
        <f t="shared" si="26"/>
        <v>75.099999999999994</v>
      </c>
      <c r="AN100" s="12">
        <f t="shared" si="18"/>
        <v>83.2</v>
      </c>
      <c r="AO100" s="12">
        <f t="shared" si="18"/>
        <v>79.5</v>
      </c>
      <c r="AP100" s="12">
        <f t="shared" si="18"/>
        <v>19.2</v>
      </c>
      <c r="AQ100" s="12">
        <f t="shared" si="18"/>
        <v>16.7</v>
      </c>
      <c r="AR100" s="12">
        <f t="shared" si="29"/>
        <v>68.300000000000011</v>
      </c>
      <c r="AS100" s="12">
        <f t="shared" si="29"/>
        <v>15.5</v>
      </c>
      <c r="AT100" s="12">
        <f t="shared" si="29"/>
        <v>39.1</v>
      </c>
      <c r="AU100" s="12">
        <f t="shared" si="27"/>
        <v>37.299999999999997</v>
      </c>
      <c r="AV100" s="12">
        <f t="shared" si="30"/>
        <v>25.4</v>
      </c>
      <c r="AW100" s="12">
        <f t="shared" si="30"/>
        <v>83.8</v>
      </c>
      <c r="AX100" s="12">
        <f t="shared" si="28"/>
        <v>29.200000000000003</v>
      </c>
      <c r="AY100" s="9"/>
      <c r="AZ100" s="12">
        <f t="shared" si="31"/>
        <v>68.899999999999991</v>
      </c>
      <c r="BA100" s="12">
        <f t="shared" si="31"/>
        <v>24.2</v>
      </c>
      <c r="BB100" s="12">
        <f t="shared" si="31"/>
        <v>51.5</v>
      </c>
      <c r="BC100" s="12">
        <f t="shared" si="31"/>
        <v>61.4</v>
      </c>
      <c r="BD100" s="12">
        <f t="shared" si="32"/>
        <v>83.8</v>
      </c>
      <c r="BE100" s="12">
        <f t="shared" si="19"/>
        <v>83.8</v>
      </c>
      <c r="BF100" s="12">
        <f t="shared" si="19"/>
        <v>68.300000000000011</v>
      </c>
      <c r="BG100" s="12">
        <f t="shared" si="19"/>
        <v>83.8</v>
      </c>
      <c r="BH100" s="12">
        <f t="shared" si="19"/>
        <v>75.7</v>
      </c>
      <c r="BI100" s="12">
        <f t="shared" si="20"/>
        <v>52.1</v>
      </c>
    </row>
    <row r="101" spans="1:61" ht="15.75" customHeight="1" x14ac:dyDescent="0.25">
      <c r="A101" s="1" t="s">
        <v>211</v>
      </c>
      <c r="B101" s="3" t="s">
        <v>130</v>
      </c>
      <c r="C101" s="4" t="s">
        <v>8</v>
      </c>
      <c r="D101" s="4">
        <v>6</v>
      </c>
      <c r="E101" s="4">
        <v>108</v>
      </c>
      <c r="F101" s="4">
        <v>6</v>
      </c>
      <c r="G101" s="4">
        <v>108</v>
      </c>
      <c r="H101" s="4">
        <v>11.4</v>
      </c>
      <c r="I101" s="4">
        <v>0.57299999999999995</v>
      </c>
      <c r="J101" s="4">
        <v>0.54400000000000004</v>
      </c>
      <c r="K101" s="4">
        <v>0.61799999999999999</v>
      </c>
      <c r="L101" s="4">
        <v>0.17599999999999999</v>
      </c>
      <c r="M101" s="4">
        <v>1.1000000000000001</v>
      </c>
      <c r="N101" s="4">
        <v>6.9</v>
      </c>
      <c r="O101" s="4">
        <v>18.3</v>
      </c>
      <c r="P101" s="4">
        <v>0.5</v>
      </c>
      <c r="Q101" s="4">
        <v>1.6</v>
      </c>
      <c r="R101" s="4">
        <v>16</v>
      </c>
      <c r="S101" s="4">
        <v>17.399999999999999</v>
      </c>
      <c r="T101" s="4">
        <v>110</v>
      </c>
      <c r="U101" s="4">
        <v>106</v>
      </c>
      <c r="V101" s="4">
        <v>0</v>
      </c>
      <c r="W101" s="4">
        <v>0.1</v>
      </c>
      <c r="X101" s="4">
        <v>0.2</v>
      </c>
      <c r="Y101" s="4">
        <v>0.3</v>
      </c>
      <c r="Z101" s="4">
        <v>0.114</v>
      </c>
      <c r="AA101" s="13">
        <f>(I101/TOTAL_BASIC!$D$301)*100</f>
        <v>102.65227260083446</v>
      </c>
      <c r="AB101" s="5">
        <f t="shared" si="21"/>
        <v>1.1000000000000001</v>
      </c>
      <c r="AC101" s="3">
        <f t="shared" ref="AC101:AC164" si="33">T101-U101</f>
        <v>4</v>
      </c>
      <c r="AD101" s="9">
        <f t="shared" si="22"/>
        <v>1.1459999999999999</v>
      </c>
      <c r="AE101" s="16">
        <f t="shared" si="23"/>
        <v>1.0517241379310347</v>
      </c>
      <c r="AF101" s="16">
        <f t="shared" si="24"/>
        <v>1.14375</v>
      </c>
      <c r="AG101" s="9"/>
      <c r="AH101" s="9"/>
      <c r="AI101" s="12">
        <f t="shared" si="25"/>
        <v>25.4</v>
      </c>
      <c r="AJ101" s="12">
        <f t="shared" si="26"/>
        <v>38.5</v>
      </c>
      <c r="AK101" s="12">
        <f t="shared" si="26"/>
        <v>34.699999999999996</v>
      </c>
      <c r="AL101" s="12">
        <f t="shared" si="26"/>
        <v>56.499999999999993</v>
      </c>
      <c r="AM101" s="12">
        <f t="shared" si="26"/>
        <v>60.8</v>
      </c>
      <c r="AN101" s="12">
        <f t="shared" si="18"/>
        <v>86.9</v>
      </c>
      <c r="AO101" s="12">
        <f t="shared" si="18"/>
        <v>22.900000000000002</v>
      </c>
      <c r="AP101" s="12">
        <f t="shared" si="18"/>
        <v>18</v>
      </c>
      <c r="AQ101" s="12">
        <f t="shared" si="18"/>
        <v>31</v>
      </c>
      <c r="AR101" s="12">
        <f t="shared" si="29"/>
        <v>70.099999999999994</v>
      </c>
      <c r="AS101" s="12">
        <f t="shared" si="29"/>
        <v>6.8000000000000007</v>
      </c>
      <c r="AT101" s="12">
        <f t="shared" si="29"/>
        <v>54.6</v>
      </c>
      <c r="AU101" s="12">
        <f t="shared" si="27"/>
        <v>41</v>
      </c>
      <c r="AV101" s="12">
        <f t="shared" si="30"/>
        <v>40.9</v>
      </c>
      <c r="AW101" s="12">
        <f t="shared" si="30"/>
        <v>52.7</v>
      </c>
      <c r="AX101" s="12">
        <f t="shared" si="28"/>
        <v>67.8</v>
      </c>
      <c r="AY101" s="9"/>
      <c r="AZ101" s="12">
        <f t="shared" si="31"/>
        <v>40.300000000000004</v>
      </c>
      <c r="BA101" s="12">
        <f t="shared" si="31"/>
        <v>57.099999999999994</v>
      </c>
      <c r="BB101" s="12">
        <f t="shared" si="31"/>
        <v>51.5</v>
      </c>
      <c r="BC101" s="12">
        <f t="shared" si="31"/>
        <v>58.3</v>
      </c>
      <c r="BD101" s="12">
        <f t="shared" si="32"/>
        <v>56.499999999999993</v>
      </c>
      <c r="BE101" s="12">
        <f t="shared" si="19"/>
        <v>52.7</v>
      </c>
      <c r="BF101" s="12">
        <f t="shared" si="19"/>
        <v>60.199999999999996</v>
      </c>
      <c r="BG101" s="12">
        <f t="shared" si="19"/>
        <v>56.499999999999993</v>
      </c>
      <c r="BH101" s="12">
        <f t="shared" si="19"/>
        <v>75.099999999999994</v>
      </c>
      <c r="BI101" s="12">
        <f t="shared" si="20"/>
        <v>59</v>
      </c>
    </row>
    <row r="102" spans="1:61" ht="15.75" customHeight="1" x14ac:dyDescent="0.25">
      <c r="A102" s="1" t="s">
        <v>201</v>
      </c>
      <c r="B102" s="3" t="s">
        <v>101</v>
      </c>
      <c r="C102" s="4" t="s">
        <v>87</v>
      </c>
      <c r="D102" s="4">
        <v>8</v>
      </c>
      <c r="E102" s="4">
        <v>108</v>
      </c>
      <c r="F102" s="4">
        <v>8</v>
      </c>
      <c r="G102" s="4">
        <v>108</v>
      </c>
      <c r="H102" s="4">
        <v>16.2</v>
      </c>
      <c r="I102" s="4">
        <v>0.52800000000000002</v>
      </c>
      <c r="J102" s="4">
        <v>0.51100000000000001</v>
      </c>
      <c r="K102" s="4">
        <v>0.34</v>
      </c>
      <c r="L102" s="4">
        <v>6.4000000000000001E-2</v>
      </c>
      <c r="M102" s="4">
        <v>4.4000000000000004</v>
      </c>
      <c r="N102" s="4">
        <v>12.2</v>
      </c>
      <c r="O102" s="4">
        <v>9.1</v>
      </c>
      <c r="P102" s="4">
        <v>1</v>
      </c>
      <c r="Q102" s="4">
        <v>2.4</v>
      </c>
      <c r="R102" s="4">
        <v>2</v>
      </c>
      <c r="S102" s="4">
        <v>20.8</v>
      </c>
      <c r="T102" s="4">
        <v>112</v>
      </c>
      <c r="U102" s="4">
        <v>109</v>
      </c>
      <c r="V102" s="4">
        <v>0</v>
      </c>
      <c r="W102" s="4">
        <v>0.2</v>
      </c>
      <c r="X102" s="4">
        <v>0.1</v>
      </c>
      <c r="Y102" s="4">
        <v>0.3</v>
      </c>
      <c r="Z102" s="4">
        <v>0.109</v>
      </c>
      <c r="AA102" s="13">
        <f>(I102/TOTAL_BASIC!$D$301)*100</f>
        <v>94.590575799721847</v>
      </c>
      <c r="AB102" s="5">
        <f t="shared" si="21"/>
        <v>1.1200000000000001</v>
      </c>
      <c r="AC102" s="3">
        <f t="shared" si="33"/>
        <v>3</v>
      </c>
      <c r="AD102" s="9">
        <f t="shared" si="22"/>
        <v>1.056</v>
      </c>
      <c r="AE102" s="16">
        <f t="shared" si="23"/>
        <v>0.43749999999999994</v>
      </c>
      <c r="AF102" s="16">
        <f t="shared" si="24"/>
        <v>4.55</v>
      </c>
      <c r="AG102" s="9"/>
      <c r="AH102" s="9"/>
      <c r="AI102" s="12">
        <f t="shared" si="25"/>
        <v>69.5</v>
      </c>
      <c r="AJ102" s="12">
        <f t="shared" si="26"/>
        <v>38.5</v>
      </c>
      <c r="AK102" s="12">
        <f t="shared" si="26"/>
        <v>63.3</v>
      </c>
      <c r="AL102" s="12">
        <f t="shared" si="26"/>
        <v>37.200000000000003</v>
      </c>
      <c r="AM102" s="12">
        <f t="shared" si="26"/>
        <v>48.4</v>
      </c>
      <c r="AN102" s="12">
        <f t="shared" si="18"/>
        <v>39.700000000000003</v>
      </c>
      <c r="AO102" s="12">
        <f t="shared" si="18"/>
        <v>7.3999999999999995</v>
      </c>
      <c r="AP102" s="12">
        <f t="shared" si="18"/>
        <v>54.6</v>
      </c>
      <c r="AQ102" s="12">
        <f t="shared" si="18"/>
        <v>70.099999999999994</v>
      </c>
      <c r="AR102" s="12">
        <f t="shared" si="29"/>
        <v>31.6</v>
      </c>
      <c r="AS102" s="12">
        <f t="shared" si="29"/>
        <v>17.299999999999997</v>
      </c>
      <c r="AT102" s="12">
        <f t="shared" si="29"/>
        <v>65.8</v>
      </c>
      <c r="AU102" s="12">
        <f t="shared" si="27"/>
        <v>99.4</v>
      </c>
      <c r="AV102" s="12">
        <f t="shared" si="30"/>
        <v>65.2</v>
      </c>
      <c r="AW102" s="12">
        <f t="shared" si="30"/>
        <v>63.3</v>
      </c>
      <c r="AX102" s="12">
        <f t="shared" si="28"/>
        <v>47.3</v>
      </c>
      <c r="AY102" s="9"/>
      <c r="AZ102" s="12">
        <f t="shared" si="31"/>
        <v>57.099999999999994</v>
      </c>
      <c r="BA102" s="12">
        <f t="shared" si="31"/>
        <v>24.2</v>
      </c>
      <c r="BB102" s="12">
        <f t="shared" si="31"/>
        <v>51.5</v>
      </c>
      <c r="BC102" s="12">
        <f t="shared" si="31"/>
        <v>54</v>
      </c>
      <c r="BD102" s="12">
        <f t="shared" si="32"/>
        <v>37.200000000000003</v>
      </c>
      <c r="BE102" s="12">
        <f t="shared" si="19"/>
        <v>63.3</v>
      </c>
      <c r="BF102" s="12">
        <f t="shared" si="19"/>
        <v>56.499999999999993</v>
      </c>
      <c r="BG102" s="12">
        <f t="shared" si="19"/>
        <v>37.200000000000003</v>
      </c>
      <c r="BH102" s="12">
        <f t="shared" si="19"/>
        <v>21.099999999999998</v>
      </c>
      <c r="BI102" s="12">
        <f t="shared" si="20"/>
        <v>98.7</v>
      </c>
    </row>
    <row r="103" spans="1:61" ht="15.75" customHeight="1" x14ac:dyDescent="0.25">
      <c r="A103" s="1" t="s">
        <v>165</v>
      </c>
      <c r="B103" s="3" t="s">
        <v>86</v>
      </c>
      <c r="C103" s="4" t="s">
        <v>90</v>
      </c>
      <c r="D103" s="4">
        <v>8</v>
      </c>
      <c r="E103" s="4">
        <v>106</v>
      </c>
      <c r="F103" s="4">
        <v>8</v>
      </c>
      <c r="G103" s="4">
        <v>106</v>
      </c>
      <c r="H103" s="4">
        <v>15.9</v>
      </c>
      <c r="I103" s="4">
        <v>0.59499999999999997</v>
      </c>
      <c r="J103" s="4">
        <v>0.58799999999999997</v>
      </c>
      <c r="K103" s="4">
        <v>0.47099999999999997</v>
      </c>
      <c r="L103" s="4">
        <v>8.7999999999999995E-2</v>
      </c>
      <c r="M103" s="4">
        <v>5.2</v>
      </c>
      <c r="N103" s="4">
        <v>8.8000000000000007</v>
      </c>
      <c r="O103" s="4">
        <v>8.1999999999999993</v>
      </c>
      <c r="P103" s="4">
        <v>1.9</v>
      </c>
      <c r="Q103" s="4">
        <v>2.8</v>
      </c>
      <c r="R103" s="4">
        <v>5.4</v>
      </c>
      <c r="S103" s="4">
        <v>16.2</v>
      </c>
      <c r="T103" s="4">
        <v>118</v>
      </c>
      <c r="U103" s="4">
        <v>107</v>
      </c>
      <c r="V103" s="4">
        <v>0</v>
      </c>
      <c r="W103" s="4">
        <v>0.2</v>
      </c>
      <c r="X103" s="4">
        <v>0.1</v>
      </c>
      <c r="Y103" s="4">
        <v>0.3</v>
      </c>
      <c r="Z103" s="4">
        <v>0.13200000000000001</v>
      </c>
      <c r="AA103" s="13">
        <f>(I103/TOTAL_BASIC!$D$301)*100</f>
        <v>106.59354659248956</v>
      </c>
      <c r="AB103" s="5">
        <f t="shared" si="21"/>
        <v>1.18</v>
      </c>
      <c r="AC103" s="3">
        <f t="shared" si="33"/>
        <v>11</v>
      </c>
      <c r="AD103" s="9">
        <f t="shared" si="22"/>
        <v>1.19</v>
      </c>
      <c r="AE103" s="16">
        <f t="shared" si="23"/>
        <v>0.50617283950617287</v>
      </c>
      <c r="AF103" s="16">
        <f t="shared" si="24"/>
        <v>1.5185185185185184</v>
      </c>
      <c r="AG103" s="9"/>
      <c r="AH103" s="9"/>
      <c r="AI103" s="12">
        <f t="shared" si="25"/>
        <v>69.5</v>
      </c>
      <c r="AJ103" s="12">
        <f t="shared" si="26"/>
        <v>37.799999999999997</v>
      </c>
      <c r="AK103" s="12">
        <f t="shared" si="26"/>
        <v>61.4</v>
      </c>
      <c r="AL103" s="12">
        <f t="shared" si="26"/>
        <v>67</v>
      </c>
      <c r="AM103" s="12">
        <f t="shared" si="26"/>
        <v>77.600000000000009</v>
      </c>
      <c r="AN103" s="12">
        <f t="shared" si="18"/>
        <v>67</v>
      </c>
      <c r="AO103" s="12">
        <f t="shared" si="18"/>
        <v>9.9</v>
      </c>
      <c r="AP103" s="12">
        <f t="shared" si="18"/>
        <v>63.9</v>
      </c>
      <c r="AQ103" s="12">
        <f t="shared" si="18"/>
        <v>49</v>
      </c>
      <c r="AR103" s="12">
        <f t="shared" si="29"/>
        <v>25.4</v>
      </c>
      <c r="AS103" s="12">
        <f t="shared" si="29"/>
        <v>58.3</v>
      </c>
      <c r="AT103" s="12">
        <f t="shared" si="29"/>
        <v>75.099999999999994</v>
      </c>
      <c r="AU103" s="12">
        <f t="shared" si="27"/>
        <v>96.3</v>
      </c>
      <c r="AV103" s="12">
        <f t="shared" si="30"/>
        <v>31</v>
      </c>
      <c r="AW103" s="12">
        <f t="shared" si="30"/>
        <v>77.600000000000009</v>
      </c>
      <c r="AX103" s="12">
        <f t="shared" si="28"/>
        <v>60.9</v>
      </c>
      <c r="AY103" s="9"/>
      <c r="AZ103" s="12">
        <f t="shared" si="31"/>
        <v>57.099999999999994</v>
      </c>
      <c r="BA103" s="12">
        <f t="shared" si="31"/>
        <v>24.2</v>
      </c>
      <c r="BB103" s="12">
        <f t="shared" si="31"/>
        <v>51.5</v>
      </c>
      <c r="BC103" s="12">
        <f t="shared" si="31"/>
        <v>63.9</v>
      </c>
      <c r="BD103" s="12">
        <f t="shared" si="32"/>
        <v>67</v>
      </c>
      <c r="BE103" s="12">
        <f t="shared" si="19"/>
        <v>77.600000000000009</v>
      </c>
      <c r="BF103" s="12">
        <f t="shared" si="19"/>
        <v>76.3</v>
      </c>
      <c r="BG103" s="12">
        <f t="shared" si="19"/>
        <v>67</v>
      </c>
      <c r="BH103" s="12">
        <f t="shared" si="19"/>
        <v>32.200000000000003</v>
      </c>
      <c r="BI103" s="12">
        <f t="shared" si="20"/>
        <v>77.600000000000009</v>
      </c>
    </row>
    <row r="104" spans="1:61" ht="15.75" customHeight="1" x14ac:dyDescent="0.25">
      <c r="A104" s="1" t="s">
        <v>225</v>
      </c>
      <c r="B104" s="3" t="s">
        <v>139</v>
      </c>
      <c r="C104" s="4" t="s">
        <v>87</v>
      </c>
      <c r="D104" s="4">
        <v>6</v>
      </c>
      <c r="E104" s="4">
        <v>105</v>
      </c>
      <c r="F104" s="4">
        <v>6</v>
      </c>
      <c r="G104" s="4">
        <v>105</v>
      </c>
      <c r="H104" s="4">
        <v>16.100000000000001</v>
      </c>
      <c r="I104" s="4">
        <v>0.67700000000000005</v>
      </c>
      <c r="J104" s="4">
        <v>0.65200000000000002</v>
      </c>
      <c r="K104" s="4">
        <v>0.33300000000000002</v>
      </c>
      <c r="L104" s="4">
        <v>0.57599999999999996</v>
      </c>
      <c r="M104" s="4">
        <v>13.6</v>
      </c>
      <c r="N104" s="4">
        <v>16.899999999999999</v>
      </c>
      <c r="O104" s="4">
        <v>7.7</v>
      </c>
      <c r="P104" s="4">
        <v>1.9</v>
      </c>
      <c r="Q104" s="4">
        <v>9.3000000000000007</v>
      </c>
      <c r="R104" s="4">
        <v>32.6</v>
      </c>
      <c r="S104" s="4">
        <v>25.7</v>
      </c>
      <c r="T104" s="4">
        <v>96</v>
      </c>
      <c r="U104" s="4">
        <v>114</v>
      </c>
      <c r="V104" s="4">
        <v>0</v>
      </c>
      <c r="W104" s="4">
        <v>-0.1</v>
      </c>
      <c r="X104" s="4">
        <v>0</v>
      </c>
      <c r="Y104" s="4">
        <v>0</v>
      </c>
      <c r="Z104" s="4">
        <v>-7.0000000000000001E-3</v>
      </c>
      <c r="AA104" s="13">
        <f>(I104/TOTAL_BASIC!$D$301)*100</f>
        <v>121.28374965229487</v>
      </c>
      <c r="AB104" s="5">
        <f t="shared" si="21"/>
        <v>0.96</v>
      </c>
      <c r="AC104" s="3">
        <f t="shared" si="33"/>
        <v>-18</v>
      </c>
      <c r="AD104" s="9">
        <f t="shared" si="22"/>
        <v>1.3540000000000001</v>
      </c>
      <c r="AE104" s="16">
        <f t="shared" si="23"/>
        <v>0.29961089494163423</v>
      </c>
      <c r="AF104" s="16">
        <f t="shared" si="24"/>
        <v>0.2361963190184049</v>
      </c>
      <c r="AG104" s="9"/>
      <c r="AH104" s="9"/>
      <c r="AI104" s="12">
        <f t="shared" si="25"/>
        <v>25.4</v>
      </c>
      <c r="AJ104" s="12">
        <f t="shared" si="26"/>
        <v>36.6</v>
      </c>
      <c r="AK104" s="12">
        <f t="shared" si="26"/>
        <v>62.7</v>
      </c>
      <c r="AL104" s="12">
        <f t="shared" si="26"/>
        <v>85.7</v>
      </c>
      <c r="AM104" s="12">
        <f t="shared" si="26"/>
        <v>85.7</v>
      </c>
      <c r="AN104" s="12">
        <f t="shared" si="18"/>
        <v>36.6</v>
      </c>
      <c r="AO104" s="12">
        <f t="shared" si="18"/>
        <v>88.8</v>
      </c>
      <c r="AP104" s="12">
        <f t="shared" si="18"/>
        <v>95</v>
      </c>
      <c r="AQ104" s="12">
        <f t="shared" si="18"/>
        <v>88.8</v>
      </c>
      <c r="AR104" s="12">
        <f t="shared" si="29"/>
        <v>22.3</v>
      </c>
      <c r="AS104" s="12">
        <f t="shared" si="29"/>
        <v>58.3</v>
      </c>
      <c r="AT104" s="12">
        <f t="shared" si="29"/>
        <v>99.3</v>
      </c>
      <c r="AU104" s="12">
        <f t="shared" si="27"/>
        <v>3.2000000000000028</v>
      </c>
      <c r="AV104" s="12">
        <f t="shared" si="30"/>
        <v>83.8</v>
      </c>
      <c r="AW104" s="12">
        <f t="shared" si="30"/>
        <v>24.2</v>
      </c>
      <c r="AX104" s="12">
        <f t="shared" si="28"/>
        <v>19.299999999999997</v>
      </c>
      <c r="AY104" s="9"/>
      <c r="AZ104" s="12">
        <f t="shared" si="31"/>
        <v>14.899999999999999</v>
      </c>
      <c r="BA104" s="12">
        <f t="shared" si="31"/>
        <v>3.1</v>
      </c>
      <c r="BB104" s="12">
        <f t="shared" si="31"/>
        <v>12.4</v>
      </c>
      <c r="BC104" s="12">
        <f t="shared" si="31"/>
        <v>17.299999999999997</v>
      </c>
      <c r="BD104" s="12">
        <f t="shared" si="32"/>
        <v>85.7</v>
      </c>
      <c r="BE104" s="12">
        <f t="shared" si="19"/>
        <v>24.2</v>
      </c>
      <c r="BF104" s="12">
        <f t="shared" si="19"/>
        <v>16.100000000000001</v>
      </c>
      <c r="BG104" s="12">
        <f t="shared" si="19"/>
        <v>85.7</v>
      </c>
      <c r="BH104" s="12">
        <f t="shared" si="19"/>
        <v>9.9</v>
      </c>
      <c r="BI104" s="12">
        <f t="shared" si="20"/>
        <v>6.2</v>
      </c>
    </row>
    <row r="105" spans="1:61" ht="15.75" customHeight="1" x14ac:dyDescent="0.25">
      <c r="A105" s="1" t="s">
        <v>194</v>
      </c>
      <c r="B105" s="3" t="s">
        <v>95</v>
      </c>
      <c r="C105" s="4" t="s">
        <v>8</v>
      </c>
      <c r="D105" s="4">
        <v>8</v>
      </c>
      <c r="E105" s="4">
        <v>105</v>
      </c>
      <c r="F105" s="4">
        <v>8</v>
      </c>
      <c r="G105" s="4">
        <v>105</v>
      </c>
      <c r="H105" s="4">
        <v>7.8</v>
      </c>
      <c r="I105" s="4">
        <v>0.54</v>
      </c>
      <c r="J105" s="4">
        <v>0.5</v>
      </c>
      <c r="K105" s="4">
        <v>0.75800000000000001</v>
      </c>
      <c r="L105" s="4">
        <v>0.152</v>
      </c>
      <c r="M105" s="4">
        <v>0</v>
      </c>
      <c r="N105" s="4">
        <v>1.7</v>
      </c>
      <c r="O105" s="4">
        <v>6.3</v>
      </c>
      <c r="P105" s="4">
        <v>1.9</v>
      </c>
      <c r="Q105" s="4">
        <v>0.9</v>
      </c>
      <c r="R105" s="4">
        <v>14.6</v>
      </c>
      <c r="S105" s="4">
        <v>17.399999999999999</v>
      </c>
      <c r="T105" s="4">
        <v>95</v>
      </c>
      <c r="U105" s="4">
        <v>113</v>
      </c>
      <c r="V105" s="4">
        <v>0</v>
      </c>
      <c r="W105" s="4">
        <v>0</v>
      </c>
      <c r="X105" s="4">
        <v>0.1</v>
      </c>
      <c r="Y105" s="4">
        <v>0</v>
      </c>
      <c r="Z105" s="4">
        <v>3.0000000000000001E-3</v>
      </c>
      <c r="AA105" s="13">
        <f>(I105/TOTAL_BASIC!$D$301)*100</f>
        <v>96.74036161335188</v>
      </c>
      <c r="AB105" s="5">
        <f t="shared" si="21"/>
        <v>0.95</v>
      </c>
      <c r="AC105" s="3">
        <f t="shared" si="33"/>
        <v>-18</v>
      </c>
      <c r="AD105" s="9">
        <f t="shared" si="22"/>
        <v>1.08</v>
      </c>
      <c r="AE105" s="16">
        <f t="shared" si="23"/>
        <v>0.36206896551724138</v>
      </c>
      <c r="AF105" s="16">
        <f t="shared" si="24"/>
        <v>0.4315068493150685</v>
      </c>
      <c r="AG105" s="9"/>
      <c r="AH105" s="9"/>
      <c r="AI105" s="12">
        <f t="shared" si="25"/>
        <v>69.5</v>
      </c>
      <c r="AJ105" s="12">
        <f t="shared" si="26"/>
        <v>36.6</v>
      </c>
      <c r="AK105" s="12">
        <f t="shared" si="26"/>
        <v>16.100000000000001</v>
      </c>
      <c r="AL105" s="12">
        <f t="shared" si="26"/>
        <v>40.9</v>
      </c>
      <c r="AM105" s="12">
        <f t="shared" si="26"/>
        <v>40.9</v>
      </c>
      <c r="AN105" s="12">
        <f t="shared" si="18"/>
        <v>95</v>
      </c>
      <c r="AO105" s="12">
        <f t="shared" si="18"/>
        <v>20.399999999999999</v>
      </c>
      <c r="AP105" s="12">
        <f t="shared" si="18"/>
        <v>0</v>
      </c>
      <c r="AQ105" s="12">
        <f t="shared" si="18"/>
        <v>2.4</v>
      </c>
      <c r="AR105" s="12">
        <f t="shared" si="29"/>
        <v>15.5</v>
      </c>
      <c r="AS105" s="12">
        <f t="shared" si="29"/>
        <v>58.3</v>
      </c>
      <c r="AT105" s="12">
        <f t="shared" si="29"/>
        <v>39.1</v>
      </c>
      <c r="AU105" s="12">
        <f t="shared" si="27"/>
        <v>52.2</v>
      </c>
      <c r="AV105" s="12">
        <f t="shared" si="30"/>
        <v>40.9</v>
      </c>
      <c r="AW105" s="12">
        <f t="shared" si="30"/>
        <v>22.3</v>
      </c>
      <c r="AX105" s="12">
        <f t="shared" si="28"/>
        <v>23</v>
      </c>
      <c r="AY105" s="9"/>
      <c r="AZ105" s="12">
        <f t="shared" si="31"/>
        <v>22.3</v>
      </c>
      <c r="BA105" s="12">
        <f t="shared" si="31"/>
        <v>24.2</v>
      </c>
      <c r="BB105" s="12">
        <f t="shared" si="31"/>
        <v>12.4</v>
      </c>
      <c r="BC105" s="12">
        <f t="shared" si="31"/>
        <v>21.7</v>
      </c>
      <c r="BD105" s="12">
        <f t="shared" si="32"/>
        <v>40.9</v>
      </c>
      <c r="BE105" s="12">
        <f t="shared" si="19"/>
        <v>22.3</v>
      </c>
      <c r="BF105" s="12">
        <f t="shared" si="19"/>
        <v>16.100000000000001</v>
      </c>
      <c r="BG105" s="12">
        <f t="shared" si="19"/>
        <v>40.9</v>
      </c>
      <c r="BH105" s="12">
        <f t="shared" si="19"/>
        <v>13.600000000000001</v>
      </c>
      <c r="BI105" s="12">
        <f t="shared" si="20"/>
        <v>16.100000000000001</v>
      </c>
    </row>
    <row r="106" spans="1:61" ht="15.75" customHeight="1" x14ac:dyDescent="0.25">
      <c r="A106" s="1" t="s">
        <v>189</v>
      </c>
      <c r="B106" s="3" t="s">
        <v>139</v>
      </c>
      <c r="C106" s="4" t="s">
        <v>8</v>
      </c>
      <c r="D106" s="4">
        <v>4</v>
      </c>
      <c r="E106" s="4">
        <v>102</v>
      </c>
      <c r="F106" s="4">
        <v>4</v>
      </c>
      <c r="G106" s="4">
        <v>102</v>
      </c>
      <c r="H106" s="4">
        <v>7.5</v>
      </c>
      <c r="I106" s="4">
        <v>0.41899999999999998</v>
      </c>
      <c r="J106" s="4">
        <v>0.38900000000000001</v>
      </c>
      <c r="K106" s="4">
        <v>0.52800000000000002</v>
      </c>
      <c r="L106" s="4">
        <v>0.13900000000000001</v>
      </c>
      <c r="M106" s="4">
        <v>4.2</v>
      </c>
      <c r="N106" s="4">
        <v>6.7</v>
      </c>
      <c r="O106" s="4">
        <v>14.1</v>
      </c>
      <c r="P106" s="4">
        <v>3.9</v>
      </c>
      <c r="Q106" s="4">
        <v>1</v>
      </c>
      <c r="R106" s="4">
        <v>19.100000000000001</v>
      </c>
      <c r="S106" s="4">
        <v>20.399999999999999</v>
      </c>
      <c r="T106" s="4">
        <v>84</v>
      </c>
      <c r="U106" s="4">
        <v>117</v>
      </c>
      <c r="V106" s="4">
        <v>0</v>
      </c>
      <c r="W106" s="4">
        <v>-0.2</v>
      </c>
      <c r="X106" s="4">
        <v>0</v>
      </c>
      <c r="Y106" s="4">
        <v>-0.2</v>
      </c>
      <c r="Z106" s="4">
        <v>-9.0999999999999998E-2</v>
      </c>
      <c r="AA106" s="13">
        <f>(I106/TOTAL_BASIC!$D$301)*100</f>
        <v>75.063354659248944</v>
      </c>
      <c r="AB106" s="5">
        <f t="shared" si="21"/>
        <v>0.84</v>
      </c>
      <c r="AC106" s="3">
        <f t="shared" si="33"/>
        <v>-33</v>
      </c>
      <c r="AD106" s="9">
        <f t="shared" si="22"/>
        <v>0.83799999999999997</v>
      </c>
      <c r="AE106" s="16">
        <f t="shared" si="23"/>
        <v>0.69117647058823528</v>
      </c>
      <c r="AF106" s="16">
        <f t="shared" si="24"/>
        <v>0.73821989528795806</v>
      </c>
      <c r="AG106" s="9"/>
      <c r="AH106" s="9"/>
      <c r="AI106" s="12">
        <f t="shared" si="25"/>
        <v>10.5</v>
      </c>
      <c r="AJ106" s="12">
        <f t="shared" si="26"/>
        <v>36</v>
      </c>
      <c r="AK106" s="12">
        <f t="shared" si="26"/>
        <v>14.2</v>
      </c>
      <c r="AL106" s="12">
        <f t="shared" si="26"/>
        <v>9.9</v>
      </c>
      <c r="AM106" s="12">
        <f t="shared" si="26"/>
        <v>13</v>
      </c>
      <c r="AN106" s="12">
        <f t="shared" si="18"/>
        <v>75.099999999999994</v>
      </c>
      <c r="AO106" s="12">
        <f t="shared" si="18"/>
        <v>18.600000000000001</v>
      </c>
      <c r="AP106" s="12">
        <f t="shared" si="18"/>
        <v>51.5</v>
      </c>
      <c r="AQ106" s="12">
        <f t="shared" si="18"/>
        <v>29.099999999999998</v>
      </c>
      <c r="AR106" s="12">
        <f t="shared" si="29"/>
        <v>55.900000000000006</v>
      </c>
      <c r="AS106" s="12">
        <f t="shared" si="29"/>
        <v>96.8</v>
      </c>
      <c r="AT106" s="12">
        <f t="shared" si="29"/>
        <v>42.199999999999996</v>
      </c>
      <c r="AU106" s="12">
        <f t="shared" si="27"/>
        <v>26.799999999999997</v>
      </c>
      <c r="AV106" s="12">
        <f t="shared" si="30"/>
        <v>62.7</v>
      </c>
      <c r="AW106" s="12">
        <f t="shared" si="30"/>
        <v>5.5</v>
      </c>
      <c r="AX106" s="12">
        <f t="shared" si="28"/>
        <v>7.5</v>
      </c>
      <c r="AY106" s="9"/>
      <c r="AZ106" s="12">
        <f t="shared" si="31"/>
        <v>5.5</v>
      </c>
      <c r="BA106" s="12">
        <f t="shared" si="31"/>
        <v>3.1</v>
      </c>
      <c r="BB106" s="12">
        <f t="shared" si="31"/>
        <v>3.1</v>
      </c>
      <c r="BC106" s="12">
        <f t="shared" si="31"/>
        <v>3.1</v>
      </c>
      <c r="BD106" s="12">
        <f t="shared" si="32"/>
        <v>9.9</v>
      </c>
      <c r="BE106" s="12">
        <f t="shared" si="19"/>
        <v>5.5</v>
      </c>
      <c r="BF106" s="12">
        <f t="shared" si="19"/>
        <v>4.3</v>
      </c>
      <c r="BG106" s="12">
        <f t="shared" si="19"/>
        <v>9.9</v>
      </c>
      <c r="BH106" s="12">
        <f t="shared" si="19"/>
        <v>49.6</v>
      </c>
      <c r="BI106" s="12">
        <f t="shared" si="20"/>
        <v>37.799999999999997</v>
      </c>
    </row>
    <row r="107" spans="1:61" ht="15.75" customHeight="1" x14ac:dyDescent="0.25">
      <c r="A107" s="1" t="s">
        <v>237</v>
      </c>
      <c r="B107" s="3" t="s">
        <v>160</v>
      </c>
      <c r="C107" s="4" t="s">
        <v>8</v>
      </c>
      <c r="D107" s="4">
        <v>7</v>
      </c>
      <c r="E107" s="4">
        <v>97</v>
      </c>
      <c r="F107" s="4">
        <v>7</v>
      </c>
      <c r="G107" s="4">
        <v>97</v>
      </c>
      <c r="H107" s="4">
        <v>9.8000000000000007</v>
      </c>
      <c r="I107" s="4">
        <v>0.56699999999999995</v>
      </c>
      <c r="J107" s="4">
        <v>0.53300000000000003</v>
      </c>
      <c r="K107" s="4">
        <v>0.46700000000000003</v>
      </c>
      <c r="L107" s="4">
        <v>0.13300000000000001</v>
      </c>
      <c r="M107" s="4">
        <v>3.9</v>
      </c>
      <c r="N107" s="4">
        <v>11.2</v>
      </c>
      <c r="O107" s="4">
        <v>16</v>
      </c>
      <c r="P107" s="4">
        <v>0.5</v>
      </c>
      <c r="Q107" s="4">
        <v>2.7</v>
      </c>
      <c r="R107" s="4">
        <v>23.9</v>
      </c>
      <c r="S107" s="4">
        <v>18.399999999999999</v>
      </c>
      <c r="T107" s="4">
        <v>96</v>
      </c>
      <c r="U107" s="4">
        <v>106</v>
      </c>
      <c r="V107" s="4">
        <v>0</v>
      </c>
      <c r="W107" s="4">
        <v>0</v>
      </c>
      <c r="X107" s="4">
        <v>0.1</v>
      </c>
      <c r="Y107" s="4">
        <v>0.1</v>
      </c>
      <c r="Z107" s="4">
        <v>4.2000000000000003E-2</v>
      </c>
      <c r="AA107" s="13">
        <f>(I107/TOTAL_BASIC!$D$301)*100</f>
        <v>101.57737969401946</v>
      </c>
      <c r="AB107" s="5">
        <f t="shared" si="21"/>
        <v>0.96</v>
      </c>
      <c r="AC107" s="3">
        <f t="shared" si="33"/>
        <v>-10</v>
      </c>
      <c r="AD107" s="9">
        <f t="shared" si="22"/>
        <v>1.1339999999999999</v>
      </c>
      <c r="AE107" s="16">
        <f t="shared" si="23"/>
        <v>0.86956521739130443</v>
      </c>
      <c r="AF107" s="16">
        <f t="shared" si="24"/>
        <v>0.66945606694560678</v>
      </c>
      <c r="AG107" s="9"/>
      <c r="AH107" s="9"/>
      <c r="AI107" s="12">
        <f t="shared" si="25"/>
        <v>47.199999999999996</v>
      </c>
      <c r="AJ107" s="12">
        <f t="shared" si="26"/>
        <v>34.699999999999996</v>
      </c>
      <c r="AK107" s="12">
        <f t="shared" si="26"/>
        <v>22.3</v>
      </c>
      <c r="AL107" s="12">
        <f t="shared" si="26"/>
        <v>51.5</v>
      </c>
      <c r="AM107" s="12">
        <f t="shared" si="26"/>
        <v>57.699999999999996</v>
      </c>
      <c r="AN107" s="12">
        <f t="shared" si="18"/>
        <v>66.400000000000006</v>
      </c>
      <c r="AO107" s="12">
        <f t="shared" si="18"/>
        <v>17.299999999999997</v>
      </c>
      <c r="AP107" s="12">
        <f t="shared" si="18"/>
        <v>47.8</v>
      </c>
      <c r="AQ107" s="12">
        <f t="shared" si="18"/>
        <v>65.8</v>
      </c>
      <c r="AR107" s="12">
        <f t="shared" si="29"/>
        <v>65.8</v>
      </c>
      <c r="AS107" s="12">
        <f t="shared" si="29"/>
        <v>6.8000000000000007</v>
      </c>
      <c r="AT107" s="12">
        <f t="shared" si="29"/>
        <v>71.399999999999991</v>
      </c>
      <c r="AU107" s="12">
        <f t="shared" si="27"/>
        <v>10</v>
      </c>
      <c r="AV107" s="12">
        <f t="shared" si="30"/>
        <v>50.3</v>
      </c>
      <c r="AW107" s="12">
        <f t="shared" si="30"/>
        <v>24.2</v>
      </c>
      <c r="AX107" s="12">
        <f t="shared" si="28"/>
        <v>67.8</v>
      </c>
      <c r="AY107" s="9"/>
      <c r="AZ107" s="12">
        <f t="shared" si="31"/>
        <v>22.3</v>
      </c>
      <c r="BA107" s="12">
        <f t="shared" si="31"/>
        <v>24.2</v>
      </c>
      <c r="BB107" s="12">
        <f t="shared" si="31"/>
        <v>27.3</v>
      </c>
      <c r="BC107" s="12">
        <f t="shared" si="31"/>
        <v>30.4</v>
      </c>
      <c r="BD107" s="12">
        <f t="shared" si="32"/>
        <v>51.5</v>
      </c>
      <c r="BE107" s="12">
        <f t="shared" si="19"/>
        <v>24.2</v>
      </c>
      <c r="BF107" s="12">
        <f t="shared" si="19"/>
        <v>29.099999999999998</v>
      </c>
      <c r="BG107" s="12">
        <f t="shared" si="19"/>
        <v>51.5</v>
      </c>
      <c r="BH107" s="12">
        <f t="shared" si="19"/>
        <v>63.9</v>
      </c>
      <c r="BI107" s="12">
        <f t="shared" si="20"/>
        <v>32.200000000000003</v>
      </c>
    </row>
    <row r="108" spans="1:61" ht="15.75" customHeight="1" x14ac:dyDescent="0.25">
      <c r="A108" s="1" t="s">
        <v>239</v>
      </c>
      <c r="B108" s="3" t="s">
        <v>164</v>
      </c>
      <c r="C108" s="4" t="s">
        <v>8</v>
      </c>
      <c r="D108" s="4">
        <v>8</v>
      </c>
      <c r="E108" s="4">
        <v>97</v>
      </c>
      <c r="F108" s="4">
        <v>8</v>
      </c>
      <c r="G108" s="4">
        <v>97</v>
      </c>
      <c r="H108" s="4">
        <v>12.7</v>
      </c>
      <c r="I108" s="4">
        <v>0.56200000000000006</v>
      </c>
      <c r="J108" s="4">
        <v>0.48499999999999999</v>
      </c>
      <c r="K108" s="4">
        <v>0.75800000000000001</v>
      </c>
      <c r="L108" s="4">
        <v>0.36399999999999999</v>
      </c>
      <c r="M108" s="4">
        <v>2.5</v>
      </c>
      <c r="N108" s="4">
        <v>7.2</v>
      </c>
      <c r="O108" s="4">
        <v>8.6</v>
      </c>
      <c r="P108" s="4">
        <v>1</v>
      </c>
      <c r="Q108" s="4">
        <v>0</v>
      </c>
      <c r="R108" s="4">
        <v>7.3</v>
      </c>
      <c r="S108" s="4">
        <v>18.600000000000001</v>
      </c>
      <c r="T108" s="4">
        <v>118</v>
      </c>
      <c r="U108" s="4">
        <v>118</v>
      </c>
      <c r="V108" s="4">
        <v>0</v>
      </c>
      <c r="W108" s="4">
        <v>0.2</v>
      </c>
      <c r="X108" s="4">
        <v>0</v>
      </c>
      <c r="Y108" s="4">
        <v>0.2</v>
      </c>
      <c r="Z108" s="4">
        <v>8.3000000000000004E-2</v>
      </c>
      <c r="AA108" s="13">
        <f>(I108/TOTAL_BASIC!$D$301)*100</f>
        <v>100.68163560500696</v>
      </c>
      <c r="AB108" s="5">
        <f t="shared" si="21"/>
        <v>1.18</v>
      </c>
      <c r="AC108" s="3">
        <f t="shared" si="33"/>
        <v>0</v>
      </c>
      <c r="AD108" s="9">
        <f t="shared" si="22"/>
        <v>1.1240000000000001</v>
      </c>
      <c r="AE108" s="16">
        <f t="shared" si="23"/>
        <v>0.46236559139784938</v>
      </c>
      <c r="AF108" s="16">
        <f t="shared" si="24"/>
        <v>1.178082191780822</v>
      </c>
      <c r="AG108" s="9"/>
      <c r="AH108" s="9"/>
      <c r="AI108" s="12">
        <f t="shared" si="25"/>
        <v>69.5</v>
      </c>
      <c r="AJ108" s="12">
        <f t="shared" si="26"/>
        <v>34.699999999999996</v>
      </c>
      <c r="AK108" s="12">
        <f t="shared" si="26"/>
        <v>39.700000000000003</v>
      </c>
      <c r="AL108" s="12">
        <f t="shared" si="26"/>
        <v>48.4</v>
      </c>
      <c r="AM108" s="12">
        <f t="shared" si="26"/>
        <v>36.6</v>
      </c>
      <c r="AN108" s="12">
        <f t="shared" si="18"/>
        <v>95</v>
      </c>
      <c r="AO108" s="12">
        <f t="shared" si="18"/>
        <v>63.9</v>
      </c>
      <c r="AP108" s="12">
        <f t="shared" si="18"/>
        <v>31.6</v>
      </c>
      <c r="AQ108" s="12">
        <f t="shared" si="18"/>
        <v>32.9</v>
      </c>
      <c r="AR108" s="12">
        <f t="shared" si="29"/>
        <v>29.099999999999998</v>
      </c>
      <c r="AS108" s="12">
        <f t="shared" si="29"/>
        <v>17.299999999999997</v>
      </c>
      <c r="AT108" s="12">
        <f t="shared" si="29"/>
        <v>0</v>
      </c>
      <c r="AU108" s="12">
        <f t="shared" si="27"/>
        <v>92</v>
      </c>
      <c r="AV108" s="12">
        <f t="shared" si="30"/>
        <v>52.1</v>
      </c>
      <c r="AW108" s="12">
        <f t="shared" si="30"/>
        <v>77.600000000000009</v>
      </c>
      <c r="AX108" s="12">
        <f t="shared" si="28"/>
        <v>6.2999999999999972</v>
      </c>
      <c r="AY108" s="9"/>
      <c r="AZ108" s="12">
        <f t="shared" si="31"/>
        <v>57.099999999999994</v>
      </c>
      <c r="BA108" s="12">
        <f t="shared" si="31"/>
        <v>3.1</v>
      </c>
      <c r="BB108" s="12">
        <f t="shared" si="31"/>
        <v>39.700000000000003</v>
      </c>
      <c r="BC108" s="12">
        <f t="shared" si="31"/>
        <v>46.5</v>
      </c>
      <c r="BD108" s="12">
        <f t="shared" si="32"/>
        <v>48.4</v>
      </c>
      <c r="BE108" s="12">
        <f t="shared" si="19"/>
        <v>77.600000000000009</v>
      </c>
      <c r="BF108" s="12">
        <f t="shared" si="19"/>
        <v>49.6</v>
      </c>
      <c r="BG108" s="12">
        <f t="shared" si="19"/>
        <v>48.4</v>
      </c>
      <c r="BH108" s="12">
        <f t="shared" si="19"/>
        <v>26</v>
      </c>
      <c r="BI108" s="12">
        <f t="shared" si="20"/>
        <v>61.4</v>
      </c>
    </row>
    <row r="109" spans="1:61" ht="15.75" customHeight="1" x14ac:dyDescent="0.25">
      <c r="A109" s="1" t="s">
        <v>222</v>
      </c>
      <c r="B109" s="3" t="s">
        <v>160</v>
      </c>
      <c r="C109" s="4" t="s">
        <v>121</v>
      </c>
      <c r="D109" s="4">
        <v>7</v>
      </c>
      <c r="E109" s="4">
        <v>96</v>
      </c>
      <c r="F109" s="4">
        <v>7</v>
      </c>
      <c r="G109" s="4">
        <v>96</v>
      </c>
      <c r="H109" s="4">
        <v>15.3</v>
      </c>
      <c r="I109" s="4">
        <v>0.59199999999999997</v>
      </c>
      <c r="J109" s="4">
        <v>0.61899999999999999</v>
      </c>
      <c r="K109" s="4">
        <v>0</v>
      </c>
      <c r="L109" s="4">
        <v>0.28599999999999998</v>
      </c>
      <c r="M109" s="4">
        <v>13.1</v>
      </c>
      <c r="N109" s="4">
        <v>16.7</v>
      </c>
      <c r="O109" s="4">
        <v>8</v>
      </c>
      <c r="P109" s="4">
        <v>1.5</v>
      </c>
      <c r="Q109" s="4">
        <v>0.9</v>
      </c>
      <c r="R109" s="4">
        <v>4.0999999999999996</v>
      </c>
      <c r="S109" s="4">
        <v>10.9</v>
      </c>
      <c r="T109" s="4">
        <v>132</v>
      </c>
      <c r="U109" s="4">
        <v>105</v>
      </c>
      <c r="V109" s="4">
        <v>0</v>
      </c>
      <c r="W109" s="4">
        <v>0.3</v>
      </c>
      <c r="X109" s="4">
        <v>0.2</v>
      </c>
      <c r="Y109" s="4">
        <v>0.4</v>
      </c>
      <c r="Z109" s="4">
        <v>0.17799999999999999</v>
      </c>
      <c r="AA109" s="13">
        <f>(I109/TOTAL_BASIC!$D$301)*100</f>
        <v>106.05610013908205</v>
      </c>
      <c r="AB109" s="5">
        <f t="shared" si="21"/>
        <v>1.32</v>
      </c>
      <c r="AC109" s="3">
        <f t="shared" si="33"/>
        <v>27</v>
      </c>
      <c r="AD109" s="9">
        <f t="shared" si="22"/>
        <v>1.1839999999999999</v>
      </c>
      <c r="AE109" s="16">
        <f t="shared" si="23"/>
        <v>0.7339449541284403</v>
      </c>
      <c r="AF109" s="16">
        <f t="shared" si="24"/>
        <v>1.9512195121951221</v>
      </c>
      <c r="AG109" s="9"/>
      <c r="AH109" s="9"/>
      <c r="AI109" s="12">
        <f t="shared" si="25"/>
        <v>47.199999999999996</v>
      </c>
      <c r="AJ109" s="12">
        <f t="shared" si="26"/>
        <v>34.1</v>
      </c>
      <c r="AK109" s="12">
        <f t="shared" si="26"/>
        <v>59.599999999999994</v>
      </c>
      <c r="AL109" s="12">
        <f t="shared" si="26"/>
        <v>65.2</v>
      </c>
      <c r="AM109" s="12">
        <f t="shared" si="26"/>
        <v>82.6</v>
      </c>
      <c r="AN109" s="12">
        <f t="shared" si="18"/>
        <v>0</v>
      </c>
      <c r="AO109" s="12">
        <f t="shared" si="18"/>
        <v>44</v>
      </c>
      <c r="AP109" s="12">
        <f t="shared" si="18"/>
        <v>93.7</v>
      </c>
      <c r="AQ109" s="12">
        <f t="shared" si="18"/>
        <v>87.5</v>
      </c>
      <c r="AR109" s="12">
        <f t="shared" si="29"/>
        <v>23.599999999999998</v>
      </c>
      <c r="AS109" s="12">
        <f t="shared" si="29"/>
        <v>39.1</v>
      </c>
      <c r="AT109" s="12">
        <f t="shared" si="29"/>
        <v>39.1</v>
      </c>
      <c r="AU109" s="12">
        <f t="shared" si="27"/>
        <v>96.9</v>
      </c>
      <c r="AV109" s="12">
        <f t="shared" si="30"/>
        <v>6.8000000000000007</v>
      </c>
      <c r="AW109" s="12">
        <f t="shared" si="30"/>
        <v>93.7</v>
      </c>
      <c r="AX109" s="12">
        <f t="shared" si="28"/>
        <v>70.900000000000006</v>
      </c>
      <c r="AY109" s="9"/>
      <c r="AZ109" s="12">
        <f t="shared" si="31"/>
        <v>68.899999999999991</v>
      </c>
      <c r="BA109" s="12">
        <f t="shared" si="31"/>
        <v>57.099999999999994</v>
      </c>
      <c r="BB109" s="12">
        <f t="shared" si="31"/>
        <v>62.1</v>
      </c>
      <c r="BC109" s="12">
        <f t="shared" si="31"/>
        <v>84.399999999999991</v>
      </c>
      <c r="BD109" s="12">
        <f t="shared" si="32"/>
        <v>65.2</v>
      </c>
      <c r="BE109" s="12">
        <f t="shared" si="19"/>
        <v>93.7</v>
      </c>
      <c r="BF109" s="12">
        <f t="shared" si="19"/>
        <v>96.8</v>
      </c>
      <c r="BG109" s="12">
        <f t="shared" si="19"/>
        <v>65.2</v>
      </c>
      <c r="BH109" s="12">
        <f t="shared" si="19"/>
        <v>54</v>
      </c>
      <c r="BI109" s="12">
        <f t="shared" si="20"/>
        <v>86.3</v>
      </c>
    </row>
    <row r="110" spans="1:61" ht="15.75" customHeight="1" x14ac:dyDescent="0.25">
      <c r="A110" s="1" t="s">
        <v>238</v>
      </c>
      <c r="B110" s="3" t="s">
        <v>164</v>
      </c>
      <c r="C110" s="4" t="s">
        <v>87</v>
      </c>
      <c r="D110" s="4">
        <v>8</v>
      </c>
      <c r="E110" s="4">
        <v>94</v>
      </c>
      <c r="F110" s="4">
        <v>8</v>
      </c>
      <c r="G110" s="4">
        <v>94</v>
      </c>
      <c r="H110" s="4">
        <v>11.6</v>
      </c>
      <c r="I110" s="4">
        <v>0.57099999999999995</v>
      </c>
      <c r="J110" s="4">
        <v>0.54800000000000004</v>
      </c>
      <c r="K110" s="4">
        <v>0.38100000000000001</v>
      </c>
      <c r="L110" s="4">
        <v>0.28599999999999998</v>
      </c>
      <c r="M110" s="4">
        <v>12.7</v>
      </c>
      <c r="N110" s="4">
        <v>14.1</v>
      </c>
      <c r="O110" s="4">
        <v>3.4</v>
      </c>
      <c r="P110" s="4">
        <v>1.6</v>
      </c>
      <c r="Q110" s="4">
        <v>6</v>
      </c>
      <c r="R110" s="4">
        <v>22.8</v>
      </c>
      <c r="S110" s="4">
        <v>14.2</v>
      </c>
      <c r="T110" s="4">
        <v>103</v>
      </c>
      <c r="U110" s="4">
        <v>112</v>
      </c>
      <c r="V110" s="4">
        <v>0</v>
      </c>
      <c r="W110" s="4">
        <v>0</v>
      </c>
      <c r="X110" s="4">
        <v>0.1</v>
      </c>
      <c r="Y110" s="4">
        <v>0.1</v>
      </c>
      <c r="Z110" s="4">
        <v>0.04</v>
      </c>
      <c r="AA110" s="13">
        <f>(I110/TOTAL_BASIC!$D$301)*100</f>
        <v>102.29397496522947</v>
      </c>
      <c r="AB110" s="5">
        <f t="shared" si="21"/>
        <v>1.03</v>
      </c>
      <c r="AC110" s="3">
        <f t="shared" si="33"/>
        <v>-9</v>
      </c>
      <c r="AD110" s="9">
        <f t="shared" si="22"/>
        <v>1.1419999999999999</v>
      </c>
      <c r="AE110" s="16">
        <f t="shared" si="23"/>
        <v>0.23943661971830987</v>
      </c>
      <c r="AF110" s="16">
        <f t="shared" si="24"/>
        <v>0.14912280701754385</v>
      </c>
      <c r="AG110" s="9"/>
      <c r="AH110" s="9"/>
      <c r="AI110" s="12">
        <f t="shared" si="25"/>
        <v>69.5</v>
      </c>
      <c r="AJ110" s="12">
        <f t="shared" si="26"/>
        <v>32.9</v>
      </c>
      <c r="AK110" s="12">
        <f t="shared" si="26"/>
        <v>35.4</v>
      </c>
      <c r="AL110" s="12">
        <f t="shared" si="26"/>
        <v>54</v>
      </c>
      <c r="AM110" s="12">
        <f t="shared" si="26"/>
        <v>62.1</v>
      </c>
      <c r="AN110" s="12">
        <f t="shared" si="18"/>
        <v>49</v>
      </c>
      <c r="AO110" s="12">
        <f t="shared" si="18"/>
        <v>44</v>
      </c>
      <c r="AP110" s="12">
        <f t="shared" si="18"/>
        <v>91.9</v>
      </c>
      <c r="AQ110" s="12">
        <f t="shared" si="18"/>
        <v>81.3</v>
      </c>
      <c r="AR110" s="12">
        <f t="shared" si="29"/>
        <v>3.6999999999999997</v>
      </c>
      <c r="AS110" s="12">
        <f t="shared" si="29"/>
        <v>45.300000000000004</v>
      </c>
      <c r="AT110" s="12">
        <f t="shared" si="29"/>
        <v>94.399999999999991</v>
      </c>
      <c r="AU110" s="12">
        <f t="shared" si="27"/>
        <v>13.700000000000003</v>
      </c>
      <c r="AV110" s="12">
        <f t="shared" si="30"/>
        <v>16.7</v>
      </c>
      <c r="AW110" s="12">
        <f t="shared" si="30"/>
        <v>38.5</v>
      </c>
      <c r="AX110" s="12">
        <f t="shared" si="28"/>
        <v>29.200000000000003</v>
      </c>
      <c r="AY110" s="9"/>
      <c r="AZ110" s="12">
        <f t="shared" si="31"/>
        <v>22.3</v>
      </c>
      <c r="BA110" s="12">
        <f t="shared" si="31"/>
        <v>24.2</v>
      </c>
      <c r="BB110" s="12">
        <f t="shared" si="31"/>
        <v>27.3</v>
      </c>
      <c r="BC110" s="12">
        <f t="shared" si="31"/>
        <v>29.099999999999998</v>
      </c>
      <c r="BD110" s="12">
        <f t="shared" si="32"/>
        <v>54</v>
      </c>
      <c r="BE110" s="12">
        <f t="shared" si="19"/>
        <v>38.5</v>
      </c>
      <c r="BF110" s="12">
        <f t="shared" si="19"/>
        <v>32.9</v>
      </c>
      <c r="BG110" s="12">
        <f t="shared" si="19"/>
        <v>54</v>
      </c>
      <c r="BH110" s="12">
        <f t="shared" si="19"/>
        <v>4.9000000000000004</v>
      </c>
      <c r="BI110" s="12">
        <f t="shared" si="20"/>
        <v>4.9000000000000004</v>
      </c>
    </row>
    <row r="111" spans="1:61" ht="15.75" customHeight="1" x14ac:dyDescent="0.25">
      <c r="A111" s="1" t="s">
        <v>208</v>
      </c>
      <c r="B111" s="3" t="s">
        <v>109</v>
      </c>
      <c r="C111" s="4" t="s">
        <v>8</v>
      </c>
      <c r="D111" s="4">
        <v>9</v>
      </c>
      <c r="E111" s="4">
        <v>94</v>
      </c>
      <c r="F111" s="4">
        <v>9</v>
      </c>
      <c r="G111" s="4">
        <v>94</v>
      </c>
      <c r="H111" s="4">
        <v>11.8</v>
      </c>
      <c r="I111" s="4">
        <v>0.499</v>
      </c>
      <c r="J111" s="4">
        <v>0.438</v>
      </c>
      <c r="K111" s="4">
        <v>0.40600000000000003</v>
      </c>
      <c r="L111" s="4">
        <v>0.219</v>
      </c>
      <c r="M111" s="4">
        <v>9.5</v>
      </c>
      <c r="N111" s="4">
        <v>10.3</v>
      </c>
      <c r="O111" s="4">
        <v>7.5</v>
      </c>
      <c r="P111" s="4">
        <v>1.1000000000000001</v>
      </c>
      <c r="Q111" s="4">
        <v>0</v>
      </c>
      <c r="R111" s="4">
        <v>5.4</v>
      </c>
      <c r="S111" s="4">
        <v>17</v>
      </c>
      <c r="T111" s="4">
        <v>112</v>
      </c>
      <c r="U111" s="4">
        <v>115</v>
      </c>
      <c r="V111" s="4">
        <v>0</v>
      </c>
      <c r="W111" s="4">
        <v>0.1</v>
      </c>
      <c r="X111" s="4">
        <v>0</v>
      </c>
      <c r="Y111" s="4">
        <v>0.2</v>
      </c>
      <c r="Z111" s="4">
        <v>6.5000000000000002E-2</v>
      </c>
      <c r="AA111" s="13">
        <f>(I111/TOTAL_BASIC!$D$301)*100</f>
        <v>89.39526008344923</v>
      </c>
      <c r="AB111" s="5">
        <f t="shared" si="21"/>
        <v>1.1200000000000001</v>
      </c>
      <c r="AC111" s="3">
        <f t="shared" si="33"/>
        <v>-3</v>
      </c>
      <c r="AD111" s="9">
        <f t="shared" si="22"/>
        <v>0.998</v>
      </c>
      <c r="AE111" s="16">
        <f t="shared" si="23"/>
        <v>0.44117647058823528</v>
      </c>
      <c r="AF111" s="16">
        <f t="shared" si="24"/>
        <v>1.3888888888888888</v>
      </c>
      <c r="AG111" s="9"/>
      <c r="AH111" s="9"/>
      <c r="AI111" s="12">
        <f t="shared" si="25"/>
        <v>96.2</v>
      </c>
      <c r="AJ111" s="12">
        <f t="shared" si="26"/>
        <v>32.9</v>
      </c>
      <c r="AK111" s="12">
        <f t="shared" si="26"/>
        <v>36</v>
      </c>
      <c r="AL111" s="12">
        <f t="shared" si="26"/>
        <v>27.3</v>
      </c>
      <c r="AM111" s="12">
        <f t="shared" si="26"/>
        <v>24.2</v>
      </c>
      <c r="AN111" s="12">
        <f t="shared" si="18"/>
        <v>54</v>
      </c>
      <c r="AO111" s="12">
        <f t="shared" si="18"/>
        <v>32.200000000000003</v>
      </c>
      <c r="AP111" s="12">
        <f t="shared" si="18"/>
        <v>80.7</v>
      </c>
      <c r="AQ111" s="12">
        <f t="shared" si="18"/>
        <v>61.4</v>
      </c>
      <c r="AR111" s="12">
        <f t="shared" si="29"/>
        <v>20.399999999999999</v>
      </c>
      <c r="AS111" s="12">
        <f t="shared" si="29"/>
        <v>22.3</v>
      </c>
      <c r="AT111" s="12">
        <f t="shared" si="29"/>
        <v>0</v>
      </c>
      <c r="AU111" s="12">
        <f t="shared" si="27"/>
        <v>96.3</v>
      </c>
      <c r="AV111" s="12">
        <f t="shared" si="30"/>
        <v>36.6</v>
      </c>
      <c r="AW111" s="12">
        <f t="shared" si="30"/>
        <v>63.3</v>
      </c>
      <c r="AX111" s="12">
        <f t="shared" si="28"/>
        <v>12.5</v>
      </c>
      <c r="AY111" s="9"/>
      <c r="AZ111" s="12">
        <f t="shared" si="31"/>
        <v>40.300000000000004</v>
      </c>
      <c r="BA111" s="12">
        <f t="shared" si="31"/>
        <v>3.1</v>
      </c>
      <c r="BB111" s="12">
        <f t="shared" si="31"/>
        <v>39.700000000000003</v>
      </c>
      <c r="BC111" s="12">
        <f t="shared" si="31"/>
        <v>39.700000000000003</v>
      </c>
      <c r="BD111" s="12">
        <f t="shared" si="32"/>
        <v>27.3</v>
      </c>
      <c r="BE111" s="12">
        <f t="shared" si="19"/>
        <v>63.3</v>
      </c>
      <c r="BF111" s="12">
        <f t="shared" si="19"/>
        <v>43.4</v>
      </c>
      <c r="BG111" s="12">
        <f t="shared" si="19"/>
        <v>27.3</v>
      </c>
      <c r="BH111" s="12">
        <f t="shared" si="19"/>
        <v>22.900000000000002</v>
      </c>
      <c r="BI111" s="12">
        <f t="shared" si="20"/>
        <v>73.2</v>
      </c>
    </row>
    <row r="112" spans="1:61" ht="15.75" customHeight="1" x14ac:dyDescent="0.25">
      <c r="A112" s="1" t="s">
        <v>220</v>
      </c>
      <c r="B112" s="3" t="s">
        <v>98</v>
      </c>
      <c r="C112" s="4" t="s">
        <v>8</v>
      </c>
      <c r="D112" s="4">
        <v>7</v>
      </c>
      <c r="E112" s="4">
        <v>92</v>
      </c>
      <c r="F112" s="4">
        <v>7</v>
      </c>
      <c r="G112" s="4">
        <v>92</v>
      </c>
      <c r="H112" s="4">
        <v>14.1</v>
      </c>
      <c r="I112" s="4">
        <v>0.54700000000000004</v>
      </c>
      <c r="J112" s="4">
        <v>0.51900000000000002</v>
      </c>
      <c r="K112" s="4">
        <v>0.55600000000000005</v>
      </c>
      <c r="L112" s="4">
        <v>0.111</v>
      </c>
      <c r="M112" s="4">
        <v>5.7</v>
      </c>
      <c r="N112" s="4">
        <v>7.6</v>
      </c>
      <c r="O112" s="4">
        <v>15.9</v>
      </c>
      <c r="P112" s="4">
        <v>2.2000000000000002</v>
      </c>
      <c r="Q112" s="4">
        <v>2.1</v>
      </c>
      <c r="R112" s="4">
        <v>12.4</v>
      </c>
      <c r="S112" s="4">
        <v>15.4</v>
      </c>
      <c r="T112" s="4">
        <v>117</v>
      </c>
      <c r="U112" s="4">
        <v>104</v>
      </c>
      <c r="V112" s="4">
        <v>0</v>
      </c>
      <c r="W112" s="4">
        <v>0.2</v>
      </c>
      <c r="X112" s="4">
        <v>0.2</v>
      </c>
      <c r="Y112" s="4">
        <v>0.4</v>
      </c>
      <c r="Z112" s="4">
        <v>0.155</v>
      </c>
      <c r="AA112" s="13">
        <f>(I112/TOTAL_BASIC!$D$301)*100</f>
        <v>97.994403337969402</v>
      </c>
      <c r="AB112" s="5">
        <f t="shared" si="21"/>
        <v>1.17</v>
      </c>
      <c r="AC112" s="3">
        <f t="shared" si="33"/>
        <v>13</v>
      </c>
      <c r="AD112" s="9">
        <f t="shared" si="22"/>
        <v>1.0940000000000001</v>
      </c>
      <c r="AE112" s="16">
        <f t="shared" si="23"/>
        <v>1.0324675324675325</v>
      </c>
      <c r="AF112" s="16">
        <f t="shared" si="24"/>
        <v>1.282258064516129</v>
      </c>
      <c r="AG112" s="9"/>
      <c r="AH112" s="9"/>
      <c r="AI112" s="12">
        <f t="shared" si="25"/>
        <v>47.199999999999996</v>
      </c>
      <c r="AJ112" s="12">
        <f t="shared" si="26"/>
        <v>32.200000000000003</v>
      </c>
      <c r="AK112" s="12">
        <f t="shared" si="26"/>
        <v>49.6</v>
      </c>
      <c r="AL112" s="12">
        <f t="shared" si="26"/>
        <v>42.8</v>
      </c>
      <c r="AM112" s="12">
        <f t="shared" si="26"/>
        <v>52.1</v>
      </c>
      <c r="AN112" s="12">
        <f t="shared" si="18"/>
        <v>77.600000000000009</v>
      </c>
      <c r="AO112" s="12">
        <f t="shared" si="18"/>
        <v>13.600000000000001</v>
      </c>
      <c r="AP112" s="12">
        <f t="shared" si="18"/>
        <v>68.300000000000011</v>
      </c>
      <c r="AQ112" s="12">
        <f t="shared" si="18"/>
        <v>39.1</v>
      </c>
      <c r="AR112" s="12">
        <f t="shared" si="29"/>
        <v>63.9</v>
      </c>
      <c r="AS112" s="12">
        <f t="shared" si="29"/>
        <v>67</v>
      </c>
      <c r="AT112" s="12">
        <f t="shared" si="29"/>
        <v>62.7</v>
      </c>
      <c r="AU112" s="12">
        <f t="shared" si="27"/>
        <v>65.900000000000006</v>
      </c>
      <c r="AV112" s="12">
        <f t="shared" si="30"/>
        <v>24.8</v>
      </c>
      <c r="AW112" s="12">
        <f t="shared" si="30"/>
        <v>73.2</v>
      </c>
      <c r="AX112" s="12">
        <f t="shared" si="28"/>
        <v>76.400000000000006</v>
      </c>
      <c r="AY112" s="9"/>
      <c r="AZ112" s="12">
        <f t="shared" si="31"/>
        <v>57.099999999999994</v>
      </c>
      <c r="BA112" s="12">
        <f t="shared" si="31"/>
        <v>57.099999999999994</v>
      </c>
      <c r="BB112" s="12">
        <f t="shared" si="31"/>
        <v>62.1</v>
      </c>
      <c r="BC112" s="12">
        <f t="shared" si="31"/>
        <v>73.2</v>
      </c>
      <c r="BD112" s="12">
        <f t="shared" si="32"/>
        <v>42.8</v>
      </c>
      <c r="BE112" s="12">
        <f t="shared" si="19"/>
        <v>73.2</v>
      </c>
      <c r="BF112" s="12">
        <f t="shared" si="19"/>
        <v>80.100000000000009</v>
      </c>
      <c r="BG112" s="12">
        <f t="shared" si="19"/>
        <v>42.8</v>
      </c>
      <c r="BH112" s="12">
        <f t="shared" si="19"/>
        <v>73.2</v>
      </c>
      <c r="BI112" s="12">
        <f t="shared" si="20"/>
        <v>65.2</v>
      </c>
    </row>
    <row r="113" spans="1:61" ht="15.75" customHeight="1" x14ac:dyDescent="0.25">
      <c r="A113" s="1" t="s">
        <v>196</v>
      </c>
      <c r="B113" s="3" t="s">
        <v>98</v>
      </c>
      <c r="C113" s="4" t="s">
        <v>8</v>
      </c>
      <c r="D113" s="4">
        <v>7</v>
      </c>
      <c r="E113" s="4">
        <v>86</v>
      </c>
      <c r="F113" s="4">
        <v>7</v>
      </c>
      <c r="G113" s="4">
        <v>86</v>
      </c>
      <c r="H113" s="4">
        <v>6.8</v>
      </c>
      <c r="I113" s="4">
        <v>0.59499999999999997</v>
      </c>
      <c r="J113" s="4">
        <v>0.57699999999999996</v>
      </c>
      <c r="K113" s="4">
        <v>0.53800000000000003</v>
      </c>
      <c r="L113" s="4">
        <v>7.6999999999999999E-2</v>
      </c>
      <c r="M113" s="4">
        <v>1.5</v>
      </c>
      <c r="N113" s="4">
        <v>2</v>
      </c>
      <c r="O113" s="4">
        <v>11.6</v>
      </c>
      <c r="P113" s="4">
        <v>1.2</v>
      </c>
      <c r="Q113" s="4">
        <v>0</v>
      </c>
      <c r="R113" s="4">
        <v>18.2</v>
      </c>
      <c r="S113" s="4">
        <v>8.4</v>
      </c>
      <c r="T113" s="4">
        <v>117</v>
      </c>
      <c r="U113" s="4">
        <v>110</v>
      </c>
      <c r="V113" s="4">
        <v>0</v>
      </c>
      <c r="W113" s="4">
        <v>0.1</v>
      </c>
      <c r="X113" s="4">
        <v>0.1</v>
      </c>
      <c r="Y113" s="4">
        <v>0.2</v>
      </c>
      <c r="Z113" s="4">
        <v>8.3000000000000004E-2</v>
      </c>
      <c r="AA113" s="13">
        <f>(I113/TOTAL_BASIC!$D$301)*100</f>
        <v>106.59354659248956</v>
      </c>
      <c r="AB113" s="5">
        <f t="shared" si="21"/>
        <v>1.17</v>
      </c>
      <c r="AC113" s="3">
        <f t="shared" si="33"/>
        <v>7</v>
      </c>
      <c r="AD113" s="9">
        <f t="shared" si="22"/>
        <v>1.19</v>
      </c>
      <c r="AE113" s="16">
        <f t="shared" si="23"/>
        <v>1.3809523809523809</v>
      </c>
      <c r="AF113" s="16">
        <f t="shared" si="24"/>
        <v>0.63736263736263732</v>
      </c>
      <c r="AG113" s="9"/>
      <c r="AH113" s="9"/>
      <c r="AI113" s="12">
        <f t="shared" si="25"/>
        <v>47.199999999999996</v>
      </c>
      <c r="AJ113" s="12">
        <f t="shared" si="26"/>
        <v>31.6</v>
      </c>
      <c r="AK113" s="12">
        <f t="shared" si="26"/>
        <v>11.799999999999999</v>
      </c>
      <c r="AL113" s="12">
        <f t="shared" si="26"/>
        <v>67</v>
      </c>
      <c r="AM113" s="12">
        <f t="shared" si="26"/>
        <v>72.599999999999994</v>
      </c>
      <c r="AN113" s="12">
        <f t="shared" si="18"/>
        <v>75.7</v>
      </c>
      <c r="AO113" s="12">
        <f t="shared" si="18"/>
        <v>8</v>
      </c>
      <c r="AP113" s="12">
        <f t="shared" si="18"/>
        <v>21.099999999999998</v>
      </c>
      <c r="AQ113" s="12">
        <f t="shared" si="18"/>
        <v>3.6999999999999997</v>
      </c>
      <c r="AR113" s="12">
        <f t="shared" si="29"/>
        <v>44</v>
      </c>
      <c r="AS113" s="12">
        <f t="shared" si="29"/>
        <v>25.4</v>
      </c>
      <c r="AT113" s="12">
        <f t="shared" si="29"/>
        <v>0</v>
      </c>
      <c r="AU113" s="12">
        <f t="shared" si="27"/>
        <v>31.100000000000009</v>
      </c>
      <c r="AV113" s="12">
        <f t="shared" si="30"/>
        <v>1.2</v>
      </c>
      <c r="AW113" s="12">
        <f t="shared" si="30"/>
        <v>73.2</v>
      </c>
      <c r="AX113" s="12">
        <f t="shared" si="28"/>
        <v>41</v>
      </c>
      <c r="AY113" s="9"/>
      <c r="AZ113" s="12">
        <f t="shared" si="31"/>
        <v>40.300000000000004</v>
      </c>
      <c r="BA113" s="12">
        <f t="shared" si="31"/>
        <v>24.2</v>
      </c>
      <c r="BB113" s="12">
        <f t="shared" si="31"/>
        <v>39.700000000000003</v>
      </c>
      <c r="BC113" s="12">
        <f t="shared" si="31"/>
        <v>46.5</v>
      </c>
      <c r="BD113" s="12">
        <f t="shared" si="32"/>
        <v>67</v>
      </c>
      <c r="BE113" s="12">
        <f t="shared" si="19"/>
        <v>73.2</v>
      </c>
      <c r="BF113" s="12">
        <f t="shared" si="19"/>
        <v>64.5</v>
      </c>
      <c r="BG113" s="12">
        <f t="shared" si="19"/>
        <v>67</v>
      </c>
      <c r="BH113" s="12">
        <f t="shared" si="19"/>
        <v>85</v>
      </c>
      <c r="BI113" s="12">
        <f t="shared" si="20"/>
        <v>30.4</v>
      </c>
    </row>
    <row r="114" spans="1:61" ht="15.75" customHeight="1" x14ac:dyDescent="0.25">
      <c r="A114" s="1" t="s">
        <v>200</v>
      </c>
      <c r="B114" s="3" t="s">
        <v>101</v>
      </c>
      <c r="C114" s="4" t="s">
        <v>8</v>
      </c>
      <c r="D114" s="4">
        <v>8</v>
      </c>
      <c r="E114" s="4">
        <v>85</v>
      </c>
      <c r="F114" s="4">
        <v>8</v>
      </c>
      <c r="G114" s="4">
        <v>85</v>
      </c>
      <c r="H114" s="4">
        <v>18.100000000000001</v>
      </c>
      <c r="I114" s="4">
        <v>0.47299999999999998</v>
      </c>
      <c r="J114" s="4">
        <v>0.41299999999999998</v>
      </c>
      <c r="K114" s="4">
        <v>0.375</v>
      </c>
      <c r="L114" s="4">
        <v>0.25</v>
      </c>
      <c r="M114" s="4">
        <v>7.1</v>
      </c>
      <c r="N114" s="4">
        <v>13.2</v>
      </c>
      <c r="O114" s="4">
        <v>14.7</v>
      </c>
      <c r="P114" s="4">
        <v>5.4</v>
      </c>
      <c r="Q114" s="4">
        <v>3</v>
      </c>
      <c r="R114" s="4">
        <v>10.1</v>
      </c>
      <c r="S114" s="4">
        <v>26.4</v>
      </c>
      <c r="T114" s="4">
        <v>100</v>
      </c>
      <c r="U114" s="4">
        <v>99</v>
      </c>
      <c r="V114" s="4">
        <v>0</v>
      </c>
      <c r="W114" s="4">
        <v>0</v>
      </c>
      <c r="X114" s="4">
        <v>0.2</v>
      </c>
      <c r="Y114" s="4">
        <v>0.2</v>
      </c>
      <c r="Z114" s="4">
        <v>0.10299999999999999</v>
      </c>
      <c r="AA114" s="13">
        <f>(I114/TOTAL_BASIC!$D$301)*100</f>
        <v>84.737390820584139</v>
      </c>
      <c r="AB114" s="5">
        <f t="shared" si="21"/>
        <v>1</v>
      </c>
      <c r="AC114" s="3">
        <f t="shared" si="33"/>
        <v>1</v>
      </c>
      <c r="AD114" s="9">
        <f t="shared" si="22"/>
        <v>0.94599999999999995</v>
      </c>
      <c r="AE114" s="16">
        <f t="shared" si="23"/>
        <v>0.55681818181818177</v>
      </c>
      <c r="AF114" s="16">
        <f t="shared" si="24"/>
        <v>1.4554455445544554</v>
      </c>
      <c r="AG114" s="9"/>
      <c r="AH114" s="9"/>
      <c r="AI114" s="12">
        <f t="shared" si="25"/>
        <v>69.5</v>
      </c>
      <c r="AJ114" s="12">
        <f t="shared" si="26"/>
        <v>31</v>
      </c>
      <c r="AK114" s="12">
        <f t="shared" si="26"/>
        <v>72.599999999999994</v>
      </c>
      <c r="AL114" s="12">
        <f t="shared" si="26"/>
        <v>19.2</v>
      </c>
      <c r="AM114" s="12">
        <f t="shared" si="26"/>
        <v>18.600000000000001</v>
      </c>
      <c r="AN114" s="12">
        <f t="shared" si="18"/>
        <v>46.5</v>
      </c>
      <c r="AO114" s="12">
        <f t="shared" si="18"/>
        <v>36.6</v>
      </c>
      <c r="AP114" s="12">
        <f t="shared" si="18"/>
        <v>76.3</v>
      </c>
      <c r="AQ114" s="12">
        <f t="shared" si="18"/>
        <v>77</v>
      </c>
      <c r="AR114" s="12">
        <f t="shared" si="29"/>
        <v>58.3</v>
      </c>
      <c r="AS114" s="12">
        <f t="shared" si="29"/>
        <v>100</v>
      </c>
      <c r="AT114" s="12">
        <f t="shared" si="29"/>
        <v>78.2</v>
      </c>
      <c r="AU114" s="12">
        <f t="shared" si="27"/>
        <v>80.2</v>
      </c>
      <c r="AV114" s="12">
        <f t="shared" si="30"/>
        <v>87.5</v>
      </c>
      <c r="AW114" s="12">
        <f t="shared" si="30"/>
        <v>32.9</v>
      </c>
      <c r="AX114" s="12">
        <f t="shared" si="28"/>
        <v>96.9</v>
      </c>
      <c r="AY114" s="9"/>
      <c r="AZ114" s="12">
        <f t="shared" si="31"/>
        <v>22.3</v>
      </c>
      <c r="BA114" s="12">
        <f t="shared" si="31"/>
        <v>57.099999999999994</v>
      </c>
      <c r="BB114" s="12">
        <f t="shared" si="31"/>
        <v>39.700000000000003</v>
      </c>
      <c r="BC114" s="12">
        <f t="shared" si="31"/>
        <v>52.1</v>
      </c>
      <c r="BD114" s="12">
        <f t="shared" si="32"/>
        <v>19.2</v>
      </c>
      <c r="BE114" s="12">
        <f t="shared" si="19"/>
        <v>32.9</v>
      </c>
      <c r="BF114" s="12">
        <f t="shared" si="19"/>
        <v>50.3</v>
      </c>
      <c r="BG114" s="12">
        <f t="shared" si="19"/>
        <v>19.2</v>
      </c>
      <c r="BH114" s="12">
        <f t="shared" si="19"/>
        <v>37.799999999999997</v>
      </c>
      <c r="BI114" s="12">
        <f t="shared" si="20"/>
        <v>76.3</v>
      </c>
    </row>
    <row r="115" spans="1:61" ht="15.75" customHeight="1" x14ac:dyDescent="0.25">
      <c r="A115" s="1" t="s">
        <v>216</v>
      </c>
      <c r="B115" s="3" t="s">
        <v>142</v>
      </c>
      <c r="C115" s="4" t="s">
        <v>90</v>
      </c>
      <c r="D115" s="4">
        <v>6</v>
      </c>
      <c r="E115" s="4">
        <v>83</v>
      </c>
      <c r="F115" s="4">
        <v>6</v>
      </c>
      <c r="G115" s="4">
        <v>83</v>
      </c>
      <c r="H115" s="4">
        <v>13.5</v>
      </c>
      <c r="I115" s="4">
        <v>0.53600000000000003</v>
      </c>
      <c r="J115" s="4">
        <v>0.46200000000000002</v>
      </c>
      <c r="K115" s="4">
        <v>0</v>
      </c>
      <c r="L115" s="4">
        <v>0.5</v>
      </c>
      <c r="M115" s="4">
        <v>11.2</v>
      </c>
      <c r="N115" s="4">
        <v>13.4</v>
      </c>
      <c r="O115" s="4">
        <v>4.4000000000000004</v>
      </c>
      <c r="P115" s="4">
        <v>0</v>
      </c>
      <c r="Q115" s="4">
        <v>1.2</v>
      </c>
      <c r="R115" s="4">
        <v>8.6</v>
      </c>
      <c r="S115" s="4">
        <v>19.100000000000001</v>
      </c>
      <c r="T115" s="4">
        <v>114</v>
      </c>
      <c r="U115" s="4">
        <v>112</v>
      </c>
      <c r="V115" s="4">
        <v>0</v>
      </c>
      <c r="W115" s="4">
        <v>0.2</v>
      </c>
      <c r="X115" s="4">
        <v>0.1</v>
      </c>
      <c r="Y115" s="4">
        <v>0.2</v>
      </c>
      <c r="Z115" s="4">
        <v>0.10299999999999999</v>
      </c>
      <c r="AA115" s="13">
        <f>(I115/TOTAL_BASIC!$D$301)*100</f>
        <v>96.023766342141869</v>
      </c>
      <c r="AB115" s="5">
        <f t="shared" si="21"/>
        <v>1.1399999999999999</v>
      </c>
      <c r="AC115" s="3">
        <f t="shared" si="33"/>
        <v>2</v>
      </c>
      <c r="AD115" s="9">
        <f t="shared" si="22"/>
        <v>1.0720000000000001</v>
      </c>
      <c r="AE115" s="16">
        <f t="shared" si="23"/>
        <v>0.23036649214659685</v>
      </c>
      <c r="AF115" s="16">
        <f t="shared" si="24"/>
        <v>0.51162790697674421</v>
      </c>
      <c r="AG115" s="9"/>
      <c r="AH115" s="9"/>
      <c r="AI115" s="12">
        <f t="shared" si="25"/>
        <v>25.4</v>
      </c>
      <c r="AJ115" s="12">
        <f t="shared" si="26"/>
        <v>29.799999999999997</v>
      </c>
      <c r="AK115" s="12">
        <f t="shared" si="26"/>
        <v>44.7</v>
      </c>
      <c r="AL115" s="12">
        <f t="shared" si="26"/>
        <v>40.300000000000004</v>
      </c>
      <c r="AM115" s="12">
        <f t="shared" si="26"/>
        <v>29.799999999999997</v>
      </c>
      <c r="AN115" s="12">
        <f t="shared" si="18"/>
        <v>0</v>
      </c>
      <c r="AO115" s="12">
        <f t="shared" si="18"/>
        <v>80.7</v>
      </c>
      <c r="AP115" s="12">
        <f t="shared" si="18"/>
        <v>86.3</v>
      </c>
      <c r="AQ115" s="12">
        <f t="shared" si="18"/>
        <v>77.600000000000009</v>
      </c>
      <c r="AR115" s="12">
        <f t="shared" si="29"/>
        <v>7.3999999999999995</v>
      </c>
      <c r="AS115" s="12">
        <f t="shared" si="29"/>
        <v>0</v>
      </c>
      <c r="AT115" s="12">
        <f t="shared" si="29"/>
        <v>46.5</v>
      </c>
      <c r="AU115" s="12">
        <f t="shared" si="27"/>
        <v>86.4</v>
      </c>
      <c r="AV115" s="12">
        <f t="shared" si="30"/>
        <v>56.499999999999993</v>
      </c>
      <c r="AW115" s="12">
        <f t="shared" si="30"/>
        <v>67</v>
      </c>
      <c r="AX115" s="12">
        <f t="shared" si="28"/>
        <v>29.200000000000003</v>
      </c>
      <c r="AY115" s="9"/>
      <c r="AZ115" s="12">
        <f t="shared" si="31"/>
        <v>57.099999999999994</v>
      </c>
      <c r="BA115" s="12">
        <f t="shared" si="31"/>
        <v>24.2</v>
      </c>
      <c r="BB115" s="12">
        <f t="shared" si="31"/>
        <v>39.700000000000003</v>
      </c>
      <c r="BC115" s="12">
        <f t="shared" si="31"/>
        <v>52.1</v>
      </c>
      <c r="BD115" s="12">
        <f t="shared" si="32"/>
        <v>40.300000000000004</v>
      </c>
      <c r="BE115" s="12">
        <f t="shared" si="19"/>
        <v>67</v>
      </c>
      <c r="BF115" s="12">
        <f t="shared" si="19"/>
        <v>54</v>
      </c>
      <c r="BG115" s="12">
        <f t="shared" si="19"/>
        <v>40.300000000000004</v>
      </c>
      <c r="BH115" s="12">
        <f t="shared" si="19"/>
        <v>4.3</v>
      </c>
      <c r="BI115" s="12">
        <f t="shared" si="20"/>
        <v>24.2</v>
      </c>
    </row>
    <row r="116" spans="1:61" ht="15.75" customHeight="1" x14ac:dyDescent="0.25">
      <c r="A116" s="1" t="s">
        <v>188</v>
      </c>
      <c r="B116" s="3" t="s">
        <v>109</v>
      </c>
      <c r="C116" s="4" t="s">
        <v>90</v>
      </c>
      <c r="D116" s="4">
        <v>5</v>
      </c>
      <c r="E116" s="4">
        <v>83</v>
      </c>
      <c r="F116" s="4">
        <v>5</v>
      </c>
      <c r="G116" s="4">
        <v>83</v>
      </c>
      <c r="H116" s="4">
        <v>20.100000000000001</v>
      </c>
      <c r="I116" s="4">
        <v>0.61599999999999999</v>
      </c>
      <c r="J116" s="4">
        <v>0.57899999999999996</v>
      </c>
      <c r="K116" s="4">
        <v>0</v>
      </c>
      <c r="L116" s="4">
        <v>0.73699999999999999</v>
      </c>
      <c r="M116" s="4">
        <v>6.7</v>
      </c>
      <c r="N116" s="4">
        <v>10.199999999999999</v>
      </c>
      <c r="O116" s="4">
        <v>33.799999999999997</v>
      </c>
      <c r="P116" s="4">
        <v>3</v>
      </c>
      <c r="Q116" s="4">
        <v>3.6</v>
      </c>
      <c r="R116" s="4">
        <v>16.600000000000001</v>
      </c>
      <c r="S116" s="4">
        <v>15.7</v>
      </c>
      <c r="T116" s="4">
        <v>123</v>
      </c>
      <c r="U116" s="4">
        <v>108</v>
      </c>
      <c r="V116" s="4">
        <v>0</v>
      </c>
      <c r="W116" s="4">
        <v>0.2</v>
      </c>
      <c r="X116" s="4">
        <v>0.1</v>
      </c>
      <c r="Y116" s="4">
        <v>0.3</v>
      </c>
      <c r="Z116" s="4">
        <v>0.16700000000000001</v>
      </c>
      <c r="AA116" s="13">
        <f>(I116/TOTAL_BASIC!$D$301)*100</f>
        <v>110.35567176634214</v>
      </c>
      <c r="AB116" s="5">
        <f t="shared" si="21"/>
        <v>1.23</v>
      </c>
      <c r="AC116" s="3">
        <f t="shared" si="33"/>
        <v>15</v>
      </c>
      <c r="AD116" s="9">
        <f t="shared" si="22"/>
        <v>1.232</v>
      </c>
      <c r="AE116" s="16">
        <f t="shared" si="23"/>
        <v>2.1528662420382165</v>
      </c>
      <c r="AF116" s="16">
        <f t="shared" si="24"/>
        <v>2.0361445783132526</v>
      </c>
      <c r="AG116" s="9"/>
      <c r="AH116" s="9"/>
      <c r="AI116" s="12">
        <f t="shared" si="25"/>
        <v>16.100000000000001</v>
      </c>
      <c r="AJ116" s="12">
        <f t="shared" si="26"/>
        <v>29.799999999999997</v>
      </c>
      <c r="AK116" s="12">
        <f t="shared" si="26"/>
        <v>80.7</v>
      </c>
      <c r="AL116" s="12">
        <f t="shared" si="26"/>
        <v>72</v>
      </c>
      <c r="AM116" s="12">
        <f t="shared" si="26"/>
        <v>74.5</v>
      </c>
      <c r="AN116" s="12">
        <f t="shared" si="18"/>
        <v>0</v>
      </c>
      <c r="AO116" s="12">
        <f t="shared" si="18"/>
        <v>95.6</v>
      </c>
      <c r="AP116" s="12">
        <f t="shared" si="18"/>
        <v>74.5</v>
      </c>
      <c r="AQ116" s="12">
        <f t="shared" si="18"/>
        <v>60.199999999999996</v>
      </c>
      <c r="AR116" s="12">
        <f t="shared" si="29"/>
        <v>93.7</v>
      </c>
      <c r="AS116" s="12">
        <f t="shared" si="29"/>
        <v>86.3</v>
      </c>
      <c r="AT116" s="12">
        <f t="shared" si="29"/>
        <v>81.899999999999991</v>
      </c>
      <c r="AU116" s="12">
        <f t="shared" si="27"/>
        <v>36.700000000000003</v>
      </c>
      <c r="AV116" s="12">
        <f t="shared" si="30"/>
        <v>27.3</v>
      </c>
      <c r="AW116" s="12">
        <f t="shared" si="30"/>
        <v>89.4</v>
      </c>
      <c r="AX116" s="12">
        <f t="shared" si="28"/>
        <v>56</v>
      </c>
      <c r="AY116" s="9"/>
      <c r="AZ116" s="12">
        <f t="shared" si="31"/>
        <v>57.099999999999994</v>
      </c>
      <c r="BA116" s="12">
        <f t="shared" si="31"/>
        <v>24.2</v>
      </c>
      <c r="BB116" s="12">
        <f t="shared" si="31"/>
        <v>51.5</v>
      </c>
      <c r="BC116" s="12">
        <f t="shared" si="31"/>
        <v>78.2</v>
      </c>
      <c r="BD116" s="12">
        <f t="shared" si="32"/>
        <v>72</v>
      </c>
      <c r="BE116" s="12">
        <f t="shared" si="19"/>
        <v>89.4</v>
      </c>
      <c r="BF116" s="12">
        <f t="shared" si="19"/>
        <v>85.7</v>
      </c>
      <c r="BG116" s="12">
        <f t="shared" si="19"/>
        <v>72</v>
      </c>
      <c r="BH116" s="12">
        <f t="shared" si="19"/>
        <v>98.1</v>
      </c>
      <c r="BI116" s="12">
        <f t="shared" si="20"/>
        <v>86.9</v>
      </c>
    </row>
    <row r="117" spans="1:61" ht="15.75" customHeight="1" x14ac:dyDescent="0.25">
      <c r="A117" s="1" t="s">
        <v>175</v>
      </c>
      <c r="B117" s="3" t="s">
        <v>109</v>
      </c>
      <c r="C117" s="4" t="s">
        <v>90</v>
      </c>
      <c r="D117" s="4">
        <v>3</v>
      </c>
      <c r="E117" s="4">
        <v>82</v>
      </c>
      <c r="F117" s="4">
        <v>3</v>
      </c>
      <c r="G117" s="4">
        <v>82</v>
      </c>
      <c r="H117" s="4">
        <v>19.899999999999999</v>
      </c>
      <c r="I117" s="4">
        <v>0.57299999999999995</v>
      </c>
      <c r="J117" s="4">
        <v>0.52900000000000003</v>
      </c>
      <c r="K117" s="4">
        <v>5.8999999999999997E-2</v>
      </c>
      <c r="L117" s="4">
        <v>0.35299999999999998</v>
      </c>
      <c r="M117" s="4">
        <v>12.2</v>
      </c>
      <c r="N117" s="4">
        <v>12.5</v>
      </c>
      <c r="O117" s="4">
        <v>15.1</v>
      </c>
      <c r="P117" s="4">
        <v>1.2</v>
      </c>
      <c r="Q117" s="4">
        <v>2.4</v>
      </c>
      <c r="R117" s="4">
        <v>13.3</v>
      </c>
      <c r="S117" s="4">
        <v>23.8</v>
      </c>
      <c r="T117" s="4">
        <v>110</v>
      </c>
      <c r="U117" s="4">
        <v>113</v>
      </c>
      <c r="V117" s="4">
        <v>0</v>
      </c>
      <c r="W117" s="4">
        <v>0.2</v>
      </c>
      <c r="X117" s="4">
        <v>0</v>
      </c>
      <c r="Y117" s="4">
        <v>0.2</v>
      </c>
      <c r="Z117" s="4">
        <v>9.5000000000000001E-2</v>
      </c>
      <c r="AA117" s="13">
        <f>(I117/TOTAL_BASIC!$D$301)*100</f>
        <v>102.65227260083446</v>
      </c>
      <c r="AB117" s="5">
        <f t="shared" si="21"/>
        <v>1.1000000000000001</v>
      </c>
      <c r="AC117" s="3">
        <f t="shared" si="33"/>
        <v>-3</v>
      </c>
      <c r="AD117" s="9">
        <f t="shared" si="22"/>
        <v>1.1459999999999999</v>
      </c>
      <c r="AE117" s="16">
        <f t="shared" si="23"/>
        <v>0.63445378151260501</v>
      </c>
      <c r="AF117" s="16">
        <f t="shared" si="24"/>
        <v>1.1353383458646615</v>
      </c>
      <c r="AG117" s="9"/>
      <c r="AH117" s="9"/>
      <c r="AI117" s="12">
        <f t="shared" si="25"/>
        <v>4.9000000000000004</v>
      </c>
      <c r="AJ117" s="12">
        <f t="shared" si="26"/>
        <v>29.099999999999998</v>
      </c>
      <c r="AK117" s="12">
        <f t="shared" si="26"/>
        <v>80.100000000000009</v>
      </c>
      <c r="AL117" s="12">
        <f t="shared" si="26"/>
        <v>56.499999999999993</v>
      </c>
      <c r="AM117" s="12">
        <f t="shared" si="26"/>
        <v>54.6</v>
      </c>
      <c r="AN117" s="12">
        <f t="shared" si="18"/>
        <v>7.3999999999999995</v>
      </c>
      <c r="AO117" s="12">
        <f t="shared" si="18"/>
        <v>57.699999999999996</v>
      </c>
      <c r="AP117" s="12">
        <f t="shared" si="18"/>
        <v>89.4</v>
      </c>
      <c r="AQ117" s="12">
        <f t="shared" si="18"/>
        <v>73.900000000000006</v>
      </c>
      <c r="AR117" s="12">
        <f t="shared" si="29"/>
        <v>60.199999999999996</v>
      </c>
      <c r="AS117" s="12">
        <f t="shared" si="29"/>
        <v>25.4</v>
      </c>
      <c r="AT117" s="12">
        <f t="shared" si="29"/>
        <v>65.8</v>
      </c>
      <c r="AU117" s="12">
        <f t="shared" si="27"/>
        <v>60.9</v>
      </c>
      <c r="AV117" s="12">
        <f t="shared" si="30"/>
        <v>79.5</v>
      </c>
      <c r="AW117" s="12">
        <f t="shared" si="30"/>
        <v>52.7</v>
      </c>
      <c r="AX117" s="12">
        <f t="shared" si="28"/>
        <v>23</v>
      </c>
      <c r="AY117" s="9"/>
      <c r="AZ117" s="12">
        <f t="shared" si="31"/>
        <v>57.099999999999994</v>
      </c>
      <c r="BA117" s="12">
        <f t="shared" si="31"/>
        <v>3.1</v>
      </c>
      <c r="BB117" s="12">
        <f t="shared" si="31"/>
        <v>39.700000000000003</v>
      </c>
      <c r="BC117" s="12">
        <f t="shared" si="31"/>
        <v>49.6</v>
      </c>
      <c r="BD117" s="12">
        <f t="shared" si="32"/>
        <v>56.499999999999993</v>
      </c>
      <c r="BE117" s="12">
        <f t="shared" si="19"/>
        <v>52.7</v>
      </c>
      <c r="BF117" s="12">
        <f t="shared" si="19"/>
        <v>43.4</v>
      </c>
      <c r="BG117" s="12">
        <f t="shared" si="19"/>
        <v>56.499999999999993</v>
      </c>
      <c r="BH117" s="12">
        <f t="shared" si="19"/>
        <v>45.9</v>
      </c>
      <c r="BI117" s="12">
        <f t="shared" si="20"/>
        <v>57.099999999999994</v>
      </c>
    </row>
    <row r="118" spans="1:61" ht="15.75" customHeight="1" x14ac:dyDescent="0.25">
      <c r="A118" s="1" t="s">
        <v>157</v>
      </c>
      <c r="B118" s="3" t="s">
        <v>86</v>
      </c>
      <c r="C118" s="4" t="s">
        <v>8</v>
      </c>
      <c r="D118" s="4">
        <v>5</v>
      </c>
      <c r="E118" s="4">
        <v>81</v>
      </c>
      <c r="F118" s="4">
        <v>5</v>
      </c>
      <c r="G118" s="4">
        <v>81</v>
      </c>
      <c r="H118" s="4">
        <v>16.7</v>
      </c>
      <c r="I118" s="4">
        <v>0.77300000000000002</v>
      </c>
      <c r="J118" s="4">
        <v>0.73499999999999999</v>
      </c>
      <c r="K118" s="4">
        <v>0.82399999999999995</v>
      </c>
      <c r="L118" s="4">
        <v>0.23499999999999999</v>
      </c>
      <c r="M118" s="4">
        <v>1.7</v>
      </c>
      <c r="N118" s="4">
        <v>7.6</v>
      </c>
      <c r="O118" s="4">
        <v>53.7</v>
      </c>
      <c r="P118" s="4">
        <v>1.3</v>
      </c>
      <c r="Q118" s="4">
        <v>0</v>
      </c>
      <c r="R118" s="4">
        <v>39</v>
      </c>
      <c r="S118" s="4">
        <v>17.5</v>
      </c>
      <c r="T118" s="4">
        <v>119</v>
      </c>
      <c r="U118" s="4">
        <v>110</v>
      </c>
      <c r="V118" s="4">
        <v>0</v>
      </c>
      <c r="W118" s="4">
        <v>0.2</v>
      </c>
      <c r="X118" s="4">
        <v>0.1</v>
      </c>
      <c r="Y118" s="4">
        <v>0.3</v>
      </c>
      <c r="Z118" s="4">
        <v>0.158</v>
      </c>
      <c r="AA118" s="13">
        <f>(I118/TOTAL_BASIC!$D$301)*100</f>
        <v>138.48203616133517</v>
      </c>
      <c r="AB118" s="5">
        <f t="shared" si="21"/>
        <v>1.19</v>
      </c>
      <c r="AC118" s="3">
        <f t="shared" si="33"/>
        <v>9</v>
      </c>
      <c r="AD118" s="9">
        <f t="shared" si="22"/>
        <v>1.546</v>
      </c>
      <c r="AE118" s="16">
        <f t="shared" si="23"/>
        <v>3.0685714285714289</v>
      </c>
      <c r="AF118" s="16">
        <f t="shared" si="24"/>
        <v>1.3769230769230769</v>
      </c>
      <c r="AG118" s="9"/>
      <c r="AH118" s="9"/>
      <c r="AI118" s="12">
        <f t="shared" si="25"/>
        <v>16.100000000000001</v>
      </c>
      <c r="AJ118" s="12">
        <f t="shared" si="26"/>
        <v>28.499999999999996</v>
      </c>
      <c r="AK118" s="12">
        <f t="shared" si="26"/>
        <v>65.8</v>
      </c>
      <c r="AL118" s="12">
        <f t="shared" si="26"/>
        <v>97.5</v>
      </c>
      <c r="AM118" s="12">
        <f t="shared" si="26"/>
        <v>97.5</v>
      </c>
      <c r="AN118" s="12">
        <f t="shared" si="18"/>
        <v>99.3</v>
      </c>
      <c r="AO118" s="12">
        <f t="shared" si="18"/>
        <v>35.4</v>
      </c>
      <c r="AP118" s="12">
        <f t="shared" si="18"/>
        <v>22.900000000000002</v>
      </c>
      <c r="AQ118" s="12">
        <f t="shared" si="18"/>
        <v>39.1</v>
      </c>
      <c r="AR118" s="12">
        <f t="shared" si="29"/>
        <v>100</v>
      </c>
      <c r="AS118" s="12">
        <f t="shared" si="29"/>
        <v>28.499999999999996</v>
      </c>
      <c r="AT118" s="12">
        <f t="shared" si="29"/>
        <v>0</v>
      </c>
      <c r="AU118" s="12">
        <f t="shared" si="27"/>
        <v>1.9000000000000057</v>
      </c>
      <c r="AV118" s="12">
        <f t="shared" si="30"/>
        <v>43.4</v>
      </c>
      <c r="AW118" s="12">
        <f t="shared" si="30"/>
        <v>80.100000000000009</v>
      </c>
      <c r="AX118" s="12">
        <f t="shared" si="28"/>
        <v>41</v>
      </c>
      <c r="AY118" s="9"/>
      <c r="AZ118" s="12">
        <f t="shared" si="31"/>
        <v>57.099999999999994</v>
      </c>
      <c r="BA118" s="12">
        <f t="shared" si="31"/>
        <v>24.2</v>
      </c>
      <c r="BB118" s="12">
        <f t="shared" si="31"/>
        <v>51.5</v>
      </c>
      <c r="BC118" s="12">
        <f t="shared" si="31"/>
        <v>73.900000000000006</v>
      </c>
      <c r="BD118" s="12">
        <f t="shared" si="32"/>
        <v>97.5</v>
      </c>
      <c r="BE118" s="12">
        <f t="shared" si="19"/>
        <v>80.100000000000009</v>
      </c>
      <c r="BF118" s="12">
        <f t="shared" si="19"/>
        <v>68.300000000000011</v>
      </c>
      <c r="BG118" s="12">
        <f t="shared" si="19"/>
        <v>97.5</v>
      </c>
      <c r="BH118" s="12">
        <f t="shared" si="19"/>
        <v>100</v>
      </c>
      <c r="BI118" s="12">
        <f t="shared" si="20"/>
        <v>70.099999999999994</v>
      </c>
    </row>
    <row r="119" spans="1:61" ht="15.75" customHeight="1" x14ac:dyDescent="0.25">
      <c r="A119" s="1" t="s">
        <v>166</v>
      </c>
      <c r="B119" s="3" t="s">
        <v>164</v>
      </c>
      <c r="C119" s="4" t="s">
        <v>8</v>
      </c>
      <c r="D119" s="4">
        <v>3</v>
      </c>
      <c r="E119" s="4">
        <v>80</v>
      </c>
      <c r="F119" s="4">
        <v>3</v>
      </c>
      <c r="G119" s="4">
        <v>80</v>
      </c>
      <c r="H119" s="4">
        <v>9.4</v>
      </c>
      <c r="I119" s="4">
        <v>0.45500000000000002</v>
      </c>
      <c r="J119" s="4">
        <v>0.45500000000000002</v>
      </c>
      <c r="K119" s="4">
        <v>0.63600000000000001</v>
      </c>
      <c r="L119" s="4">
        <v>0</v>
      </c>
      <c r="M119" s="4">
        <v>0</v>
      </c>
      <c r="N119" s="4">
        <v>5.5</v>
      </c>
      <c r="O119" s="4">
        <v>22.2</v>
      </c>
      <c r="P119" s="4">
        <v>3.8</v>
      </c>
      <c r="Q119" s="4">
        <v>0</v>
      </c>
      <c r="R119" s="4">
        <v>26.7</v>
      </c>
      <c r="S119" s="4">
        <v>8.1999999999999993</v>
      </c>
      <c r="T119" s="4">
        <v>99</v>
      </c>
      <c r="U119" s="4">
        <v>112</v>
      </c>
      <c r="V119" s="4">
        <v>0</v>
      </c>
      <c r="W119" s="4">
        <v>0</v>
      </c>
      <c r="X119" s="4">
        <v>0</v>
      </c>
      <c r="Y119" s="4">
        <v>0</v>
      </c>
      <c r="Z119" s="4">
        <v>2.1999999999999999E-2</v>
      </c>
      <c r="AA119" s="13">
        <f>(I119/TOTAL_BASIC!$D$301)*100</f>
        <v>81.512712100139083</v>
      </c>
      <c r="AB119" s="5">
        <f t="shared" si="21"/>
        <v>0.99</v>
      </c>
      <c r="AC119" s="3">
        <f t="shared" si="33"/>
        <v>-13</v>
      </c>
      <c r="AD119" s="9">
        <f t="shared" si="22"/>
        <v>0.91</v>
      </c>
      <c r="AE119" s="16">
        <f t="shared" si="23"/>
        <v>2.7073170731707319</v>
      </c>
      <c r="AF119" s="16">
        <f t="shared" si="24"/>
        <v>0.8314606741573034</v>
      </c>
      <c r="AG119" s="9"/>
      <c r="AH119" s="9"/>
      <c r="AI119" s="12">
        <f t="shared" si="25"/>
        <v>4.9000000000000004</v>
      </c>
      <c r="AJ119" s="12">
        <f t="shared" si="26"/>
        <v>27.3</v>
      </c>
      <c r="AK119" s="12">
        <f t="shared" si="26"/>
        <v>21.7</v>
      </c>
      <c r="AL119" s="12">
        <f t="shared" si="26"/>
        <v>15.5</v>
      </c>
      <c r="AM119" s="12">
        <f t="shared" si="26"/>
        <v>28.499999999999996</v>
      </c>
      <c r="AN119" s="12">
        <f t="shared" si="18"/>
        <v>88.8</v>
      </c>
      <c r="AO119" s="12">
        <f t="shared" si="18"/>
        <v>0</v>
      </c>
      <c r="AP119" s="12">
        <f t="shared" si="18"/>
        <v>0</v>
      </c>
      <c r="AQ119" s="12">
        <f t="shared" si="18"/>
        <v>20.399999999999999</v>
      </c>
      <c r="AR119" s="12">
        <f t="shared" si="29"/>
        <v>78.2</v>
      </c>
      <c r="AS119" s="12">
        <f t="shared" si="29"/>
        <v>95.6</v>
      </c>
      <c r="AT119" s="12">
        <f t="shared" si="29"/>
        <v>0</v>
      </c>
      <c r="AU119" s="12">
        <f t="shared" si="27"/>
        <v>6.2999999999999972</v>
      </c>
      <c r="AV119" s="12">
        <f t="shared" si="30"/>
        <v>0.6</v>
      </c>
      <c r="AW119" s="12">
        <f t="shared" si="30"/>
        <v>29.799999999999997</v>
      </c>
      <c r="AX119" s="12">
        <f t="shared" si="28"/>
        <v>29.200000000000003</v>
      </c>
      <c r="AY119" s="9"/>
      <c r="AZ119" s="12">
        <f t="shared" si="31"/>
        <v>22.3</v>
      </c>
      <c r="BA119" s="12">
        <f t="shared" si="31"/>
        <v>3.1</v>
      </c>
      <c r="BB119" s="12">
        <f t="shared" si="31"/>
        <v>12.4</v>
      </c>
      <c r="BC119" s="12">
        <f t="shared" si="31"/>
        <v>24.8</v>
      </c>
      <c r="BD119" s="12">
        <f t="shared" si="32"/>
        <v>15.5</v>
      </c>
      <c r="BE119" s="12">
        <f t="shared" si="19"/>
        <v>29.799999999999997</v>
      </c>
      <c r="BF119" s="12">
        <f t="shared" si="19"/>
        <v>25.4</v>
      </c>
      <c r="BG119" s="12">
        <f t="shared" si="19"/>
        <v>15.5</v>
      </c>
      <c r="BH119" s="12">
        <f t="shared" si="19"/>
        <v>99.3</v>
      </c>
      <c r="BI119" s="12">
        <f t="shared" si="20"/>
        <v>45.9</v>
      </c>
    </row>
    <row r="120" spans="1:61" ht="15.75" customHeight="1" x14ac:dyDescent="0.25">
      <c r="A120" s="1" t="s">
        <v>124</v>
      </c>
      <c r="B120" s="3" t="s">
        <v>116</v>
      </c>
      <c r="C120" s="4" t="s">
        <v>90</v>
      </c>
      <c r="D120" s="4">
        <v>3</v>
      </c>
      <c r="E120" s="4">
        <v>80</v>
      </c>
      <c r="F120" s="4">
        <v>3</v>
      </c>
      <c r="G120" s="4">
        <v>80</v>
      </c>
      <c r="H120" s="4">
        <v>19.2</v>
      </c>
      <c r="I120" s="4">
        <v>0.51500000000000001</v>
      </c>
      <c r="J120" s="4">
        <v>0.5</v>
      </c>
      <c r="K120" s="4">
        <v>0.125</v>
      </c>
      <c r="L120" s="4">
        <v>0.375</v>
      </c>
      <c r="M120" s="4">
        <v>7.7</v>
      </c>
      <c r="N120" s="4">
        <v>16.7</v>
      </c>
      <c r="O120" s="4">
        <v>3.1</v>
      </c>
      <c r="P120" s="4">
        <v>1.9</v>
      </c>
      <c r="Q120" s="4">
        <v>6.8</v>
      </c>
      <c r="R120" s="4">
        <v>11.4</v>
      </c>
      <c r="S120" s="4">
        <v>30.3</v>
      </c>
      <c r="T120" s="4">
        <v>92</v>
      </c>
      <c r="U120" s="4">
        <v>100</v>
      </c>
      <c r="V120" s="4">
        <v>0</v>
      </c>
      <c r="W120" s="4">
        <v>-0.1</v>
      </c>
      <c r="X120" s="4">
        <v>0.2</v>
      </c>
      <c r="Y120" s="4">
        <v>0.1</v>
      </c>
      <c r="Z120" s="4">
        <v>4.2000000000000003E-2</v>
      </c>
      <c r="AA120" s="13">
        <f>(I120/TOTAL_BASIC!$D$301)*100</f>
        <v>92.261641168289287</v>
      </c>
      <c r="AB120" s="5">
        <f t="shared" si="21"/>
        <v>0.92</v>
      </c>
      <c r="AC120" s="3">
        <f t="shared" si="33"/>
        <v>-8</v>
      </c>
      <c r="AD120" s="9">
        <f t="shared" si="22"/>
        <v>1.03</v>
      </c>
      <c r="AE120" s="16">
        <f t="shared" si="23"/>
        <v>0.10231023102310231</v>
      </c>
      <c r="AF120" s="16">
        <f t="shared" si="24"/>
        <v>0.27192982456140352</v>
      </c>
      <c r="AG120" s="9"/>
      <c r="AH120" s="9"/>
      <c r="AI120" s="12">
        <f t="shared" si="25"/>
        <v>4.9000000000000004</v>
      </c>
      <c r="AJ120" s="12">
        <f t="shared" si="26"/>
        <v>27.3</v>
      </c>
      <c r="AK120" s="12">
        <f t="shared" si="26"/>
        <v>77</v>
      </c>
      <c r="AL120" s="12">
        <f t="shared" si="26"/>
        <v>32.200000000000003</v>
      </c>
      <c r="AM120" s="12">
        <f t="shared" si="26"/>
        <v>40.9</v>
      </c>
      <c r="AN120" s="12">
        <f t="shared" si="18"/>
        <v>14.899999999999999</v>
      </c>
      <c r="AO120" s="12">
        <f t="shared" si="18"/>
        <v>67</v>
      </c>
      <c r="AP120" s="12">
        <f t="shared" si="18"/>
        <v>77</v>
      </c>
      <c r="AQ120" s="12">
        <f t="shared" si="18"/>
        <v>87.5</v>
      </c>
      <c r="AR120" s="12">
        <f t="shared" si="29"/>
        <v>3.1</v>
      </c>
      <c r="AS120" s="12">
        <f t="shared" si="29"/>
        <v>58.3</v>
      </c>
      <c r="AT120" s="12">
        <f t="shared" si="29"/>
        <v>95.6</v>
      </c>
      <c r="AU120" s="12">
        <f t="shared" si="27"/>
        <v>70.2</v>
      </c>
      <c r="AV120" s="12">
        <f t="shared" si="30"/>
        <v>95</v>
      </c>
      <c r="AW120" s="12">
        <f t="shared" si="30"/>
        <v>16.100000000000001</v>
      </c>
      <c r="AX120" s="12">
        <f t="shared" si="28"/>
        <v>95.1</v>
      </c>
      <c r="AY120" s="9"/>
      <c r="AZ120" s="12">
        <f t="shared" si="31"/>
        <v>14.899999999999999</v>
      </c>
      <c r="BA120" s="12">
        <f t="shared" si="31"/>
        <v>57.099999999999994</v>
      </c>
      <c r="BB120" s="12">
        <f t="shared" si="31"/>
        <v>27.3</v>
      </c>
      <c r="BC120" s="12">
        <f t="shared" si="31"/>
        <v>30.4</v>
      </c>
      <c r="BD120" s="12">
        <f t="shared" si="32"/>
        <v>32.200000000000003</v>
      </c>
      <c r="BE120" s="12">
        <f t="shared" si="19"/>
        <v>16.100000000000001</v>
      </c>
      <c r="BF120" s="12">
        <f t="shared" si="19"/>
        <v>34.1</v>
      </c>
      <c r="BG120" s="12">
        <f t="shared" si="19"/>
        <v>32.200000000000003</v>
      </c>
      <c r="BH120" s="12">
        <f t="shared" si="19"/>
        <v>1.7999999999999998</v>
      </c>
      <c r="BI120" s="12">
        <f t="shared" si="20"/>
        <v>8.6</v>
      </c>
    </row>
    <row r="121" spans="1:61" ht="15.75" customHeight="1" x14ac:dyDescent="0.25">
      <c r="A121" s="1" t="s">
        <v>245</v>
      </c>
      <c r="B121" s="3" t="s">
        <v>109</v>
      </c>
      <c r="C121" s="4" t="s">
        <v>87</v>
      </c>
      <c r="D121" s="4">
        <v>6</v>
      </c>
      <c r="E121" s="4">
        <v>78</v>
      </c>
      <c r="F121" s="4">
        <v>6</v>
      </c>
      <c r="G121" s="4">
        <v>78</v>
      </c>
      <c r="H121" s="4">
        <v>11.1</v>
      </c>
      <c r="I121" s="4">
        <v>0.54800000000000004</v>
      </c>
      <c r="J121" s="4">
        <v>0.54300000000000004</v>
      </c>
      <c r="K121" s="4">
        <v>8.6999999999999994E-2</v>
      </c>
      <c r="L121" s="4">
        <v>0.52200000000000002</v>
      </c>
      <c r="M121" s="4">
        <v>5.7</v>
      </c>
      <c r="N121" s="4">
        <v>9.3000000000000007</v>
      </c>
      <c r="O121" s="4">
        <v>4.7</v>
      </c>
      <c r="P121" s="4">
        <v>1.9</v>
      </c>
      <c r="Q121" s="4">
        <v>1.3</v>
      </c>
      <c r="R121" s="4">
        <v>12.4</v>
      </c>
      <c r="S121" s="4">
        <v>17.899999999999999</v>
      </c>
      <c r="T121" s="4">
        <v>102</v>
      </c>
      <c r="U121" s="4">
        <v>112</v>
      </c>
      <c r="V121" s="4">
        <v>0</v>
      </c>
      <c r="W121" s="4">
        <v>0</v>
      </c>
      <c r="X121" s="4">
        <v>0</v>
      </c>
      <c r="Y121" s="4">
        <v>0.1</v>
      </c>
      <c r="Z121" s="4">
        <v>0.04</v>
      </c>
      <c r="AA121" s="13">
        <f>(I121/TOTAL_BASIC!$D$301)*100</f>
        <v>98.173552155771915</v>
      </c>
      <c r="AB121" s="5">
        <f t="shared" si="21"/>
        <v>1.02</v>
      </c>
      <c r="AC121" s="3">
        <f t="shared" si="33"/>
        <v>-10</v>
      </c>
      <c r="AD121" s="9">
        <f t="shared" si="22"/>
        <v>1.0960000000000001</v>
      </c>
      <c r="AE121" s="16">
        <f t="shared" si="23"/>
        <v>0.26256983240223469</v>
      </c>
      <c r="AF121" s="16">
        <f t="shared" si="24"/>
        <v>0.37903225806451613</v>
      </c>
      <c r="AG121" s="9"/>
      <c r="AH121" s="9"/>
      <c r="AI121" s="12">
        <f t="shared" si="25"/>
        <v>25.4</v>
      </c>
      <c r="AJ121" s="12">
        <f t="shared" si="26"/>
        <v>26.700000000000003</v>
      </c>
      <c r="AK121" s="12">
        <f t="shared" si="26"/>
        <v>31.6</v>
      </c>
      <c r="AL121" s="12">
        <f t="shared" si="26"/>
        <v>43.4</v>
      </c>
      <c r="AM121" s="12">
        <f t="shared" si="26"/>
        <v>60.199999999999996</v>
      </c>
      <c r="AN121" s="12">
        <f t="shared" si="18"/>
        <v>11.799999999999999</v>
      </c>
      <c r="AO121" s="12">
        <f t="shared" si="18"/>
        <v>84.399999999999991</v>
      </c>
      <c r="AP121" s="12">
        <f t="shared" si="18"/>
        <v>68.300000000000011</v>
      </c>
      <c r="AQ121" s="12">
        <f t="shared" si="18"/>
        <v>55.900000000000006</v>
      </c>
      <c r="AR121" s="12">
        <f t="shared" si="29"/>
        <v>8</v>
      </c>
      <c r="AS121" s="12">
        <f t="shared" si="29"/>
        <v>58.3</v>
      </c>
      <c r="AT121" s="12">
        <f t="shared" si="29"/>
        <v>47.8</v>
      </c>
      <c r="AU121" s="12">
        <f t="shared" si="27"/>
        <v>65.900000000000006</v>
      </c>
      <c r="AV121" s="12">
        <f t="shared" si="30"/>
        <v>46.5</v>
      </c>
      <c r="AW121" s="12">
        <f t="shared" si="30"/>
        <v>36</v>
      </c>
      <c r="AX121" s="12">
        <f t="shared" si="28"/>
        <v>29.200000000000003</v>
      </c>
      <c r="AY121" s="9"/>
      <c r="AZ121" s="12">
        <f t="shared" si="31"/>
        <v>22.3</v>
      </c>
      <c r="BA121" s="12">
        <f t="shared" si="31"/>
        <v>3.1</v>
      </c>
      <c r="BB121" s="12">
        <f t="shared" si="31"/>
        <v>27.3</v>
      </c>
      <c r="BC121" s="12">
        <f t="shared" si="31"/>
        <v>29.099999999999998</v>
      </c>
      <c r="BD121" s="12">
        <f t="shared" si="32"/>
        <v>43.4</v>
      </c>
      <c r="BE121" s="12">
        <f t="shared" si="19"/>
        <v>36</v>
      </c>
      <c r="BF121" s="12">
        <f t="shared" si="19"/>
        <v>29.099999999999998</v>
      </c>
      <c r="BG121" s="12">
        <f t="shared" si="19"/>
        <v>43.4</v>
      </c>
      <c r="BH121" s="12">
        <f t="shared" si="19"/>
        <v>7.3999999999999995</v>
      </c>
      <c r="BI121" s="12">
        <f t="shared" si="20"/>
        <v>12.4</v>
      </c>
    </row>
    <row r="122" spans="1:61" ht="15.75" customHeight="1" x14ac:dyDescent="0.25">
      <c r="A122" s="1" t="s">
        <v>240</v>
      </c>
      <c r="B122" s="3" t="s">
        <v>133</v>
      </c>
      <c r="C122" s="4" t="s">
        <v>8</v>
      </c>
      <c r="D122" s="4">
        <v>5</v>
      </c>
      <c r="E122" s="4">
        <v>77</v>
      </c>
      <c r="F122" s="4">
        <v>5</v>
      </c>
      <c r="G122" s="4">
        <v>77</v>
      </c>
      <c r="H122" s="4">
        <v>10.7</v>
      </c>
      <c r="I122" s="4">
        <v>0.48399999999999999</v>
      </c>
      <c r="J122" s="4">
        <v>0.33300000000000002</v>
      </c>
      <c r="K122" s="4">
        <v>0.23799999999999999</v>
      </c>
      <c r="L122" s="4">
        <v>0.52400000000000002</v>
      </c>
      <c r="M122" s="4">
        <v>2.8</v>
      </c>
      <c r="N122" s="4">
        <v>6.5</v>
      </c>
      <c r="O122" s="4">
        <v>8</v>
      </c>
      <c r="P122" s="4">
        <v>3.2</v>
      </c>
      <c r="Q122" s="4">
        <v>0</v>
      </c>
      <c r="R122" s="4">
        <v>3.7</v>
      </c>
      <c r="S122" s="4">
        <v>15.2</v>
      </c>
      <c r="T122" s="4">
        <v>109</v>
      </c>
      <c r="U122" s="4">
        <v>108</v>
      </c>
      <c r="V122" s="4">
        <v>0</v>
      </c>
      <c r="W122" s="4">
        <v>0.1</v>
      </c>
      <c r="X122" s="4">
        <v>0.1</v>
      </c>
      <c r="Y122" s="4">
        <v>0.2</v>
      </c>
      <c r="Z122" s="4">
        <v>9.4E-2</v>
      </c>
      <c r="AA122" s="13">
        <f>(I122/TOTAL_BASIC!$D$301)*100</f>
        <v>86.708027816411686</v>
      </c>
      <c r="AB122" s="5">
        <f t="shared" si="21"/>
        <v>1.0900000000000001</v>
      </c>
      <c r="AC122" s="3">
        <f t="shared" si="33"/>
        <v>1</v>
      </c>
      <c r="AD122" s="9">
        <f t="shared" si="22"/>
        <v>0.96799999999999997</v>
      </c>
      <c r="AE122" s="16">
        <f t="shared" si="23"/>
        <v>0.52631578947368418</v>
      </c>
      <c r="AF122" s="16">
        <f t="shared" si="24"/>
        <v>2.1621621621621618</v>
      </c>
      <c r="AG122" s="9"/>
      <c r="AH122" s="9"/>
      <c r="AI122" s="12">
        <f t="shared" si="25"/>
        <v>16.100000000000001</v>
      </c>
      <c r="AJ122" s="12">
        <f t="shared" si="26"/>
        <v>25.4</v>
      </c>
      <c r="AK122" s="12">
        <f t="shared" si="26"/>
        <v>30.4</v>
      </c>
      <c r="AL122" s="12">
        <f t="shared" si="26"/>
        <v>22.900000000000002</v>
      </c>
      <c r="AM122" s="12">
        <f t="shared" si="26"/>
        <v>5.5</v>
      </c>
      <c r="AN122" s="12">
        <f t="shared" si="18"/>
        <v>24.8</v>
      </c>
      <c r="AO122" s="12">
        <f t="shared" si="18"/>
        <v>85</v>
      </c>
      <c r="AP122" s="12">
        <f t="shared" si="18"/>
        <v>36</v>
      </c>
      <c r="AQ122" s="12">
        <f t="shared" si="18"/>
        <v>27.3</v>
      </c>
      <c r="AR122" s="12">
        <f t="shared" si="29"/>
        <v>23.599999999999998</v>
      </c>
      <c r="AS122" s="12">
        <f t="shared" si="29"/>
        <v>91.3</v>
      </c>
      <c r="AT122" s="12">
        <f t="shared" si="29"/>
        <v>0</v>
      </c>
      <c r="AU122" s="12">
        <f t="shared" si="27"/>
        <v>98.2</v>
      </c>
      <c r="AV122" s="12">
        <f t="shared" si="30"/>
        <v>22.900000000000002</v>
      </c>
      <c r="AW122" s="12">
        <f t="shared" si="30"/>
        <v>51.5</v>
      </c>
      <c r="AX122" s="12">
        <f t="shared" si="28"/>
        <v>56</v>
      </c>
      <c r="AY122" s="9"/>
      <c r="AZ122" s="12">
        <f t="shared" si="31"/>
        <v>40.300000000000004</v>
      </c>
      <c r="BA122" s="12">
        <f t="shared" si="31"/>
        <v>24.2</v>
      </c>
      <c r="BB122" s="12">
        <f t="shared" si="31"/>
        <v>39.700000000000003</v>
      </c>
      <c r="BC122" s="12">
        <f t="shared" si="31"/>
        <v>49</v>
      </c>
      <c r="BD122" s="12">
        <f t="shared" si="32"/>
        <v>22.900000000000002</v>
      </c>
      <c r="BE122" s="12">
        <f t="shared" si="19"/>
        <v>51.5</v>
      </c>
      <c r="BF122" s="12">
        <f t="shared" si="19"/>
        <v>50.3</v>
      </c>
      <c r="BG122" s="12">
        <f t="shared" si="19"/>
        <v>22.900000000000002</v>
      </c>
      <c r="BH122" s="12">
        <f t="shared" si="19"/>
        <v>34.699999999999996</v>
      </c>
      <c r="BI122" s="12">
        <f t="shared" si="20"/>
        <v>90</v>
      </c>
    </row>
    <row r="123" spans="1:61" ht="15.75" customHeight="1" x14ac:dyDescent="0.25">
      <c r="A123" s="1" t="s">
        <v>246</v>
      </c>
      <c r="B123" s="3" t="s">
        <v>244</v>
      </c>
      <c r="C123" s="4" t="s">
        <v>87</v>
      </c>
      <c r="D123" s="4">
        <v>7</v>
      </c>
      <c r="E123" s="4">
        <v>77</v>
      </c>
      <c r="F123" s="4">
        <v>7</v>
      </c>
      <c r="G123" s="4">
        <v>77</v>
      </c>
      <c r="H123" s="4">
        <v>12.7</v>
      </c>
      <c r="I123" s="4">
        <v>0.432</v>
      </c>
      <c r="J123" s="4">
        <v>0.4</v>
      </c>
      <c r="K123" s="4">
        <v>0</v>
      </c>
      <c r="L123" s="4">
        <v>0.75</v>
      </c>
      <c r="M123" s="4">
        <v>6.7</v>
      </c>
      <c r="N123" s="4">
        <v>15.3</v>
      </c>
      <c r="O123" s="4">
        <v>4.0999999999999996</v>
      </c>
      <c r="P123" s="4">
        <v>2.7</v>
      </c>
      <c r="Q123" s="4">
        <v>5.5</v>
      </c>
      <c r="R123" s="4">
        <v>3.6</v>
      </c>
      <c r="S123" s="4">
        <v>16.3</v>
      </c>
      <c r="T123" s="4">
        <v>97</v>
      </c>
      <c r="U123" s="4">
        <v>104</v>
      </c>
      <c r="V123" s="4">
        <v>0</v>
      </c>
      <c r="W123" s="4">
        <v>0</v>
      </c>
      <c r="X123" s="4">
        <v>0.1</v>
      </c>
      <c r="Y123" s="4">
        <v>0.1</v>
      </c>
      <c r="Z123" s="4">
        <v>6.0999999999999999E-2</v>
      </c>
      <c r="AA123" s="13">
        <f>(I123/TOTAL_BASIC!$D$301)*100</f>
        <v>77.392289290681504</v>
      </c>
      <c r="AB123" s="5">
        <f t="shared" si="21"/>
        <v>0.97</v>
      </c>
      <c r="AC123" s="3">
        <f t="shared" si="33"/>
        <v>-7</v>
      </c>
      <c r="AD123" s="9">
        <f t="shared" si="22"/>
        <v>0.86399999999999999</v>
      </c>
      <c r="AE123" s="16">
        <f t="shared" si="23"/>
        <v>0.25153374233128833</v>
      </c>
      <c r="AF123" s="16">
        <f t="shared" si="24"/>
        <v>1.1388888888888888</v>
      </c>
      <c r="AG123" s="9"/>
      <c r="AH123" s="9"/>
      <c r="AI123" s="12">
        <f t="shared" si="25"/>
        <v>47.199999999999996</v>
      </c>
      <c r="AJ123" s="12">
        <f t="shared" si="26"/>
        <v>25.4</v>
      </c>
      <c r="AK123" s="12">
        <f t="shared" si="26"/>
        <v>39.700000000000003</v>
      </c>
      <c r="AL123" s="12">
        <f t="shared" si="26"/>
        <v>13</v>
      </c>
      <c r="AM123" s="12">
        <f t="shared" si="26"/>
        <v>14.899999999999999</v>
      </c>
      <c r="AN123" s="12">
        <f t="shared" si="18"/>
        <v>0</v>
      </c>
      <c r="AO123" s="12">
        <f t="shared" si="18"/>
        <v>96.2</v>
      </c>
      <c r="AP123" s="12">
        <f t="shared" si="18"/>
        <v>74.5</v>
      </c>
      <c r="AQ123" s="12">
        <f t="shared" si="18"/>
        <v>83.8</v>
      </c>
      <c r="AR123" s="12">
        <f t="shared" si="29"/>
        <v>6.2</v>
      </c>
      <c r="AS123" s="12">
        <f t="shared" si="29"/>
        <v>80.7</v>
      </c>
      <c r="AT123" s="12">
        <f t="shared" si="29"/>
        <v>91.9</v>
      </c>
      <c r="AU123" s="12">
        <f t="shared" si="27"/>
        <v>98.8</v>
      </c>
      <c r="AV123" s="12">
        <f t="shared" si="30"/>
        <v>32.9</v>
      </c>
      <c r="AW123" s="12">
        <f t="shared" si="30"/>
        <v>25.4</v>
      </c>
      <c r="AX123" s="12">
        <f t="shared" si="28"/>
        <v>76.400000000000006</v>
      </c>
      <c r="AY123" s="9"/>
      <c r="AZ123" s="12">
        <f t="shared" si="31"/>
        <v>22.3</v>
      </c>
      <c r="BA123" s="12">
        <f t="shared" si="31"/>
        <v>24.2</v>
      </c>
      <c r="BB123" s="12">
        <f t="shared" si="31"/>
        <v>27.3</v>
      </c>
      <c r="BC123" s="12">
        <f t="shared" si="31"/>
        <v>37.799999999999997</v>
      </c>
      <c r="BD123" s="12">
        <f t="shared" si="32"/>
        <v>13</v>
      </c>
      <c r="BE123" s="12">
        <f t="shared" si="19"/>
        <v>25.4</v>
      </c>
      <c r="BF123" s="12">
        <f t="shared" si="19"/>
        <v>35.4</v>
      </c>
      <c r="BG123" s="12">
        <f t="shared" si="19"/>
        <v>13</v>
      </c>
      <c r="BH123" s="12">
        <f t="shared" si="19"/>
        <v>6.2</v>
      </c>
      <c r="BI123" s="12">
        <f t="shared" si="20"/>
        <v>57.699999999999996</v>
      </c>
    </row>
    <row r="124" spans="1:61" ht="15.75" customHeight="1" x14ac:dyDescent="0.25">
      <c r="A124" s="1" t="s">
        <v>232</v>
      </c>
      <c r="B124" s="3" t="s">
        <v>160</v>
      </c>
      <c r="C124" s="4" t="s">
        <v>8</v>
      </c>
      <c r="D124" s="4">
        <v>6</v>
      </c>
      <c r="E124" s="4">
        <v>75</v>
      </c>
      <c r="F124" s="4">
        <v>6</v>
      </c>
      <c r="G124" s="4">
        <v>75</v>
      </c>
      <c r="H124" s="4">
        <v>5.2</v>
      </c>
      <c r="I124" s="4">
        <v>0.36399999999999999</v>
      </c>
      <c r="J124" s="4">
        <v>0.32400000000000001</v>
      </c>
      <c r="K124" s="4">
        <v>0.47099999999999997</v>
      </c>
      <c r="L124" s="4">
        <v>0.11799999999999999</v>
      </c>
      <c r="M124" s="4">
        <v>0</v>
      </c>
      <c r="N124" s="4">
        <v>5.0999999999999996</v>
      </c>
      <c r="O124" s="4">
        <v>22.1</v>
      </c>
      <c r="P124" s="4">
        <v>1.3</v>
      </c>
      <c r="Q124" s="4">
        <v>1.2</v>
      </c>
      <c r="R124" s="4">
        <v>18.3</v>
      </c>
      <c r="S124" s="4">
        <v>12.4</v>
      </c>
      <c r="T124" s="4">
        <v>86</v>
      </c>
      <c r="U124" s="4">
        <v>107</v>
      </c>
      <c r="V124" s="4">
        <v>0</v>
      </c>
      <c r="W124" s="4">
        <v>-0.1</v>
      </c>
      <c r="X124" s="4">
        <v>0.1</v>
      </c>
      <c r="Y124" s="4">
        <v>0</v>
      </c>
      <c r="Z124" s="4">
        <v>5.0000000000000001E-3</v>
      </c>
      <c r="AA124" s="13">
        <f>(I124/TOTAL_BASIC!$D$301)*100</f>
        <v>65.210169680111264</v>
      </c>
      <c r="AB124" s="5">
        <f t="shared" si="21"/>
        <v>0.86</v>
      </c>
      <c r="AC124" s="3">
        <f t="shared" si="33"/>
        <v>-21</v>
      </c>
      <c r="AD124" s="9">
        <f t="shared" si="22"/>
        <v>0.72799999999999998</v>
      </c>
      <c r="AE124" s="16">
        <f t="shared" si="23"/>
        <v>1.782258064516129</v>
      </c>
      <c r="AF124" s="16">
        <f t="shared" si="24"/>
        <v>1.2076502732240437</v>
      </c>
      <c r="AG124" s="9"/>
      <c r="AH124" s="9"/>
      <c r="AI124" s="12">
        <f t="shared" si="25"/>
        <v>25.4</v>
      </c>
      <c r="AJ124" s="12">
        <f t="shared" si="26"/>
        <v>24.8</v>
      </c>
      <c r="AK124" s="12">
        <f t="shared" si="26"/>
        <v>8.6</v>
      </c>
      <c r="AL124" s="12">
        <f t="shared" si="26"/>
        <v>4.3</v>
      </c>
      <c r="AM124" s="12">
        <f t="shared" si="26"/>
        <v>4.9000000000000004</v>
      </c>
      <c r="AN124" s="12">
        <f t="shared" si="18"/>
        <v>67</v>
      </c>
      <c r="AO124" s="12">
        <f t="shared" si="18"/>
        <v>14.899999999999999</v>
      </c>
      <c r="AP124" s="12">
        <f t="shared" si="18"/>
        <v>0</v>
      </c>
      <c r="AQ124" s="12">
        <f t="shared" si="18"/>
        <v>15.5</v>
      </c>
      <c r="AR124" s="12">
        <f t="shared" si="29"/>
        <v>77.600000000000009</v>
      </c>
      <c r="AS124" s="12">
        <f t="shared" si="29"/>
        <v>28.499999999999996</v>
      </c>
      <c r="AT124" s="12">
        <f t="shared" si="29"/>
        <v>46.5</v>
      </c>
      <c r="AU124" s="12">
        <f t="shared" si="27"/>
        <v>30.5</v>
      </c>
      <c r="AV124" s="12">
        <f t="shared" si="30"/>
        <v>9.9</v>
      </c>
      <c r="AW124" s="12">
        <f t="shared" si="30"/>
        <v>6.2</v>
      </c>
      <c r="AX124" s="12">
        <f t="shared" si="28"/>
        <v>60.9</v>
      </c>
      <c r="AY124" s="9"/>
      <c r="AZ124" s="12">
        <f t="shared" si="31"/>
        <v>14.899999999999999</v>
      </c>
      <c r="BA124" s="12">
        <f t="shared" si="31"/>
        <v>24.2</v>
      </c>
      <c r="BB124" s="12">
        <f t="shared" si="31"/>
        <v>12.4</v>
      </c>
      <c r="BC124" s="12">
        <f t="shared" si="31"/>
        <v>22.3</v>
      </c>
      <c r="BD124" s="12">
        <f t="shared" si="32"/>
        <v>4.3</v>
      </c>
      <c r="BE124" s="12">
        <f t="shared" si="19"/>
        <v>6.2</v>
      </c>
      <c r="BF124" s="12">
        <f t="shared" si="19"/>
        <v>13</v>
      </c>
      <c r="BG124" s="12">
        <f t="shared" si="19"/>
        <v>4.3</v>
      </c>
      <c r="BH124" s="12">
        <f t="shared" si="19"/>
        <v>95.6</v>
      </c>
      <c r="BI124" s="12">
        <f t="shared" si="20"/>
        <v>62.7</v>
      </c>
    </row>
    <row r="125" spans="1:61" ht="15.75" customHeight="1" x14ac:dyDescent="0.25">
      <c r="A125" s="1" t="s">
        <v>241</v>
      </c>
      <c r="B125" s="3" t="s">
        <v>142</v>
      </c>
      <c r="C125" s="4" t="s">
        <v>8</v>
      </c>
      <c r="D125" s="4">
        <v>4</v>
      </c>
      <c r="E125" s="4">
        <v>74</v>
      </c>
      <c r="F125" s="4">
        <v>4</v>
      </c>
      <c r="G125" s="4">
        <v>74</v>
      </c>
      <c r="H125" s="4">
        <v>5.8</v>
      </c>
      <c r="I125" s="4">
        <v>0.50800000000000001</v>
      </c>
      <c r="J125" s="4">
        <v>0.44700000000000001</v>
      </c>
      <c r="K125" s="4">
        <v>0.42099999999999999</v>
      </c>
      <c r="L125" s="4">
        <v>0.316</v>
      </c>
      <c r="M125" s="4">
        <v>3.6</v>
      </c>
      <c r="N125" s="4">
        <v>6.7</v>
      </c>
      <c r="O125" s="4">
        <v>13.7</v>
      </c>
      <c r="P125" s="4">
        <v>0.7</v>
      </c>
      <c r="Q125" s="4">
        <v>1.4</v>
      </c>
      <c r="R125" s="4">
        <v>21.7</v>
      </c>
      <c r="S125" s="4">
        <v>17.100000000000001</v>
      </c>
      <c r="T125" s="4">
        <v>94</v>
      </c>
      <c r="U125" s="4">
        <v>112</v>
      </c>
      <c r="V125" s="4">
        <v>0</v>
      </c>
      <c r="W125" s="4">
        <v>0</v>
      </c>
      <c r="X125" s="4">
        <v>0</v>
      </c>
      <c r="Y125" s="4">
        <v>0</v>
      </c>
      <c r="Z125" s="4">
        <v>-1E-3</v>
      </c>
      <c r="AA125" s="13">
        <f>(I125/TOTAL_BASIC!$D$301)*100</f>
        <v>91.007599443671765</v>
      </c>
      <c r="AB125" s="5">
        <f t="shared" si="21"/>
        <v>0.94</v>
      </c>
      <c r="AC125" s="3">
        <f t="shared" si="33"/>
        <v>-18</v>
      </c>
      <c r="AD125" s="9">
        <f t="shared" si="22"/>
        <v>1.016</v>
      </c>
      <c r="AE125" s="16">
        <f t="shared" si="23"/>
        <v>0.80116959064327475</v>
      </c>
      <c r="AF125" s="16">
        <f t="shared" si="24"/>
        <v>0.63133640552995396</v>
      </c>
      <c r="AG125" s="9"/>
      <c r="AH125" s="9"/>
      <c r="AI125" s="12">
        <f t="shared" si="25"/>
        <v>10.5</v>
      </c>
      <c r="AJ125" s="12">
        <f t="shared" si="26"/>
        <v>24.2</v>
      </c>
      <c r="AK125" s="12">
        <f t="shared" si="26"/>
        <v>9.3000000000000007</v>
      </c>
      <c r="AL125" s="12">
        <f t="shared" si="26"/>
        <v>31.6</v>
      </c>
      <c r="AM125" s="12">
        <f t="shared" si="26"/>
        <v>26</v>
      </c>
      <c r="AN125" s="12">
        <f t="shared" si="18"/>
        <v>57.099999999999994</v>
      </c>
      <c r="AO125" s="12">
        <f t="shared" si="18"/>
        <v>49.6</v>
      </c>
      <c r="AP125" s="12">
        <f t="shared" si="18"/>
        <v>42.8</v>
      </c>
      <c r="AQ125" s="12">
        <f t="shared" si="18"/>
        <v>29.099999999999998</v>
      </c>
      <c r="AR125" s="12">
        <f t="shared" si="29"/>
        <v>53.400000000000006</v>
      </c>
      <c r="AS125" s="12">
        <f t="shared" si="29"/>
        <v>12.4</v>
      </c>
      <c r="AT125" s="12">
        <f t="shared" si="29"/>
        <v>50.9</v>
      </c>
      <c r="AU125" s="12">
        <f t="shared" si="27"/>
        <v>18.100000000000009</v>
      </c>
      <c r="AV125" s="12">
        <f t="shared" si="30"/>
        <v>37.799999999999997</v>
      </c>
      <c r="AW125" s="12">
        <f t="shared" si="30"/>
        <v>20.399999999999999</v>
      </c>
      <c r="AX125" s="12">
        <f t="shared" si="28"/>
        <v>29.200000000000003</v>
      </c>
      <c r="AY125" s="9"/>
      <c r="AZ125" s="12">
        <f t="shared" si="31"/>
        <v>22.3</v>
      </c>
      <c r="BA125" s="12">
        <f t="shared" si="31"/>
        <v>3.1</v>
      </c>
      <c r="BB125" s="12">
        <f t="shared" si="31"/>
        <v>12.4</v>
      </c>
      <c r="BC125" s="12">
        <f t="shared" si="31"/>
        <v>19.8</v>
      </c>
      <c r="BD125" s="12">
        <f t="shared" si="32"/>
        <v>31.6</v>
      </c>
      <c r="BE125" s="12">
        <f t="shared" si="19"/>
        <v>20.399999999999999</v>
      </c>
      <c r="BF125" s="12">
        <f t="shared" si="19"/>
        <v>16.100000000000001</v>
      </c>
      <c r="BG125" s="12">
        <f t="shared" si="19"/>
        <v>31.6</v>
      </c>
      <c r="BH125" s="12">
        <f t="shared" si="19"/>
        <v>60.8</v>
      </c>
      <c r="BI125" s="12">
        <f t="shared" si="20"/>
        <v>29.099999999999998</v>
      </c>
    </row>
    <row r="126" spans="1:61" ht="15.75" customHeight="1" x14ac:dyDescent="0.25">
      <c r="A126" s="1" t="s">
        <v>229</v>
      </c>
      <c r="B126" s="3" t="s">
        <v>142</v>
      </c>
      <c r="C126" s="4" t="s">
        <v>87</v>
      </c>
      <c r="D126" s="4">
        <v>6</v>
      </c>
      <c r="E126" s="4">
        <v>70</v>
      </c>
      <c r="F126" s="4">
        <v>6</v>
      </c>
      <c r="G126" s="4">
        <v>70</v>
      </c>
      <c r="H126" s="4">
        <v>14.2</v>
      </c>
      <c r="I126" s="4">
        <v>0.496</v>
      </c>
      <c r="J126" s="4">
        <v>0.5</v>
      </c>
      <c r="K126" s="4">
        <v>0.40899999999999997</v>
      </c>
      <c r="L126" s="4">
        <v>0.22700000000000001</v>
      </c>
      <c r="M126" s="4">
        <v>5.7</v>
      </c>
      <c r="N126" s="4">
        <v>14.1</v>
      </c>
      <c r="O126" s="4">
        <v>10.5</v>
      </c>
      <c r="P126" s="4">
        <v>2.2000000000000002</v>
      </c>
      <c r="Q126" s="4">
        <v>2.9</v>
      </c>
      <c r="R126" s="4">
        <v>7.6</v>
      </c>
      <c r="S126" s="4">
        <v>17.100000000000001</v>
      </c>
      <c r="T126" s="4">
        <v>105</v>
      </c>
      <c r="U126" s="4">
        <v>104</v>
      </c>
      <c r="V126" s="4">
        <v>0</v>
      </c>
      <c r="W126" s="4">
        <v>0.1</v>
      </c>
      <c r="X126" s="4">
        <v>0.1</v>
      </c>
      <c r="Y126" s="4">
        <v>0.2</v>
      </c>
      <c r="Z126" s="4">
        <v>0.10100000000000001</v>
      </c>
      <c r="AA126" s="13">
        <f>(I126/TOTAL_BASIC!$D$301)*100</f>
        <v>88.857813630041733</v>
      </c>
      <c r="AB126" s="5">
        <f t="shared" si="21"/>
        <v>1.05</v>
      </c>
      <c r="AC126" s="3">
        <f t="shared" si="33"/>
        <v>1</v>
      </c>
      <c r="AD126" s="9">
        <f t="shared" si="22"/>
        <v>0.99199999999999999</v>
      </c>
      <c r="AE126" s="16">
        <f t="shared" si="23"/>
        <v>0.61403508771929816</v>
      </c>
      <c r="AF126" s="16">
        <f t="shared" si="24"/>
        <v>1.381578947368421</v>
      </c>
      <c r="AG126" s="9"/>
      <c r="AH126" s="9"/>
      <c r="AI126" s="12">
        <f t="shared" si="25"/>
        <v>25.4</v>
      </c>
      <c r="AJ126" s="12">
        <f t="shared" si="26"/>
        <v>23.599999999999998</v>
      </c>
      <c r="AK126" s="12">
        <f t="shared" si="26"/>
        <v>50.9</v>
      </c>
      <c r="AL126" s="12">
        <f t="shared" si="26"/>
        <v>26</v>
      </c>
      <c r="AM126" s="12">
        <f t="shared" si="26"/>
        <v>40.9</v>
      </c>
      <c r="AN126" s="12">
        <f t="shared" si="18"/>
        <v>54.6</v>
      </c>
      <c r="AO126" s="12">
        <f t="shared" si="18"/>
        <v>34.1</v>
      </c>
      <c r="AP126" s="12">
        <f t="shared" si="18"/>
        <v>68.300000000000011</v>
      </c>
      <c r="AQ126" s="12">
        <f t="shared" si="18"/>
        <v>81.3</v>
      </c>
      <c r="AR126" s="12">
        <f t="shared" si="29"/>
        <v>39.1</v>
      </c>
      <c r="AS126" s="12">
        <f t="shared" si="29"/>
        <v>67</v>
      </c>
      <c r="AT126" s="12">
        <f t="shared" si="29"/>
        <v>76.3</v>
      </c>
      <c r="AU126" s="12">
        <f t="shared" si="27"/>
        <v>90.1</v>
      </c>
      <c r="AV126" s="12">
        <f t="shared" si="30"/>
        <v>37.799999999999997</v>
      </c>
      <c r="AW126" s="12">
        <f t="shared" si="30"/>
        <v>42.199999999999996</v>
      </c>
      <c r="AX126" s="12">
        <f t="shared" si="28"/>
        <v>76.400000000000006</v>
      </c>
      <c r="AY126" s="9"/>
      <c r="AZ126" s="12">
        <f t="shared" si="31"/>
        <v>40.300000000000004</v>
      </c>
      <c r="BA126" s="12">
        <f t="shared" si="31"/>
        <v>24.2</v>
      </c>
      <c r="BB126" s="12">
        <f t="shared" si="31"/>
        <v>39.700000000000003</v>
      </c>
      <c r="BC126" s="12">
        <f t="shared" si="31"/>
        <v>50.9</v>
      </c>
      <c r="BD126" s="12">
        <f t="shared" si="32"/>
        <v>26</v>
      </c>
      <c r="BE126" s="12">
        <f t="shared" si="19"/>
        <v>42.199999999999996</v>
      </c>
      <c r="BF126" s="12">
        <f t="shared" si="19"/>
        <v>50.3</v>
      </c>
      <c r="BG126" s="12">
        <f t="shared" si="19"/>
        <v>26</v>
      </c>
      <c r="BH126" s="12">
        <f t="shared" si="19"/>
        <v>44.7</v>
      </c>
      <c r="BI126" s="12">
        <f t="shared" si="20"/>
        <v>71.399999999999991</v>
      </c>
    </row>
    <row r="127" spans="1:61" ht="15.75" customHeight="1" x14ac:dyDescent="0.25">
      <c r="A127" s="1" t="s">
        <v>233</v>
      </c>
      <c r="B127" s="3" t="s">
        <v>244</v>
      </c>
      <c r="C127" s="4" t="s">
        <v>8</v>
      </c>
      <c r="D127" s="4">
        <v>3</v>
      </c>
      <c r="E127" s="4">
        <v>68</v>
      </c>
      <c r="F127" s="4">
        <v>3</v>
      </c>
      <c r="G127" s="4">
        <v>68</v>
      </c>
      <c r="H127" s="4">
        <v>16</v>
      </c>
      <c r="I127" s="4">
        <v>0.48</v>
      </c>
      <c r="J127" s="4">
        <v>0.45200000000000001</v>
      </c>
      <c r="K127" s="4">
        <v>0.25800000000000001</v>
      </c>
      <c r="L127" s="4">
        <v>0.32300000000000001</v>
      </c>
      <c r="M127" s="4">
        <v>1.9</v>
      </c>
      <c r="N127" s="4">
        <v>4.8</v>
      </c>
      <c r="O127" s="4">
        <v>45.2</v>
      </c>
      <c r="P127" s="4">
        <v>1.5</v>
      </c>
      <c r="Q127" s="4">
        <v>0</v>
      </c>
      <c r="R127" s="4">
        <v>14.5</v>
      </c>
      <c r="S127" s="4">
        <v>27.6</v>
      </c>
      <c r="T127" s="4">
        <v>101</v>
      </c>
      <c r="U127" s="4">
        <v>114</v>
      </c>
      <c r="V127" s="4">
        <v>0</v>
      </c>
      <c r="W127" s="4">
        <v>0</v>
      </c>
      <c r="X127" s="4">
        <v>0</v>
      </c>
      <c r="Y127" s="4">
        <v>0.1</v>
      </c>
      <c r="Z127" s="4">
        <v>3.2000000000000001E-2</v>
      </c>
      <c r="AA127" s="13">
        <f>(I127/TOTAL_BASIC!$D$301)*100</f>
        <v>85.991432545201661</v>
      </c>
      <c r="AB127" s="5">
        <f t="shared" si="21"/>
        <v>1.01</v>
      </c>
      <c r="AC127" s="3">
        <f t="shared" si="33"/>
        <v>-13</v>
      </c>
      <c r="AD127" s="9">
        <f t="shared" si="22"/>
        <v>0.96</v>
      </c>
      <c r="AE127" s="16">
        <f t="shared" si="23"/>
        <v>1.6376811594202898</v>
      </c>
      <c r="AF127" s="16">
        <f t="shared" si="24"/>
        <v>3.1172413793103448</v>
      </c>
      <c r="AG127" s="9"/>
      <c r="AH127" s="9"/>
      <c r="AI127" s="12">
        <f t="shared" si="25"/>
        <v>4.9000000000000004</v>
      </c>
      <c r="AJ127" s="12">
        <f t="shared" si="26"/>
        <v>22.900000000000002</v>
      </c>
      <c r="AK127" s="12">
        <f t="shared" si="26"/>
        <v>62.1</v>
      </c>
      <c r="AL127" s="12">
        <f t="shared" si="26"/>
        <v>20.399999999999999</v>
      </c>
      <c r="AM127" s="12">
        <f t="shared" si="26"/>
        <v>27.3</v>
      </c>
      <c r="AN127" s="12">
        <f t="shared" ref="AN127:AT142" si="34">(PERCENTRANK(K$3:K$298,K127))*100</f>
        <v>26.700000000000003</v>
      </c>
      <c r="AO127" s="12">
        <f t="shared" si="34"/>
        <v>52.7</v>
      </c>
      <c r="AP127" s="12">
        <f t="shared" si="34"/>
        <v>24.2</v>
      </c>
      <c r="AQ127" s="12">
        <f t="shared" si="34"/>
        <v>13.600000000000001</v>
      </c>
      <c r="AR127" s="12">
        <f t="shared" si="29"/>
        <v>98.1</v>
      </c>
      <c r="AS127" s="12">
        <f t="shared" si="29"/>
        <v>39.1</v>
      </c>
      <c r="AT127" s="12">
        <f t="shared" si="29"/>
        <v>0</v>
      </c>
      <c r="AU127" s="12">
        <f t="shared" si="27"/>
        <v>53.5</v>
      </c>
      <c r="AV127" s="12">
        <f t="shared" si="30"/>
        <v>90</v>
      </c>
      <c r="AW127" s="12">
        <f t="shared" si="30"/>
        <v>34.699999999999996</v>
      </c>
      <c r="AX127" s="12">
        <f t="shared" si="28"/>
        <v>19.299999999999997</v>
      </c>
      <c r="AY127" s="9"/>
      <c r="AZ127" s="12">
        <f t="shared" si="31"/>
        <v>22.3</v>
      </c>
      <c r="BA127" s="12">
        <f t="shared" si="31"/>
        <v>3.1</v>
      </c>
      <c r="BB127" s="12">
        <f t="shared" si="31"/>
        <v>27.3</v>
      </c>
      <c r="BC127" s="12">
        <f t="shared" si="31"/>
        <v>27.3</v>
      </c>
      <c r="BD127" s="12">
        <f t="shared" si="32"/>
        <v>20.399999999999999</v>
      </c>
      <c r="BE127" s="12">
        <f t="shared" si="19"/>
        <v>34.699999999999996</v>
      </c>
      <c r="BF127" s="12">
        <f t="shared" si="19"/>
        <v>25.4</v>
      </c>
      <c r="BG127" s="12">
        <f t="shared" si="19"/>
        <v>20.399999999999999</v>
      </c>
      <c r="BH127" s="12">
        <f t="shared" si="19"/>
        <v>91.9</v>
      </c>
      <c r="BI127" s="12">
        <f t="shared" si="20"/>
        <v>96.8</v>
      </c>
    </row>
    <row r="128" spans="1:61" ht="15.75" customHeight="1" x14ac:dyDescent="0.25">
      <c r="A128" s="1" t="s">
        <v>247</v>
      </c>
      <c r="B128" s="4" t="s">
        <v>86</v>
      </c>
      <c r="C128" s="4" t="s">
        <v>114</v>
      </c>
      <c r="D128" s="4">
        <v>4</v>
      </c>
      <c r="E128" s="4">
        <v>67</v>
      </c>
      <c r="F128" s="4">
        <v>4</v>
      </c>
      <c r="G128" s="4">
        <v>67</v>
      </c>
      <c r="H128" s="4">
        <v>0.8</v>
      </c>
      <c r="I128" s="4">
        <v>0.30499999999999999</v>
      </c>
      <c r="J128" s="4">
        <v>0.17599999999999999</v>
      </c>
      <c r="K128" s="4">
        <v>0.70599999999999996</v>
      </c>
      <c r="L128" s="4">
        <v>0.35299999999999998</v>
      </c>
      <c r="M128" s="4">
        <v>2</v>
      </c>
      <c r="N128" s="4">
        <v>8.3000000000000007</v>
      </c>
      <c r="O128" s="4">
        <v>8.5</v>
      </c>
      <c r="P128" s="4">
        <v>1.5</v>
      </c>
      <c r="Q128" s="4">
        <v>1.5</v>
      </c>
      <c r="R128" s="4">
        <v>13.3</v>
      </c>
      <c r="S128" s="4">
        <v>15.6</v>
      </c>
      <c r="T128" s="4">
        <v>71</v>
      </c>
      <c r="U128" s="4">
        <v>108</v>
      </c>
      <c r="V128" s="4">
        <v>0</v>
      </c>
      <c r="W128" s="4">
        <v>-0.2</v>
      </c>
      <c r="X128" s="4">
        <v>0.1</v>
      </c>
      <c r="Y128" s="4">
        <v>-0.1</v>
      </c>
      <c r="Z128" s="4">
        <v>-7.3999999999999996E-2</v>
      </c>
      <c r="AA128" s="13">
        <f>(I128/TOTAL_BASIC!$D$301)*100</f>
        <v>54.640389429763559</v>
      </c>
      <c r="AB128" s="5">
        <f t="shared" si="21"/>
        <v>0.71</v>
      </c>
      <c r="AC128" s="3">
        <f t="shared" si="33"/>
        <v>-37</v>
      </c>
      <c r="AD128" s="9">
        <f t="shared" si="22"/>
        <v>0.61</v>
      </c>
      <c r="AE128" s="16">
        <f t="shared" si="23"/>
        <v>0.54487179487179493</v>
      </c>
      <c r="AF128" s="16">
        <f t="shared" si="24"/>
        <v>0.63909774436090228</v>
      </c>
      <c r="AG128" s="9"/>
      <c r="AH128" s="9"/>
      <c r="AI128" s="12">
        <f t="shared" si="25"/>
        <v>10.5</v>
      </c>
      <c r="AJ128" s="12">
        <f t="shared" si="26"/>
        <v>21.099999999999998</v>
      </c>
      <c r="AK128" s="12">
        <f t="shared" si="26"/>
        <v>2.4</v>
      </c>
      <c r="AL128" s="12">
        <f t="shared" si="26"/>
        <v>1.2</v>
      </c>
      <c r="AM128" s="12">
        <f t="shared" si="26"/>
        <v>1.2</v>
      </c>
      <c r="AN128" s="12">
        <f t="shared" si="34"/>
        <v>91.3</v>
      </c>
      <c r="AO128" s="12">
        <f t="shared" si="34"/>
        <v>57.699999999999996</v>
      </c>
      <c r="AP128" s="12">
        <f t="shared" si="34"/>
        <v>25.4</v>
      </c>
      <c r="AQ128" s="12">
        <f t="shared" si="34"/>
        <v>44.7</v>
      </c>
      <c r="AR128" s="12">
        <f t="shared" si="29"/>
        <v>28.499999999999996</v>
      </c>
      <c r="AS128" s="12">
        <f t="shared" si="29"/>
        <v>39.1</v>
      </c>
      <c r="AT128" s="12">
        <f t="shared" si="29"/>
        <v>53.400000000000006</v>
      </c>
      <c r="AU128" s="12">
        <f t="shared" si="27"/>
        <v>60.9</v>
      </c>
      <c r="AV128" s="12">
        <f t="shared" si="30"/>
        <v>26</v>
      </c>
      <c r="AW128" s="12">
        <f t="shared" si="30"/>
        <v>3.1</v>
      </c>
      <c r="AX128" s="12">
        <f t="shared" si="28"/>
        <v>56</v>
      </c>
      <c r="AY128" s="9"/>
      <c r="AZ128" s="12">
        <f t="shared" si="31"/>
        <v>5.5</v>
      </c>
      <c r="BA128" s="12">
        <f t="shared" si="31"/>
        <v>24.2</v>
      </c>
      <c r="BB128" s="12">
        <f t="shared" si="31"/>
        <v>6.8000000000000007</v>
      </c>
      <c r="BC128" s="12">
        <f t="shared" si="31"/>
        <v>5.5</v>
      </c>
      <c r="BD128" s="12">
        <f t="shared" si="32"/>
        <v>1.2</v>
      </c>
      <c r="BE128" s="12">
        <f t="shared" si="19"/>
        <v>3.1</v>
      </c>
      <c r="BF128" s="12">
        <f t="shared" si="19"/>
        <v>3.1</v>
      </c>
      <c r="BG128" s="12">
        <f t="shared" si="19"/>
        <v>1.2</v>
      </c>
      <c r="BH128" s="12">
        <f t="shared" si="19"/>
        <v>36.6</v>
      </c>
      <c r="BI128" s="12">
        <f t="shared" si="20"/>
        <v>31</v>
      </c>
    </row>
    <row r="129" spans="1:61" ht="15.75" customHeight="1" x14ac:dyDescent="0.25">
      <c r="A129" s="1" t="s">
        <v>248</v>
      </c>
      <c r="B129" s="3" t="s">
        <v>93</v>
      </c>
      <c r="C129" s="4" t="s">
        <v>8</v>
      </c>
      <c r="D129" s="4">
        <v>5</v>
      </c>
      <c r="E129" s="4">
        <v>67</v>
      </c>
      <c r="F129" s="4">
        <v>5</v>
      </c>
      <c r="G129" s="4">
        <v>67</v>
      </c>
      <c r="H129" s="4">
        <v>16.7</v>
      </c>
      <c r="I129" s="4">
        <v>0.57099999999999995</v>
      </c>
      <c r="J129" s="4">
        <v>0.48199999999999998</v>
      </c>
      <c r="K129" s="4">
        <v>0.32100000000000001</v>
      </c>
      <c r="L129" s="4">
        <v>0.42899999999999999</v>
      </c>
      <c r="M129" s="4">
        <v>0</v>
      </c>
      <c r="N129" s="4">
        <v>5.2</v>
      </c>
      <c r="O129" s="4">
        <v>21.6</v>
      </c>
      <c r="P129" s="4">
        <v>0.8</v>
      </c>
      <c r="Q129" s="4">
        <v>0</v>
      </c>
      <c r="R129" s="4">
        <v>8.3000000000000007</v>
      </c>
      <c r="S129" s="4">
        <v>23.7</v>
      </c>
      <c r="T129" s="4">
        <v>119</v>
      </c>
      <c r="U129" s="4">
        <v>106</v>
      </c>
      <c r="V129" s="4">
        <v>0</v>
      </c>
      <c r="W129" s="4">
        <v>0.2</v>
      </c>
      <c r="X129" s="4">
        <v>0.1</v>
      </c>
      <c r="Y129" s="4">
        <v>0.3</v>
      </c>
      <c r="Z129" s="4">
        <v>0.192</v>
      </c>
      <c r="AA129" s="13">
        <f>(I129/TOTAL_BASIC!$D$301)*100</f>
        <v>102.29397496522947</v>
      </c>
      <c r="AB129" s="5">
        <f t="shared" si="21"/>
        <v>1.19</v>
      </c>
      <c r="AC129" s="3">
        <f t="shared" si="33"/>
        <v>13</v>
      </c>
      <c r="AD129" s="9">
        <f t="shared" si="22"/>
        <v>1.1419999999999999</v>
      </c>
      <c r="AE129" s="16">
        <f t="shared" si="23"/>
        <v>0.91139240506329122</v>
      </c>
      <c r="AF129" s="16">
        <f t="shared" si="24"/>
        <v>2.6024096385542168</v>
      </c>
      <c r="AG129" s="9"/>
      <c r="AH129" s="9"/>
      <c r="AI129" s="12">
        <f t="shared" si="25"/>
        <v>16.100000000000001</v>
      </c>
      <c r="AJ129" s="12">
        <f t="shared" si="26"/>
        <v>21.099999999999998</v>
      </c>
      <c r="AK129" s="12">
        <f t="shared" si="26"/>
        <v>65.8</v>
      </c>
      <c r="AL129" s="12">
        <f t="shared" si="26"/>
        <v>54</v>
      </c>
      <c r="AM129" s="12">
        <f t="shared" si="26"/>
        <v>34.1</v>
      </c>
      <c r="AN129" s="12">
        <f t="shared" si="34"/>
        <v>35.4</v>
      </c>
      <c r="AO129" s="12">
        <f t="shared" si="34"/>
        <v>73.2</v>
      </c>
      <c r="AP129" s="12">
        <f t="shared" si="34"/>
        <v>0</v>
      </c>
      <c r="AQ129" s="12">
        <f t="shared" si="34"/>
        <v>16.7</v>
      </c>
      <c r="AR129" s="12">
        <f t="shared" si="29"/>
        <v>76.3</v>
      </c>
      <c r="AS129" s="12">
        <f t="shared" si="29"/>
        <v>13.600000000000001</v>
      </c>
      <c r="AT129" s="12">
        <f t="shared" si="29"/>
        <v>0</v>
      </c>
      <c r="AU129" s="12">
        <f t="shared" si="27"/>
        <v>87.6</v>
      </c>
      <c r="AV129" s="12">
        <f t="shared" si="30"/>
        <v>77</v>
      </c>
      <c r="AW129" s="12">
        <f t="shared" si="30"/>
        <v>80.100000000000009</v>
      </c>
      <c r="AX129" s="12">
        <f t="shared" si="28"/>
        <v>67.8</v>
      </c>
      <c r="AY129" s="9"/>
      <c r="AZ129" s="12">
        <f t="shared" si="31"/>
        <v>57.099999999999994</v>
      </c>
      <c r="BA129" s="12">
        <f t="shared" si="31"/>
        <v>24.2</v>
      </c>
      <c r="BB129" s="12">
        <f t="shared" si="31"/>
        <v>51.5</v>
      </c>
      <c r="BC129" s="12">
        <f t="shared" si="31"/>
        <v>88.1</v>
      </c>
      <c r="BD129" s="12">
        <f t="shared" si="32"/>
        <v>54</v>
      </c>
      <c r="BE129" s="12">
        <f t="shared" si="19"/>
        <v>80.100000000000009</v>
      </c>
      <c r="BF129" s="12">
        <f t="shared" si="19"/>
        <v>80.100000000000009</v>
      </c>
      <c r="BG129" s="12">
        <f t="shared" si="19"/>
        <v>54</v>
      </c>
      <c r="BH129" s="12">
        <f t="shared" si="19"/>
        <v>67</v>
      </c>
      <c r="BI129" s="12">
        <f t="shared" si="20"/>
        <v>95.6</v>
      </c>
    </row>
    <row r="130" spans="1:61" ht="15.75" customHeight="1" x14ac:dyDescent="0.25">
      <c r="A130" s="1" t="s">
        <v>215</v>
      </c>
      <c r="B130" s="3" t="s">
        <v>95</v>
      </c>
      <c r="C130" s="4" t="s">
        <v>90</v>
      </c>
      <c r="D130" s="4">
        <v>7</v>
      </c>
      <c r="E130" s="4">
        <v>67</v>
      </c>
      <c r="F130" s="4">
        <v>7</v>
      </c>
      <c r="G130" s="4">
        <v>67</v>
      </c>
      <c r="H130" s="4">
        <v>20.6</v>
      </c>
      <c r="I130" s="4">
        <v>0.58799999999999997</v>
      </c>
      <c r="J130" s="4">
        <v>0.52600000000000002</v>
      </c>
      <c r="K130" s="4">
        <v>0.57899999999999996</v>
      </c>
      <c r="L130" s="4">
        <v>0.47399999999999998</v>
      </c>
      <c r="M130" s="4">
        <v>12.1</v>
      </c>
      <c r="N130" s="4">
        <v>16.899999999999999</v>
      </c>
      <c r="O130" s="4">
        <v>10</v>
      </c>
      <c r="P130" s="4">
        <v>3</v>
      </c>
      <c r="Q130" s="4">
        <v>8.8000000000000007</v>
      </c>
      <c r="R130" s="4">
        <v>14.8</v>
      </c>
      <c r="S130" s="4">
        <v>17.8</v>
      </c>
      <c r="T130" s="4">
        <v>116</v>
      </c>
      <c r="U130" s="4">
        <v>100</v>
      </c>
      <c r="V130" s="4">
        <v>0</v>
      </c>
      <c r="W130" s="4">
        <v>0.2</v>
      </c>
      <c r="X130" s="4">
        <v>0.2</v>
      </c>
      <c r="Y130" s="4">
        <v>0.3</v>
      </c>
      <c r="Z130" s="4">
        <v>0.182</v>
      </c>
      <c r="AA130" s="13">
        <f>(I130/TOTAL_BASIC!$D$301)*100</f>
        <v>105.33950486787205</v>
      </c>
      <c r="AB130" s="5">
        <f t="shared" si="21"/>
        <v>1.1599999999999999</v>
      </c>
      <c r="AC130" s="3">
        <f t="shared" si="33"/>
        <v>16</v>
      </c>
      <c r="AD130" s="9">
        <f t="shared" si="22"/>
        <v>1.1759999999999999</v>
      </c>
      <c r="AE130" s="16">
        <f t="shared" si="23"/>
        <v>0.56179775280898869</v>
      </c>
      <c r="AF130" s="16">
        <f t="shared" si="24"/>
        <v>0.67567567567567566</v>
      </c>
      <c r="AG130" s="9"/>
      <c r="AH130" s="9"/>
      <c r="AI130" s="12">
        <f t="shared" si="25"/>
        <v>47.199999999999996</v>
      </c>
      <c r="AJ130" s="12">
        <f t="shared" si="26"/>
        <v>21.099999999999998</v>
      </c>
      <c r="AK130" s="12">
        <f t="shared" si="26"/>
        <v>85</v>
      </c>
      <c r="AL130" s="12">
        <f t="shared" si="26"/>
        <v>62.7</v>
      </c>
      <c r="AM130" s="12">
        <f t="shared" si="26"/>
        <v>54</v>
      </c>
      <c r="AN130" s="12">
        <f t="shared" si="34"/>
        <v>81.3</v>
      </c>
      <c r="AO130" s="12">
        <f t="shared" si="34"/>
        <v>78.2</v>
      </c>
      <c r="AP130" s="12">
        <f t="shared" si="34"/>
        <v>88.8</v>
      </c>
      <c r="AQ130" s="12">
        <f t="shared" si="34"/>
        <v>88.8</v>
      </c>
      <c r="AR130" s="12">
        <f t="shared" si="29"/>
        <v>36</v>
      </c>
      <c r="AS130" s="12">
        <f t="shared" si="29"/>
        <v>86.3</v>
      </c>
      <c r="AT130" s="12">
        <f t="shared" si="29"/>
        <v>98.1</v>
      </c>
      <c r="AU130" s="12">
        <f t="shared" si="27"/>
        <v>50.4</v>
      </c>
      <c r="AV130" s="12">
        <f t="shared" si="30"/>
        <v>45.300000000000004</v>
      </c>
      <c r="AW130" s="12">
        <f t="shared" si="30"/>
        <v>71.399999999999991</v>
      </c>
      <c r="AX130" s="12">
        <f t="shared" si="28"/>
        <v>95.1</v>
      </c>
      <c r="AY130" s="9"/>
      <c r="AZ130" s="12">
        <f t="shared" si="31"/>
        <v>57.099999999999994</v>
      </c>
      <c r="BA130" s="12">
        <f t="shared" si="31"/>
        <v>57.099999999999994</v>
      </c>
      <c r="BB130" s="12">
        <f t="shared" si="31"/>
        <v>51.5</v>
      </c>
      <c r="BC130" s="12">
        <f t="shared" si="31"/>
        <v>86.3</v>
      </c>
      <c r="BD130" s="12">
        <f t="shared" si="32"/>
        <v>62.7</v>
      </c>
      <c r="BE130" s="12">
        <f t="shared" si="19"/>
        <v>71.399999999999991</v>
      </c>
      <c r="BF130" s="12">
        <f t="shared" si="19"/>
        <v>88.8</v>
      </c>
      <c r="BG130" s="12">
        <f t="shared" si="19"/>
        <v>62.7</v>
      </c>
      <c r="BH130" s="12">
        <f t="shared" si="19"/>
        <v>39.1</v>
      </c>
      <c r="BI130" s="12">
        <f t="shared" si="20"/>
        <v>33.5</v>
      </c>
    </row>
    <row r="131" spans="1:61" ht="15.75" customHeight="1" x14ac:dyDescent="0.25">
      <c r="A131" s="1" t="s">
        <v>191</v>
      </c>
      <c r="B131" s="3" t="s">
        <v>119</v>
      </c>
      <c r="C131" s="4" t="s">
        <v>121</v>
      </c>
      <c r="D131" s="4">
        <v>6</v>
      </c>
      <c r="E131" s="4">
        <v>65</v>
      </c>
      <c r="F131" s="4">
        <v>6</v>
      </c>
      <c r="G131" s="4">
        <v>65</v>
      </c>
      <c r="H131" s="4">
        <v>10.4</v>
      </c>
      <c r="I131" s="4">
        <v>0.77300000000000002</v>
      </c>
      <c r="J131" s="4">
        <v>0.66700000000000004</v>
      </c>
      <c r="K131" s="4">
        <v>0</v>
      </c>
      <c r="L131" s="4">
        <v>0.66700000000000004</v>
      </c>
      <c r="M131" s="4">
        <v>9.1999999999999993</v>
      </c>
      <c r="N131" s="4">
        <v>14</v>
      </c>
      <c r="O131" s="4">
        <v>3.6</v>
      </c>
      <c r="P131" s="4">
        <v>2.2000000000000002</v>
      </c>
      <c r="Q131" s="4">
        <v>5</v>
      </c>
      <c r="R131" s="4">
        <v>43.6</v>
      </c>
      <c r="S131" s="4">
        <v>4.5</v>
      </c>
      <c r="T131" s="4">
        <v>117</v>
      </c>
      <c r="U131" s="4">
        <v>103</v>
      </c>
      <c r="V131" s="4">
        <v>0</v>
      </c>
      <c r="W131" s="4">
        <v>0.1</v>
      </c>
      <c r="X131" s="4">
        <v>0.1</v>
      </c>
      <c r="Y131" s="4">
        <v>0.2</v>
      </c>
      <c r="Z131" s="4">
        <v>0.111</v>
      </c>
      <c r="AA131" s="13">
        <f>(I131/TOTAL_BASIC!$D$301)*100</f>
        <v>138.48203616133517</v>
      </c>
      <c r="AB131" s="5">
        <f t="shared" si="21"/>
        <v>1.17</v>
      </c>
      <c r="AC131" s="3">
        <f t="shared" si="33"/>
        <v>14</v>
      </c>
      <c r="AD131" s="9">
        <f t="shared" si="22"/>
        <v>1.546</v>
      </c>
      <c r="AE131" s="16">
        <f t="shared" si="23"/>
        <v>0.8</v>
      </c>
      <c r="AF131" s="16">
        <f t="shared" si="24"/>
        <v>8.2568807339449546E-2</v>
      </c>
      <c r="AG131" s="9"/>
      <c r="AH131" s="9"/>
      <c r="AI131" s="12">
        <f t="shared" si="25"/>
        <v>25.4</v>
      </c>
      <c r="AJ131" s="12">
        <f t="shared" si="26"/>
        <v>20.399999999999999</v>
      </c>
      <c r="AK131" s="12">
        <f t="shared" si="26"/>
        <v>29.099999999999998</v>
      </c>
      <c r="AL131" s="12">
        <f t="shared" si="26"/>
        <v>97.5</v>
      </c>
      <c r="AM131" s="12">
        <f t="shared" ref="AM131:AT164" si="35">(PERCENTRANK(J$3:J$298,J131))*100</f>
        <v>88.8</v>
      </c>
      <c r="AN131" s="12">
        <f t="shared" si="34"/>
        <v>0</v>
      </c>
      <c r="AO131" s="12">
        <f t="shared" si="34"/>
        <v>94.399999999999991</v>
      </c>
      <c r="AP131" s="12">
        <f t="shared" si="34"/>
        <v>79.5</v>
      </c>
      <c r="AQ131" s="12">
        <f t="shared" si="34"/>
        <v>80.7</v>
      </c>
      <c r="AR131" s="12">
        <f t="shared" si="29"/>
        <v>4.9000000000000004</v>
      </c>
      <c r="AS131" s="12">
        <f t="shared" si="29"/>
        <v>67</v>
      </c>
      <c r="AT131" s="12">
        <f t="shared" si="29"/>
        <v>89.4</v>
      </c>
      <c r="AU131" s="12">
        <f t="shared" si="27"/>
        <v>0.70000000000000284</v>
      </c>
      <c r="AV131" s="12">
        <f t="shared" si="30"/>
        <v>0</v>
      </c>
      <c r="AW131" s="12">
        <f t="shared" si="30"/>
        <v>73.2</v>
      </c>
      <c r="AX131" s="12">
        <f t="shared" si="28"/>
        <v>82</v>
      </c>
      <c r="AY131" s="9"/>
      <c r="AZ131" s="12">
        <f t="shared" si="31"/>
        <v>40.300000000000004</v>
      </c>
      <c r="BA131" s="12">
        <f t="shared" si="31"/>
        <v>24.2</v>
      </c>
      <c r="BB131" s="12">
        <f t="shared" si="31"/>
        <v>39.700000000000003</v>
      </c>
      <c r="BC131" s="12">
        <f t="shared" si="31"/>
        <v>57.099999999999994</v>
      </c>
      <c r="BD131" s="12">
        <f t="shared" si="32"/>
        <v>97.5</v>
      </c>
      <c r="BE131" s="12">
        <f t="shared" si="32"/>
        <v>73.2</v>
      </c>
      <c r="BF131" s="12">
        <f t="shared" si="32"/>
        <v>82.6</v>
      </c>
      <c r="BG131" s="12">
        <f t="shared" si="32"/>
        <v>97.5</v>
      </c>
      <c r="BH131" s="12">
        <f t="shared" si="32"/>
        <v>60.199999999999996</v>
      </c>
      <c r="BI131" s="12">
        <f t="shared" si="32"/>
        <v>2.4</v>
      </c>
    </row>
    <row r="132" spans="1:61" ht="15.75" customHeight="1" x14ac:dyDescent="0.25">
      <c r="A132" s="1" t="s">
        <v>212</v>
      </c>
      <c r="B132" s="3" t="s">
        <v>119</v>
      </c>
      <c r="C132" s="4" t="s">
        <v>87</v>
      </c>
      <c r="D132" s="4">
        <v>6</v>
      </c>
      <c r="E132" s="4">
        <v>64</v>
      </c>
      <c r="F132" s="4">
        <v>6</v>
      </c>
      <c r="G132" s="4">
        <v>64</v>
      </c>
      <c r="H132" s="4">
        <v>19.399999999999999</v>
      </c>
      <c r="I132" s="4">
        <v>0.628</v>
      </c>
      <c r="J132" s="4">
        <v>0.57499999999999996</v>
      </c>
      <c r="K132" s="4">
        <v>0.15</v>
      </c>
      <c r="L132" s="4">
        <v>0.35</v>
      </c>
      <c r="M132" s="4">
        <v>9.3000000000000007</v>
      </c>
      <c r="N132" s="4">
        <v>12.5</v>
      </c>
      <c r="O132" s="4">
        <v>6.6</v>
      </c>
      <c r="P132" s="4">
        <v>1.5</v>
      </c>
      <c r="Q132" s="4">
        <v>7.6</v>
      </c>
      <c r="R132" s="4">
        <v>14.8</v>
      </c>
      <c r="S132" s="4">
        <v>18.2</v>
      </c>
      <c r="T132" s="4">
        <v>117</v>
      </c>
      <c r="U132" s="4">
        <v>103</v>
      </c>
      <c r="V132" s="4">
        <v>0</v>
      </c>
      <c r="W132" s="4">
        <v>0.1</v>
      </c>
      <c r="X132" s="4">
        <v>0.1</v>
      </c>
      <c r="Y132" s="4">
        <v>0.3</v>
      </c>
      <c r="Z132" s="4">
        <v>0.16800000000000001</v>
      </c>
      <c r="AA132" s="13">
        <f>(I132/TOTAL_BASIC!$D$301)*100</f>
        <v>112.50545757997219</v>
      </c>
      <c r="AB132" s="5">
        <f t="shared" ref="AB132:AB164" si="36">(T132/100)</f>
        <v>1.17</v>
      </c>
      <c r="AC132" s="3">
        <f t="shared" si="33"/>
        <v>14</v>
      </c>
      <c r="AD132" s="9">
        <f t="shared" ref="AD132:AD164" si="37">2*I132</f>
        <v>1.256</v>
      </c>
      <c r="AE132" s="16">
        <f t="shared" ref="AE132:AE164" si="38">IF(S132=0,0,O132/S132)</f>
        <v>0.36263736263736263</v>
      </c>
      <c r="AF132" s="16">
        <f t="shared" ref="AF132:AF164" si="39">IF(R132=0,0,O132/R132)</f>
        <v>0.44594594594594589</v>
      </c>
      <c r="AG132" s="9"/>
      <c r="AH132" s="9"/>
      <c r="AI132" s="12">
        <f t="shared" ref="AI132:AL164" si="40">(PERCENTRANK(F$3:F$298,F132))*100</f>
        <v>25.4</v>
      </c>
      <c r="AJ132" s="12">
        <f t="shared" ref="AJ132:AL147" si="41">(PERCENTRANK(G$3:G$298,G132))*100</f>
        <v>19.8</v>
      </c>
      <c r="AK132" s="12">
        <f t="shared" si="41"/>
        <v>77.600000000000009</v>
      </c>
      <c r="AL132" s="12">
        <f t="shared" si="41"/>
        <v>77.600000000000009</v>
      </c>
      <c r="AM132" s="12">
        <f t="shared" si="35"/>
        <v>72</v>
      </c>
      <c r="AN132" s="12">
        <f t="shared" si="34"/>
        <v>17.299999999999997</v>
      </c>
      <c r="AO132" s="12">
        <f t="shared" si="34"/>
        <v>57.099999999999994</v>
      </c>
      <c r="AP132" s="12">
        <f t="shared" si="34"/>
        <v>80.100000000000009</v>
      </c>
      <c r="AQ132" s="12">
        <f t="shared" si="34"/>
        <v>73.900000000000006</v>
      </c>
      <c r="AR132" s="12">
        <f t="shared" si="29"/>
        <v>16.7</v>
      </c>
      <c r="AS132" s="12">
        <f t="shared" si="29"/>
        <v>39.1</v>
      </c>
      <c r="AT132" s="12">
        <f t="shared" si="29"/>
        <v>97.5</v>
      </c>
      <c r="AU132" s="12">
        <f t="shared" ref="AU132:AU164" si="42">100-(PERCENTRANK(R$3:R$298,R132))*100</f>
        <v>50.4</v>
      </c>
      <c r="AV132" s="12">
        <f t="shared" si="30"/>
        <v>47.8</v>
      </c>
      <c r="AW132" s="12">
        <f t="shared" si="30"/>
        <v>73.2</v>
      </c>
      <c r="AX132" s="12">
        <f t="shared" ref="AX132:AX164" si="43">100-(PERCENTRANK(U$3:U$298,U132))*100</f>
        <v>82</v>
      </c>
      <c r="AY132" s="9"/>
      <c r="AZ132" s="12">
        <f t="shared" si="31"/>
        <v>40.300000000000004</v>
      </c>
      <c r="BA132" s="12">
        <f t="shared" si="31"/>
        <v>24.2</v>
      </c>
      <c r="BB132" s="12">
        <f t="shared" si="31"/>
        <v>51.5</v>
      </c>
      <c r="BC132" s="12">
        <f t="shared" si="31"/>
        <v>78.8</v>
      </c>
      <c r="BD132" s="12">
        <f t="shared" si="32"/>
        <v>77.600000000000009</v>
      </c>
      <c r="BE132" s="12">
        <f t="shared" si="32"/>
        <v>73.2</v>
      </c>
      <c r="BF132" s="12">
        <f t="shared" si="32"/>
        <v>82.6</v>
      </c>
      <c r="BG132" s="12">
        <f t="shared" si="32"/>
        <v>77.600000000000009</v>
      </c>
      <c r="BH132" s="12">
        <f t="shared" si="32"/>
        <v>14.2</v>
      </c>
      <c r="BI132" s="12">
        <f t="shared" si="32"/>
        <v>17.299999999999997</v>
      </c>
    </row>
    <row r="133" spans="1:61" ht="15.75" customHeight="1" x14ac:dyDescent="0.25">
      <c r="A133" s="1" t="s">
        <v>249</v>
      </c>
      <c r="B133" s="3" t="s">
        <v>133</v>
      </c>
      <c r="C133" s="4" t="s">
        <v>8</v>
      </c>
      <c r="D133" s="4">
        <v>5</v>
      </c>
      <c r="E133" s="4">
        <v>63</v>
      </c>
      <c r="F133" s="4">
        <v>5</v>
      </c>
      <c r="G133" s="4">
        <v>63</v>
      </c>
      <c r="H133" s="4">
        <v>17.899999999999999</v>
      </c>
      <c r="I133" s="4">
        <v>0.48</v>
      </c>
      <c r="J133" s="4">
        <v>0.39500000000000002</v>
      </c>
      <c r="K133" s="4">
        <v>0.628</v>
      </c>
      <c r="L133" s="4">
        <v>0.372</v>
      </c>
      <c r="M133" s="4">
        <v>5.0999999999999996</v>
      </c>
      <c r="N133" s="4">
        <v>4.4000000000000004</v>
      </c>
      <c r="O133" s="4">
        <v>15.2</v>
      </c>
      <c r="P133" s="4">
        <v>1.6</v>
      </c>
      <c r="Q133" s="4">
        <v>1.3</v>
      </c>
      <c r="R133" s="4">
        <v>3.8</v>
      </c>
      <c r="S133" s="4">
        <v>36</v>
      </c>
      <c r="T133" s="4">
        <v>103</v>
      </c>
      <c r="U133" s="4">
        <v>113</v>
      </c>
      <c r="V133" s="4">
        <v>0</v>
      </c>
      <c r="W133" s="4">
        <v>0.1</v>
      </c>
      <c r="X133" s="4">
        <v>0</v>
      </c>
      <c r="Y133" s="4">
        <v>0.1</v>
      </c>
      <c r="Z133" s="4">
        <v>5.8999999999999997E-2</v>
      </c>
      <c r="AA133" s="13">
        <f>(I133/TOTAL_BASIC!$D$301)*100</f>
        <v>85.991432545201661</v>
      </c>
      <c r="AB133" s="5">
        <f t="shared" si="36"/>
        <v>1.03</v>
      </c>
      <c r="AC133" s="3">
        <f t="shared" si="33"/>
        <v>-10</v>
      </c>
      <c r="AD133" s="9">
        <f t="shared" si="37"/>
        <v>0.96</v>
      </c>
      <c r="AE133" s="16">
        <f t="shared" si="38"/>
        <v>0.42222222222222222</v>
      </c>
      <c r="AF133" s="16">
        <f t="shared" si="39"/>
        <v>4</v>
      </c>
      <c r="AG133" s="9"/>
      <c r="AH133" s="9"/>
      <c r="AI133" s="12">
        <f t="shared" si="40"/>
        <v>16.100000000000001</v>
      </c>
      <c r="AJ133" s="12">
        <f t="shared" si="41"/>
        <v>19.2</v>
      </c>
      <c r="AK133" s="12">
        <f t="shared" si="41"/>
        <v>72</v>
      </c>
      <c r="AL133" s="12">
        <f t="shared" si="41"/>
        <v>20.399999999999999</v>
      </c>
      <c r="AM133" s="12">
        <f t="shared" si="35"/>
        <v>13.600000000000001</v>
      </c>
      <c r="AN133" s="12">
        <f t="shared" si="34"/>
        <v>88.1</v>
      </c>
      <c r="AO133" s="12">
        <f t="shared" si="34"/>
        <v>65.8</v>
      </c>
      <c r="AP133" s="12">
        <f t="shared" si="34"/>
        <v>62.7</v>
      </c>
      <c r="AQ133" s="12">
        <f t="shared" si="34"/>
        <v>11.799999999999999</v>
      </c>
      <c r="AR133" s="12">
        <f t="shared" si="29"/>
        <v>61.4</v>
      </c>
      <c r="AS133" s="12">
        <f t="shared" si="29"/>
        <v>45.300000000000004</v>
      </c>
      <c r="AT133" s="12">
        <f t="shared" si="29"/>
        <v>47.8</v>
      </c>
      <c r="AU133" s="12">
        <f t="shared" si="42"/>
        <v>97.6</v>
      </c>
      <c r="AV133" s="12">
        <f t="shared" si="30"/>
        <v>100</v>
      </c>
      <c r="AW133" s="12">
        <f t="shared" si="30"/>
        <v>38.5</v>
      </c>
      <c r="AX133" s="12">
        <f t="shared" si="43"/>
        <v>23</v>
      </c>
      <c r="AY133" s="9"/>
      <c r="AZ133" s="12">
        <f t="shared" si="31"/>
        <v>40.300000000000004</v>
      </c>
      <c r="BA133" s="12">
        <f t="shared" si="31"/>
        <v>3.1</v>
      </c>
      <c r="BB133" s="12">
        <f t="shared" si="31"/>
        <v>27.3</v>
      </c>
      <c r="BC133" s="12">
        <f t="shared" si="31"/>
        <v>36</v>
      </c>
      <c r="BD133" s="12">
        <f t="shared" si="32"/>
        <v>20.399999999999999</v>
      </c>
      <c r="BE133" s="12">
        <f t="shared" si="32"/>
        <v>38.5</v>
      </c>
      <c r="BF133" s="12">
        <f t="shared" si="32"/>
        <v>29.099999999999998</v>
      </c>
      <c r="BG133" s="12">
        <f t="shared" si="32"/>
        <v>20.399999999999999</v>
      </c>
      <c r="BH133" s="12">
        <f t="shared" si="32"/>
        <v>19.2</v>
      </c>
      <c r="BI133" s="12">
        <f t="shared" si="32"/>
        <v>98.1</v>
      </c>
    </row>
    <row r="134" spans="1:61" ht="15.75" customHeight="1" x14ac:dyDescent="0.25">
      <c r="A134" s="1" t="s">
        <v>210</v>
      </c>
      <c r="B134" s="3" t="s">
        <v>244</v>
      </c>
      <c r="C134" s="4" t="s">
        <v>121</v>
      </c>
      <c r="D134" s="4">
        <v>5</v>
      </c>
      <c r="E134" s="4">
        <v>60</v>
      </c>
      <c r="F134" s="4">
        <v>5</v>
      </c>
      <c r="G134" s="4">
        <v>60</v>
      </c>
      <c r="H134" s="4">
        <v>10.199999999999999</v>
      </c>
      <c r="I134" s="4">
        <v>0.63500000000000001</v>
      </c>
      <c r="J134" s="4">
        <v>0.57099999999999995</v>
      </c>
      <c r="K134" s="4">
        <v>0.57099999999999995</v>
      </c>
      <c r="L134" s="4">
        <v>0.28599999999999998</v>
      </c>
      <c r="M134" s="4">
        <v>6.4</v>
      </c>
      <c r="N134" s="4">
        <v>8.6999999999999993</v>
      </c>
      <c r="O134" s="4">
        <v>2.7</v>
      </c>
      <c r="P134" s="4">
        <v>0</v>
      </c>
      <c r="Q134" s="4">
        <v>0</v>
      </c>
      <c r="R134" s="4">
        <v>11.3</v>
      </c>
      <c r="S134" s="4">
        <v>13.4</v>
      </c>
      <c r="T134" s="4">
        <v>120</v>
      </c>
      <c r="U134" s="4">
        <v>116</v>
      </c>
      <c r="V134" s="4">
        <v>0</v>
      </c>
      <c r="W134" s="4">
        <v>0.1</v>
      </c>
      <c r="X134" s="4">
        <v>0</v>
      </c>
      <c r="Y134" s="4">
        <v>0.1</v>
      </c>
      <c r="Z134" s="4">
        <v>0.08</v>
      </c>
      <c r="AA134" s="13">
        <f>(I134/TOTAL_BASIC!$D$301)*100</f>
        <v>113.75949930458971</v>
      </c>
      <c r="AB134" s="5">
        <f t="shared" si="36"/>
        <v>1.2</v>
      </c>
      <c r="AC134" s="3">
        <f t="shared" si="33"/>
        <v>4</v>
      </c>
      <c r="AD134" s="9">
        <f t="shared" si="37"/>
        <v>1.27</v>
      </c>
      <c r="AE134" s="16">
        <f t="shared" si="38"/>
        <v>0.20149253731343283</v>
      </c>
      <c r="AF134" s="16">
        <f t="shared" si="39"/>
        <v>0.23893805309734514</v>
      </c>
      <c r="AG134" s="9"/>
      <c r="AH134" s="9"/>
      <c r="AI134" s="12">
        <f t="shared" si="40"/>
        <v>16.100000000000001</v>
      </c>
      <c r="AJ134" s="12">
        <f t="shared" si="41"/>
        <v>18</v>
      </c>
      <c r="AK134" s="12">
        <f t="shared" si="41"/>
        <v>27.3</v>
      </c>
      <c r="AL134" s="12">
        <f t="shared" si="41"/>
        <v>80.100000000000009</v>
      </c>
      <c r="AM134" s="12">
        <f t="shared" si="35"/>
        <v>70.8</v>
      </c>
      <c r="AN134" s="12">
        <f t="shared" si="34"/>
        <v>80.100000000000009</v>
      </c>
      <c r="AO134" s="12">
        <f t="shared" si="34"/>
        <v>44</v>
      </c>
      <c r="AP134" s="12">
        <f t="shared" si="34"/>
        <v>72</v>
      </c>
      <c r="AQ134" s="12">
        <f t="shared" si="34"/>
        <v>47.8</v>
      </c>
      <c r="AR134" s="12">
        <f t="shared" si="29"/>
        <v>1.7999999999999998</v>
      </c>
      <c r="AS134" s="12">
        <f t="shared" si="29"/>
        <v>0</v>
      </c>
      <c r="AT134" s="12">
        <f t="shared" si="29"/>
        <v>0</v>
      </c>
      <c r="AU134" s="12">
        <f t="shared" si="42"/>
        <v>72.7</v>
      </c>
      <c r="AV134" s="12">
        <f t="shared" si="30"/>
        <v>13</v>
      </c>
      <c r="AW134" s="12">
        <f t="shared" si="30"/>
        <v>82.6</v>
      </c>
      <c r="AX134" s="12">
        <f t="shared" si="43"/>
        <v>9.3999999999999915</v>
      </c>
      <c r="AY134" s="9"/>
      <c r="AZ134" s="12">
        <f t="shared" si="31"/>
        <v>40.300000000000004</v>
      </c>
      <c r="BA134" s="12">
        <f t="shared" si="31"/>
        <v>3.1</v>
      </c>
      <c r="BB134" s="12">
        <f t="shared" si="31"/>
        <v>27.3</v>
      </c>
      <c r="BC134" s="12">
        <f t="shared" si="31"/>
        <v>45.9</v>
      </c>
      <c r="BD134" s="12">
        <f t="shared" si="32"/>
        <v>80.100000000000009</v>
      </c>
      <c r="BE134" s="12">
        <f t="shared" si="32"/>
        <v>82.6</v>
      </c>
      <c r="BF134" s="12">
        <f t="shared" si="32"/>
        <v>60.199999999999996</v>
      </c>
      <c r="BG134" s="12">
        <f t="shared" si="32"/>
        <v>80.100000000000009</v>
      </c>
      <c r="BH134" s="12">
        <f t="shared" si="32"/>
        <v>3.1</v>
      </c>
      <c r="BI134" s="12">
        <f t="shared" si="32"/>
        <v>6.8000000000000007</v>
      </c>
    </row>
    <row r="135" spans="1:61" ht="15.75" customHeight="1" x14ac:dyDescent="0.25">
      <c r="A135" s="1" t="s">
        <v>250</v>
      </c>
      <c r="B135" s="3" t="s">
        <v>164</v>
      </c>
      <c r="C135" s="4" t="s">
        <v>8</v>
      </c>
      <c r="D135" s="4">
        <v>8</v>
      </c>
      <c r="E135" s="4">
        <v>60</v>
      </c>
      <c r="F135" s="4">
        <v>8</v>
      </c>
      <c r="G135" s="4">
        <v>60</v>
      </c>
      <c r="H135" s="4">
        <v>4.0999999999999996</v>
      </c>
      <c r="I135" s="4">
        <v>0.43099999999999999</v>
      </c>
      <c r="J135" s="4">
        <v>0.4</v>
      </c>
      <c r="K135" s="4">
        <v>0.4</v>
      </c>
      <c r="L135" s="4">
        <v>0.1</v>
      </c>
      <c r="M135" s="4">
        <v>5.9</v>
      </c>
      <c r="N135" s="4">
        <v>6.3</v>
      </c>
      <c r="O135" s="4">
        <v>17.3</v>
      </c>
      <c r="P135" s="4">
        <v>0.8</v>
      </c>
      <c r="Q135" s="4">
        <v>0</v>
      </c>
      <c r="R135" s="4">
        <v>27.7</v>
      </c>
      <c r="S135" s="4">
        <v>10.5</v>
      </c>
      <c r="T135" s="4">
        <v>94</v>
      </c>
      <c r="U135" s="4">
        <v>120</v>
      </c>
      <c r="V135" s="4">
        <v>0</v>
      </c>
      <c r="W135" s="4">
        <v>0</v>
      </c>
      <c r="X135" s="4">
        <v>0</v>
      </c>
      <c r="Y135" s="4">
        <v>-0.1</v>
      </c>
      <c r="Z135" s="4">
        <v>-3.7999999999999999E-2</v>
      </c>
      <c r="AA135" s="13">
        <f>(I135/TOTAL_BASIC!$D$301)*100</f>
        <v>77.21314047287899</v>
      </c>
      <c r="AB135" s="5">
        <f t="shared" si="36"/>
        <v>0.94</v>
      </c>
      <c r="AC135" s="3">
        <f t="shared" si="33"/>
        <v>-26</v>
      </c>
      <c r="AD135" s="9">
        <f t="shared" si="37"/>
        <v>0.86199999999999999</v>
      </c>
      <c r="AE135" s="16">
        <f t="shared" si="38"/>
        <v>1.6476190476190478</v>
      </c>
      <c r="AF135" s="16">
        <f t="shared" si="39"/>
        <v>0.62454873646209386</v>
      </c>
      <c r="AG135" s="9"/>
      <c r="AH135" s="9"/>
      <c r="AI135" s="12">
        <f t="shared" si="40"/>
        <v>69.5</v>
      </c>
      <c r="AJ135" s="12">
        <f t="shared" si="41"/>
        <v>18</v>
      </c>
      <c r="AK135" s="12">
        <f t="shared" si="41"/>
        <v>4.3</v>
      </c>
      <c r="AL135" s="12">
        <f t="shared" si="41"/>
        <v>12.4</v>
      </c>
      <c r="AM135" s="12">
        <f t="shared" si="35"/>
        <v>14.899999999999999</v>
      </c>
      <c r="AN135" s="12">
        <f t="shared" si="34"/>
        <v>53.400000000000006</v>
      </c>
      <c r="AO135" s="12">
        <f t="shared" si="34"/>
        <v>11.799999999999999</v>
      </c>
      <c r="AP135" s="12">
        <f t="shared" si="34"/>
        <v>70.099999999999994</v>
      </c>
      <c r="AQ135" s="12">
        <f t="shared" si="34"/>
        <v>24.8</v>
      </c>
      <c r="AR135" s="12">
        <f t="shared" si="29"/>
        <v>69.5</v>
      </c>
      <c r="AS135" s="12">
        <f t="shared" si="29"/>
        <v>13.600000000000001</v>
      </c>
      <c r="AT135" s="12">
        <f t="shared" si="29"/>
        <v>0</v>
      </c>
      <c r="AU135" s="12">
        <f t="shared" si="42"/>
        <v>5</v>
      </c>
      <c r="AV135" s="12">
        <f t="shared" si="30"/>
        <v>4.9000000000000004</v>
      </c>
      <c r="AW135" s="12">
        <f t="shared" si="30"/>
        <v>20.399999999999999</v>
      </c>
      <c r="AX135" s="12">
        <f t="shared" si="43"/>
        <v>3.2000000000000028</v>
      </c>
      <c r="AY135" s="9"/>
      <c r="AZ135" s="12">
        <f t="shared" si="31"/>
        <v>22.3</v>
      </c>
      <c r="BA135" s="12">
        <f t="shared" si="31"/>
        <v>3.1</v>
      </c>
      <c r="BB135" s="12">
        <f t="shared" si="31"/>
        <v>6.8000000000000007</v>
      </c>
      <c r="BC135" s="12">
        <f t="shared" si="31"/>
        <v>10.5</v>
      </c>
      <c r="BD135" s="12">
        <f t="shared" si="32"/>
        <v>12.4</v>
      </c>
      <c r="BE135" s="12">
        <f t="shared" si="32"/>
        <v>20.399999999999999</v>
      </c>
      <c r="BF135" s="12">
        <f t="shared" si="32"/>
        <v>8</v>
      </c>
      <c r="BG135" s="12">
        <f t="shared" si="32"/>
        <v>12.4</v>
      </c>
      <c r="BH135" s="12">
        <f t="shared" si="32"/>
        <v>92.5</v>
      </c>
      <c r="BI135" s="12">
        <f t="shared" si="32"/>
        <v>27.3</v>
      </c>
    </row>
    <row r="136" spans="1:61" ht="15.75" customHeight="1" x14ac:dyDescent="0.25">
      <c r="A136" s="1" t="s">
        <v>202</v>
      </c>
      <c r="B136" s="3" t="s">
        <v>142</v>
      </c>
      <c r="C136" s="4" t="s">
        <v>8</v>
      </c>
      <c r="D136" s="4">
        <v>5</v>
      </c>
      <c r="E136" s="4">
        <v>59</v>
      </c>
      <c r="F136" s="4">
        <v>5</v>
      </c>
      <c r="G136" s="4">
        <v>59</v>
      </c>
      <c r="H136" s="4">
        <v>0</v>
      </c>
      <c r="I136" s="4">
        <v>0.372</v>
      </c>
      <c r="J136" s="4">
        <v>0.27800000000000002</v>
      </c>
      <c r="K136" s="4">
        <v>0.55600000000000005</v>
      </c>
      <c r="L136" s="4">
        <v>0.44400000000000001</v>
      </c>
      <c r="M136" s="4">
        <v>0</v>
      </c>
      <c r="N136" s="4">
        <v>8.3000000000000007</v>
      </c>
      <c r="O136" s="4">
        <v>23.3</v>
      </c>
      <c r="P136" s="4">
        <v>4.4000000000000004</v>
      </c>
      <c r="Q136" s="4">
        <v>0</v>
      </c>
      <c r="R136" s="4">
        <v>50.6</v>
      </c>
      <c r="S136" s="4">
        <v>16.899999999999999</v>
      </c>
      <c r="T136" s="4">
        <v>56</v>
      </c>
      <c r="U136" s="4">
        <v>103</v>
      </c>
      <c r="V136" s="4">
        <v>0</v>
      </c>
      <c r="W136" s="4">
        <v>-0.3</v>
      </c>
      <c r="X136" s="4">
        <v>0.1</v>
      </c>
      <c r="Y136" s="4">
        <v>-0.2</v>
      </c>
      <c r="Z136" s="4">
        <v>-0.154</v>
      </c>
      <c r="AA136" s="13">
        <f>(I136/TOTAL_BASIC!$D$301)*100</f>
        <v>66.643360222531285</v>
      </c>
      <c r="AB136" s="5">
        <f t="shared" si="36"/>
        <v>0.56000000000000005</v>
      </c>
      <c r="AC136" s="3">
        <f t="shared" si="33"/>
        <v>-47</v>
      </c>
      <c r="AD136" s="9">
        <f t="shared" si="37"/>
        <v>0.74399999999999999</v>
      </c>
      <c r="AE136" s="16">
        <f t="shared" si="38"/>
        <v>1.3786982248520712</v>
      </c>
      <c r="AF136" s="16">
        <f t="shared" si="39"/>
        <v>0.46047430830039526</v>
      </c>
      <c r="AG136" s="9"/>
      <c r="AH136" s="9"/>
      <c r="AI136" s="12">
        <f t="shared" si="40"/>
        <v>16.100000000000001</v>
      </c>
      <c r="AJ136" s="12">
        <f t="shared" si="41"/>
        <v>17.299999999999997</v>
      </c>
      <c r="AK136" s="12">
        <f t="shared" si="41"/>
        <v>1.7999999999999998</v>
      </c>
      <c r="AL136" s="12">
        <f t="shared" si="41"/>
        <v>5.5</v>
      </c>
      <c r="AM136" s="12">
        <f t="shared" si="35"/>
        <v>2.4</v>
      </c>
      <c r="AN136" s="12">
        <f t="shared" si="34"/>
        <v>77.600000000000009</v>
      </c>
      <c r="AO136" s="12">
        <f t="shared" si="34"/>
        <v>73.900000000000006</v>
      </c>
      <c r="AP136" s="12">
        <f t="shared" si="34"/>
        <v>0</v>
      </c>
      <c r="AQ136" s="12">
        <f t="shared" si="34"/>
        <v>44.7</v>
      </c>
      <c r="AR136" s="12">
        <f t="shared" si="29"/>
        <v>80.100000000000009</v>
      </c>
      <c r="AS136" s="12">
        <f t="shared" si="29"/>
        <v>98.7</v>
      </c>
      <c r="AT136" s="12">
        <f t="shared" si="29"/>
        <v>0</v>
      </c>
      <c r="AU136" s="12">
        <f t="shared" si="42"/>
        <v>0</v>
      </c>
      <c r="AV136" s="12">
        <f t="shared" si="30"/>
        <v>36</v>
      </c>
      <c r="AW136" s="12">
        <f t="shared" si="30"/>
        <v>0.6</v>
      </c>
      <c r="AX136" s="12">
        <f t="shared" si="43"/>
        <v>82</v>
      </c>
      <c r="AY136" s="9"/>
      <c r="AZ136" s="12">
        <f t="shared" si="31"/>
        <v>3.1</v>
      </c>
      <c r="BA136" s="12">
        <f t="shared" si="31"/>
        <v>24.2</v>
      </c>
      <c r="BB136" s="12">
        <f t="shared" si="31"/>
        <v>3.1</v>
      </c>
      <c r="BC136" s="12">
        <f t="shared" si="31"/>
        <v>0.6</v>
      </c>
      <c r="BD136" s="12">
        <f t="shared" si="32"/>
        <v>5.5</v>
      </c>
      <c r="BE136" s="12">
        <f t="shared" si="32"/>
        <v>0.6</v>
      </c>
      <c r="BF136" s="12">
        <f t="shared" si="32"/>
        <v>1.2</v>
      </c>
      <c r="BG136" s="12">
        <f t="shared" si="32"/>
        <v>5.5</v>
      </c>
      <c r="BH136" s="12">
        <f t="shared" si="32"/>
        <v>84.399999999999991</v>
      </c>
      <c r="BI136" s="12">
        <f t="shared" si="32"/>
        <v>19.2</v>
      </c>
    </row>
    <row r="137" spans="1:61" ht="15.75" customHeight="1" x14ac:dyDescent="0.25">
      <c r="A137" s="1" t="s">
        <v>203</v>
      </c>
      <c r="B137" s="3" t="s">
        <v>142</v>
      </c>
      <c r="C137" s="4" t="s">
        <v>8</v>
      </c>
      <c r="D137" s="4">
        <v>4</v>
      </c>
      <c r="E137" s="4">
        <v>58</v>
      </c>
      <c r="F137" s="4">
        <v>4</v>
      </c>
      <c r="G137" s="4">
        <v>58</v>
      </c>
      <c r="H137" s="4">
        <v>3.9</v>
      </c>
      <c r="I137" s="4">
        <v>0.36799999999999999</v>
      </c>
      <c r="J137" s="4">
        <v>0.33300000000000002</v>
      </c>
      <c r="K137" s="4">
        <v>0.73299999999999998</v>
      </c>
      <c r="L137" s="4">
        <v>0.2</v>
      </c>
      <c r="M137" s="4">
        <v>11.4</v>
      </c>
      <c r="N137" s="4">
        <v>7.4</v>
      </c>
      <c r="O137" s="4">
        <v>8.4</v>
      </c>
      <c r="P137" s="4">
        <v>0</v>
      </c>
      <c r="Q137" s="4">
        <v>1.7</v>
      </c>
      <c r="R137" s="4">
        <v>10.9</v>
      </c>
      <c r="S137" s="4">
        <v>14.4</v>
      </c>
      <c r="T137" s="4">
        <v>92</v>
      </c>
      <c r="U137" s="4">
        <v>116</v>
      </c>
      <c r="V137" s="4">
        <v>0</v>
      </c>
      <c r="W137" s="4">
        <v>0</v>
      </c>
      <c r="X137" s="4">
        <v>0</v>
      </c>
      <c r="Y137" s="4">
        <v>0</v>
      </c>
      <c r="Z137" s="4">
        <v>-2.5999999999999999E-2</v>
      </c>
      <c r="AA137" s="13">
        <f>(I137/TOTAL_BASIC!$D$301)*100</f>
        <v>65.926764951321275</v>
      </c>
      <c r="AB137" s="5">
        <f t="shared" si="36"/>
        <v>0.92</v>
      </c>
      <c r="AC137" s="3">
        <f t="shared" si="33"/>
        <v>-24</v>
      </c>
      <c r="AD137" s="9">
        <f t="shared" si="37"/>
        <v>0.73599999999999999</v>
      </c>
      <c r="AE137" s="16">
        <f t="shared" si="38"/>
        <v>0.58333333333333337</v>
      </c>
      <c r="AF137" s="16">
        <f t="shared" si="39"/>
        <v>0.77064220183486243</v>
      </c>
      <c r="AG137" s="9"/>
      <c r="AH137" s="9"/>
      <c r="AI137" s="12">
        <f t="shared" si="40"/>
        <v>10.5</v>
      </c>
      <c r="AJ137" s="12">
        <f t="shared" si="41"/>
        <v>16.7</v>
      </c>
      <c r="AK137" s="12">
        <f t="shared" si="41"/>
        <v>3.6999999999999997</v>
      </c>
      <c r="AL137" s="12">
        <f t="shared" si="41"/>
        <v>4.9000000000000004</v>
      </c>
      <c r="AM137" s="12">
        <f t="shared" si="35"/>
        <v>5.5</v>
      </c>
      <c r="AN137" s="12">
        <f t="shared" si="34"/>
        <v>93.100000000000009</v>
      </c>
      <c r="AO137" s="12">
        <f t="shared" si="34"/>
        <v>26</v>
      </c>
      <c r="AP137" s="12">
        <f t="shared" si="34"/>
        <v>87.5</v>
      </c>
      <c r="AQ137" s="12">
        <f t="shared" si="34"/>
        <v>37.200000000000003</v>
      </c>
      <c r="AR137" s="12">
        <f t="shared" si="29"/>
        <v>27.900000000000002</v>
      </c>
      <c r="AS137" s="12">
        <f t="shared" si="29"/>
        <v>0</v>
      </c>
      <c r="AT137" s="12">
        <f t="shared" si="29"/>
        <v>55.900000000000006</v>
      </c>
      <c r="AU137" s="12">
        <f t="shared" si="42"/>
        <v>74.599999999999994</v>
      </c>
      <c r="AV137" s="12">
        <f t="shared" si="30"/>
        <v>19.2</v>
      </c>
      <c r="AW137" s="12">
        <f t="shared" si="30"/>
        <v>16.100000000000001</v>
      </c>
      <c r="AX137" s="12">
        <f t="shared" si="43"/>
        <v>9.3999999999999915</v>
      </c>
      <c r="AY137" s="9"/>
      <c r="AZ137" s="12">
        <f t="shared" si="31"/>
        <v>22.3</v>
      </c>
      <c r="BA137" s="12">
        <f t="shared" si="31"/>
        <v>3.1</v>
      </c>
      <c r="BB137" s="12">
        <f t="shared" si="31"/>
        <v>12.4</v>
      </c>
      <c r="BC137" s="12">
        <f t="shared" si="31"/>
        <v>12.4</v>
      </c>
      <c r="BD137" s="12">
        <f t="shared" si="32"/>
        <v>4.9000000000000004</v>
      </c>
      <c r="BE137" s="12">
        <f t="shared" si="32"/>
        <v>16.100000000000001</v>
      </c>
      <c r="BF137" s="12">
        <f t="shared" si="32"/>
        <v>10.5</v>
      </c>
      <c r="BG137" s="12">
        <f t="shared" si="32"/>
        <v>4.9000000000000004</v>
      </c>
      <c r="BH137" s="12">
        <f t="shared" si="32"/>
        <v>40.300000000000004</v>
      </c>
      <c r="BI137" s="12">
        <f t="shared" si="32"/>
        <v>40.9</v>
      </c>
    </row>
    <row r="138" spans="1:61" ht="15.75" customHeight="1" x14ac:dyDescent="0.25">
      <c r="A138" s="1" t="s">
        <v>236</v>
      </c>
      <c r="B138" s="3" t="s">
        <v>95</v>
      </c>
      <c r="C138" s="4" t="s">
        <v>87</v>
      </c>
      <c r="D138" s="4">
        <v>5</v>
      </c>
      <c r="E138" s="4">
        <v>57</v>
      </c>
      <c r="F138" s="4">
        <v>5</v>
      </c>
      <c r="G138" s="4">
        <v>57</v>
      </c>
      <c r="H138" s="4">
        <v>10.3</v>
      </c>
      <c r="I138" s="4">
        <v>0.50700000000000001</v>
      </c>
      <c r="J138" s="4">
        <v>0.42899999999999999</v>
      </c>
      <c r="K138" s="4">
        <v>0.35699999999999998</v>
      </c>
      <c r="L138" s="4">
        <v>0.92900000000000005</v>
      </c>
      <c r="M138" s="4">
        <v>4.0999999999999996</v>
      </c>
      <c r="N138" s="4">
        <v>11.5</v>
      </c>
      <c r="O138" s="4">
        <v>14</v>
      </c>
      <c r="P138" s="4">
        <v>2.6</v>
      </c>
      <c r="Q138" s="4">
        <v>0</v>
      </c>
      <c r="R138" s="4">
        <v>16.899999999999999</v>
      </c>
      <c r="S138" s="4">
        <v>18.5</v>
      </c>
      <c r="T138" s="4">
        <v>99</v>
      </c>
      <c r="U138" s="4">
        <v>108</v>
      </c>
      <c r="V138" s="4">
        <v>0</v>
      </c>
      <c r="W138" s="4">
        <v>0</v>
      </c>
      <c r="X138" s="4">
        <v>0.1</v>
      </c>
      <c r="Y138" s="4">
        <v>0.1</v>
      </c>
      <c r="Z138" s="4">
        <v>4.9000000000000002E-2</v>
      </c>
      <c r="AA138" s="13">
        <f>(I138/TOTAL_BASIC!$D$301)*100</f>
        <v>90.828450625869266</v>
      </c>
      <c r="AB138" s="5">
        <f t="shared" si="36"/>
        <v>0.99</v>
      </c>
      <c r="AC138" s="3">
        <f t="shared" si="33"/>
        <v>-9</v>
      </c>
      <c r="AD138" s="9">
        <f t="shared" si="37"/>
        <v>1.014</v>
      </c>
      <c r="AE138" s="16">
        <f t="shared" si="38"/>
        <v>0.7567567567567568</v>
      </c>
      <c r="AF138" s="16">
        <f t="shared" si="39"/>
        <v>0.82840236686390545</v>
      </c>
      <c r="AG138" s="9"/>
      <c r="AH138" s="9"/>
      <c r="AI138" s="12">
        <f t="shared" si="40"/>
        <v>16.100000000000001</v>
      </c>
      <c r="AJ138" s="12">
        <f t="shared" si="41"/>
        <v>14.899999999999999</v>
      </c>
      <c r="AK138" s="12">
        <f t="shared" si="41"/>
        <v>28.499999999999996</v>
      </c>
      <c r="AL138" s="12">
        <f t="shared" si="41"/>
        <v>30.4</v>
      </c>
      <c r="AM138" s="12">
        <f t="shared" si="35"/>
        <v>21.7</v>
      </c>
      <c r="AN138" s="12">
        <f t="shared" si="34"/>
        <v>43.4</v>
      </c>
      <c r="AO138" s="12">
        <f t="shared" si="34"/>
        <v>98.7</v>
      </c>
      <c r="AP138" s="12">
        <f t="shared" si="34"/>
        <v>50.3</v>
      </c>
      <c r="AQ138" s="12">
        <f t="shared" si="34"/>
        <v>68.899999999999991</v>
      </c>
      <c r="AR138" s="12">
        <f t="shared" si="29"/>
        <v>55.2</v>
      </c>
      <c r="AS138" s="12">
        <f t="shared" si="29"/>
        <v>78.8</v>
      </c>
      <c r="AT138" s="12">
        <f t="shared" si="29"/>
        <v>0</v>
      </c>
      <c r="AU138" s="12">
        <f t="shared" si="42"/>
        <v>35.5</v>
      </c>
      <c r="AV138" s="12">
        <f t="shared" si="30"/>
        <v>51.5</v>
      </c>
      <c r="AW138" s="12">
        <f t="shared" si="30"/>
        <v>29.799999999999997</v>
      </c>
      <c r="AX138" s="12">
        <f t="shared" si="43"/>
        <v>56</v>
      </c>
      <c r="AY138" s="9"/>
      <c r="AZ138" s="12">
        <f t="shared" si="31"/>
        <v>22.3</v>
      </c>
      <c r="BA138" s="12">
        <f t="shared" si="31"/>
        <v>24.2</v>
      </c>
      <c r="BB138" s="12">
        <f t="shared" si="31"/>
        <v>27.3</v>
      </c>
      <c r="BC138" s="12">
        <f t="shared" si="31"/>
        <v>33.5</v>
      </c>
      <c r="BD138" s="12">
        <f t="shared" si="32"/>
        <v>30.4</v>
      </c>
      <c r="BE138" s="12">
        <f t="shared" si="32"/>
        <v>29.799999999999997</v>
      </c>
      <c r="BF138" s="12">
        <f t="shared" si="32"/>
        <v>32.9</v>
      </c>
      <c r="BG138" s="12">
        <f t="shared" si="32"/>
        <v>30.4</v>
      </c>
      <c r="BH138" s="12">
        <f t="shared" si="32"/>
        <v>55.900000000000006</v>
      </c>
      <c r="BI138" s="12">
        <f t="shared" si="32"/>
        <v>45.300000000000004</v>
      </c>
    </row>
    <row r="139" spans="1:61" ht="15.75" customHeight="1" x14ac:dyDescent="0.25">
      <c r="A139" s="1" t="s">
        <v>251</v>
      </c>
      <c r="B139" s="4" t="s">
        <v>109</v>
      </c>
      <c r="C139" s="4" t="s">
        <v>8</v>
      </c>
      <c r="D139" s="4">
        <v>4</v>
      </c>
      <c r="E139" s="4">
        <v>57</v>
      </c>
      <c r="F139" s="4">
        <v>4</v>
      </c>
      <c r="G139" s="4">
        <v>57</v>
      </c>
      <c r="H139" s="4">
        <v>10</v>
      </c>
      <c r="I139" s="4">
        <v>0.50600000000000001</v>
      </c>
      <c r="J139" s="4">
        <v>0.55600000000000005</v>
      </c>
      <c r="K139" s="4">
        <v>0.77800000000000002</v>
      </c>
      <c r="L139" s="4">
        <v>0.222</v>
      </c>
      <c r="M139" s="4">
        <v>0</v>
      </c>
      <c r="N139" s="4">
        <v>5.3</v>
      </c>
      <c r="O139" s="4">
        <v>13.9</v>
      </c>
      <c r="P139" s="4">
        <v>5.3</v>
      </c>
      <c r="Q139" s="4">
        <v>0</v>
      </c>
      <c r="R139" s="4">
        <v>23.3</v>
      </c>
      <c r="S139" s="4">
        <v>9.8000000000000007</v>
      </c>
      <c r="T139" s="4">
        <v>88</v>
      </c>
      <c r="U139" s="4">
        <v>106</v>
      </c>
      <c r="V139" s="4">
        <v>0</v>
      </c>
      <c r="W139" s="4">
        <v>0</v>
      </c>
      <c r="X139" s="4">
        <v>0.1</v>
      </c>
      <c r="Y139" s="4">
        <v>0</v>
      </c>
      <c r="Z139" s="4">
        <v>2.5999999999999999E-2</v>
      </c>
      <c r="AA139" s="13">
        <f>(I139/TOTAL_BASIC!$D$301)*100</f>
        <v>90.649301808066767</v>
      </c>
      <c r="AB139" s="5">
        <f t="shared" si="36"/>
        <v>0.88</v>
      </c>
      <c r="AC139" s="3">
        <f t="shared" si="33"/>
        <v>-18</v>
      </c>
      <c r="AD139" s="9">
        <f t="shared" si="37"/>
        <v>1.012</v>
      </c>
      <c r="AE139" s="16">
        <f t="shared" si="38"/>
        <v>1.4183673469387754</v>
      </c>
      <c r="AF139" s="16">
        <f t="shared" si="39"/>
        <v>0.59656652360515017</v>
      </c>
      <c r="AG139" s="9"/>
      <c r="AH139" s="9"/>
      <c r="AI139" s="12">
        <f t="shared" si="40"/>
        <v>10.5</v>
      </c>
      <c r="AJ139" s="12">
        <f t="shared" si="41"/>
        <v>14.899999999999999</v>
      </c>
      <c r="AK139" s="12">
        <f t="shared" si="41"/>
        <v>26</v>
      </c>
      <c r="AL139" s="12">
        <f t="shared" si="41"/>
        <v>29.799999999999997</v>
      </c>
      <c r="AM139" s="12">
        <f t="shared" si="35"/>
        <v>64.5</v>
      </c>
      <c r="AN139" s="12">
        <f t="shared" si="34"/>
        <v>96.2</v>
      </c>
      <c r="AO139" s="12">
        <f t="shared" si="34"/>
        <v>32.9</v>
      </c>
      <c r="AP139" s="12">
        <f t="shared" si="34"/>
        <v>0</v>
      </c>
      <c r="AQ139" s="12">
        <f t="shared" si="34"/>
        <v>18</v>
      </c>
      <c r="AR139" s="12">
        <f t="shared" si="29"/>
        <v>54</v>
      </c>
      <c r="AS139" s="12">
        <f t="shared" si="29"/>
        <v>99.3</v>
      </c>
      <c r="AT139" s="12">
        <f t="shared" si="29"/>
        <v>0</v>
      </c>
      <c r="AU139" s="12">
        <f t="shared" si="42"/>
        <v>12.5</v>
      </c>
      <c r="AV139" s="12">
        <f t="shared" si="30"/>
        <v>3.6999999999999997</v>
      </c>
      <c r="AW139" s="12">
        <f t="shared" si="30"/>
        <v>9.9</v>
      </c>
      <c r="AX139" s="12">
        <f t="shared" si="43"/>
        <v>67.8</v>
      </c>
      <c r="AY139" s="9"/>
      <c r="AZ139" s="12">
        <f t="shared" si="31"/>
        <v>22.3</v>
      </c>
      <c r="BA139" s="12">
        <f t="shared" si="31"/>
        <v>24.2</v>
      </c>
      <c r="BB139" s="12">
        <f t="shared" si="31"/>
        <v>12.4</v>
      </c>
      <c r="BC139" s="12">
        <f t="shared" si="31"/>
        <v>26</v>
      </c>
      <c r="BD139" s="12">
        <f t="shared" si="32"/>
        <v>29.799999999999997</v>
      </c>
      <c r="BE139" s="12">
        <f t="shared" si="32"/>
        <v>9.9</v>
      </c>
      <c r="BF139" s="12">
        <f t="shared" si="32"/>
        <v>16.100000000000001</v>
      </c>
      <c r="BG139" s="12">
        <f t="shared" si="32"/>
        <v>29.799999999999997</v>
      </c>
      <c r="BH139" s="12">
        <f t="shared" si="32"/>
        <v>86.9</v>
      </c>
      <c r="BI139" s="12">
        <f t="shared" si="32"/>
        <v>26.700000000000003</v>
      </c>
    </row>
    <row r="140" spans="1:61" ht="15.75" customHeight="1" x14ac:dyDescent="0.25">
      <c r="A140" s="1" t="s">
        <v>214</v>
      </c>
      <c r="B140" s="3" t="s">
        <v>244</v>
      </c>
      <c r="C140" s="4" t="s">
        <v>114</v>
      </c>
      <c r="D140" s="4">
        <v>5</v>
      </c>
      <c r="E140" s="4">
        <v>57</v>
      </c>
      <c r="F140" s="4">
        <v>5</v>
      </c>
      <c r="G140" s="4">
        <v>57</v>
      </c>
      <c r="H140" s="4">
        <v>14.6</v>
      </c>
      <c r="I140" s="4">
        <v>0.63400000000000001</v>
      </c>
      <c r="J140" s="4">
        <v>0.58799999999999997</v>
      </c>
      <c r="K140" s="4">
        <v>0.17599999999999999</v>
      </c>
      <c r="L140" s="4">
        <v>0.47099999999999997</v>
      </c>
      <c r="M140" s="4">
        <v>4.5</v>
      </c>
      <c r="N140" s="4">
        <v>12.6</v>
      </c>
      <c r="O140" s="4">
        <v>15.4</v>
      </c>
      <c r="P140" s="4">
        <v>1.8</v>
      </c>
      <c r="Q140" s="4">
        <v>0</v>
      </c>
      <c r="R140" s="4">
        <v>22.6</v>
      </c>
      <c r="S140" s="4">
        <v>21.1</v>
      </c>
      <c r="T140" s="4">
        <v>105</v>
      </c>
      <c r="U140" s="4">
        <v>110</v>
      </c>
      <c r="V140" s="4">
        <v>0</v>
      </c>
      <c r="W140" s="4">
        <v>0.1</v>
      </c>
      <c r="X140" s="4">
        <v>0.1</v>
      </c>
      <c r="Y140" s="4">
        <v>0.1</v>
      </c>
      <c r="Z140" s="4">
        <v>7.4999999999999997E-2</v>
      </c>
      <c r="AA140" s="13">
        <f>(I140/TOTAL_BASIC!$D$301)*100</f>
        <v>113.58035048678721</v>
      </c>
      <c r="AB140" s="5">
        <f t="shared" si="36"/>
        <v>1.05</v>
      </c>
      <c r="AC140" s="3">
        <f t="shared" si="33"/>
        <v>-5</v>
      </c>
      <c r="AD140" s="9">
        <f t="shared" si="37"/>
        <v>1.268</v>
      </c>
      <c r="AE140" s="16">
        <f t="shared" si="38"/>
        <v>0.72985781990521326</v>
      </c>
      <c r="AF140" s="16">
        <f t="shared" si="39"/>
        <v>0.68141592920353977</v>
      </c>
      <c r="AG140" s="9"/>
      <c r="AH140" s="9"/>
      <c r="AI140" s="12">
        <f t="shared" si="40"/>
        <v>16.100000000000001</v>
      </c>
      <c r="AJ140" s="12">
        <f t="shared" si="41"/>
        <v>14.899999999999999</v>
      </c>
      <c r="AK140" s="12">
        <f t="shared" si="41"/>
        <v>53.400000000000006</v>
      </c>
      <c r="AL140" s="12">
        <f t="shared" si="41"/>
        <v>79.5</v>
      </c>
      <c r="AM140" s="12">
        <f t="shared" si="35"/>
        <v>77.600000000000009</v>
      </c>
      <c r="AN140" s="12">
        <f t="shared" si="34"/>
        <v>19.8</v>
      </c>
      <c r="AO140" s="12">
        <f t="shared" si="34"/>
        <v>77.600000000000009</v>
      </c>
      <c r="AP140" s="12">
        <f t="shared" si="34"/>
        <v>55.2</v>
      </c>
      <c r="AQ140" s="12">
        <f t="shared" si="34"/>
        <v>75.7</v>
      </c>
      <c r="AR140" s="12">
        <f t="shared" si="29"/>
        <v>62.1</v>
      </c>
      <c r="AS140" s="12">
        <f t="shared" si="29"/>
        <v>55.900000000000006</v>
      </c>
      <c r="AT140" s="12">
        <f t="shared" si="29"/>
        <v>0</v>
      </c>
      <c r="AU140" s="12">
        <f t="shared" si="42"/>
        <v>14.299999999999997</v>
      </c>
      <c r="AV140" s="12">
        <f t="shared" si="30"/>
        <v>65.8</v>
      </c>
      <c r="AW140" s="12">
        <f t="shared" si="30"/>
        <v>42.199999999999996</v>
      </c>
      <c r="AX140" s="12">
        <f t="shared" si="43"/>
        <v>41</v>
      </c>
      <c r="AY140" s="9"/>
      <c r="AZ140" s="12">
        <f t="shared" si="31"/>
        <v>40.300000000000004</v>
      </c>
      <c r="BA140" s="12">
        <f t="shared" si="31"/>
        <v>24.2</v>
      </c>
      <c r="BB140" s="12">
        <f t="shared" si="31"/>
        <v>27.3</v>
      </c>
      <c r="BC140" s="12">
        <f t="shared" si="31"/>
        <v>44</v>
      </c>
      <c r="BD140" s="12">
        <f t="shared" si="32"/>
        <v>79.5</v>
      </c>
      <c r="BE140" s="12">
        <f t="shared" si="32"/>
        <v>42.199999999999996</v>
      </c>
      <c r="BF140" s="12">
        <f t="shared" si="32"/>
        <v>39.700000000000003</v>
      </c>
      <c r="BG140" s="12">
        <f t="shared" si="32"/>
        <v>79.5</v>
      </c>
      <c r="BH140" s="12">
        <f t="shared" si="32"/>
        <v>53.400000000000006</v>
      </c>
      <c r="BI140" s="12">
        <f t="shared" si="32"/>
        <v>34.1</v>
      </c>
    </row>
    <row r="141" spans="1:61" ht="15.75" customHeight="1" x14ac:dyDescent="0.25">
      <c r="A141" s="1" t="s">
        <v>252</v>
      </c>
      <c r="B141" s="3" t="s">
        <v>164</v>
      </c>
      <c r="C141" s="4" t="s">
        <v>90</v>
      </c>
      <c r="D141" s="4">
        <v>6</v>
      </c>
      <c r="E141" s="4">
        <v>55</v>
      </c>
      <c r="F141" s="4">
        <v>6</v>
      </c>
      <c r="G141" s="4">
        <v>55</v>
      </c>
      <c r="H141" s="4">
        <v>4.5</v>
      </c>
      <c r="I141" s="4">
        <v>0.50700000000000001</v>
      </c>
      <c r="J141" s="4">
        <v>0.46700000000000003</v>
      </c>
      <c r="K141" s="4">
        <v>0.13300000000000001</v>
      </c>
      <c r="L141" s="4">
        <v>0.26700000000000002</v>
      </c>
      <c r="M141" s="4">
        <v>4.3</v>
      </c>
      <c r="N141" s="4">
        <v>10.3</v>
      </c>
      <c r="O141" s="4">
        <v>6.1</v>
      </c>
      <c r="P141" s="4">
        <v>0</v>
      </c>
      <c r="Q141" s="4">
        <v>0</v>
      </c>
      <c r="R141" s="4">
        <v>23</v>
      </c>
      <c r="S141" s="4">
        <v>17.3</v>
      </c>
      <c r="T141" s="4">
        <v>87</v>
      </c>
      <c r="U141" s="4">
        <v>119</v>
      </c>
      <c r="V141" s="4">
        <v>0</v>
      </c>
      <c r="W141" s="4">
        <v>-0.1</v>
      </c>
      <c r="X141" s="4">
        <v>0</v>
      </c>
      <c r="Y141" s="4">
        <v>-0.1</v>
      </c>
      <c r="Z141" s="4">
        <v>-7.8E-2</v>
      </c>
      <c r="AA141" s="13">
        <f>(I141/TOTAL_BASIC!$D$301)*100</f>
        <v>90.828450625869266</v>
      </c>
      <c r="AB141" s="5">
        <f t="shared" si="36"/>
        <v>0.87</v>
      </c>
      <c r="AC141" s="3">
        <f t="shared" si="33"/>
        <v>-32</v>
      </c>
      <c r="AD141" s="9">
        <f t="shared" si="37"/>
        <v>1.014</v>
      </c>
      <c r="AE141" s="16">
        <f t="shared" si="38"/>
        <v>0.35260115606936415</v>
      </c>
      <c r="AF141" s="16">
        <f t="shared" si="39"/>
        <v>0.26521739130434779</v>
      </c>
      <c r="AG141" s="9"/>
      <c r="AH141" s="9"/>
      <c r="AI141" s="12">
        <f t="shared" si="40"/>
        <v>25.4</v>
      </c>
      <c r="AJ141" s="12">
        <f t="shared" si="41"/>
        <v>13.600000000000001</v>
      </c>
      <c r="AK141" s="12">
        <f t="shared" si="41"/>
        <v>5.5</v>
      </c>
      <c r="AL141" s="12">
        <f t="shared" si="41"/>
        <v>30.4</v>
      </c>
      <c r="AM141" s="12">
        <f t="shared" si="35"/>
        <v>31</v>
      </c>
      <c r="AN141" s="12">
        <f t="shared" si="34"/>
        <v>15.5</v>
      </c>
      <c r="AO141" s="12">
        <f t="shared" si="34"/>
        <v>40.9</v>
      </c>
      <c r="AP141" s="12">
        <f t="shared" si="34"/>
        <v>52.1</v>
      </c>
      <c r="AQ141" s="12">
        <f t="shared" si="34"/>
        <v>61.4</v>
      </c>
      <c r="AR141" s="12">
        <f t="shared" si="29"/>
        <v>13</v>
      </c>
      <c r="AS141" s="12">
        <f t="shared" si="29"/>
        <v>0</v>
      </c>
      <c r="AT141" s="12">
        <f t="shared" si="29"/>
        <v>0</v>
      </c>
      <c r="AU141" s="12">
        <f t="shared" si="42"/>
        <v>13.099999999999994</v>
      </c>
      <c r="AV141" s="12">
        <f t="shared" si="30"/>
        <v>39.1</v>
      </c>
      <c r="AW141" s="12">
        <f t="shared" si="30"/>
        <v>8</v>
      </c>
      <c r="AX141" s="12">
        <f t="shared" si="43"/>
        <v>5</v>
      </c>
      <c r="AY141" s="9"/>
      <c r="AZ141" s="12">
        <f t="shared" si="31"/>
        <v>14.899999999999999</v>
      </c>
      <c r="BA141" s="12">
        <f t="shared" si="31"/>
        <v>3.1</v>
      </c>
      <c r="BB141" s="12">
        <f t="shared" si="31"/>
        <v>6.8000000000000007</v>
      </c>
      <c r="BC141" s="12">
        <f t="shared" si="31"/>
        <v>3.6999999999999997</v>
      </c>
      <c r="BD141" s="12">
        <f t="shared" si="32"/>
        <v>30.4</v>
      </c>
      <c r="BE141" s="12">
        <f t="shared" si="32"/>
        <v>8</v>
      </c>
      <c r="BF141" s="12">
        <f t="shared" si="32"/>
        <v>4.9000000000000004</v>
      </c>
      <c r="BG141" s="12">
        <f t="shared" si="32"/>
        <v>30.4</v>
      </c>
      <c r="BH141" s="12">
        <f t="shared" si="32"/>
        <v>13</v>
      </c>
      <c r="BI141" s="12">
        <f t="shared" si="32"/>
        <v>8</v>
      </c>
    </row>
    <row r="142" spans="1:61" ht="15.75" customHeight="1" x14ac:dyDescent="0.25">
      <c r="A142" s="1" t="s">
        <v>234</v>
      </c>
      <c r="B142" s="4" t="s">
        <v>130</v>
      </c>
      <c r="C142" s="4" t="s">
        <v>90</v>
      </c>
      <c r="D142" s="4">
        <v>6</v>
      </c>
      <c r="E142" s="4">
        <v>55</v>
      </c>
      <c r="F142" s="4">
        <v>6</v>
      </c>
      <c r="G142" s="4">
        <v>55</v>
      </c>
      <c r="H142" s="4">
        <v>11.3</v>
      </c>
      <c r="I142" s="4">
        <v>0.51800000000000002</v>
      </c>
      <c r="J142" s="4">
        <v>0.5</v>
      </c>
      <c r="K142" s="4">
        <v>0.13600000000000001</v>
      </c>
      <c r="L142" s="4">
        <v>0.318</v>
      </c>
      <c r="M142" s="4">
        <v>12.6</v>
      </c>
      <c r="N142" s="4">
        <v>29.2</v>
      </c>
      <c r="O142" s="4">
        <v>3.4</v>
      </c>
      <c r="P142" s="4">
        <v>0.9</v>
      </c>
      <c r="Q142" s="4">
        <v>3.1</v>
      </c>
      <c r="R142" s="4">
        <v>28.5</v>
      </c>
      <c r="S142" s="4">
        <v>27.4</v>
      </c>
      <c r="T142" s="4">
        <v>80</v>
      </c>
      <c r="U142" s="4">
        <v>96</v>
      </c>
      <c r="V142" s="4">
        <v>0</v>
      </c>
      <c r="W142" s="4">
        <v>-0.2</v>
      </c>
      <c r="X142" s="4">
        <v>0.2</v>
      </c>
      <c r="Y142" s="4">
        <v>0</v>
      </c>
      <c r="Z142" s="4">
        <v>-3.3000000000000002E-2</v>
      </c>
      <c r="AA142" s="13">
        <f>(I142/TOTAL_BASIC!$D$301)*100</f>
        <v>92.799087621696799</v>
      </c>
      <c r="AB142" s="5">
        <f t="shared" si="36"/>
        <v>0.8</v>
      </c>
      <c r="AC142" s="3">
        <f t="shared" si="33"/>
        <v>-16</v>
      </c>
      <c r="AD142" s="9">
        <f t="shared" si="37"/>
        <v>1.036</v>
      </c>
      <c r="AE142" s="16">
        <f t="shared" si="38"/>
        <v>0.12408759124087591</v>
      </c>
      <c r="AF142" s="16">
        <f t="shared" si="39"/>
        <v>0.11929824561403508</v>
      </c>
      <c r="AG142" s="9"/>
      <c r="AH142" s="9"/>
      <c r="AI142" s="12">
        <f t="shared" si="40"/>
        <v>25.4</v>
      </c>
      <c r="AJ142" s="12">
        <f t="shared" si="41"/>
        <v>13.600000000000001</v>
      </c>
      <c r="AK142" s="12">
        <f t="shared" si="41"/>
        <v>33.5</v>
      </c>
      <c r="AL142" s="12">
        <f t="shared" si="41"/>
        <v>34.1</v>
      </c>
      <c r="AM142" s="12">
        <f t="shared" si="35"/>
        <v>40.9</v>
      </c>
      <c r="AN142" s="12">
        <f t="shared" si="34"/>
        <v>16.100000000000001</v>
      </c>
      <c r="AO142" s="12">
        <f t="shared" si="34"/>
        <v>52.1</v>
      </c>
      <c r="AP142" s="12">
        <f t="shared" si="34"/>
        <v>90.600000000000009</v>
      </c>
      <c r="AQ142" s="12">
        <f t="shared" si="34"/>
        <v>100</v>
      </c>
      <c r="AR142" s="12">
        <f t="shared" si="34"/>
        <v>3.6999999999999997</v>
      </c>
      <c r="AS142" s="12">
        <f t="shared" si="34"/>
        <v>15.5</v>
      </c>
      <c r="AT142" s="12">
        <f t="shared" si="34"/>
        <v>79.5</v>
      </c>
      <c r="AU142" s="12">
        <f t="shared" si="42"/>
        <v>3.7999999999999972</v>
      </c>
      <c r="AV142" s="12">
        <f t="shared" ref="AV142:AW164" si="44">(PERCENTRANK(S$3:S$298,S142))*100</f>
        <v>89.4</v>
      </c>
      <c r="AW142" s="12">
        <f t="shared" si="44"/>
        <v>4.9000000000000004</v>
      </c>
      <c r="AX142" s="12">
        <f t="shared" si="43"/>
        <v>98.8</v>
      </c>
      <c r="AY142" s="9"/>
      <c r="AZ142" s="12">
        <f t="shared" ref="AZ142:BI164" si="45">(PERCENTRANK(W$3:W$298,W142))*100</f>
        <v>5.5</v>
      </c>
      <c r="BA142" s="12">
        <f t="shared" si="45"/>
        <v>57.099999999999994</v>
      </c>
      <c r="BB142" s="12">
        <f t="shared" si="45"/>
        <v>12.4</v>
      </c>
      <c r="BC142" s="12">
        <f t="shared" si="45"/>
        <v>11.1</v>
      </c>
      <c r="BD142" s="12">
        <f t="shared" si="45"/>
        <v>34.1</v>
      </c>
      <c r="BE142" s="12">
        <f t="shared" si="45"/>
        <v>4.9000000000000004</v>
      </c>
      <c r="BF142" s="12">
        <f t="shared" si="45"/>
        <v>21.099999999999998</v>
      </c>
      <c r="BG142" s="12">
        <f t="shared" si="45"/>
        <v>34.1</v>
      </c>
      <c r="BH142" s="12">
        <f t="shared" si="45"/>
        <v>2.4</v>
      </c>
      <c r="BI142" s="12">
        <f t="shared" si="45"/>
        <v>4.3</v>
      </c>
    </row>
    <row r="143" spans="1:61" ht="15.75" customHeight="1" x14ac:dyDescent="0.25">
      <c r="A143" s="1" t="s">
        <v>181</v>
      </c>
      <c r="B143" s="3" t="s">
        <v>98</v>
      </c>
      <c r="C143" s="4" t="s">
        <v>90</v>
      </c>
      <c r="D143" s="4">
        <v>3</v>
      </c>
      <c r="E143" s="4">
        <v>52</v>
      </c>
      <c r="F143" s="4">
        <v>3</v>
      </c>
      <c r="G143" s="4">
        <v>52</v>
      </c>
      <c r="H143" s="4">
        <v>14.4</v>
      </c>
      <c r="I143" s="4">
        <v>0.64</v>
      </c>
      <c r="J143" s="4">
        <v>0.625</v>
      </c>
      <c r="K143" s="4">
        <v>6.3E-2</v>
      </c>
      <c r="L143" s="4">
        <v>0.5</v>
      </c>
      <c r="M143" s="4">
        <v>10.1</v>
      </c>
      <c r="N143" s="4">
        <v>12.3</v>
      </c>
      <c r="O143" s="4">
        <v>0</v>
      </c>
      <c r="P143" s="4">
        <v>1</v>
      </c>
      <c r="Q143" s="4">
        <v>3.7</v>
      </c>
      <c r="R143" s="4">
        <v>17</v>
      </c>
      <c r="S143" s="4">
        <v>19.8</v>
      </c>
      <c r="T143" s="4">
        <v>111</v>
      </c>
      <c r="U143" s="4">
        <v>104</v>
      </c>
      <c r="V143" s="4">
        <v>0</v>
      </c>
      <c r="W143" s="4">
        <v>0.1</v>
      </c>
      <c r="X143" s="4">
        <v>0.1</v>
      </c>
      <c r="Y143" s="4">
        <v>0.2</v>
      </c>
      <c r="Z143" s="4">
        <v>0.13600000000000001</v>
      </c>
      <c r="AA143" s="13">
        <f>(I143/TOTAL_BASIC!$D$301)*100</f>
        <v>114.65524339360222</v>
      </c>
      <c r="AB143" s="5">
        <f t="shared" si="36"/>
        <v>1.1100000000000001</v>
      </c>
      <c r="AC143" s="3">
        <f t="shared" si="33"/>
        <v>7</v>
      </c>
      <c r="AD143" s="9">
        <f t="shared" si="37"/>
        <v>1.28</v>
      </c>
      <c r="AE143" s="16">
        <f t="shared" si="38"/>
        <v>0</v>
      </c>
      <c r="AF143" s="16">
        <f t="shared" si="39"/>
        <v>0</v>
      </c>
      <c r="AG143" s="9"/>
      <c r="AH143" s="9"/>
      <c r="AI143" s="12">
        <f t="shared" si="40"/>
        <v>4.9000000000000004</v>
      </c>
      <c r="AJ143" s="12">
        <f t="shared" si="41"/>
        <v>12.4</v>
      </c>
      <c r="AK143" s="12">
        <f t="shared" si="41"/>
        <v>52.1</v>
      </c>
      <c r="AL143" s="12">
        <f t="shared" si="41"/>
        <v>81.3</v>
      </c>
      <c r="AM143" s="12">
        <f t="shared" si="35"/>
        <v>83.2</v>
      </c>
      <c r="AN143" s="12">
        <f t="shared" si="35"/>
        <v>8</v>
      </c>
      <c r="AO143" s="12">
        <f t="shared" si="35"/>
        <v>80.7</v>
      </c>
      <c r="AP143" s="12">
        <f t="shared" si="35"/>
        <v>82.6</v>
      </c>
      <c r="AQ143" s="12">
        <f t="shared" si="35"/>
        <v>72</v>
      </c>
      <c r="AR143" s="12">
        <f t="shared" si="35"/>
        <v>0</v>
      </c>
      <c r="AS143" s="12">
        <f t="shared" si="35"/>
        <v>17.299999999999997</v>
      </c>
      <c r="AT143" s="12">
        <f t="shared" si="35"/>
        <v>83.2</v>
      </c>
      <c r="AU143" s="12">
        <f t="shared" si="42"/>
        <v>34.799999999999997</v>
      </c>
      <c r="AV143" s="12">
        <f t="shared" si="44"/>
        <v>60.199999999999996</v>
      </c>
      <c r="AW143" s="12">
        <f t="shared" si="44"/>
        <v>58.3</v>
      </c>
      <c r="AX143" s="12">
        <f t="shared" si="43"/>
        <v>76.400000000000006</v>
      </c>
      <c r="AY143" s="9"/>
      <c r="AZ143" s="12">
        <f t="shared" si="45"/>
        <v>40.300000000000004</v>
      </c>
      <c r="BA143" s="12">
        <f t="shared" si="45"/>
        <v>24.2</v>
      </c>
      <c r="BB143" s="12">
        <f t="shared" si="45"/>
        <v>39.700000000000003</v>
      </c>
      <c r="BC143" s="12">
        <f t="shared" si="45"/>
        <v>65.8</v>
      </c>
      <c r="BD143" s="12">
        <f t="shared" si="45"/>
        <v>81.3</v>
      </c>
      <c r="BE143" s="12">
        <f t="shared" si="45"/>
        <v>58.3</v>
      </c>
      <c r="BF143" s="12">
        <f t="shared" si="45"/>
        <v>64.5</v>
      </c>
      <c r="BG143" s="12">
        <f t="shared" si="45"/>
        <v>81.3</v>
      </c>
      <c r="BH143" s="12">
        <f t="shared" si="45"/>
        <v>0</v>
      </c>
      <c r="BI143" s="12">
        <f t="shared" si="45"/>
        <v>0</v>
      </c>
    </row>
    <row r="144" spans="1:61" ht="15.75" customHeight="1" x14ac:dyDescent="0.25">
      <c r="A144" s="1" t="s">
        <v>253</v>
      </c>
      <c r="B144" s="3" t="s">
        <v>244</v>
      </c>
      <c r="C144" s="4" t="s">
        <v>8</v>
      </c>
      <c r="D144" s="4">
        <v>3</v>
      </c>
      <c r="E144" s="4">
        <v>52</v>
      </c>
      <c r="F144" s="4">
        <v>3</v>
      </c>
      <c r="G144" s="4">
        <v>52</v>
      </c>
      <c r="H144" s="4">
        <v>11.1</v>
      </c>
      <c r="I144" s="4">
        <v>0.55100000000000005</v>
      </c>
      <c r="J144" s="4">
        <v>0.56699999999999995</v>
      </c>
      <c r="K144" s="4">
        <v>0.2</v>
      </c>
      <c r="L144" s="4">
        <v>0.2</v>
      </c>
      <c r="M144" s="4">
        <v>4.9000000000000004</v>
      </c>
      <c r="N144" s="4">
        <v>5</v>
      </c>
      <c r="O144" s="4">
        <v>47.4</v>
      </c>
      <c r="P144" s="4">
        <v>2</v>
      </c>
      <c r="Q144" s="4">
        <v>0</v>
      </c>
      <c r="R144" s="4">
        <v>35.5</v>
      </c>
      <c r="S144" s="4">
        <v>22.1</v>
      </c>
      <c r="T144" s="4">
        <v>95</v>
      </c>
      <c r="U144" s="4">
        <v>114</v>
      </c>
      <c r="V144" s="4">
        <v>0</v>
      </c>
      <c r="W144" s="4">
        <v>0</v>
      </c>
      <c r="X144" s="4">
        <v>0</v>
      </c>
      <c r="Y144" s="4">
        <v>0</v>
      </c>
      <c r="Z144" s="4">
        <v>-1.6E-2</v>
      </c>
      <c r="AA144" s="13">
        <f>(I144/TOTAL_BASIC!$D$301)*100</f>
        <v>98.710998609179427</v>
      </c>
      <c r="AB144" s="5">
        <f t="shared" si="36"/>
        <v>0.95</v>
      </c>
      <c r="AC144" s="3">
        <f t="shared" si="33"/>
        <v>-19</v>
      </c>
      <c r="AD144" s="9">
        <f t="shared" si="37"/>
        <v>1.1020000000000001</v>
      </c>
      <c r="AE144" s="16">
        <f t="shared" si="38"/>
        <v>2.1447963800904977</v>
      </c>
      <c r="AF144" s="16">
        <f t="shared" si="39"/>
        <v>1.3352112676056338</v>
      </c>
      <c r="AG144" s="9"/>
      <c r="AH144" s="9"/>
      <c r="AI144" s="12">
        <f t="shared" si="40"/>
        <v>4.9000000000000004</v>
      </c>
      <c r="AJ144" s="12">
        <f t="shared" si="41"/>
        <v>12.4</v>
      </c>
      <c r="AK144" s="12">
        <f t="shared" si="41"/>
        <v>31.6</v>
      </c>
      <c r="AL144" s="12">
        <f t="shared" si="41"/>
        <v>44.7</v>
      </c>
      <c r="AM144" s="12">
        <f t="shared" si="35"/>
        <v>68.300000000000011</v>
      </c>
      <c r="AN144" s="12">
        <f t="shared" si="35"/>
        <v>23.599999999999998</v>
      </c>
      <c r="AO144" s="12">
        <f t="shared" si="35"/>
        <v>26</v>
      </c>
      <c r="AP144" s="12">
        <f t="shared" si="35"/>
        <v>59.599999999999994</v>
      </c>
      <c r="AQ144" s="12">
        <f t="shared" si="35"/>
        <v>14.2</v>
      </c>
      <c r="AR144" s="12">
        <f t="shared" si="35"/>
        <v>98.7</v>
      </c>
      <c r="AS144" s="12">
        <f t="shared" si="35"/>
        <v>63.9</v>
      </c>
      <c r="AT144" s="12">
        <f t="shared" si="35"/>
        <v>0</v>
      </c>
      <c r="AU144" s="12">
        <f t="shared" si="42"/>
        <v>2.5</v>
      </c>
      <c r="AV144" s="12">
        <f t="shared" si="44"/>
        <v>69.5</v>
      </c>
      <c r="AW144" s="12">
        <f t="shared" si="44"/>
        <v>22.3</v>
      </c>
      <c r="AX144" s="12">
        <f t="shared" si="43"/>
        <v>19.299999999999997</v>
      </c>
      <c r="AY144" s="9"/>
      <c r="AZ144" s="12">
        <f t="shared" si="45"/>
        <v>22.3</v>
      </c>
      <c r="BA144" s="12">
        <f t="shared" si="45"/>
        <v>3.1</v>
      </c>
      <c r="BB144" s="12">
        <f t="shared" si="45"/>
        <v>12.4</v>
      </c>
      <c r="BC144" s="12">
        <f t="shared" si="45"/>
        <v>14.899999999999999</v>
      </c>
      <c r="BD144" s="12">
        <f t="shared" si="45"/>
        <v>44.7</v>
      </c>
      <c r="BE144" s="12">
        <f t="shared" si="45"/>
        <v>22.3</v>
      </c>
      <c r="BF144" s="12">
        <f t="shared" si="45"/>
        <v>15.5</v>
      </c>
      <c r="BG144" s="12">
        <f t="shared" si="45"/>
        <v>44.7</v>
      </c>
      <c r="BH144" s="12">
        <f t="shared" si="45"/>
        <v>97.5</v>
      </c>
      <c r="BI144" s="12">
        <f t="shared" si="45"/>
        <v>68.300000000000011</v>
      </c>
    </row>
    <row r="145" spans="1:61" ht="15.75" customHeight="1" x14ac:dyDescent="0.25">
      <c r="A145" s="1" t="s">
        <v>254</v>
      </c>
      <c r="B145" s="3" t="s">
        <v>101</v>
      </c>
      <c r="C145" s="4" t="s">
        <v>87</v>
      </c>
      <c r="D145" s="4">
        <v>6</v>
      </c>
      <c r="E145" s="4">
        <v>50</v>
      </c>
      <c r="F145" s="4">
        <v>6</v>
      </c>
      <c r="G145" s="4">
        <v>50</v>
      </c>
      <c r="H145" s="4">
        <v>7.8</v>
      </c>
      <c r="I145" s="4">
        <v>0.71699999999999997</v>
      </c>
      <c r="J145" s="4">
        <v>0.68799999999999994</v>
      </c>
      <c r="K145" s="4">
        <v>0.875</v>
      </c>
      <c r="L145" s="4">
        <v>0.5</v>
      </c>
      <c r="M145" s="4">
        <v>2.4</v>
      </c>
      <c r="N145" s="4">
        <v>7.5</v>
      </c>
      <c r="O145" s="4">
        <v>2.8</v>
      </c>
      <c r="P145" s="4">
        <v>1</v>
      </c>
      <c r="Q145" s="4">
        <v>1.7</v>
      </c>
      <c r="R145" s="4">
        <v>23.5</v>
      </c>
      <c r="S145" s="4">
        <v>11.6</v>
      </c>
      <c r="T145" s="4">
        <v>108</v>
      </c>
      <c r="U145" s="4">
        <v>111</v>
      </c>
      <c r="V145" s="4">
        <v>0</v>
      </c>
      <c r="W145" s="4">
        <v>0</v>
      </c>
      <c r="X145" s="4">
        <v>0</v>
      </c>
      <c r="Y145" s="4">
        <v>0.1</v>
      </c>
      <c r="Z145" s="4">
        <v>5.7000000000000002E-2</v>
      </c>
      <c r="AA145" s="13">
        <f>(I145/TOTAL_BASIC!$D$301)*100</f>
        <v>128.44970236439499</v>
      </c>
      <c r="AB145" s="5">
        <f t="shared" si="36"/>
        <v>1.08</v>
      </c>
      <c r="AC145" s="3">
        <f t="shared" si="33"/>
        <v>-3</v>
      </c>
      <c r="AD145" s="9">
        <f t="shared" si="37"/>
        <v>1.4339999999999999</v>
      </c>
      <c r="AE145" s="16">
        <f t="shared" si="38"/>
        <v>0.24137931034482757</v>
      </c>
      <c r="AF145" s="16">
        <f t="shared" si="39"/>
        <v>0.11914893617021276</v>
      </c>
      <c r="AG145" s="9"/>
      <c r="AH145" s="9"/>
      <c r="AI145" s="12">
        <f t="shared" si="40"/>
        <v>25.4</v>
      </c>
      <c r="AJ145" s="12">
        <f t="shared" si="41"/>
        <v>11.1</v>
      </c>
      <c r="AK145" s="12">
        <f t="shared" si="41"/>
        <v>16.100000000000001</v>
      </c>
      <c r="AL145" s="12">
        <f t="shared" si="41"/>
        <v>92.5</v>
      </c>
      <c r="AM145" s="12">
        <f t="shared" si="35"/>
        <v>90.600000000000009</v>
      </c>
      <c r="AN145" s="12">
        <f t="shared" si="35"/>
        <v>100</v>
      </c>
      <c r="AO145" s="12">
        <f t="shared" si="35"/>
        <v>80.7</v>
      </c>
      <c r="AP145" s="12">
        <f t="shared" si="35"/>
        <v>29.799999999999997</v>
      </c>
      <c r="AQ145" s="12">
        <f t="shared" si="35"/>
        <v>38.5</v>
      </c>
      <c r="AR145" s="12">
        <f t="shared" si="35"/>
        <v>2.4</v>
      </c>
      <c r="AS145" s="12">
        <f t="shared" si="35"/>
        <v>17.299999999999997</v>
      </c>
      <c r="AT145" s="12">
        <f t="shared" si="35"/>
        <v>55.900000000000006</v>
      </c>
      <c r="AU145" s="12">
        <f t="shared" si="42"/>
        <v>11.900000000000006</v>
      </c>
      <c r="AV145" s="12">
        <f t="shared" si="44"/>
        <v>8</v>
      </c>
      <c r="AW145" s="12">
        <f t="shared" si="44"/>
        <v>47.8</v>
      </c>
      <c r="AX145" s="12">
        <f t="shared" si="43"/>
        <v>33.599999999999994</v>
      </c>
      <c r="AY145" s="9"/>
      <c r="AZ145" s="12">
        <f t="shared" si="45"/>
        <v>22.3</v>
      </c>
      <c r="BA145" s="12">
        <f t="shared" si="45"/>
        <v>3.1</v>
      </c>
      <c r="BB145" s="12">
        <f t="shared" si="45"/>
        <v>27.3</v>
      </c>
      <c r="BC145" s="12">
        <f t="shared" si="45"/>
        <v>34.699999999999996</v>
      </c>
      <c r="BD145" s="12">
        <f t="shared" si="45"/>
        <v>92.5</v>
      </c>
      <c r="BE145" s="12">
        <f t="shared" si="45"/>
        <v>47.8</v>
      </c>
      <c r="BF145" s="12">
        <f t="shared" si="45"/>
        <v>43.4</v>
      </c>
      <c r="BG145" s="12">
        <f t="shared" si="45"/>
        <v>92.5</v>
      </c>
      <c r="BH145" s="12">
        <f t="shared" si="45"/>
        <v>5.5</v>
      </c>
      <c r="BI145" s="12">
        <f t="shared" si="45"/>
        <v>3.6999999999999997</v>
      </c>
    </row>
    <row r="146" spans="1:61" ht="15.75" customHeight="1" x14ac:dyDescent="0.25">
      <c r="A146" s="1" t="s">
        <v>218</v>
      </c>
      <c r="B146" s="3" t="s">
        <v>255</v>
      </c>
      <c r="C146" s="4" t="s">
        <v>87</v>
      </c>
      <c r="D146" s="4">
        <v>5</v>
      </c>
      <c r="E146" s="4">
        <v>50</v>
      </c>
      <c r="F146" s="4">
        <v>5</v>
      </c>
      <c r="G146" s="4">
        <v>50</v>
      </c>
      <c r="H146" s="4">
        <v>21.4</v>
      </c>
      <c r="I146" s="4">
        <v>0.73799999999999999</v>
      </c>
      <c r="J146" s="4">
        <v>0.75</v>
      </c>
      <c r="K146" s="4">
        <v>0.375</v>
      </c>
      <c r="L146" s="4">
        <v>1</v>
      </c>
      <c r="M146" s="4">
        <v>2.5</v>
      </c>
      <c r="N146" s="4">
        <v>7.3</v>
      </c>
      <c r="O146" s="4">
        <v>11.1</v>
      </c>
      <c r="P146" s="4">
        <v>4.0999999999999996</v>
      </c>
      <c r="Q146" s="4">
        <v>5.5</v>
      </c>
      <c r="R146" s="4">
        <v>8</v>
      </c>
      <c r="S146" s="4">
        <v>11.5</v>
      </c>
      <c r="T146" s="4">
        <v>141</v>
      </c>
      <c r="U146" s="4">
        <v>100</v>
      </c>
      <c r="V146" s="4">
        <v>0</v>
      </c>
      <c r="W146" s="4">
        <v>0.2</v>
      </c>
      <c r="X146" s="4">
        <v>0.1</v>
      </c>
      <c r="Y146" s="4">
        <v>0.3</v>
      </c>
      <c r="Z146" s="4">
        <v>0.23100000000000001</v>
      </c>
      <c r="AA146" s="13">
        <f>(I146/TOTAL_BASIC!$D$301)*100</f>
        <v>132.21182753824758</v>
      </c>
      <c r="AB146" s="5">
        <f t="shared" si="36"/>
        <v>1.41</v>
      </c>
      <c r="AC146" s="3">
        <f t="shared" si="33"/>
        <v>41</v>
      </c>
      <c r="AD146" s="9">
        <f t="shared" si="37"/>
        <v>1.476</v>
      </c>
      <c r="AE146" s="16">
        <f t="shared" si="38"/>
        <v>0.9652173913043478</v>
      </c>
      <c r="AF146" s="16">
        <f t="shared" si="39"/>
        <v>1.3875</v>
      </c>
      <c r="AG146" s="9"/>
      <c r="AH146" s="9"/>
      <c r="AI146" s="12">
        <f t="shared" si="40"/>
        <v>16.100000000000001</v>
      </c>
      <c r="AJ146" s="12">
        <f t="shared" si="41"/>
        <v>11.1</v>
      </c>
      <c r="AK146" s="12">
        <f t="shared" si="41"/>
        <v>88.1</v>
      </c>
      <c r="AL146" s="12">
        <f t="shared" si="41"/>
        <v>95.6</v>
      </c>
      <c r="AM146" s="12">
        <f t="shared" si="35"/>
        <v>98.1</v>
      </c>
      <c r="AN146" s="12">
        <f t="shared" si="35"/>
        <v>46.5</v>
      </c>
      <c r="AO146" s="12">
        <f t="shared" si="35"/>
        <v>99.3</v>
      </c>
      <c r="AP146" s="12">
        <f t="shared" si="35"/>
        <v>31.6</v>
      </c>
      <c r="AQ146" s="12">
        <f t="shared" si="35"/>
        <v>34.1</v>
      </c>
      <c r="AR146" s="12">
        <f t="shared" si="35"/>
        <v>42.199999999999996</v>
      </c>
      <c r="AS146" s="12">
        <f t="shared" si="35"/>
        <v>98.1</v>
      </c>
      <c r="AT146" s="12">
        <f t="shared" si="35"/>
        <v>91.9</v>
      </c>
      <c r="AU146" s="12">
        <f t="shared" si="42"/>
        <v>88.2</v>
      </c>
      <c r="AV146" s="12">
        <f t="shared" si="44"/>
        <v>7.3999999999999995</v>
      </c>
      <c r="AW146" s="12">
        <f t="shared" si="44"/>
        <v>98.1</v>
      </c>
      <c r="AX146" s="12">
        <f t="shared" si="43"/>
        <v>95.1</v>
      </c>
      <c r="AY146" s="9"/>
      <c r="AZ146" s="12">
        <f t="shared" si="45"/>
        <v>57.099999999999994</v>
      </c>
      <c r="BA146" s="12">
        <f t="shared" si="45"/>
        <v>24.2</v>
      </c>
      <c r="BB146" s="12">
        <f t="shared" si="45"/>
        <v>51.5</v>
      </c>
      <c r="BC146" s="12">
        <f t="shared" si="45"/>
        <v>95.6</v>
      </c>
      <c r="BD146" s="12">
        <f t="shared" si="45"/>
        <v>95.6</v>
      </c>
      <c r="BE146" s="12">
        <f t="shared" si="45"/>
        <v>98.1</v>
      </c>
      <c r="BF146" s="12">
        <f t="shared" si="45"/>
        <v>100</v>
      </c>
      <c r="BG146" s="12">
        <f t="shared" si="45"/>
        <v>95.6</v>
      </c>
      <c r="BH146" s="12">
        <f t="shared" si="45"/>
        <v>68.300000000000011</v>
      </c>
      <c r="BI146" s="12">
        <f t="shared" si="45"/>
        <v>72</v>
      </c>
    </row>
    <row r="147" spans="1:61" ht="15.75" customHeight="1" x14ac:dyDescent="0.25">
      <c r="A147" s="1" t="s">
        <v>228</v>
      </c>
      <c r="B147" s="3" t="s">
        <v>139</v>
      </c>
      <c r="C147" s="4" t="s">
        <v>8</v>
      </c>
      <c r="D147" s="4">
        <v>5</v>
      </c>
      <c r="E147" s="4">
        <v>47</v>
      </c>
      <c r="F147" s="4">
        <v>5</v>
      </c>
      <c r="G147" s="4">
        <v>47</v>
      </c>
      <c r="H147" s="4">
        <v>-3.3</v>
      </c>
      <c r="I147" s="4">
        <v>0.27300000000000002</v>
      </c>
      <c r="J147" s="4">
        <v>0.27300000000000002</v>
      </c>
      <c r="K147" s="4">
        <v>0.54500000000000004</v>
      </c>
      <c r="L147" s="4">
        <v>0</v>
      </c>
      <c r="M147" s="4">
        <v>0</v>
      </c>
      <c r="N147" s="4">
        <v>5.8</v>
      </c>
      <c r="O147" s="4">
        <v>5.7</v>
      </c>
      <c r="P147" s="4">
        <v>0</v>
      </c>
      <c r="Q147" s="4">
        <v>0</v>
      </c>
      <c r="R147" s="4">
        <v>15.4</v>
      </c>
      <c r="S147" s="4">
        <v>12.2</v>
      </c>
      <c r="T147" s="4">
        <v>58</v>
      </c>
      <c r="U147" s="4">
        <v>125</v>
      </c>
      <c r="V147" s="4">
        <v>0</v>
      </c>
      <c r="W147" s="4">
        <v>-0.2</v>
      </c>
      <c r="X147" s="4">
        <v>-0.1</v>
      </c>
      <c r="Y147" s="4">
        <v>-0.2</v>
      </c>
      <c r="Z147" s="4">
        <v>-0.189</v>
      </c>
      <c r="AA147" s="13">
        <f>(I147/TOTAL_BASIC!$D$301)*100</f>
        <v>48.907627260083451</v>
      </c>
      <c r="AB147" s="5">
        <f t="shared" si="36"/>
        <v>0.57999999999999996</v>
      </c>
      <c r="AC147" s="3">
        <f t="shared" si="33"/>
        <v>-67</v>
      </c>
      <c r="AD147" s="9">
        <f t="shared" si="37"/>
        <v>0.54600000000000004</v>
      </c>
      <c r="AE147" s="16">
        <f t="shared" si="38"/>
        <v>0.46721311475409838</v>
      </c>
      <c r="AF147" s="16">
        <f t="shared" si="39"/>
        <v>0.37012987012987014</v>
      </c>
      <c r="AG147" s="9"/>
      <c r="AH147" s="9"/>
      <c r="AI147" s="12">
        <f t="shared" si="40"/>
        <v>16.100000000000001</v>
      </c>
      <c r="AJ147" s="12">
        <f t="shared" si="41"/>
        <v>9.9</v>
      </c>
      <c r="AK147" s="12">
        <f t="shared" si="41"/>
        <v>0</v>
      </c>
      <c r="AL147" s="12">
        <f t="shared" si="41"/>
        <v>0.6</v>
      </c>
      <c r="AM147" s="12">
        <f t="shared" si="35"/>
        <v>1.7999999999999998</v>
      </c>
      <c r="AN147" s="12">
        <f t="shared" si="35"/>
        <v>77</v>
      </c>
      <c r="AO147" s="12">
        <f t="shared" si="35"/>
        <v>0</v>
      </c>
      <c r="AP147" s="12">
        <f t="shared" si="35"/>
        <v>0</v>
      </c>
      <c r="AQ147" s="12">
        <f t="shared" si="35"/>
        <v>23.599999999999998</v>
      </c>
      <c r="AR147" s="12">
        <f t="shared" si="35"/>
        <v>11.799999999999999</v>
      </c>
      <c r="AS147" s="12">
        <f t="shared" si="35"/>
        <v>0</v>
      </c>
      <c r="AT147" s="12">
        <f t="shared" si="35"/>
        <v>0</v>
      </c>
      <c r="AU147" s="12">
        <f t="shared" si="42"/>
        <v>43.500000000000007</v>
      </c>
      <c r="AV147" s="12">
        <f t="shared" si="44"/>
        <v>9.3000000000000007</v>
      </c>
      <c r="AW147" s="12">
        <f t="shared" si="44"/>
        <v>1.2</v>
      </c>
      <c r="AX147" s="12">
        <f t="shared" si="43"/>
        <v>0</v>
      </c>
      <c r="AY147" s="9"/>
      <c r="AZ147" s="12">
        <f t="shared" si="45"/>
        <v>5.5</v>
      </c>
      <c r="BA147" s="12">
        <f t="shared" si="45"/>
        <v>1.2</v>
      </c>
      <c r="BB147" s="12">
        <f t="shared" si="45"/>
        <v>3.1</v>
      </c>
      <c r="BC147" s="12">
        <f t="shared" si="45"/>
        <v>0</v>
      </c>
      <c r="BD147" s="12">
        <f t="shared" si="45"/>
        <v>0.6</v>
      </c>
      <c r="BE147" s="12">
        <f t="shared" si="45"/>
        <v>1.2</v>
      </c>
      <c r="BF147" s="12">
        <f t="shared" si="45"/>
        <v>0.6</v>
      </c>
      <c r="BG147" s="12">
        <f t="shared" si="45"/>
        <v>0.6</v>
      </c>
      <c r="BH147" s="12">
        <f t="shared" si="45"/>
        <v>27.3</v>
      </c>
      <c r="BI147" s="12">
        <f t="shared" si="45"/>
        <v>11.1</v>
      </c>
    </row>
    <row r="148" spans="1:61" ht="15.75" customHeight="1" x14ac:dyDescent="0.25">
      <c r="A148" s="1" t="s">
        <v>256</v>
      </c>
      <c r="B148" s="3" t="s">
        <v>98</v>
      </c>
      <c r="C148" s="4" t="s">
        <v>87</v>
      </c>
      <c r="D148" s="4">
        <v>6</v>
      </c>
      <c r="E148" s="4">
        <v>47</v>
      </c>
      <c r="F148" s="4">
        <v>6</v>
      </c>
      <c r="G148" s="4">
        <v>47</v>
      </c>
      <c r="H148" s="4">
        <v>15.6</v>
      </c>
      <c r="I148" s="4">
        <v>0.57099999999999995</v>
      </c>
      <c r="J148" s="4">
        <v>0.57099999999999995</v>
      </c>
      <c r="K148" s="4">
        <v>0</v>
      </c>
      <c r="L148" s="4">
        <v>0.14299999999999999</v>
      </c>
      <c r="M148" s="4">
        <v>11.2</v>
      </c>
      <c r="N148" s="4">
        <v>8.6999999999999993</v>
      </c>
      <c r="O148" s="4">
        <v>12.1</v>
      </c>
      <c r="P148" s="4">
        <v>3.2</v>
      </c>
      <c r="Q148" s="4">
        <v>4.0999999999999996</v>
      </c>
      <c r="R148" s="4">
        <v>16.8</v>
      </c>
      <c r="S148" s="4">
        <v>16.7</v>
      </c>
      <c r="T148" s="4">
        <v>111</v>
      </c>
      <c r="U148" s="4">
        <v>101</v>
      </c>
      <c r="V148" s="4">
        <v>0</v>
      </c>
      <c r="W148" s="4">
        <v>0.1</v>
      </c>
      <c r="X148" s="4">
        <v>0.1</v>
      </c>
      <c r="Y148" s="4">
        <v>0.2</v>
      </c>
      <c r="Z148" s="4">
        <v>0.14799999999999999</v>
      </c>
      <c r="AA148" s="13">
        <f>(I148/TOTAL_BASIC!$D$301)*100</f>
        <v>102.29397496522947</v>
      </c>
      <c r="AB148" s="5">
        <f t="shared" si="36"/>
        <v>1.1100000000000001</v>
      </c>
      <c r="AC148" s="3">
        <f t="shared" si="33"/>
        <v>10</v>
      </c>
      <c r="AD148" s="9">
        <f t="shared" si="37"/>
        <v>1.1419999999999999</v>
      </c>
      <c r="AE148" s="16">
        <f t="shared" si="38"/>
        <v>0.72455089820359286</v>
      </c>
      <c r="AF148" s="16">
        <f t="shared" si="39"/>
        <v>0.72023809523809523</v>
      </c>
      <c r="AG148" s="9"/>
      <c r="AH148" s="9"/>
      <c r="AI148" s="12">
        <f t="shared" si="40"/>
        <v>25.4</v>
      </c>
      <c r="AJ148" s="12">
        <f t="shared" si="40"/>
        <v>9.9</v>
      </c>
      <c r="AK148" s="12">
        <f t="shared" si="40"/>
        <v>60.8</v>
      </c>
      <c r="AL148" s="12">
        <f t="shared" si="40"/>
        <v>54</v>
      </c>
      <c r="AM148" s="12">
        <f t="shared" si="35"/>
        <v>70.8</v>
      </c>
      <c r="AN148" s="12">
        <f t="shared" si="35"/>
        <v>0</v>
      </c>
      <c r="AO148" s="12">
        <f t="shared" si="35"/>
        <v>19.2</v>
      </c>
      <c r="AP148" s="12">
        <f t="shared" si="35"/>
        <v>86.3</v>
      </c>
      <c r="AQ148" s="12">
        <f t="shared" si="35"/>
        <v>47.8</v>
      </c>
      <c r="AR148" s="12">
        <f t="shared" si="35"/>
        <v>47.199999999999996</v>
      </c>
      <c r="AS148" s="12">
        <f t="shared" si="35"/>
        <v>91.3</v>
      </c>
      <c r="AT148" s="12">
        <f t="shared" si="35"/>
        <v>85.7</v>
      </c>
      <c r="AU148" s="12">
        <f t="shared" si="42"/>
        <v>36.1</v>
      </c>
      <c r="AV148" s="12">
        <f t="shared" si="44"/>
        <v>35.4</v>
      </c>
      <c r="AW148" s="12">
        <f t="shared" si="44"/>
        <v>58.3</v>
      </c>
      <c r="AX148" s="12">
        <f t="shared" si="43"/>
        <v>92</v>
      </c>
      <c r="AY148" s="9"/>
      <c r="AZ148" s="12">
        <f t="shared" si="45"/>
        <v>40.300000000000004</v>
      </c>
      <c r="BA148" s="12">
        <f t="shared" si="45"/>
        <v>24.2</v>
      </c>
      <c r="BB148" s="12">
        <f t="shared" si="45"/>
        <v>39.700000000000003</v>
      </c>
      <c r="BC148" s="12">
        <f t="shared" si="45"/>
        <v>71.399999999999991</v>
      </c>
      <c r="BD148" s="12">
        <f t="shared" si="45"/>
        <v>54</v>
      </c>
      <c r="BE148" s="12">
        <f t="shared" si="45"/>
        <v>58.3</v>
      </c>
      <c r="BF148" s="12">
        <f t="shared" si="45"/>
        <v>72.599999999999994</v>
      </c>
      <c r="BG148" s="12">
        <f t="shared" si="45"/>
        <v>54</v>
      </c>
      <c r="BH148" s="12">
        <f t="shared" si="45"/>
        <v>52.1</v>
      </c>
      <c r="BI148" s="12">
        <f t="shared" si="45"/>
        <v>36</v>
      </c>
    </row>
    <row r="149" spans="1:61" ht="15.75" customHeight="1" x14ac:dyDescent="0.25">
      <c r="A149" s="1" t="s">
        <v>257</v>
      </c>
      <c r="B149" s="3" t="s">
        <v>86</v>
      </c>
      <c r="C149" s="4" t="s">
        <v>87</v>
      </c>
      <c r="D149" s="4">
        <v>3</v>
      </c>
      <c r="E149" s="4">
        <v>46</v>
      </c>
      <c r="F149" s="4">
        <v>3</v>
      </c>
      <c r="G149" s="4">
        <v>46</v>
      </c>
      <c r="H149" s="4">
        <v>10.8</v>
      </c>
      <c r="I149" s="4">
        <v>0.51800000000000002</v>
      </c>
      <c r="J149" s="4">
        <v>0.435</v>
      </c>
      <c r="K149" s="4">
        <v>0.435</v>
      </c>
      <c r="L149" s="4">
        <v>0.30399999999999999</v>
      </c>
      <c r="M149" s="4">
        <v>3</v>
      </c>
      <c r="N149" s="4">
        <v>8.1</v>
      </c>
      <c r="O149" s="4">
        <v>15.6</v>
      </c>
      <c r="P149" s="4">
        <v>0</v>
      </c>
      <c r="Q149" s="4">
        <v>2.1</v>
      </c>
      <c r="R149" s="4">
        <v>13.3</v>
      </c>
      <c r="S149" s="4">
        <v>30.1</v>
      </c>
      <c r="T149" s="4">
        <v>99</v>
      </c>
      <c r="U149" s="4">
        <v>111</v>
      </c>
      <c r="V149" s="4">
        <v>0</v>
      </c>
      <c r="W149" s="4">
        <v>0</v>
      </c>
      <c r="X149" s="4">
        <v>0</v>
      </c>
      <c r="Y149" s="4">
        <v>0</v>
      </c>
      <c r="Z149" s="4">
        <v>2.4E-2</v>
      </c>
      <c r="AA149" s="13">
        <f>(I149/TOTAL_BASIC!$D$301)*100</f>
        <v>92.799087621696799</v>
      </c>
      <c r="AB149" s="5">
        <f t="shared" si="36"/>
        <v>0.99</v>
      </c>
      <c r="AC149" s="3">
        <f t="shared" si="33"/>
        <v>-12</v>
      </c>
      <c r="AD149" s="9">
        <f t="shared" si="37"/>
        <v>1.036</v>
      </c>
      <c r="AE149" s="16">
        <f t="shared" si="38"/>
        <v>0.51827242524916939</v>
      </c>
      <c r="AF149" s="16">
        <f t="shared" si="39"/>
        <v>1.1729323308270676</v>
      </c>
      <c r="AG149" s="9"/>
      <c r="AH149" s="9"/>
      <c r="AI149" s="12">
        <f t="shared" si="40"/>
        <v>4.9000000000000004</v>
      </c>
      <c r="AJ149" s="12">
        <f t="shared" si="40"/>
        <v>9.3000000000000007</v>
      </c>
      <c r="AK149" s="12">
        <f t="shared" si="40"/>
        <v>31</v>
      </c>
      <c r="AL149" s="12">
        <f t="shared" si="40"/>
        <v>34.1</v>
      </c>
      <c r="AM149" s="12">
        <f t="shared" si="35"/>
        <v>23.599999999999998</v>
      </c>
      <c r="AN149" s="12">
        <f t="shared" si="35"/>
        <v>60.8</v>
      </c>
      <c r="AO149" s="12">
        <f t="shared" si="35"/>
        <v>48.4</v>
      </c>
      <c r="AP149" s="12">
        <f t="shared" si="35"/>
        <v>39.1</v>
      </c>
      <c r="AQ149" s="12">
        <f t="shared" si="35"/>
        <v>42.8</v>
      </c>
      <c r="AR149" s="12">
        <f t="shared" si="35"/>
        <v>62.7</v>
      </c>
      <c r="AS149" s="12">
        <f t="shared" si="35"/>
        <v>0</v>
      </c>
      <c r="AT149" s="12">
        <f t="shared" si="35"/>
        <v>62.7</v>
      </c>
      <c r="AU149" s="12">
        <f t="shared" si="42"/>
        <v>60.9</v>
      </c>
      <c r="AV149" s="12">
        <f t="shared" si="44"/>
        <v>94.399999999999991</v>
      </c>
      <c r="AW149" s="12">
        <f t="shared" si="44"/>
        <v>29.799999999999997</v>
      </c>
      <c r="AX149" s="12">
        <f t="shared" si="43"/>
        <v>33.599999999999994</v>
      </c>
      <c r="AY149" s="9"/>
      <c r="AZ149" s="12">
        <f t="shared" si="45"/>
        <v>22.3</v>
      </c>
      <c r="BA149" s="12">
        <f t="shared" si="45"/>
        <v>3.1</v>
      </c>
      <c r="BB149" s="12">
        <f t="shared" si="45"/>
        <v>12.4</v>
      </c>
      <c r="BC149" s="12">
        <f t="shared" si="45"/>
        <v>25.4</v>
      </c>
      <c r="BD149" s="12">
        <f t="shared" si="45"/>
        <v>34.1</v>
      </c>
      <c r="BE149" s="12">
        <f t="shared" si="45"/>
        <v>29.799999999999997</v>
      </c>
      <c r="BF149" s="12">
        <f t="shared" si="45"/>
        <v>26.700000000000003</v>
      </c>
      <c r="BG149" s="12">
        <f t="shared" si="45"/>
        <v>34.1</v>
      </c>
      <c r="BH149" s="12">
        <f t="shared" si="45"/>
        <v>33.5</v>
      </c>
      <c r="BI149" s="12">
        <f t="shared" si="45"/>
        <v>60.8</v>
      </c>
    </row>
    <row r="150" spans="1:61" ht="15.75" customHeight="1" x14ac:dyDescent="0.25">
      <c r="A150" s="1" t="s">
        <v>209</v>
      </c>
      <c r="B150" s="3" t="s">
        <v>119</v>
      </c>
      <c r="C150" s="4" t="s">
        <v>87</v>
      </c>
      <c r="D150" s="4">
        <v>4</v>
      </c>
      <c r="E150" s="4">
        <v>44</v>
      </c>
      <c r="F150" s="4">
        <v>4</v>
      </c>
      <c r="G150" s="4">
        <v>44</v>
      </c>
      <c r="H150" s="4">
        <v>-1.7</v>
      </c>
      <c r="I150" s="4">
        <v>0</v>
      </c>
      <c r="J150" s="4">
        <v>0</v>
      </c>
      <c r="K150" s="4">
        <v>0.42899999999999999</v>
      </c>
      <c r="L150" s="4">
        <v>0</v>
      </c>
      <c r="M150" s="4">
        <v>0</v>
      </c>
      <c r="N150" s="4">
        <v>9.1</v>
      </c>
      <c r="O150" s="4">
        <v>7.7</v>
      </c>
      <c r="P150" s="4">
        <v>2.2000000000000002</v>
      </c>
      <c r="Q150" s="4">
        <v>1.8</v>
      </c>
      <c r="R150" s="4">
        <v>22.2</v>
      </c>
      <c r="S150" s="4">
        <v>8.8000000000000007</v>
      </c>
      <c r="T150" s="4">
        <v>21</v>
      </c>
      <c r="U150" s="4">
        <v>105</v>
      </c>
      <c r="V150" s="4">
        <v>0</v>
      </c>
      <c r="W150" s="4">
        <v>-0.2</v>
      </c>
      <c r="X150" s="4">
        <v>0.1</v>
      </c>
      <c r="Y150" s="4">
        <v>-0.1</v>
      </c>
      <c r="Z150" s="4">
        <v>-0.13300000000000001</v>
      </c>
      <c r="AA150" s="13">
        <f>(I150/TOTAL_BASIC!$D$301)*100</f>
        <v>0</v>
      </c>
      <c r="AB150" s="5">
        <f t="shared" si="36"/>
        <v>0.21</v>
      </c>
      <c r="AC150" s="3">
        <f t="shared" si="33"/>
        <v>-84</v>
      </c>
      <c r="AD150" s="9">
        <f t="shared" si="37"/>
        <v>0</v>
      </c>
      <c r="AE150" s="16">
        <f t="shared" si="38"/>
        <v>0.875</v>
      </c>
      <c r="AF150" s="16">
        <f t="shared" si="39"/>
        <v>0.34684684684684686</v>
      </c>
      <c r="AG150" s="9"/>
      <c r="AH150" s="9"/>
      <c r="AI150" s="12">
        <f t="shared" si="40"/>
        <v>10.5</v>
      </c>
      <c r="AJ150" s="12">
        <f t="shared" si="40"/>
        <v>8.6</v>
      </c>
      <c r="AK150" s="12">
        <f t="shared" si="40"/>
        <v>1.2</v>
      </c>
      <c r="AL150" s="12">
        <f t="shared" si="40"/>
        <v>0</v>
      </c>
      <c r="AM150" s="12">
        <f t="shared" si="35"/>
        <v>0</v>
      </c>
      <c r="AN150" s="12">
        <f t="shared" si="35"/>
        <v>57.699999999999996</v>
      </c>
      <c r="AO150" s="12">
        <f t="shared" si="35"/>
        <v>0</v>
      </c>
      <c r="AP150" s="12">
        <f t="shared" si="35"/>
        <v>0</v>
      </c>
      <c r="AQ150" s="12">
        <f t="shared" si="35"/>
        <v>52.1</v>
      </c>
      <c r="AR150" s="12">
        <f t="shared" si="35"/>
        <v>22.3</v>
      </c>
      <c r="AS150" s="12">
        <f t="shared" si="35"/>
        <v>67</v>
      </c>
      <c r="AT150" s="12">
        <f t="shared" si="35"/>
        <v>58.3</v>
      </c>
      <c r="AU150" s="12">
        <f t="shared" si="42"/>
        <v>15</v>
      </c>
      <c r="AV150" s="12">
        <f t="shared" si="44"/>
        <v>1.7999999999999998</v>
      </c>
      <c r="AW150" s="12">
        <f t="shared" si="44"/>
        <v>0</v>
      </c>
      <c r="AX150" s="12">
        <f t="shared" si="43"/>
        <v>70.900000000000006</v>
      </c>
      <c r="AY150" s="9"/>
      <c r="AZ150" s="12">
        <f t="shared" si="45"/>
        <v>5.5</v>
      </c>
      <c r="BA150" s="12">
        <f t="shared" si="45"/>
        <v>24.2</v>
      </c>
      <c r="BB150" s="12">
        <f t="shared" si="45"/>
        <v>6.8000000000000007</v>
      </c>
      <c r="BC150" s="12">
        <f t="shared" si="45"/>
        <v>1.2</v>
      </c>
      <c r="BD150" s="12">
        <f t="shared" si="45"/>
        <v>0</v>
      </c>
      <c r="BE150" s="12">
        <f t="shared" si="45"/>
        <v>0</v>
      </c>
      <c r="BF150" s="12">
        <f t="shared" si="45"/>
        <v>0</v>
      </c>
      <c r="BG150" s="12">
        <f t="shared" si="45"/>
        <v>0</v>
      </c>
      <c r="BH150" s="12">
        <f t="shared" si="45"/>
        <v>65.2</v>
      </c>
      <c r="BI150" s="12">
        <f t="shared" si="45"/>
        <v>10.5</v>
      </c>
    </row>
    <row r="151" spans="1:61" ht="15.75" customHeight="1" x14ac:dyDescent="0.25">
      <c r="A151" s="1" t="s">
        <v>258</v>
      </c>
      <c r="B151" s="3" t="s">
        <v>130</v>
      </c>
      <c r="C151" s="4" t="s">
        <v>8</v>
      </c>
      <c r="D151" s="4">
        <v>6</v>
      </c>
      <c r="E151" s="4">
        <v>42</v>
      </c>
      <c r="F151" s="4">
        <v>6</v>
      </c>
      <c r="G151" s="4">
        <v>42</v>
      </c>
      <c r="H151" s="4">
        <v>15.1</v>
      </c>
      <c r="I151" s="4">
        <v>0.5</v>
      </c>
      <c r="J151" s="4">
        <v>0.5</v>
      </c>
      <c r="K151" s="4">
        <v>0.42899999999999999</v>
      </c>
      <c r="L151" s="4">
        <v>0</v>
      </c>
      <c r="M151" s="4">
        <v>5.5</v>
      </c>
      <c r="N151" s="4">
        <v>9.6</v>
      </c>
      <c r="O151" s="4">
        <v>20</v>
      </c>
      <c r="P151" s="4">
        <v>0</v>
      </c>
      <c r="Q151" s="4">
        <v>2</v>
      </c>
      <c r="R151" s="4">
        <v>0</v>
      </c>
      <c r="S151" s="4">
        <v>14.3</v>
      </c>
      <c r="T151" s="4">
        <v>127</v>
      </c>
      <c r="U151" s="4">
        <v>107</v>
      </c>
      <c r="V151" s="4">
        <v>0</v>
      </c>
      <c r="W151" s="4">
        <v>0.1</v>
      </c>
      <c r="X151" s="4">
        <v>0.1</v>
      </c>
      <c r="Y151" s="4">
        <v>0.2</v>
      </c>
      <c r="Z151" s="4">
        <v>0.16600000000000001</v>
      </c>
      <c r="AA151" s="13">
        <f>(I151/TOTAL_BASIC!$D$301)*100</f>
        <v>89.574408901251729</v>
      </c>
      <c r="AB151" s="5">
        <f t="shared" si="36"/>
        <v>1.27</v>
      </c>
      <c r="AC151" s="3">
        <f t="shared" si="33"/>
        <v>20</v>
      </c>
      <c r="AD151" s="9">
        <f t="shared" si="37"/>
        <v>1</v>
      </c>
      <c r="AE151" s="16">
        <f t="shared" si="38"/>
        <v>1.3986013986013985</v>
      </c>
      <c r="AF151" s="16">
        <f t="shared" si="39"/>
        <v>0</v>
      </c>
      <c r="AG151" s="9"/>
      <c r="AH151" s="9"/>
      <c r="AI151" s="12">
        <f t="shared" si="40"/>
        <v>25.4</v>
      </c>
      <c r="AJ151" s="12">
        <f t="shared" si="40"/>
        <v>8</v>
      </c>
      <c r="AK151" s="12">
        <f t="shared" si="40"/>
        <v>57.099999999999994</v>
      </c>
      <c r="AL151" s="12">
        <f t="shared" si="40"/>
        <v>27.900000000000002</v>
      </c>
      <c r="AM151" s="12">
        <f t="shared" si="35"/>
        <v>40.9</v>
      </c>
      <c r="AN151" s="12">
        <f t="shared" si="35"/>
        <v>57.699999999999996</v>
      </c>
      <c r="AO151" s="12">
        <f t="shared" si="35"/>
        <v>0</v>
      </c>
      <c r="AP151" s="12">
        <f t="shared" si="35"/>
        <v>66.400000000000006</v>
      </c>
      <c r="AQ151" s="12">
        <f t="shared" si="35"/>
        <v>57.699999999999996</v>
      </c>
      <c r="AR151" s="12">
        <f t="shared" si="35"/>
        <v>73.900000000000006</v>
      </c>
      <c r="AS151" s="12">
        <f t="shared" si="35"/>
        <v>0</v>
      </c>
      <c r="AT151" s="12">
        <f t="shared" si="35"/>
        <v>62.1</v>
      </c>
      <c r="AU151" s="12">
        <f t="shared" si="42"/>
        <v>100</v>
      </c>
      <c r="AV151" s="12">
        <f t="shared" si="44"/>
        <v>18.600000000000001</v>
      </c>
      <c r="AW151" s="12">
        <f t="shared" si="44"/>
        <v>91.9</v>
      </c>
      <c r="AX151" s="12">
        <f t="shared" si="43"/>
        <v>60.9</v>
      </c>
      <c r="AY151" s="9"/>
      <c r="AZ151" s="12">
        <f t="shared" si="45"/>
        <v>40.300000000000004</v>
      </c>
      <c r="BA151" s="12">
        <f t="shared" si="45"/>
        <v>24.2</v>
      </c>
      <c r="BB151" s="12">
        <f t="shared" si="45"/>
        <v>39.700000000000003</v>
      </c>
      <c r="BC151" s="12">
        <f t="shared" si="45"/>
        <v>77.600000000000009</v>
      </c>
      <c r="BD151" s="12">
        <f t="shared" si="45"/>
        <v>27.900000000000002</v>
      </c>
      <c r="BE151" s="12">
        <f t="shared" si="45"/>
        <v>91.9</v>
      </c>
      <c r="BF151" s="12">
        <f t="shared" si="45"/>
        <v>90.600000000000009</v>
      </c>
      <c r="BG151" s="12">
        <f t="shared" si="45"/>
        <v>27.900000000000002</v>
      </c>
      <c r="BH151" s="12">
        <f t="shared" si="45"/>
        <v>85.7</v>
      </c>
      <c r="BI151" s="12">
        <f t="shared" si="45"/>
        <v>0</v>
      </c>
    </row>
    <row r="152" spans="1:61" ht="15.75" customHeight="1" x14ac:dyDescent="0.25">
      <c r="A152" s="1" t="s">
        <v>259</v>
      </c>
      <c r="B152" s="3" t="s">
        <v>142</v>
      </c>
      <c r="C152" s="4" t="s">
        <v>87</v>
      </c>
      <c r="D152" s="4">
        <v>2</v>
      </c>
      <c r="E152" s="4">
        <v>40</v>
      </c>
      <c r="F152" s="4">
        <v>2</v>
      </c>
      <c r="G152" s="4">
        <v>40</v>
      </c>
      <c r="H152" s="4">
        <v>12.6</v>
      </c>
      <c r="I152" s="4">
        <v>0.63900000000000001</v>
      </c>
      <c r="J152" s="4">
        <v>0.57699999999999996</v>
      </c>
      <c r="K152" s="4">
        <v>0.61499999999999999</v>
      </c>
      <c r="L152" s="4">
        <v>0.46200000000000002</v>
      </c>
      <c r="M152" s="4">
        <v>6.6</v>
      </c>
      <c r="N152" s="4">
        <v>3.1</v>
      </c>
      <c r="O152" s="4">
        <v>9.3000000000000007</v>
      </c>
      <c r="P152" s="4">
        <v>1.3</v>
      </c>
      <c r="Q152" s="4">
        <v>0</v>
      </c>
      <c r="R152" s="4">
        <v>20.399999999999999</v>
      </c>
      <c r="S152" s="4">
        <v>22.5</v>
      </c>
      <c r="T152" s="4">
        <v>110</v>
      </c>
      <c r="U152" s="4">
        <v>115</v>
      </c>
      <c r="V152" s="4">
        <v>0</v>
      </c>
      <c r="W152" s="4">
        <v>0.1</v>
      </c>
      <c r="X152" s="4">
        <v>0</v>
      </c>
      <c r="Y152" s="4">
        <v>0.1</v>
      </c>
      <c r="Z152" s="4">
        <v>7.1999999999999995E-2</v>
      </c>
      <c r="AA152" s="13">
        <f>(I152/TOTAL_BASIC!$D$301)*100</f>
        <v>114.47609457579972</v>
      </c>
      <c r="AB152" s="5">
        <f t="shared" si="36"/>
        <v>1.1000000000000001</v>
      </c>
      <c r="AC152" s="3">
        <f t="shared" si="33"/>
        <v>-5</v>
      </c>
      <c r="AD152" s="9">
        <f t="shared" si="37"/>
        <v>1.278</v>
      </c>
      <c r="AE152" s="16">
        <f t="shared" si="38"/>
        <v>0.41333333333333339</v>
      </c>
      <c r="AF152" s="16">
        <f t="shared" si="39"/>
        <v>0.45588235294117652</v>
      </c>
      <c r="AG152" s="9"/>
      <c r="AH152" s="9"/>
      <c r="AI152" s="12">
        <f t="shared" si="40"/>
        <v>1.2</v>
      </c>
      <c r="AJ152" s="12">
        <f t="shared" si="40"/>
        <v>7.3999999999999995</v>
      </c>
      <c r="AK152" s="12">
        <f t="shared" si="40"/>
        <v>39.1</v>
      </c>
      <c r="AL152" s="12">
        <f t="shared" si="40"/>
        <v>80.7</v>
      </c>
      <c r="AM152" s="12">
        <f t="shared" si="35"/>
        <v>72.599999999999994</v>
      </c>
      <c r="AN152" s="12">
        <f t="shared" si="35"/>
        <v>85.7</v>
      </c>
      <c r="AO152" s="12">
        <f t="shared" si="35"/>
        <v>77</v>
      </c>
      <c r="AP152" s="12">
        <f t="shared" si="35"/>
        <v>73.900000000000006</v>
      </c>
      <c r="AQ152" s="12">
        <f t="shared" si="35"/>
        <v>6.8000000000000007</v>
      </c>
      <c r="AR152" s="12">
        <f t="shared" si="35"/>
        <v>33.5</v>
      </c>
      <c r="AS152" s="12">
        <f t="shared" si="35"/>
        <v>28.499999999999996</v>
      </c>
      <c r="AT152" s="12">
        <f t="shared" si="35"/>
        <v>0</v>
      </c>
      <c r="AU152" s="12">
        <f t="shared" si="42"/>
        <v>23.700000000000003</v>
      </c>
      <c r="AV152" s="12">
        <f t="shared" si="44"/>
        <v>72.599999999999994</v>
      </c>
      <c r="AW152" s="12">
        <f t="shared" si="44"/>
        <v>52.7</v>
      </c>
      <c r="AX152" s="12">
        <f t="shared" si="43"/>
        <v>12.5</v>
      </c>
      <c r="AY152" s="9"/>
      <c r="AZ152" s="12">
        <f t="shared" si="45"/>
        <v>40.300000000000004</v>
      </c>
      <c r="BA152" s="12">
        <f t="shared" si="45"/>
        <v>3.1</v>
      </c>
      <c r="BB152" s="12">
        <f t="shared" si="45"/>
        <v>27.3</v>
      </c>
      <c r="BC152" s="12">
        <f t="shared" si="45"/>
        <v>43.4</v>
      </c>
      <c r="BD152" s="12">
        <f t="shared" si="45"/>
        <v>80.7</v>
      </c>
      <c r="BE152" s="12">
        <f t="shared" si="45"/>
        <v>52.7</v>
      </c>
      <c r="BF152" s="12">
        <f t="shared" si="45"/>
        <v>39.700000000000003</v>
      </c>
      <c r="BG152" s="12">
        <f t="shared" si="45"/>
        <v>80.7</v>
      </c>
      <c r="BH152" s="12">
        <f t="shared" si="45"/>
        <v>18.600000000000001</v>
      </c>
      <c r="BI152" s="12">
        <f t="shared" si="45"/>
        <v>18</v>
      </c>
    </row>
    <row r="153" spans="1:61" ht="15.75" customHeight="1" x14ac:dyDescent="0.25">
      <c r="A153" s="1" t="s">
        <v>260</v>
      </c>
      <c r="B153" s="3" t="s">
        <v>98</v>
      </c>
      <c r="C153" s="4" t="s">
        <v>87</v>
      </c>
      <c r="D153" s="4">
        <v>3</v>
      </c>
      <c r="E153" s="4">
        <v>39</v>
      </c>
      <c r="F153" s="4">
        <v>3</v>
      </c>
      <c r="G153" s="4">
        <v>39</v>
      </c>
      <c r="H153" s="4">
        <v>14.8</v>
      </c>
      <c r="I153" s="4">
        <v>0.622</v>
      </c>
      <c r="J153" s="4">
        <v>0.71399999999999997</v>
      </c>
      <c r="K153" s="4">
        <v>0.42899999999999999</v>
      </c>
      <c r="L153" s="4">
        <v>0.85699999999999998</v>
      </c>
      <c r="M153" s="4">
        <v>10.1</v>
      </c>
      <c r="N153" s="4">
        <v>17.899999999999999</v>
      </c>
      <c r="O153" s="4">
        <v>0</v>
      </c>
      <c r="P153" s="4">
        <v>2.5</v>
      </c>
      <c r="Q153" s="4">
        <v>7.4</v>
      </c>
      <c r="R153" s="4">
        <v>23.7</v>
      </c>
      <c r="S153" s="4">
        <v>14.2</v>
      </c>
      <c r="T153" s="4">
        <v>98</v>
      </c>
      <c r="U153" s="4">
        <v>95</v>
      </c>
      <c r="V153" s="4">
        <v>0</v>
      </c>
      <c r="W153" s="4">
        <v>0</v>
      </c>
      <c r="X153" s="4">
        <v>0.1</v>
      </c>
      <c r="Y153" s="4">
        <v>0.1</v>
      </c>
      <c r="Z153" s="4">
        <v>0.121</v>
      </c>
      <c r="AA153" s="13">
        <f>(I153/TOTAL_BASIC!$D$301)*100</f>
        <v>111.43056467315715</v>
      </c>
      <c r="AB153" s="5">
        <f t="shared" si="36"/>
        <v>0.98</v>
      </c>
      <c r="AC153" s="3">
        <f t="shared" si="33"/>
        <v>3</v>
      </c>
      <c r="AD153" s="9">
        <f t="shared" si="37"/>
        <v>1.244</v>
      </c>
      <c r="AE153" s="16">
        <f t="shared" si="38"/>
        <v>0</v>
      </c>
      <c r="AF153" s="16">
        <f t="shared" si="39"/>
        <v>0</v>
      </c>
      <c r="AG153" s="9"/>
      <c r="AH153" s="9"/>
      <c r="AI153" s="12">
        <f t="shared" si="40"/>
        <v>4.9000000000000004</v>
      </c>
      <c r="AJ153" s="12">
        <f t="shared" si="40"/>
        <v>6.8000000000000007</v>
      </c>
      <c r="AK153" s="12">
        <f t="shared" si="40"/>
        <v>55.2</v>
      </c>
      <c r="AL153" s="12">
        <f t="shared" si="40"/>
        <v>74.5</v>
      </c>
      <c r="AM153" s="12">
        <f t="shared" si="35"/>
        <v>95</v>
      </c>
      <c r="AN153" s="12">
        <f t="shared" si="35"/>
        <v>57.699999999999996</v>
      </c>
      <c r="AO153" s="12">
        <f t="shared" si="35"/>
        <v>98.1</v>
      </c>
      <c r="AP153" s="12">
        <f t="shared" si="35"/>
        <v>82.6</v>
      </c>
      <c r="AQ153" s="12">
        <f t="shared" si="35"/>
        <v>91.9</v>
      </c>
      <c r="AR153" s="12">
        <f t="shared" si="35"/>
        <v>0</v>
      </c>
      <c r="AS153" s="12">
        <f t="shared" si="35"/>
        <v>75.7</v>
      </c>
      <c r="AT153" s="12">
        <f t="shared" si="35"/>
        <v>96.2</v>
      </c>
      <c r="AU153" s="12">
        <f t="shared" si="42"/>
        <v>11.200000000000003</v>
      </c>
      <c r="AV153" s="12">
        <f t="shared" si="44"/>
        <v>16.7</v>
      </c>
      <c r="AW153" s="12">
        <f t="shared" si="44"/>
        <v>27.3</v>
      </c>
      <c r="AX153" s="12">
        <f t="shared" si="43"/>
        <v>100</v>
      </c>
      <c r="AY153" s="9"/>
      <c r="AZ153" s="12">
        <f t="shared" si="45"/>
        <v>22.3</v>
      </c>
      <c r="BA153" s="12">
        <f t="shared" si="45"/>
        <v>24.2</v>
      </c>
      <c r="BB153" s="12">
        <f t="shared" si="45"/>
        <v>27.3</v>
      </c>
      <c r="BC153" s="12">
        <f t="shared" si="45"/>
        <v>60.8</v>
      </c>
      <c r="BD153" s="12">
        <f t="shared" si="45"/>
        <v>74.5</v>
      </c>
      <c r="BE153" s="12">
        <f t="shared" si="45"/>
        <v>27.3</v>
      </c>
      <c r="BF153" s="12">
        <f t="shared" si="45"/>
        <v>56.499999999999993</v>
      </c>
      <c r="BG153" s="12">
        <f t="shared" si="45"/>
        <v>74.5</v>
      </c>
      <c r="BH153" s="12">
        <f t="shared" si="45"/>
        <v>0</v>
      </c>
      <c r="BI153" s="12">
        <f t="shared" si="45"/>
        <v>0</v>
      </c>
    </row>
    <row r="154" spans="1:61" ht="15.75" customHeight="1" x14ac:dyDescent="0.25">
      <c r="A154" s="1" t="s">
        <v>261</v>
      </c>
      <c r="B154" s="3" t="s">
        <v>116</v>
      </c>
      <c r="C154" s="4" t="s">
        <v>90</v>
      </c>
      <c r="D154" s="4">
        <v>2</v>
      </c>
      <c r="E154" s="4">
        <v>38</v>
      </c>
      <c r="F154" s="4">
        <v>2</v>
      </c>
      <c r="G154" s="4">
        <v>38</v>
      </c>
      <c r="H154" s="4">
        <v>9.8000000000000007</v>
      </c>
      <c r="I154" s="4">
        <v>0.54600000000000004</v>
      </c>
      <c r="J154" s="4">
        <v>0.5</v>
      </c>
      <c r="K154" s="4">
        <v>0.16700000000000001</v>
      </c>
      <c r="L154" s="4">
        <v>0.5</v>
      </c>
      <c r="M154" s="4">
        <v>13</v>
      </c>
      <c r="N154" s="4">
        <v>11.2</v>
      </c>
      <c r="O154" s="4">
        <v>0</v>
      </c>
      <c r="P154" s="4">
        <v>1.4</v>
      </c>
      <c r="Q154" s="4">
        <v>0</v>
      </c>
      <c r="R154" s="4">
        <v>17</v>
      </c>
      <c r="S154" s="4">
        <v>21.4</v>
      </c>
      <c r="T154" s="4">
        <v>98</v>
      </c>
      <c r="U154" s="4">
        <v>110</v>
      </c>
      <c r="V154" s="4">
        <v>0</v>
      </c>
      <c r="W154" s="4">
        <v>0</v>
      </c>
      <c r="X154" s="4">
        <v>0</v>
      </c>
      <c r="Y154" s="4">
        <v>0</v>
      </c>
      <c r="Z154" s="4">
        <v>3.2000000000000001E-2</v>
      </c>
      <c r="AA154" s="13">
        <f>(I154/TOTAL_BASIC!$D$301)*100</f>
        <v>97.815254520166903</v>
      </c>
      <c r="AB154" s="5">
        <f t="shared" si="36"/>
        <v>0.98</v>
      </c>
      <c r="AC154" s="3">
        <f t="shared" si="33"/>
        <v>-12</v>
      </c>
      <c r="AD154" s="9">
        <f t="shared" si="37"/>
        <v>1.0920000000000001</v>
      </c>
      <c r="AE154" s="16">
        <f t="shared" si="38"/>
        <v>0</v>
      </c>
      <c r="AF154" s="16">
        <f t="shared" si="39"/>
        <v>0</v>
      </c>
      <c r="AG154" s="9"/>
      <c r="AH154" s="9"/>
      <c r="AI154" s="12">
        <f t="shared" si="40"/>
        <v>1.2</v>
      </c>
      <c r="AJ154" s="12">
        <f t="shared" si="40"/>
        <v>6.2</v>
      </c>
      <c r="AK154" s="12">
        <f t="shared" si="40"/>
        <v>22.3</v>
      </c>
      <c r="AL154" s="12">
        <f t="shared" si="40"/>
        <v>42.199999999999996</v>
      </c>
      <c r="AM154" s="12">
        <f t="shared" si="35"/>
        <v>40.9</v>
      </c>
      <c r="AN154" s="12">
        <f t="shared" si="35"/>
        <v>18</v>
      </c>
      <c r="AO154" s="12">
        <f t="shared" si="35"/>
        <v>80.7</v>
      </c>
      <c r="AP154" s="12">
        <f t="shared" si="35"/>
        <v>93.100000000000009</v>
      </c>
      <c r="AQ154" s="12">
        <f t="shared" si="35"/>
        <v>65.8</v>
      </c>
      <c r="AR154" s="12">
        <f t="shared" si="35"/>
        <v>0</v>
      </c>
      <c r="AS154" s="12">
        <f t="shared" si="35"/>
        <v>34.1</v>
      </c>
      <c r="AT154" s="12">
        <f t="shared" si="35"/>
        <v>0</v>
      </c>
      <c r="AU154" s="12">
        <f t="shared" si="42"/>
        <v>34.799999999999997</v>
      </c>
      <c r="AV154" s="12">
        <f t="shared" si="44"/>
        <v>67</v>
      </c>
      <c r="AW154" s="12">
        <f t="shared" si="44"/>
        <v>27.3</v>
      </c>
      <c r="AX154" s="12">
        <f t="shared" si="43"/>
        <v>41</v>
      </c>
      <c r="AY154" s="9"/>
      <c r="AZ154" s="12">
        <f t="shared" si="45"/>
        <v>22.3</v>
      </c>
      <c r="BA154" s="12">
        <f t="shared" si="45"/>
        <v>3.1</v>
      </c>
      <c r="BB154" s="12">
        <f t="shared" si="45"/>
        <v>12.4</v>
      </c>
      <c r="BC154" s="12">
        <f t="shared" si="45"/>
        <v>27.3</v>
      </c>
      <c r="BD154" s="12">
        <f t="shared" si="45"/>
        <v>42.199999999999996</v>
      </c>
      <c r="BE154" s="12">
        <f t="shared" si="45"/>
        <v>27.3</v>
      </c>
      <c r="BF154" s="12">
        <f t="shared" si="45"/>
        <v>26.700000000000003</v>
      </c>
      <c r="BG154" s="12">
        <f t="shared" si="45"/>
        <v>42.199999999999996</v>
      </c>
      <c r="BH154" s="12">
        <f t="shared" si="45"/>
        <v>0</v>
      </c>
      <c r="BI154" s="12">
        <f t="shared" si="45"/>
        <v>0</v>
      </c>
    </row>
    <row r="155" spans="1:61" ht="15.75" customHeight="1" x14ac:dyDescent="0.25">
      <c r="A155" s="1" t="s">
        <v>227</v>
      </c>
      <c r="B155" s="3" t="s">
        <v>160</v>
      </c>
      <c r="C155" s="4" t="s">
        <v>187</v>
      </c>
      <c r="D155" s="4">
        <v>4</v>
      </c>
      <c r="E155" s="4">
        <v>37</v>
      </c>
      <c r="F155" s="4">
        <v>4</v>
      </c>
      <c r="G155" s="4">
        <v>37</v>
      </c>
      <c r="H155" s="4">
        <v>9.8000000000000007</v>
      </c>
      <c r="I155" s="4">
        <v>0.72699999999999998</v>
      </c>
      <c r="J155" s="4">
        <v>0.72699999999999998</v>
      </c>
      <c r="K155" s="4">
        <v>0.81799999999999995</v>
      </c>
      <c r="L155" s="4">
        <v>0</v>
      </c>
      <c r="M155" s="4">
        <v>0</v>
      </c>
      <c r="N155" s="4">
        <v>6.9</v>
      </c>
      <c r="O155" s="4">
        <v>4.3</v>
      </c>
      <c r="P155" s="4">
        <v>1.3</v>
      </c>
      <c r="Q155" s="4">
        <v>4.7</v>
      </c>
      <c r="R155" s="4">
        <v>21.4</v>
      </c>
      <c r="S155" s="4">
        <v>16.100000000000001</v>
      </c>
      <c r="T155" s="4">
        <v>102</v>
      </c>
      <c r="U155" s="4">
        <v>103</v>
      </c>
      <c r="V155" s="4">
        <v>0</v>
      </c>
      <c r="W155" s="4">
        <v>0</v>
      </c>
      <c r="X155" s="4">
        <v>0.1</v>
      </c>
      <c r="Y155" s="4">
        <v>0.1</v>
      </c>
      <c r="Z155" s="4">
        <v>8.6999999999999994E-2</v>
      </c>
      <c r="AA155" s="13">
        <f>(I155/TOTAL_BASIC!$D$301)*100</f>
        <v>130.24119054242001</v>
      </c>
      <c r="AB155" s="5">
        <f t="shared" si="36"/>
        <v>1.02</v>
      </c>
      <c r="AC155" s="3">
        <f t="shared" si="33"/>
        <v>-1</v>
      </c>
      <c r="AD155" s="9">
        <f t="shared" si="37"/>
        <v>1.454</v>
      </c>
      <c r="AE155" s="16">
        <f t="shared" si="38"/>
        <v>0.26708074534161486</v>
      </c>
      <c r="AF155" s="16">
        <f t="shared" si="39"/>
        <v>0.20093457943925233</v>
      </c>
      <c r="AG155" s="9"/>
      <c r="AH155" s="9"/>
      <c r="AI155" s="12">
        <f t="shared" si="40"/>
        <v>10.5</v>
      </c>
      <c r="AJ155" s="12">
        <f t="shared" si="40"/>
        <v>4.9000000000000004</v>
      </c>
      <c r="AK155" s="12">
        <f t="shared" si="40"/>
        <v>22.3</v>
      </c>
      <c r="AL155" s="12">
        <f t="shared" si="40"/>
        <v>94.399999999999991</v>
      </c>
      <c r="AM155" s="12">
        <f t="shared" si="35"/>
        <v>96.8</v>
      </c>
      <c r="AN155" s="12">
        <f t="shared" si="35"/>
        <v>98.7</v>
      </c>
      <c r="AO155" s="12">
        <f t="shared" si="35"/>
        <v>0</v>
      </c>
      <c r="AP155" s="12">
        <f t="shared" si="35"/>
        <v>0</v>
      </c>
      <c r="AQ155" s="12">
        <f t="shared" si="35"/>
        <v>31</v>
      </c>
      <c r="AR155" s="12">
        <f t="shared" si="35"/>
        <v>6.8000000000000007</v>
      </c>
      <c r="AS155" s="12">
        <f t="shared" si="35"/>
        <v>28.499999999999996</v>
      </c>
      <c r="AT155" s="12">
        <f t="shared" si="35"/>
        <v>88.8</v>
      </c>
      <c r="AU155" s="12">
        <f t="shared" si="42"/>
        <v>19.899999999999991</v>
      </c>
      <c r="AV155" s="12">
        <f t="shared" si="44"/>
        <v>30.4</v>
      </c>
      <c r="AW155" s="12">
        <f t="shared" si="44"/>
        <v>36</v>
      </c>
      <c r="AX155" s="12">
        <f t="shared" si="43"/>
        <v>82</v>
      </c>
      <c r="AY155" s="9"/>
      <c r="AZ155" s="12">
        <f t="shared" si="45"/>
        <v>22.3</v>
      </c>
      <c r="BA155" s="12">
        <f t="shared" si="45"/>
        <v>24.2</v>
      </c>
      <c r="BB155" s="12">
        <f t="shared" si="45"/>
        <v>27.3</v>
      </c>
      <c r="BC155" s="12">
        <f t="shared" si="45"/>
        <v>48.4</v>
      </c>
      <c r="BD155" s="12">
        <f t="shared" si="45"/>
        <v>94.399999999999991</v>
      </c>
      <c r="BE155" s="12">
        <f t="shared" si="45"/>
        <v>36</v>
      </c>
      <c r="BF155" s="12">
        <f t="shared" si="45"/>
        <v>48.4</v>
      </c>
      <c r="BG155" s="12">
        <f t="shared" si="45"/>
        <v>94.399999999999991</v>
      </c>
      <c r="BH155" s="12">
        <f t="shared" si="45"/>
        <v>8</v>
      </c>
      <c r="BI155" s="12">
        <f t="shared" si="45"/>
        <v>5.5</v>
      </c>
    </row>
    <row r="156" spans="1:61" ht="15.75" customHeight="1" x14ac:dyDescent="0.25">
      <c r="A156" s="1" t="s">
        <v>262</v>
      </c>
      <c r="B156" s="3" t="s">
        <v>101</v>
      </c>
      <c r="C156" s="4" t="s">
        <v>90</v>
      </c>
      <c r="D156" s="4">
        <v>5</v>
      </c>
      <c r="E156" s="4">
        <v>37</v>
      </c>
      <c r="F156" s="4">
        <v>5</v>
      </c>
      <c r="G156" s="4">
        <v>37</v>
      </c>
      <c r="H156" s="4">
        <v>14.7</v>
      </c>
      <c r="I156" s="4">
        <v>0.38500000000000001</v>
      </c>
      <c r="J156" s="4">
        <v>0.16700000000000001</v>
      </c>
      <c r="K156" s="4">
        <v>0.55600000000000005</v>
      </c>
      <c r="L156" s="4">
        <v>1.333</v>
      </c>
      <c r="M156" s="4">
        <v>22.7</v>
      </c>
      <c r="N156" s="4">
        <v>23.6</v>
      </c>
      <c r="O156" s="4">
        <v>10.4</v>
      </c>
      <c r="P156" s="4">
        <v>1.4</v>
      </c>
      <c r="Q156" s="4">
        <v>0</v>
      </c>
      <c r="R156" s="4">
        <v>6.5</v>
      </c>
      <c r="S156" s="4">
        <v>18.8</v>
      </c>
      <c r="T156" s="4">
        <v>110</v>
      </c>
      <c r="U156" s="4">
        <v>109</v>
      </c>
      <c r="V156" s="4">
        <v>0</v>
      </c>
      <c r="W156" s="4">
        <v>0.1</v>
      </c>
      <c r="X156" s="4">
        <v>0</v>
      </c>
      <c r="Y156" s="4">
        <v>0.1</v>
      </c>
      <c r="Z156" s="4">
        <v>0.11</v>
      </c>
      <c r="AA156" s="13">
        <f>(I156/TOTAL_BASIC!$D$301)*100</f>
        <v>68.972294853963831</v>
      </c>
      <c r="AB156" s="5">
        <f t="shared" si="36"/>
        <v>1.1000000000000001</v>
      </c>
      <c r="AC156" s="3">
        <f t="shared" si="33"/>
        <v>1</v>
      </c>
      <c r="AD156" s="9">
        <f t="shared" si="37"/>
        <v>0.77</v>
      </c>
      <c r="AE156" s="16">
        <f t="shared" si="38"/>
        <v>0.55319148936170215</v>
      </c>
      <c r="AF156" s="16">
        <f t="shared" si="39"/>
        <v>1.6</v>
      </c>
      <c r="AG156" s="9"/>
      <c r="AH156" s="9"/>
      <c r="AI156" s="12">
        <f t="shared" si="40"/>
        <v>16.100000000000001</v>
      </c>
      <c r="AJ156" s="12">
        <f t="shared" si="40"/>
        <v>4.9000000000000004</v>
      </c>
      <c r="AK156" s="12">
        <f t="shared" si="40"/>
        <v>54</v>
      </c>
      <c r="AL156" s="12">
        <f t="shared" si="40"/>
        <v>7.3999999999999995</v>
      </c>
      <c r="AM156" s="12">
        <f t="shared" si="35"/>
        <v>0.6</v>
      </c>
      <c r="AN156" s="12">
        <f t="shared" si="35"/>
        <v>77.600000000000009</v>
      </c>
      <c r="AO156" s="12">
        <f t="shared" si="35"/>
        <v>100</v>
      </c>
      <c r="AP156" s="12">
        <f t="shared" si="35"/>
        <v>100</v>
      </c>
      <c r="AQ156" s="12">
        <f t="shared" si="35"/>
        <v>98.7</v>
      </c>
      <c r="AR156" s="12">
        <f t="shared" si="35"/>
        <v>38.5</v>
      </c>
      <c r="AS156" s="12">
        <f t="shared" si="35"/>
        <v>34.1</v>
      </c>
      <c r="AT156" s="12">
        <f t="shared" si="35"/>
        <v>0</v>
      </c>
      <c r="AU156" s="12">
        <f t="shared" si="42"/>
        <v>93.2</v>
      </c>
      <c r="AV156" s="12">
        <f t="shared" si="44"/>
        <v>54.6</v>
      </c>
      <c r="AW156" s="12">
        <f t="shared" si="44"/>
        <v>52.7</v>
      </c>
      <c r="AX156" s="12">
        <f t="shared" si="43"/>
        <v>47.3</v>
      </c>
      <c r="AY156" s="9"/>
      <c r="AZ156" s="12">
        <f t="shared" si="45"/>
        <v>40.300000000000004</v>
      </c>
      <c r="BA156" s="12">
        <f t="shared" si="45"/>
        <v>3.1</v>
      </c>
      <c r="BB156" s="12">
        <f t="shared" si="45"/>
        <v>27.3</v>
      </c>
      <c r="BC156" s="12">
        <f t="shared" si="45"/>
        <v>55.900000000000006</v>
      </c>
      <c r="BD156" s="12">
        <f t="shared" si="45"/>
        <v>7.3999999999999995</v>
      </c>
      <c r="BE156" s="12">
        <f t="shared" si="45"/>
        <v>52.7</v>
      </c>
      <c r="BF156" s="12">
        <f t="shared" si="45"/>
        <v>50.3</v>
      </c>
      <c r="BG156" s="12">
        <f t="shared" si="45"/>
        <v>7.3999999999999995</v>
      </c>
      <c r="BH156" s="12">
        <f t="shared" si="45"/>
        <v>37.200000000000003</v>
      </c>
      <c r="BI156" s="12">
        <f t="shared" si="45"/>
        <v>78.8</v>
      </c>
    </row>
    <row r="157" spans="1:61" ht="15.75" customHeight="1" x14ac:dyDescent="0.25">
      <c r="A157" s="1" t="s">
        <v>263</v>
      </c>
      <c r="B157" s="3" t="s">
        <v>93</v>
      </c>
      <c r="C157" s="4" t="s">
        <v>87</v>
      </c>
      <c r="D157" s="4">
        <v>3</v>
      </c>
      <c r="E157" s="4">
        <v>34</v>
      </c>
      <c r="F157" s="4">
        <v>3</v>
      </c>
      <c r="G157" s="4">
        <v>34</v>
      </c>
      <c r="H157" s="4">
        <v>18.399999999999999</v>
      </c>
      <c r="I157" s="4">
        <v>0.56899999999999995</v>
      </c>
      <c r="J157" s="4">
        <v>0.58299999999999996</v>
      </c>
      <c r="K157" s="4">
        <v>0.55600000000000005</v>
      </c>
      <c r="L157" s="4">
        <v>0.16700000000000001</v>
      </c>
      <c r="M157" s="4">
        <v>0</v>
      </c>
      <c r="N157" s="4">
        <v>5.0999999999999996</v>
      </c>
      <c r="O157" s="4">
        <v>29.6</v>
      </c>
      <c r="P157" s="4">
        <v>1.5</v>
      </c>
      <c r="Q157" s="4">
        <v>0</v>
      </c>
      <c r="R157" s="4">
        <v>13.4</v>
      </c>
      <c r="S157" s="4">
        <v>28.8</v>
      </c>
      <c r="T157" s="4">
        <v>105</v>
      </c>
      <c r="U157" s="4">
        <v>104</v>
      </c>
      <c r="V157" s="4">
        <v>0</v>
      </c>
      <c r="W157" s="4">
        <v>0</v>
      </c>
      <c r="X157" s="4">
        <v>0.1</v>
      </c>
      <c r="Y157" s="4">
        <v>0.1</v>
      </c>
      <c r="Z157" s="4">
        <v>0.11700000000000001</v>
      </c>
      <c r="AA157" s="13">
        <f>(I157/TOTAL_BASIC!$D$301)*100</f>
        <v>101.93567732962447</v>
      </c>
      <c r="AB157" s="5">
        <f t="shared" si="36"/>
        <v>1.05</v>
      </c>
      <c r="AC157" s="3">
        <f t="shared" si="33"/>
        <v>1</v>
      </c>
      <c r="AD157" s="9">
        <f t="shared" si="37"/>
        <v>1.1379999999999999</v>
      </c>
      <c r="AE157" s="16">
        <f t="shared" si="38"/>
        <v>1.0277777777777779</v>
      </c>
      <c r="AF157" s="16">
        <f t="shared" si="39"/>
        <v>2.2089552238805972</v>
      </c>
      <c r="AG157" s="9"/>
      <c r="AH157" s="9"/>
      <c r="AI157" s="12">
        <f t="shared" si="40"/>
        <v>4.9000000000000004</v>
      </c>
      <c r="AJ157" s="12">
        <f t="shared" si="40"/>
        <v>4.3</v>
      </c>
      <c r="AK157" s="12">
        <f t="shared" si="40"/>
        <v>74.5</v>
      </c>
      <c r="AL157" s="12">
        <f t="shared" si="40"/>
        <v>53.400000000000006</v>
      </c>
      <c r="AM157" s="12">
        <f t="shared" si="35"/>
        <v>76.3</v>
      </c>
      <c r="AN157" s="12">
        <f t="shared" si="35"/>
        <v>77.600000000000009</v>
      </c>
      <c r="AO157" s="12">
        <f t="shared" si="35"/>
        <v>21.7</v>
      </c>
      <c r="AP157" s="12">
        <f t="shared" si="35"/>
        <v>0</v>
      </c>
      <c r="AQ157" s="12">
        <f t="shared" si="35"/>
        <v>15.5</v>
      </c>
      <c r="AR157" s="12">
        <f t="shared" si="35"/>
        <v>89.4</v>
      </c>
      <c r="AS157" s="12">
        <f t="shared" si="35"/>
        <v>39.1</v>
      </c>
      <c r="AT157" s="12">
        <f t="shared" si="35"/>
        <v>0</v>
      </c>
      <c r="AU157" s="12">
        <f t="shared" si="42"/>
        <v>58.4</v>
      </c>
      <c r="AV157" s="12">
        <f t="shared" si="44"/>
        <v>93.100000000000009</v>
      </c>
      <c r="AW157" s="12">
        <f t="shared" si="44"/>
        <v>42.199999999999996</v>
      </c>
      <c r="AX157" s="12">
        <f t="shared" si="43"/>
        <v>76.400000000000006</v>
      </c>
      <c r="AY157" s="9"/>
      <c r="AZ157" s="12">
        <f t="shared" si="45"/>
        <v>22.3</v>
      </c>
      <c r="BA157" s="12">
        <f t="shared" si="45"/>
        <v>24.2</v>
      </c>
      <c r="BB157" s="12">
        <f t="shared" si="45"/>
        <v>27.3</v>
      </c>
      <c r="BC157" s="12">
        <f t="shared" si="45"/>
        <v>59</v>
      </c>
      <c r="BD157" s="12">
        <f t="shared" si="45"/>
        <v>53.400000000000006</v>
      </c>
      <c r="BE157" s="12">
        <f t="shared" si="45"/>
        <v>42.199999999999996</v>
      </c>
      <c r="BF157" s="12">
        <f t="shared" si="45"/>
        <v>50.3</v>
      </c>
      <c r="BG157" s="12">
        <f t="shared" si="45"/>
        <v>53.400000000000006</v>
      </c>
      <c r="BH157" s="12">
        <f t="shared" si="45"/>
        <v>72.599999999999994</v>
      </c>
      <c r="BI157" s="12">
        <f t="shared" si="45"/>
        <v>91.9</v>
      </c>
    </row>
    <row r="158" spans="1:61" ht="15.75" customHeight="1" x14ac:dyDescent="0.25">
      <c r="A158" s="1" t="s">
        <v>264</v>
      </c>
      <c r="B158" s="3" t="s">
        <v>86</v>
      </c>
      <c r="C158" s="4" t="s">
        <v>87</v>
      </c>
      <c r="D158" s="4">
        <v>1</v>
      </c>
      <c r="E158" s="4">
        <v>33</v>
      </c>
      <c r="F158" s="4">
        <v>1</v>
      </c>
      <c r="G158" s="4">
        <v>33</v>
      </c>
      <c r="H158" s="4">
        <v>8.8000000000000007</v>
      </c>
      <c r="I158" s="4">
        <v>1.014</v>
      </c>
      <c r="J158" s="4">
        <v>1</v>
      </c>
      <c r="K158" s="4">
        <v>0.75</v>
      </c>
      <c r="L158" s="4">
        <v>0.25</v>
      </c>
      <c r="M158" s="4">
        <v>0</v>
      </c>
      <c r="N158" s="4">
        <v>0</v>
      </c>
      <c r="O158" s="4">
        <v>4.7</v>
      </c>
      <c r="P158" s="4">
        <v>3.1</v>
      </c>
      <c r="Q158" s="4">
        <v>0</v>
      </c>
      <c r="R158" s="4">
        <v>40.299999999999997</v>
      </c>
      <c r="S158" s="4">
        <v>10.4</v>
      </c>
      <c r="T158" s="4">
        <v>99</v>
      </c>
      <c r="U158" s="4">
        <v>110</v>
      </c>
      <c r="V158" s="4">
        <v>0</v>
      </c>
      <c r="W158" s="4">
        <v>0</v>
      </c>
      <c r="X158" s="4">
        <v>0</v>
      </c>
      <c r="Y158" s="4">
        <v>0</v>
      </c>
      <c r="Z158" s="4">
        <v>3.6999999999999998E-2</v>
      </c>
      <c r="AA158" s="13">
        <f>(I158/TOTAL_BASIC!$D$301)*100</f>
        <v>181.65690125173853</v>
      </c>
      <c r="AB158" s="5">
        <f t="shared" si="36"/>
        <v>0.99</v>
      </c>
      <c r="AC158" s="3">
        <f t="shared" si="33"/>
        <v>-11</v>
      </c>
      <c r="AD158" s="9">
        <f t="shared" si="37"/>
        <v>2.028</v>
      </c>
      <c r="AE158" s="16">
        <f t="shared" si="38"/>
        <v>0.45192307692307693</v>
      </c>
      <c r="AF158" s="16">
        <f t="shared" si="39"/>
        <v>0.11662531017369729</v>
      </c>
      <c r="AG158" s="9"/>
      <c r="AH158" s="9"/>
      <c r="AI158" s="12">
        <f t="shared" si="40"/>
        <v>0</v>
      </c>
      <c r="AJ158" s="12">
        <f t="shared" si="40"/>
        <v>3.1</v>
      </c>
      <c r="AK158" s="12">
        <f t="shared" si="40"/>
        <v>19.2</v>
      </c>
      <c r="AL158" s="12">
        <f t="shared" si="40"/>
        <v>100</v>
      </c>
      <c r="AM158" s="12">
        <f t="shared" si="35"/>
        <v>100</v>
      </c>
      <c r="AN158" s="12">
        <f t="shared" si="35"/>
        <v>93.7</v>
      </c>
      <c r="AO158" s="12">
        <f t="shared" si="35"/>
        <v>36.6</v>
      </c>
      <c r="AP158" s="12">
        <f t="shared" si="35"/>
        <v>0</v>
      </c>
      <c r="AQ158" s="12">
        <f t="shared" si="35"/>
        <v>0</v>
      </c>
      <c r="AR158" s="12">
        <f t="shared" si="35"/>
        <v>8</v>
      </c>
      <c r="AS158" s="12">
        <f t="shared" si="35"/>
        <v>88.8</v>
      </c>
      <c r="AT158" s="12">
        <f t="shared" si="35"/>
        <v>0</v>
      </c>
      <c r="AU158" s="12">
        <f t="shared" si="42"/>
        <v>1.2999999999999972</v>
      </c>
      <c r="AV158" s="12">
        <f t="shared" si="44"/>
        <v>4.3</v>
      </c>
      <c r="AW158" s="12">
        <f t="shared" si="44"/>
        <v>29.799999999999997</v>
      </c>
      <c r="AX158" s="12">
        <f t="shared" si="43"/>
        <v>41</v>
      </c>
      <c r="AY158" s="9"/>
      <c r="AZ158" s="12">
        <f t="shared" si="45"/>
        <v>22.3</v>
      </c>
      <c r="BA158" s="12">
        <f t="shared" si="45"/>
        <v>3.1</v>
      </c>
      <c r="BB158" s="12">
        <f t="shared" si="45"/>
        <v>12.4</v>
      </c>
      <c r="BC158" s="12">
        <f t="shared" si="45"/>
        <v>28.499999999999996</v>
      </c>
      <c r="BD158" s="12">
        <f t="shared" si="45"/>
        <v>100</v>
      </c>
      <c r="BE158" s="12">
        <f t="shared" si="45"/>
        <v>29.799999999999997</v>
      </c>
      <c r="BF158" s="12">
        <f t="shared" si="45"/>
        <v>28.499999999999996</v>
      </c>
      <c r="BG158" s="12">
        <f t="shared" si="45"/>
        <v>100</v>
      </c>
      <c r="BH158" s="12">
        <f t="shared" si="45"/>
        <v>24.8</v>
      </c>
      <c r="BI158" s="12">
        <f t="shared" si="45"/>
        <v>3.1</v>
      </c>
    </row>
    <row r="159" spans="1:61" ht="15.75" customHeight="1" x14ac:dyDescent="0.25">
      <c r="A159" s="1" t="s">
        <v>265</v>
      </c>
      <c r="B159" s="3" t="s">
        <v>116</v>
      </c>
      <c r="C159" s="4" t="s">
        <v>8</v>
      </c>
      <c r="D159" s="4">
        <v>2</v>
      </c>
      <c r="E159" s="4">
        <v>33</v>
      </c>
      <c r="F159" s="4">
        <v>2</v>
      </c>
      <c r="G159" s="4">
        <v>33</v>
      </c>
      <c r="H159" s="4">
        <v>16.899999999999999</v>
      </c>
      <c r="I159" s="4">
        <v>0.81399999999999995</v>
      </c>
      <c r="J159" s="4">
        <v>0.8</v>
      </c>
      <c r="K159" s="4">
        <v>0.8</v>
      </c>
      <c r="L159" s="4">
        <v>0.8</v>
      </c>
      <c r="M159" s="4">
        <v>0</v>
      </c>
      <c r="N159" s="4">
        <v>5.5</v>
      </c>
      <c r="O159" s="4">
        <v>11</v>
      </c>
      <c r="P159" s="4">
        <v>3.1</v>
      </c>
      <c r="Q159" s="4">
        <v>0</v>
      </c>
      <c r="R159" s="4">
        <v>12.9</v>
      </c>
      <c r="S159" s="4">
        <v>10.8</v>
      </c>
      <c r="T159" s="4">
        <v>142</v>
      </c>
      <c r="U159" s="4">
        <v>106</v>
      </c>
      <c r="V159" s="4">
        <v>0</v>
      </c>
      <c r="W159" s="4">
        <v>0.1</v>
      </c>
      <c r="X159" s="4">
        <v>0</v>
      </c>
      <c r="Y159" s="4">
        <v>0.2</v>
      </c>
      <c r="Z159" s="4">
        <v>0.189</v>
      </c>
      <c r="AA159" s="13">
        <f>(I159/TOTAL_BASIC!$D$301)*100</f>
        <v>145.82713769123779</v>
      </c>
      <c r="AB159" s="5">
        <f t="shared" si="36"/>
        <v>1.42</v>
      </c>
      <c r="AC159" s="3">
        <f t="shared" si="33"/>
        <v>36</v>
      </c>
      <c r="AD159" s="9">
        <f t="shared" si="37"/>
        <v>1.6279999999999999</v>
      </c>
      <c r="AE159" s="16">
        <f t="shared" si="38"/>
        <v>1.0185185185185184</v>
      </c>
      <c r="AF159" s="16">
        <f t="shared" si="39"/>
        <v>0.8527131782945736</v>
      </c>
      <c r="AG159" s="9"/>
      <c r="AH159" s="9"/>
      <c r="AI159" s="12">
        <f t="shared" si="40"/>
        <v>1.2</v>
      </c>
      <c r="AJ159" s="12">
        <f t="shared" si="40"/>
        <v>3.1</v>
      </c>
      <c r="AK159" s="12">
        <f t="shared" si="40"/>
        <v>67</v>
      </c>
      <c r="AL159" s="12">
        <f t="shared" si="40"/>
        <v>99.3</v>
      </c>
      <c r="AM159" s="12">
        <f t="shared" si="35"/>
        <v>99.3</v>
      </c>
      <c r="AN159" s="12">
        <f t="shared" si="35"/>
        <v>97.5</v>
      </c>
      <c r="AO159" s="12">
        <f t="shared" si="35"/>
        <v>96.8</v>
      </c>
      <c r="AP159" s="12">
        <f t="shared" si="35"/>
        <v>0</v>
      </c>
      <c r="AQ159" s="12">
        <f t="shared" si="35"/>
        <v>20.399999999999999</v>
      </c>
      <c r="AR159" s="12">
        <f t="shared" si="35"/>
        <v>40.9</v>
      </c>
      <c r="AS159" s="12">
        <f t="shared" si="35"/>
        <v>88.8</v>
      </c>
      <c r="AT159" s="12">
        <f t="shared" si="35"/>
        <v>0</v>
      </c>
      <c r="AU159" s="12">
        <f t="shared" si="42"/>
        <v>62.8</v>
      </c>
      <c r="AV159" s="12">
        <f t="shared" si="44"/>
        <v>6.2</v>
      </c>
      <c r="AW159" s="12">
        <f t="shared" si="44"/>
        <v>99.3</v>
      </c>
      <c r="AX159" s="12">
        <f t="shared" si="43"/>
        <v>67.8</v>
      </c>
      <c r="AY159" s="9"/>
      <c r="AZ159" s="12">
        <f t="shared" si="45"/>
        <v>40.300000000000004</v>
      </c>
      <c r="BA159" s="12">
        <f t="shared" si="45"/>
        <v>3.1</v>
      </c>
      <c r="BB159" s="12">
        <f t="shared" si="45"/>
        <v>39.700000000000003</v>
      </c>
      <c r="BC159" s="12">
        <f t="shared" si="45"/>
        <v>87.5</v>
      </c>
      <c r="BD159" s="12">
        <f t="shared" si="45"/>
        <v>99.3</v>
      </c>
      <c r="BE159" s="12">
        <f t="shared" si="45"/>
        <v>99.3</v>
      </c>
      <c r="BF159" s="12">
        <f t="shared" si="45"/>
        <v>98.7</v>
      </c>
      <c r="BG159" s="12">
        <f t="shared" si="45"/>
        <v>99.3</v>
      </c>
      <c r="BH159" s="12">
        <f t="shared" si="45"/>
        <v>71.399999999999991</v>
      </c>
      <c r="BI159" s="12">
        <f t="shared" si="45"/>
        <v>46.5</v>
      </c>
    </row>
    <row r="160" spans="1:61" ht="15.75" customHeight="1" x14ac:dyDescent="0.25">
      <c r="A160" t="s">
        <v>266</v>
      </c>
      <c r="B160" s="3" t="s">
        <v>86</v>
      </c>
      <c r="C160" s="3" t="s">
        <v>87</v>
      </c>
      <c r="D160" s="3">
        <v>2</v>
      </c>
      <c r="E160" s="3">
        <v>31</v>
      </c>
      <c r="F160" s="3">
        <v>2</v>
      </c>
      <c r="G160" s="3">
        <v>31</v>
      </c>
      <c r="H160" s="3">
        <v>1</v>
      </c>
      <c r="I160" s="3">
        <v>0.55100000000000005</v>
      </c>
      <c r="J160" s="3">
        <v>0.5</v>
      </c>
      <c r="K160" s="3">
        <v>0.7</v>
      </c>
      <c r="L160" s="3">
        <v>0.2</v>
      </c>
      <c r="M160" s="3">
        <v>0</v>
      </c>
      <c r="N160" s="3">
        <v>0</v>
      </c>
      <c r="O160" s="3">
        <v>5.3</v>
      </c>
      <c r="P160" s="3">
        <v>1.7</v>
      </c>
      <c r="Q160" s="3">
        <v>0</v>
      </c>
      <c r="R160" s="3">
        <v>21.6</v>
      </c>
      <c r="S160" s="3">
        <v>20.6</v>
      </c>
      <c r="T160" s="3">
        <v>86</v>
      </c>
      <c r="U160" s="3">
        <v>113</v>
      </c>
      <c r="V160" s="3">
        <v>0</v>
      </c>
      <c r="W160" s="3">
        <v>-0.1</v>
      </c>
      <c r="X160" s="3">
        <v>0</v>
      </c>
      <c r="Y160" s="3">
        <v>0</v>
      </c>
      <c r="Z160" s="3">
        <v>-5.0999999999999997E-2</v>
      </c>
      <c r="AA160" s="13">
        <f>(I160/TOTAL_BASIC!$D$301)*100</f>
        <v>98.710998609179427</v>
      </c>
      <c r="AB160" s="5">
        <f t="shared" si="36"/>
        <v>0.86</v>
      </c>
      <c r="AC160" s="3">
        <f t="shared" si="33"/>
        <v>-27</v>
      </c>
      <c r="AD160" s="9">
        <f t="shared" si="37"/>
        <v>1.1020000000000001</v>
      </c>
      <c r="AE160" s="16">
        <f t="shared" si="38"/>
        <v>0.25728155339805825</v>
      </c>
      <c r="AF160" s="16">
        <f t="shared" si="39"/>
        <v>0.24537037037037035</v>
      </c>
      <c r="AG160" s="9"/>
      <c r="AH160" s="9"/>
      <c r="AI160" s="12">
        <f t="shared" si="40"/>
        <v>1.2</v>
      </c>
      <c r="AJ160" s="12">
        <f t="shared" si="40"/>
        <v>0.6</v>
      </c>
      <c r="AK160" s="12">
        <f t="shared" si="40"/>
        <v>3.1</v>
      </c>
      <c r="AL160" s="12">
        <f t="shared" si="40"/>
        <v>44.7</v>
      </c>
      <c r="AM160" s="12">
        <f t="shared" si="35"/>
        <v>40.9</v>
      </c>
      <c r="AN160" s="12">
        <f t="shared" si="35"/>
        <v>90</v>
      </c>
      <c r="AO160" s="12">
        <f t="shared" si="35"/>
        <v>26</v>
      </c>
      <c r="AP160" s="12">
        <f t="shared" si="35"/>
        <v>0</v>
      </c>
      <c r="AQ160" s="12">
        <f t="shared" si="35"/>
        <v>0</v>
      </c>
      <c r="AR160" s="12">
        <f t="shared" si="35"/>
        <v>10.5</v>
      </c>
      <c r="AS160" s="12">
        <f t="shared" si="35"/>
        <v>52.1</v>
      </c>
      <c r="AT160" s="12">
        <f t="shared" si="35"/>
        <v>0</v>
      </c>
      <c r="AU160" s="12">
        <f t="shared" si="42"/>
        <v>19.299999999999997</v>
      </c>
      <c r="AV160" s="12">
        <f t="shared" si="44"/>
        <v>64.5</v>
      </c>
      <c r="AW160" s="12">
        <f t="shared" si="44"/>
        <v>6.2</v>
      </c>
      <c r="AX160" s="12">
        <f t="shared" si="43"/>
        <v>23</v>
      </c>
      <c r="AY160" s="9"/>
      <c r="AZ160" s="12">
        <f t="shared" si="45"/>
        <v>14.899999999999999</v>
      </c>
      <c r="BA160" s="12">
        <f t="shared" si="45"/>
        <v>3.1</v>
      </c>
      <c r="BB160" s="12">
        <f t="shared" si="45"/>
        <v>12.4</v>
      </c>
      <c r="BC160" s="12">
        <f t="shared" si="45"/>
        <v>7.3999999999999995</v>
      </c>
      <c r="BD160" s="12">
        <f t="shared" si="45"/>
        <v>44.7</v>
      </c>
      <c r="BE160" s="12">
        <f t="shared" si="45"/>
        <v>6.2</v>
      </c>
      <c r="BF160" s="12">
        <f t="shared" si="45"/>
        <v>6.8000000000000007</v>
      </c>
      <c r="BG160" s="12">
        <f t="shared" si="45"/>
        <v>44.7</v>
      </c>
      <c r="BH160" s="12">
        <f t="shared" si="45"/>
        <v>6.8000000000000007</v>
      </c>
      <c r="BI160" s="12">
        <f t="shared" si="45"/>
        <v>7.3999999999999995</v>
      </c>
    </row>
    <row r="161" spans="1:61" ht="15.75" customHeight="1" x14ac:dyDescent="0.25">
      <c r="A161" t="s">
        <v>267</v>
      </c>
      <c r="B161" s="3" t="s">
        <v>86</v>
      </c>
      <c r="C161" s="3" t="s">
        <v>8</v>
      </c>
      <c r="D161" s="3">
        <v>1</v>
      </c>
      <c r="E161" s="3">
        <v>31</v>
      </c>
      <c r="F161" s="3">
        <v>1</v>
      </c>
      <c r="G161" s="3">
        <v>31</v>
      </c>
      <c r="H161" s="3">
        <v>7.7</v>
      </c>
      <c r="I161" s="3">
        <v>0.34599999999999997</v>
      </c>
      <c r="J161" s="3">
        <v>0.33300000000000002</v>
      </c>
      <c r="K161" s="3">
        <v>0.33300000000000002</v>
      </c>
      <c r="L161" s="3">
        <v>0.13300000000000001</v>
      </c>
      <c r="M161" s="3">
        <v>0</v>
      </c>
      <c r="N161" s="3">
        <v>10</v>
      </c>
      <c r="O161" s="3">
        <v>37.4</v>
      </c>
      <c r="P161" s="3">
        <v>0</v>
      </c>
      <c r="Q161" s="3">
        <v>0</v>
      </c>
      <c r="R161" s="3">
        <v>5.9</v>
      </c>
      <c r="S161" s="3">
        <v>25.1</v>
      </c>
      <c r="T161" s="3">
        <v>89</v>
      </c>
      <c r="U161" s="3">
        <v>111</v>
      </c>
      <c r="V161" s="3">
        <v>0</v>
      </c>
      <c r="W161" s="3">
        <v>-0.1</v>
      </c>
      <c r="X161" s="3">
        <v>0</v>
      </c>
      <c r="Y161" s="3">
        <v>0</v>
      </c>
      <c r="Z161" s="3">
        <v>-4.1000000000000002E-2</v>
      </c>
      <c r="AA161" s="13">
        <f>(I161/TOTAL_BASIC!$D$301)*100</f>
        <v>61.985490959666201</v>
      </c>
      <c r="AB161" s="5">
        <f t="shared" si="36"/>
        <v>0.89</v>
      </c>
      <c r="AC161" s="3">
        <f t="shared" si="33"/>
        <v>-22</v>
      </c>
      <c r="AD161" s="9">
        <f t="shared" si="37"/>
        <v>0.69199999999999995</v>
      </c>
      <c r="AE161" s="16">
        <f t="shared" si="38"/>
        <v>1.49003984063745</v>
      </c>
      <c r="AF161" s="16">
        <f t="shared" si="39"/>
        <v>6.3389830508474567</v>
      </c>
      <c r="AG161" s="9"/>
      <c r="AH161" s="9"/>
      <c r="AI161" s="12">
        <f t="shared" si="40"/>
        <v>0</v>
      </c>
      <c r="AJ161" s="12">
        <f t="shared" si="40"/>
        <v>0.6</v>
      </c>
      <c r="AK161" s="12">
        <f t="shared" si="40"/>
        <v>15.5</v>
      </c>
      <c r="AL161" s="12">
        <f t="shared" si="40"/>
        <v>3.6999999999999997</v>
      </c>
      <c r="AM161" s="12">
        <f t="shared" si="35"/>
        <v>5.5</v>
      </c>
      <c r="AN161" s="12">
        <f t="shared" si="35"/>
        <v>36.6</v>
      </c>
      <c r="AO161" s="12">
        <f t="shared" si="35"/>
        <v>17.299999999999997</v>
      </c>
      <c r="AP161" s="12">
        <f t="shared" si="35"/>
        <v>0</v>
      </c>
      <c r="AQ161" s="12">
        <f t="shared" si="35"/>
        <v>59.599999999999994</v>
      </c>
      <c r="AR161" s="12">
        <f t="shared" si="35"/>
        <v>96.2</v>
      </c>
      <c r="AS161" s="12">
        <f t="shared" si="35"/>
        <v>0</v>
      </c>
      <c r="AT161" s="12">
        <f t="shared" si="35"/>
        <v>0</v>
      </c>
      <c r="AU161" s="12">
        <f t="shared" si="42"/>
        <v>93.8</v>
      </c>
      <c r="AV161" s="12">
        <f t="shared" si="44"/>
        <v>83.2</v>
      </c>
      <c r="AW161" s="12">
        <f t="shared" si="44"/>
        <v>12.4</v>
      </c>
      <c r="AX161" s="12">
        <f t="shared" si="43"/>
        <v>33.599999999999994</v>
      </c>
      <c r="AY161" s="9"/>
      <c r="AZ161" s="12">
        <f t="shared" si="45"/>
        <v>14.899999999999999</v>
      </c>
      <c r="BA161" s="12">
        <f t="shared" si="45"/>
        <v>3.1</v>
      </c>
      <c r="BB161" s="12">
        <f t="shared" si="45"/>
        <v>12.4</v>
      </c>
      <c r="BC161" s="12">
        <f t="shared" si="45"/>
        <v>9.3000000000000007</v>
      </c>
      <c r="BD161" s="12">
        <f t="shared" si="45"/>
        <v>3.6999999999999997</v>
      </c>
      <c r="BE161" s="12">
        <f t="shared" si="45"/>
        <v>12.4</v>
      </c>
      <c r="BF161" s="12">
        <f t="shared" si="45"/>
        <v>12.4</v>
      </c>
      <c r="BG161" s="12">
        <f t="shared" si="45"/>
        <v>3.6999999999999997</v>
      </c>
      <c r="BH161" s="12">
        <f t="shared" si="45"/>
        <v>88.8</v>
      </c>
      <c r="BI161" s="12">
        <f t="shared" si="45"/>
        <v>100</v>
      </c>
    </row>
    <row r="162" spans="1:61" ht="15.75" customHeight="1" x14ac:dyDescent="0.25">
      <c r="A162" t="s">
        <v>268</v>
      </c>
      <c r="B162" s="3" t="s">
        <v>139</v>
      </c>
      <c r="C162" s="3" t="s">
        <v>8</v>
      </c>
      <c r="D162" s="3">
        <v>4</v>
      </c>
      <c r="E162" s="3">
        <v>31</v>
      </c>
      <c r="F162" s="3">
        <v>4</v>
      </c>
      <c r="G162" s="3">
        <v>31</v>
      </c>
      <c r="H162" s="3">
        <v>9.8000000000000007</v>
      </c>
      <c r="I162" s="3">
        <v>0.61099999999999999</v>
      </c>
      <c r="J162" s="3">
        <v>0.61099999999999999</v>
      </c>
      <c r="K162" s="3">
        <v>0.77800000000000002</v>
      </c>
      <c r="L162" s="3">
        <v>0</v>
      </c>
      <c r="M162" s="3">
        <v>0</v>
      </c>
      <c r="N162" s="3">
        <v>2.2000000000000002</v>
      </c>
      <c r="O162" s="3">
        <v>4.7</v>
      </c>
      <c r="P162" s="3">
        <v>1.6</v>
      </c>
      <c r="Q162" s="3">
        <v>0</v>
      </c>
      <c r="R162" s="3">
        <v>10</v>
      </c>
      <c r="S162" s="3">
        <v>14.2</v>
      </c>
      <c r="T162" s="3">
        <v>110</v>
      </c>
      <c r="U162" s="3">
        <v>124</v>
      </c>
      <c r="V162" s="3">
        <v>0</v>
      </c>
      <c r="W162" s="3">
        <v>0</v>
      </c>
      <c r="X162" s="3">
        <v>0</v>
      </c>
      <c r="Y162" s="3">
        <v>0</v>
      </c>
      <c r="Z162" s="3">
        <v>-1E-3</v>
      </c>
      <c r="AA162" s="13">
        <f>(I162/TOTAL_BASIC!$D$301)*100</f>
        <v>109.45992767732962</v>
      </c>
      <c r="AB162" s="5">
        <f t="shared" si="36"/>
        <v>1.1000000000000001</v>
      </c>
      <c r="AC162" s="3">
        <f t="shared" si="33"/>
        <v>-14</v>
      </c>
      <c r="AD162" s="9">
        <f t="shared" si="37"/>
        <v>1.222</v>
      </c>
      <c r="AE162" s="16">
        <f t="shared" si="38"/>
        <v>0.33098591549295775</v>
      </c>
      <c r="AF162" s="16">
        <f t="shared" si="39"/>
        <v>0.47000000000000003</v>
      </c>
      <c r="AG162" s="9"/>
      <c r="AH162" s="9"/>
      <c r="AI162" s="12">
        <f t="shared" si="40"/>
        <v>10.5</v>
      </c>
      <c r="AJ162" s="12">
        <f t="shared" si="40"/>
        <v>0.6</v>
      </c>
      <c r="AK162" s="12">
        <f t="shared" si="40"/>
        <v>22.3</v>
      </c>
      <c r="AL162" s="12">
        <f t="shared" si="40"/>
        <v>70.8</v>
      </c>
      <c r="AM162" s="12">
        <f t="shared" si="35"/>
        <v>80.7</v>
      </c>
      <c r="AN162" s="12">
        <f t="shared" si="35"/>
        <v>96.2</v>
      </c>
      <c r="AO162" s="12">
        <f t="shared" si="35"/>
        <v>0</v>
      </c>
      <c r="AP162" s="12">
        <f t="shared" si="35"/>
        <v>0</v>
      </c>
      <c r="AQ162" s="12">
        <f t="shared" si="35"/>
        <v>4.3</v>
      </c>
      <c r="AR162" s="12">
        <f t="shared" si="35"/>
        <v>8</v>
      </c>
      <c r="AS162" s="12">
        <f t="shared" si="35"/>
        <v>45.300000000000004</v>
      </c>
      <c r="AT162" s="12">
        <f t="shared" si="35"/>
        <v>0</v>
      </c>
      <c r="AU162" s="12">
        <f t="shared" si="42"/>
        <v>80.8</v>
      </c>
      <c r="AV162" s="12">
        <f t="shared" si="44"/>
        <v>16.7</v>
      </c>
      <c r="AW162" s="12">
        <f t="shared" si="44"/>
        <v>52.7</v>
      </c>
      <c r="AX162" s="12">
        <f t="shared" si="43"/>
        <v>0.70000000000000284</v>
      </c>
      <c r="AY162" s="9"/>
      <c r="AZ162" s="12">
        <f t="shared" si="45"/>
        <v>22.3</v>
      </c>
      <c r="BA162" s="12">
        <f t="shared" si="45"/>
        <v>3.1</v>
      </c>
      <c r="BB162" s="12">
        <f t="shared" si="45"/>
        <v>12.4</v>
      </c>
      <c r="BC162" s="12">
        <f t="shared" si="45"/>
        <v>19.8</v>
      </c>
      <c r="BD162" s="12">
        <f t="shared" si="45"/>
        <v>70.8</v>
      </c>
      <c r="BE162" s="12">
        <f t="shared" si="45"/>
        <v>52.7</v>
      </c>
      <c r="BF162" s="12">
        <f t="shared" si="45"/>
        <v>24.2</v>
      </c>
      <c r="BG162" s="12">
        <f t="shared" si="45"/>
        <v>70.8</v>
      </c>
      <c r="BH162" s="12">
        <f t="shared" si="45"/>
        <v>11.1</v>
      </c>
      <c r="BI162" s="12">
        <f t="shared" si="45"/>
        <v>19.8</v>
      </c>
    </row>
    <row r="163" spans="1:61" ht="15.75" customHeight="1" x14ac:dyDescent="0.25">
      <c r="A163" t="s">
        <v>269</v>
      </c>
      <c r="B163" s="3" t="s">
        <v>133</v>
      </c>
      <c r="C163" s="3" t="s">
        <v>121</v>
      </c>
      <c r="D163" s="3">
        <v>2</v>
      </c>
      <c r="E163" s="3">
        <v>31</v>
      </c>
      <c r="F163" s="3">
        <v>2</v>
      </c>
      <c r="G163" s="3">
        <v>31</v>
      </c>
      <c r="H163" s="3">
        <v>13.3</v>
      </c>
      <c r="I163" s="3">
        <v>0.437</v>
      </c>
      <c r="J163" s="3">
        <v>0.38200000000000001</v>
      </c>
      <c r="K163" s="3">
        <v>0.41199999999999998</v>
      </c>
      <c r="L163" s="3">
        <v>0.17599999999999999</v>
      </c>
      <c r="M163" s="3">
        <v>0</v>
      </c>
      <c r="N163" s="3">
        <v>5.4</v>
      </c>
      <c r="O163" s="3">
        <v>23.5</v>
      </c>
      <c r="P163" s="3">
        <v>3.2</v>
      </c>
      <c r="Q163" s="3">
        <v>2.7</v>
      </c>
      <c r="R163" s="3">
        <v>9.8000000000000007</v>
      </c>
      <c r="S163" s="3">
        <v>28.6</v>
      </c>
      <c r="T163" s="3">
        <v>89</v>
      </c>
      <c r="U163" s="3">
        <v>106</v>
      </c>
      <c r="V163" s="3">
        <v>0</v>
      </c>
      <c r="W163" s="3">
        <v>-0.1</v>
      </c>
      <c r="X163" s="3">
        <v>0</v>
      </c>
      <c r="Y163" s="3">
        <v>0</v>
      </c>
      <c r="Z163" s="3">
        <v>-2.1000000000000001E-2</v>
      </c>
      <c r="AA163" s="13">
        <f>(I163/TOTAL_BASIC!$D$301)*100</f>
        <v>78.288033379694028</v>
      </c>
      <c r="AB163" s="5">
        <f t="shared" si="36"/>
        <v>0.89</v>
      </c>
      <c r="AC163" s="3">
        <f t="shared" si="33"/>
        <v>-17</v>
      </c>
      <c r="AD163" s="9">
        <f t="shared" si="37"/>
        <v>0.874</v>
      </c>
      <c r="AE163" s="16">
        <f t="shared" si="38"/>
        <v>0.82167832167832167</v>
      </c>
      <c r="AF163" s="16">
        <f t="shared" si="39"/>
        <v>2.3979591836734691</v>
      </c>
      <c r="AG163" s="9"/>
      <c r="AH163" s="9"/>
      <c r="AI163" s="12">
        <f t="shared" si="40"/>
        <v>1.2</v>
      </c>
      <c r="AJ163" s="12">
        <f t="shared" si="40"/>
        <v>0.6</v>
      </c>
      <c r="AK163" s="12">
        <f t="shared" si="40"/>
        <v>42.8</v>
      </c>
      <c r="AL163" s="12">
        <f t="shared" si="40"/>
        <v>13.600000000000001</v>
      </c>
      <c r="AM163" s="12">
        <f t="shared" si="35"/>
        <v>11.799999999999999</v>
      </c>
      <c r="AN163" s="12">
        <f t="shared" si="35"/>
        <v>55.2</v>
      </c>
      <c r="AO163" s="12">
        <f t="shared" si="35"/>
        <v>22.900000000000002</v>
      </c>
      <c r="AP163" s="12">
        <f t="shared" si="35"/>
        <v>0</v>
      </c>
      <c r="AQ163" s="12">
        <f t="shared" si="35"/>
        <v>19.2</v>
      </c>
      <c r="AR163" s="12">
        <f t="shared" si="35"/>
        <v>80.7</v>
      </c>
      <c r="AS163" s="12">
        <f t="shared" si="35"/>
        <v>91.3</v>
      </c>
      <c r="AT163" s="12">
        <f t="shared" si="35"/>
        <v>71.399999999999991</v>
      </c>
      <c r="AU163" s="12">
        <f t="shared" si="42"/>
        <v>82</v>
      </c>
      <c r="AV163" s="12">
        <f t="shared" si="44"/>
        <v>91.3</v>
      </c>
      <c r="AW163" s="12">
        <f t="shared" si="44"/>
        <v>12.4</v>
      </c>
      <c r="AX163" s="12">
        <f t="shared" si="43"/>
        <v>67.8</v>
      </c>
      <c r="AY163" s="9"/>
      <c r="AZ163" s="12">
        <f t="shared" si="45"/>
        <v>14.899999999999999</v>
      </c>
      <c r="BA163" s="12">
        <f t="shared" si="45"/>
        <v>3.1</v>
      </c>
      <c r="BB163" s="12">
        <f t="shared" si="45"/>
        <v>12.4</v>
      </c>
      <c r="BC163" s="12">
        <f t="shared" si="45"/>
        <v>13.600000000000001</v>
      </c>
      <c r="BD163" s="12">
        <f t="shared" si="45"/>
        <v>13.600000000000001</v>
      </c>
      <c r="BE163" s="12">
        <f t="shared" si="45"/>
        <v>12.4</v>
      </c>
      <c r="BF163" s="12">
        <f t="shared" si="45"/>
        <v>20.399999999999999</v>
      </c>
      <c r="BG163" s="12">
        <f t="shared" si="45"/>
        <v>13.600000000000001</v>
      </c>
      <c r="BH163" s="12">
        <f t="shared" si="45"/>
        <v>61.4</v>
      </c>
      <c r="BI163" s="12">
        <f t="shared" si="45"/>
        <v>94.399999999999991</v>
      </c>
    </row>
    <row r="164" spans="1:61" ht="15.75" customHeight="1" x14ac:dyDescent="0.25">
      <c r="A164" t="s">
        <v>217</v>
      </c>
      <c r="B164" s="3" t="s">
        <v>244</v>
      </c>
      <c r="C164" s="3" t="s">
        <v>8</v>
      </c>
      <c r="D164" s="3">
        <v>2</v>
      </c>
      <c r="E164" s="3">
        <v>30</v>
      </c>
      <c r="F164" s="3">
        <v>2</v>
      </c>
      <c r="G164" s="3">
        <v>30</v>
      </c>
      <c r="H164" s="3">
        <v>14.9</v>
      </c>
      <c r="I164" s="3">
        <v>0.71799999999999997</v>
      </c>
      <c r="J164" s="3">
        <v>0.7</v>
      </c>
      <c r="K164" s="3">
        <v>0.7</v>
      </c>
      <c r="L164" s="3">
        <v>0.1</v>
      </c>
      <c r="M164" s="3">
        <v>0</v>
      </c>
      <c r="N164" s="3">
        <v>0</v>
      </c>
      <c r="O164" s="3">
        <v>34.700000000000003</v>
      </c>
      <c r="P164" s="3">
        <v>0</v>
      </c>
      <c r="Q164" s="3">
        <v>0</v>
      </c>
      <c r="R164" s="3">
        <v>27.7</v>
      </c>
      <c r="S164" s="3">
        <v>21.8</v>
      </c>
      <c r="T164" s="3">
        <v>112</v>
      </c>
      <c r="U164" s="3">
        <v>120</v>
      </c>
      <c r="V164" s="3">
        <v>0</v>
      </c>
      <c r="W164" s="3">
        <v>0.1</v>
      </c>
      <c r="X164" s="3">
        <v>0</v>
      </c>
      <c r="Y164" s="3">
        <v>0.1</v>
      </c>
      <c r="Z164" s="3">
        <v>7.0000000000000007E-2</v>
      </c>
      <c r="AA164" s="13">
        <f>(I164/TOTAL_BASIC!$D$301)*100</f>
        <v>128.62885118219748</v>
      </c>
      <c r="AB164" s="5">
        <f t="shared" si="36"/>
        <v>1.1200000000000001</v>
      </c>
      <c r="AC164" s="3">
        <f t="shared" si="33"/>
        <v>-8</v>
      </c>
      <c r="AD164" s="9">
        <f t="shared" si="37"/>
        <v>1.4359999999999999</v>
      </c>
      <c r="AE164" s="16">
        <f t="shared" si="38"/>
        <v>1.5917431192660552</v>
      </c>
      <c r="AF164" s="16">
        <f t="shared" si="39"/>
        <v>1.2527075812274369</v>
      </c>
      <c r="AG164" s="9"/>
      <c r="AH164" s="9"/>
      <c r="AI164" s="12">
        <f t="shared" si="40"/>
        <v>1.2</v>
      </c>
      <c r="AJ164" s="12">
        <f t="shared" si="40"/>
        <v>0</v>
      </c>
      <c r="AK164" s="12">
        <f t="shared" si="40"/>
        <v>55.900000000000006</v>
      </c>
      <c r="AL164" s="12">
        <f t="shared" si="40"/>
        <v>93.7</v>
      </c>
      <c r="AM164" s="12">
        <f t="shared" si="35"/>
        <v>93.100000000000009</v>
      </c>
      <c r="AN164" s="12">
        <f t="shared" si="35"/>
        <v>90</v>
      </c>
      <c r="AO164" s="12">
        <f t="shared" si="35"/>
        <v>11.799999999999999</v>
      </c>
      <c r="AP164" s="12">
        <f t="shared" si="35"/>
        <v>0</v>
      </c>
      <c r="AQ164" s="12">
        <f t="shared" si="35"/>
        <v>0</v>
      </c>
      <c r="AR164" s="12">
        <f t="shared" si="35"/>
        <v>94.399999999999991</v>
      </c>
      <c r="AS164" s="12">
        <f t="shared" si="35"/>
        <v>0</v>
      </c>
      <c r="AT164" s="12">
        <f t="shared" si="35"/>
        <v>0</v>
      </c>
      <c r="AU164" s="12">
        <f t="shared" si="42"/>
        <v>5</v>
      </c>
      <c r="AV164" s="12">
        <f t="shared" si="44"/>
        <v>68.899999999999991</v>
      </c>
      <c r="AW164" s="12">
        <f t="shared" si="44"/>
        <v>63.3</v>
      </c>
      <c r="AX164" s="12">
        <f t="shared" si="43"/>
        <v>3.2000000000000028</v>
      </c>
      <c r="AY164" s="9"/>
      <c r="AZ164" s="12">
        <f t="shared" si="45"/>
        <v>40.300000000000004</v>
      </c>
      <c r="BA164" s="12">
        <f t="shared" si="45"/>
        <v>3.1</v>
      </c>
      <c r="BB164" s="12">
        <f t="shared" si="45"/>
        <v>27.3</v>
      </c>
      <c r="BC164" s="12">
        <f t="shared" si="45"/>
        <v>41.6</v>
      </c>
      <c r="BD164" s="12">
        <f t="shared" si="45"/>
        <v>93.7</v>
      </c>
      <c r="BE164" s="12">
        <f t="shared" si="45"/>
        <v>63.3</v>
      </c>
      <c r="BF164" s="12">
        <f t="shared" si="45"/>
        <v>34.1</v>
      </c>
      <c r="BG164" s="12">
        <f t="shared" si="45"/>
        <v>93.7</v>
      </c>
      <c r="BH164" s="12">
        <f t="shared" si="45"/>
        <v>91.3</v>
      </c>
      <c r="BI164" s="12">
        <f t="shared" si="45"/>
        <v>64.5</v>
      </c>
    </row>
    <row r="165" spans="1:61" ht="15.75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13"/>
      <c r="AB165" s="5"/>
      <c r="AC165" s="3"/>
      <c r="AD165" s="9"/>
      <c r="AE165" s="16"/>
      <c r="AF165" s="16"/>
      <c r="AG165" s="9"/>
      <c r="AH165" s="9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9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spans="1:61" ht="15.75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13"/>
      <c r="AB166" s="5"/>
      <c r="AC166" s="3"/>
      <c r="AD166" s="9"/>
      <c r="AE166" s="16"/>
      <c r="AF166" s="16"/>
      <c r="AG166" s="9"/>
      <c r="AH166" s="9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9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spans="1:61" ht="15.75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13"/>
      <c r="AB167" s="5"/>
      <c r="AC167" s="3"/>
      <c r="AD167" s="9"/>
      <c r="AE167" s="16"/>
      <c r="AF167" s="16"/>
      <c r="AG167" s="9"/>
      <c r="AH167" s="9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9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spans="1:61" ht="15.75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13"/>
      <c r="AB168" s="5"/>
      <c r="AC168" s="3"/>
      <c r="AD168" s="9"/>
      <c r="AE168" s="16"/>
      <c r="AF168" s="16"/>
      <c r="AG168" s="9"/>
      <c r="AH168" s="9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9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spans="1:61" ht="15.75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13"/>
      <c r="AB169" s="5"/>
      <c r="AC169" s="3"/>
      <c r="AD169" s="9"/>
      <c r="AE169" s="16"/>
      <c r="AF169" s="16"/>
      <c r="AG169" s="9"/>
      <c r="AH169" s="9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9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spans="1:61" ht="15.75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13"/>
      <c r="AB170" s="5"/>
      <c r="AC170" s="3"/>
      <c r="AD170" s="9"/>
      <c r="AE170" s="16"/>
      <c r="AF170" s="16"/>
      <c r="AG170" s="9"/>
      <c r="AH170" s="9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9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spans="1:61" ht="15.75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13"/>
      <c r="AB171" s="5"/>
      <c r="AC171" s="3"/>
      <c r="AD171" s="9"/>
      <c r="AE171" s="16"/>
      <c r="AF171" s="16"/>
      <c r="AG171" s="9"/>
      <c r="AH171" s="9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9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spans="1:61" ht="15.75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13"/>
      <c r="AB172" s="5"/>
      <c r="AC172" s="3"/>
      <c r="AD172" s="9"/>
      <c r="AE172" s="16"/>
      <c r="AF172" s="16"/>
      <c r="AG172" s="9"/>
      <c r="AH172" s="9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9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spans="1:61" ht="15.75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13"/>
      <c r="AB173" s="5"/>
      <c r="AC173" s="3"/>
      <c r="AD173" s="9"/>
      <c r="AE173" s="16"/>
      <c r="AF173" s="16"/>
      <c r="AG173" s="9"/>
      <c r="AH173" s="9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9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spans="1:61" ht="15.75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13"/>
      <c r="AB174" s="5"/>
      <c r="AC174" s="3"/>
      <c r="AD174" s="9"/>
      <c r="AE174" s="16"/>
      <c r="AF174" s="16"/>
      <c r="AG174" s="9"/>
      <c r="AH174" s="9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9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spans="1:61" ht="15.75" customHeight="1" x14ac:dyDescent="0.25"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13"/>
      <c r="AB175" s="5"/>
      <c r="AC175" s="3"/>
      <c r="AD175" s="9"/>
      <c r="AE175" s="16"/>
      <c r="AF175" s="16"/>
      <c r="AG175" s="9"/>
      <c r="AH175" s="9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9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spans="1:61" ht="15.75" customHeight="1" x14ac:dyDescent="0.25"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13"/>
      <c r="AB176" s="5"/>
      <c r="AC176" s="3"/>
      <c r="AD176" s="9"/>
      <c r="AE176" s="16"/>
      <c r="AF176" s="16"/>
      <c r="AG176" s="9"/>
      <c r="AH176" s="9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9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spans="2:61" ht="15.75" customHeight="1" x14ac:dyDescent="0.25"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13"/>
      <c r="AB177" s="5"/>
      <c r="AC177" s="3"/>
      <c r="AD177" s="9"/>
      <c r="AE177" s="16"/>
      <c r="AF177" s="16"/>
      <c r="AG177" s="9"/>
      <c r="AH177" s="9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9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spans="2:61" ht="15.75" customHeight="1" x14ac:dyDescent="0.25"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13"/>
      <c r="AB178" s="5"/>
      <c r="AC178" s="3"/>
      <c r="AD178" s="9"/>
      <c r="AE178" s="16"/>
      <c r="AF178" s="16"/>
      <c r="AG178" s="9"/>
      <c r="AH178" s="9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9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spans="2:61" ht="15.75" customHeight="1" x14ac:dyDescent="0.25"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13"/>
      <c r="AB179" s="5"/>
      <c r="AC179" s="3"/>
      <c r="AD179" s="9"/>
      <c r="AE179" s="16"/>
      <c r="AF179" s="16"/>
      <c r="AG179" s="9"/>
      <c r="AH179" s="9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9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spans="2:61" ht="15.75" customHeight="1" x14ac:dyDescent="0.25"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13"/>
      <c r="AB180" s="5"/>
      <c r="AC180" s="3"/>
      <c r="AD180" s="9"/>
      <c r="AE180" s="16"/>
      <c r="AF180" s="16"/>
      <c r="AG180" s="9"/>
      <c r="AH180" s="9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9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spans="2:61" ht="15.75" customHeight="1" x14ac:dyDescent="0.25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/>
      <c r="AB181" s="5"/>
      <c r="AC181" s="3"/>
      <c r="AD181" s="9"/>
      <c r="AE181" s="16"/>
      <c r="AF181" s="16"/>
      <c r="AG181" s="9"/>
      <c r="AH181" s="9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9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spans="2:61" ht="15.75" customHeight="1" x14ac:dyDescent="0.25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/>
      <c r="AB182" s="5"/>
      <c r="AC182" s="3"/>
      <c r="AD182" s="9"/>
      <c r="AE182" s="16"/>
      <c r="AF182" s="16"/>
      <c r="AG182" s="9"/>
      <c r="AH182" s="9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9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spans="2:61" ht="15.75" customHeight="1" x14ac:dyDescent="0.25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5"/>
      <c r="AC183" s="3"/>
      <c r="AD183" s="9"/>
      <c r="AE183" s="16"/>
      <c r="AF183" s="16"/>
      <c r="AG183" s="9"/>
      <c r="AH183" s="9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9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spans="2:61" ht="15.75" customHeight="1" x14ac:dyDescent="0.25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5"/>
      <c r="AC184" s="3"/>
      <c r="AD184" s="9"/>
      <c r="AE184" s="16"/>
      <c r="AF184" s="16"/>
      <c r="AG184" s="9"/>
      <c r="AH184" s="9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9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spans="2:61" ht="15.75" customHeight="1" x14ac:dyDescent="0.25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2:61" ht="15.75" customHeight="1" x14ac:dyDescent="0.25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2:61" ht="15.75" customHeight="1" x14ac:dyDescent="0.25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2:61" ht="15.75" customHeight="1" x14ac:dyDescent="0.25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2:61" ht="15.75" customHeight="1" x14ac:dyDescent="0.25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2:61" ht="15.75" customHeight="1" x14ac:dyDescent="0.25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2:61" ht="15.75" customHeight="1" x14ac:dyDescent="0.25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2:61" ht="15.75" customHeight="1" x14ac:dyDescent="0.25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 x14ac:dyDescent="0.25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 x14ac:dyDescent="0.25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 x14ac:dyDescent="0.25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 x14ac:dyDescent="0.25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 x14ac:dyDescent="0.25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 x14ac:dyDescent="0.25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 x14ac:dyDescent="0.25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 x14ac:dyDescent="0.25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 x14ac:dyDescent="0.25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 x14ac:dyDescent="0.25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 x14ac:dyDescent="0.25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 x14ac:dyDescent="0.25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 x14ac:dyDescent="0.25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 x14ac:dyDescent="0.25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 x14ac:dyDescent="0.25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 x14ac:dyDescent="0.25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 x14ac:dyDescent="0.25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 x14ac:dyDescent="0.25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 x14ac:dyDescent="0.25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 x14ac:dyDescent="0.25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 x14ac:dyDescent="0.25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 x14ac:dyDescent="0.25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 x14ac:dyDescent="0.25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 x14ac:dyDescent="0.25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 x14ac:dyDescent="0.25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 x14ac:dyDescent="0.25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 x14ac:dyDescent="0.25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 x14ac:dyDescent="0.25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 x14ac:dyDescent="0.25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 x14ac:dyDescent="0.25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 x14ac:dyDescent="0.25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 x14ac:dyDescent="0.25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 x14ac:dyDescent="0.25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 x14ac:dyDescent="0.25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 x14ac:dyDescent="0.25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 x14ac:dyDescent="0.25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 x14ac:dyDescent="0.25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 x14ac:dyDescent="0.25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 x14ac:dyDescent="0.25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 x14ac:dyDescent="0.25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 x14ac:dyDescent="0.25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 x14ac:dyDescent="0.25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 x14ac:dyDescent="0.25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 x14ac:dyDescent="0.25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 x14ac:dyDescent="0.25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 x14ac:dyDescent="0.25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 x14ac:dyDescent="0.25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 x14ac:dyDescent="0.25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 x14ac:dyDescent="0.25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 x14ac:dyDescent="0.25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 x14ac:dyDescent="0.25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 x14ac:dyDescent="0.25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 x14ac:dyDescent="0.25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 x14ac:dyDescent="0.25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 x14ac:dyDescent="0.25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 x14ac:dyDescent="0.25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 x14ac:dyDescent="0.25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 x14ac:dyDescent="0.25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 x14ac:dyDescent="0.25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 x14ac:dyDescent="0.25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 x14ac:dyDescent="0.25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 x14ac:dyDescent="0.25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 x14ac:dyDescent="0.25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 x14ac:dyDescent="0.25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 x14ac:dyDescent="0.25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 x14ac:dyDescent="0.25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 x14ac:dyDescent="0.25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 x14ac:dyDescent="0.25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 x14ac:dyDescent="0.25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 x14ac:dyDescent="0.25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 x14ac:dyDescent="0.25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 x14ac:dyDescent="0.25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 x14ac:dyDescent="0.25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 x14ac:dyDescent="0.25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 x14ac:dyDescent="0.25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 x14ac:dyDescent="0.25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 x14ac:dyDescent="0.25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 x14ac:dyDescent="0.25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 x14ac:dyDescent="0.25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 x14ac:dyDescent="0.25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 x14ac:dyDescent="0.25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 x14ac:dyDescent="0.25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 x14ac:dyDescent="0.25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 x14ac:dyDescent="0.25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 x14ac:dyDescent="0.25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 x14ac:dyDescent="0.25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 x14ac:dyDescent="0.25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 x14ac:dyDescent="0.25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 x14ac:dyDescent="0.25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 x14ac:dyDescent="0.25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 x14ac:dyDescent="0.25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 x14ac:dyDescent="0.25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 x14ac:dyDescent="0.25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 x14ac:dyDescent="0.25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 x14ac:dyDescent="0.25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 x14ac:dyDescent="0.25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 x14ac:dyDescent="0.25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 x14ac:dyDescent="0.25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 x14ac:dyDescent="0.25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 x14ac:dyDescent="0.25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 x14ac:dyDescent="0.25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 x14ac:dyDescent="0.25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 x14ac:dyDescent="0.25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 x14ac:dyDescent="0.25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 x14ac:dyDescent="0.25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 x14ac:dyDescent="0.25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 x14ac:dyDescent="0.25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 x14ac:dyDescent="0.25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 x14ac:dyDescent="0.25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 x14ac:dyDescent="0.25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 x14ac:dyDescent="0.25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 x14ac:dyDescent="0.25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 x14ac:dyDescent="0.25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 x14ac:dyDescent="0.25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 x14ac:dyDescent="0.25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 x14ac:dyDescent="0.25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 x14ac:dyDescent="0.25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 x14ac:dyDescent="0.25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 x14ac:dyDescent="0.25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 x14ac:dyDescent="0.25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 x14ac:dyDescent="0.25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 x14ac:dyDescent="0.25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 x14ac:dyDescent="0.25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 x14ac:dyDescent="0.25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 x14ac:dyDescent="0.25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 x14ac:dyDescent="0.25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 x14ac:dyDescent="0.25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 x14ac:dyDescent="0.25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 x14ac:dyDescent="0.25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 x14ac:dyDescent="0.25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 x14ac:dyDescent="0.25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 x14ac:dyDescent="0.25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 x14ac:dyDescent="0.25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 x14ac:dyDescent="0.25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 x14ac:dyDescent="0.25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 x14ac:dyDescent="0.25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 x14ac:dyDescent="0.25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 x14ac:dyDescent="0.25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 x14ac:dyDescent="0.25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 x14ac:dyDescent="0.25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 x14ac:dyDescent="0.25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 x14ac:dyDescent="0.25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 x14ac:dyDescent="0.25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 x14ac:dyDescent="0.25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 x14ac:dyDescent="0.25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 x14ac:dyDescent="0.25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 x14ac:dyDescent="0.25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 x14ac:dyDescent="0.25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 x14ac:dyDescent="0.25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 x14ac:dyDescent="0.25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 x14ac:dyDescent="0.25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 x14ac:dyDescent="0.25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 x14ac:dyDescent="0.25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 x14ac:dyDescent="0.25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 x14ac:dyDescent="0.25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 x14ac:dyDescent="0.25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 x14ac:dyDescent="0.25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 x14ac:dyDescent="0.25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 x14ac:dyDescent="0.25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 x14ac:dyDescent="0.25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 x14ac:dyDescent="0.25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 x14ac:dyDescent="0.25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 x14ac:dyDescent="0.25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 x14ac:dyDescent="0.25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 x14ac:dyDescent="0.25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 x14ac:dyDescent="0.25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 x14ac:dyDescent="0.25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 x14ac:dyDescent="0.25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 x14ac:dyDescent="0.25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 x14ac:dyDescent="0.25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 x14ac:dyDescent="0.25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 x14ac:dyDescent="0.25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 x14ac:dyDescent="0.25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 x14ac:dyDescent="0.25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 x14ac:dyDescent="0.25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 x14ac:dyDescent="0.25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 x14ac:dyDescent="0.25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 x14ac:dyDescent="0.25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 x14ac:dyDescent="0.25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 x14ac:dyDescent="0.25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 x14ac:dyDescent="0.25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 x14ac:dyDescent="0.25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 x14ac:dyDescent="0.25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 x14ac:dyDescent="0.25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 x14ac:dyDescent="0.25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 x14ac:dyDescent="0.25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 x14ac:dyDescent="0.25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 x14ac:dyDescent="0.25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 x14ac:dyDescent="0.25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 x14ac:dyDescent="0.25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 x14ac:dyDescent="0.25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 x14ac:dyDescent="0.25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 x14ac:dyDescent="0.25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 x14ac:dyDescent="0.25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 x14ac:dyDescent="0.25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 x14ac:dyDescent="0.25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 x14ac:dyDescent="0.25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 x14ac:dyDescent="0.25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 x14ac:dyDescent="0.25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 x14ac:dyDescent="0.25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 x14ac:dyDescent="0.25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 x14ac:dyDescent="0.25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 x14ac:dyDescent="0.25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 x14ac:dyDescent="0.25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 x14ac:dyDescent="0.25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 x14ac:dyDescent="0.25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 x14ac:dyDescent="0.25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 x14ac:dyDescent="0.25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 x14ac:dyDescent="0.25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 x14ac:dyDescent="0.25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 x14ac:dyDescent="0.25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 x14ac:dyDescent="0.25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 x14ac:dyDescent="0.25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 x14ac:dyDescent="0.25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 x14ac:dyDescent="0.25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 x14ac:dyDescent="0.25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 x14ac:dyDescent="0.25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 x14ac:dyDescent="0.25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 x14ac:dyDescent="0.25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 x14ac:dyDescent="0.25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 x14ac:dyDescent="0.25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 x14ac:dyDescent="0.25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 x14ac:dyDescent="0.25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 x14ac:dyDescent="0.25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 x14ac:dyDescent="0.25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 x14ac:dyDescent="0.25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 x14ac:dyDescent="0.25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 x14ac:dyDescent="0.25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 x14ac:dyDescent="0.25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 x14ac:dyDescent="0.25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 x14ac:dyDescent="0.25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 x14ac:dyDescent="0.25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 x14ac:dyDescent="0.25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 x14ac:dyDescent="0.25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 x14ac:dyDescent="0.25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 x14ac:dyDescent="0.25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 x14ac:dyDescent="0.25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 x14ac:dyDescent="0.25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 x14ac:dyDescent="0.25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 x14ac:dyDescent="0.25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 x14ac:dyDescent="0.25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 x14ac:dyDescent="0.25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 x14ac:dyDescent="0.25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 x14ac:dyDescent="0.25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 x14ac:dyDescent="0.25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 x14ac:dyDescent="0.25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 x14ac:dyDescent="0.25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 x14ac:dyDescent="0.25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 x14ac:dyDescent="0.25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 x14ac:dyDescent="0.25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 x14ac:dyDescent="0.25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 x14ac:dyDescent="0.25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 x14ac:dyDescent="0.25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 x14ac:dyDescent="0.25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 x14ac:dyDescent="0.25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 x14ac:dyDescent="0.25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 x14ac:dyDescent="0.25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 x14ac:dyDescent="0.25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 x14ac:dyDescent="0.25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 x14ac:dyDescent="0.25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 x14ac:dyDescent="0.25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 x14ac:dyDescent="0.25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 x14ac:dyDescent="0.25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 x14ac:dyDescent="0.25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 x14ac:dyDescent="0.25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 x14ac:dyDescent="0.25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 x14ac:dyDescent="0.25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 x14ac:dyDescent="0.25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 x14ac:dyDescent="0.25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 x14ac:dyDescent="0.25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 x14ac:dyDescent="0.25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 x14ac:dyDescent="0.25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 x14ac:dyDescent="0.25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 x14ac:dyDescent="0.25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 x14ac:dyDescent="0.25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 x14ac:dyDescent="0.25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 x14ac:dyDescent="0.25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 x14ac:dyDescent="0.25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 x14ac:dyDescent="0.25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 x14ac:dyDescent="0.25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 x14ac:dyDescent="0.25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 x14ac:dyDescent="0.25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 x14ac:dyDescent="0.25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 x14ac:dyDescent="0.25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 x14ac:dyDescent="0.25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 x14ac:dyDescent="0.25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 x14ac:dyDescent="0.25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 x14ac:dyDescent="0.25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 x14ac:dyDescent="0.25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 x14ac:dyDescent="0.25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 x14ac:dyDescent="0.25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 x14ac:dyDescent="0.25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 x14ac:dyDescent="0.25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 x14ac:dyDescent="0.25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 x14ac:dyDescent="0.25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 x14ac:dyDescent="0.25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 x14ac:dyDescent="0.25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 x14ac:dyDescent="0.25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 x14ac:dyDescent="0.2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 x14ac:dyDescent="0.25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 x14ac:dyDescent="0.25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 x14ac:dyDescent="0.25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 x14ac:dyDescent="0.25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 x14ac:dyDescent="0.25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 x14ac:dyDescent="0.25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 x14ac:dyDescent="0.25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 x14ac:dyDescent="0.25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 x14ac:dyDescent="0.25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 x14ac:dyDescent="0.25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 x14ac:dyDescent="0.25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 x14ac:dyDescent="0.25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 x14ac:dyDescent="0.2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 x14ac:dyDescent="0.25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 x14ac:dyDescent="0.25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 x14ac:dyDescent="0.25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 x14ac:dyDescent="0.25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 x14ac:dyDescent="0.25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 x14ac:dyDescent="0.25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 x14ac:dyDescent="0.25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 x14ac:dyDescent="0.25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 x14ac:dyDescent="0.25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 x14ac:dyDescent="0.25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 x14ac:dyDescent="0.25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 x14ac:dyDescent="0.25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 x14ac:dyDescent="0.25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 x14ac:dyDescent="0.25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 x14ac:dyDescent="0.25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 x14ac:dyDescent="0.25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 x14ac:dyDescent="0.25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 x14ac:dyDescent="0.25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 x14ac:dyDescent="0.25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 x14ac:dyDescent="0.25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 x14ac:dyDescent="0.25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 x14ac:dyDescent="0.25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 x14ac:dyDescent="0.25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 x14ac:dyDescent="0.25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 x14ac:dyDescent="0.25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 x14ac:dyDescent="0.25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 x14ac:dyDescent="0.25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 x14ac:dyDescent="0.25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 x14ac:dyDescent="0.25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 x14ac:dyDescent="0.25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 x14ac:dyDescent="0.25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 x14ac:dyDescent="0.25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 x14ac:dyDescent="0.25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 x14ac:dyDescent="0.25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 x14ac:dyDescent="0.25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 x14ac:dyDescent="0.25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 x14ac:dyDescent="0.25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 x14ac:dyDescent="0.25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 x14ac:dyDescent="0.25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 x14ac:dyDescent="0.25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 x14ac:dyDescent="0.25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 x14ac:dyDescent="0.25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 x14ac:dyDescent="0.25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 x14ac:dyDescent="0.25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 x14ac:dyDescent="0.25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 x14ac:dyDescent="0.25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 x14ac:dyDescent="0.25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 x14ac:dyDescent="0.25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 x14ac:dyDescent="0.25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 x14ac:dyDescent="0.25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 x14ac:dyDescent="0.25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 x14ac:dyDescent="0.25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 x14ac:dyDescent="0.25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 x14ac:dyDescent="0.25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 x14ac:dyDescent="0.25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 x14ac:dyDescent="0.25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 x14ac:dyDescent="0.25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 x14ac:dyDescent="0.25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 x14ac:dyDescent="0.25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 x14ac:dyDescent="0.25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 x14ac:dyDescent="0.25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 x14ac:dyDescent="0.25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 x14ac:dyDescent="0.25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 x14ac:dyDescent="0.25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 x14ac:dyDescent="0.25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 x14ac:dyDescent="0.25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 x14ac:dyDescent="0.25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 x14ac:dyDescent="0.25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 x14ac:dyDescent="0.25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 x14ac:dyDescent="0.25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 x14ac:dyDescent="0.25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 x14ac:dyDescent="0.25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 x14ac:dyDescent="0.25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 x14ac:dyDescent="0.25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 x14ac:dyDescent="0.25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 x14ac:dyDescent="0.25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 x14ac:dyDescent="0.25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 x14ac:dyDescent="0.25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 x14ac:dyDescent="0.25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 x14ac:dyDescent="0.25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 x14ac:dyDescent="0.25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 x14ac:dyDescent="0.25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 x14ac:dyDescent="0.25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 x14ac:dyDescent="0.25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 x14ac:dyDescent="0.25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 x14ac:dyDescent="0.25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 x14ac:dyDescent="0.25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 x14ac:dyDescent="0.25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 x14ac:dyDescent="0.25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 x14ac:dyDescent="0.25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 x14ac:dyDescent="0.25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 x14ac:dyDescent="0.25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 x14ac:dyDescent="0.25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 x14ac:dyDescent="0.25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 x14ac:dyDescent="0.25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 x14ac:dyDescent="0.25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 x14ac:dyDescent="0.25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 x14ac:dyDescent="0.25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 x14ac:dyDescent="0.25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 x14ac:dyDescent="0.25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 x14ac:dyDescent="0.25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 x14ac:dyDescent="0.25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 x14ac:dyDescent="0.25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 x14ac:dyDescent="0.25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 x14ac:dyDescent="0.25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 x14ac:dyDescent="0.25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 x14ac:dyDescent="0.25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 x14ac:dyDescent="0.25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 x14ac:dyDescent="0.25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 x14ac:dyDescent="0.25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 x14ac:dyDescent="0.25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 x14ac:dyDescent="0.25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 x14ac:dyDescent="0.25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 x14ac:dyDescent="0.25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 x14ac:dyDescent="0.25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 x14ac:dyDescent="0.25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 x14ac:dyDescent="0.25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 x14ac:dyDescent="0.25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 x14ac:dyDescent="0.25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 x14ac:dyDescent="0.25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 x14ac:dyDescent="0.25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 x14ac:dyDescent="0.25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 x14ac:dyDescent="0.25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 x14ac:dyDescent="0.25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 x14ac:dyDescent="0.25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 x14ac:dyDescent="0.25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 x14ac:dyDescent="0.25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 x14ac:dyDescent="0.25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 x14ac:dyDescent="0.25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 x14ac:dyDescent="0.25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 x14ac:dyDescent="0.25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 x14ac:dyDescent="0.25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 x14ac:dyDescent="0.25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 x14ac:dyDescent="0.25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 x14ac:dyDescent="0.25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 x14ac:dyDescent="0.25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 x14ac:dyDescent="0.25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 x14ac:dyDescent="0.25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 x14ac:dyDescent="0.25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 x14ac:dyDescent="0.25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 x14ac:dyDescent="0.25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 x14ac:dyDescent="0.25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 x14ac:dyDescent="0.25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 x14ac:dyDescent="0.25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 x14ac:dyDescent="0.25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 x14ac:dyDescent="0.25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 x14ac:dyDescent="0.25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 x14ac:dyDescent="0.25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 x14ac:dyDescent="0.25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 x14ac:dyDescent="0.25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 x14ac:dyDescent="0.25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 x14ac:dyDescent="0.25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 x14ac:dyDescent="0.25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 x14ac:dyDescent="0.25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 x14ac:dyDescent="0.25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 x14ac:dyDescent="0.25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 x14ac:dyDescent="0.25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 x14ac:dyDescent="0.25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 x14ac:dyDescent="0.25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 x14ac:dyDescent="0.25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 x14ac:dyDescent="0.25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 x14ac:dyDescent="0.25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 x14ac:dyDescent="0.25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 x14ac:dyDescent="0.25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 x14ac:dyDescent="0.25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 x14ac:dyDescent="0.25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 x14ac:dyDescent="0.25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 x14ac:dyDescent="0.25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 x14ac:dyDescent="0.25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 x14ac:dyDescent="0.25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 x14ac:dyDescent="0.25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 x14ac:dyDescent="0.25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 x14ac:dyDescent="0.25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 x14ac:dyDescent="0.25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 x14ac:dyDescent="0.25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 x14ac:dyDescent="0.25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 x14ac:dyDescent="0.25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 x14ac:dyDescent="0.25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 x14ac:dyDescent="0.25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 x14ac:dyDescent="0.25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 x14ac:dyDescent="0.25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 x14ac:dyDescent="0.25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 x14ac:dyDescent="0.25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 x14ac:dyDescent="0.25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 x14ac:dyDescent="0.25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 x14ac:dyDescent="0.25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 x14ac:dyDescent="0.25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 x14ac:dyDescent="0.25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 x14ac:dyDescent="0.25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 x14ac:dyDescent="0.25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 x14ac:dyDescent="0.25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 x14ac:dyDescent="0.25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 x14ac:dyDescent="0.25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 x14ac:dyDescent="0.25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 x14ac:dyDescent="0.25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 x14ac:dyDescent="0.25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 x14ac:dyDescent="0.25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 x14ac:dyDescent="0.25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 x14ac:dyDescent="0.25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 x14ac:dyDescent="0.25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 x14ac:dyDescent="0.25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 x14ac:dyDescent="0.25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 x14ac:dyDescent="0.25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 x14ac:dyDescent="0.25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 x14ac:dyDescent="0.25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 x14ac:dyDescent="0.25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 x14ac:dyDescent="0.25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 x14ac:dyDescent="0.25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 x14ac:dyDescent="0.25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 x14ac:dyDescent="0.25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 x14ac:dyDescent="0.25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 x14ac:dyDescent="0.25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 x14ac:dyDescent="0.25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 x14ac:dyDescent="0.25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 x14ac:dyDescent="0.25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 x14ac:dyDescent="0.25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 x14ac:dyDescent="0.25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 x14ac:dyDescent="0.25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 x14ac:dyDescent="0.25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 x14ac:dyDescent="0.25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 x14ac:dyDescent="0.25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 x14ac:dyDescent="0.25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 x14ac:dyDescent="0.25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 x14ac:dyDescent="0.25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 x14ac:dyDescent="0.25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 x14ac:dyDescent="0.25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 x14ac:dyDescent="0.25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 x14ac:dyDescent="0.25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 x14ac:dyDescent="0.25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 x14ac:dyDescent="0.25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 x14ac:dyDescent="0.25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 x14ac:dyDescent="0.25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 x14ac:dyDescent="0.25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 x14ac:dyDescent="0.25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 x14ac:dyDescent="0.25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 x14ac:dyDescent="0.25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 x14ac:dyDescent="0.25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 x14ac:dyDescent="0.25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 x14ac:dyDescent="0.25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 x14ac:dyDescent="0.25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 x14ac:dyDescent="0.25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 x14ac:dyDescent="0.25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 x14ac:dyDescent="0.25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 x14ac:dyDescent="0.25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 x14ac:dyDescent="0.25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 x14ac:dyDescent="0.25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 x14ac:dyDescent="0.25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 x14ac:dyDescent="0.25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 x14ac:dyDescent="0.25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 x14ac:dyDescent="0.25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 x14ac:dyDescent="0.25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 x14ac:dyDescent="0.25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 x14ac:dyDescent="0.25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 x14ac:dyDescent="0.25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 x14ac:dyDescent="0.25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 x14ac:dyDescent="0.25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 x14ac:dyDescent="0.25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 x14ac:dyDescent="0.25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 x14ac:dyDescent="0.25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 x14ac:dyDescent="0.25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 x14ac:dyDescent="0.25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 x14ac:dyDescent="0.25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 x14ac:dyDescent="0.25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 x14ac:dyDescent="0.25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 x14ac:dyDescent="0.25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 x14ac:dyDescent="0.25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 x14ac:dyDescent="0.25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 x14ac:dyDescent="0.25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 x14ac:dyDescent="0.25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 x14ac:dyDescent="0.25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 x14ac:dyDescent="0.25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 x14ac:dyDescent="0.25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 x14ac:dyDescent="0.25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 x14ac:dyDescent="0.25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 x14ac:dyDescent="0.25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 x14ac:dyDescent="0.25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 x14ac:dyDescent="0.25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 x14ac:dyDescent="0.25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 x14ac:dyDescent="0.25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 x14ac:dyDescent="0.25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 x14ac:dyDescent="0.25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 x14ac:dyDescent="0.25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 x14ac:dyDescent="0.25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 x14ac:dyDescent="0.25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 x14ac:dyDescent="0.25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 x14ac:dyDescent="0.25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 x14ac:dyDescent="0.25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 x14ac:dyDescent="0.25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 x14ac:dyDescent="0.25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 x14ac:dyDescent="0.25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 x14ac:dyDescent="0.25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 x14ac:dyDescent="0.25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 x14ac:dyDescent="0.25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 x14ac:dyDescent="0.25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 x14ac:dyDescent="0.25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 x14ac:dyDescent="0.25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 x14ac:dyDescent="0.25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 x14ac:dyDescent="0.25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 x14ac:dyDescent="0.25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 x14ac:dyDescent="0.25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 x14ac:dyDescent="0.25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 x14ac:dyDescent="0.25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 x14ac:dyDescent="0.25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 x14ac:dyDescent="0.25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 x14ac:dyDescent="0.25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 x14ac:dyDescent="0.25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 x14ac:dyDescent="0.25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 x14ac:dyDescent="0.25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 x14ac:dyDescent="0.25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 x14ac:dyDescent="0.25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 x14ac:dyDescent="0.25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 x14ac:dyDescent="0.25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 x14ac:dyDescent="0.25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 x14ac:dyDescent="0.25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 x14ac:dyDescent="0.25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 x14ac:dyDescent="0.25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 x14ac:dyDescent="0.25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 x14ac:dyDescent="0.25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 x14ac:dyDescent="0.25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 x14ac:dyDescent="0.25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 x14ac:dyDescent="0.25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 x14ac:dyDescent="0.25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 x14ac:dyDescent="0.25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 x14ac:dyDescent="0.25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 x14ac:dyDescent="0.25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 x14ac:dyDescent="0.25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 x14ac:dyDescent="0.25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 x14ac:dyDescent="0.25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 x14ac:dyDescent="0.25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 x14ac:dyDescent="0.25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 x14ac:dyDescent="0.25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 x14ac:dyDescent="0.25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 x14ac:dyDescent="0.25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 x14ac:dyDescent="0.25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 x14ac:dyDescent="0.25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 x14ac:dyDescent="0.25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 x14ac:dyDescent="0.25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 x14ac:dyDescent="0.25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 x14ac:dyDescent="0.25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 x14ac:dyDescent="0.25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 x14ac:dyDescent="0.25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 x14ac:dyDescent="0.25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 x14ac:dyDescent="0.25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 x14ac:dyDescent="0.25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 x14ac:dyDescent="0.25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 x14ac:dyDescent="0.25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 x14ac:dyDescent="0.25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 x14ac:dyDescent="0.25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 x14ac:dyDescent="0.25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 x14ac:dyDescent="0.25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 x14ac:dyDescent="0.25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 x14ac:dyDescent="0.25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 x14ac:dyDescent="0.25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 x14ac:dyDescent="0.25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 x14ac:dyDescent="0.25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 x14ac:dyDescent="0.25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 x14ac:dyDescent="0.25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 x14ac:dyDescent="0.25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 x14ac:dyDescent="0.25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 x14ac:dyDescent="0.25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 x14ac:dyDescent="0.25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 x14ac:dyDescent="0.25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 x14ac:dyDescent="0.25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 x14ac:dyDescent="0.25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 x14ac:dyDescent="0.25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 x14ac:dyDescent="0.25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 x14ac:dyDescent="0.25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 x14ac:dyDescent="0.25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 x14ac:dyDescent="0.25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 x14ac:dyDescent="0.25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 x14ac:dyDescent="0.25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 x14ac:dyDescent="0.25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 x14ac:dyDescent="0.25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 x14ac:dyDescent="0.25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 x14ac:dyDescent="0.25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 x14ac:dyDescent="0.25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 x14ac:dyDescent="0.25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 x14ac:dyDescent="0.25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 x14ac:dyDescent="0.25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 x14ac:dyDescent="0.25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 x14ac:dyDescent="0.25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 x14ac:dyDescent="0.25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 x14ac:dyDescent="0.25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 x14ac:dyDescent="0.25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 x14ac:dyDescent="0.25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 x14ac:dyDescent="0.25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 x14ac:dyDescent="0.25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 x14ac:dyDescent="0.25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 x14ac:dyDescent="0.25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 x14ac:dyDescent="0.25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 x14ac:dyDescent="0.25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 x14ac:dyDescent="0.25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 x14ac:dyDescent="0.25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 x14ac:dyDescent="0.25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 x14ac:dyDescent="0.25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 x14ac:dyDescent="0.25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 x14ac:dyDescent="0.25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 x14ac:dyDescent="0.25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 x14ac:dyDescent="0.25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 x14ac:dyDescent="0.25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 x14ac:dyDescent="0.25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 x14ac:dyDescent="0.25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 x14ac:dyDescent="0.25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 x14ac:dyDescent="0.25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 x14ac:dyDescent="0.25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 x14ac:dyDescent="0.25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 x14ac:dyDescent="0.25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 x14ac:dyDescent="0.25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 x14ac:dyDescent="0.25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 x14ac:dyDescent="0.25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 x14ac:dyDescent="0.25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 x14ac:dyDescent="0.25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 x14ac:dyDescent="0.25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 x14ac:dyDescent="0.25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 x14ac:dyDescent="0.25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 x14ac:dyDescent="0.25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 x14ac:dyDescent="0.25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 x14ac:dyDescent="0.25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 x14ac:dyDescent="0.25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 x14ac:dyDescent="0.25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 x14ac:dyDescent="0.25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 x14ac:dyDescent="0.25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 x14ac:dyDescent="0.25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 x14ac:dyDescent="0.25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 x14ac:dyDescent="0.25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 x14ac:dyDescent="0.25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 x14ac:dyDescent="0.25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 x14ac:dyDescent="0.25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 x14ac:dyDescent="0.25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 x14ac:dyDescent="0.25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 x14ac:dyDescent="0.25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 x14ac:dyDescent="0.25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 x14ac:dyDescent="0.25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 x14ac:dyDescent="0.25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 x14ac:dyDescent="0.25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 x14ac:dyDescent="0.25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 x14ac:dyDescent="0.25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 x14ac:dyDescent="0.25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 x14ac:dyDescent="0.25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 x14ac:dyDescent="0.25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 x14ac:dyDescent="0.25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 x14ac:dyDescent="0.25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 x14ac:dyDescent="0.25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 x14ac:dyDescent="0.25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 x14ac:dyDescent="0.25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 x14ac:dyDescent="0.25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 x14ac:dyDescent="0.25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 x14ac:dyDescent="0.25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 x14ac:dyDescent="0.25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 x14ac:dyDescent="0.25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 x14ac:dyDescent="0.25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 x14ac:dyDescent="0.25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 x14ac:dyDescent="0.25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 x14ac:dyDescent="0.25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 x14ac:dyDescent="0.25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 x14ac:dyDescent="0.25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 x14ac:dyDescent="0.25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 x14ac:dyDescent="0.25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 x14ac:dyDescent="0.25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 x14ac:dyDescent="0.25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 x14ac:dyDescent="0.25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 x14ac:dyDescent="0.25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 x14ac:dyDescent="0.25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 x14ac:dyDescent="0.25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 x14ac:dyDescent="0.25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 x14ac:dyDescent="0.25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 x14ac:dyDescent="0.25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 x14ac:dyDescent="0.25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 x14ac:dyDescent="0.25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 x14ac:dyDescent="0.25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 x14ac:dyDescent="0.25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 x14ac:dyDescent="0.25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 x14ac:dyDescent="0.25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 x14ac:dyDescent="0.25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 x14ac:dyDescent="0.25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 x14ac:dyDescent="0.25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 x14ac:dyDescent="0.25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 x14ac:dyDescent="0.25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 x14ac:dyDescent="0.25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 x14ac:dyDescent="0.25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 x14ac:dyDescent="0.25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 x14ac:dyDescent="0.25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 x14ac:dyDescent="0.25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 x14ac:dyDescent="0.25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 x14ac:dyDescent="0.25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 x14ac:dyDescent="0.25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 x14ac:dyDescent="0.25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 x14ac:dyDescent="0.25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 x14ac:dyDescent="0.25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 x14ac:dyDescent="0.25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 x14ac:dyDescent="0.25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 x14ac:dyDescent="0.25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 x14ac:dyDescent="0.25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 x14ac:dyDescent="0.25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 x14ac:dyDescent="0.25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 x14ac:dyDescent="0.25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 x14ac:dyDescent="0.25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 x14ac:dyDescent="0.25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 x14ac:dyDescent="0.25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 x14ac:dyDescent="0.25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 x14ac:dyDescent="0.25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 x14ac:dyDescent="0.25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 x14ac:dyDescent="0.25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 x14ac:dyDescent="0.25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 x14ac:dyDescent="0.25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 x14ac:dyDescent="0.25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 x14ac:dyDescent="0.25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 x14ac:dyDescent="0.25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 x14ac:dyDescent="0.25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 x14ac:dyDescent="0.25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 x14ac:dyDescent="0.25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 x14ac:dyDescent="0.25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 x14ac:dyDescent="0.25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 x14ac:dyDescent="0.25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 x14ac:dyDescent="0.25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 x14ac:dyDescent="0.25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 x14ac:dyDescent="0.25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 x14ac:dyDescent="0.25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 x14ac:dyDescent="0.25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 x14ac:dyDescent="0.25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 x14ac:dyDescent="0.25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 x14ac:dyDescent="0.25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 x14ac:dyDescent="0.25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 x14ac:dyDescent="0.25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 x14ac:dyDescent="0.25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 x14ac:dyDescent="0.25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 x14ac:dyDescent="0.25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 x14ac:dyDescent="0.25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 x14ac:dyDescent="0.25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 x14ac:dyDescent="0.25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 x14ac:dyDescent="0.25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 x14ac:dyDescent="0.25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 x14ac:dyDescent="0.25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 x14ac:dyDescent="0.25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 x14ac:dyDescent="0.25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 x14ac:dyDescent="0.25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 x14ac:dyDescent="0.25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 x14ac:dyDescent="0.25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 x14ac:dyDescent="0.25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 x14ac:dyDescent="0.25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 x14ac:dyDescent="0.25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 x14ac:dyDescent="0.25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 x14ac:dyDescent="0.25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 x14ac:dyDescent="0.25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 x14ac:dyDescent="0.25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 x14ac:dyDescent="0.25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 x14ac:dyDescent="0.25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 x14ac:dyDescent="0.25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 x14ac:dyDescent="0.25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 x14ac:dyDescent="0.25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 x14ac:dyDescent="0.25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 x14ac:dyDescent="0.25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 x14ac:dyDescent="0.25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 x14ac:dyDescent="0.25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 x14ac:dyDescent="0.25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 x14ac:dyDescent="0.25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 x14ac:dyDescent="0.25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 x14ac:dyDescent="0.25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 x14ac:dyDescent="0.25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 x14ac:dyDescent="0.25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 x14ac:dyDescent="0.25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 x14ac:dyDescent="0.25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 x14ac:dyDescent="0.25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 x14ac:dyDescent="0.25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 x14ac:dyDescent="0.25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 x14ac:dyDescent="0.25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 x14ac:dyDescent="0.25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 x14ac:dyDescent="0.25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 x14ac:dyDescent="0.25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 x14ac:dyDescent="0.25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 x14ac:dyDescent="0.25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 x14ac:dyDescent="0.25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 x14ac:dyDescent="0.25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 x14ac:dyDescent="0.25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 x14ac:dyDescent="0.25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 x14ac:dyDescent="0.25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 x14ac:dyDescent="0.25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 x14ac:dyDescent="0.25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 x14ac:dyDescent="0.25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 x14ac:dyDescent="0.25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 x14ac:dyDescent="0.25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 x14ac:dyDescent="0.25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 x14ac:dyDescent="0.25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 x14ac:dyDescent="0.25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 x14ac:dyDescent="0.25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 x14ac:dyDescent="0.25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 x14ac:dyDescent="0.25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 x14ac:dyDescent="0.25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 x14ac:dyDescent="0.25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 x14ac:dyDescent="0.25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 x14ac:dyDescent="0.25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 x14ac:dyDescent="0.25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 x14ac:dyDescent="0.25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 x14ac:dyDescent="0.25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 x14ac:dyDescent="0.25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 x14ac:dyDescent="0.25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 x14ac:dyDescent="0.25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 x14ac:dyDescent="0.25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 x14ac:dyDescent="0.25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 x14ac:dyDescent="0.25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 x14ac:dyDescent="0.25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 x14ac:dyDescent="0.25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 x14ac:dyDescent="0.25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 x14ac:dyDescent="0.25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 x14ac:dyDescent="0.25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 x14ac:dyDescent="0.25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 x14ac:dyDescent="0.25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 x14ac:dyDescent="0.25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 x14ac:dyDescent="0.25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 x14ac:dyDescent="0.25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 x14ac:dyDescent="0.25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 x14ac:dyDescent="0.25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 x14ac:dyDescent="0.25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 x14ac:dyDescent="0.25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 x14ac:dyDescent="0.25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 x14ac:dyDescent="0.25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 x14ac:dyDescent="0.25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 x14ac:dyDescent="0.25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 x14ac:dyDescent="0.25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 x14ac:dyDescent="0.25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 x14ac:dyDescent="0.25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 x14ac:dyDescent="0.25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 x14ac:dyDescent="0.25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 x14ac:dyDescent="0.25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 x14ac:dyDescent="0.25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 x14ac:dyDescent="0.25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 x14ac:dyDescent="0.25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 x14ac:dyDescent="0.25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 x14ac:dyDescent="0.25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 x14ac:dyDescent="0.25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 x14ac:dyDescent="0.25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 x14ac:dyDescent="0.25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 x14ac:dyDescent="0.25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 x14ac:dyDescent="0.25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 xr:uid="{00000000-0009-0000-0000-000003000000}"/>
  <mergeCells count="2">
    <mergeCell ref="A1:AF1"/>
    <mergeCell ref="AI1:BI1"/>
  </mergeCells>
  <conditionalFormatting sqref="D3:D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BI3 AI3:AI298 AJ4:AX298 AZ4:BI298">
    <cfRule type="colorScale" priority="2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BI3 AJ3:AJ298 AK4:AX298 AZ4:BI298">
    <cfRule type="colorScale" priority="25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57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G1" s="20" t="s">
        <v>70</v>
      </c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</row>
    <row r="2" spans="1:57" ht="15" customHeight="1" x14ac:dyDescent="0.25">
      <c r="A2" s="23" t="s">
        <v>53</v>
      </c>
      <c r="B2" s="23"/>
      <c r="C2" s="23"/>
      <c r="D2" s="23"/>
      <c r="E2" s="23"/>
      <c r="F2" s="23"/>
      <c r="G2" s="23"/>
      <c r="H2" s="23"/>
      <c r="I2" s="23"/>
      <c r="K2" s="23" t="s">
        <v>54</v>
      </c>
      <c r="L2" s="23"/>
      <c r="M2" s="23"/>
      <c r="N2" s="23"/>
      <c r="O2" s="23"/>
      <c r="P2" s="23"/>
      <c r="R2" s="23" t="s">
        <v>55</v>
      </c>
      <c r="S2" s="23"/>
      <c r="T2" s="23"/>
      <c r="U2" s="23"/>
      <c r="V2" s="23"/>
      <c r="W2" s="23"/>
      <c r="Y2" s="23" t="s">
        <v>56</v>
      </c>
      <c r="Z2" s="23"/>
      <c r="AB2" s="23" t="s">
        <v>57</v>
      </c>
      <c r="AC2" s="23"/>
      <c r="AD2" s="11"/>
      <c r="AG2" s="24" t="s">
        <v>53</v>
      </c>
      <c r="AH2" s="24"/>
      <c r="AI2" s="24"/>
      <c r="AJ2" s="24"/>
      <c r="AL2" s="23" t="s">
        <v>54</v>
      </c>
      <c r="AM2" s="23"/>
      <c r="AN2" s="23"/>
      <c r="AO2" s="23"/>
      <c r="AP2" s="23"/>
      <c r="AQ2" s="23"/>
      <c r="AS2" s="23" t="s">
        <v>55</v>
      </c>
      <c r="AT2" s="23"/>
      <c r="AU2" s="23"/>
      <c r="AV2" s="23"/>
      <c r="AW2" s="23"/>
      <c r="AX2" s="23"/>
      <c r="AZ2" s="23" t="s">
        <v>56</v>
      </c>
      <c r="BA2" s="23"/>
      <c r="BC2" s="23" t="s">
        <v>57</v>
      </c>
      <c r="BD2" s="23"/>
    </row>
    <row r="3" spans="1:57" x14ac:dyDescent="0.25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67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67</v>
      </c>
    </row>
    <row r="4" spans="1:57" x14ac:dyDescent="0.25">
      <c r="A4" s="1" t="s">
        <v>94</v>
      </c>
      <c r="B4" s="3" t="s">
        <v>95</v>
      </c>
      <c r="C4" s="4" t="s">
        <v>96</v>
      </c>
      <c r="D4" s="4">
        <v>8</v>
      </c>
      <c r="E4" s="4">
        <v>269</v>
      </c>
      <c r="F4" s="4">
        <v>8</v>
      </c>
      <c r="G4" s="4">
        <v>269</v>
      </c>
      <c r="H4" s="4">
        <v>0.34300000000000003</v>
      </c>
      <c r="I4" s="4">
        <v>13.8</v>
      </c>
      <c r="J4" s="4">
        <v>0</v>
      </c>
      <c r="K4" s="4">
        <v>0.65700000000000003</v>
      </c>
      <c r="L4" s="4">
        <v>0.214</v>
      </c>
      <c r="M4" s="4">
        <v>0.20699999999999999</v>
      </c>
      <c r="N4" s="4">
        <v>0.129</v>
      </c>
      <c r="O4" s="4">
        <v>0.107</v>
      </c>
      <c r="P4" s="4">
        <v>0.34300000000000003</v>
      </c>
      <c r="Q4" s="4">
        <v>0</v>
      </c>
      <c r="R4" s="4">
        <v>0.435</v>
      </c>
      <c r="S4" s="4">
        <v>0.63300000000000001</v>
      </c>
      <c r="T4" s="4">
        <v>0.379</v>
      </c>
      <c r="U4" s="4">
        <v>0.33300000000000002</v>
      </c>
      <c r="V4" s="4">
        <v>0.26700000000000002</v>
      </c>
      <c r="W4" s="4">
        <v>0.16700000000000001</v>
      </c>
      <c r="X4" s="4">
        <v>0</v>
      </c>
      <c r="Y4" s="4">
        <v>0.52500000000000002</v>
      </c>
      <c r="Z4" s="4">
        <v>1</v>
      </c>
      <c r="AA4" s="4">
        <v>0</v>
      </c>
      <c r="AB4" s="4">
        <v>0.125</v>
      </c>
      <c r="AC4" s="4">
        <v>0.16700000000000001</v>
      </c>
      <c r="AD4" s="10">
        <f>(K4*Y4+P4*Z4)</f>
        <v>0.68792500000000012</v>
      </c>
      <c r="AE4" s="9"/>
      <c r="AF4" s="9"/>
      <c r="AG4" s="12">
        <f>(PERCENTRANK(F$4:F$298,F4))*100</f>
        <v>69.5</v>
      </c>
      <c r="AH4" s="12">
        <f t="shared" ref="AH4:AX19" si="0">(PERCENTRANK(G$4:G$298,G4))*100</f>
        <v>99.3</v>
      </c>
      <c r="AI4" s="12">
        <f t="shared" si="0"/>
        <v>15.5</v>
      </c>
      <c r="AJ4" s="12">
        <f t="shared" si="0"/>
        <v>52.1</v>
      </c>
      <c r="AK4" s="12"/>
      <c r="AL4" s="12">
        <f t="shared" si="0"/>
        <v>59</v>
      </c>
      <c r="AM4" s="12">
        <f t="shared" si="0"/>
        <v>46.5</v>
      </c>
      <c r="AN4" s="12">
        <f t="shared" si="0"/>
        <v>40.9</v>
      </c>
      <c r="AO4" s="12">
        <f t="shared" si="0"/>
        <v>79.5</v>
      </c>
      <c r="AP4" s="12">
        <f t="shared" si="0"/>
        <v>85</v>
      </c>
      <c r="AQ4" s="12">
        <f t="shared" si="0"/>
        <v>40.300000000000004</v>
      </c>
      <c r="AR4" s="12"/>
      <c r="AS4" s="12">
        <f t="shared" si="0"/>
        <v>23.599999999999998</v>
      </c>
      <c r="AT4" s="12">
        <f t="shared" si="0"/>
        <v>47.8</v>
      </c>
      <c r="AU4" s="12">
        <f t="shared" si="0"/>
        <v>42.199999999999996</v>
      </c>
      <c r="AV4" s="12">
        <f t="shared" si="0"/>
        <v>53.400000000000006</v>
      </c>
      <c r="AW4" s="12">
        <f t="shared" si="0"/>
        <v>63.9</v>
      </c>
      <c r="AX4" s="12">
        <f t="shared" si="0"/>
        <v>21.099999999999998</v>
      </c>
      <c r="AY4" s="12"/>
      <c r="AZ4" s="12">
        <f>100-(PERCENTRANK(Y$4:Y$298,Y4))*100</f>
        <v>64</v>
      </c>
      <c r="BA4" s="12">
        <f>100-(PERCENTRANK(Z$4:Z$298,Z4))*100</f>
        <v>52.800000000000004</v>
      </c>
      <c r="BB4" s="12"/>
      <c r="BC4" s="12">
        <f>(PERCENTRANK(AB$4:AB$298,AB4))*100</f>
        <v>34.1</v>
      </c>
      <c r="BD4" s="12">
        <f>(PERCENTRANK(AC$4:AC$298,AC4))*100</f>
        <v>47.8</v>
      </c>
      <c r="BE4" s="12">
        <f>100-(PERCENTRANK(AD$4:AD$298,AD4))*100</f>
        <v>54.1</v>
      </c>
    </row>
    <row r="5" spans="1:57" x14ac:dyDescent="0.25">
      <c r="A5" s="1" t="s">
        <v>99</v>
      </c>
      <c r="B5" s="3" t="s">
        <v>95</v>
      </c>
      <c r="C5" s="4" t="s">
        <v>87</v>
      </c>
      <c r="D5" s="4">
        <v>8</v>
      </c>
      <c r="E5" s="4">
        <v>269</v>
      </c>
      <c r="F5" s="4">
        <v>8</v>
      </c>
      <c r="G5" s="4">
        <v>269</v>
      </c>
      <c r="H5" s="4">
        <v>0.53400000000000003</v>
      </c>
      <c r="I5" s="4">
        <v>5.8</v>
      </c>
      <c r="J5" s="4">
        <v>0</v>
      </c>
      <c r="K5" s="4">
        <v>1</v>
      </c>
      <c r="L5" s="4">
        <v>0.35199999999999998</v>
      </c>
      <c r="M5" s="4">
        <v>0.443</v>
      </c>
      <c r="N5" s="4">
        <v>0.182</v>
      </c>
      <c r="O5" s="4">
        <v>2.3E-2</v>
      </c>
      <c r="P5" s="4">
        <v>0</v>
      </c>
      <c r="Q5" s="4">
        <v>0</v>
      </c>
      <c r="R5" s="4">
        <v>0.53400000000000003</v>
      </c>
      <c r="S5" s="4">
        <v>0.74199999999999999</v>
      </c>
      <c r="T5" s="4">
        <v>0.38500000000000001</v>
      </c>
      <c r="U5" s="4">
        <v>0.438</v>
      </c>
      <c r="V5" s="4">
        <v>1</v>
      </c>
      <c r="W5" s="4">
        <v>0</v>
      </c>
      <c r="X5" s="4">
        <v>0</v>
      </c>
      <c r="Y5" s="4">
        <v>0.34</v>
      </c>
      <c r="Z5" s="4">
        <v>0</v>
      </c>
      <c r="AA5" s="4">
        <v>0</v>
      </c>
      <c r="AB5" s="4">
        <v>0</v>
      </c>
      <c r="AC5" s="4">
        <v>0</v>
      </c>
      <c r="AD5" s="10">
        <f t="shared" ref="AD5:AD68" si="1">(K5*Y5+P5*Z5)</f>
        <v>0.34</v>
      </c>
      <c r="AE5" s="9"/>
      <c r="AF5" s="9"/>
      <c r="AG5" s="12">
        <f t="shared" ref="AG5:AJ68" si="2">(PERCENTRANK(F$4:F$298,F5))*100</f>
        <v>69.5</v>
      </c>
      <c r="AH5" s="12">
        <f t="shared" si="0"/>
        <v>99.3</v>
      </c>
      <c r="AI5" s="12">
        <f t="shared" si="0"/>
        <v>80.100000000000009</v>
      </c>
      <c r="AJ5" s="12">
        <f t="shared" si="0"/>
        <v>6.8000000000000007</v>
      </c>
      <c r="AK5" s="12"/>
      <c r="AL5" s="12">
        <f t="shared" si="0"/>
        <v>95</v>
      </c>
      <c r="AM5" s="12">
        <f t="shared" si="0"/>
        <v>77</v>
      </c>
      <c r="AN5" s="12">
        <f t="shared" si="0"/>
        <v>91.9</v>
      </c>
      <c r="AO5" s="12">
        <f t="shared" si="0"/>
        <v>91.3</v>
      </c>
      <c r="AP5" s="12">
        <f t="shared" si="0"/>
        <v>34.699999999999996</v>
      </c>
      <c r="AQ5" s="12">
        <f t="shared" si="0"/>
        <v>0</v>
      </c>
      <c r="AR5" s="12"/>
      <c r="AS5" s="12">
        <f t="shared" si="0"/>
        <v>57.699999999999996</v>
      </c>
      <c r="AT5" s="12">
        <f t="shared" si="0"/>
        <v>65.2</v>
      </c>
      <c r="AU5" s="12">
        <f t="shared" si="0"/>
        <v>42.8</v>
      </c>
      <c r="AV5" s="12">
        <f t="shared" si="0"/>
        <v>69.5</v>
      </c>
      <c r="AW5" s="12">
        <f t="shared" si="0"/>
        <v>91.3</v>
      </c>
      <c r="AX5" s="12">
        <f t="shared" si="0"/>
        <v>0</v>
      </c>
      <c r="AY5" s="12"/>
      <c r="AZ5" s="12">
        <f t="shared" ref="AZ5:AZ68" si="3">100-(PERCENTRANK(Y$4:Y$298,Y5))*100</f>
        <v>78.3</v>
      </c>
      <c r="BA5" s="12">
        <f t="shared" ref="BA5:BA68" si="4">100-(PERCENTRANK(Z$4:Z$298,Z5))*100</f>
        <v>100</v>
      </c>
      <c r="BB5" s="12"/>
      <c r="BC5" s="12">
        <f t="shared" ref="BC5:BC68" si="5">(PERCENTRANK(AB$4:AB$298,AB5))*100</f>
        <v>0</v>
      </c>
      <c r="BD5" s="12">
        <f t="shared" ref="BD5:BD68" si="6">(PERCENTRANK(AC$4:AC$298,AC5))*100</f>
        <v>0</v>
      </c>
      <c r="BE5" s="12">
        <f t="shared" ref="BE5:BE68" si="7">100-(PERCENTRANK(AD$4:AD$298,AD5))*100</f>
        <v>95.1</v>
      </c>
    </row>
    <row r="6" spans="1:57" x14ac:dyDescent="0.25">
      <c r="A6" s="1" t="s">
        <v>100</v>
      </c>
      <c r="B6" s="3" t="s">
        <v>101</v>
      </c>
      <c r="C6" s="4" t="s">
        <v>8</v>
      </c>
      <c r="D6" s="4">
        <v>8</v>
      </c>
      <c r="E6" s="4">
        <v>266</v>
      </c>
      <c r="F6" s="4">
        <v>8</v>
      </c>
      <c r="G6" s="4">
        <v>266</v>
      </c>
      <c r="H6" s="4">
        <v>0.50900000000000001</v>
      </c>
      <c r="I6" s="4">
        <v>15.3</v>
      </c>
      <c r="J6" s="4">
        <v>0</v>
      </c>
      <c r="K6" s="4">
        <v>0.68200000000000005</v>
      </c>
      <c r="L6" s="4">
        <v>0.11799999999999999</v>
      </c>
      <c r="M6" s="4">
        <v>0.155</v>
      </c>
      <c r="N6" s="4">
        <v>0.3</v>
      </c>
      <c r="O6" s="4">
        <v>0.109</v>
      </c>
      <c r="P6" s="4">
        <v>0.318</v>
      </c>
      <c r="Q6" s="4">
        <v>0</v>
      </c>
      <c r="R6" s="4">
        <v>0.53300000000000003</v>
      </c>
      <c r="S6" s="4">
        <v>0.61499999999999999</v>
      </c>
      <c r="T6" s="4">
        <v>0.58799999999999997</v>
      </c>
      <c r="U6" s="4">
        <v>0.60599999999999998</v>
      </c>
      <c r="V6" s="4">
        <v>0.16700000000000001</v>
      </c>
      <c r="W6" s="4">
        <v>0.45700000000000002</v>
      </c>
      <c r="X6" s="4">
        <v>0</v>
      </c>
      <c r="Y6" s="4">
        <v>0.57499999999999996</v>
      </c>
      <c r="Z6" s="4">
        <v>0.81299999999999994</v>
      </c>
      <c r="AA6" s="4">
        <v>0</v>
      </c>
      <c r="AB6" s="4">
        <v>5.7000000000000002E-2</v>
      </c>
      <c r="AC6" s="4">
        <v>0</v>
      </c>
      <c r="AD6" s="10">
        <f t="shared" si="1"/>
        <v>0.65068400000000004</v>
      </c>
      <c r="AE6" s="9"/>
      <c r="AF6" s="9"/>
      <c r="AG6" s="12">
        <f t="shared" si="2"/>
        <v>69.5</v>
      </c>
      <c r="AH6" s="12">
        <f t="shared" si="0"/>
        <v>98.7</v>
      </c>
      <c r="AI6" s="12">
        <f t="shared" si="0"/>
        <v>72</v>
      </c>
      <c r="AJ6" s="12">
        <f t="shared" si="0"/>
        <v>66.400000000000006</v>
      </c>
      <c r="AK6" s="12"/>
      <c r="AL6" s="12">
        <f t="shared" si="0"/>
        <v>65.8</v>
      </c>
      <c r="AM6" s="12">
        <f t="shared" si="0"/>
        <v>21.099999999999998</v>
      </c>
      <c r="AN6" s="12">
        <f t="shared" si="0"/>
        <v>28.499999999999996</v>
      </c>
      <c r="AO6" s="12">
        <f t="shared" si="0"/>
        <v>98.7</v>
      </c>
      <c r="AP6" s="12">
        <f t="shared" si="0"/>
        <v>86.3</v>
      </c>
      <c r="AQ6" s="12">
        <f t="shared" si="0"/>
        <v>34.1</v>
      </c>
      <c r="AR6" s="12"/>
      <c r="AS6" s="12">
        <f t="shared" si="0"/>
        <v>57.099999999999994</v>
      </c>
      <c r="AT6" s="12">
        <f t="shared" si="0"/>
        <v>45.300000000000004</v>
      </c>
      <c r="AU6" s="12">
        <f t="shared" si="0"/>
        <v>83.8</v>
      </c>
      <c r="AV6" s="12">
        <f t="shared" si="0"/>
        <v>83.8</v>
      </c>
      <c r="AW6" s="12">
        <f t="shared" si="0"/>
        <v>59.599999999999994</v>
      </c>
      <c r="AX6" s="12">
        <f t="shared" si="0"/>
        <v>84.399999999999991</v>
      </c>
      <c r="AY6" s="12"/>
      <c r="AZ6" s="12">
        <f t="shared" si="3"/>
        <v>54.699999999999996</v>
      </c>
      <c r="BA6" s="12">
        <f t="shared" si="4"/>
        <v>66.5</v>
      </c>
      <c r="BB6" s="12"/>
      <c r="BC6" s="12">
        <f t="shared" si="5"/>
        <v>21.099999999999998</v>
      </c>
      <c r="BD6" s="12">
        <f t="shared" si="6"/>
        <v>0</v>
      </c>
      <c r="BE6" s="12">
        <f t="shared" si="7"/>
        <v>59.1</v>
      </c>
    </row>
    <row r="7" spans="1:57" x14ac:dyDescent="0.25">
      <c r="A7" s="1" t="s">
        <v>85</v>
      </c>
      <c r="B7" s="3" t="s">
        <v>86</v>
      </c>
      <c r="C7" s="4" t="s">
        <v>87</v>
      </c>
      <c r="D7" s="4">
        <v>8</v>
      </c>
      <c r="E7" s="4">
        <v>264</v>
      </c>
      <c r="F7" s="4">
        <v>8</v>
      </c>
      <c r="G7" s="4">
        <v>264</v>
      </c>
      <c r="H7" s="4">
        <v>0.44900000000000001</v>
      </c>
      <c r="I7" s="4">
        <v>10</v>
      </c>
      <c r="J7" s="4">
        <v>0</v>
      </c>
      <c r="K7" s="4">
        <v>0.80500000000000005</v>
      </c>
      <c r="L7" s="4">
        <v>0.17799999999999999</v>
      </c>
      <c r="M7" s="4">
        <v>0.48299999999999998</v>
      </c>
      <c r="N7" s="4">
        <v>0.11899999999999999</v>
      </c>
      <c r="O7" s="4">
        <v>2.5000000000000001E-2</v>
      </c>
      <c r="P7" s="4">
        <v>0.19500000000000001</v>
      </c>
      <c r="Q7" s="4">
        <v>0</v>
      </c>
      <c r="R7" s="4">
        <v>0.51600000000000001</v>
      </c>
      <c r="S7" s="4">
        <v>0.57099999999999995</v>
      </c>
      <c r="T7" s="4">
        <v>0.52600000000000002</v>
      </c>
      <c r="U7" s="4">
        <v>0.35699999999999998</v>
      </c>
      <c r="V7" s="4">
        <v>0.66700000000000004</v>
      </c>
      <c r="W7" s="4">
        <v>0.17399999999999999</v>
      </c>
      <c r="X7" s="4">
        <v>0</v>
      </c>
      <c r="Y7" s="4">
        <v>0.79600000000000004</v>
      </c>
      <c r="Z7" s="4">
        <v>1</v>
      </c>
      <c r="AA7" s="4">
        <v>0</v>
      </c>
      <c r="AB7" s="4">
        <v>0.217</v>
      </c>
      <c r="AC7" s="4">
        <v>0.2</v>
      </c>
      <c r="AD7" s="10">
        <f t="shared" si="1"/>
        <v>0.83578000000000019</v>
      </c>
      <c r="AE7" s="9"/>
      <c r="AF7" s="9"/>
      <c r="AG7" s="12">
        <f t="shared" si="2"/>
        <v>69.5</v>
      </c>
      <c r="AH7" s="12">
        <f t="shared" si="0"/>
        <v>98.1</v>
      </c>
      <c r="AI7" s="12">
        <f t="shared" si="0"/>
        <v>49</v>
      </c>
      <c r="AJ7" s="12">
        <f t="shared" si="0"/>
        <v>22.3</v>
      </c>
      <c r="AK7" s="12"/>
      <c r="AL7" s="12">
        <f t="shared" si="0"/>
        <v>77.600000000000009</v>
      </c>
      <c r="AM7" s="12">
        <f t="shared" si="0"/>
        <v>36</v>
      </c>
      <c r="AN7" s="12">
        <f t="shared" si="0"/>
        <v>95</v>
      </c>
      <c r="AO7" s="12">
        <f t="shared" si="0"/>
        <v>75.099999999999994</v>
      </c>
      <c r="AP7" s="12">
        <f t="shared" si="0"/>
        <v>37.200000000000003</v>
      </c>
      <c r="AQ7" s="12">
        <f t="shared" si="0"/>
        <v>21.099999999999998</v>
      </c>
      <c r="AR7" s="12"/>
      <c r="AS7" s="12">
        <f t="shared" si="0"/>
        <v>52.1</v>
      </c>
      <c r="AT7" s="12">
        <f t="shared" si="0"/>
        <v>35.4</v>
      </c>
      <c r="AU7" s="12">
        <f t="shared" si="0"/>
        <v>73.900000000000006</v>
      </c>
      <c r="AV7" s="12">
        <f t="shared" si="0"/>
        <v>62.1</v>
      </c>
      <c r="AW7" s="12">
        <f t="shared" si="0"/>
        <v>86.9</v>
      </c>
      <c r="AX7" s="12">
        <f t="shared" si="0"/>
        <v>22.3</v>
      </c>
      <c r="AY7" s="12"/>
      <c r="AZ7" s="12">
        <f t="shared" si="3"/>
        <v>25.5</v>
      </c>
      <c r="BA7" s="12">
        <f t="shared" si="4"/>
        <v>52.800000000000004</v>
      </c>
      <c r="BB7" s="12"/>
      <c r="BC7" s="12">
        <f t="shared" si="5"/>
        <v>55.900000000000006</v>
      </c>
      <c r="BD7" s="12">
        <f t="shared" si="6"/>
        <v>49</v>
      </c>
      <c r="BE7" s="12">
        <f t="shared" si="7"/>
        <v>27.400000000000006</v>
      </c>
    </row>
    <row r="8" spans="1:57" x14ac:dyDescent="0.25">
      <c r="A8" s="1" t="s">
        <v>163</v>
      </c>
      <c r="B8" s="3" t="s">
        <v>164</v>
      </c>
      <c r="C8" s="4" t="s">
        <v>8</v>
      </c>
      <c r="D8" s="4">
        <v>8</v>
      </c>
      <c r="E8" s="4">
        <v>257</v>
      </c>
      <c r="F8" s="4">
        <v>8</v>
      </c>
      <c r="G8" s="4">
        <v>257</v>
      </c>
      <c r="H8" s="4">
        <v>0.38800000000000001</v>
      </c>
      <c r="I8" s="4">
        <v>13.3</v>
      </c>
      <c r="J8" s="4">
        <v>0</v>
      </c>
      <c r="K8" s="4">
        <v>0.66900000000000004</v>
      </c>
      <c r="L8" s="4">
        <v>0.248</v>
      </c>
      <c r="M8" s="4">
        <v>0.19800000000000001</v>
      </c>
      <c r="N8" s="4">
        <v>9.9000000000000005E-2</v>
      </c>
      <c r="O8" s="4">
        <v>0.124</v>
      </c>
      <c r="P8" s="4">
        <v>0.33100000000000002</v>
      </c>
      <c r="Q8" s="4">
        <v>0</v>
      </c>
      <c r="R8" s="4">
        <v>0.44400000000000001</v>
      </c>
      <c r="S8" s="4">
        <v>0.63300000000000001</v>
      </c>
      <c r="T8" s="4">
        <v>0.375</v>
      </c>
      <c r="U8" s="4">
        <v>0.25</v>
      </c>
      <c r="V8" s="4">
        <v>0.33300000000000002</v>
      </c>
      <c r="W8" s="4">
        <v>0.27500000000000002</v>
      </c>
      <c r="X8" s="4">
        <v>0</v>
      </c>
      <c r="Y8" s="4">
        <v>0.27800000000000002</v>
      </c>
      <c r="Z8" s="4">
        <v>0.54500000000000004</v>
      </c>
      <c r="AA8" s="4">
        <v>0</v>
      </c>
      <c r="AB8" s="4">
        <v>0.17499999999999999</v>
      </c>
      <c r="AC8" s="4">
        <v>0.28599999999999998</v>
      </c>
      <c r="AD8" s="10">
        <f t="shared" si="1"/>
        <v>0.36637700000000006</v>
      </c>
      <c r="AE8" s="9"/>
      <c r="AF8" s="9"/>
      <c r="AG8" s="12">
        <f t="shared" si="2"/>
        <v>69.5</v>
      </c>
      <c r="AH8" s="12">
        <f t="shared" si="0"/>
        <v>97.5</v>
      </c>
      <c r="AI8" s="12">
        <f t="shared" si="0"/>
        <v>27.3</v>
      </c>
      <c r="AJ8" s="12">
        <f t="shared" si="0"/>
        <v>46.5</v>
      </c>
      <c r="AK8" s="12"/>
      <c r="AL8" s="12">
        <f t="shared" si="0"/>
        <v>63.9</v>
      </c>
      <c r="AM8" s="12">
        <f t="shared" si="0"/>
        <v>55.2</v>
      </c>
      <c r="AN8" s="12">
        <f t="shared" si="0"/>
        <v>38.5</v>
      </c>
      <c r="AO8" s="12">
        <f t="shared" si="0"/>
        <v>69.5</v>
      </c>
      <c r="AP8" s="12">
        <f t="shared" si="0"/>
        <v>89.4</v>
      </c>
      <c r="AQ8" s="12">
        <f t="shared" si="0"/>
        <v>36</v>
      </c>
      <c r="AR8" s="12"/>
      <c r="AS8" s="12">
        <f t="shared" si="0"/>
        <v>26</v>
      </c>
      <c r="AT8" s="12">
        <f t="shared" si="0"/>
        <v>47.8</v>
      </c>
      <c r="AU8" s="12">
        <f t="shared" si="0"/>
        <v>40.9</v>
      </c>
      <c r="AV8" s="12">
        <f t="shared" si="0"/>
        <v>50.3</v>
      </c>
      <c r="AW8" s="12">
        <f t="shared" si="0"/>
        <v>65.8</v>
      </c>
      <c r="AX8" s="12">
        <f t="shared" si="0"/>
        <v>36.6</v>
      </c>
      <c r="AY8" s="12"/>
      <c r="AZ8" s="12">
        <f t="shared" si="3"/>
        <v>87</v>
      </c>
      <c r="BA8" s="12">
        <f t="shared" si="4"/>
        <v>79.599999999999994</v>
      </c>
      <c r="BB8" s="12"/>
      <c r="BC8" s="12">
        <f t="shared" si="5"/>
        <v>47.8</v>
      </c>
      <c r="BD8" s="12">
        <f t="shared" si="6"/>
        <v>56.499999999999993</v>
      </c>
      <c r="BE8" s="12">
        <f t="shared" si="7"/>
        <v>94.5</v>
      </c>
    </row>
    <row r="9" spans="1:57" x14ac:dyDescent="0.25">
      <c r="A9" s="1" t="s">
        <v>104</v>
      </c>
      <c r="B9" s="3" t="s">
        <v>101</v>
      </c>
      <c r="C9" s="4" t="s">
        <v>87</v>
      </c>
      <c r="D9" s="4">
        <v>8</v>
      </c>
      <c r="E9" s="4">
        <v>254</v>
      </c>
      <c r="F9" s="4">
        <v>8</v>
      </c>
      <c r="G9" s="4">
        <v>254</v>
      </c>
      <c r="H9" s="4">
        <v>0.56799999999999995</v>
      </c>
      <c r="I9" s="4">
        <v>6.1</v>
      </c>
      <c r="J9" s="4">
        <v>0</v>
      </c>
      <c r="K9" s="4">
        <v>0.93200000000000005</v>
      </c>
      <c r="L9" s="4">
        <v>0.56799999999999995</v>
      </c>
      <c r="M9" s="4">
        <v>0.23</v>
      </c>
      <c r="N9" s="4">
        <v>9.5000000000000001E-2</v>
      </c>
      <c r="O9" s="4">
        <v>4.1000000000000002E-2</v>
      </c>
      <c r="P9" s="4">
        <v>6.8000000000000005E-2</v>
      </c>
      <c r="Q9" s="4">
        <v>0</v>
      </c>
      <c r="R9" s="4">
        <v>0.60899999999999999</v>
      </c>
      <c r="S9" s="4">
        <v>0.73799999999999999</v>
      </c>
      <c r="T9" s="4">
        <v>0.47099999999999997</v>
      </c>
      <c r="U9" s="4">
        <v>0.42899999999999999</v>
      </c>
      <c r="V9" s="4">
        <v>0</v>
      </c>
      <c r="W9" s="4">
        <v>0</v>
      </c>
      <c r="X9" s="4">
        <v>0</v>
      </c>
      <c r="Y9" s="4">
        <v>0.64300000000000002</v>
      </c>
      <c r="Z9" s="4">
        <v>0</v>
      </c>
      <c r="AA9" s="4">
        <v>0</v>
      </c>
      <c r="AB9" s="4">
        <v>0.2</v>
      </c>
      <c r="AC9" s="4">
        <v>0</v>
      </c>
      <c r="AD9" s="10">
        <f t="shared" si="1"/>
        <v>0.59927600000000003</v>
      </c>
      <c r="AE9" s="9"/>
      <c r="AF9" s="9"/>
      <c r="AG9" s="12">
        <f t="shared" si="2"/>
        <v>69.5</v>
      </c>
      <c r="AH9" s="12">
        <f t="shared" si="0"/>
        <v>96.8</v>
      </c>
      <c r="AI9" s="12">
        <f t="shared" si="0"/>
        <v>85</v>
      </c>
      <c r="AJ9" s="12">
        <f t="shared" si="0"/>
        <v>9.3000000000000007</v>
      </c>
      <c r="AK9" s="12"/>
      <c r="AL9" s="12">
        <f t="shared" si="0"/>
        <v>90</v>
      </c>
      <c r="AM9" s="12">
        <f t="shared" si="0"/>
        <v>95</v>
      </c>
      <c r="AN9" s="12">
        <f t="shared" si="0"/>
        <v>49</v>
      </c>
      <c r="AO9" s="12">
        <f t="shared" si="0"/>
        <v>68.899999999999991</v>
      </c>
      <c r="AP9" s="12">
        <f t="shared" si="0"/>
        <v>55.2</v>
      </c>
      <c r="AQ9" s="12">
        <f t="shared" si="0"/>
        <v>9.3000000000000007</v>
      </c>
      <c r="AR9" s="12"/>
      <c r="AS9" s="12">
        <f t="shared" si="0"/>
        <v>77</v>
      </c>
      <c r="AT9" s="12">
        <f t="shared" si="0"/>
        <v>64.5</v>
      </c>
      <c r="AU9" s="12">
        <f t="shared" si="0"/>
        <v>57.099999999999994</v>
      </c>
      <c r="AV9" s="12">
        <f t="shared" si="0"/>
        <v>67</v>
      </c>
      <c r="AW9" s="12">
        <f t="shared" si="0"/>
        <v>0</v>
      </c>
      <c r="AX9" s="12">
        <f t="shared" si="0"/>
        <v>0</v>
      </c>
      <c r="AY9" s="12"/>
      <c r="AZ9" s="12">
        <f t="shared" si="3"/>
        <v>44.099999999999994</v>
      </c>
      <c r="BA9" s="12">
        <f t="shared" si="4"/>
        <v>100</v>
      </c>
      <c r="BB9" s="12"/>
      <c r="BC9" s="12">
        <f t="shared" si="5"/>
        <v>50.3</v>
      </c>
      <c r="BD9" s="12">
        <f t="shared" si="6"/>
        <v>0</v>
      </c>
      <c r="BE9" s="12">
        <f t="shared" si="7"/>
        <v>69.599999999999994</v>
      </c>
    </row>
    <row r="10" spans="1:57" x14ac:dyDescent="0.25">
      <c r="A10" s="1" t="s">
        <v>103</v>
      </c>
      <c r="B10" s="3" t="s">
        <v>101</v>
      </c>
      <c r="C10" s="4" t="s">
        <v>8</v>
      </c>
      <c r="D10" s="4">
        <v>8</v>
      </c>
      <c r="E10" s="4">
        <v>241</v>
      </c>
      <c r="F10" s="4">
        <v>8</v>
      </c>
      <c r="G10" s="4">
        <v>241</v>
      </c>
      <c r="H10" s="4">
        <v>0.33300000000000002</v>
      </c>
      <c r="I10" s="4">
        <v>16.2</v>
      </c>
      <c r="J10" s="4">
        <v>0</v>
      </c>
      <c r="K10" s="4">
        <v>0.55900000000000005</v>
      </c>
      <c r="L10" s="4">
        <v>0.127</v>
      </c>
      <c r="M10" s="4">
        <v>0.186</v>
      </c>
      <c r="N10" s="4">
        <v>0.16700000000000001</v>
      </c>
      <c r="O10" s="4">
        <v>7.8E-2</v>
      </c>
      <c r="P10" s="4">
        <v>0.441</v>
      </c>
      <c r="Q10" s="4">
        <v>0</v>
      </c>
      <c r="R10" s="4">
        <v>0.33300000000000002</v>
      </c>
      <c r="S10" s="4">
        <v>0.38500000000000001</v>
      </c>
      <c r="T10" s="4">
        <v>0.36799999999999999</v>
      </c>
      <c r="U10" s="4">
        <v>0.17599999999999999</v>
      </c>
      <c r="V10" s="4">
        <v>0.5</v>
      </c>
      <c r="W10" s="4">
        <v>0.33300000000000002</v>
      </c>
      <c r="X10" s="4">
        <v>0</v>
      </c>
      <c r="Y10" s="4">
        <v>0.52600000000000002</v>
      </c>
      <c r="Z10" s="4">
        <v>0.8</v>
      </c>
      <c r="AA10" s="4">
        <v>0</v>
      </c>
      <c r="AB10" s="4">
        <v>0.156</v>
      </c>
      <c r="AC10" s="4">
        <v>0.42899999999999999</v>
      </c>
      <c r="AD10" s="10">
        <f t="shared" si="1"/>
        <v>0.64683400000000002</v>
      </c>
      <c r="AE10" s="9"/>
      <c r="AF10" s="9"/>
      <c r="AG10" s="12">
        <f t="shared" si="2"/>
        <v>69.5</v>
      </c>
      <c r="AH10" s="12">
        <f t="shared" si="0"/>
        <v>96.2</v>
      </c>
      <c r="AI10" s="12">
        <f t="shared" si="0"/>
        <v>12.4</v>
      </c>
      <c r="AJ10" s="12">
        <f t="shared" si="0"/>
        <v>71.399999999999991</v>
      </c>
      <c r="AK10" s="12"/>
      <c r="AL10" s="12">
        <f t="shared" si="0"/>
        <v>37.799999999999997</v>
      </c>
      <c r="AM10" s="12">
        <f t="shared" si="0"/>
        <v>24.2</v>
      </c>
      <c r="AN10" s="12">
        <f t="shared" si="0"/>
        <v>36.6</v>
      </c>
      <c r="AO10" s="12">
        <f t="shared" si="0"/>
        <v>88.1</v>
      </c>
      <c r="AP10" s="12">
        <f t="shared" si="0"/>
        <v>76.3</v>
      </c>
      <c r="AQ10" s="12">
        <f t="shared" si="0"/>
        <v>62.1</v>
      </c>
      <c r="AR10" s="12"/>
      <c r="AS10" s="12">
        <f t="shared" si="0"/>
        <v>6.8000000000000007</v>
      </c>
      <c r="AT10" s="12">
        <f t="shared" si="0"/>
        <v>16.7</v>
      </c>
      <c r="AU10" s="12">
        <f t="shared" si="0"/>
        <v>40.300000000000004</v>
      </c>
      <c r="AV10" s="12">
        <f t="shared" si="0"/>
        <v>47.8</v>
      </c>
      <c r="AW10" s="12">
        <f t="shared" si="0"/>
        <v>75.7</v>
      </c>
      <c r="AX10" s="12">
        <f t="shared" si="0"/>
        <v>49</v>
      </c>
      <c r="AY10" s="12"/>
      <c r="AZ10" s="12">
        <f t="shared" si="3"/>
        <v>63.4</v>
      </c>
      <c r="BA10" s="12">
        <f t="shared" si="4"/>
        <v>68.400000000000006</v>
      </c>
      <c r="BB10" s="12"/>
      <c r="BC10" s="12">
        <f t="shared" si="5"/>
        <v>43.4</v>
      </c>
      <c r="BD10" s="12">
        <f t="shared" si="6"/>
        <v>68.899999999999991</v>
      </c>
      <c r="BE10" s="12">
        <f t="shared" si="7"/>
        <v>59.699999999999996</v>
      </c>
    </row>
    <row r="11" spans="1:57" x14ac:dyDescent="0.25">
      <c r="A11" s="1" t="s">
        <v>111</v>
      </c>
      <c r="B11" s="3" t="s">
        <v>244</v>
      </c>
      <c r="C11" s="4" t="s">
        <v>87</v>
      </c>
      <c r="D11" s="4">
        <v>8</v>
      </c>
      <c r="E11" s="4">
        <v>234</v>
      </c>
      <c r="F11" s="4">
        <v>8</v>
      </c>
      <c r="G11" s="4">
        <v>234</v>
      </c>
      <c r="H11" s="4">
        <v>0.44</v>
      </c>
      <c r="I11" s="4">
        <v>18.399999999999999</v>
      </c>
      <c r="J11" s="4">
        <v>0</v>
      </c>
      <c r="K11" s="4">
        <v>0.38500000000000001</v>
      </c>
      <c r="L11" s="4">
        <v>6.6000000000000003E-2</v>
      </c>
      <c r="M11" s="4">
        <v>0.17599999999999999</v>
      </c>
      <c r="N11" s="4">
        <v>0.11</v>
      </c>
      <c r="O11" s="4">
        <v>3.3000000000000002E-2</v>
      </c>
      <c r="P11" s="4">
        <v>0.61499999999999999</v>
      </c>
      <c r="Q11" s="4">
        <v>0</v>
      </c>
      <c r="R11" s="4">
        <v>0.54300000000000004</v>
      </c>
      <c r="S11" s="4">
        <v>0.66700000000000004</v>
      </c>
      <c r="T11" s="4">
        <v>0.5</v>
      </c>
      <c r="U11" s="4">
        <v>0.5</v>
      </c>
      <c r="V11" s="4">
        <v>0.66700000000000004</v>
      </c>
      <c r="W11" s="4">
        <v>0.375</v>
      </c>
      <c r="X11" s="4">
        <v>0</v>
      </c>
      <c r="Y11" s="4">
        <v>0.36799999999999999</v>
      </c>
      <c r="Z11" s="4">
        <v>0.95199999999999996</v>
      </c>
      <c r="AA11" s="4">
        <v>0</v>
      </c>
      <c r="AB11" s="4">
        <v>0.214</v>
      </c>
      <c r="AC11" s="4">
        <v>0.16700000000000001</v>
      </c>
      <c r="AD11" s="10">
        <f t="shared" si="1"/>
        <v>0.72716000000000003</v>
      </c>
      <c r="AE11" s="9"/>
      <c r="AF11" s="9"/>
      <c r="AG11" s="12">
        <f t="shared" si="2"/>
        <v>69.5</v>
      </c>
      <c r="AH11" s="12">
        <f t="shared" si="0"/>
        <v>95.6</v>
      </c>
      <c r="AI11" s="12">
        <f t="shared" si="0"/>
        <v>44.7</v>
      </c>
      <c r="AJ11" s="12">
        <f t="shared" si="0"/>
        <v>85.7</v>
      </c>
      <c r="AK11" s="12"/>
      <c r="AL11" s="12">
        <f t="shared" si="0"/>
        <v>13.600000000000001</v>
      </c>
      <c r="AM11" s="12">
        <f t="shared" si="0"/>
        <v>13.600000000000001</v>
      </c>
      <c r="AN11" s="12">
        <f t="shared" si="0"/>
        <v>32.9</v>
      </c>
      <c r="AO11" s="12">
        <f t="shared" si="0"/>
        <v>71.399999999999991</v>
      </c>
      <c r="AP11" s="12">
        <f t="shared" si="0"/>
        <v>47.8</v>
      </c>
      <c r="AQ11" s="12">
        <f t="shared" si="0"/>
        <v>85.7</v>
      </c>
      <c r="AR11" s="12"/>
      <c r="AS11" s="12">
        <f t="shared" si="0"/>
        <v>62.1</v>
      </c>
      <c r="AT11" s="12">
        <f t="shared" si="0"/>
        <v>51.5</v>
      </c>
      <c r="AU11" s="12">
        <f t="shared" si="0"/>
        <v>59</v>
      </c>
      <c r="AV11" s="12">
        <f t="shared" si="0"/>
        <v>72.599999999999994</v>
      </c>
      <c r="AW11" s="12">
        <f t="shared" si="0"/>
        <v>86.9</v>
      </c>
      <c r="AX11" s="12">
        <f t="shared" si="0"/>
        <v>63.9</v>
      </c>
      <c r="AY11" s="12"/>
      <c r="AZ11" s="12">
        <f t="shared" si="3"/>
        <v>75.8</v>
      </c>
      <c r="BA11" s="12">
        <f t="shared" si="4"/>
        <v>53.5</v>
      </c>
      <c r="BB11" s="12"/>
      <c r="BC11" s="12">
        <f t="shared" si="5"/>
        <v>54</v>
      </c>
      <c r="BD11" s="12">
        <f t="shared" si="6"/>
        <v>47.8</v>
      </c>
      <c r="BE11" s="12">
        <f t="shared" si="7"/>
        <v>47.3</v>
      </c>
    </row>
    <row r="12" spans="1:57" x14ac:dyDescent="0.25">
      <c r="A12" s="1" t="s">
        <v>97</v>
      </c>
      <c r="B12" s="3" t="s">
        <v>98</v>
      </c>
      <c r="C12" s="4" t="s">
        <v>8</v>
      </c>
      <c r="D12" s="4">
        <v>7</v>
      </c>
      <c r="E12" s="4">
        <v>231</v>
      </c>
      <c r="F12" s="4">
        <v>7</v>
      </c>
      <c r="G12" s="4">
        <v>231</v>
      </c>
      <c r="H12" s="4">
        <v>0.44600000000000001</v>
      </c>
      <c r="I12" s="4">
        <v>15.4</v>
      </c>
      <c r="J12" s="4">
        <v>0</v>
      </c>
      <c r="K12" s="4">
        <v>0.58099999999999996</v>
      </c>
      <c r="L12" s="4">
        <v>0.25700000000000001</v>
      </c>
      <c r="M12" s="4">
        <v>8.1000000000000003E-2</v>
      </c>
      <c r="N12" s="4">
        <v>6.8000000000000005E-2</v>
      </c>
      <c r="O12" s="4">
        <v>0.17599999999999999</v>
      </c>
      <c r="P12" s="4">
        <v>0.41899999999999998</v>
      </c>
      <c r="Q12" s="4">
        <v>0</v>
      </c>
      <c r="R12" s="4">
        <v>0.53500000000000003</v>
      </c>
      <c r="S12" s="4">
        <v>0.78900000000000003</v>
      </c>
      <c r="T12" s="4">
        <v>0.5</v>
      </c>
      <c r="U12" s="4">
        <v>0</v>
      </c>
      <c r="V12" s="4">
        <v>0.38500000000000001</v>
      </c>
      <c r="W12" s="4">
        <v>0.32300000000000001</v>
      </c>
      <c r="X12" s="4">
        <v>0</v>
      </c>
      <c r="Y12" s="4">
        <v>0.91300000000000003</v>
      </c>
      <c r="Z12" s="4">
        <v>1</v>
      </c>
      <c r="AA12" s="4">
        <v>0</v>
      </c>
      <c r="AB12" s="4">
        <v>0.25800000000000001</v>
      </c>
      <c r="AC12" s="4">
        <v>0.5</v>
      </c>
      <c r="AD12" s="10">
        <f t="shared" si="1"/>
        <v>0.94945299999999988</v>
      </c>
      <c r="AE12" s="9"/>
      <c r="AF12" s="9"/>
      <c r="AG12" s="12">
        <f t="shared" si="2"/>
        <v>47.199999999999996</v>
      </c>
      <c r="AH12" s="12">
        <f t="shared" si="0"/>
        <v>93.7</v>
      </c>
      <c r="AI12" s="12">
        <f t="shared" si="0"/>
        <v>47.8</v>
      </c>
      <c r="AJ12" s="12">
        <f t="shared" si="0"/>
        <v>68.300000000000011</v>
      </c>
      <c r="AK12" s="12"/>
      <c r="AL12" s="12">
        <f t="shared" si="0"/>
        <v>43.4</v>
      </c>
      <c r="AM12" s="12">
        <f t="shared" si="0"/>
        <v>57.699999999999996</v>
      </c>
      <c r="AN12" s="12">
        <f t="shared" si="0"/>
        <v>12.4</v>
      </c>
      <c r="AO12" s="12">
        <f t="shared" si="0"/>
        <v>54.6</v>
      </c>
      <c r="AP12" s="12">
        <f t="shared" si="0"/>
        <v>96.8</v>
      </c>
      <c r="AQ12" s="12">
        <f t="shared" si="0"/>
        <v>56.499999999999993</v>
      </c>
      <c r="AR12" s="12"/>
      <c r="AS12" s="12">
        <f t="shared" si="0"/>
        <v>58.3</v>
      </c>
      <c r="AT12" s="12">
        <f t="shared" si="0"/>
        <v>72.599999999999994</v>
      </c>
      <c r="AU12" s="12">
        <f t="shared" si="0"/>
        <v>59</v>
      </c>
      <c r="AV12" s="12">
        <f t="shared" si="0"/>
        <v>0</v>
      </c>
      <c r="AW12" s="12">
        <f t="shared" si="0"/>
        <v>74.5</v>
      </c>
      <c r="AX12" s="12">
        <f t="shared" si="0"/>
        <v>46.5</v>
      </c>
      <c r="AY12" s="12"/>
      <c r="AZ12" s="12">
        <f t="shared" si="3"/>
        <v>11.200000000000003</v>
      </c>
      <c r="BA12" s="12">
        <f t="shared" si="4"/>
        <v>52.800000000000004</v>
      </c>
      <c r="BB12" s="12"/>
      <c r="BC12" s="12">
        <f t="shared" si="5"/>
        <v>63.9</v>
      </c>
      <c r="BD12" s="12">
        <f t="shared" si="6"/>
        <v>70.8</v>
      </c>
      <c r="BE12" s="12">
        <f t="shared" si="7"/>
        <v>8.7000000000000028</v>
      </c>
    </row>
    <row r="13" spans="1:57" x14ac:dyDescent="0.25">
      <c r="A13" s="1" t="s">
        <v>88</v>
      </c>
      <c r="B13" s="3" t="s">
        <v>86</v>
      </c>
      <c r="C13" s="4" t="s">
        <v>8</v>
      </c>
      <c r="D13" s="4">
        <v>8</v>
      </c>
      <c r="E13" s="4">
        <v>231</v>
      </c>
      <c r="F13" s="4">
        <v>8</v>
      </c>
      <c r="G13" s="4">
        <v>231</v>
      </c>
      <c r="H13" s="4">
        <v>0.442</v>
      </c>
      <c r="I13" s="4">
        <v>22.1</v>
      </c>
      <c r="J13" s="4">
        <v>0</v>
      </c>
      <c r="K13" s="4">
        <v>0.19500000000000001</v>
      </c>
      <c r="L13" s="4">
        <v>3.9E-2</v>
      </c>
      <c r="M13" s="4">
        <v>6.5000000000000002E-2</v>
      </c>
      <c r="N13" s="4">
        <v>3.9E-2</v>
      </c>
      <c r="O13" s="4">
        <v>5.1999999999999998E-2</v>
      </c>
      <c r="P13" s="4">
        <v>0.80500000000000005</v>
      </c>
      <c r="Q13" s="4">
        <v>0</v>
      </c>
      <c r="R13" s="4">
        <v>0.46700000000000003</v>
      </c>
      <c r="S13" s="4">
        <v>0.66700000000000004</v>
      </c>
      <c r="T13" s="4">
        <v>0.4</v>
      </c>
      <c r="U13" s="4">
        <v>0.66700000000000004</v>
      </c>
      <c r="V13" s="4">
        <v>0.25</v>
      </c>
      <c r="W13" s="4">
        <v>0.435</v>
      </c>
      <c r="X13" s="4">
        <v>0</v>
      </c>
      <c r="Y13" s="4">
        <v>0.71399999999999997</v>
      </c>
      <c r="Z13" s="4">
        <v>0.70399999999999996</v>
      </c>
      <c r="AA13" s="4">
        <v>0</v>
      </c>
      <c r="AB13" s="4">
        <v>0.27400000000000002</v>
      </c>
      <c r="AC13" s="4">
        <v>0.47099999999999997</v>
      </c>
      <c r="AD13" s="10">
        <f t="shared" si="1"/>
        <v>0.70594999999999997</v>
      </c>
      <c r="AE13" s="9"/>
      <c r="AF13" s="9"/>
      <c r="AG13" s="12">
        <f t="shared" si="2"/>
        <v>69.5</v>
      </c>
      <c r="AH13" s="12">
        <f t="shared" si="0"/>
        <v>93.7</v>
      </c>
      <c r="AI13" s="12">
        <f t="shared" si="0"/>
        <v>45.300000000000004</v>
      </c>
      <c r="AJ13" s="12">
        <f t="shared" si="0"/>
        <v>99.3</v>
      </c>
      <c r="AK13" s="12"/>
      <c r="AL13" s="12">
        <f t="shared" si="0"/>
        <v>1.7999999999999998</v>
      </c>
      <c r="AM13" s="12">
        <f t="shared" si="0"/>
        <v>8.6</v>
      </c>
      <c r="AN13" s="12">
        <f t="shared" si="0"/>
        <v>9.9</v>
      </c>
      <c r="AO13" s="12">
        <f t="shared" si="0"/>
        <v>34.699999999999996</v>
      </c>
      <c r="AP13" s="12">
        <f t="shared" si="0"/>
        <v>62.1</v>
      </c>
      <c r="AQ13" s="12">
        <f t="shared" si="0"/>
        <v>98.1</v>
      </c>
      <c r="AR13" s="12"/>
      <c r="AS13" s="12">
        <f t="shared" si="0"/>
        <v>31.6</v>
      </c>
      <c r="AT13" s="12">
        <f t="shared" si="0"/>
        <v>51.5</v>
      </c>
      <c r="AU13" s="12">
        <f t="shared" si="0"/>
        <v>43.4</v>
      </c>
      <c r="AV13" s="12">
        <f t="shared" si="0"/>
        <v>85</v>
      </c>
      <c r="AW13" s="12">
        <f t="shared" si="0"/>
        <v>60.8</v>
      </c>
      <c r="AX13" s="12">
        <f t="shared" si="0"/>
        <v>80.100000000000009</v>
      </c>
      <c r="AY13" s="12"/>
      <c r="AZ13" s="12">
        <f t="shared" si="3"/>
        <v>36.700000000000003</v>
      </c>
      <c r="BA13" s="12">
        <f t="shared" si="4"/>
        <v>75.2</v>
      </c>
      <c r="BB13" s="12"/>
      <c r="BC13" s="12">
        <f t="shared" si="5"/>
        <v>67.7</v>
      </c>
      <c r="BD13" s="12">
        <f t="shared" si="6"/>
        <v>70.099999999999994</v>
      </c>
      <c r="BE13" s="12">
        <f t="shared" si="7"/>
        <v>51</v>
      </c>
    </row>
    <row r="14" spans="1:57" x14ac:dyDescent="0.25">
      <c r="A14" s="1" t="s">
        <v>89</v>
      </c>
      <c r="B14" s="3" t="s">
        <v>86</v>
      </c>
      <c r="C14" s="4" t="s">
        <v>90</v>
      </c>
      <c r="D14" s="4">
        <v>8</v>
      </c>
      <c r="E14" s="4">
        <v>231</v>
      </c>
      <c r="F14" s="4">
        <v>8</v>
      </c>
      <c r="G14" s="4">
        <v>231</v>
      </c>
      <c r="H14" s="4">
        <v>0.41299999999999998</v>
      </c>
      <c r="I14" s="4">
        <v>13.3</v>
      </c>
      <c r="J14" s="4">
        <v>0</v>
      </c>
      <c r="K14" s="4">
        <v>0.61299999999999999</v>
      </c>
      <c r="L14" s="4">
        <v>0.22500000000000001</v>
      </c>
      <c r="M14" s="4">
        <v>0.26300000000000001</v>
      </c>
      <c r="N14" s="4">
        <v>7.4999999999999997E-2</v>
      </c>
      <c r="O14" s="4">
        <v>0.05</v>
      </c>
      <c r="P14" s="4">
        <v>0.38800000000000001</v>
      </c>
      <c r="Q14" s="4">
        <v>0</v>
      </c>
      <c r="R14" s="4">
        <v>0.46899999999999997</v>
      </c>
      <c r="S14" s="4">
        <v>0.72199999999999998</v>
      </c>
      <c r="T14" s="4">
        <v>0.23799999999999999</v>
      </c>
      <c r="U14" s="4">
        <v>0.66700000000000004</v>
      </c>
      <c r="V14" s="4">
        <v>0.25</v>
      </c>
      <c r="W14" s="4">
        <v>0.32300000000000001</v>
      </c>
      <c r="X14" s="4">
        <v>0</v>
      </c>
      <c r="Y14" s="4">
        <v>0.60899999999999999</v>
      </c>
      <c r="Z14" s="4">
        <v>1</v>
      </c>
      <c r="AA14" s="4">
        <v>0</v>
      </c>
      <c r="AB14" s="4">
        <v>0.161</v>
      </c>
      <c r="AC14" s="4">
        <v>0.6</v>
      </c>
      <c r="AD14" s="10">
        <f t="shared" si="1"/>
        <v>0.76131700000000002</v>
      </c>
      <c r="AE14" s="9"/>
      <c r="AF14" s="9"/>
      <c r="AG14" s="12">
        <f t="shared" si="2"/>
        <v>69.5</v>
      </c>
      <c r="AH14" s="12">
        <f t="shared" si="0"/>
        <v>93.7</v>
      </c>
      <c r="AI14" s="12">
        <f t="shared" si="0"/>
        <v>36</v>
      </c>
      <c r="AJ14" s="12">
        <f t="shared" si="0"/>
        <v>46.5</v>
      </c>
      <c r="AK14" s="12"/>
      <c r="AL14" s="12">
        <f t="shared" si="0"/>
        <v>49</v>
      </c>
      <c r="AM14" s="12">
        <f t="shared" si="0"/>
        <v>52.1</v>
      </c>
      <c r="AN14" s="12">
        <f t="shared" si="0"/>
        <v>60.8</v>
      </c>
      <c r="AO14" s="12">
        <f t="shared" si="0"/>
        <v>60.199999999999996</v>
      </c>
      <c r="AP14" s="12">
        <f t="shared" si="0"/>
        <v>60.8</v>
      </c>
      <c r="AQ14" s="12">
        <f t="shared" si="0"/>
        <v>50.9</v>
      </c>
      <c r="AR14" s="12"/>
      <c r="AS14" s="12">
        <f t="shared" si="0"/>
        <v>32.9</v>
      </c>
      <c r="AT14" s="12">
        <f t="shared" si="0"/>
        <v>63.3</v>
      </c>
      <c r="AU14" s="12">
        <f t="shared" si="0"/>
        <v>19.2</v>
      </c>
      <c r="AV14" s="12">
        <f t="shared" si="0"/>
        <v>85</v>
      </c>
      <c r="AW14" s="12">
        <f t="shared" si="0"/>
        <v>60.8</v>
      </c>
      <c r="AX14" s="12">
        <f t="shared" si="0"/>
        <v>46.5</v>
      </c>
      <c r="AY14" s="12"/>
      <c r="AZ14" s="12">
        <f t="shared" si="3"/>
        <v>49.1</v>
      </c>
      <c r="BA14" s="12">
        <f t="shared" si="4"/>
        <v>52.800000000000004</v>
      </c>
      <c r="BB14" s="12"/>
      <c r="BC14" s="12">
        <f t="shared" si="5"/>
        <v>45.9</v>
      </c>
      <c r="BD14" s="12">
        <f t="shared" si="6"/>
        <v>81.3</v>
      </c>
      <c r="BE14" s="12">
        <f t="shared" si="7"/>
        <v>40.400000000000006</v>
      </c>
    </row>
    <row r="15" spans="1:57" x14ac:dyDescent="0.25">
      <c r="A15" s="1" t="s">
        <v>113</v>
      </c>
      <c r="B15" s="3" t="s">
        <v>95</v>
      </c>
      <c r="C15" s="4" t="s">
        <v>114</v>
      </c>
      <c r="D15" s="4">
        <v>8</v>
      </c>
      <c r="E15" s="4">
        <v>225</v>
      </c>
      <c r="F15" s="4">
        <v>8</v>
      </c>
      <c r="G15" s="4">
        <v>225</v>
      </c>
      <c r="H15" s="4">
        <v>0.377</v>
      </c>
      <c r="I15" s="4">
        <v>14.7</v>
      </c>
      <c r="J15" s="4">
        <v>0</v>
      </c>
      <c r="K15" s="4">
        <v>0.52200000000000002</v>
      </c>
      <c r="L15" s="4">
        <v>0.246</v>
      </c>
      <c r="M15" s="4">
        <v>0.17399999999999999</v>
      </c>
      <c r="N15" s="4">
        <v>5.8000000000000003E-2</v>
      </c>
      <c r="O15" s="4">
        <v>4.2999999999999997E-2</v>
      </c>
      <c r="P15" s="4">
        <v>0.47799999999999998</v>
      </c>
      <c r="Q15" s="4">
        <v>0</v>
      </c>
      <c r="R15" s="4">
        <v>0.55600000000000005</v>
      </c>
      <c r="S15" s="4">
        <v>0.76500000000000001</v>
      </c>
      <c r="T15" s="4">
        <v>0.58299999999999996</v>
      </c>
      <c r="U15" s="4">
        <v>0</v>
      </c>
      <c r="V15" s="4">
        <v>0</v>
      </c>
      <c r="W15" s="4">
        <v>0.182</v>
      </c>
      <c r="X15" s="4">
        <v>0</v>
      </c>
      <c r="Y15" s="4">
        <v>0.75</v>
      </c>
      <c r="Z15" s="4">
        <v>0.83299999999999996</v>
      </c>
      <c r="AA15" s="4">
        <v>0</v>
      </c>
      <c r="AB15" s="4">
        <v>0.30299999999999999</v>
      </c>
      <c r="AC15" s="4">
        <v>0.1</v>
      </c>
      <c r="AD15" s="10">
        <f t="shared" si="1"/>
        <v>0.78967399999999999</v>
      </c>
      <c r="AE15" s="9"/>
      <c r="AF15" s="9"/>
      <c r="AG15" s="12">
        <f t="shared" si="2"/>
        <v>69.5</v>
      </c>
      <c r="AH15" s="12">
        <f t="shared" si="0"/>
        <v>93.100000000000009</v>
      </c>
      <c r="AI15" s="12">
        <f t="shared" si="0"/>
        <v>24.2</v>
      </c>
      <c r="AJ15" s="12">
        <f t="shared" si="0"/>
        <v>60.8</v>
      </c>
      <c r="AK15" s="12"/>
      <c r="AL15" s="12">
        <f t="shared" si="0"/>
        <v>31</v>
      </c>
      <c r="AM15" s="12">
        <f t="shared" si="0"/>
        <v>54.6</v>
      </c>
      <c r="AN15" s="12">
        <f t="shared" si="0"/>
        <v>32.200000000000003</v>
      </c>
      <c r="AO15" s="12">
        <f t="shared" si="0"/>
        <v>45.300000000000004</v>
      </c>
      <c r="AP15" s="12">
        <f t="shared" si="0"/>
        <v>57.699999999999996</v>
      </c>
      <c r="AQ15" s="12">
        <f t="shared" si="0"/>
        <v>68.300000000000011</v>
      </c>
      <c r="AR15" s="12"/>
      <c r="AS15" s="12">
        <f t="shared" si="0"/>
        <v>65.8</v>
      </c>
      <c r="AT15" s="12">
        <f t="shared" si="0"/>
        <v>70.8</v>
      </c>
      <c r="AU15" s="12">
        <f t="shared" si="0"/>
        <v>81.899999999999991</v>
      </c>
      <c r="AV15" s="12">
        <f t="shared" si="0"/>
        <v>0</v>
      </c>
      <c r="AW15" s="12">
        <f t="shared" si="0"/>
        <v>0</v>
      </c>
      <c r="AX15" s="12">
        <f t="shared" si="0"/>
        <v>22.900000000000002</v>
      </c>
      <c r="AY15" s="12"/>
      <c r="AZ15" s="12">
        <f t="shared" si="3"/>
        <v>33</v>
      </c>
      <c r="BA15" s="12">
        <f t="shared" si="4"/>
        <v>65.900000000000006</v>
      </c>
      <c r="BB15" s="12"/>
      <c r="BC15" s="12">
        <f t="shared" si="5"/>
        <v>70.8</v>
      </c>
      <c r="BD15" s="12">
        <f t="shared" si="6"/>
        <v>44.7</v>
      </c>
      <c r="BE15" s="12">
        <f t="shared" si="7"/>
        <v>34.799999999999997</v>
      </c>
    </row>
    <row r="16" spans="1:57" x14ac:dyDescent="0.25">
      <c r="A16" s="1" t="s">
        <v>108</v>
      </c>
      <c r="B16" s="3" t="s">
        <v>109</v>
      </c>
      <c r="C16" s="4" t="s">
        <v>96</v>
      </c>
      <c r="D16" s="4">
        <v>9</v>
      </c>
      <c r="E16" s="4">
        <v>219</v>
      </c>
      <c r="F16" s="4">
        <v>9</v>
      </c>
      <c r="G16" s="4">
        <v>219</v>
      </c>
      <c r="H16" s="4">
        <v>0.33300000000000002</v>
      </c>
      <c r="I16" s="4">
        <v>14.7</v>
      </c>
      <c r="J16" s="4">
        <v>0</v>
      </c>
      <c r="K16" s="4">
        <v>0.56499999999999995</v>
      </c>
      <c r="L16" s="4">
        <v>0.17399999999999999</v>
      </c>
      <c r="M16" s="4">
        <v>0.26100000000000001</v>
      </c>
      <c r="N16" s="4">
        <v>4.2999999999999997E-2</v>
      </c>
      <c r="O16" s="4">
        <v>8.6999999999999994E-2</v>
      </c>
      <c r="P16" s="4">
        <v>0.435</v>
      </c>
      <c r="Q16" s="4">
        <v>0</v>
      </c>
      <c r="R16" s="4">
        <v>0.41</v>
      </c>
      <c r="S16" s="4">
        <v>0.58299999999999996</v>
      </c>
      <c r="T16" s="4">
        <v>0.27800000000000002</v>
      </c>
      <c r="U16" s="4">
        <v>0</v>
      </c>
      <c r="V16" s="4">
        <v>0.66700000000000004</v>
      </c>
      <c r="W16" s="4">
        <v>0.23300000000000001</v>
      </c>
      <c r="X16" s="4">
        <v>0</v>
      </c>
      <c r="Y16" s="4">
        <v>0.625</v>
      </c>
      <c r="Z16" s="4">
        <v>1</v>
      </c>
      <c r="AA16" s="4">
        <v>0</v>
      </c>
      <c r="AB16" s="4">
        <v>0.13300000000000001</v>
      </c>
      <c r="AC16" s="4">
        <v>0.25</v>
      </c>
      <c r="AD16" s="10">
        <f t="shared" si="1"/>
        <v>0.78812499999999996</v>
      </c>
      <c r="AE16" s="9"/>
      <c r="AF16" s="9"/>
      <c r="AG16" s="12">
        <f t="shared" si="2"/>
        <v>96.2</v>
      </c>
      <c r="AH16" s="12">
        <f t="shared" si="0"/>
        <v>92.5</v>
      </c>
      <c r="AI16" s="12">
        <f t="shared" si="0"/>
        <v>12.4</v>
      </c>
      <c r="AJ16" s="12">
        <f t="shared" si="0"/>
        <v>60.8</v>
      </c>
      <c r="AK16" s="12"/>
      <c r="AL16" s="12">
        <f t="shared" si="0"/>
        <v>38.5</v>
      </c>
      <c r="AM16" s="12">
        <f t="shared" si="0"/>
        <v>33.5</v>
      </c>
      <c r="AN16" s="12">
        <f t="shared" si="0"/>
        <v>59.599999999999994</v>
      </c>
      <c r="AO16" s="12">
        <f t="shared" si="0"/>
        <v>36.6</v>
      </c>
      <c r="AP16" s="12">
        <f t="shared" si="0"/>
        <v>78.8</v>
      </c>
      <c r="AQ16" s="12">
        <f t="shared" si="0"/>
        <v>60.8</v>
      </c>
      <c r="AR16" s="12"/>
      <c r="AS16" s="12">
        <f t="shared" si="0"/>
        <v>19.8</v>
      </c>
      <c r="AT16" s="12">
        <f t="shared" si="0"/>
        <v>39.1</v>
      </c>
      <c r="AU16" s="12">
        <f t="shared" si="0"/>
        <v>25.4</v>
      </c>
      <c r="AV16" s="12">
        <f t="shared" si="0"/>
        <v>0</v>
      </c>
      <c r="AW16" s="12">
        <f t="shared" si="0"/>
        <v>86.9</v>
      </c>
      <c r="AX16" s="12">
        <f t="shared" si="0"/>
        <v>27.900000000000002</v>
      </c>
      <c r="AY16" s="12"/>
      <c r="AZ16" s="12">
        <f t="shared" si="3"/>
        <v>46.599999999999994</v>
      </c>
      <c r="BA16" s="12">
        <f t="shared" si="4"/>
        <v>52.800000000000004</v>
      </c>
      <c r="BB16" s="12"/>
      <c r="BC16" s="12">
        <f t="shared" si="5"/>
        <v>40.300000000000004</v>
      </c>
      <c r="BD16" s="12">
        <f t="shared" si="6"/>
        <v>52.7</v>
      </c>
      <c r="BE16" s="12">
        <f t="shared" si="7"/>
        <v>35.5</v>
      </c>
    </row>
    <row r="17" spans="1:57" x14ac:dyDescent="0.25">
      <c r="A17" s="1" t="s">
        <v>105</v>
      </c>
      <c r="B17" s="3" t="s">
        <v>98</v>
      </c>
      <c r="C17" s="4" t="s">
        <v>8</v>
      </c>
      <c r="D17" s="4">
        <v>7</v>
      </c>
      <c r="E17" s="4">
        <v>218</v>
      </c>
      <c r="F17" s="4">
        <v>7</v>
      </c>
      <c r="G17" s="4">
        <v>218</v>
      </c>
      <c r="H17" s="4">
        <v>0.47199999999999998</v>
      </c>
      <c r="I17" s="4">
        <v>17.600000000000001</v>
      </c>
      <c r="J17" s="4">
        <v>0</v>
      </c>
      <c r="K17" s="4">
        <v>0.70399999999999996</v>
      </c>
      <c r="L17" s="4">
        <v>6.5000000000000002E-2</v>
      </c>
      <c r="M17" s="4">
        <v>6.5000000000000002E-2</v>
      </c>
      <c r="N17" s="4">
        <v>0.185</v>
      </c>
      <c r="O17" s="4">
        <v>0.38900000000000001</v>
      </c>
      <c r="P17" s="4">
        <v>0.29599999999999999</v>
      </c>
      <c r="Q17" s="4">
        <v>0</v>
      </c>
      <c r="R17" s="4">
        <v>0.5</v>
      </c>
      <c r="S17" s="4">
        <v>0.57099999999999995</v>
      </c>
      <c r="T17" s="4">
        <v>0.42899999999999999</v>
      </c>
      <c r="U17" s="4">
        <v>0.45</v>
      </c>
      <c r="V17" s="4">
        <v>0.52400000000000002</v>
      </c>
      <c r="W17" s="4">
        <v>0.40600000000000003</v>
      </c>
      <c r="X17" s="4">
        <v>0</v>
      </c>
      <c r="Y17" s="4">
        <v>0.34200000000000003</v>
      </c>
      <c r="Z17" s="4">
        <v>0.84599999999999997</v>
      </c>
      <c r="AA17" s="4">
        <v>0</v>
      </c>
      <c r="AB17" s="4">
        <v>0.125</v>
      </c>
      <c r="AC17" s="4">
        <v>0.25</v>
      </c>
      <c r="AD17" s="10">
        <f t="shared" si="1"/>
        <v>0.49118399999999995</v>
      </c>
      <c r="AE17" s="9"/>
      <c r="AF17" s="9"/>
      <c r="AG17" s="12">
        <f t="shared" si="2"/>
        <v>47.199999999999996</v>
      </c>
      <c r="AH17" s="12">
        <f t="shared" si="0"/>
        <v>91.9</v>
      </c>
      <c r="AI17" s="12">
        <f t="shared" si="0"/>
        <v>59</v>
      </c>
      <c r="AJ17" s="12">
        <f t="shared" si="0"/>
        <v>78.2</v>
      </c>
      <c r="AK17" s="12"/>
      <c r="AL17" s="12">
        <f t="shared" si="0"/>
        <v>67</v>
      </c>
      <c r="AM17" s="12">
        <f t="shared" si="0"/>
        <v>12.4</v>
      </c>
      <c r="AN17" s="12">
        <f t="shared" si="0"/>
        <v>9.9</v>
      </c>
      <c r="AO17" s="12">
        <f t="shared" si="0"/>
        <v>91.9</v>
      </c>
      <c r="AP17" s="12">
        <f t="shared" si="0"/>
        <v>100</v>
      </c>
      <c r="AQ17" s="12">
        <f t="shared" si="0"/>
        <v>32.9</v>
      </c>
      <c r="AR17" s="12"/>
      <c r="AS17" s="12">
        <f t="shared" si="0"/>
        <v>40.9</v>
      </c>
      <c r="AT17" s="12">
        <f t="shared" si="0"/>
        <v>35.4</v>
      </c>
      <c r="AU17" s="12">
        <f t="shared" si="0"/>
        <v>49.6</v>
      </c>
      <c r="AV17" s="12">
        <f t="shared" si="0"/>
        <v>71.399999999999991</v>
      </c>
      <c r="AW17" s="12">
        <f t="shared" si="0"/>
        <v>83.2</v>
      </c>
      <c r="AX17" s="12">
        <f t="shared" si="0"/>
        <v>74.5</v>
      </c>
      <c r="AY17" s="12"/>
      <c r="AZ17" s="12">
        <f t="shared" si="3"/>
        <v>77.7</v>
      </c>
      <c r="BA17" s="12">
        <f t="shared" si="4"/>
        <v>63.4</v>
      </c>
      <c r="BB17" s="12"/>
      <c r="BC17" s="12">
        <f t="shared" si="5"/>
        <v>34.1</v>
      </c>
      <c r="BD17" s="12">
        <f t="shared" si="6"/>
        <v>52.7</v>
      </c>
      <c r="BE17" s="12">
        <f t="shared" si="7"/>
        <v>87</v>
      </c>
    </row>
    <row r="18" spans="1:57" x14ac:dyDescent="0.25">
      <c r="A18" s="1" t="s">
        <v>125</v>
      </c>
      <c r="B18" s="3" t="s">
        <v>109</v>
      </c>
      <c r="C18" s="4" t="s">
        <v>87</v>
      </c>
      <c r="D18" s="4">
        <v>9</v>
      </c>
      <c r="E18" s="4">
        <v>217</v>
      </c>
      <c r="F18" s="4">
        <v>9</v>
      </c>
      <c r="G18" s="4">
        <v>217</v>
      </c>
      <c r="H18" s="4">
        <v>0.41</v>
      </c>
      <c r="I18" s="4">
        <v>11.6</v>
      </c>
      <c r="J18" s="4">
        <v>0</v>
      </c>
      <c r="K18" s="4">
        <v>0.68</v>
      </c>
      <c r="L18" s="4">
        <v>0.33</v>
      </c>
      <c r="M18" s="4">
        <v>0.25</v>
      </c>
      <c r="N18" s="4">
        <v>0.03</v>
      </c>
      <c r="O18" s="4">
        <v>7.0000000000000007E-2</v>
      </c>
      <c r="P18" s="4">
        <v>0.32</v>
      </c>
      <c r="Q18" s="4">
        <v>0</v>
      </c>
      <c r="R18" s="4">
        <v>0.47099999999999997</v>
      </c>
      <c r="S18" s="4">
        <v>0.57599999999999996</v>
      </c>
      <c r="T18" s="4">
        <v>0.32</v>
      </c>
      <c r="U18" s="4">
        <v>0.33300000000000002</v>
      </c>
      <c r="V18" s="4">
        <v>0.57099999999999995</v>
      </c>
      <c r="W18" s="4">
        <v>0.28100000000000003</v>
      </c>
      <c r="X18" s="4">
        <v>0</v>
      </c>
      <c r="Y18" s="4">
        <v>0.53100000000000003</v>
      </c>
      <c r="Z18" s="4">
        <v>0.88900000000000001</v>
      </c>
      <c r="AA18" s="4">
        <v>0</v>
      </c>
      <c r="AB18" s="4">
        <v>0</v>
      </c>
      <c r="AC18" s="4">
        <v>0</v>
      </c>
      <c r="AD18" s="10">
        <f t="shared" si="1"/>
        <v>0.64556000000000013</v>
      </c>
      <c r="AE18" s="9"/>
      <c r="AF18" s="9"/>
      <c r="AG18" s="12">
        <f t="shared" si="2"/>
        <v>96.2</v>
      </c>
      <c r="AH18" s="12">
        <f t="shared" si="0"/>
        <v>90.600000000000009</v>
      </c>
      <c r="AI18" s="12">
        <f t="shared" si="0"/>
        <v>33.5</v>
      </c>
      <c r="AJ18" s="12">
        <f t="shared" si="0"/>
        <v>36.6</v>
      </c>
      <c r="AK18" s="12"/>
      <c r="AL18" s="12">
        <f t="shared" si="0"/>
        <v>65.2</v>
      </c>
      <c r="AM18" s="12">
        <f t="shared" si="0"/>
        <v>72</v>
      </c>
      <c r="AN18" s="12">
        <f t="shared" si="0"/>
        <v>54</v>
      </c>
      <c r="AO18" s="12">
        <f t="shared" si="0"/>
        <v>27.900000000000002</v>
      </c>
      <c r="AP18" s="12">
        <f t="shared" si="0"/>
        <v>74.5</v>
      </c>
      <c r="AQ18" s="12">
        <f t="shared" si="0"/>
        <v>34.699999999999996</v>
      </c>
      <c r="AR18" s="12"/>
      <c r="AS18" s="12">
        <f t="shared" si="0"/>
        <v>33.5</v>
      </c>
      <c r="AT18" s="12">
        <f t="shared" si="0"/>
        <v>37.799999999999997</v>
      </c>
      <c r="AU18" s="12">
        <f t="shared" si="0"/>
        <v>28.499999999999996</v>
      </c>
      <c r="AV18" s="12">
        <f t="shared" si="0"/>
        <v>53.400000000000006</v>
      </c>
      <c r="AW18" s="12">
        <f t="shared" si="0"/>
        <v>85</v>
      </c>
      <c r="AX18" s="12">
        <f t="shared" si="0"/>
        <v>39.1</v>
      </c>
      <c r="AY18" s="12"/>
      <c r="AZ18" s="12">
        <f t="shared" si="3"/>
        <v>61.5</v>
      </c>
      <c r="BA18" s="12">
        <f t="shared" si="4"/>
        <v>59.1</v>
      </c>
      <c r="BB18" s="12"/>
      <c r="BC18" s="12">
        <f t="shared" si="5"/>
        <v>0</v>
      </c>
      <c r="BD18" s="12">
        <f t="shared" si="6"/>
        <v>0</v>
      </c>
      <c r="BE18" s="12">
        <f t="shared" si="7"/>
        <v>60.3</v>
      </c>
    </row>
    <row r="19" spans="1:57" x14ac:dyDescent="0.25">
      <c r="A19" s="1" t="s">
        <v>162</v>
      </c>
      <c r="B19" s="4" t="s">
        <v>160</v>
      </c>
      <c r="C19" s="4" t="s">
        <v>8</v>
      </c>
      <c r="D19" s="4">
        <v>7</v>
      </c>
      <c r="E19" s="4">
        <v>217</v>
      </c>
      <c r="F19" s="4">
        <v>7</v>
      </c>
      <c r="G19" s="4">
        <v>217</v>
      </c>
      <c r="H19" s="4">
        <v>0.45700000000000002</v>
      </c>
      <c r="I19" s="4">
        <v>12.9</v>
      </c>
      <c r="J19" s="4">
        <v>0</v>
      </c>
      <c r="K19" s="4">
        <v>0.63800000000000001</v>
      </c>
      <c r="L19" s="4">
        <v>0.31900000000000001</v>
      </c>
      <c r="M19" s="4">
        <v>0.17199999999999999</v>
      </c>
      <c r="N19" s="4">
        <v>5.1999999999999998E-2</v>
      </c>
      <c r="O19" s="4">
        <v>9.5000000000000001E-2</v>
      </c>
      <c r="P19" s="4">
        <v>0.36199999999999999</v>
      </c>
      <c r="Q19" s="4">
        <v>0</v>
      </c>
      <c r="R19" s="4">
        <v>0.52700000000000002</v>
      </c>
      <c r="S19" s="4">
        <v>0.54100000000000004</v>
      </c>
      <c r="T19" s="4">
        <v>0.65</v>
      </c>
      <c r="U19" s="4">
        <v>0.5</v>
      </c>
      <c r="V19" s="4">
        <v>0.27300000000000002</v>
      </c>
      <c r="W19" s="4">
        <v>0.33300000000000002</v>
      </c>
      <c r="X19" s="4">
        <v>0</v>
      </c>
      <c r="Y19" s="4">
        <v>0.64100000000000001</v>
      </c>
      <c r="Z19" s="4">
        <v>0.78600000000000003</v>
      </c>
      <c r="AA19" s="4">
        <v>0</v>
      </c>
      <c r="AB19" s="4">
        <v>0.11899999999999999</v>
      </c>
      <c r="AC19" s="4">
        <v>0.2</v>
      </c>
      <c r="AD19" s="10">
        <f t="shared" si="1"/>
        <v>0.69349000000000005</v>
      </c>
      <c r="AE19" s="9"/>
      <c r="AF19" s="9"/>
      <c r="AG19" s="12">
        <f t="shared" si="2"/>
        <v>47.199999999999996</v>
      </c>
      <c r="AH19" s="12">
        <f t="shared" si="0"/>
        <v>90.600000000000009</v>
      </c>
      <c r="AI19" s="12">
        <f t="shared" si="0"/>
        <v>51.5</v>
      </c>
      <c r="AJ19" s="12">
        <f t="shared" si="0"/>
        <v>43.4</v>
      </c>
      <c r="AK19" s="12"/>
      <c r="AL19" s="12">
        <f t="shared" si="0"/>
        <v>54.6</v>
      </c>
      <c r="AM19" s="12">
        <f t="shared" si="0"/>
        <v>69.5</v>
      </c>
      <c r="AN19" s="12">
        <f t="shared" si="0"/>
        <v>31.6</v>
      </c>
      <c r="AO19" s="12">
        <f t="shared" si="0"/>
        <v>42.8</v>
      </c>
      <c r="AP19" s="12">
        <f t="shared" si="0"/>
        <v>81.3</v>
      </c>
      <c r="AQ19" s="12">
        <f t="shared" si="0"/>
        <v>45.300000000000004</v>
      </c>
      <c r="AR19" s="12"/>
      <c r="AS19" s="12">
        <f t="shared" si="0"/>
        <v>56.499999999999993</v>
      </c>
      <c r="AT19" s="12">
        <f t="shared" si="0"/>
        <v>29.099999999999998</v>
      </c>
      <c r="AU19" s="12">
        <f t="shared" si="0"/>
        <v>91.9</v>
      </c>
      <c r="AV19" s="12">
        <f t="shared" si="0"/>
        <v>72.599999999999994</v>
      </c>
      <c r="AW19" s="12">
        <f t="shared" si="0"/>
        <v>64.5</v>
      </c>
      <c r="AX19" s="12">
        <f t="shared" si="0"/>
        <v>49</v>
      </c>
      <c r="AY19" s="12"/>
      <c r="AZ19" s="12">
        <f t="shared" si="3"/>
        <v>44.8</v>
      </c>
      <c r="BA19" s="12">
        <f t="shared" si="4"/>
        <v>69</v>
      </c>
      <c r="BB19" s="12"/>
      <c r="BC19" s="12">
        <f t="shared" si="5"/>
        <v>32.9</v>
      </c>
      <c r="BD19" s="12">
        <f t="shared" si="6"/>
        <v>49</v>
      </c>
      <c r="BE19" s="12">
        <f t="shared" si="7"/>
        <v>52.800000000000004</v>
      </c>
    </row>
    <row r="20" spans="1:57" x14ac:dyDescent="0.25">
      <c r="A20" s="1" t="s">
        <v>106</v>
      </c>
      <c r="B20" s="3" t="s">
        <v>98</v>
      </c>
      <c r="C20" s="4" t="s">
        <v>8</v>
      </c>
      <c r="D20" s="4">
        <v>7</v>
      </c>
      <c r="E20" s="4">
        <v>216</v>
      </c>
      <c r="F20" s="4">
        <v>7</v>
      </c>
      <c r="G20" s="4">
        <v>216</v>
      </c>
      <c r="H20" s="4">
        <v>0.47499999999999998</v>
      </c>
      <c r="I20" s="4">
        <v>8.9</v>
      </c>
      <c r="J20" s="4">
        <v>0</v>
      </c>
      <c r="K20" s="4">
        <v>0.82499999999999996</v>
      </c>
      <c r="L20" s="4">
        <v>0.55000000000000004</v>
      </c>
      <c r="M20" s="4">
        <v>0.113</v>
      </c>
      <c r="N20" s="4">
        <v>6.3E-2</v>
      </c>
      <c r="O20" s="4">
        <v>0.1</v>
      </c>
      <c r="P20" s="4">
        <v>0.17499999999999999</v>
      </c>
      <c r="Q20" s="4">
        <v>0</v>
      </c>
      <c r="R20" s="4">
        <v>0.54500000000000004</v>
      </c>
      <c r="S20" s="4">
        <v>0.68200000000000005</v>
      </c>
      <c r="T20" s="4">
        <v>0.44400000000000001</v>
      </c>
      <c r="U20" s="4">
        <v>0.2</v>
      </c>
      <c r="V20" s="4">
        <v>0.125</v>
      </c>
      <c r="W20" s="4">
        <v>0.14299999999999999</v>
      </c>
      <c r="X20" s="4">
        <v>0</v>
      </c>
      <c r="Y20" s="4">
        <v>0.13900000000000001</v>
      </c>
      <c r="Z20" s="4">
        <v>0.5</v>
      </c>
      <c r="AA20" s="4">
        <v>0</v>
      </c>
      <c r="AB20" s="4">
        <v>0</v>
      </c>
      <c r="AC20" s="4">
        <v>0</v>
      </c>
      <c r="AD20" s="10">
        <f t="shared" si="1"/>
        <v>0.20217499999999999</v>
      </c>
      <c r="AE20" s="9"/>
      <c r="AF20" s="9"/>
      <c r="AG20" s="12">
        <f t="shared" si="2"/>
        <v>47.199999999999996</v>
      </c>
      <c r="AH20" s="12">
        <f t="shared" si="2"/>
        <v>89.4</v>
      </c>
      <c r="AI20" s="12">
        <f t="shared" si="2"/>
        <v>59.599999999999994</v>
      </c>
      <c r="AJ20" s="12">
        <f t="shared" si="2"/>
        <v>18.600000000000001</v>
      </c>
      <c r="AK20" s="12"/>
      <c r="AL20" s="12">
        <f t="shared" ref="AL20:AO83" si="8">(PERCENTRANK(K$4:K$298,K20))*100</f>
        <v>80.7</v>
      </c>
      <c r="AM20" s="12">
        <f t="shared" si="8"/>
        <v>93.100000000000009</v>
      </c>
      <c r="AN20" s="12">
        <f t="shared" si="8"/>
        <v>20.399999999999999</v>
      </c>
      <c r="AO20" s="12">
        <f t="shared" si="8"/>
        <v>49</v>
      </c>
      <c r="AP20" s="12">
        <f t="shared" ref="AP20:AQ83" si="9">(PERCENTRANK(O$4:O$298,O20))*100</f>
        <v>82.6</v>
      </c>
      <c r="AQ20" s="12">
        <f t="shared" si="9"/>
        <v>18.600000000000001</v>
      </c>
      <c r="AR20" s="12"/>
      <c r="AS20" s="12">
        <f t="shared" ref="AS20:AV83" si="10">(PERCENTRANK(R$4:R$298,R20))*100</f>
        <v>62.7</v>
      </c>
      <c r="AT20" s="12">
        <f t="shared" si="10"/>
        <v>59.599999999999994</v>
      </c>
      <c r="AU20" s="12">
        <f t="shared" si="10"/>
        <v>52.1</v>
      </c>
      <c r="AV20" s="12">
        <f t="shared" si="10"/>
        <v>48.4</v>
      </c>
      <c r="AW20" s="12">
        <f t="shared" ref="AW20:AX83" si="11">(PERCENTRANK(V$4:V$298,V20))*100</f>
        <v>56.499999999999993</v>
      </c>
      <c r="AX20" s="12">
        <f t="shared" si="11"/>
        <v>18.600000000000001</v>
      </c>
      <c r="AY20" s="12"/>
      <c r="AZ20" s="12">
        <f t="shared" si="3"/>
        <v>92</v>
      </c>
      <c r="BA20" s="12">
        <f t="shared" si="4"/>
        <v>82</v>
      </c>
      <c r="BB20" s="12"/>
      <c r="BC20" s="12">
        <f t="shared" si="5"/>
        <v>0</v>
      </c>
      <c r="BD20" s="12">
        <f t="shared" si="6"/>
        <v>0</v>
      </c>
      <c r="BE20" s="12">
        <f t="shared" si="7"/>
        <v>98.2</v>
      </c>
    </row>
    <row r="21" spans="1:57" ht="15.75" customHeight="1" x14ac:dyDescent="0.25">
      <c r="A21" s="1" t="s">
        <v>123</v>
      </c>
      <c r="B21" s="3" t="s">
        <v>119</v>
      </c>
      <c r="C21" s="4" t="s">
        <v>8</v>
      </c>
      <c r="D21" s="4">
        <v>7</v>
      </c>
      <c r="E21" s="4">
        <v>216</v>
      </c>
      <c r="F21" s="4">
        <v>7</v>
      </c>
      <c r="G21" s="4">
        <v>216</v>
      </c>
      <c r="H21" s="4">
        <v>0.46300000000000002</v>
      </c>
      <c r="I21" s="4">
        <v>17.600000000000001</v>
      </c>
      <c r="J21" s="4">
        <v>0</v>
      </c>
      <c r="K21" s="4">
        <v>0.52200000000000002</v>
      </c>
      <c r="L21" s="4">
        <v>4.4999999999999998E-2</v>
      </c>
      <c r="M21" s="4">
        <v>0.17899999999999999</v>
      </c>
      <c r="N21" s="4">
        <v>0.17899999999999999</v>
      </c>
      <c r="O21" s="4">
        <v>0.11899999999999999</v>
      </c>
      <c r="P21" s="4">
        <v>0.47799999999999998</v>
      </c>
      <c r="Q21" s="4">
        <v>0</v>
      </c>
      <c r="R21" s="4">
        <v>0.48599999999999999</v>
      </c>
      <c r="S21" s="4">
        <v>1</v>
      </c>
      <c r="T21" s="4">
        <v>0.41699999999999998</v>
      </c>
      <c r="U21" s="4">
        <v>0.41699999999999998</v>
      </c>
      <c r="V21" s="4">
        <v>0.5</v>
      </c>
      <c r="W21" s="4">
        <v>0.438</v>
      </c>
      <c r="X21" s="4">
        <v>0</v>
      </c>
      <c r="Y21" s="4">
        <v>0.52900000000000003</v>
      </c>
      <c r="Z21" s="4">
        <v>1</v>
      </c>
      <c r="AA21" s="4">
        <v>0</v>
      </c>
      <c r="AB21" s="4">
        <v>3.1E-2</v>
      </c>
      <c r="AC21" s="4">
        <v>1</v>
      </c>
      <c r="AD21" s="10">
        <f t="shared" si="1"/>
        <v>0.75413799999999998</v>
      </c>
      <c r="AE21" s="9"/>
      <c r="AF21" s="9"/>
      <c r="AG21" s="12">
        <f t="shared" si="2"/>
        <v>47.199999999999996</v>
      </c>
      <c r="AH21" s="12">
        <f t="shared" si="2"/>
        <v>89.4</v>
      </c>
      <c r="AI21" s="12">
        <f t="shared" si="2"/>
        <v>55.2</v>
      </c>
      <c r="AJ21" s="12">
        <f t="shared" si="2"/>
        <v>78.2</v>
      </c>
      <c r="AK21" s="12"/>
      <c r="AL21" s="12">
        <f t="shared" si="8"/>
        <v>31</v>
      </c>
      <c r="AM21" s="12">
        <f t="shared" si="8"/>
        <v>10.5</v>
      </c>
      <c r="AN21" s="12">
        <f t="shared" si="8"/>
        <v>34.699999999999996</v>
      </c>
      <c r="AO21" s="12">
        <f t="shared" si="8"/>
        <v>90.600000000000009</v>
      </c>
      <c r="AP21" s="12">
        <f t="shared" si="9"/>
        <v>88.1</v>
      </c>
      <c r="AQ21" s="12">
        <f t="shared" si="9"/>
        <v>68.300000000000011</v>
      </c>
      <c r="AR21" s="12"/>
      <c r="AS21" s="12">
        <f t="shared" si="10"/>
        <v>39.700000000000003</v>
      </c>
      <c r="AT21" s="12">
        <f t="shared" si="10"/>
        <v>88.1</v>
      </c>
      <c r="AU21" s="12">
        <f t="shared" si="10"/>
        <v>48.4</v>
      </c>
      <c r="AV21" s="12">
        <f t="shared" si="10"/>
        <v>66.400000000000006</v>
      </c>
      <c r="AW21" s="12">
        <f t="shared" si="11"/>
        <v>75.7</v>
      </c>
      <c r="AX21" s="12">
        <f t="shared" si="11"/>
        <v>80.7</v>
      </c>
      <c r="AY21" s="12"/>
      <c r="AZ21" s="12">
        <f t="shared" si="3"/>
        <v>62.8</v>
      </c>
      <c r="BA21" s="12">
        <f t="shared" si="4"/>
        <v>52.800000000000004</v>
      </c>
      <c r="BB21" s="12"/>
      <c r="BC21" s="12">
        <f t="shared" si="5"/>
        <v>18.600000000000001</v>
      </c>
      <c r="BD21" s="12">
        <f t="shared" si="6"/>
        <v>92.5</v>
      </c>
      <c r="BE21" s="12">
        <f t="shared" si="7"/>
        <v>42.300000000000004</v>
      </c>
    </row>
    <row r="22" spans="1:57" ht="15.75" customHeight="1" x14ac:dyDescent="0.25">
      <c r="A22" s="1" t="s">
        <v>206</v>
      </c>
      <c r="B22" s="3" t="s">
        <v>164</v>
      </c>
      <c r="C22" s="4" t="s">
        <v>8</v>
      </c>
      <c r="D22" s="4">
        <v>8</v>
      </c>
      <c r="E22" s="4">
        <v>215</v>
      </c>
      <c r="F22" s="4">
        <v>8</v>
      </c>
      <c r="G22" s="4">
        <v>215</v>
      </c>
      <c r="H22" s="4">
        <v>0.55900000000000005</v>
      </c>
      <c r="I22" s="4">
        <v>11.3</v>
      </c>
      <c r="J22" s="4">
        <v>0</v>
      </c>
      <c r="K22" s="4">
        <v>0.66100000000000003</v>
      </c>
      <c r="L22" s="4">
        <v>0.42399999999999999</v>
      </c>
      <c r="M22" s="4">
        <v>0.153</v>
      </c>
      <c r="N22" s="4">
        <v>5.0999999999999997E-2</v>
      </c>
      <c r="O22" s="4">
        <v>3.4000000000000002E-2</v>
      </c>
      <c r="P22" s="4">
        <v>0.33900000000000002</v>
      </c>
      <c r="Q22" s="4">
        <v>0</v>
      </c>
      <c r="R22" s="4">
        <v>0.61499999999999999</v>
      </c>
      <c r="S22" s="4">
        <v>0.76</v>
      </c>
      <c r="T22" s="4">
        <v>0.33300000000000002</v>
      </c>
      <c r="U22" s="4">
        <v>0.33300000000000002</v>
      </c>
      <c r="V22" s="4">
        <v>0.5</v>
      </c>
      <c r="W22" s="4">
        <v>0.45</v>
      </c>
      <c r="X22" s="4">
        <v>0</v>
      </c>
      <c r="Y22" s="4">
        <v>0.5</v>
      </c>
      <c r="Z22" s="4">
        <v>0.88900000000000001</v>
      </c>
      <c r="AA22" s="4">
        <v>0</v>
      </c>
      <c r="AB22" s="4">
        <v>0.25</v>
      </c>
      <c r="AC22" s="4">
        <v>0.8</v>
      </c>
      <c r="AD22" s="10">
        <f t="shared" si="1"/>
        <v>0.63187100000000007</v>
      </c>
      <c r="AE22" s="9"/>
      <c r="AF22" s="9"/>
      <c r="AG22" s="12">
        <f t="shared" si="2"/>
        <v>69.5</v>
      </c>
      <c r="AH22" s="12">
        <f t="shared" si="2"/>
        <v>88.8</v>
      </c>
      <c r="AI22" s="12">
        <f t="shared" si="2"/>
        <v>83.8</v>
      </c>
      <c r="AJ22" s="12">
        <f t="shared" si="2"/>
        <v>34.699999999999996</v>
      </c>
      <c r="AK22" s="12"/>
      <c r="AL22" s="12">
        <f t="shared" si="8"/>
        <v>60.8</v>
      </c>
      <c r="AM22" s="12">
        <f t="shared" si="8"/>
        <v>85.7</v>
      </c>
      <c r="AN22" s="12">
        <f t="shared" si="8"/>
        <v>27.3</v>
      </c>
      <c r="AO22" s="12">
        <f t="shared" si="8"/>
        <v>42.199999999999996</v>
      </c>
      <c r="AP22" s="12">
        <f t="shared" si="9"/>
        <v>49</v>
      </c>
      <c r="AQ22" s="12">
        <f t="shared" si="9"/>
        <v>39.1</v>
      </c>
      <c r="AR22" s="12"/>
      <c r="AS22" s="12">
        <f t="shared" si="10"/>
        <v>78.2</v>
      </c>
      <c r="AT22" s="12">
        <f t="shared" si="10"/>
        <v>70.099999999999994</v>
      </c>
      <c r="AU22" s="12">
        <f t="shared" si="10"/>
        <v>29.099999999999998</v>
      </c>
      <c r="AV22" s="12">
        <f t="shared" si="10"/>
        <v>53.400000000000006</v>
      </c>
      <c r="AW22" s="12">
        <f t="shared" si="11"/>
        <v>75.7</v>
      </c>
      <c r="AX22" s="12">
        <f t="shared" si="11"/>
        <v>83.8</v>
      </c>
      <c r="AY22" s="12"/>
      <c r="AZ22" s="12">
        <f t="shared" si="3"/>
        <v>70.900000000000006</v>
      </c>
      <c r="BA22" s="12">
        <f t="shared" si="4"/>
        <v>59.1</v>
      </c>
      <c r="BB22" s="12"/>
      <c r="BC22" s="12">
        <f t="shared" si="5"/>
        <v>59</v>
      </c>
      <c r="BD22" s="12">
        <f t="shared" si="6"/>
        <v>91.9</v>
      </c>
      <c r="BE22" s="12">
        <f t="shared" si="7"/>
        <v>62.8</v>
      </c>
    </row>
    <row r="23" spans="1:57" ht="15" customHeight="1" x14ac:dyDescent="0.25">
      <c r="A23" s="1" t="s">
        <v>140</v>
      </c>
      <c r="B23" s="3" t="s">
        <v>116</v>
      </c>
      <c r="C23" s="4" t="s">
        <v>8</v>
      </c>
      <c r="D23" s="4">
        <v>8</v>
      </c>
      <c r="E23" s="4">
        <v>214</v>
      </c>
      <c r="F23" s="4">
        <v>8</v>
      </c>
      <c r="G23" s="4">
        <v>214</v>
      </c>
      <c r="H23" s="4">
        <v>0.41099999999999998</v>
      </c>
      <c r="I23" s="4">
        <v>15.4</v>
      </c>
      <c r="J23" s="4">
        <v>0</v>
      </c>
      <c r="K23" s="4">
        <v>0.56699999999999995</v>
      </c>
      <c r="L23" s="4">
        <v>0.13300000000000001</v>
      </c>
      <c r="M23" s="4">
        <v>0.28899999999999998</v>
      </c>
      <c r="N23" s="4">
        <v>7.8E-2</v>
      </c>
      <c r="O23" s="4">
        <v>6.7000000000000004E-2</v>
      </c>
      <c r="P23" s="4">
        <v>0.433</v>
      </c>
      <c r="Q23" s="4">
        <v>0</v>
      </c>
      <c r="R23" s="4">
        <v>0.47099999999999997</v>
      </c>
      <c r="S23" s="4">
        <v>0.58299999999999996</v>
      </c>
      <c r="T23" s="4">
        <v>0.46200000000000002</v>
      </c>
      <c r="U23" s="4">
        <v>0.42899999999999999</v>
      </c>
      <c r="V23" s="4">
        <v>0.33300000000000002</v>
      </c>
      <c r="W23" s="4">
        <v>0.33300000000000002</v>
      </c>
      <c r="X23" s="4">
        <v>0</v>
      </c>
      <c r="Y23" s="4">
        <v>0.29199999999999998</v>
      </c>
      <c r="Z23" s="4">
        <v>0.76900000000000002</v>
      </c>
      <c r="AA23" s="4">
        <v>0</v>
      </c>
      <c r="AB23" s="4">
        <v>0.10299999999999999</v>
      </c>
      <c r="AC23" s="4">
        <v>0.5</v>
      </c>
      <c r="AD23" s="10">
        <f t="shared" si="1"/>
        <v>0.49854100000000001</v>
      </c>
      <c r="AE23" s="9"/>
      <c r="AF23" s="9"/>
      <c r="AG23" s="12">
        <f t="shared" si="2"/>
        <v>69.5</v>
      </c>
      <c r="AH23" s="12">
        <f t="shared" si="2"/>
        <v>87.5</v>
      </c>
      <c r="AI23" s="12">
        <f t="shared" si="2"/>
        <v>34.699999999999996</v>
      </c>
      <c r="AJ23" s="12">
        <f t="shared" si="2"/>
        <v>68.300000000000011</v>
      </c>
      <c r="AK23" s="12"/>
      <c r="AL23" s="12">
        <f t="shared" si="8"/>
        <v>39.700000000000003</v>
      </c>
      <c r="AM23" s="12">
        <f t="shared" si="8"/>
        <v>25.4</v>
      </c>
      <c r="AN23" s="12">
        <f t="shared" si="8"/>
        <v>65.8</v>
      </c>
      <c r="AO23" s="12">
        <f t="shared" si="8"/>
        <v>61.4</v>
      </c>
      <c r="AP23" s="12">
        <f t="shared" si="9"/>
        <v>72</v>
      </c>
      <c r="AQ23" s="12">
        <f t="shared" si="9"/>
        <v>60.199999999999996</v>
      </c>
      <c r="AR23" s="12"/>
      <c r="AS23" s="12">
        <f t="shared" si="10"/>
        <v>33.5</v>
      </c>
      <c r="AT23" s="12">
        <f t="shared" si="10"/>
        <v>39.1</v>
      </c>
      <c r="AU23" s="12">
        <f t="shared" si="10"/>
        <v>55.2</v>
      </c>
      <c r="AV23" s="12">
        <f t="shared" si="10"/>
        <v>67</v>
      </c>
      <c r="AW23" s="12">
        <f t="shared" si="11"/>
        <v>65.8</v>
      </c>
      <c r="AX23" s="12">
        <f t="shared" si="11"/>
        <v>49</v>
      </c>
      <c r="AY23" s="12"/>
      <c r="AZ23" s="12">
        <f t="shared" si="3"/>
        <v>84.5</v>
      </c>
      <c r="BA23" s="12">
        <f t="shared" si="4"/>
        <v>71.5</v>
      </c>
      <c r="BB23" s="12"/>
      <c r="BC23" s="12">
        <f t="shared" si="5"/>
        <v>28.499999999999996</v>
      </c>
      <c r="BD23" s="12">
        <f t="shared" si="6"/>
        <v>70.8</v>
      </c>
      <c r="BE23" s="12">
        <f t="shared" si="7"/>
        <v>85.8</v>
      </c>
    </row>
    <row r="24" spans="1:57" ht="15.75" customHeight="1" x14ac:dyDescent="0.25">
      <c r="A24" s="1" t="s">
        <v>168</v>
      </c>
      <c r="B24" s="3" t="s">
        <v>164</v>
      </c>
      <c r="C24" s="4" t="s">
        <v>8</v>
      </c>
      <c r="D24" s="4">
        <v>8</v>
      </c>
      <c r="E24" s="4">
        <v>214</v>
      </c>
      <c r="F24" s="4">
        <v>8</v>
      </c>
      <c r="G24" s="4">
        <v>214</v>
      </c>
      <c r="H24" s="4">
        <v>0.41699999999999998</v>
      </c>
      <c r="I24" s="4">
        <v>19.3</v>
      </c>
      <c r="J24" s="4">
        <v>0</v>
      </c>
      <c r="K24" s="4">
        <v>0.41699999999999998</v>
      </c>
      <c r="L24" s="4">
        <v>0.104</v>
      </c>
      <c r="M24" s="4">
        <v>0.113</v>
      </c>
      <c r="N24" s="4">
        <v>7.8E-2</v>
      </c>
      <c r="O24" s="4">
        <v>0.122</v>
      </c>
      <c r="P24" s="4">
        <v>0.58299999999999996</v>
      </c>
      <c r="Q24" s="4">
        <v>0</v>
      </c>
      <c r="R24" s="4">
        <v>0.5</v>
      </c>
      <c r="S24" s="4">
        <v>0.83299999999999996</v>
      </c>
      <c r="T24" s="4">
        <v>0.23100000000000001</v>
      </c>
      <c r="U24" s="4">
        <v>0.33300000000000002</v>
      </c>
      <c r="V24" s="4">
        <v>0.57099999999999995</v>
      </c>
      <c r="W24" s="4">
        <v>0.35799999999999998</v>
      </c>
      <c r="X24" s="4">
        <v>0</v>
      </c>
      <c r="Y24" s="4">
        <v>0.375</v>
      </c>
      <c r="Z24" s="4">
        <v>0.70799999999999996</v>
      </c>
      <c r="AA24" s="4">
        <v>0</v>
      </c>
      <c r="AB24" s="4">
        <v>0.11899999999999999</v>
      </c>
      <c r="AC24" s="4">
        <v>0.75</v>
      </c>
      <c r="AD24" s="10">
        <f t="shared" si="1"/>
        <v>0.56913899999999995</v>
      </c>
      <c r="AE24" s="9"/>
      <c r="AF24" s="9"/>
      <c r="AG24" s="12">
        <f t="shared" si="2"/>
        <v>69.5</v>
      </c>
      <c r="AH24" s="12">
        <f t="shared" si="2"/>
        <v>87.5</v>
      </c>
      <c r="AI24" s="12">
        <f t="shared" si="2"/>
        <v>37.200000000000003</v>
      </c>
      <c r="AJ24" s="12">
        <f t="shared" si="2"/>
        <v>90.600000000000009</v>
      </c>
      <c r="AK24" s="12"/>
      <c r="AL24" s="12">
        <f t="shared" si="8"/>
        <v>18</v>
      </c>
      <c r="AM24" s="12">
        <f t="shared" si="8"/>
        <v>16.7</v>
      </c>
      <c r="AN24" s="12">
        <f t="shared" si="8"/>
        <v>20.399999999999999</v>
      </c>
      <c r="AO24" s="12">
        <f t="shared" si="8"/>
        <v>61.4</v>
      </c>
      <c r="AP24" s="12">
        <f t="shared" si="9"/>
        <v>88.8</v>
      </c>
      <c r="AQ24" s="12">
        <f t="shared" si="9"/>
        <v>81.899999999999991</v>
      </c>
      <c r="AR24" s="12"/>
      <c r="AS24" s="12">
        <f t="shared" si="10"/>
        <v>40.9</v>
      </c>
      <c r="AT24" s="12">
        <f t="shared" si="10"/>
        <v>77.600000000000009</v>
      </c>
      <c r="AU24" s="12">
        <f t="shared" si="10"/>
        <v>18.600000000000001</v>
      </c>
      <c r="AV24" s="12">
        <f t="shared" si="10"/>
        <v>53.400000000000006</v>
      </c>
      <c r="AW24" s="12">
        <f t="shared" si="11"/>
        <v>85</v>
      </c>
      <c r="AX24" s="12">
        <f t="shared" si="11"/>
        <v>60.199999999999996</v>
      </c>
      <c r="AY24" s="12"/>
      <c r="AZ24" s="12">
        <f t="shared" si="3"/>
        <v>75.2</v>
      </c>
      <c r="BA24" s="12">
        <f t="shared" si="4"/>
        <v>74.599999999999994</v>
      </c>
      <c r="BB24" s="12"/>
      <c r="BC24" s="12">
        <f t="shared" si="5"/>
        <v>32.9</v>
      </c>
      <c r="BD24" s="12">
        <f t="shared" si="6"/>
        <v>89.4</v>
      </c>
      <c r="BE24" s="12">
        <f t="shared" si="7"/>
        <v>75.2</v>
      </c>
    </row>
    <row r="25" spans="1:57" ht="15.75" customHeight="1" x14ac:dyDescent="0.25">
      <c r="A25" s="1" t="s">
        <v>115</v>
      </c>
      <c r="B25" s="3" t="s">
        <v>116</v>
      </c>
      <c r="C25" s="4" t="s">
        <v>8</v>
      </c>
      <c r="D25" s="4">
        <v>8</v>
      </c>
      <c r="E25" s="4">
        <v>213</v>
      </c>
      <c r="F25" s="4">
        <v>8</v>
      </c>
      <c r="G25" s="4">
        <v>213</v>
      </c>
      <c r="H25" s="4">
        <v>0.307</v>
      </c>
      <c r="I25" s="4">
        <v>15.4</v>
      </c>
      <c r="J25" s="4">
        <v>0</v>
      </c>
      <c r="K25" s="4">
        <v>0.61399999999999999</v>
      </c>
      <c r="L25" s="4">
        <v>0.182</v>
      </c>
      <c r="M25" s="4">
        <v>0.125</v>
      </c>
      <c r="N25" s="4">
        <v>0.159</v>
      </c>
      <c r="O25" s="4">
        <v>0.14799999999999999</v>
      </c>
      <c r="P25" s="4">
        <v>0.38600000000000001</v>
      </c>
      <c r="Q25" s="4">
        <v>0</v>
      </c>
      <c r="R25" s="4">
        <v>0.33300000000000002</v>
      </c>
      <c r="S25" s="4">
        <v>0.56299999999999994</v>
      </c>
      <c r="T25" s="4">
        <v>0.36399999999999999</v>
      </c>
      <c r="U25" s="4">
        <v>0.14299999999999999</v>
      </c>
      <c r="V25" s="4">
        <v>0.23100000000000001</v>
      </c>
      <c r="W25" s="4">
        <v>0.26500000000000001</v>
      </c>
      <c r="X25" s="4">
        <v>0</v>
      </c>
      <c r="Y25" s="4">
        <v>0.55600000000000005</v>
      </c>
      <c r="Z25" s="4">
        <v>0.88900000000000001</v>
      </c>
      <c r="AA25" s="4">
        <v>0</v>
      </c>
      <c r="AB25" s="4">
        <v>0.26500000000000001</v>
      </c>
      <c r="AC25" s="4">
        <v>0.111</v>
      </c>
      <c r="AD25" s="10">
        <f t="shared" si="1"/>
        <v>0.68453800000000009</v>
      </c>
      <c r="AE25" s="9"/>
      <c r="AF25" s="9"/>
      <c r="AG25" s="12">
        <f t="shared" si="2"/>
        <v>69.5</v>
      </c>
      <c r="AH25" s="12">
        <f t="shared" si="2"/>
        <v>86.9</v>
      </c>
      <c r="AI25" s="12">
        <f t="shared" si="2"/>
        <v>9.3000000000000007</v>
      </c>
      <c r="AJ25" s="12">
        <f t="shared" si="2"/>
        <v>68.300000000000011</v>
      </c>
      <c r="AK25" s="12"/>
      <c r="AL25" s="12">
        <f t="shared" si="8"/>
        <v>49.6</v>
      </c>
      <c r="AM25" s="12">
        <f t="shared" si="8"/>
        <v>36.6</v>
      </c>
      <c r="AN25" s="12">
        <f t="shared" si="8"/>
        <v>23.599999999999998</v>
      </c>
      <c r="AO25" s="12">
        <f t="shared" si="8"/>
        <v>86.9</v>
      </c>
      <c r="AP25" s="12">
        <f t="shared" si="9"/>
        <v>94.399999999999991</v>
      </c>
      <c r="AQ25" s="12">
        <f t="shared" si="9"/>
        <v>49.6</v>
      </c>
      <c r="AR25" s="12"/>
      <c r="AS25" s="12">
        <f t="shared" si="10"/>
        <v>6.8000000000000007</v>
      </c>
      <c r="AT25" s="12">
        <f t="shared" si="10"/>
        <v>34.699999999999996</v>
      </c>
      <c r="AU25" s="12">
        <f t="shared" si="10"/>
        <v>39.1</v>
      </c>
      <c r="AV25" s="12">
        <f t="shared" si="10"/>
        <v>46.5</v>
      </c>
      <c r="AW25" s="12">
        <f t="shared" si="11"/>
        <v>60.199999999999996</v>
      </c>
      <c r="AX25" s="12">
        <f t="shared" si="11"/>
        <v>32.200000000000003</v>
      </c>
      <c r="AY25" s="12"/>
      <c r="AZ25" s="12">
        <f t="shared" si="3"/>
        <v>59.1</v>
      </c>
      <c r="BA25" s="12">
        <f t="shared" si="4"/>
        <v>59.1</v>
      </c>
      <c r="BB25" s="12"/>
      <c r="BC25" s="12">
        <f t="shared" si="5"/>
        <v>65.2</v>
      </c>
      <c r="BD25" s="12">
        <f t="shared" si="6"/>
        <v>45.300000000000004</v>
      </c>
      <c r="BE25" s="12">
        <f t="shared" si="7"/>
        <v>56</v>
      </c>
    </row>
    <row r="26" spans="1:57" ht="15.75" customHeight="1" x14ac:dyDescent="0.25">
      <c r="A26" s="1" t="s">
        <v>131</v>
      </c>
      <c r="B26" s="3" t="s">
        <v>109</v>
      </c>
      <c r="C26" s="4" t="s">
        <v>8</v>
      </c>
      <c r="D26" s="4">
        <v>9</v>
      </c>
      <c r="E26" s="4">
        <v>211</v>
      </c>
      <c r="F26" s="4">
        <v>9</v>
      </c>
      <c r="G26" s="4">
        <v>211</v>
      </c>
      <c r="H26" s="4">
        <v>0.26800000000000002</v>
      </c>
      <c r="I26" s="4">
        <v>15.2</v>
      </c>
      <c r="J26" s="4">
        <v>0</v>
      </c>
      <c r="K26" s="4">
        <v>0.71799999999999997</v>
      </c>
      <c r="L26" s="4">
        <v>0.16900000000000001</v>
      </c>
      <c r="M26" s="4">
        <v>0.14099999999999999</v>
      </c>
      <c r="N26" s="4">
        <v>0.21099999999999999</v>
      </c>
      <c r="O26" s="4">
        <v>0.19700000000000001</v>
      </c>
      <c r="P26" s="4">
        <v>0.28199999999999997</v>
      </c>
      <c r="Q26" s="4">
        <v>0</v>
      </c>
      <c r="R26" s="4">
        <v>0.33300000000000002</v>
      </c>
      <c r="S26" s="4">
        <v>0.41699999999999998</v>
      </c>
      <c r="T26" s="4">
        <v>0.2</v>
      </c>
      <c r="U26" s="4">
        <v>0.33300000000000002</v>
      </c>
      <c r="V26" s="4">
        <v>0.35699999999999998</v>
      </c>
      <c r="W26" s="4">
        <v>0.1</v>
      </c>
      <c r="X26" s="4">
        <v>0</v>
      </c>
      <c r="Y26" s="4">
        <v>0.58799999999999997</v>
      </c>
      <c r="Z26" s="4">
        <v>1</v>
      </c>
      <c r="AA26" s="4">
        <v>0</v>
      </c>
      <c r="AB26" s="4">
        <v>0.25</v>
      </c>
      <c r="AC26" s="4">
        <v>0</v>
      </c>
      <c r="AD26" s="10">
        <f t="shared" si="1"/>
        <v>0.70418399999999992</v>
      </c>
      <c r="AE26" s="9"/>
      <c r="AF26" s="9"/>
      <c r="AG26" s="12">
        <f t="shared" si="2"/>
        <v>96.2</v>
      </c>
      <c r="AH26" s="12">
        <f t="shared" si="2"/>
        <v>85.7</v>
      </c>
      <c r="AI26" s="12">
        <f t="shared" si="2"/>
        <v>3.6999999999999997</v>
      </c>
      <c r="AJ26" s="12">
        <f t="shared" si="2"/>
        <v>65.2</v>
      </c>
      <c r="AK26" s="12"/>
      <c r="AL26" s="12">
        <f t="shared" si="8"/>
        <v>69.5</v>
      </c>
      <c r="AM26" s="12">
        <f t="shared" si="8"/>
        <v>31</v>
      </c>
      <c r="AN26" s="12">
        <f t="shared" si="8"/>
        <v>26</v>
      </c>
      <c r="AO26" s="12">
        <f t="shared" si="8"/>
        <v>93.7</v>
      </c>
      <c r="AP26" s="12">
        <f t="shared" si="9"/>
        <v>98.1</v>
      </c>
      <c r="AQ26" s="12">
        <f t="shared" si="9"/>
        <v>30.4</v>
      </c>
      <c r="AR26" s="12"/>
      <c r="AS26" s="12">
        <f t="shared" si="10"/>
        <v>6.8000000000000007</v>
      </c>
      <c r="AT26" s="12">
        <f t="shared" si="10"/>
        <v>17.299999999999997</v>
      </c>
      <c r="AU26" s="12">
        <f t="shared" si="10"/>
        <v>16.100000000000001</v>
      </c>
      <c r="AV26" s="12">
        <f t="shared" si="10"/>
        <v>53.400000000000006</v>
      </c>
      <c r="AW26" s="12">
        <f t="shared" si="11"/>
        <v>72.599999999999994</v>
      </c>
      <c r="AX26" s="12">
        <f t="shared" si="11"/>
        <v>16.7</v>
      </c>
      <c r="AY26" s="12"/>
      <c r="AZ26" s="12">
        <f t="shared" si="3"/>
        <v>53.5</v>
      </c>
      <c r="BA26" s="12">
        <f t="shared" si="4"/>
        <v>52.800000000000004</v>
      </c>
      <c r="BB26" s="12"/>
      <c r="BC26" s="12">
        <f t="shared" si="5"/>
        <v>59</v>
      </c>
      <c r="BD26" s="12">
        <f t="shared" si="6"/>
        <v>0</v>
      </c>
      <c r="BE26" s="12">
        <f t="shared" si="7"/>
        <v>51.6</v>
      </c>
    </row>
    <row r="27" spans="1:57" ht="15.75" customHeight="1" x14ac:dyDescent="0.25">
      <c r="A27" s="1" t="s">
        <v>138</v>
      </c>
      <c r="B27" s="3" t="s">
        <v>139</v>
      </c>
      <c r="C27" s="4" t="s">
        <v>8</v>
      </c>
      <c r="D27" s="4">
        <v>6</v>
      </c>
      <c r="E27" s="4">
        <v>211</v>
      </c>
      <c r="F27" s="4">
        <v>6</v>
      </c>
      <c r="G27" s="4">
        <v>211</v>
      </c>
      <c r="H27" s="4">
        <v>0.58899999999999997</v>
      </c>
      <c r="I27" s="4">
        <v>14.2</v>
      </c>
      <c r="J27" s="4">
        <v>0</v>
      </c>
      <c r="K27" s="4">
        <v>0.56799999999999995</v>
      </c>
      <c r="L27" s="4">
        <v>0.21099999999999999</v>
      </c>
      <c r="M27" s="4">
        <v>0.253</v>
      </c>
      <c r="N27" s="4">
        <v>7.3999999999999996E-2</v>
      </c>
      <c r="O27" s="4">
        <v>3.2000000000000001E-2</v>
      </c>
      <c r="P27" s="4">
        <v>0.432</v>
      </c>
      <c r="Q27" s="4">
        <v>0</v>
      </c>
      <c r="R27" s="4">
        <v>0.66700000000000004</v>
      </c>
      <c r="S27" s="4">
        <v>0.95</v>
      </c>
      <c r="T27" s="4">
        <v>0.45800000000000002</v>
      </c>
      <c r="U27" s="4">
        <v>0.57099999999999995</v>
      </c>
      <c r="V27" s="4">
        <v>0.66700000000000004</v>
      </c>
      <c r="W27" s="4">
        <v>0.48799999999999999</v>
      </c>
      <c r="X27" s="4">
        <v>0</v>
      </c>
      <c r="Y27" s="4">
        <v>0.27800000000000002</v>
      </c>
      <c r="Z27" s="4">
        <v>0.4</v>
      </c>
      <c r="AA27" s="4">
        <v>0</v>
      </c>
      <c r="AB27" s="4">
        <v>9.8000000000000004E-2</v>
      </c>
      <c r="AC27" s="4">
        <v>0.25</v>
      </c>
      <c r="AD27" s="10">
        <f t="shared" si="1"/>
        <v>0.330704</v>
      </c>
      <c r="AE27" s="9"/>
      <c r="AF27" s="9"/>
      <c r="AG27" s="12">
        <f t="shared" si="2"/>
        <v>25.4</v>
      </c>
      <c r="AH27" s="12">
        <f t="shared" si="2"/>
        <v>85.7</v>
      </c>
      <c r="AI27" s="12">
        <f t="shared" si="2"/>
        <v>89.4</v>
      </c>
      <c r="AJ27" s="12">
        <f t="shared" si="2"/>
        <v>55.2</v>
      </c>
      <c r="AK27" s="12"/>
      <c r="AL27" s="12">
        <f t="shared" si="8"/>
        <v>40.300000000000004</v>
      </c>
      <c r="AM27" s="12">
        <f t="shared" si="8"/>
        <v>45.9</v>
      </c>
      <c r="AN27" s="12">
        <f t="shared" si="8"/>
        <v>56.499999999999993</v>
      </c>
      <c r="AO27" s="12">
        <f t="shared" si="8"/>
        <v>59.599999999999994</v>
      </c>
      <c r="AP27" s="12">
        <f t="shared" si="9"/>
        <v>45.300000000000004</v>
      </c>
      <c r="AQ27" s="12">
        <f t="shared" si="9"/>
        <v>59.599999999999994</v>
      </c>
      <c r="AR27" s="12"/>
      <c r="AS27" s="12">
        <f t="shared" si="10"/>
        <v>85.7</v>
      </c>
      <c r="AT27" s="12">
        <f t="shared" si="10"/>
        <v>87.5</v>
      </c>
      <c r="AU27" s="12">
        <f t="shared" si="10"/>
        <v>54.6</v>
      </c>
      <c r="AV27" s="12">
        <f t="shared" si="10"/>
        <v>80.100000000000009</v>
      </c>
      <c r="AW27" s="12">
        <f t="shared" si="11"/>
        <v>86.9</v>
      </c>
      <c r="AX27" s="12">
        <f t="shared" si="11"/>
        <v>86.9</v>
      </c>
      <c r="AY27" s="12"/>
      <c r="AZ27" s="12">
        <f t="shared" si="3"/>
        <v>87</v>
      </c>
      <c r="BA27" s="12">
        <f t="shared" si="4"/>
        <v>82.7</v>
      </c>
      <c r="BB27" s="12"/>
      <c r="BC27" s="12">
        <f t="shared" si="5"/>
        <v>27.3</v>
      </c>
      <c r="BD27" s="12">
        <f t="shared" si="6"/>
        <v>52.7</v>
      </c>
      <c r="BE27" s="12">
        <f t="shared" si="7"/>
        <v>96.3</v>
      </c>
    </row>
    <row r="28" spans="1:57" ht="15.75" customHeight="1" x14ac:dyDescent="0.25">
      <c r="A28" s="1" t="s">
        <v>134</v>
      </c>
      <c r="B28" s="3" t="s">
        <v>119</v>
      </c>
      <c r="C28" s="4" t="s">
        <v>90</v>
      </c>
      <c r="D28" s="4">
        <v>7</v>
      </c>
      <c r="E28" s="4">
        <v>208</v>
      </c>
      <c r="F28" s="4">
        <v>7</v>
      </c>
      <c r="G28" s="4">
        <v>208</v>
      </c>
      <c r="H28" s="4">
        <v>0.52500000000000002</v>
      </c>
      <c r="I28" s="4">
        <v>10.1</v>
      </c>
      <c r="J28" s="4">
        <v>0</v>
      </c>
      <c r="K28" s="4">
        <v>0.88100000000000001</v>
      </c>
      <c r="L28" s="4">
        <v>0.19500000000000001</v>
      </c>
      <c r="M28" s="4">
        <v>0.38100000000000001</v>
      </c>
      <c r="N28" s="4">
        <v>0.21199999999999999</v>
      </c>
      <c r="O28" s="4">
        <v>9.2999999999999999E-2</v>
      </c>
      <c r="P28" s="4">
        <v>0.11899999999999999</v>
      </c>
      <c r="Q28" s="4">
        <v>0</v>
      </c>
      <c r="R28" s="4">
        <v>0.51</v>
      </c>
      <c r="S28" s="4">
        <v>0.78300000000000003</v>
      </c>
      <c r="T28" s="4">
        <v>0.44400000000000001</v>
      </c>
      <c r="U28" s="4">
        <v>0.56000000000000005</v>
      </c>
      <c r="V28" s="4">
        <v>9.0999999999999998E-2</v>
      </c>
      <c r="W28" s="4">
        <v>0.64300000000000002</v>
      </c>
      <c r="X28" s="4">
        <v>0</v>
      </c>
      <c r="Y28" s="4">
        <v>0.77400000000000002</v>
      </c>
      <c r="Z28" s="4">
        <v>0.88900000000000001</v>
      </c>
      <c r="AA28" s="4">
        <v>0</v>
      </c>
      <c r="AB28" s="4">
        <v>0</v>
      </c>
      <c r="AC28" s="4">
        <v>0</v>
      </c>
      <c r="AD28" s="10">
        <f t="shared" si="1"/>
        <v>0.78768499999999997</v>
      </c>
      <c r="AE28" s="9"/>
      <c r="AF28" s="9"/>
      <c r="AG28" s="12">
        <f t="shared" si="2"/>
        <v>47.199999999999996</v>
      </c>
      <c r="AH28" s="12">
        <f t="shared" si="2"/>
        <v>85</v>
      </c>
      <c r="AI28" s="12">
        <f t="shared" si="2"/>
        <v>77</v>
      </c>
      <c r="AJ28" s="12">
        <f t="shared" si="2"/>
        <v>23.599999999999998</v>
      </c>
      <c r="AK28" s="12"/>
      <c r="AL28" s="12">
        <f t="shared" si="8"/>
        <v>85.7</v>
      </c>
      <c r="AM28" s="12">
        <f t="shared" si="8"/>
        <v>40.300000000000004</v>
      </c>
      <c r="AN28" s="12">
        <f t="shared" si="8"/>
        <v>86.3</v>
      </c>
      <c r="AO28" s="12">
        <f t="shared" si="8"/>
        <v>94.399999999999991</v>
      </c>
      <c r="AP28" s="12">
        <f t="shared" si="9"/>
        <v>80.100000000000009</v>
      </c>
      <c r="AQ28" s="12">
        <f t="shared" si="9"/>
        <v>14.2</v>
      </c>
      <c r="AR28" s="12"/>
      <c r="AS28" s="12">
        <f t="shared" si="10"/>
        <v>51.5</v>
      </c>
      <c r="AT28" s="12">
        <f t="shared" si="10"/>
        <v>72</v>
      </c>
      <c r="AU28" s="12">
        <f t="shared" si="10"/>
        <v>52.1</v>
      </c>
      <c r="AV28" s="12">
        <f t="shared" si="10"/>
        <v>79.5</v>
      </c>
      <c r="AW28" s="12">
        <f t="shared" si="11"/>
        <v>55.900000000000006</v>
      </c>
      <c r="AX28" s="12">
        <f t="shared" si="11"/>
        <v>96.2</v>
      </c>
      <c r="AY28" s="12"/>
      <c r="AZ28" s="12">
        <f t="shared" si="3"/>
        <v>28.600000000000009</v>
      </c>
      <c r="BA28" s="12">
        <f t="shared" si="4"/>
        <v>59.1</v>
      </c>
      <c r="BB28" s="12"/>
      <c r="BC28" s="12">
        <f t="shared" si="5"/>
        <v>0</v>
      </c>
      <c r="BD28" s="12">
        <f t="shared" si="6"/>
        <v>0</v>
      </c>
      <c r="BE28" s="12">
        <f t="shared" si="7"/>
        <v>36.1</v>
      </c>
    </row>
    <row r="29" spans="1:57" ht="15.75" customHeight="1" x14ac:dyDescent="0.25">
      <c r="A29" s="1" t="s">
        <v>91</v>
      </c>
      <c r="B29" s="3" t="s">
        <v>86</v>
      </c>
      <c r="C29" s="4" t="s">
        <v>8</v>
      </c>
      <c r="D29" s="4">
        <v>8</v>
      </c>
      <c r="E29" s="4">
        <v>205</v>
      </c>
      <c r="F29" s="4">
        <v>8</v>
      </c>
      <c r="G29" s="4">
        <v>205</v>
      </c>
      <c r="H29" s="4">
        <v>0.59299999999999997</v>
      </c>
      <c r="I29" s="4">
        <v>10.6</v>
      </c>
      <c r="J29" s="4">
        <v>0</v>
      </c>
      <c r="K29" s="4">
        <v>0.72899999999999998</v>
      </c>
      <c r="L29" s="4">
        <v>0.32200000000000001</v>
      </c>
      <c r="M29" s="4">
        <v>0.30499999999999999</v>
      </c>
      <c r="N29" s="4">
        <v>3.4000000000000002E-2</v>
      </c>
      <c r="O29" s="4">
        <v>6.8000000000000005E-2</v>
      </c>
      <c r="P29" s="4">
        <v>0.27100000000000002</v>
      </c>
      <c r="Q29" s="4">
        <v>0</v>
      </c>
      <c r="R29" s="4">
        <v>0.65100000000000002</v>
      </c>
      <c r="S29" s="4">
        <v>0.89500000000000002</v>
      </c>
      <c r="T29" s="4">
        <v>0.5</v>
      </c>
      <c r="U29" s="4">
        <v>0</v>
      </c>
      <c r="V29" s="4">
        <v>0.5</v>
      </c>
      <c r="W29" s="4">
        <v>0.438</v>
      </c>
      <c r="X29" s="4">
        <v>0</v>
      </c>
      <c r="Y29" s="4">
        <v>0.5</v>
      </c>
      <c r="Z29" s="4">
        <v>1</v>
      </c>
      <c r="AA29" s="4">
        <v>0</v>
      </c>
      <c r="AB29" s="4">
        <v>0.25</v>
      </c>
      <c r="AC29" s="4">
        <v>0.75</v>
      </c>
      <c r="AD29" s="10">
        <f t="shared" si="1"/>
        <v>0.63549999999999995</v>
      </c>
      <c r="AE29" s="9"/>
      <c r="AF29" s="9"/>
      <c r="AG29" s="12">
        <f t="shared" si="2"/>
        <v>69.5</v>
      </c>
      <c r="AH29" s="12">
        <f t="shared" si="2"/>
        <v>84.399999999999991</v>
      </c>
      <c r="AI29" s="12">
        <f t="shared" si="2"/>
        <v>90</v>
      </c>
      <c r="AJ29" s="12">
        <f t="shared" si="2"/>
        <v>28.499999999999996</v>
      </c>
      <c r="AK29" s="12"/>
      <c r="AL29" s="12">
        <f t="shared" si="8"/>
        <v>71.399999999999991</v>
      </c>
      <c r="AM29" s="12">
        <f t="shared" si="8"/>
        <v>70.8</v>
      </c>
      <c r="AN29" s="12">
        <f t="shared" si="8"/>
        <v>70.8</v>
      </c>
      <c r="AO29" s="12">
        <f t="shared" si="8"/>
        <v>30.4</v>
      </c>
      <c r="AP29" s="12">
        <f t="shared" si="9"/>
        <v>73.900000000000006</v>
      </c>
      <c r="AQ29" s="12">
        <f t="shared" si="9"/>
        <v>28.499999999999996</v>
      </c>
      <c r="AR29" s="12"/>
      <c r="AS29" s="12">
        <f t="shared" si="10"/>
        <v>83.8</v>
      </c>
      <c r="AT29" s="12">
        <f t="shared" si="10"/>
        <v>85.7</v>
      </c>
      <c r="AU29" s="12">
        <f t="shared" si="10"/>
        <v>59</v>
      </c>
      <c r="AV29" s="12">
        <f t="shared" si="10"/>
        <v>0</v>
      </c>
      <c r="AW29" s="12">
        <f t="shared" si="11"/>
        <v>75.7</v>
      </c>
      <c r="AX29" s="12">
        <f t="shared" si="11"/>
        <v>80.7</v>
      </c>
      <c r="AY29" s="12"/>
      <c r="AZ29" s="12">
        <f t="shared" si="3"/>
        <v>70.900000000000006</v>
      </c>
      <c r="BA29" s="12">
        <f t="shared" si="4"/>
        <v>52.800000000000004</v>
      </c>
      <c r="BB29" s="12"/>
      <c r="BC29" s="12">
        <f t="shared" si="5"/>
        <v>59</v>
      </c>
      <c r="BD29" s="12">
        <f t="shared" si="6"/>
        <v>89.4</v>
      </c>
      <c r="BE29" s="12">
        <f t="shared" si="7"/>
        <v>62.2</v>
      </c>
    </row>
    <row r="30" spans="1:57" ht="15.75" customHeight="1" x14ac:dyDescent="0.25">
      <c r="A30" s="1" t="s">
        <v>151</v>
      </c>
      <c r="B30" s="3" t="s">
        <v>130</v>
      </c>
      <c r="C30" s="4" t="s">
        <v>8</v>
      </c>
      <c r="D30" s="4">
        <v>6</v>
      </c>
      <c r="E30" s="4">
        <v>204</v>
      </c>
      <c r="F30" s="4">
        <v>6</v>
      </c>
      <c r="G30" s="4">
        <v>204</v>
      </c>
      <c r="H30" s="4">
        <v>0.46899999999999997</v>
      </c>
      <c r="I30" s="4">
        <v>12.5</v>
      </c>
      <c r="J30" s="4">
        <v>0</v>
      </c>
      <c r="K30" s="4">
        <v>0.60399999999999998</v>
      </c>
      <c r="L30" s="4">
        <v>0.33300000000000002</v>
      </c>
      <c r="M30" s="4">
        <v>0.188</v>
      </c>
      <c r="N30" s="4">
        <v>6.3E-2</v>
      </c>
      <c r="O30" s="4">
        <v>2.1000000000000001E-2</v>
      </c>
      <c r="P30" s="4">
        <v>0.39600000000000002</v>
      </c>
      <c r="Q30" s="4">
        <v>0</v>
      </c>
      <c r="R30" s="4">
        <v>0.55200000000000005</v>
      </c>
      <c r="S30" s="4">
        <v>0.75</v>
      </c>
      <c r="T30" s="4">
        <v>0.222</v>
      </c>
      <c r="U30" s="4">
        <v>0.66700000000000004</v>
      </c>
      <c r="V30" s="4">
        <v>0</v>
      </c>
      <c r="W30" s="4">
        <v>0.34200000000000003</v>
      </c>
      <c r="X30" s="4">
        <v>0</v>
      </c>
      <c r="Y30" s="4">
        <v>0.71899999999999997</v>
      </c>
      <c r="Z30" s="4">
        <v>1</v>
      </c>
      <c r="AA30" s="4">
        <v>0</v>
      </c>
      <c r="AB30" s="4">
        <v>7.9000000000000001E-2</v>
      </c>
      <c r="AC30" s="4">
        <v>0</v>
      </c>
      <c r="AD30" s="10">
        <f t="shared" si="1"/>
        <v>0.83027600000000001</v>
      </c>
      <c r="AE30" s="9"/>
      <c r="AF30" s="9"/>
      <c r="AG30" s="12">
        <f t="shared" si="2"/>
        <v>25.4</v>
      </c>
      <c r="AH30" s="12">
        <f t="shared" si="2"/>
        <v>83.8</v>
      </c>
      <c r="AI30" s="12">
        <f t="shared" si="2"/>
        <v>58.3</v>
      </c>
      <c r="AJ30" s="12">
        <f t="shared" si="2"/>
        <v>40.9</v>
      </c>
      <c r="AK30" s="12"/>
      <c r="AL30" s="12">
        <f t="shared" si="8"/>
        <v>47.8</v>
      </c>
      <c r="AM30" s="12">
        <f t="shared" si="8"/>
        <v>72.599999999999994</v>
      </c>
      <c r="AN30" s="12">
        <f t="shared" si="8"/>
        <v>37.200000000000003</v>
      </c>
      <c r="AO30" s="12">
        <f t="shared" si="8"/>
        <v>49</v>
      </c>
      <c r="AP30" s="12">
        <f t="shared" si="9"/>
        <v>32.9</v>
      </c>
      <c r="AQ30" s="12">
        <f t="shared" si="9"/>
        <v>52.1</v>
      </c>
      <c r="AR30" s="12"/>
      <c r="AS30" s="12">
        <f t="shared" si="10"/>
        <v>64.5</v>
      </c>
      <c r="AT30" s="12">
        <f t="shared" si="10"/>
        <v>66.400000000000006</v>
      </c>
      <c r="AU30" s="12">
        <f t="shared" si="10"/>
        <v>17.299999999999997</v>
      </c>
      <c r="AV30" s="12">
        <f t="shared" si="10"/>
        <v>85</v>
      </c>
      <c r="AW30" s="12">
        <f t="shared" si="11"/>
        <v>0</v>
      </c>
      <c r="AX30" s="12">
        <f t="shared" si="11"/>
        <v>57.099999999999994</v>
      </c>
      <c r="AY30" s="12"/>
      <c r="AZ30" s="12">
        <f t="shared" si="3"/>
        <v>34.799999999999997</v>
      </c>
      <c r="BA30" s="12">
        <f t="shared" si="4"/>
        <v>52.800000000000004</v>
      </c>
      <c r="BB30" s="12"/>
      <c r="BC30" s="12">
        <f t="shared" si="5"/>
        <v>25.4</v>
      </c>
      <c r="BD30" s="12">
        <f t="shared" si="6"/>
        <v>0</v>
      </c>
      <c r="BE30" s="12">
        <f t="shared" si="7"/>
        <v>29.900000000000006</v>
      </c>
    </row>
    <row r="31" spans="1:57" ht="15.75" customHeight="1" x14ac:dyDescent="0.25">
      <c r="A31" s="1" t="s">
        <v>173</v>
      </c>
      <c r="B31" s="3" t="s">
        <v>109</v>
      </c>
      <c r="C31" s="4" t="s">
        <v>8</v>
      </c>
      <c r="D31" s="4">
        <v>9</v>
      </c>
      <c r="E31" s="4">
        <v>203</v>
      </c>
      <c r="F31" s="4">
        <v>9</v>
      </c>
      <c r="G31" s="4">
        <v>203</v>
      </c>
      <c r="H31" s="4">
        <v>0.38500000000000001</v>
      </c>
      <c r="I31" s="4">
        <v>13.4</v>
      </c>
      <c r="J31" s="4">
        <v>0</v>
      </c>
      <c r="K31" s="4">
        <v>0.63100000000000001</v>
      </c>
      <c r="L31" s="4">
        <v>0.16900000000000001</v>
      </c>
      <c r="M31" s="4">
        <v>0.308</v>
      </c>
      <c r="N31" s="4">
        <v>0.123</v>
      </c>
      <c r="O31" s="4">
        <v>3.1E-2</v>
      </c>
      <c r="P31" s="4">
        <v>0.36899999999999999</v>
      </c>
      <c r="Q31" s="4">
        <v>0</v>
      </c>
      <c r="R31" s="4">
        <v>0.41499999999999998</v>
      </c>
      <c r="S31" s="4">
        <v>0.54500000000000004</v>
      </c>
      <c r="T31" s="4">
        <v>0.35</v>
      </c>
      <c r="U31" s="4">
        <v>0.375</v>
      </c>
      <c r="V31" s="4">
        <v>0.5</v>
      </c>
      <c r="W31" s="4">
        <v>0.33300000000000002</v>
      </c>
      <c r="X31" s="4">
        <v>0</v>
      </c>
      <c r="Y31" s="4">
        <v>0.47099999999999997</v>
      </c>
      <c r="Z31" s="4">
        <v>0.875</v>
      </c>
      <c r="AA31" s="4">
        <v>0</v>
      </c>
      <c r="AB31" s="4">
        <v>0.125</v>
      </c>
      <c r="AC31" s="4">
        <v>0.33300000000000002</v>
      </c>
      <c r="AD31" s="10">
        <f t="shared" si="1"/>
        <v>0.62007600000000007</v>
      </c>
      <c r="AE31" s="9"/>
      <c r="AF31" s="9"/>
      <c r="AG31" s="12">
        <f t="shared" si="2"/>
        <v>96.2</v>
      </c>
      <c r="AH31" s="12">
        <f t="shared" si="2"/>
        <v>83.2</v>
      </c>
      <c r="AI31" s="12">
        <f t="shared" si="2"/>
        <v>24.8</v>
      </c>
      <c r="AJ31" s="12">
        <f t="shared" si="2"/>
        <v>47.8</v>
      </c>
      <c r="AK31" s="12"/>
      <c r="AL31" s="12">
        <f t="shared" si="8"/>
        <v>54</v>
      </c>
      <c r="AM31" s="12">
        <f t="shared" si="8"/>
        <v>31</v>
      </c>
      <c r="AN31" s="12">
        <f t="shared" si="8"/>
        <v>73.2</v>
      </c>
      <c r="AO31" s="12">
        <f t="shared" si="8"/>
        <v>78.2</v>
      </c>
      <c r="AP31" s="12">
        <f t="shared" si="9"/>
        <v>44</v>
      </c>
      <c r="AQ31" s="12">
        <f t="shared" si="9"/>
        <v>45.9</v>
      </c>
      <c r="AR31" s="12"/>
      <c r="AS31" s="12">
        <f t="shared" si="10"/>
        <v>20.399999999999999</v>
      </c>
      <c r="AT31" s="12">
        <f t="shared" si="10"/>
        <v>29.799999999999997</v>
      </c>
      <c r="AU31" s="12">
        <f t="shared" si="10"/>
        <v>36</v>
      </c>
      <c r="AV31" s="12">
        <f t="shared" si="10"/>
        <v>62.7</v>
      </c>
      <c r="AW31" s="12">
        <f t="shared" si="11"/>
        <v>75.7</v>
      </c>
      <c r="AX31" s="12">
        <f t="shared" si="11"/>
        <v>49</v>
      </c>
      <c r="AY31" s="12"/>
      <c r="AZ31" s="12">
        <f t="shared" si="3"/>
        <v>72.7</v>
      </c>
      <c r="BA31" s="12">
        <f t="shared" si="4"/>
        <v>60.3</v>
      </c>
      <c r="BB31" s="12"/>
      <c r="BC31" s="12">
        <f t="shared" si="5"/>
        <v>34.1</v>
      </c>
      <c r="BD31" s="12">
        <f t="shared" si="6"/>
        <v>58.3</v>
      </c>
      <c r="BE31" s="12">
        <f t="shared" si="7"/>
        <v>66.5</v>
      </c>
    </row>
    <row r="32" spans="1:57" ht="15.75" customHeight="1" x14ac:dyDescent="0.25">
      <c r="A32" s="1" t="s">
        <v>92</v>
      </c>
      <c r="B32" s="3" t="s">
        <v>93</v>
      </c>
      <c r="C32" s="4" t="s">
        <v>8</v>
      </c>
      <c r="D32" s="4">
        <v>7</v>
      </c>
      <c r="E32" s="4">
        <v>202</v>
      </c>
      <c r="F32" s="4">
        <v>7</v>
      </c>
      <c r="G32" s="4">
        <v>202</v>
      </c>
      <c r="H32" s="4">
        <v>0.40200000000000002</v>
      </c>
      <c r="I32" s="4">
        <v>14.6</v>
      </c>
      <c r="J32" s="4">
        <v>0</v>
      </c>
      <c r="K32" s="4">
        <v>0.622</v>
      </c>
      <c r="L32" s="4">
        <v>0.159</v>
      </c>
      <c r="M32" s="4">
        <v>0.30499999999999999</v>
      </c>
      <c r="N32" s="4">
        <v>0.14599999999999999</v>
      </c>
      <c r="O32" s="4">
        <v>1.2E-2</v>
      </c>
      <c r="P32" s="4">
        <v>0.378</v>
      </c>
      <c r="Q32" s="4">
        <v>0</v>
      </c>
      <c r="R32" s="4">
        <v>0.39200000000000002</v>
      </c>
      <c r="S32" s="4">
        <v>0.53800000000000003</v>
      </c>
      <c r="T32" s="4">
        <v>0.36</v>
      </c>
      <c r="U32" s="4">
        <v>0.33300000000000002</v>
      </c>
      <c r="V32" s="4">
        <v>0</v>
      </c>
      <c r="W32" s="4">
        <v>0.41899999999999998</v>
      </c>
      <c r="X32" s="4">
        <v>0</v>
      </c>
      <c r="Y32" s="4">
        <v>0.3</v>
      </c>
      <c r="Z32" s="4">
        <v>0.69199999999999995</v>
      </c>
      <c r="AA32" s="4">
        <v>0</v>
      </c>
      <c r="AB32" s="4">
        <v>0.161</v>
      </c>
      <c r="AC32" s="4">
        <v>0.6</v>
      </c>
      <c r="AD32" s="10">
        <f t="shared" si="1"/>
        <v>0.44817599999999996</v>
      </c>
      <c r="AE32" s="9"/>
      <c r="AF32" s="9"/>
      <c r="AG32" s="12">
        <f t="shared" si="2"/>
        <v>47.199999999999996</v>
      </c>
      <c r="AH32" s="12">
        <f t="shared" si="2"/>
        <v>82.6</v>
      </c>
      <c r="AI32" s="12">
        <f t="shared" si="2"/>
        <v>30.4</v>
      </c>
      <c r="AJ32" s="12">
        <f t="shared" si="2"/>
        <v>57.699999999999996</v>
      </c>
      <c r="AK32" s="12"/>
      <c r="AL32" s="12">
        <f t="shared" si="8"/>
        <v>51.5</v>
      </c>
      <c r="AM32" s="12">
        <f t="shared" si="8"/>
        <v>28.499999999999996</v>
      </c>
      <c r="AN32" s="12">
        <f t="shared" si="8"/>
        <v>70.8</v>
      </c>
      <c r="AO32" s="12">
        <f t="shared" si="8"/>
        <v>84.399999999999991</v>
      </c>
      <c r="AP32" s="12">
        <f t="shared" si="9"/>
        <v>31</v>
      </c>
      <c r="AQ32" s="12">
        <f t="shared" si="9"/>
        <v>47.8</v>
      </c>
      <c r="AR32" s="12"/>
      <c r="AS32" s="12">
        <f t="shared" si="10"/>
        <v>17.299999999999997</v>
      </c>
      <c r="AT32" s="12">
        <f t="shared" si="10"/>
        <v>28.499999999999996</v>
      </c>
      <c r="AU32" s="12">
        <f t="shared" si="10"/>
        <v>38.5</v>
      </c>
      <c r="AV32" s="12">
        <f t="shared" si="10"/>
        <v>53.400000000000006</v>
      </c>
      <c r="AW32" s="12">
        <f t="shared" si="11"/>
        <v>0</v>
      </c>
      <c r="AX32" s="12">
        <f t="shared" si="11"/>
        <v>76.3</v>
      </c>
      <c r="AY32" s="12"/>
      <c r="AZ32" s="12">
        <f t="shared" si="3"/>
        <v>83.9</v>
      </c>
      <c r="BA32" s="12">
        <f t="shared" si="4"/>
        <v>75.8</v>
      </c>
      <c r="BB32" s="12"/>
      <c r="BC32" s="12">
        <f t="shared" si="5"/>
        <v>45.9</v>
      </c>
      <c r="BD32" s="12">
        <f t="shared" si="6"/>
        <v>81.3</v>
      </c>
      <c r="BE32" s="12">
        <f t="shared" si="7"/>
        <v>91.4</v>
      </c>
    </row>
    <row r="33" spans="1:57" ht="15.75" customHeight="1" x14ac:dyDescent="0.25">
      <c r="A33" s="1" t="s">
        <v>120</v>
      </c>
      <c r="B33" s="3" t="s">
        <v>95</v>
      </c>
      <c r="C33" s="4" t="s">
        <v>121</v>
      </c>
      <c r="D33" s="4">
        <v>8</v>
      </c>
      <c r="E33" s="4">
        <v>201</v>
      </c>
      <c r="F33" s="4">
        <v>8</v>
      </c>
      <c r="G33" s="4">
        <v>201</v>
      </c>
      <c r="H33" s="4">
        <v>0.70799999999999996</v>
      </c>
      <c r="I33" s="4">
        <v>6</v>
      </c>
      <c r="J33" s="4">
        <v>0</v>
      </c>
      <c r="K33" s="4">
        <v>0.95799999999999996</v>
      </c>
      <c r="L33" s="4">
        <v>0.35399999999999998</v>
      </c>
      <c r="M33" s="4">
        <v>0.47899999999999998</v>
      </c>
      <c r="N33" s="4">
        <v>6.3E-2</v>
      </c>
      <c r="O33" s="4">
        <v>6.3E-2</v>
      </c>
      <c r="P33" s="4">
        <v>4.2000000000000003E-2</v>
      </c>
      <c r="Q33" s="4">
        <v>0</v>
      </c>
      <c r="R33" s="4">
        <v>0.71699999999999997</v>
      </c>
      <c r="S33" s="4">
        <v>0.88200000000000001</v>
      </c>
      <c r="T33" s="4">
        <v>0.65200000000000002</v>
      </c>
      <c r="U33" s="4">
        <v>0.66700000000000004</v>
      </c>
      <c r="V33" s="4">
        <v>0.33300000000000002</v>
      </c>
      <c r="W33" s="4">
        <v>0.5</v>
      </c>
      <c r="X33" s="4">
        <v>0</v>
      </c>
      <c r="Y33" s="4">
        <v>0.72699999999999998</v>
      </c>
      <c r="Z33" s="4">
        <v>1</v>
      </c>
      <c r="AA33" s="4">
        <v>0</v>
      </c>
      <c r="AB33" s="4">
        <v>1</v>
      </c>
      <c r="AC33" s="4">
        <v>0.5</v>
      </c>
      <c r="AD33" s="10">
        <f t="shared" si="1"/>
        <v>0.73846599999999996</v>
      </c>
      <c r="AE33" s="9"/>
      <c r="AF33" s="9"/>
      <c r="AG33" s="12">
        <f t="shared" si="2"/>
        <v>69.5</v>
      </c>
      <c r="AH33" s="12">
        <f t="shared" si="2"/>
        <v>81.899999999999991</v>
      </c>
      <c r="AI33" s="12">
        <f t="shared" si="2"/>
        <v>99.3</v>
      </c>
      <c r="AJ33" s="12">
        <f t="shared" si="2"/>
        <v>8</v>
      </c>
      <c r="AK33" s="12"/>
      <c r="AL33" s="12">
        <f t="shared" si="8"/>
        <v>93.100000000000009</v>
      </c>
      <c r="AM33" s="12">
        <f t="shared" si="8"/>
        <v>78.2</v>
      </c>
      <c r="AN33" s="12">
        <f t="shared" si="8"/>
        <v>94.399999999999991</v>
      </c>
      <c r="AO33" s="12">
        <f t="shared" si="8"/>
        <v>49</v>
      </c>
      <c r="AP33" s="12">
        <f t="shared" si="9"/>
        <v>70.099999999999994</v>
      </c>
      <c r="AQ33" s="12">
        <f t="shared" si="9"/>
        <v>6.8000000000000007</v>
      </c>
      <c r="AR33" s="12"/>
      <c r="AS33" s="12">
        <f t="shared" si="10"/>
        <v>91.9</v>
      </c>
      <c r="AT33" s="12">
        <f t="shared" si="10"/>
        <v>85</v>
      </c>
      <c r="AU33" s="12">
        <f t="shared" si="10"/>
        <v>92.5</v>
      </c>
      <c r="AV33" s="12">
        <f t="shared" si="10"/>
        <v>85</v>
      </c>
      <c r="AW33" s="12">
        <f t="shared" si="11"/>
        <v>65.8</v>
      </c>
      <c r="AX33" s="12">
        <f t="shared" si="11"/>
        <v>87.5</v>
      </c>
      <c r="AY33" s="12"/>
      <c r="AZ33" s="12">
        <f t="shared" si="3"/>
        <v>33.599999999999994</v>
      </c>
      <c r="BA33" s="12">
        <f t="shared" si="4"/>
        <v>52.800000000000004</v>
      </c>
      <c r="BB33" s="12"/>
      <c r="BC33" s="12">
        <f t="shared" si="5"/>
        <v>100</v>
      </c>
      <c r="BD33" s="12">
        <f t="shared" si="6"/>
        <v>70.8</v>
      </c>
      <c r="BE33" s="12">
        <f t="shared" si="7"/>
        <v>44.8</v>
      </c>
    </row>
    <row r="34" spans="1:57" ht="15.75" customHeight="1" x14ac:dyDescent="0.25">
      <c r="A34" s="1" t="s">
        <v>117</v>
      </c>
      <c r="B34" s="3" t="s">
        <v>98</v>
      </c>
      <c r="C34" s="4" t="s">
        <v>87</v>
      </c>
      <c r="D34" s="4">
        <v>7</v>
      </c>
      <c r="E34" s="4">
        <v>200</v>
      </c>
      <c r="F34" s="4">
        <v>7</v>
      </c>
      <c r="G34" s="4">
        <v>200</v>
      </c>
      <c r="H34" s="4">
        <v>0.67100000000000004</v>
      </c>
      <c r="I34" s="4">
        <v>3.8</v>
      </c>
      <c r="J34" s="4">
        <v>0</v>
      </c>
      <c r="K34" s="4">
        <v>0.97599999999999998</v>
      </c>
      <c r="L34" s="4">
        <v>0.65900000000000003</v>
      </c>
      <c r="M34" s="4">
        <v>0.25600000000000001</v>
      </c>
      <c r="N34" s="4">
        <v>2.4E-2</v>
      </c>
      <c r="O34" s="4">
        <v>3.6999999999999998E-2</v>
      </c>
      <c r="P34" s="4">
        <v>2.4E-2</v>
      </c>
      <c r="Q34" s="4">
        <v>0</v>
      </c>
      <c r="R34" s="4">
        <v>0.68799999999999994</v>
      </c>
      <c r="S34" s="4">
        <v>0.77800000000000002</v>
      </c>
      <c r="T34" s="4">
        <v>0.52400000000000002</v>
      </c>
      <c r="U34" s="4">
        <v>0</v>
      </c>
      <c r="V34" s="4">
        <v>0.66700000000000004</v>
      </c>
      <c r="W34" s="4">
        <v>0</v>
      </c>
      <c r="X34" s="4">
        <v>0</v>
      </c>
      <c r="Y34" s="4">
        <v>0.6</v>
      </c>
      <c r="Z34" s="4">
        <v>0</v>
      </c>
      <c r="AA34" s="4">
        <v>0</v>
      </c>
      <c r="AB34" s="4">
        <v>0</v>
      </c>
      <c r="AC34" s="4">
        <v>0</v>
      </c>
      <c r="AD34" s="10">
        <f t="shared" si="1"/>
        <v>0.58560000000000001</v>
      </c>
      <c r="AE34" s="9"/>
      <c r="AF34" s="9"/>
      <c r="AG34" s="12">
        <f t="shared" si="2"/>
        <v>47.199999999999996</v>
      </c>
      <c r="AH34" s="12">
        <f t="shared" si="2"/>
        <v>80.7</v>
      </c>
      <c r="AI34" s="12">
        <f t="shared" si="2"/>
        <v>98.1</v>
      </c>
      <c r="AJ34" s="12">
        <f t="shared" si="2"/>
        <v>1.7999999999999998</v>
      </c>
      <c r="AK34" s="12"/>
      <c r="AL34" s="12">
        <f t="shared" si="8"/>
        <v>94.399999999999991</v>
      </c>
      <c r="AM34" s="12">
        <f t="shared" si="8"/>
        <v>98.1</v>
      </c>
      <c r="AN34" s="12">
        <f t="shared" si="8"/>
        <v>57.699999999999996</v>
      </c>
      <c r="AO34" s="12">
        <f t="shared" si="8"/>
        <v>26</v>
      </c>
      <c r="AP34" s="12">
        <f t="shared" si="9"/>
        <v>52.1</v>
      </c>
      <c r="AQ34" s="12">
        <f t="shared" si="9"/>
        <v>5.5</v>
      </c>
      <c r="AR34" s="12"/>
      <c r="AS34" s="12">
        <f t="shared" si="10"/>
        <v>89.4</v>
      </c>
      <c r="AT34" s="12">
        <f t="shared" si="10"/>
        <v>71.399999999999991</v>
      </c>
      <c r="AU34" s="12">
        <f t="shared" si="10"/>
        <v>73.2</v>
      </c>
      <c r="AV34" s="12">
        <f t="shared" si="10"/>
        <v>0</v>
      </c>
      <c r="AW34" s="12">
        <f t="shared" si="11"/>
        <v>86.9</v>
      </c>
      <c r="AX34" s="12">
        <f t="shared" si="11"/>
        <v>0</v>
      </c>
      <c r="AY34" s="12"/>
      <c r="AZ34" s="12">
        <f t="shared" si="3"/>
        <v>52.2</v>
      </c>
      <c r="BA34" s="12">
        <f t="shared" si="4"/>
        <v>100</v>
      </c>
      <c r="BB34" s="12"/>
      <c r="BC34" s="12">
        <f t="shared" si="5"/>
        <v>0</v>
      </c>
      <c r="BD34" s="12">
        <f t="shared" si="6"/>
        <v>0</v>
      </c>
      <c r="BE34" s="12">
        <f t="shared" si="7"/>
        <v>72.099999999999994</v>
      </c>
    </row>
    <row r="35" spans="1:57" ht="15.75" customHeight="1" x14ac:dyDescent="0.25">
      <c r="A35" s="1" t="s">
        <v>118</v>
      </c>
      <c r="B35" s="3" t="s">
        <v>119</v>
      </c>
      <c r="C35" s="4" t="s">
        <v>8</v>
      </c>
      <c r="D35" s="4">
        <v>7</v>
      </c>
      <c r="E35" s="4">
        <v>200</v>
      </c>
      <c r="F35" s="4">
        <v>7</v>
      </c>
      <c r="G35" s="4">
        <v>200</v>
      </c>
      <c r="H35" s="4">
        <v>0.34499999999999997</v>
      </c>
      <c r="I35" s="4">
        <v>13.8</v>
      </c>
      <c r="J35" s="4">
        <v>0</v>
      </c>
      <c r="K35" s="4">
        <v>0.69</v>
      </c>
      <c r="L35" s="4">
        <v>0.19500000000000001</v>
      </c>
      <c r="M35" s="4">
        <v>0.253</v>
      </c>
      <c r="N35" s="4">
        <v>0.13800000000000001</v>
      </c>
      <c r="O35" s="4">
        <v>0.10299999999999999</v>
      </c>
      <c r="P35" s="4">
        <v>0.31</v>
      </c>
      <c r="Q35" s="4">
        <v>0</v>
      </c>
      <c r="R35" s="4">
        <v>0.41699999999999998</v>
      </c>
      <c r="S35" s="4">
        <v>0.52900000000000003</v>
      </c>
      <c r="T35" s="4">
        <v>0.318</v>
      </c>
      <c r="U35" s="4">
        <v>0.33300000000000002</v>
      </c>
      <c r="V35" s="4">
        <v>0.55600000000000005</v>
      </c>
      <c r="W35" s="4">
        <v>0.185</v>
      </c>
      <c r="X35" s="4">
        <v>0</v>
      </c>
      <c r="Y35" s="4">
        <v>0.36</v>
      </c>
      <c r="Z35" s="4">
        <v>1</v>
      </c>
      <c r="AA35" s="4">
        <v>0</v>
      </c>
      <c r="AB35" s="4">
        <v>7.3999999999999996E-2</v>
      </c>
      <c r="AC35" s="4">
        <v>0</v>
      </c>
      <c r="AD35" s="10">
        <f t="shared" si="1"/>
        <v>0.55840000000000001</v>
      </c>
      <c r="AE35" s="9"/>
      <c r="AF35" s="9"/>
      <c r="AG35" s="12">
        <f t="shared" si="2"/>
        <v>47.199999999999996</v>
      </c>
      <c r="AH35" s="12">
        <f t="shared" si="2"/>
        <v>80.7</v>
      </c>
      <c r="AI35" s="12">
        <f t="shared" si="2"/>
        <v>16.100000000000001</v>
      </c>
      <c r="AJ35" s="12">
        <f t="shared" si="2"/>
        <v>52.1</v>
      </c>
      <c r="AK35" s="12"/>
      <c r="AL35" s="12">
        <f t="shared" si="8"/>
        <v>66.400000000000006</v>
      </c>
      <c r="AM35" s="12">
        <f t="shared" si="8"/>
        <v>40.300000000000004</v>
      </c>
      <c r="AN35" s="12">
        <f t="shared" si="8"/>
        <v>56.499999999999993</v>
      </c>
      <c r="AO35" s="12">
        <f t="shared" si="8"/>
        <v>82.6</v>
      </c>
      <c r="AP35" s="12">
        <f t="shared" si="9"/>
        <v>84.399999999999991</v>
      </c>
      <c r="AQ35" s="12">
        <f t="shared" si="9"/>
        <v>33.5</v>
      </c>
      <c r="AR35" s="12"/>
      <c r="AS35" s="12">
        <f t="shared" si="10"/>
        <v>21.099999999999998</v>
      </c>
      <c r="AT35" s="12">
        <f t="shared" si="10"/>
        <v>27.900000000000002</v>
      </c>
      <c r="AU35" s="12">
        <f t="shared" si="10"/>
        <v>27.900000000000002</v>
      </c>
      <c r="AV35" s="12">
        <f t="shared" si="10"/>
        <v>53.400000000000006</v>
      </c>
      <c r="AW35" s="12">
        <f t="shared" si="11"/>
        <v>83.8</v>
      </c>
      <c r="AX35" s="12">
        <f t="shared" si="11"/>
        <v>24.2</v>
      </c>
      <c r="AY35" s="12"/>
      <c r="AZ35" s="12">
        <f t="shared" si="3"/>
        <v>76.400000000000006</v>
      </c>
      <c r="BA35" s="12">
        <f t="shared" si="4"/>
        <v>52.800000000000004</v>
      </c>
      <c r="BB35" s="12"/>
      <c r="BC35" s="12">
        <f t="shared" si="5"/>
        <v>24.2</v>
      </c>
      <c r="BD35" s="12">
        <f t="shared" si="6"/>
        <v>0</v>
      </c>
      <c r="BE35" s="12">
        <f t="shared" si="7"/>
        <v>77.099999999999994</v>
      </c>
    </row>
    <row r="36" spans="1:57" ht="15.75" customHeight="1" x14ac:dyDescent="0.25">
      <c r="A36" s="1" t="s">
        <v>143</v>
      </c>
      <c r="B36" s="3" t="s">
        <v>116</v>
      </c>
      <c r="C36" s="4" t="s">
        <v>90</v>
      </c>
      <c r="D36" s="4">
        <v>8</v>
      </c>
      <c r="E36" s="4">
        <v>199</v>
      </c>
      <c r="F36" s="4">
        <v>8</v>
      </c>
      <c r="G36" s="4">
        <v>199</v>
      </c>
      <c r="H36" s="4">
        <v>0.51500000000000001</v>
      </c>
      <c r="I36" s="4">
        <v>15.4</v>
      </c>
      <c r="J36" s="4">
        <v>0</v>
      </c>
      <c r="K36" s="4">
        <v>0.51500000000000001</v>
      </c>
      <c r="L36" s="4">
        <v>0.182</v>
      </c>
      <c r="M36" s="4">
        <v>0.21199999999999999</v>
      </c>
      <c r="N36" s="4">
        <v>6.0999999999999999E-2</v>
      </c>
      <c r="O36" s="4">
        <v>6.0999999999999999E-2</v>
      </c>
      <c r="P36" s="4">
        <v>0.48499999999999999</v>
      </c>
      <c r="Q36" s="4">
        <v>0</v>
      </c>
      <c r="R36" s="4">
        <v>0.64700000000000002</v>
      </c>
      <c r="S36" s="4">
        <v>0.83299999999999996</v>
      </c>
      <c r="T36" s="4">
        <v>0.57099999999999995</v>
      </c>
      <c r="U36" s="4">
        <v>0.5</v>
      </c>
      <c r="V36" s="4">
        <v>0.5</v>
      </c>
      <c r="W36" s="4">
        <v>0.375</v>
      </c>
      <c r="X36" s="4">
        <v>0</v>
      </c>
      <c r="Y36" s="4">
        <v>0.81799999999999995</v>
      </c>
      <c r="Z36" s="4">
        <v>1</v>
      </c>
      <c r="AA36" s="4">
        <v>0</v>
      </c>
      <c r="AB36" s="4">
        <v>6.3E-2</v>
      </c>
      <c r="AC36" s="4">
        <v>0</v>
      </c>
      <c r="AD36" s="10">
        <f t="shared" si="1"/>
        <v>0.90626999999999991</v>
      </c>
      <c r="AE36" s="9"/>
      <c r="AF36" s="9"/>
      <c r="AG36" s="12">
        <f t="shared" si="2"/>
        <v>69.5</v>
      </c>
      <c r="AH36" s="12">
        <f t="shared" si="2"/>
        <v>80.100000000000009</v>
      </c>
      <c r="AI36" s="12">
        <f t="shared" si="2"/>
        <v>72.599999999999994</v>
      </c>
      <c r="AJ36" s="12">
        <f t="shared" si="2"/>
        <v>68.300000000000011</v>
      </c>
      <c r="AK36" s="12"/>
      <c r="AL36" s="12">
        <f t="shared" si="8"/>
        <v>29.099999999999998</v>
      </c>
      <c r="AM36" s="12">
        <f t="shared" si="8"/>
        <v>36.6</v>
      </c>
      <c r="AN36" s="12">
        <f t="shared" si="8"/>
        <v>42.8</v>
      </c>
      <c r="AO36" s="12">
        <f t="shared" si="8"/>
        <v>47.8</v>
      </c>
      <c r="AP36" s="12">
        <f t="shared" si="9"/>
        <v>68.300000000000011</v>
      </c>
      <c r="AQ36" s="12">
        <f t="shared" si="9"/>
        <v>70.8</v>
      </c>
      <c r="AR36" s="12"/>
      <c r="AS36" s="12">
        <f t="shared" si="10"/>
        <v>81.899999999999991</v>
      </c>
      <c r="AT36" s="12">
        <f t="shared" si="10"/>
        <v>77.600000000000009</v>
      </c>
      <c r="AU36" s="12">
        <f t="shared" si="10"/>
        <v>78.8</v>
      </c>
      <c r="AV36" s="12">
        <f t="shared" si="10"/>
        <v>72.599999999999994</v>
      </c>
      <c r="AW36" s="12">
        <f t="shared" si="11"/>
        <v>75.7</v>
      </c>
      <c r="AX36" s="12">
        <f t="shared" si="11"/>
        <v>63.9</v>
      </c>
      <c r="AY36" s="12"/>
      <c r="AZ36" s="12">
        <f t="shared" si="3"/>
        <v>21.799999999999997</v>
      </c>
      <c r="BA36" s="12">
        <f t="shared" si="4"/>
        <v>52.800000000000004</v>
      </c>
      <c r="BB36" s="12"/>
      <c r="BC36" s="12">
        <f t="shared" si="5"/>
        <v>21.7</v>
      </c>
      <c r="BD36" s="12">
        <f t="shared" si="6"/>
        <v>0</v>
      </c>
      <c r="BE36" s="12">
        <f t="shared" si="7"/>
        <v>16.200000000000003</v>
      </c>
    </row>
    <row r="37" spans="1:57" ht="15.75" customHeight="1" x14ac:dyDescent="0.25">
      <c r="A37" s="1" t="s">
        <v>147</v>
      </c>
      <c r="B37" s="3" t="s">
        <v>116</v>
      </c>
      <c r="C37" s="4" t="s">
        <v>8</v>
      </c>
      <c r="D37" s="4">
        <v>8</v>
      </c>
      <c r="E37" s="4">
        <v>196</v>
      </c>
      <c r="F37" s="4">
        <v>8</v>
      </c>
      <c r="G37" s="4">
        <v>196</v>
      </c>
      <c r="H37" s="4">
        <v>0.49</v>
      </c>
      <c r="I37" s="4">
        <v>10.3</v>
      </c>
      <c r="J37" s="4">
        <v>0</v>
      </c>
      <c r="K37" s="4">
        <v>0.745</v>
      </c>
      <c r="L37" s="4">
        <v>0.27500000000000002</v>
      </c>
      <c r="M37" s="4">
        <v>0.35299999999999998</v>
      </c>
      <c r="N37" s="4">
        <v>0.11799999999999999</v>
      </c>
      <c r="O37" s="4">
        <v>0</v>
      </c>
      <c r="P37" s="4">
        <v>0.255</v>
      </c>
      <c r="Q37" s="4">
        <v>0</v>
      </c>
      <c r="R37" s="4">
        <v>0.55300000000000005</v>
      </c>
      <c r="S37" s="4">
        <v>0.85699999999999998</v>
      </c>
      <c r="T37" s="4">
        <v>0.5</v>
      </c>
      <c r="U37" s="4">
        <v>0</v>
      </c>
      <c r="V37" s="4">
        <v>0</v>
      </c>
      <c r="W37" s="4">
        <v>0.308</v>
      </c>
      <c r="X37" s="4">
        <v>0</v>
      </c>
      <c r="Y37" s="4">
        <v>0.33300000000000002</v>
      </c>
      <c r="Z37" s="4">
        <v>0.75</v>
      </c>
      <c r="AA37" s="4">
        <v>0</v>
      </c>
      <c r="AB37" s="4">
        <v>0.23100000000000001</v>
      </c>
      <c r="AC37" s="4">
        <v>0.33300000000000002</v>
      </c>
      <c r="AD37" s="10">
        <f t="shared" si="1"/>
        <v>0.43933500000000003</v>
      </c>
      <c r="AE37" s="9"/>
      <c r="AF37" s="9"/>
      <c r="AG37" s="12">
        <f t="shared" si="2"/>
        <v>69.5</v>
      </c>
      <c r="AH37" s="12">
        <f t="shared" si="2"/>
        <v>78.8</v>
      </c>
      <c r="AI37" s="12">
        <f t="shared" si="2"/>
        <v>63.3</v>
      </c>
      <c r="AJ37" s="12">
        <f t="shared" si="2"/>
        <v>26</v>
      </c>
      <c r="AK37" s="12"/>
      <c r="AL37" s="12">
        <f t="shared" si="8"/>
        <v>73.900000000000006</v>
      </c>
      <c r="AM37" s="12">
        <f t="shared" si="8"/>
        <v>62.1</v>
      </c>
      <c r="AN37" s="12">
        <f t="shared" si="8"/>
        <v>81.899999999999991</v>
      </c>
      <c r="AO37" s="12">
        <f t="shared" si="8"/>
        <v>74.5</v>
      </c>
      <c r="AP37" s="12">
        <f t="shared" si="9"/>
        <v>0</v>
      </c>
      <c r="AQ37" s="12">
        <f t="shared" si="9"/>
        <v>26</v>
      </c>
      <c r="AR37" s="12"/>
      <c r="AS37" s="12">
        <f t="shared" si="10"/>
        <v>65.2</v>
      </c>
      <c r="AT37" s="12">
        <f t="shared" si="10"/>
        <v>83.2</v>
      </c>
      <c r="AU37" s="12">
        <f t="shared" si="10"/>
        <v>59</v>
      </c>
      <c r="AV37" s="12">
        <f t="shared" si="10"/>
        <v>0</v>
      </c>
      <c r="AW37" s="12">
        <f t="shared" si="11"/>
        <v>0</v>
      </c>
      <c r="AX37" s="12">
        <f t="shared" si="11"/>
        <v>43.4</v>
      </c>
      <c r="AY37" s="12"/>
      <c r="AZ37" s="12">
        <f t="shared" si="3"/>
        <v>82</v>
      </c>
      <c r="BA37" s="12">
        <f t="shared" si="4"/>
        <v>74</v>
      </c>
      <c r="BB37" s="12"/>
      <c r="BC37" s="12">
        <f t="shared" si="5"/>
        <v>58.3</v>
      </c>
      <c r="BD37" s="12">
        <f t="shared" si="6"/>
        <v>58.3</v>
      </c>
      <c r="BE37" s="12">
        <f t="shared" si="7"/>
        <v>92.6</v>
      </c>
    </row>
    <row r="38" spans="1:57" ht="15.75" customHeight="1" x14ac:dyDescent="0.25">
      <c r="A38" s="1" t="s">
        <v>141</v>
      </c>
      <c r="B38" s="3" t="s">
        <v>142</v>
      </c>
      <c r="C38" s="4" t="s">
        <v>8</v>
      </c>
      <c r="D38" s="4">
        <v>6</v>
      </c>
      <c r="E38" s="4">
        <v>196</v>
      </c>
      <c r="F38" s="4">
        <v>6</v>
      </c>
      <c r="G38" s="4">
        <v>196</v>
      </c>
      <c r="H38" s="4">
        <v>0.51600000000000001</v>
      </c>
      <c r="I38" s="4">
        <v>13.1</v>
      </c>
      <c r="J38" s="4">
        <v>0</v>
      </c>
      <c r="K38" s="4">
        <v>0.64500000000000002</v>
      </c>
      <c r="L38" s="4">
        <v>0.21</v>
      </c>
      <c r="M38" s="4">
        <v>0.22600000000000001</v>
      </c>
      <c r="N38" s="4">
        <v>0.21</v>
      </c>
      <c r="O38" s="4">
        <v>0</v>
      </c>
      <c r="P38" s="4">
        <v>0.35499999999999998</v>
      </c>
      <c r="Q38" s="4">
        <v>0</v>
      </c>
      <c r="R38" s="4">
        <v>0.65</v>
      </c>
      <c r="S38" s="4">
        <v>1</v>
      </c>
      <c r="T38" s="4">
        <v>0.5</v>
      </c>
      <c r="U38" s="4">
        <v>0.46200000000000002</v>
      </c>
      <c r="V38" s="4">
        <v>0</v>
      </c>
      <c r="W38" s="4">
        <v>0.27300000000000002</v>
      </c>
      <c r="X38" s="4">
        <v>0</v>
      </c>
      <c r="Y38" s="4">
        <v>0.5</v>
      </c>
      <c r="Z38" s="4">
        <v>0.83299999999999996</v>
      </c>
      <c r="AA38" s="4">
        <v>0</v>
      </c>
      <c r="AB38" s="4">
        <v>0.27300000000000002</v>
      </c>
      <c r="AC38" s="4">
        <v>0.33300000000000002</v>
      </c>
      <c r="AD38" s="10">
        <f t="shared" si="1"/>
        <v>0.61821499999999996</v>
      </c>
      <c r="AE38" s="9"/>
      <c r="AF38" s="9"/>
      <c r="AG38" s="12">
        <f t="shared" si="2"/>
        <v>25.4</v>
      </c>
      <c r="AH38" s="12">
        <f t="shared" si="2"/>
        <v>78.8</v>
      </c>
      <c r="AI38" s="12">
        <f t="shared" si="2"/>
        <v>73.2</v>
      </c>
      <c r="AJ38" s="12">
        <f t="shared" si="2"/>
        <v>45.9</v>
      </c>
      <c r="AK38" s="12"/>
      <c r="AL38" s="12">
        <f t="shared" si="8"/>
        <v>57.099999999999994</v>
      </c>
      <c r="AM38" s="12">
        <f t="shared" si="8"/>
        <v>45.300000000000004</v>
      </c>
      <c r="AN38" s="12">
        <f t="shared" si="8"/>
        <v>47.199999999999996</v>
      </c>
      <c r="AO38" s="12">
        <f t="shared" si="8"/>
        <v>93.100000000000009</v>
      </c>
      <c r="AP38" s="12">
        <f t="shared" si="9"/>
        <v>0</v>
      </c>
      <c r="AQ38" s="12">
        <f t="shared" si="9"/>
        <v>42.8</v>
      </c>
      <c r="AR38" s="12"/>
      <c r="AS38" s="12">
        <f t="shared" si="10"/>
        <v>83.2</v>
      </c>
      <c r="AT38" s="12">
        <f t="shared" si="10"/>
        <v>88.1</v>
      </c>
      <c r="AU38" s="12">
        <f t="shared" si="10"/>
        <v>59</v>
      </c>
      <c r="AV38" s="12">
        <f t="shared" si="10"/>
        <v>72</v>
      </c>
      <c r="AW38" s="12">
        <f t="shared" si="11"/>
        <v>0</v>
      </c>
      <c r="AX38" s="12">
        <f t="shared" si="11"/>
        <v>34.1</v>
      </c>
      <c r="AY38" s="12"/>
      <c r="AZ38" s="12">
        <f t="shared" si="3"/>
        <v>70.900000000000006</v>
      </c>
      <c r="BA38" s="12">
        <f t="shared" si="4"/>
        <v>65.900000000000006</v>
      </c>
      <c r="BB38" s="12"/>
      <c r="BC38" s="12">
        <f t="shared" si="5"/>
        <v>66.400000000000006</v>
      </c>
      <c r="BD38" s="12">
        <f t="shared" si="6"/>
        <v>58.3</v>
      </c>
      <c r="BE38" s="12">
        <f t="shared" si="7"/>
        <v>67.099999999999994</v>
      </c>
    </row>
    <row r="39" spans="1:57" ht="15.75" customHeight="1" x14ac:dyDescent="0.25">
      <c r="A39" s="1" t="s">
        <v>152</v>
      </c>
      <c r="B39" s="3" t="s">
        <v>95</v>
      </c>
      <c r="C39" s="4" t="s">
        <v>8</v>
      </c>
      <c r="D39" s="4">
        <v>8</v>
      </c>
      <c r="E39" s="4">
        <v>191</v>
      </c>
      <c r="F39" s="4">
        <v>8</v>
      </c>
      <c r="G39" s="4">
        <v>191</v>
      </c>
      <c r="H39" s="4">
        <v>0.437</v>
      </c>
      <c r="I39" s="4">
        <v>18.5</v>
      </c>
      <c r="J39" s="4">
        <v>0</v>
      </c>
      <c r="K39" s="4">
        <v>0.38</v>
      </c>
      <c r="L39" s="4">
        <v>0.16900000000000001</v>
      </c>
      <c r="M39" s="4">
        <v>0.127</v>
      </c>
      <c r="N39" s="4">
        <v>4.2000000000000003E-2</v>
      </c>
      <c r="O39" s="4">
        <v>4.2000000000000003E-2</v>
      </c>
      <c r="P39" s="4">
        <v>0.62</v>
      </c>
      <c r="Q39" s="4">
        <v>0</v>
      </c>
      <c r="R39" s="4">
        <v>0.29599999999999999</v>
      </c>
      <c r="S39" s="4">
        <v>0.33300000000000002</v>
      </c>
      <c r="T39" s="4">
        <v>0.33300000000000002</v>
      </c>
      <c r="U39" s="4">
        <v>0</v>
      </c>
      <c r="V39" s="4">
        <v>0.33300000000000002</v>
      </c>
      <c r="W39" s="4">
        <v>0.52300000000000002</v>
      </c>
      <c r="X39" s="4">
        <v>0</v>
      </c>
      <c r="Y39" s="4">
        <v>0.125</v>
      </c>
      <c r="Z39" s="4">
        <v>0.78300000000000003</v>
      </c>
      <c r="AA39" s="4">
        <v>0</v>
      </c>
      <c r="AB39" s="4">
        <v>6.8000000000000005E-2</v>
      </c>
      <c r="AC39" s="4">
        <v>1</v>
      </c>
      <c r="AD39" s="10">
        <f t="shared" si="1"/>
        <v>0.53295999999999999</v>
      </c>
      <c r="AE39" s="9"/>
      <c r="AF39" s="9"/>
      <c r="AG39" s="12">
        <f t="shared" si="2"/>
        <v>69.5</v>
      </c>
      <c r="AH39" s="12">
        <f t="shared" si="2"/>
        <v>77.600000000000009</v>
      </c>
      <c r="AI39" s="12">
        <f t="shared" si="2"/>
        <v>44</v>
      </c>
      <c r="AJ39" s="12">
        <f t="shared" si="2"/>
        <v>86.9</v>
      </c>
      <c r="AK39" s="12"/>
      <c r="AL39" s="12">
        <f t="shared" si="8"/>
        <v>12.4</v>
      </c>
      <c r="AM39" s="12">
        <f t="shared" si="8"/>
        <v>31</v>
      </c>
      <c r="AN39" s="12">
        <f t="shared" si="8"/>
        <v>24.8</v>
      </c>
      <c r="AO39" s="12">
        <f t="shared" si="8"/>
        <v>36</v>
      </c>
      <c r="AP39" s="12">
        <f t="shared" si="9"/>
        <v>56.499999999999993</v>
      </c>
      <c r="AQ39" s="12">
        <f t="shared" si="9"/>
        <v>87.5</v>
      </c>
      <c r="AR39" s="12"/>
      <c r="AS39" s="12">
        <f t="shared" si="10"/>
        <v>4.3</v>
      </c>
      <c r="AT39" s="12">
        <f t="shared" si="10"/>
        <v>12.4</v>
      </c>
      <c r="AU39" s="12">
        <f t="shared" si="10"/>
        <v>29.099999999999998</v>
      </c>
      <c r="AV39" s="12">
        <f t="shared" si="10"/>
        <v>0</v>
      </c>
      <c r="AW39" s="12">
        <f t="shared" si="11"/>
        <v>65.8</v>
      </c>
      <c r="AX39" s="12">
        <f t="shared" si="11"/>
        <v>93.100000000000009</v>
      </c>
      <c r="AY39" s="12"/>
      <c r="AZ39" s="12">
        <f t="shared" si="3"/>
        <v>92.6</v>
      </c>
      <c r="BA39" s="12">
        <f t="shared" si="4"/>
        <v>69.599999999999994</v>
      </c>
      <c r="BB39" s="12"/>
      <c r="BC39" s="12">
        <f t="shared" si="5"/>
        <v>23.599999999999998</v>
      </c>
      <c r="BD39" s="12">
        <f t="shared" si="6"/>
        <v>92.5</v>
      </c>
      <c r="BE39" s="12">
        <f t="shared" si="7"/>
        <v>82</v>
      </c>
    </row>
    <row r="40" spans="1:57" ht="15.75" customHeight="1" x14ac:dyDescent="0.25">
      <c r="A40" s="1" t="s">
        <v>127</v>
      </c>
      <c r="B40" s="3" t="s">
        <v>119</v>
      </c>
      <c r="C40" s="4" t="s">
        <v>8</v>
      </c>
      <c r="D40" s="4">
        <v>7</v>
      </c>
      <c r="E40" s="4">
        <v>191</v>
      </c>
      <c r="F40" s="4">
        <v>7</v>
      </c>
      <c r="G40" s="4">
        <v>191</v>
      </c>
      <c r="H40" s="4">
        <v>0.32100000000000001</v>
      </c>
      <c r="I40" s="4">
        <v>21.2</v>
      </c>
      <c r="J40" s="4">
        <v>0</v>
      </c>
      <c r="K40" s="4">
        <v>0.28599999999999998</v>
      </c>
      <c r="L40" s="4">
        <v>3.5999999999999997E-2</v>
      </c>
      <c r="M40" s="4">
        <v>5.3999999999999999E-2</v>
      </c>
      <c r="N40" s="4">
        <v>0.161</v>
      </c>
      <c r="O40" s="4">
        <v>3.5999999999999997E-2</v>
      </c>
      <c r="P40" s="4">
        <v>0.71399999999999997</v>
      </c>
      <c r="Q40" s="4">
        <v>0</v>
      </c>
      <c r="R40" s="4">
        <v>0.438</v>
      </c>
      <c r="S40" s="4">
        <v>0.5</v>
      </c>
      <c r="T40" s="4">
        <v>0.66700000000000004</v>
      </c>
      <c r="U40" s="4">
        <v>0.44400000000000001</v>
      </c>
      <c r="V40" s="4">
        <v>0</v>
      </c>
      <c r="W40" s="4">
        <v>0.27500000000000002</v>
      </c>
      <c r="X40" s="4">
        <v>0</v>
      </c>
      <c r="Y40" s="4">
        <v>0.57099999999999995</v>
      </c>
      <c r="Z40" s="4">
        <v>1</v>
      </c>
      <c r="AA40" s="4">
        <v>0</v>
      </c>
      <c r="AB40" s="4">
        <v>0.25</v>
      </c>
      <c r="AC40" s="4">
        <v>0.2</v>
      </c>
      <c r="AD40" s="10">
        <f t="shared" si="1"/>
        <v>0.87730599999999992</v>
      </c>
      <c r="AE40" s="9"/>
      <c r="AF40" s="9"/>
      <c r="AG40" s="12">
        <f t="shared" si="2"/>
        <v>47.199999999999996</v>
      </c>
      <c r="AH40" s="12">
        <f t="shared" si="2"/>
        <v>77.600000000000009</v>
      </c>
      <c r="AI40" s="12">
        <f t="shared" si="2"/>
        <v>11.1</v>
      </c>
      <c r="AJ40" s="12">
        <f t="shared" si="2"/>
        <v>95</v>
      </c>
      <c r="AK40" s="12"/>
      <c r="AL40" s="12">
        <f t="shared" si="8"/>
        <v>8</v>
      </c>
      <c r="AM40" s="12">
        <f t="shared" si="8"/>
        <v>8</v>
      </c>
      <c r="AN40" s="12">
        <f t="shared" si="8"/>
        <v>7.3999999999999995</v>
      </c>
      <c r="AO40" s="12">
        <f t="shared" si="8"/>
        <v>87.5</v>
      </c>
      <c r="AP40" s="12">
        <f t="shared" si="9"/>
        <v>49.6</v>
      </c>
      <c r="AQ40" s="12">
        <f t="shared" si="9"/>
        <v>91.9</v>
      </c>
      <c r="AR40" s="12"/>
      <c r="AS40" s="12">
        <f t="shared" si="10"/>
        <v>24.2</v>
      </c>
      <c r="AT40" s="12">
        <f t="shared" si="10"/>
        <v>22.900000000000002</v>
      </c>
      <c r="AU40" s="12">
        <f t="shared" si="10"/>
        <v>93.100000000000009</v>
      </c>
      <c r="AV40" s="12">
        <f t="shared" si="10"/>
        <v>70.099999999999994</v>
      </c>
      <c r="AW40" s="12">
        <f t="shared" si="11"/>
        <v>0</v>
      </c>
      <c r="AX40" s="12">
        <f t="shared" si="11"/>
        <v>36.6</v>
      </c>
      <c r="AY40" s="12"/>
      <c r="AZ40" s="12">
        <f t="shared" si="3"/>
        <v>56.6</v>
      </c>
      <c r="BA40" s="12">
        <f t="shared" si="4"/>
        <v>52.800000000000004</v>
      </c>
      <c r="BB40" s="12"/>
      <c r="BC40" s="12">
        <f t="shared" si="5"/>
        <v>59</v>
      </c>
      <c r="BD40" s="12">
        <f t="shared" si="6"/>
        <v>49</v>
      </c>
      <c r="BE40" s="12">
        <f t="shared" si="7"/>
        <v>19.899999999999991</v>
      </c>
    </row>
    <row r="41" spans="1:57" ht="15.75" customHeight="1" x14ac:dyDescent="0.25">
      <c r="A41" s="1" t="s">
        <v>146</v>
      </c>
      <c r="B41" s="3" t="s">
        <v>130</v>
      </c>
      <c r="C41" s="4" t="s">
        <v>87</v>
      </c>
      <c r="D41" s="4">
        <v>6</v>
      </c>
      <c r="E41" s="4">
        <v>189</v>
      </c>
      <c r="F41" s="4">
        <v>6</v>
      </c>
      <c r="G41" s="4">
        <v>189</v>
      </c>
      <c r="H41" s="4">
        <v>0.435</v>
      </c>
      <c r="I41" s="4">
        <v>11.5</v>
      </c>
      <c r="J41" s="4">
        <v>0</v>
      </c>
      <c r="K41" s="4">
        <v>0.58699999999999997</v>
      </c>
      <c r="L41" s="4">
        <v>0.47799999999999998</v>
      </c>
      <c r="M41" s="4">
        <v>8.6999999999999994E-2</v>
      </c>
      <c r="N41" s="4">
        <v>0</v>
      </c>
      <c r="O41" s="4">
        <v>2.1999999999999999E-2</v>
      </c>
      <c r="P41" s="4">
        <v>0.41299999999999998</v>
      </c>
      <c r="Q41" s="4">
        <v>0</v>
      </c>
      <c r="R41" s="4">
        <v>0.63</v>
      </c>
      <c r="S41" s="4">
        <v>0.63600000000000001</v>
      </c>
      <c r="T41" s="4">
        <v>0.5</v>
      </c>
      <c r="U41" s="4">
        <v>0</v>
      </c>
      <c r="V41" s="4">
        <v>1</v>
      </c>
      <c r="W41" s="4">
        <v>0.158</v>
      </c>
      <c r="X41" s="4">
        <v>0</v>
      </c>
      <c r="Y41" s="4">
        <v>0.76500000000000001</v>
      </c>
      <c r="Z41" s="4">
        <v>1</v>
      </c>
      <c r="AA41" s="4">
        <v>0</v>
      </c>
      <c r="AB41" s="4">
        <v>0.316</v>
      </c>
      <c r="AC41" s="4">
        <v>0.33300000000000002</v>
      </c>
      <c r="AD41" s="10">
        <f t="shared" si="1"/>
        <v>0.86205500000000002</v>
      </c>
      <c r="AE41" s="9"/>
      <c r="AF41" s="9"/>
      <c r="AG41" s="12">
        <f t="shared" si="2"/>
        <v>25.4</v>
      </c>
      <c r="AH41" s="12">
        <f t="shared" si="2"/>
        <v>77</v>
      </c>
      <c r="AI41" s="12">
        <f t="shared" si="2"/>
        <v>43.4</v>
      </c>
      <c r="AJ41" s="12">
        <f t="shared" si="2"/>
        <v>35.4</v>
      </c>
      <c r="AK41" s="12"/>
      <c r="AL41" s="12">
        <f t="shared" si="8"/>
        <v>44</v>
      </c>
      <c r="AM41" s="12">
        <f t="shared" si="8"/>
        <v>88.1</v>
      </c>
      <c r="AN41" s="12">
        <f t="shared" si="8"/>
        <v>13.600000000000001</v>
      </c>
      <c r="AO41" s="12">
        <f t="shared" si="8"/>
        <v>0</v>
      </c>
      <c r="AP41" s="12">
        <f t="shared" si="9"/>
        <v>34.1</v>
      </c>
      <c r="AQ41" s="12">
        <f t="shared" si="9"/>
        <v>55.900000000000006</v>
      </c>
      <c r="AR41" s="12"/>
      <c r="AS41" s="12">
        <f t="shared" si="10"/>
        <v>80.7</v>
      </c>
      <c r="AT41" s="12">
        <f t="shared" si="10"/>
        <v>49</v>
      </c>
      <c r="AU41" s="12">
        <f t="shared" si="10"/>
        <v>59</v>
      </c>
      <c r="AV41" s="12">
        <f t="shared" si="10"/>
        <v>0</v>
      </c>
      <c r="AW41" s="12">
        <f t="shared" si="11"/>
        <v>91.3</v>
      </c>
      <c r="AX41" s="12">
        <f t="shared" si="11"/>
        <v>20.399999999999999</v>
      </c>
      <c r="AY41" s="12"/>
      <c r="AZ41" s="12">
        <f t="shared" si="3"/>
        <v>29.900000000000006</v>
      </c>
      <c r="BA41" s="12">
        <f t="shared" si="4"/>
        <v>52.800000000000004</v>
      </c>
      <c r="BB41" s="12"/>
      <c r="BC41" s="12">
        <f t="shared" si="5"/>
        <v>72</v>
      </c>
      <c r="BD41" s="12">
        <f t="shared" si="6"/>
        <v>58.3</v>
      </c>
      <c r="BE41" s="12">
        <f t="shared" si="7"/>
        <v>21.799999999999997</v>
      </c>
    </row>
    <row r="42" spans="1:57" ht="15.75" customHeight="1" x14ac:dyDescent="0.25">
      <c r="A42" s="1" t="s">
        <v>153</v>
      </c>
      <c r="B42" s="3" t="s">
        <v>130</v>
      </c>
      <c r="C42" s="4" t="s">
        <v>87</v>
      </c>
      <c r="D42" s="4">
        <v>6</v>
      </c>
      <c r="E42" s="4">
        <v>187</v>
      </c>
      <c r="F42" s="4">
        <v>6</v>
      </c>
      <c r="G42" s="4">
        <v>187</v>
      </c>
      <c r="H42" s="4">
        <v>0.40300000000000002</v>
      </c>
      <c r="I42" s="4">
        <v>4.4000000000000004</v>
      </c>
      <c r="J42" s="4">
        <v>0</v>
      </c>
      <c r="K42" s="4">
        <v>0.91900000000000004</v>
      </c>
      <c r="L42" s="4">
        <v>0.67700000000000005</v>
      </c>
      <c r="M42" s="4">
        <v>0.22600000000000001</v>
      </c>
      <c r="N42" s="4">
        <v>0</v>
      </c>
      <c r="O42" s="4">
        <v>1.6E-2</v>
      </c>
      <c r="P42" s="4">
        <v>8.1000000000000003E-2</v>
      </c>
      <c r="Q42" s="4">
        <v>0</v>
      </c>
      <c r="R42" s="4">
        <v>0.439</v>
      </c>
      <c r="S42" s="4">
        <v>0.47599999999999998</v>
      </c>
      <c r="T42" s="4">
        <v>0.35699999999999998</v>
      </c>
      <c r="U42" s="4">
        <v>0</v>
      </c>
      <c r="V42" s="4">
        <v>0</v>
      </c>
      <c r="W42" s="4">
        <v>0</v>
      </c>
      <c r="X42" s="4">
        <v>0</v>
      </c>
      <c r="Y42" s="4">
        <v>0.52</v>
      </c>
      <c r="Z42" s="4">
        <v>0</v>
      </c>
      <c r="AA42" s="4">
        <v>0</v>
      </c>
      <c r="AB42" s="4">
        <v>0.4</v>
      </c>
      <c r="AC42" s="4">
        <v>0</v>
      </c>
      <c r="AD42" s="10">
        <f t="shared" si="1"/>
        <v>0.47788000000000003</v>
      </c>
      <c r="AE42" s="9"/>
      <c r="AF42" s="9"/>
      <c r="AG42" s="12">
        <f t="shared" si="2"/>
        <v>25.4</v>
      </c>
      <c r="AH42" s="12">
        <f t="shared" si="2"/>
        <v>75.7</v>
      </c>
      <c r="AI42" s="12">
        <f t="shared" si="2"/>
        <v>31.6</v>
      </c>
      <c r="AJ42" s="12">
        <f t="shared" si="2"/>
        <v>4.3</v>
      </c>
      <c r="AK42" s="12"/>
      <c r="AL42" s="12">
        <f t="shared" si="8"/>
        <v>88.8</v>
      </c>
      <c r="AM42" s="12">
        <f t="shared" si="8"/>
        <v>98.7</v>
      </c>
      <c r="AN42" s="12">
        <f t="shared" si="8"/>
        <v>47.199999999999996</v>
      </c>
      <c r="AO42" s="12">
        <f t="shared" si="8"/>
        <v>0</v>
      </c>
      <c r="AP42" s="12">
        <f t="shared" si="9"/>
        <v>31.6</v>
      </c>
      <c r="AQ42" s="12">
        <f t="shared" si="9"/>
        <v>11.1</v>
      </c>
      <c r="AR42" s="12"/>
      <c r="AS42" s="12">
        <f t="shared" si="10"/>
        <v>25.4</v>
      </c>
      <c r="AT42" s="12">
        <f t="shared" si="10"/>
        <v>22.3</v>
      </c>
      <c r="AU42" s="12">
        <f t="shared" si="10"/>
        <v>37.200000000000003</v>
      </c>
      <c r="AV42" s="12">
        <f t="shared" si="10"/>
        <v>0</v>
      </c>
      <c r="AW42" s="12">
        <f t="shared" si="11"/>
        <v>0</v>
      </c>
      <c r="AX42" s="12">
        <f t="shared" si="11"/>
        <v>0</v>
      </c>
      <c r="AY42" s="12"/>
      <c r="AZ42" s="12">
        <f t="shared" si="3"/>
        <v>65.900000000000006</v>
      </c>
      <c r="BA42" s="12">
        <f t="shared" si="4"/>
        <v>100</v>
      </c>
      <c r="BB42" s="12"/>
      <c r="BC42" s="12">
        <f t="shared" si="5"/>
        <v>81.899999999999991</v>
      </c>
      <c r="BD42" s="12">
        <f t="shared" si="6"/>
        <v>0</v>
      </c>
      <c r="BE42" s="12">
        <f t="shared" si="7"/>
        <v>88.2</v>
      </c>
    </row>
    <row r="43" spans="1:57" ht="15.75" customHeight="1" x14ac:dyDescent="0.25">
      <c r="A43" s="1" t="s">
        <v>122</v>
      </c>
      <c r="B43" s="3" t="s">
        <v>98</v>
      </c>
      <c r="C43" s="4" t="s">
        <v>87</v>
      </c>
      <c r="D43" s="4">
        <v>7</v>
      </c>
      <c r="E43" s="4">
        <v>187</v>
      </c>
      <c r="F43" s="4">
        <v>7</v>
      </c>
      <c r="G43" s="4">
        <v>187</v>
      </c>
      <c r="H43" s="4">
        <v>0.54300000000000004</v>
      </c>
      <c r="I43" s="4">
        <v>15.7</v>
      </c>
      <c r="J43" s="4">
        <v>0</v>
      </c>
      <c r="K43" s="4">
        <v>0.45700000000000002</v>
      </c>
      <c r="L43" s="4">
        <v>0.26100000000000001</v>
      </c>
      <c r="M43" s="4">
        <v>0.109</v>
      </c>
      <c r="N43" s="4">
        <v>2.1999999999999999E-2</v>
      </c>
      <c r="O43" s="4">
        <v>6.5000000000000002E-2</v>
      </c>
      <c r="P43" s="4">
        <v>0.54300000000000004</v>
      </c>
      <c r="Q43" s="4">
        <v>0</v>
      </c>
      <c r="R43" s="4">
        <v>0.71399999999999997</v>
      </c>
      <c r="S43" s="4">
        <v>0.83299999999999996</v>
      </c>
      <c r="T43" s="4">
        <v>0.6</v>
      </c>
      <c r="U43" s="4">
        <v>1</v>
      </c>
      <c r="V43" s="4">
        <v>0.33300000000000002</v>
      </c>
      <c r="W43" s="4">
        <v>0.4</v>
      </c>
      <c r="X43" s="4">
        <v>0</v>
      </c>
      <c r="Y43" s="4">
        <v>0.93300000000000005</v>
      </c>
      <c r="Z43" s="4">
        <v>1</v>
      </c>
      <c r="AA43" s="4">
        <v>0</v>
      </c>
      <c r="AB43" s="4">
        <v>0.28000000000000003</v>
      </c>
      <c r="AC43" s="4">
        <v>0.14299999999999999</v>
      </c>
      <c r="AD43" s="10">
        <f t="shared" si="1"/>
        <v>0.96938100000000005</v>
      </c>
      <c r="AE43" s="9"/>
      <c r="AF43" s="9"/>
      <c r="AG43" s="12">
        <f t="shared" si="2"/>
        <v>47.199999999999996</v>
      </c>
      <c r="AH43" s="12">
        <f t="shared" si="2"/>
        <v>75.7</v>
      </c>
      <c r="AI43" s="12">
        <f t="shared" si="2"/>
        <v>81.3</v>
      </c>
      <c r="AJ43" s="12">
        <f t="shared" si="2"/>
        <v>70.8</v>
      </c>
      <c r="AK43" s="12"/>
      <c r="AL43" s="12">
        <f t="shared" si="8"/>
        <v>23.599999999999998</v>
      </c>
      <c r="AM43" s="12">
        <f t="shared" si="8"/>
        <v>60.199999999999996</v>
      </c>
      <c r="AN43" s="12">
        <f t="shared" si="8"/>
        <v>18.600000000000001</v>
      </c>
      <c r="AO43" s="12">
        <f t="shared" si="8"/>
        <v>24.8</v>
      </c>
      <c r="AP43" s="12">
        <f t="shared" si="9"/>
        <v>71.399999999999991</v>
      </c>
      <c r="AQ43" s="12">
        <f t="shared" si="9"/>
        <v>76.3</v>
      </c>
      <c r="AR43" s="12"/>
      <c r="AS43" s="12">
        <f t="shared" si="10"/>
        <v>90.600000000000009</v>
      </c>
      <c r="AT43" s="12">
        <f t="shared" si="10"/>
        <v>77.600000000000009</v>
      </c>
      <c r="AU43" s="12">
        <f t="shared" si="10"/>
        <v>84.399999999999991</v>
      </c>
      <c r="AV43" s="12">
        <f t="shared" si="10"/>
        <v>91.9</v>
      </c>
      <c r="AW43" s="12">
        <f t="shared" si="11"/>
        <v>65.8</v>
      </c>
      <c r="AX43" s="12">
        <f t="shared" si="11"/>
        <v>70.8</v>
      </c>
      <c r="AY43" s="12"/>
      <c r="AZ43" s="12">
        <f t="shared" si="3"/>
        <v>10.599999999999994</v>
      </c>
      <c r="BA43" s="12">
        <f t="shared" si="4"/>
        <v>52.800000000000004</v>
      </c>
      <c r="BB43" s="12"/>
      <c r="BC43" s="12">
        <f t="shared" si="5"/>
        <v>68.300000000000011</v>
      </c>
      <c r="BD43" s="12">
        <f t="shared" si="6"/>
        <v>46.5</v>
      </c>
      <c r="BE43" s="12">
        <f t="shared" si="7"/>
        <v>7.5</v>
      </c>
    </row>
    <row r="44" spans="1:57" ht="15.75" customHeight="1" x14ac:dyDescent="0.25">
      <c r="A44" s="1" t="s">
        <v>195</v>
      </c>
      <c r="B44" s="3" t="s">
        <v>164</v>
      </c>
      <c r="C44" s="4" t="s">
        <v>87</v>
      </c>
      <c r="D44" s="4">
        <v>8</v>
      </c>
      <c r="E44" s="4">
        <v>186</v>
      </c>
      <c r="F44" s="4">
        <v>8</v>
      </c>
      <c r="G44" s="4">
        <v>186</v>
      </c>
      <c r="H44" s="4">
        <v>0.30199999999999999</v>
      </c>
      <c r="I44" s="4">
        <v>16.5</v>
      </c>
      <c r="J44" s="4">
        <v>0</v>
      </c>
      <c r="K44" s="4">
        <v>0.41299999999999998</v>
      </c>
      <c r="L44" s="4">
        <v>0.254</v>
      </c>
      <c r="M44" s="4">
        <v>6.3E-2</v>
      </c>
      <c r="N44" s="4">
        <v>6.3E-2</v>
      </c>
      <c r="O44" s="4">
        <v>3.2000000000000001E-2</v>
      </c>
      <c r="P44" s="4">
        <v>0.58699999999999997</v>
      </c>
      <c r="Q44" s="4">
        <v>0</v>
      </c>
      <c r="R44" s="4">
        <v>0.26900000000000002</v>
      </c>
      <c r="S44" s="4">
        <v>0.313</v>
      </c>
      <c r="T44" s="4">
        <v>0.25</v>
      </c>
      <c r="U44" s="4">
        <v>0</v>
      </c>
      <c r="V44" s="4">
        <v>0.5</v>
      </c>
      <c r="W44" s="4">
        <v>0.32400000000000001</v>
      </c>
      <c r="X44" s="4">
        <v>0</v>
      </c>
      <c r="Y44" s="4">
        <v>0.85699999999999998</v>
      </c>
      <c r="Z44" s="4">
        <v>1</v>
      </c>
      <c r="AA44" s="4">
        <v>0</v>
      </c>
      <c r="AB44" s="4">
        <v>0.216</v>
      </c>
      <c r="AC44" s="4">
        <v>0.25</v>
      </c>
      <c r="AD44" s="10">
        <f t="shared" si="1"/>
        <v>0.94094099999999992</v>
      </c>
      <c r="AE44" s="9"/>
      <c r="AF44" s="9"/>
      <c r="AG44" s="12">
        <f t="shared" si="2"/>
        <v>69.5</v>
      </c>
      <c r="AH44" s="12">
        <f t="shared" si="2"/>
        <v>75.099999999999994</v>
      </c>
      <c r="AI44" s="12">
        <f t="shared" si="2"/>
        <v>8.6</v>
      </c>
      <c r="AJ44" s="12">
        <f t="shared" si="2"/>
        <v>73.2</v>
      </c>
      <c r="AK44" s="12"/>
      <c r="AL44" s="12">
        <f t="shared" si="8"/>
        <v>17.299999999999997</v>
      </c>
      <c r="AM44" s="12">
        <f t="shared" si="8"/>
        <v>57.099999999999994</v>
      </c>
      <c r="AN44" s="12">
        <f t="shared" si="8"/>
        <v>8.6</v>
      </c>
      <c r="AO44" s="12">
        <f t="shared" si="8"/>
        <v>49</v>
      </c>
      <c r="AP44" s="12">
        <f t="shared" si="9"/>
        <v>45.300000000000004</v>
      </c>
      <c r="AQ44" s="12">
        <f t="shared" si="9"/>
        <v>82.6</v>
      </c>
      <c r="AR44" s="12"/>
      <c r="AS44" s="12">
        <f t="shared" si="10"/>
        <v>3.6999999999999997</v>
      </c>
      <c r="AT44" s="12">
        <f t="shared" si="10"/>
        <v>11.1</v>
      </c>
      <c r="AU44" s="12">
        <f t="shared" si="10"/>
        <v>19.8</v>
      </c>
      <c r="AV44" s="12">
        <f t="shared" si="10"/>
        <v>0</v>
      </c>
      <c r="AW44" s="12">
        <f t="shared" si="11"/>
        <v>75.7</v>
      </c>
      <c r="AX44" s="12">
        <f t="shared" si="11"/>
        <v>48.4</v>
      </c>
      <c r="AY44" s="12"/>
      <c r="AZ44" s="12">
        <f t="shared" si="3"/>
        <v>17.400000000000006</v>
      </c>
      <c r="BA44" s="12">
        <f t="shared" si="4"/>
        <v>52.800000000000004</v>
      </c>
      <c r="BB44" s="12"/>
      <c r="BC44" s="12">
        <f t="shared" si="5"/>
        <v>55.2</v>
      </c>
      <c r="BD44" s="12">
        <f t="shared" si="6"/>
        <v>52.7</v>
      </c>
      <c r="BE44" s="12">
        <f t="shared" si="7"/>
        <v>10</v>
      </c>
    </row>
    <row r="45" spans="1:57" ht="15.75" customHeight="1" x14ac:dyDescent="0.25">
      <c r="A45" s="1" t="s">
        <v>172</v>
      </c>
      <c r="B45" s="3" t="s">
        <v>139</v>
      </c>
      <c r="C45" s="4" t="s">
        <v>87</v>
      </c>
      <c r="D45" s="4">
        <v>6</v>
      </c>
      <c r="E45" s="4">
        <v>185</v>
      </c>
      <c r="F45" s="4">
        <v>6</v>
      </c>
      <c r="G45" s="4">
        <v>185</v>
      </c>
      <c r="H45" s="4">
        <v>0.60299999999999998</v>
      </c>
      <c r="I45" s="4">
        <v>6.2</v>
      </c>
      <c r="J45" s="4">
        <v>0</v>
      </c>
      <c r="K45" s="4">
        <v>0.85699999999999998</v>
      </c>
      <c r="L45" s="4">
        <v>0.52400000000000002</v>
      </c>
      <c r="M45" s="4">
        <v>0.317</v>
      </c>
      <c r="N45" s="4">
        <v>1.6E-2</v>
      </c>
      <c r="O45" s="4">
        <v>0</v>
      </c>
      <c r="P45" s="4">
        <v>0.14299999999999999</v>
      </c>
      <c r="Q45" s="4">
        <v>0</v>
      </c>
      <c r="R45" s="4">
        <v>0.63</v>
      </c>
      <c r="S45" s="4">
        <v>0.81799999999999995</v>
      </c>
      <c r="T45" s="4">
        <v>0.35</v>
      </c>
      <c r="U45" s="4">
        <v>0</v>
      </c>
      <c r="V45" s="4">
        <v>0</v>
      </c>
      <c r="W45" s="4">
        <v>0.44400000000000001</v>
      </c>
      <c r="X45" s="4">
        <v>0</v>
      </c>
      <c r="Y45" s="4">
        <v>0.67600000000000005</v>
      </c>
      <c r="Z45" s="4">
        <v>1</v>
      </c>
      <c r="AA45" s="4">
        <v>0</v>
      </c>
      <c r="AB45" s="4">
        <v>0.222</v>
      </c>
      <c r="AC45" s="4">
        <v>0.5</v>
      </c>
      <c r="AD45" s="10">
        <f t="shared" si="1"/>
        <v>0.72233200000000009</v>
      </c>
      <c r="AE45" s="9"/>
      <c r="AF45" s="9"/>
      <c r="AG45" s="12">
        <f t="shared" si="2"/>
        <v>25.4</v>
      </c>
      <c r="AH45" s="12">
        <f t="shared" si="2"/>
        <v>74.5</v>
      </c>
      <c r="AI45" s="12">
        <f t="shared" si="2"/>
        <v>91.3</v>
      </c>
      <c r="AJ45" s="12">
        <f t="shared" si="2"/>
        <v>9.9</v>
      </c>
      <c r="AK45" s="12"/>
      <c r="AL45" s="12">
        <f t="shared" si="8"/>
        <v>83.2</v>
      </c>
      <c r="AM45" s="12">
        <f t="shared" si="8"/>
        <v>91.3</v>
      </c>
      <c r="AN45" s="12">
        <f t="shared" si="8"/>
        <v>77</v>
      </c>
      <c r="AO45" s="12">
        <f t="shared" si="8"/>
        <v>23.599999999999998</v>
      </c>
      <c r="AP45" s="12">
        <f t="shared" si="9"/>
        <v>0</v>
      </c>
      <c r="AQ45" s="12">
        <f t="shared" si="9"/>
        <v>16.7</v>
      </c>
      <c r="AR45" s="12"/>
      <c r="AS45" s="12">
        <f t="shared" si="10"/>
        <v>80.7</v>
      </c>
      <c r="AT45" s="12">
        <f t="shared" si="10"/>
        <v>75.7</v>
      </c>
      <c r="AU45" s="12">
        <f t="shared" si="10"/>
        <v>36</v>
      </c>
      <c r="AV45" s="12">
        <f t="shared" si="10"/>
        <v>0</v>
      </c>
      <c r="AW45" s="12">
        <f t="shared" si="11"/>
        <v>0</v>
      </c>
      <c r="AX45" s="12">
        <f t="shared" si="11"/>
        <v>81.899999999999991</v>
      </c>
      <c r="AY45" s="12"/>
      <c r="AZ45" s="12">
        <f t="shared" si="3"/>
        <v>38.6</v>
      </c>
      <c r="BA45" s="12">
        <f t="shared" si="4"/>
        <v>52.800000000000004</v>
      </c>
      <c r="BB45" s="12"/>
      <c r="BC45" s="12">
        <f t="shared" si="5"/>
        <v>56.499999999999993</v>
      </c>
      <c r="BD45" s="12">
        <f t="shared" si="6"/>
        <v>70.8</v>
      </c>
      <c r="BE45" s="12">
        <f t="shared" si="7"/>
        <v>47.9</v>
      </c>
    </row>
    <row r="46" spans="1:57" ht="15.75" customHeight="1" x14ac:dyDescent="0.25">
      <c r="A46" s="1" t="s">
        <v>159</v>
      </c>
      <c r="B46" s="3" t="s">
        <v>160</v>
      </c>
      <c r="C46" s="4" t="s">
        <v>8</v>
      </c>
      <c r="D46" s="4">
        <v>6</v>
      </c>
      <c r="E46" s="4">
        <v>184</v>
      </c>
      <c r="F46" s="4">
        <v>6</v>
      </c>
      <c r="G46" s="4">
        <v>184</v>
      </c>
      <c r="H46" s="4">
        <v>0.41</v>
      </c>
      <c r="I46" s="4">
        <v>17.7</v>
      </c>
      <c r="J46" s="4">
        <v>0</v>
      </c>
      <c r="K46" s="4">
        <v>0.48</v>
      </c>
      <c r="L46" s="4">
        <v>0.16</v>
      </c>
      <c r="M46" s="4">
        <v>0.18</v>
      </c>
      <c r="N46" s="4">
        <v>7.0000000000000007E-2</v>
      </c>
      <c r="O46" s="4">
        <v>7.0000000000000007E-2</v>
      </c>
      <c r="P46" s="4">
        <v>0.52</v>
      </c>
      <c r="Q46" s="4">
        <v>0</v>
      </c>
      <c r="R46" s="4">
        <v>0.47899999999999998</v>
      </c>
      <c r="S46" s="4">
        <v>0.625</v>
      </c>
      <c r="T46" s="4">
        <v>0.55600000000000005</v>
      </c>
      <c r="U46" s="4">
        <v>0.28599999999999998</v>
      </c>
      <c r="V46" s="4">
        <v>0.14299999999999999</v>
      </c>
      <c r="W46" s="4">
        <v>0.34599999999999997</v>
      </c>
      <c r="X46" s="4">
        <v>0</v>
      </c>
      <c r="Y46" s="4">
        <v>0.34799999999999998</v>
      </c>
      <c r="Z46" s="4">
        <v>0.77800000000000002</v>
      </c>
      <c r="AA46" s="4">
        <v>0</v>
      </c>
      <c r="AB46" s="4">
        <v>0</v>
      </c>
      <c r="AC46" s="4">
        <v>0</v>
      </c>
      <c r="AD46" s="10">
        <f t="shared" si="1"/>
        <v>0.5716</v>
      </c>
      <c r="AE46" s="9"/>
      <c r="AF46" s="9"/>
      <c r="AG46" s="12">
        <f t="shared" si="2"/>
        <v>25.4</v>
      </c>
      <c r="AH46" s="12">
        <f t="shared" si="2"/>
        <v>73.2</v>
      </c>
      <c r="AI46" s="12">
        <f t="shared" si="2"/>
        <v>33.5</v>
      </c>
      <c r="AJ46" s="12">
        <f t="shared" si="2"/>
        <v>80.7</v>
      </c>
      <c r="AK46" s="12"/>
      <c r="AL46" s="12">
        <f t="shared" si="8"/>
        <v>25.4</v>
      </c>
      <c r="AM46" s="12">
        <f t="shared" si="8"/>
        <v>29.099999999999998</v>
      </c>
      <c r="AN46" s="12">
        <f t="shared" si="8"/>
        <v>35.4</v>
      </c>
      <c r="AO46" s="12">
        <f t="shared" si="8"/>
        <v>55.2</v>
      </c>
      <c r="AP46" s="12">
        <f t="shared" si="9"/>
        <v>74.5</v>
      </c>
      <c r="AQ46" s="12">
        <f t="shared" si="9"/>
        <v>74.5</v>
      </c>
      <c r="AR46" s="12"/>
      <c r="AS46" s="12">
        <f t="shared" si="10"/>
        <v>37.200000000000003</v>
      </c>
      <c r="AT46" s="12">
        <f t="shared" si="10"/>
        <v>47.199999999999996</v>
      </c>
      <c r="AU46" s="12">
        <f t="shared" si="10"/>
        <v>77</v>
      </c>
      <c r="AV46" s="12">
        <f t="shared" si="10"/>
        <v>51.5</v>
      </c>
      <c r="AW46" s="12">
        <f t="shared" si="11"/>
        <v>57.099999999999994</v>
      </c>
      <c r="AX46" s="12">
        <f t="shared" si="11"/>
        <v>57.699999999999996</v>
      </c>
      <c r="AY46" s="12"/>
      <c r="AZ46" s="12">
        <f t="shared" si="3"/>
        <v>77.099999999999994</v>
      </c>
      <c r="BA46" s="12">
        <f t="shared" si="4"/>
        <v>70.900000000000006</v>
      </c>
      <c r="BB46" s="12"/>
      <c r="BC46" s="12">
        <f t="shared" si="5"/>
        <v>0</v>
      </c>
      <c r="BD46" s="12">
        <f t="shared" si="6"/>
        <v>0</v>
      </c>
      <c r="BE46" s="12">
        <f t="shared" si="7"/>
        <v>74.599999999999994</v>
      </c>
    </row>
    <row r="47" spans="1:57" ht="15.75" customHeight="1" x14ac:dyDescent="0.25">
      <c r="A47" s="1" t="s">
        <v>150</v>
      </c>
      <c r="B47" s="3" t="s">
        <v>244</v>
      </c>
      <c r="C47" s="4" t="s">
        <v>87</v>
      </c>
      <c r="D47" s="4">
        <v>8</v>
      </c>
      <c r="E47" s="4">
        <v>184</v>
      </c>
      <c r="F47" s="4">
        <v>8</v>
      </c>
      <c r="G47" s="4">
        <v>184</v>
      </c>
      <c r="H47" s="4">
        <v>0.46200000000000002</v>
      </c>
      <c r="I47" s="4">
        <v>13</v>
      </c>
      <c r="J47" s="4">
        <v>0</v>
      </c>
      <c r="K47" s="4">
        <v>0.55800000000000005</v>
      </c>
      <c r="L47" s="4">
        <v>0.308</v>
      </c>
      <c r="M47" s="4">
        <v>0.25</v>
      </c>
      <c r="N47" s="4">
        <v>0</v>
      </c>
      <c r="O47" s="4">
        <v>0</v>
      </c>
      <c r="P47" s="4">
        <v>0.442</v>
      </c>
      <c r="Q47" s="4">
        <v>0</v>
      </c>
      <c r="R47" s="4">
        <v>0.51700000000000002</v>
      </c>
      <c r="S47" s="4">
        <v>0.5</v>
      </c>
      <c r="T47" s="4">
        <v>0.53800000000000003</v>
      </c>
      <c r="U47" s="4">
        <v>0</v>
      </c>
      <c r="V47" s="4">
        <v>0</v>
      </c>
      <c r="W47" s="4">
        <v>0.39100000000000001</v>
      </c>
      <c r="X47" s="4">
        <v>0</v>
      </c>
      <c r="Y47" s="4">
        <v>0.66700000000000004</v>
      </c>
      <c r="Z47" s="4">
        <v>0.88900000000000001</v>
      </c>
      <c r="AA47" s="4">
        <v>0</v>
      </c>
      <c r="AB47" s="4">
        <v>0.13</v>
      </c>
      <c r="AC47" s="4">
        <v>0.66700000000000004</v>
      </c>
      <c r="AD47" s="10">
        <f t="shared" si="1"/>
        <v>0.76512400000000014</v>
      </c>
      <c r="AE47" s="9"/>
      <c r="AF47" s="9"/>
      <c r="AG47" s="12">
        <f t="shared" si="2"/>
        <v>69.5</v>
      </c>
      <c r="AH47" s="12">
        <f t="shared" si="2"/>
        <v>73.2</v>
      </c>
      <c r="AI47" s="12">
        <f t="shared" si="2"/>
        <v>52.7</v>
      </c>
      <c r="AJ47" s="12">
        <f t="shared" si="2"/>
        <v>45.300000000000004</v>
      </c>
      <c r="AK47" s="12"/>
      <c r="AL47" s="12">
        <f t="shared" si="8"/>
        <v>37.200000000000003</v>
      </c>
      <c r="AM47" s="12">
        <f t="shared" si="8"/>
        <v>67.7</v>
      </c>
      <c r="AN47" s="12">
        <f t="shared" si="8"/>
        <v>54</v>
      </c>
      <c r="AO47" s="12">
        <f t="shared" si="8"/>
        <v>0</v>
      </c>
      <c r="AP47" s="12">
        <f t="shared" si="9"/>
        <v>0</v>
      </c>
      <c r="AQ47" s="12">
        <f t="shared" si="9"/>
        <v>62.7</v>
      </c>
      <c r="AR47" s="12"/>
      <c r="AS47" s="12">
        <f t="shared" si="10"/>
        <v>53.400000000000006</v>
      </c>
      <c r="AT47" s="12">
        <f t="shared" si="10"/>
        <v>22.900000000000002</v>
      </c>
      <c r="AU47" s="12">
        <f t="shared" si="10"/>
        <v>75.099999999999994</v>
      </c>
      <c r="AV47" s="12">
        <f t="shared" si="10"/>
        <v>0</v>
      </c>
      <c r="AW47" s="12">
        <f t="shared" si="11"/>
        <v>0</v>
      </c>
      <c r="AX47" s="12">
        <f t="shared" si="11"/>
        <v>69.5</v>
      </c>
      <c r="AY47" s="12"/>
      <c r="AZ47" s="12">
        <f t="shared" si="3"/>
        <v>42.900000000000006</v>
      </c>
      <c r="BA47" s="12">
        <f t="shared" si="4"/>
        <v>59.1</v>
      </c>
      <c r="BB47" s="12"/>
      <c r="BC47" s="12">
        <f t="shared" si="5"/>
        <v>39.700000000000003</v>
      </c>
      <c r="BD47" s="12">
        <f t="shared" si="6"/>
        <v>85.7</v>
      </c>
      <c r="BE47" s="12">
        <f t="shared" si="7"/>
        <v>39.200000000000003</v>
      </c>
    </row>
    <row r="48" spans="1:57" ht="15.75" customHeight="1" x14ac:dyDescent="0.25">
      <c r="A48" s="1" t="s">
        <v>169</v>
      </c>
      <c r="B48" s="3" t="s">
        <v>130</v>
      </c>
      <c r="C48" s="4" t="s">
        <v>8</v>
      </c>
      <c r="D48" s="4">
        <v>6</v>
      </c>
      <c r="E48" s="4">
        <v>182</v>
      </c>
      <c r="F48" s="4">
        <v>6</v>
      </c>
      <c r="G48" s="4">
        <v>182</v>
      </c>
      <c r="H48" s="4">
        <v>0.49099999999999999</v>
      </c>
      <c r="I48" s="4">
        <v>12.4</v>
      </c>
      <c r="J48" s="4">
        <v>0</v>
      </c>
      <c r="K48" s="4">
        <v>0.64200000000000002</v>
      </c>
      <c r="L48" s="4">
        <v>0.39600000000000002</v>
      </c>
      <c r="M48" s="4">
        <v>0.20799999999999999</v>
      </c>
      <c r="N48" s="4">
        <v>3.7999999999999999E-2</v>
      </c>
      <c r="O48" s="4">
        <v>0</v>
      </c>
      <c r="P48" s="4">
        <v>0.35799999999999998</v>
      </c>
      <c r="Q48" s="4">
        <v>0</v>
      </c>
      <c r="R48" s="4">
        <v>0.58799999999999997</v>
      </c>
      <c r="S48" s="4">
        <v>0.66700000000000004</v>
      </c>
      <c r="T48" s="4">
        <v>0.45500000000000002</v>
      </c>
      <c r="U48" s="4">
        <v>0.5</v>
      </c>
      <c r="V48" s="4">
        <v>0</v>
      </c>
      <c r="W48" s="4">
        <v>0.316</v>
      </c>
      <c r="X48" s="4">
        <v>0</v>
      </c>
      <c r="Y48" s="4">
        <v>0.15</v>
      </c>
      <c r="Z48" s="4">
        <v>1</v>
      </c>
      <c r="AA48" s="4">
        <v>0</v>
      </c>
      <c r="AB48" s="4">
        <v>0.158</v>
      </c>
      <c r="AC48" s="4">
        <v>0</v>
      </c>
      <c r="AD48" s="10">
        <f t="shared" si="1"/>
        <v>0.45429999999999998</v>
      </c>
      <c r="AE48" s="9"/>
      <c r="AF48" s="9"/>
      <c r="AG48" s="12">
        <f t="shared" si="2"/>
        <v>25.4</v>
      </c>
      <c r="AH48" s="12">
        <f t="shared" si="2"/>
        <v>72</v>
      </c>
      <c r="AI48" s="12">
        <f t="shared" si="2"/>
        <v>63.9</v>
      </c>
      <c r="AJ48" s="12">
        <f t="shared" si="2"/>
        <v>39.700000000000003</v>
      </c>
      <c r="AK48" s="12"/>
      <c r="AL48" s="12">
        <f t="shared" si="8"/>
        <v>55.900000000000006</v>
      </c>
      <c r="AM48" s="12">
        <f t="shared" si="8"/>
        <v>82.6</v>
      </c>
      <c r="AN48" s="12">
        <f t="shared" si="8"/>
        <v>41.6</v>
      </c>
      <c r="AO48" s="12">
        <f t="shared" si="8"/>
        <v>32.200000000000003</v>
      </c>
      <c r="AP48" s="12">
        <f t="shared" si="9"/>
        <v>0</v>
      </c>
      <c r="AQ48" s="12">
        <f t="shared" si="9"/>
        <v>44</v>
      </c>
      <c r="AR48" s="12"/>
      <c r="AS48" s="12">
        <f t="shared" si="10"/>
        <v>72</v>
      </c>
      <c r="AT48" s="12">
        <f t="shared" si="10"/>
        <v>51.5</v>
      </c>
      <c r="AU48" s="12">
        <f t="shared" si="10"/>
        <v>54</v>
      </c>
      <c r="AV48" s="12">
        <f t="shared" si="10"/>
        <v>72.599999999999994</v>
      </c>
      <c r="AW48" s="12">
        <f t="shared" si="11"/>
        <v>0</v>
      </c>
      <c r="AX48" s="12">
        <f t="shared" si="11"/>
        <v>44.7</v>
      </c>
      <c r="AY48" s="12"/>
      <c r="AZ48" s="12">
        <f t="shared" si="3"/>
        <v>91.4</v>
      </c>
      <c r="BA48" s="12">
        <f t="shared" si="4"/>
        <v>52.800000000000004</v>
      </c>
      <c r="BB48" s="12"/>
      <c r="BC48" s="12">
        <f t="shared" si="5"/>
        <v>44</v>
      </c>
      <c r="BD48" s="12">
        <f t="shared" si="6"/>
        <v>0</v>
      </c>
      <c r="BE48" s="12">
        <f t="shared" si="7"/>
        <v>90.7</v>
      </c>
    </row>
    <row r="49" spans="1:57" ht="15.75" customHeight="1" x14ac:dyDescent="0.25">
      <c r="A49" s="1" t="s">
        <v>154</v>
      </c>
      <c r="B49" s="3" t="s">
        <v>133</v>
      </c>
      <c r="C49" s="4" t="s">
        <v>8</v>
      </c>
      <c r="D49" s="4">
        <v>7</v>
      </c>
      <c r="E49" s="4">
        <v>182</v>
      </c>
      <c r="F49" s="4">
        <v>7</v>
      </c>
      <c r="G49" s="4">
        <v>182</v>
      </c>
      <c r="H49" s="4">
        <v>0.432</v>
      </c>
      <c r="I49" s="4">
        <v>14.6</v>
      </c>
      <c r="J49" s="4">
        <v>0</v>
      </c>
      <c r="K49" s="4">
        <v>0.5</v>
      </c>
      <c r="L49" s="4">
        <v>0.25</v>
      </c>
      <c r="M49" s="4">
        <v>0.182</v>
      </c>
      <c r="N49" s="4">
        <v>4.4999999999999998E-2</v>
      </c>
      <c r="O49" s="4">
        <v>2.3E-2</v>
      </c>
      <c r="P49" s="4">
        <v>0.5</v>
      </c>
      <c r="Q49" s="4">
        <v>0</v>
      </c>
      <c r="R49" s="4">
        <v>0.59099999999999997</v>
      </c>
      <c r="S49" s="4">
        <v>0.81799999999999995</v>
      </c>
      <c r="T49" s="4">
        <v>0.25</v>
      </c>
      <c r="U49" s="4">
        <v>1</v>
      </c>
      <c r="V49" s="4">
        <v>0</v>
      </c>
      <c r="W49" s="4">
        <v>0.27300000000000002</v>
      </c>
      <c r="X49" s="4">
        <v>0</v>
      </c>
      <c r="Y49" s="4">
        <v>0.69199999999999995</v>
      </c>
      <c r="Z49" s="4">
        <v>1</v>
      </c>
      <c r="AA49" s="4">
        <v>0</v>
      </c>
      <c r="AB49" s="4">
        <v>0.22700000000000001</v>
      </c>
      <c r="AC49" s="4">
        <v>0.4</v>
      </c>
      <c r="AD49" s="10">
        <f t="shared" si="1"/>
        <v>0.84599999999999997</v>
      </c>
      <c r="AE49" s="9"/>
      <c r="AF49" s="9"/>
      <c r="AG49" s="12">
        <f t="shared" si="2"/>
        <v>47.199999999999996</v>
      </c>
      <c r="AH49" s="12">
        <f t="shared" si="2"/>
        <v>72</v>
      </c>
      <c r="AI49" s="12">
        <f t="shared" si="2"/>
        <v>42.8</v>
      </c>
      <c r="AJ49" s="12">
        <f t="shared" si="2"/>
        <v>57.699999999999996</v>
      </c>
      <c r="AK49" s="12"/>
      <c r="AL49" s="12">
        <f t="shared" si="8"/>
        <v>26.700000000000003</v>
      </c>
      <c r="AM49" s="12">
        <f t="shared" si="8"/>
        <v>55.900000000000006</v>
      </c>
      <c r="AN49" s="12">
        <f t="shared" si="8"/>
        <v>36</v>
      </c>
      <c r="AO49" s="12">
        <f t="shared" si="8"/>
        <v>37.200000000000003</v>
      </c>
      <c r="AP49" s="12">
        <f t="shared" si="9"/>
        <v>34.699999999999996</v>
      </c>
      <c r="AQ49" s="12">
        <f t="shared" si="9"/>
        <v>72</v>
      </c>
      <c r="AR49" s="12"/>
      <c r="AS49" s="12">
        <f t="shared" si="10"/>
        <v>73.2</v>
      </c>
      <c r="AT49" s="12">
        <f t="shared" si="10"/>
        <v>75.7</v>
      </c>
      <c r="AU49" s="12">
        <f t="shared" si="10"/>
        <v>19.8</v>
      </c>
      <c r="AV49" s="12">
        <f t="shared" si="10"/>
        <v>91.9</v>
      </c>
      <c r="AW49" s="12">
        <f t="shared" si="11"/>
        <v>0</v>
      </c>
      <c r="AX49" s="12">
        <f t="shared" si="11"/>
        <v>34.1</v>
      </c>
      <c r="AY49" s="12"/>
      <c r="AZ49" s="12">
        <f t="shared" si="3"/>
        <v>37.9</v>
      </c>
      <c r="BA49" s="12">
        <f t="shared" si="4"/>
        <v>52.800000000000004</v>
      </c>
      <c r="BB49" s="12"/>
      <c r="BC49" s="12">
        <f t="shared" si="5"/>
        <v>57.699999999999996</v>
      </c>
      <c r="BD49" s="12">
        <f t="shared" si="6"/>
        <v>66.400000000000006</v>
      </c>
      <c r="BE49" s="12">
        <f t="shared" si="7"/>
        <v>25.5</v>
      </c>
    </row>
    <row r="50" spans="1:57" ht="15.75" customHeight="1" x14ac:dyDescent="0.25">
      <c r="A50" s="1" t="s">
        <v>149</v>
      </c>
      <c r="B50" s="3" t="s">
        <v>133</v>
      </c>
      <c r="C50" s="4" t="s">
        <v>8</v>
      </c>
      <c r="D50" s="4">
        <v>6</v>
      </c>
      <c r="E50" s="4">
        <v>181</v>
      </c>
      <c r="F50" s="4">
        <v>6</v>
      </c>
      <c r="G50" s="4">
        <v>181</v>
      </c>
      <c r="H50" s="4">
        <v>0.41299999999999998</v>
      </c>
      <c r="I50" s="4">
        <v>12.6</v>
      </c>
      <c r="J50" s="4">
        <v>0</v>
      </c>
      <c r="K50" s="4">
        <v>0.70699999999999996</v>
      </c>
      <c r="L50" s="4">
        <v>0.17299999999999999</v>
      </c>
      <c r="M50" s="4">
        <v>0.307</v>
      </c>
      <c r="N50" s="4">
        <v>0.12</v>
      </c>
      <c r="O50" s="4">
        <v>0.107</v>
      </c>
      <c r="P50" s="4">
        <v>0.29299999999999998</v>
      </c>
      <c r="Q50" s="4">
        <v>0</v>
      </c>
      <c r="R50" s="4">
        <v>0.47199999999999998</v>
      </c>
      <c r="S50" s="4">
        <v>0.61499999999999999</v>
      </c>
      <c r="T50" s="4">
        <v>0.47799999999999998</v>
      </c>
      <c r="U50" s="4">
        <v>0.33300000000000002</v>
      </c>
      <c r="V50" s="4">
        <v>0.375</v>
      </c>
      <c r="W50" s="4">
        <v>0.27300000000000002</v>
      </c>
      <c r="X50" s="4">
        <v>0</v>
      </c>
      <c r="Y50" s="4">
        <v>0.52</v>
      </c>
      <c r="Z50" s="4">
        <v>0.83299999999999996</v>
      </c>
      <c r="AA50" s="4">
        <v>0</v>
      </c>
      <c r="AB50" s="4">
        <v>0.13600000000000001</v>
      </c>
      <c r="AC50" s="4">
        <v>0.66700000000000004</v>
      </c>
      <c r="AD50" s="10">
        <f t="shared" si="1"/>
        <v>0.61170899999999995</v>
      </c>
      <c r="AE50" s="9"/>
      <c r="AF50" s="9"/>
      <c r="AG50" s="12">
        <f t="shared" si="2"/>
        <v>25.4</v>
      </c>
      <c r="AH50" s="12">
        <f t="shared" si="2"/>
        <v>70.8</v>
      </c>
      <c r="AI50" s="12">
        <f t="shared" si="2"/>
        <v>36</v>
      </c>
      <c r="AJ50" s="12">
        <f t="shared" si="2"/>
        <v>41.6</v>
      </c>
      <c r="AK50" s="12"/>
      <c r="AL50" s="12">
        <f t="shared" si="8"/>
        <v>67.7</v>
      </c>
      <c r="AM50" s="12">
        <f t="shared" si="8"/>
        <v>32.9</v>
      </c>
      <c r="AN50" s="12">
        <f t="shared" si="8"/>
        <v>72.599999999999994</v>
      </c>
      <c r="AO50" s="12">
        <f t="shared" si="8"/>
        <v>76.3</v>
      </c>
      <c r="AP50" s="12">
        <f t="shared" si="9"/>
        <v>85</v>
      </c>
      <c r="AQ50" s="12">
        <f t="shared" si="9"/>
        <v>32.200000000000003</v>
      </c>
      <c r="AR50" s="12"/>
      <c r="AS50" s="12">
        <f t="shared" si="10"/>
        <v>35.4</v>
      </c>
      <c r="AT50" s="12">
        <f t="shared" si="10"/>
        <v>45.300000000000004</v>
      </c>
      <c r="AU50" s="12">
        <f t="shared" si="10"/>
        <v>58.3</v>
      </c>
      <c r="AV50" s="12">
        <f t="shared" si="10"/>
        <v>53.400000000000006</v>
      </c>
      <c r="AW50" s="12">
        <f t="shared" si="11"/>
        <v>73.2</v>
      </c>
      <c r="AX50" s="12">
        <f t="shared" si="11"/>
        <v>34.1</v>
      </c>
      <c r="AY50" s="12"/>
      <c r="AZ50" s="12">
        <f t="shared" si="3"/>
        <v>65.900000000000006</v>
      </c>
      <c r="BA50" s="12">
        <f t="shared" si="4"/>
        <v>65.900000000000006</v>
      </c>
      <c r="BB50" s="12"/>
      <c r="BC50" s="12">
        <f t="shared" si="5"/>
        <v>40.9</v>
      </c>
      <c r="BD50" s="12">
        <f t="shared" si="6"/>
        <v>85.7</v>
      </c>
      <c r="BE50" s="12">
        <f t="shared" si="7"/>
        <v>68.400000000000006</v>
      </c>
    </row>
    <row r="51" spans="1:57" ht="15.75" customHeight="1" x14ac:dyDescent="0.25">
      <c r="A51" s="1" t="s">
        <v>207</v>
      </c>
      <c r="B51" s="3" t="s">
        <v>101</v>
      </c>
      <c r="C51" s="4" t="s">
        <v>8</v>
      </c>
      <c r="D51" s="4">
        <v>7</v>
      </c>
      <c r="E51" s="4">
        <v>181</v>
      </c>
      <c r="F51" s="4">
        <v>7</v>
      </c>
      <c r="G51" s="4">
        <v>181</v>
      </c>
      <c r="H51" s="4">
        <v>0.57099999999999995</v>
      </c>
      <c r="I51" s="4">
        <v>17.3</v>
      </c>
      <c r="J51" s="4">
        <v>0</v>
      </c>
      <c r="K51" s="4">
        <v>0.55600000000000005</v>
      </c>
      <c r="L51" s="4">
        <v>9.5000000000000001E-2</v>
      </c>
      <c r="M51" s="4">
        <v>9.5000000000000001E-2</v>
      </c>
      <c r="N51" s="4">
        <v>0.23799999999999999</v>
      </c>
      <c r="O51" s="4">
        <v>0.127</v>
      </c>
      <c r="P51" s="4">
        <v>0.44400000000000001</v>
      </c>
      <c r="Q51" s="4">
        <v>0</v>
      </c>
      <c r="R51" s="4">
        <v>0.65700000000000003</v>
      </c>
      <c r="S51" s="4">
        <v>0.83299999999999996</v>
      </c>
      <c r="T51" s="4">
        <v>0.83299999999999996</v>
      </c>
      <c r="U51" s="4">
        <v>0.73299999999999998</v>
      </c>
      <c r="V51" s="4">
        <v>0.25</v>
      </c>
      <c r="W51" s="4">
        <v>0.46400000000000002</v>
      </c>
      <c r="X51" s="4">
        <v>0</v>
      </c>
      <c r="Y51" s="4">
        <v>0.78300000000000003</v>
      </c>
      <c r="Z51" s="4">
        <v>0.92300000000000004</v>
      </c>
      <c r="AA51" s="4">
        <v>0</v>
      </c>
      <c r="AB51" s="4">
        <v>0.214</v>
      </c>
      <c r="AC51" s="4">
        <v>0.66700000000000004</v>
      </c>
      <c r="AD51" s="10">
        <f t="shared" si="1"/>
        <v>0.84516000000000013</v>
      </c>
      <c r="AE51" s="9"/>
      <c r="AF51" s="9"/>
      <c r="AG51" s="12">
        <f t="shared" si="2"/>
        <v>47.199999999999996</v>
      </c>
      <c r="AH51" s="12">
        <f t="shared" si="2"/>
        <v>70.8</v>
      </c>
      <c r="AI51" s="12">
        <f t="shared" si="2"/>
        <v>85.7</v>
      </c>
      <c r="AJ51" s="12">
        <f t="shared" si="2"/>
        <v>77</v>
      </c>
      <c r="AK51" s="12"/>
      <c r="AL51" s="12">
        <f t="shared" si="8"/>
        <v>36.6</v>
      </c>
      <c r="AM51" s="12">
        <f t="shared" si="8"/>
        <v>15.5</v>
      </c>
      <c r="AN51" s="12">
        <f t="shared" si="8"/>
        <v>16.7</v>
      </c>
      <c r="AO51" s="12">
        <f t="shared" si="8"/>
        <v>95.6</v>
      </c>
      <c r="AP51" s="12">
        <f t="shared" si="9"/>
        <v>90.600000000000009</v>
      </c>
      <c r="AQ51" s="12">
        <f t="shared" si="9"/>
        <v>63.3</v>
      </c>
      <c r="AR51" s="12"/>
      <c r="AS51" s="12">
        <f t="shared" si="10"/>
        <v>85</v>
      </c>
      <c r="AT51" s="12">
        <f t="shared" si="10"/>
        <v>77.600000000000009</v>
      </c>
      <c r="AU51" s="12">
        <f t="shared" si="10"/>
        <v>96.2</v>
      </c>
      <c r="AV51" s="12">
        <f t="shared" si="10"/>
        <v>90.600000000000009</v>
      </c>
      <c r="AW51" s="12">
        <f t="shared" si="11"/>
        <v>60.8</v>
      </c>
      <c r="AX51" s="12">
        <f t="shared" si="11"/>
        <v>85</v>
      </c>
      <c r="AY51" s="12"/>
      <c r="AZ51" s="12">
        <f t="shared" si="3"/>
        <v>26.799999999999997</v>
      </c>
      <c r="BA51" s="12">
        <f t="shared" si="4"/>
        <v>54.699999999999996</v>
      </c>
      <c r="BB51" s="12"/>
      <c r="BC51" s="12">
        <f t="shared" si="5"/>
        <v>54</v>
      </c>
      <c r="BD51" s="12">
        <f t="shared" si="6"/>
        <v>85.7</v>
      </c>
      <c r="BE51" s="12">
        <f t="shared" si="7"/>
        <v>26.099999999999994</v>
      </c>
    </row>
    <row r="52" spans="1:57" ht="15.75" customHeight="1" x14ac:dyDescent="0.25">
      <c r="A52" s="1" t="s">
        <v>129</v>
      </c>
      <c r="B52" s="3" t="s">
        <v>130</v>
      </c>
      <c r="C52" s="4" t="s">
        <v>8</v>
      </c>
      <c r="D52" s="4">
        <v>5</v>
      </c>
      <c r="E52" s="4">
        <v>180</v>
      </c>
      <c r="F52" s="4">
        <v>5</v>
      </c>
      <c r="G52" s="4">
        <v>180</v>
      </c>
      <c r="H52" s="4">
        <v>0.38500000000000001</v>
      </c>
      <c r="I52" s="4">
        <v>18.3</v>
      </c>
      <c r="J52" s="4">
        <v>0</v>
      </c>
      <c r="K52" s="4">
        <v>0.4</v>
      </c>
      <c r="L52" s="4">
        <v>0.108</v>
      </c>
      <c r="M52" s="4">
        <v>0.154</v>
      </c>
      <c r="N52" s="4">
        <v>9.1999999999999998E-2</v>
      </c>
      <c r="O52" s="4">
        <v>4.5999999999999999E-2</v>
      </c>
      <c r="P52" s="4">
        <v>0.6</v>
      </c>
      <c r="Q52" s="4">
        <v>0</v>
      </c>
      <c r="R52" s="4">
        <v>0.42299999999999999</v>
      </c>
      <c r="S52" s="4">
        <v>0.71399999999999997</v>
      </c>
      <c r="T52" s="4">
        <v>0.5</v>
      </c>
      <c r="U52" s="4">
        <v>0.16700000000000001</v>
      </c>
      <c r="V52" s="4">
        <v>0</v>
      </c>
      <c r="W52" s="4">
        <v>0.35899999999999999</v>
      </c>
      <c r="X52" s="4">
        <v>0</v>
      </c>
      <c r="Y52" s="4">
        <v>0.182</v>
      </c>
      <c r="Z52" s="4">
        <v>0.92900000000000005</v>
      </c>
      <c r="AA52" s="4">
        <v>0</v>
      </c>
      <c r="AB52" s="4">
        <v>5.0999999999999997E-2</v>
      </c>
      <c r="AC52" s="4">
        <v>0</v>
      </c>
      <c r="AD52" s="10">
        <f t="shared" si="1"/>
        <v>0.63019999999999998</v>
      </c>
      <c r="AE52" s="9"/>
      <c r="AF52" s="9"/>
      <c r="AG52" s="12">
        <f t="shared" si="2"/>
        <v>16.100000000000001</v>
      </c>
      <c r="AH52" s="12">
        <f t="shared" si="2"/>
        <v>69.5</v>
      </c>
      <c r="AI52" s="12">
        <f t="shared" si="2"/>
        <v>24.8</v>
      </c>
      <c r="AJ52" s="12">
        <f t="shared" si="2"/>
        <v>85</v>
      </c>
      <c r="AK52" s="12"/>
      <c r="AL52" s="12">
        <f t="shared" si="8"/>
        <v>15.5</v>
      </c>
      <c r="AM52" s="12">
        <f t="shared" si="8"/>
        <v>18.600000000000001</v>
      </c>
      <c r="AN52" s="12">
        <f t="shared" si="8"/>
        <v>27.900000000000002</v>
      </c>
      <c r="AO52" s="12">
        <f t="shared" si="8"/>
        <v>68.300000000000011</v>
      </c>
      <c r="AP52" s="12">
        <f t="shared" si="9"/>
        <v>59.599999999999994</v>
      </c>
      <c r="AQ52" s="12">
        <f t="shared" si="9"/>
        <v>83.2</v>
      </c>
      <c r="AR52" s="12"/>
      <c r="AS52" s="12">
        <f t="shared" si="10"/>
        <v>22.3</v>
      </c>
      <c r="AT52" s="12">
        <f t="shared" si="10"/>
        <v>62.1</v>
      </c>
      <c r="AU52" s="12">
        <f t="shared" si="10"/>
        <v>59</v>
      </c>
      <c r="AV52" s="12">
        <f t="shared" si="10"/>
        <v>47.199999999999996</v>
      </c>
      <c r="AW52" s="12">
        <f t="shared" si="11"/>
        <v>0</v>
      </c>
      <c r="AX52" s="12">
        <f t="shared" si="11"/>
        <v>60.8</v>
      </c>
      <c r="AY52" s="12"/>
      <c r="AZ52" s="12">
        <f t="shared" si="3"/>
        <v>90.1</v>
      </c>
      <c r="BA52" s="12">
        <f t="shared" si="4"/>
        <v>54.1</v>
      </c>
      <c r="BB52" s="12"/>
      <c r="BC52" s="12">
        <f t="shared" si="5"/>
        <v>19.2</v>
      </c>
      <c r="BD52" s="12">
        <f t="shared" si="6"/>
        <v>0</v>
      </c>
      <c r="BE52" s="12">
        <f t="shared" si="7"/>
        <v>63.4</v>
      </c>
    </row>
    <row r="53" spans="1:57" ht="15.75" customHeight="1" x14ac:dyDescent="0.25">
      <c r="A53" s="1" t="s">
        <v>107</v>
      </c>
      <c r="B53" s="3" t="s">
        <v>93</v>
      </c>
      <c r="C53" s="4" t="s">
        <v>87</v>
      </c>
      <c r="D53" s="4">
        <v>7</v>
      </c>
      <c r="E53" s="4">
        <v>180</v>
      </c>
      <c r="F53" s="4">
        <v>7</v>
      </c>
      <c r="G53" s="4">
        <v>180</v>
      </c>
      <c r="H53" s="4">
        <v>0.375</v>
      </c>
      <c r="I53" s="4">
        <v>15.2</v>
      </c>
      <c r="J53" s="4">
        <v>0</v>
      </c>
      <c r="K53" s="4">
        <v>0.51800000000000002</v>
      </c>
      <c r="L53" s="4">
        <v>0.23200000000000001</v>
      </c>
      <c r="M53" s="4">
        <v>0.161</v>
      </c>
      <c r="N53" s="4">
        <v>8.8999999999999996E-2</v>
      </c>
      <c r="O53" s="4">
        <v>3.5999999999999997E-2</v>
      </c>
      <c r="P53" s="4">
        <v>0.48199999999999998</v>
      </c>
      <c r="Q53" s="4">
        <v>0</v>
      </c>
      <c r="R53" s="4">
        <v>0.44800000000000001</v>
      </c>
      <c r="S53" s="4">
        <v>0.61499999999999999</v>
      </c>
      <c r="T53" s="4">
        <v>0.33300000000000002</v>
      </c>
      <c r="U53" s="4">
        <v>0.4</v>
      </c>
      <c r="V53" s="4">
        <v>0</v>
      </c>
      <c r="W53" s="4">
        <v>0.29599999999999999</v>
      </c>
      <c r="X53" s="4">
        <v>0</v>
      </c>
      <c r="Y53" s="4">
        <v>0.76900000000000002</v>
      </c>
      <c r="Z53" s="4">
        <v>1</v>
      </c>
      <c r="AA53" s="4">
        <v>0</v>
      </c>
      <c r="AB53" s="4">
        <v>0.29599999999999999</v>
      </c>
      <c r="AC53" s="4">
        <v>0.125</v>
      </c>
      <c r="AD53" s="10">
        <f t="shared" si="1"/>
        <v>0.88034199999999996</v>
      </c>
      <c r="AE53" s="9"/>
      <c r="AF53" s="9"/>
      <c r="AG53" s="12">
        <f t="shared" si="2"/>
        <v>47.199999999999996</v>
      </c>
      <c r="AH53" s="12">
        <f t="shared" si="2"/>
        <v>69.5</v>
      </c>
      <c r="AI53" s="12">
        <f t="shared" si="2"/>
        <v>23.599999999999998</v>
      </c>
      <c r="AJ53" s="12">
        <f t="shared" si="2"/>
        <v>65.2</v>
      </c>
      <c r="AK53" s="12"/>
      <c r="AL53" s="12">
        <f t="shared" si="8"/>
        <v>29.799999999999997</v>
      </c>
      <c r="AM53" s="12">
        <f t="shared" si="8"/>
        <v>53.400000000000006</v>
      </c>
      <c r="AN53" s="12">
        <f t="shared" si="8"/>
        <v>29.099999999999998</v>
      </c>
      <c r="AO53" s="12">
        <f t="shared" si="8"/>
        <v>65.8</v>
      </c>
      <c r="AP53" s="12">
        <f t="shared" si="9"/>
        <v>49.6</v>
      </c>
      <c r="AQ53" s="12">
        <f t="shared" si="9"/>
        <v>70.099999999999994</v>
      </c>
      <c r="AR53" s="12"/>
      <c r="AS53" s="12">
        <f t="shared" si="10"/>
        <v>27.900000000000002</v>
      </c>
      <c r="AT53" s="12">
        <f t="shared" si="10"/>
        <v>45.300000000000004</v>
      </c>
      <c r="AU53" s="12">
        <f t="shared" si="10"/>
        <v>29.099999999999998</v>
      </c>
      <c r="AV53" s="12">
        <f t="shared" si="10"/>
        <v>63.3</v>
      </c>
      <c r="AW53" s="12">
        <f t="shared" si="11"/>
        <v>0</v>
      </c>
      <c r="AX53" s="12">
        <f t="shared" si="11"/>
        <v>42.8</v>
      </c>
      <c r="AY53" s="12"/>
      <c r="AZ53" s="12">
        <f t="shared" si="3"/>
        <v>29.200000000000003</v>
      </c>
      <c r="BA53" s="12">
        <f t="shared" si="4"/>
        <v>52.800000000000004</v>
      </c>
      <c r="BB53" s="12"/>
      <c r="BC53" s="12">
        <f t="shared" si="5"/>
        <v>69.5</v>
      </c>
      <c r="BD53" s="12">
        <f t="shared" si="6"/>
        <v>45.9</v>
      </c>
      <c r="BE53" s="12">
        <f t="shared" si="7"/>
        <v>19.299999999999997</v>
      </c>
    </row>
    <row r="54" spans="1:57" ht="15.75" customHeight="1" x14ac:dyDescent="0.25">
      <c r="A54" s="1" t="s">
        <v>128</v>
      </c>
      <c r="B54" s="4" t="s">
        <v>109</v>
      </c>
      <c r="C54" s="4" t="s">
        <v>87</v>
      </c>
      <c r="D54" s="4">
        <v>9</v>
      </c>
      <c r="E54" s="4">
        <v>179</v>
      </c>
      <c r="F54" s="4">
        <v>9</v>
      </c>
      <c r="G54" s="4">
        <v>179</v>
      </c>
      <c r="H54" s="4">
        <v>0.29399999999999998</v>
      </c>
      <c r="I54" s="4">
        <v>13.5</v>
      </c>
      <c r="J54" s="4">
        <v>0</v>
      </c>
      <c r="K54" s="4">
        <v>0.60299999999999998</v>
      </c>
      <c r="L54" s="4">
        <v>0.17599999999999999</v>
      </c>
      <c r="M54" s="4">
        <v>0.29399999999999998</v>
      </c>
      <c r="N54" s="4">
        <v>0.10299999999999999</v>
      </c>
      <c r="O54" s="4">
        <v>2.9000000000000001E-2</v>
      </c>
      <c r="P54" s="4">
        <v>0.39700000000000002</v>
      </c>
      <c r="Q54" s="4">
        <v>0</v>
      </c>
      <c r="R54" s="4">
        <v>0.317</v>
      </c>
      <c r="S54" s="4">
        <v>0.66700000000000004</v>
      </c>
      <c r="T54" s="4">
        <v>0.15</v>
      </c>
      <c r="U54" s="4">
        <v>0.28599999999999998</v>
      </c>
      <c r="V54" s="4">
        <v>0</v>
      </c>
      <c r="W54" s="4">
        <v>0.25900000000000001</v>
      </c>
      <c r="X54" s="4">
        <v>0</v>
      </c>
      <c r="Y54" s="4">
        <v>0.53800000000000003</v>
      </c>
      <c r="Z54" s="4">
        <v>0.85699999999999998</v>
      </c>
      <c r="AA54" s="4">
        <v>0</v>
      </c>
      <c r="AB54" s="4">
        <v>0.185</v>
      </c>
      <c r="AC54" s="4">
        <v>0.2</v>
      </c>
      <c r="AD54" s="10">
        <f t="shared" si="1"/>
        <v>0.66464300000000009</v>
      </c>
      <c r="AE54" s="9"/>
      <c r="AF54" s="9"/>
      <c r="AG54" s="12">
        <f t="shared" si="2"/>
        <v>96.2</v>
      </c>
      <c r="AH54" s="12">
        <f t="shared" si="2"/>
        <v>67.7</v>
      </c>
      <c r="AI54" s="12">
        <f t="shared" si="2"/>
        <v>6.8000000000000007</v>
      </c>
      <c r="AJ54" s="12">
        <f t="shared" si="2"/>
        <v>49</v>
      </c>
      <c r="AK54" s="12"/>
      <c r="AL54" s="12">
        <f t="shared" si="8"/>
        <v>47.199999999999996</v>
      </c>
      <c r="AM54" s="12">
        <f t="shared" si="8"/>
        <v>34.1</v>
      </c>
      <c r="AN54" s="12">
        <f t="shared" si="8"/>
        <v>66.400000000000006</v>
      </c>
      <c r="AO54" s="12">
        <f t="shared" si="8"/>
        <v>70.8</v>
      </c>
      <c r="AP54" s="12">
        <f t="shared" si="9"/>
        <v>39.1</v>
      </c>
      <c r="AQ54" s="12">
        <f t="shared" si="9"/>
        <v>52.7</v>
      </c>
      <c r="AR54" s="12"/>
      <c r="AS54" s="12">
        <f t="shared" si="10"/>
        <v>5.5</v>
      </c>
      <c r="AT54" s="12">
        <f t="shared" si="10"/>
        <v>51.5</v>
      </c>
      <c r="AU54" s="12">
        <f t="shared" si="10"/>
        <v>15.5</v>
      </c>
      <c r="AV54" s="12">
        <f t="shared" si="10"/>
        <v>51.5</v>
      </c>
      <c r="AW54" s="12">
        <f t="shared" si="11"/>
        <v>0</v>
      </c>
      <c r="AX54" s="12">
        <f t="shared" si="11"/>
        <v>31</v>
      </c>
      <c r="AY54" s="12"/>
      <c r="AZ54" s="12">
        <f t="shared" si="3"/>
        <v>60.9</v>
      </c>
      <c r="BA54" s="12">
        <f t="shared" si="4"/>
        <v>62.8</v>
      </c>
      <c r="BB54" s="12"/>
      <c r="BC54" s="12">
        <f t="shared" si="5"/>
        <v>49</v>
      </c>
      <c r="BD54" s="12">
        <f t="shared" si="6"/>
        <v>49</v>
      </c>
      <c r="BE54" s="12">
        <f t="shared" si="7"/>
        <v>57.800000000000004</v>
      </c>
    </row>
    <row r="55" spans="1:57" ht="15.75" customHeight="1" x14ac:dyDescent="0.25">
      <c r="A55" s="1" t="s">
        <v>137</v>
      </c>
      <c r="B55" s="3" t="s">
        <v>244</v>
      </c>
      <c r="C55" s="4" t="s">
        <v>90</v>
      </c>
      <c r="D55" s="4">
        <v>8</v>
      </c>
      <c r="E55" s="4">
        <v>179</v>
      </c>
      <c r="F55" s="4">
        <v>8</v>
      </c>
      <c r="G55" s="4">
        <v>179</v>
      </c>
      <c r="H55" s="4">
        <v>0.315</v>
      </c>
      <c r="I55" s="4">
        <v>15.1</v>
      </c>
      <c r="J55" s="4">
        <v>0</v>
      </c>
      <c r="K55" s="4">
        <v>0.51900000000000002</v>
      </c>
      <c r="L55" s="4">
        <v>0.185</v>
      </c>
      <c r="M55" s="4">
        <v>0.222</v>
      </c>
      <c r="N55" s="4">
        <v>5.6000000000000001E-2</v>
      </c>
      <c r="O55" s="4">
        <v>5.6000000000000001E-2</v>
      </c>
      <c r="P55" s="4">
        <v>0.48099999999999998</v>
      </c>
      <c r="Q55" s="4">
        <v>0</v>
      </c>
      <c r="R55" s="4">
        <v>0.35699999999999998</v>
      </c>
      <c r="S55" s="4">
        <v>0.6</v>
      </c>
      <c r="T55" s="4">
        <v>0.25</v>
      </c>
      <c r="U55" s="4">
        <v>0</v>
      </c>
      <c r="V55" s="4">
        <v>0.33300000000000002</v>
      </c>
      <c r="W55" s="4">
        <v>0.26900000000000002</v>
      </c>
      <c r="X55" s="4">
        <v>0</v>
      </c>
      <c r="Y55" s="4">
        <v>0.9</v>
      </c>
      <c r="Z55" s="4">
        <v>1</v>
      </c>
      <c r="AA55" s="4">
        <v>0</v>
      </c>
      <c r="AB55" s="4">
        <v>0.308</v>
      </c>
      <c r="AC55" s="4">
        <v>0.375</v>
      </c>
      <c r="AD55" s="10">
        <f t="shared" si="1"/>
        <v>0.94809999999999994</v>
      </c>
      <c r="AE55" s="9"/>
      <c r="AF55" s="9"/>
      <c r="AG55" s="12">
        <f t="shared" si="2"/>
        <v>69.5</v>
      </c>
      <c r="AH55" s="12">
        <f t="shared" si="2"/>
        <v>67.7</v>
      </c>
      <c r="AI55" s="12">
        <f t="shared" si="2"/>
        <v>9.9</v>
      </c>
      <c r="AJ55" s="12">
        <f t="shared" si="2"/>
        <v>63.9</v>
      </c>
      <c r="AK55" s="12"/>
      <c r="AL55" s="12">
        <f t="shared" si="8"/>
        <v>30.4</v>
      </c>
      <c r="AM55" s="12">
        <f t="shared" si="8"/>
        <v>38.5</v>
      </c>
      <c r="AN55" s="12">
        <f t="shared" si="8"/>
        <v>46.5</v>
      </c>
      <c r="AO55" s="12">
        <f t="shared" si="8"/>
        <v>43.4</v>
      </c>
      <c r="AP55" s="12">
        <f t="shared" si="9"/>
        <v>63.9</v>
      </c>
      <c r="AQ55" s="12">
        <f t="shared" si="9"/>
        <v>69.5</v>
      </c>
      <c r="AR55" s="12"/>
      <c r="AS55" s="12">
        <f t="shared" si="10"/>
        <v>10.5</v>
      </c>
      <c r="AT55" s="12">
        <f t="shared" si="10"/>
        <v>40.9</v>
      </c>
      <c r="AU55" s="12">
        <f t="shared" si="10"/>
        <v>19.8</v>
      </c>
      <c r="AV55" s="12">
        <f t="shared" si="10"/>
        <v>0</v>
      </c>
      <c r="AW55" s="12">
        <f t="shared" si="11"/>
        <v>65.8</v>
      </c>
      <c r="AX55" s="12">
        <f t="shared" si="11"/>
        <v>33.5</v>
      </c>
      <c r="AY55" s="12"/>
      <c r="AZ55" s="12">
        <f t="shared" si="3"/>
        <v>12.5</v>
      </c>
      <c r="BA55" s="12">
        <f t="shared" si="4"/>
        <v>52.800000000000004</v>
      </c>
      <c r="BB55" s="12"/>
      <c r="BC55" s="12">
        <f t="shared" si="5"/>
        <v>71.399999999999991</v>
      </c>
      <c r="BD55" s="12">
        <f t="shared" si="6"/>
        <v>65.2</v>
      </c>
      <c r="BE55" s="12">
        <f t="shared" si="7"/>
        <v>9.3999999999999915</v>
      </c>
    </row>
    <row r="56" spans="1:57" ht="15.75" customHeight="1" x14ac:dyDescent="0.25">
      <c r="A56" s="1" t="s">
        <v>161</v>
      </c>
      <c r="B56" s="3" t="s">
        <v>142</v>
      </c>
      <c r="C56" s="4" t="s">
        <v>90</v>
      </c>
      <c r="D56" s="4">
        <v>6</v>
      </c>
      <c r="E56" s="4">
        <v>179</v>
      </c>
      <c r="F56" s="4">
        <v>6</v>
      </c>
      <c r="G56" s="4">
        <v>179</v>
      </c>
      <c r="H56" s="4">
        <v>0.50700000000000001</v>
      </c>
      <c r="I56" s="4">
        <v>6.6</v>
      </c>
      <c r="J56" s="4">
        <v>0</v>
      </c>
      <c r="K56" s="4">
        <v>0.91</v>
      </c>
      <c r="L56" s="4">
        <v>0.34300000000000003</v>
      </c>
      <c r="M56" s="4">
        <v>0.50700000000000001</v>
      </c>
      <c r="N56" s="4">
        <v>0.03</v>
      </c>
      <c r="O56" s="4">
        <v>0.03</v>
      </c>
      <c r="P56" s="4">
        <v>0.09</v>
      </c>
      <c r="Q56" s="4">
        <v>0</v>
      </c>
      <c r="R56" s="4">
        <v>0.52500000000000002</v>
      </c>
      <c r="S56" s="4">
        <v>0.69599999999999995</v>
      </c>
      <c r="T56" s="4">
        <v>0.441</v>
      </c>
      <c r="U56" s="4">
        <v>0</v>
      </c>
      <c r="V56" s="4">
        <v>0.5</v>
      </c>
      <c r="W56" s="4">
        <v>0.33300000000000002</v>
      </c>
      <c r="X56" s="4">
        <v>0</v>
      </c>
      <c r="Y56" s="4">
        <v>0.65600000000000003</v>
      </c>
      <c r="Z56" s="4">
        <v>1</v>
      </c>
      <c r="AA56" s="4">
        <v>0</v>
      </c>
      <c r="AB56" s="4">
        <v>0</v>
      </c>
      <c r="AC56" s="4">
        <v>0</v>
      </c>
      <c r="AD56" s="10">
        <f t="shared" si="1"/>
        <v>0.68696000000000002</v>
      </c>
      <c r="AE56" s="9"/>
      <c r="AF56" s="9"/>
      <c r="AG56" s="12">
        <f t="shared" si="2"/>
        <v>25.4</v>
      </c>
      <c r="AH56" s="12">
        <f t="shared" si="2"/>
        <v>67.7</v>
      </c>
      <c r="AI56" s="12">
        <f t="shared" si="2"/>
        <v>71.399999999999991</v>
      </c>
      <c r="AJ56" s="12">
        <f t="shared" si="2"/>
        <v>11.799999999999999</v>
      </c>
      <c r="AK56" s="12"/>
      <c r="AL56" s="12">
        <f t="shared" si="8"/>
        <v>87.5</v>
      </c>
      <c r="AM56" s="12">
        <f t="shared" si="8"/>
        <v>75.099999999999994</v>
      </c>
      <c r="AN56" s="12">
        <f t="shared" si="8"/>
        <v>96.2</v>
      </c>
      <c r="AO56" s="12">
        <f t="shared" si="8"/>
        <v>27.900000000000002</v>
      </c>
      <c r="AP56" s="12">
        <f t="shared" si="9"/>
        <v>41.6</v>
      </c>
      <c r="AQ56" s="12">
        <f t="shared" si="9"/>
        <v>12.4</v>
      </c>
      <c r="AR56" s="12"/>
      <c r="AS56" s="12">
        <f t="shared" si="10"/>
        <v>55.2</v>
      </c>
      <c r="AT56" s="12">
        <f t="shared" si="10"/>
        <v>60.8</v>
      </c>
      <c r="AU56" s="12">
        <f t="shared" si="10"/>
        <v>51.5</v>
      </c>
      <c r="AV56" s="12">
        <f t="shared" si="10"/>
        <v>0</v>
      </c>
      <c r="AW56" s="12">
        <f t="shared" si="11"/>
        <v>75.7</v>
      </c>
      <c r="AX56" s="12">
        <f t="shared" si="11"/>
        <v>49</v>
      </c>
      <c r="AY56" s="12"/>
      <c r="AZ56" s="12">
        <f t="shared" si="3"/>
        <v>43.500000000000007</v>
      </c>
      <c r="BA56" s="12">
        <f t="shared" si="4"/>
        <v>52.800000000000004</v>
      </c>
      <c r="BB56" s="12"/>
      <c r="BC56" s="12">
        <f t="shared" si="5"/>
        <v>0</v>
      </c>
      <c r="BD56" s="12">
        <f t="shared" si="6"/>
        <v>0</v>
      </c>
      <c r="BE56" s="12">
        <f t="shared" si="7"/>
        <v>54.699999999999996</v>
      </c>
    </row>
    <row r="57" spans="1:57" ht="15.75" customHeight="1" x14ac:dyDescent="0.25">
      <c r="A57" s="1" t="s">
        <v>180</v>
      </c>
      <c r="B57" s="3" t="s">
        <v>133</v>
      </c>
      <c r="C57" s="4" t="s">
        <v>90</v>
      </c>
      <c r="D57" s="4">
        <v>7</v>
      </c>
      <c r="E57" s="4">
        <v>178</v>
      </c>
      <c r="F57" s="4">
        <v>7</v>
      </c>
      <c r="G57" s="4">
        <v>178</v>
      </c>
      <c r="H57" s="4">
        <v>0.51600000000000001</v>
      </c>
      <c r="I57" s="4">
        <v>3.1</v>
      </c>
      <c r="J57" s="4">
        <v>0</v>
      </c>
      <c r="K57" s="4">
        <v>1</v>
      </c>
      <c r="L57" s="4">
        <v>0.625</v>
      </c>
      <c r="M57" s="4">
        <v>0.35899999999999999</v>
      </c>
      <c r="N57" s="4">
        <v>1.6E-2</v>
      </c>
      <c r="O57" s="4">
        <v>0</v>
      </c>
      <c r="P57" s="4">
        <v>0</v>
      </c>
      <c r="Q57" s="4">
        <v>0</v>
      </c>
      <c r="R57" s="4">
        <v>0.51600000000000001</v>
      </c>
      <c r="S57" s="4">
        <v>0.7</v>
      </c>
      <c r="T57" s="4">
        <v>0.217</v>
      </c>
      <c r="U57" s="4">
        <v>0</v>
      </c>
      <c r="V57" s="4">
        <v>0</v>
      </c>
      <c r="W57" s="4">
        <v>0</v>
      </c>
      <c r="X57" s="4">
        <v>0</v>
      </c>
      <c r="Y57" s="4">
        <v>0.66700000000000004</v>
      </c>
      <c r="Z57" s="4">
        <v>0</v>
      </c>
      <c r="AA57" s="4">
        <v>0</v>
      </c>
      <c r="AB57" s="4">
        <v>0</v>
      </c>
      <c r="AC57" s="4">
        <v>0</v>
      </c>
      <c r="AD57" s="10">
        <f t="shared" si="1"/>
        <v>0.66700000000000004</v>
      </c>
      <c r="AE57" s="9"/>
      <c r="AF57" s="9"/>
      <c r="AG57" s="12">
        <f t="shared" si="2"/>
        <v>47.199999999999996</v>
      </c>
      <c r="AH57" s="12">
        <f t="shared" si="2"/>
        <v>67</v>
      </c>
      <c r="AI57" s="12">
        <f t="shared" si="2"/>
        <v>73.2</v>
      </c>
      <c r="AJ57" s="12">
        <f t="shared" si="2"/>
        <v>0.6</v>
      </c>
      <c r="AK57" s="12"/>
      <c r="AL57" s="12">
        <f t="shared" si="8"/>
        <v>95</v>
      </c>
      <c r="AM57" s="12">
        <f t="shared" si="8"/>
        <v>96.2</v>
      </c>
      <c r="AN57" s="12">
        <f t="shared" si="8"/>
        <v>85</v>
      </c>
      <c r="AO57" s="12">
        <f t="shared" si="8"/>
        <v>23.599999999999998</v>
      </c>
      <c r="AP57" s="12">
        <f t="shared" si="9"/>
        <v>0</v>
      </c>
      <c r="AQ57" s="12">
        <f t="shared" si="9"/>
        <v>0</v>
      </c>
      <c r="AR57" s="12"/>
      <c r="AS57" s="12">
        <f t="shared" si="10"/>
        <v>52.1</v>
      </c>
      <c r="AT57" s="12">
        <f t="shared" si="10"/>
        <v>61.4</v>
      </c>
      <c r="AU57" s="12">
        <f t="shared" si="10"/>
        <v>16.7</v>
      </c>
      <c r="AV57" s="12">
        <f t="shared" si="10"/>
        <v>0</v>
      </c>
      <c r="AW57" s="12">
        <f t="shared" si="11"/>
        <v>0</v>
      </c>
      <c r="AX57" s="12">
        <f t="shared" si="11"/>
        <v>0</v>
      </c>
      <c r="AY57" s="12"/>
      <c r="AZ57" s="12">
        <f t="shared" si="3"/>
        <v>42.900000000000006</v>
      </c>
      <c r="BA57" s="12">
        <f t="shared" si="4"/>
        <v>100</v>
      </c>
      <c r="BB57" s="12"/>
      <c r="BC57" s="12">
        <f t="shared" si="5"/>
        <v>0</v>
      </c>
      <c r="BD57" s="12">
        <f t="shared" si="6"/>
        <v>0</v>
      </c>
      <c r="BE57" s="12">
        <f t="shared" si="7"/>
        <v>57.2</v>
      </c>
    </row>
    <row r="58" spans="1:57" ht="15.75" customHeight="1" x14ac:dyDescent="0.25">
      <c r="A58" s="1" t="s">
        <v>112</v>
      </c>
      <c r="B58" s="3" t="s">
        <v>93</v>
      </c>
      <c r="C58" s="4" t="s">
        <v>87</v>
      </c>
      <c r="D58" s="4">
        <v>7</v>
      </c>
      <c r="E58" s="4">
        <v>177</v>
      </c>
      <c r="F58" s="4">
        <v>7</v>
      </c>
      <c r="G58" s="4">
        <v>177</v>
      </c>
      <c r="H58" s="4">
        <v>0.40200000000000002</v>
      </c>
      <c r="I58" s="4">
        <v>16.2</v>
      </c>
      <c r="J58" s="4">
        <v>0</v>
      </c>
      <c r="K58" s="4">
        <v>0.53700000000000003</v>
      </c>
      <c r="L58" s="4">
        <v>0.11</v>
      </c>
      <c r="M58" s="4">
        <v>0.25600000000000001</v>
      </c>
      <c r="N58" s="4">
        <v>8.5000000000000006E-2</v>
      </c>
      <c r="O58" s="4">
        <v>8.5000000000000006E-2</v>
      </c>
      <c r="P58" s="4">
        <v>0.46300000000000002</v>
      </c>
      <c r="Q58" s="4">
        <v>0</v>
      </c>
      <c r="R58" s="4">
        <v>0.40899999999999997</v>
      </c>
      <c r="S58" s="4">
        <v>0.66700000000000004</v>
      </c>
      <c r="T58" s="4">
        <v>0.33300000000000002</v>
      </c>
      <c r="U58" s="4">
        <v>0.57099999999999995</v>
      </c>
      <c r="V58" s="4">
        <v>0.14299999999999999</v>
      </c>
      <c r="W58" s="4">
        <v>0.39500000000000002</v>
      </c>
      <c r="X58" s="4">
        <v>0</v>
      </c>
      <c r="Y58" s="4">
        <v>0.61099999999999999</v>
      </c>
      <c r="Z58" s="4">
        <v>0.86699999999999999</v>
      </c>
      <c r="AA58" s="4">
        <v>0</v>
      </c>
      <c r="AB58" s="4">
        <v>5.2999999999999999E-2</v>
      </c>
      <c r="AC58" s="4">
        <v>0.5</v>
      </c>
      <c r="AD58" s="10">
        <f t="shared" si="1"/>
        <v>0.72952800000000007</v>
      </c>
      <c r="AE58" s="9"/>
      <c r="AF58" s="9"/>
      <c r="AG58" s="12">
        <f t="shared" si="2"/>
        <v>47.199999999999996</v>
      </c>
      <c r="AH58" s="12">
        <f t="shared" si="2"/>
        <v>66.400000000000006</v>
      </c>
      <c r="AI58" s="12">
        <f t="shared" si="2"/>
        <v>30.4</v>
      </c>
      <c r="AJ58" s="12">
        <f t="shared" si="2"/>
        <v>71.399999999999991</v>
      </c>
      <c r="AK58" s="12"/>
      <c r="AL58" s="12">
        <f t="shared" si="8"/>
        <v>34.1</v>
      </c>
      <c r="AM58" s="12">
        <f t="shared" si="8"/>
        <v>19.2</v>
      </c>
      <c r="AN58" s="12">
        <f t="shared" si="8"/>
        <v>57.699999999999996</v>
      </c>
      <c r="AO58" s="12">
        <f t="shared" si="8"/>
        <v>63.9</v>
      </c>
      <c r="AP58" s="12">
        <f t="shared" si="9"/>
        <v>78.2</v>
      </c>
      <c r="AQ58" s="12">
        <f t="shared" si="9"/>
        <v>65.2</v>
      </c>
      <c r="AR58" s="12"/>
      <c r="AS58" s="12">
        <f t="shared" si="10"/>
        <v>19.2</v>
      </c>
      <c r="AT58" s="12">
        <f t="shared" si="10"/>
        <v>51.5</v>
      </c>
      <c r="AU58" s="12">
        <f t="shared" si="10"/>
        <v>29.099999999999998</v>
      </c>
      <c r="AV58" s="12">
        <f t="shared" si="10"/>
        <v>80.100000000000009</v>
      </c>
      <c r="AW58" s="12">
        <f t="shared" si="11"/>
        <v>57.099999999999994</v>
      </c>
      <c r="AX58" s="12">
        <f t="shared" si="11"/>
        <v>70.099999999999994</v>
      </c>
      <c r="AY58" s="12"/>
      <c r="AZ58" s="12">
        <f t="shared" si="3"/>
        <v>48.5</v>
      </c>
      <c r="BA58" s="12">
        <f t="shared" si="4"/>
        <v>60.9</v>
      </c>
      <c r="BB58" s="12"/>
      <c r="BC58" s="12">
        <f t="shared" si="5"/>
        <v>19.8</v>
      </c>
      <c r="BD58" s="12">
        <f t="shared" si="6"/>
        <v>70.8</v>
      </c>
      <c r="BE58" s="12">
        <f t="shared" si="7"/>
        <v>46.599999999999994</v>
      </c>
    </row>
    <row r="59" spans="1:57" ht="15.75" customHeight="1" x14ac:dyDescent="0.25">
      <c r="A59" s="1" t="s">
        <v>144</v>
      </c>
      <c r="B59" s="3" t="s">
        <v>244</v>
      </c>
      <c r="C59" s="4" t="s">
        <v>87</v>
      </c>
      <c r="D59" s="4">
        <v>8</v>
      </c>
      <c r="E59" s="4">
        <v>173</v>
      </c>
      <c r="F59" s="4">
        <v>8</v>
      </c>
      <c r="G59" s="4">
        <v>173</v>
      </c>
      <c r="H59" s="4">
        <v>0.36399999999999999</v>
      </c>
      <c r="I59" s="4">
        <v>11.2</v>
      </c>
      <c r="J59" s="4">
        <v>0</v>
      </c>
      <c r="K59" s="4">
        <v>0.61399999999999999</v>
      </c>
      <c r="L59" s="4">
        <v>0.29499999999999998</v>
      </c>
      <c r="M59" s="4">
        <v>0.318</v>
      </c>
      <c r="N59" s="4">
        <v>0</v>
      </c>
      <c r="O59" s="4">
        <v>0</v>
      </c>
      <c r="P59" s="4">
        <v>0.38600000000000001</v>
      </c>
      <c r="Q59" s="4">
        <v>0</v>
      </c>
      <c r="R59" s="4">
        <v>0.44400000000000001</v>
      </c>
      <c r="S59" s="4">
        <v>0.308</v>
      </c>
      <c r="T59" s="4">
        <v>0.57099999999999995</v>
      </c>
      <c r="U59" s="4">
        <v>0</v>
      </c>
      <c r="V59" s="4">
        <v>0</v>
      </c>
      <c r="W59" s="4">
        <v>0.23499999999999999</v>
      </c>
      <c r="X59" s="4">
        <v>0</v>
      </c>
      <c r="Y59" s="4">
        <v>0.5</v>
      </c>
      <c r="Z59" s="4">
        <v>1</v>
      </c>
      <c r="AA59" s="4">
        <v>0</v>
      </c>
      <c r="AB59" s="4">
        <v>0.58799999999999997</v>
      </c>
      <c r="AC59" s="4">
        <v>0.3</v>
      </c>
      <c r="AD59" s="10">
        <f t="shared" si="1"/>
        <v>0.69300000000000006</v>
      </c>
      <c r="AE59" s="9"/>
      <c r="AF59" s="9"/>
      <c r="AG59" s="12">
        <f t="shared" si="2"/>
        <v>69.5</v>
      </c>
      <c r="AH59" s="12">
        <f t="shared" si="2"/>
        <v>65.8</v>
      </c>
      <c r="AI59" s="12">
        <f t="shared" si="2"/>
        <v>20.399999999999999</v>
      </c>
      <c r="AJ59" s="12">
        <f t="shared" si="2"/>
        <v>32.200000000000003</v>
      </c>
      <c r="AK59" s="12"/>
      <c r="AL59" s="12">
        <f t="shared" si="8"/>
        <v>49.6</v>
      </c>
      <c r="AM59" s="12">
        <f t="shared" si="8"/>
        <v>66.400000000000006</v>
      </c>
      <c r="AN59" s="12">
        <f t="shared" si="8"/>
        <v>77.600000000000009</v>
      </c>
      <c r="AO59" s="12">
        <f t="shared" si="8"/>
        <v>0</v>
      </c>
      <c r="AP59" s="12">
        <f t="shared" si="9"/>
        <v>0</v>
      </c>
      <c r="AQ59" s="12">
        <f t="shared" si="9"/>
        <v>49.6</v>
      </c>
      <c r="AR59" s="12"/>
      <c r="AS59" s="12">
        <f t="shared" si="10"/>
        <v>26</v>
      </c>
      <c r="AT59" s="12">
        <f t="shared" si="10"/>
        <v>10.5</v>
      </c>
      <c r="AU59" s="12">
        <f t="shared" si="10"/>
        <v>78.8</v>
      </c>
      <c r="AV59" s="12">
        <f t="shared" si="10"/>
        <v>0</v>
      </c>
      <c r="AW59" s="12">
        <f t="shared" si="11"/>
        <v>0</v>
      </c>
      <c r="AX59" s="12">
        <f t="shared" si="11"/>
        <v>28.499999999999996</v>
      </c>
      <c r="AY59" s="12"/>
      <c r="AZ59" s="12">
        <f t="shared" si="3"/>
        <v>70.900000000000006</v>
      </c>
      <c r="BA59" s="12">
        <f t="shared" si="4"/>
        <v>52.800000000000004</v>
      </c>
      <c r="BB59" s="12"/>
      <c r="BC59" s="12">
        <f t="shared" si="5"/>
        <v>94.399999999999991</v>
      </c>
      <c r="BD59" s="12">
        <f t="shared" si="6"/>
        <v>57.699999999999996</v>
      </c>
      <c r="BE59" s="12">
        <f t="shared" si="7"/>
        <v>53.5</v>
      </c>
    </row>
    <row r="60" spans="1:57" ht="15.75" customHeight="1" x14ac:dyDescent="0.25">
      <c r="A60" s="1" t="s">
        <v>235</v>
      </c>
      <c r="B60" s="4" t="s">
        <v>133</v>
      </c>
      <c r="C60" s="4" t="s">
        <v>8</v>
      </c>
      <c r="D60" s="4">
        <v>6</v>
      </c>
      <c r="E60" s="4">
        <v>171</v>
      </c>
      <c r="F60" s="4">
        <v>6</v>
      </c>
      <c r="G60" s="4">
        <v>171</v>
      </c>
      <c r="H60" s="4">
        <v>0.52</v>
      </c>
      <c r="I60" s="4">
        <v>12.9</v>
      </c>
      <c r="J60" s="4">
        <v>0</v>
      </c>
      <c r="K60" s="4">
        <v>0.64</v>
      </c>
      <c r="L60" s="4">
        <v>0.26</v>
      </c>
      <c r="M60" s="4">
        <v>0.26</v>
      </c>
      <c r="N60" s="4">
        <v>0.08</v>
      </c>
      <c r="O60" s="4">
        <v>0.04</v>
      </c>
      <c r="P60" s="4">
        <v>0.36</v>
      </c>
      <c r="Q60" s="4">
        <v>0</v>
      </c>
      <c r="R60" s="4">
        <v>0.65600000000000003</v>
      </c>
      <c r="S60" s="4">
        <v>0.84599999999999997</v>
      </c>
      <c r="T60" s="4">
        <v>0.53800000000000003</v>
      </c>
      <c r="U60" s="4">
        <v>0.25</v>
      </c>
      <c r="V60" s="4">
        <v>1</v>
      </c>
      <c r="W60" s="4">
        <v>0.27800000000000002</v>
      </c>
      <c r="X60" s="4">
        <v>0</v>
      </c>
      <c r="Y60" s="4">
        <v>0.28599999999999998</v>
      </c>
      <c r="Z60" s="4">
        <v>1</v>
      </c>
      <c r="AA60" s="4">
        <v>0</v>
      </c>
      <c r="AB60" s="4">
        <v>5.6000000000000001E-2</v>
      </c>
      <c r="AC60" s="4">
        <v>1</v>
      </c>
      <c r="AD60" s="10">
        <f t="shared" si="1"/>
        <v>0.54303999999999997</v>
      </c>
      <c r="AE60" s="9"/>
      <c r="AF60" s="9"/>
      <c r="AG60" s="12">
        <f t="shared" si="2"/>
        <v>25.4</v>
      </c>
      <c r="AH60" s="12">
        <f t="shared" si="2"/>
        <v>65.2</v>
      </c>
      <c r="AI60" s="12">
        <f t="shared" si="2"/>
        <v>75.099999999999994</v>
      </c>
      <c r="AJ60" s="12">
        <f t="shared" si="2"/>
        <v>43.4</v>
      </c>
      <c r="AK60" s="12"/>
      <c r="AL60" s="12">
        <f t="shared" si="8"/>
        <v>55.2</v>
      </c>
      <c r="AM60" s="12">
        <f t="shared" si="8"/>
        <v>59.599999999999994</v>
      </c>
      <c r="AN60" s="12">
        <f t="shared" si="8"/>
        <v>59</v>
      </c>
      <c r="AO60" s="12">
        <f t="shared" si="8"/>
        <v>63.3</v>
      </c>
      <c r="AP60" s="12">
        <f t="shared" si="9"/>
        <v>54</v>
      </c>
      <c r="AQ60" s="12">
        <f t="shared" si="9"/>
        <v>44.7</v>
      </c>
      <c r="AR60" s="12"/>
      <c r="AS60" s="12">
        <f t="shared" si="10"/>
        <v>84.399999999999991</v>
      </c>
      <c r="AT60" s="12">
        <f t="shared" si="10"/>
        <v>81.899999999999991</v>
      </c>
      <c r="AU60" s="12">
        <f t="shared" si="10"/>
        <v>75.099999999999994</v>
      </c>
      <c r="AV60" s="12">
        <f t="shared" si="10"/>
        <v>50.3</v>
      </c>
      <c r="AW60" s="12">
        <f t="shared" si="11"/>
        <v>91.3</v>
      </c>
      <c r="AX60" s="12">
        <f t="shared" si="11"/>
        <v>37.799999999999997</v>
      </c>
      <c r="AY60" s="12"/>
      <c r="AZ60" s="12">
        <f t="shared" si="3"/>
        <v>85.8</v>
      </c>
      <c r="BA60" s="12">
        <f t="shared" si="4"/>
        <v>52.800000000000004</v>
      </c>
      <c r="BB60" s="12"/>
      <c r="BC60" s="12">
        <f t="shared" si="5"/>
        <v>20.399999999999999</v>
      </c>
      <c r="BD60" s="12">
        <f t="shared" si="6"/>
        <v>92.5</v>
      </c>
      <c r="BE60" s="12">
        <f t="shared" si="7"/>
        <v>81.400000000000006</v>
      </c>
    </row>
    <row r="61" spans="1:57" ht="15.75" customHeight="1" x14ac:dyDescent="0.25">
      <c r="A61" s="1" t="s">
        <v>170</v>
      </c>
      <c r="B61" s="3" t="s">
        <v>133</v>
      </c>
      <c r="C61" s="4" t="s">
        <v>8</v>
      </c>
      <c r="D61" s="4">
        <v>6</v>
      </c>
      <c r="E61" s="4">
        <v>170</v>
      </c>
      <c r="F61" s="4">
        <v>6</v>
      </c>
      <c r="G61" s="4">
        <v>170</v>
      </c>
      <c r="H61" s="4">
        <v>0.42899999999999999</v>
      </c>
      <c r="I61" s="4">
        <v>9.8000000000000007</v>
      </c>
      <c r="J61" s="4">
        <v>0</v>
      </c>
      <c r="K61" s="4">
        <v>0.755</v>
      </c>
      <c r="L61" s="4">
        <v>0.38800000000000001</v>
      </c>
      <c r="M61" s="4">
        <v>0.30599999999999999</v>
      </c>
      <c r="N61" s="4">
        <v>4.1000000000000002E-2</v>
      </c>
      <c r="O61" s="4">
        <v>0.02</v>
      </c>
      <c r="P61" s="4">
        <v>0.245</v>
      </c>
      <c r="Q61" s="4">
        <v>0</v>
      </c>
      <c r="R61" s="4">
        <v>0.45900000000000002</v>
      </c>
      <c r="S61" s="4">
        <v>0.47399999999999998</v>
      </c>
      <c r="T61" s="4">
        <v>0.33300000000000002</v>
      </c>
      <c r="U61" s="4">
        <v>1</v>
      </c>
      <c r="V61" s="4">
        <v>1</v>
      </c>
      <c r="W61" s="4">
        <v>0.33300000000000002</v>
      </c>
      <c r="X61" s="4">
        <v>0</v>
      </c>
      <c r="Y61" s="4">
        <v>0.52900000000000003</v>
      </c>
      <c r="Z61" s="4">
        <v>1</v>
      </c>
      <c r="AA61" s="4">
        <v>0</v>
      </c>
      <c r="AB61" s="4">
        <v>0.25</v>
      </c>
      <c r="AC61" s="4">
        <v>0.33300000000000002</v>
      </c>
      <c r="AD61" s="10">
        <f t="shared" si="1"/>
        <v>0.64439500000000005</v>
      </c>
      <c r="AE61" s="9"/>
      <c r="AF61" s="9"/>
      <c r="AG61" s="12">
        <f t="shared" si="2"/>
        <v>25.4</v>
      </c>
      <c r="AH61" s="12">
        <f t="shared" si="2"/>
        <v>64.5</v>
      </c>
      <c r="AI61" s="12">
        <f t="shared" si="2"/>
        <v>40.9</v>
      </c>
      <c r="AJ61" s="12">
        <f t="shared" si="2"/>
        <v>21.7</v>
      </c>
      <c r="AK61" s="12"/>
      <c r="AL61" s="12">
        <f t="shared" si="8"/>
        <v>74.5</v>
      </c>
      <c r="AM61" s="12">
        <f t="shared" si="8"/>
        <v>81.899999999999991</v>
      </c>
      <c r="AN61" s="12">
        <f t="shared" si="8"/>
        <v>72</v>
      </c>
      <c r="AO61" s="12">
        <f t="shared" si="8"/>
        <v>35.4</v>
      </c>
      <c r="AP61" s="12">
        <f t="shared" si="9"/>
        <v>32.200000000000003</v>
      </c>
      <c r="AQ61" s="12">
        <f t="shared" si="9"/>
        <v>25.4</v>
      </c>
      <c r="AR61" s="12"/>
      <c r="AS61" s="12">
        <f t="shared" si="10"/>
        <v>29.799999999999997</v>
      </c>
      <c r="AT61" s="12">
        <f t="shared" si="10"/>
        <v>21.7</v>
      </c>
      <c r="AU61" s="12">
        <f t="shared" si="10"/>
        <v>29.099999999999998</v>
      </c>
      <c r="AV61" s="12">
        <f t="shared" si="10"/>
        <v>91.9</v>
      </c>
      <c r="AW61" s="12">
        <f t="shared" si="11"/>
        <v>91.3</v>
      </c>
      <c r="AX61" s="12">
        <f t="shared" si="11"/>
        <v>49</v>
      </c>
      <c r="AY61" s="12"/>
      <c r="AZ61" s="12">
        <f t="shared" si="3"/>
        <v>62.8</v>
      </c>
      <c r="BA61" s="12">
        <f t="shared" si="4"/>
        <v>52.800000000000004</v>
      </c>
      <c r="BB61" s="12"/>
      <c r="BC61" s="12">
        <f t="shared" si="5"/>
        <v>59</v>
      </c>
      <c r="BD61" s="12">
        <f t="shared" si="6"/>
        <v>58.3</v>
      </c>
      <c r="BE61" s="12">
        <f t="shared" si="7"/>
        <v>60.9</v>
      </c>
    </row>
    <row r="62" spans="1:57" ht="15.75" customHeight="1" x14ac:dyDescent="0.25">
      <c r="A62" s="1" t="s">
        <v>145</v>
      </c>
      <c r="B62" s="3" t="s">
        <v>93</v>
      </c>
      <c r="C62" s="4" t="s">
        <v>87</v>
      </c>
      <c r="D62" s="4">
        <v>7</v>
      </c>
      <c r="E62" s="4">
        <v>168</v>
      </c>
      <c r="F62" s="4">
        <v>7</v>
      </c>
      <c r="G62" s="4">
        <v>168</v>
      </c>
      <c r="H62" s="4">
        <v>0.38700000000000001</v>
      </c>
      <c r="I62" s="4">
        <v>18</v>
      </c>
      <c r="J62" s="4">
        <v>0</v>
      </c>
      <c r="K62" s="4">
        <v>0.4</v>
      </c>
      <c r="L62" s="4">
        <v>0.14699999999999999</v>
      </c>
      <c r="M62" s="4">
        <v>9.2999999999999999E-2</v>
      </c>
      <c r="N62" s="4">
        <v>6.7000000000000004E-2</v>
      </c>
      <c r="O62" s="4">
        <v>9.2999999999999999E-2</v>
      </c>
      <c r="P62" s="4">
        <v>0.6</v>
      </c>
      <c r="Q62" s="4">
        <v>0</v>
      </c>
      <c r="R62" s="4">
        <v>0.433</v>
      </c>
      <c r="S62" s="4">
        <v>0.54500000000000004</v>
      </c>
      <c r="T62" s="4">
        <v>0.42899999999999999</v>
      </c>
      <c r="U62" s="4">
        <v>0.6</v>
      </c>
      <c r="V62" s="4">
        <v>0.14299999999999999</v>
      </c>
      <c r="W62" s="4">
        <v>0.35599999999999998</v>
      </c>
      <c r="X62" s="4">
        <v>0</v>
      </c>
      <c r="Y62" s="4">
        <v>0.61499999999999999</v>
      </c>
      <c r="Z62" s="4">
        <v>1</v>
      </c>
      <c r="AA62" s="4">
        <v>0</v>
      </c>
      <c r="AB62" s="4">
        <v>0.26700000000000002</v>
      </c>
      <c r="AC62" s="4">
        <v>0.33300000000000002</v>
      </c>
      <c r="AD62" s="10">
        <f t="shared" si="1"/>
        <v>0.84599999999999997</v>
      </c>
      <c r="AE62" s="9"/>
      <c r="AF62" s="9"/>
      <c r="AG62" s="12">
        <f t="shared" si="2"/>
        <v>47.199999999999996</v>
      </c>
      <c r="AH62" s="12">
        <f t="shared" si="2"/>
        <v>63.3</v>
      </c>
      <c r="AI62" s="12">
        <f t="shared" si="2"/>
        <v>26</v>
      </c>
      <c r="AJ62" s="12">
        <f t="shared" si="2"/>
        <v>82.6</v>
      </c>
      <c r="AK62" s="12"/>
      <c r="AL62" s="12">
        <f t="shared" si="8"/>
        <v>15.5</v>
      </c>
      <c r="AM62" s="12">
        <f t="shared" si="8"/>
        <v>26.700000000000003</v>
      </c>
      <c r="AN62" s="12">
        <f t="shared" si="8"/>
        <v>15.5</v>
      </c>
      <c r="AO62" s="12">
        <f t="shared" si="8"/>
        <v>52.7</v>
      </c>
      <c r="AP62" s="12">
        <f t="shared" si="9"/>
        <v>80.100000000000009</v>
      </c>
      <c r="AQ62" s="12">
        <f t="shared" si="9"/>
        <v>83.2</v>
      </c>
      <c r="AR62" s="12"/>
      <c r="AS62" s="12">
        <f t="shared" si="10"/>
        <v>22.900000000000002</v>
      </c>
      <c r="AT62" s="12">
        <f t="shared" si="10"/>
        <v>29.799999999999997</v>
      </c>
      <c r="AU62" s="12">
        <f t="shared" si="10"/>
        <v>49.6</v>
      </c>
      <c r="AV62" s="12">
        <f t="shared" si="10"/>
        <v>81.899999999999991</v>
      </c>
      <c r="AW62" s="12">
        <f t="shared" si="11"/>
        <v>57.099999999999994</v>
      </c>
      <c r="AX62" s="12">
        <f t="shared" si="11"/>
        <v>59.599999999999994</v>
      </c>
      <c r="AY62" s="12"/>
      <c r="AZ62" s="12">
        <f t="shared" si="3"/>
        <v>47.9</v>
      </c>
      <c r="BA62" s="12">
        <f t="shared" si="4"/>
        <v>52.800000000000004</v>
      </c>
      <c r="BB62" s="12"/>
      <c r="BC62" s="12">
        <f t="shared" si="5"/>
        <v>65.8</v>
      </c>
      <c r="BD62" s="12">
        <f t="shared" si="6"/>
        <v>58.3</v>
      </c>
      <c r="BE62" s="12">
        <f t="shared" si="7"/>
        <v>25.5</v>
      </c>
    </row>
    <row r="63" spans="1:57" ht="15.75" customHeight="1" x14ac:dyDescent="0.25">
      <c r="A63" s="1" t="s">
        <v>176</v>
      </c>
      <c r="B63" s="3" t="s">
        <v>142</v>
      </c>
      <c r="C63" s="4" t="s">
        <v>87</v>
      </c>
      <c r="D63" s="4">
        <v>6</v>
      </c>
      <c r="E63" s="4">
        <v>168</v>
      </c>
      <c r="F63" s="4">
        <v>6</v>
      </c>
      <c r="G63" s="4">
        <v>168</v>
      </c>
      <c r="H63" s="4">
        <v>0.56699999999999995</v>
      </c>
      <c r="I63" s="4">
        <v>6.9</v>
      </c>
      <c r="J63" s="4">
        <v>0</v>
      </c>
      <c r="K63" s="4">
        <v>0.88300000000000001</v>
      </c>
      <c r="L63" s="4">
        <v>0.51700000000000002</v>
      </c>
      <c r="M63" s="4">
        <v>0.23300000000000001</v>
      </c>
      <c r="N63" s="4">
        <v>0.1</v>
      </c>
      <c r="O63" s="4">
        <v>3.3000000000000002E-2</v>
      </c>
      <c r="P63" s="4">
        <v>0.11700000000000001</v>
      </c>
      <c r="Q63" s="4">
        <v>0</v>
      </c>
      <c r="R63" s="4">
        <v>0.58499999999999996</v>
      </c>
      <c r="S63" s="4">
        <v>0.74199999999999999</v>
      </c>
      <c r="T63" s="4">
        <v>0.42899999999999999</v>
      </c>
      <c r="U63" s="4">
        <v>0.33300000000000002</v>
      </c>
      <c r="V63" s="4">
        <v>0</v>
      </c>
      <c r="W63" s="4">
        <v>0.42899999999999999</v>
      </c>
      <c r="X63" s="4">
        <v>0</v>
      </c>
      <c r="Y63" s="4">
        <v>0.48399999999999999</v>
      </c>
      <c r="Z63" s="4">
        <v>1</v>
      </c>
      <c r="AA63" s="4">
        <v>0</v>
      </c>
      <c r="AB63" s="4">
        <v>0.14299999999999999</v>
      </c>
      <c r="AC63" s="4">
        <v>1</v>
      </c>
      <c r="AD63" s="10">
        <f t="shared" si="1"/>
        <v>0.54437199999999997</v>
      </c>
      <c r="AE63" s="9"/>
      <c r="AF63" s="9"/>
      <c r="AG63" s="12">
        <f t="shared" si="2"/>
        <v>25.4</v>
      </c>
      <c r="AH63" s="12">
        <f t="shared" si="2"/>
        <v>63.3</v>
      </c>
      <c r="AI63" s="12">
        <f t="shared" si="2"/>
        <v>84.399999999999991</v>
      </c>
      <c r="AJ63" s="12">
        <f t="shared" si="2"/>
        <v>13.600000000000001</v>
      </c>
      <c r="AK63" s="12"/>
      <c r="AL63" s="12">
        <f t="shared" si="8"/>
        <v>86.3</v>
      </c>
      <c r="AM63" s="12">
        <f t="shared" si="8"/>
        <v>90.600000000000009</v>
      </c>
      <c r="AN63" s="12">
        <f t="shared" si="8"/>
        <v>51.5</v>
      </c>
      <c r="AO63" s="12">
        <f t="shared" si="8"/>
        <v>70.099999999999994</v>
      </c>
      <c r="AP63" s="12">
        <f t="shared" si="9"/>
        <v>47.8</v>
      </c>
      <c r="AQ63" s="12">
        <f t="shared" si="9"/>
        <v>13.600000000000001</v>
      </c>
      <c r="AR63" s="12"/>
      <c r="AS63" s="12">
        <f t="shared" si="10"/>
        <v>71.399999999999991</v>
      </c>
      <c r="AT63" s="12">
        <f t="shared" si="10"/>
        <v>65.2</v>
      </c>
      <c r="AU63" s="12">
        <f t="shared" si="10"/>
        <v>49.6</v>
      </c>
      <c r="AV63" s="12">
        <f t="shared" si="10"/>
        <v>53.400000000000006</v>
      </c>
      <c r="AW63" s="12">
        <f t="shared" si="11"/>
        <v>0</v>
      </c>
      <c r="AX63" s="12">
        <f t="shared" si="11"/>
        <v>77</v>
      </c>
      <c r="AY63" s="12"/>
      <c r="AZ63" s="12">
        <f t="shared" si="3"/>
        <v>71.5</v>
      </c>
      <c r="BA63" s="12">
        <f t="shared" si="4"/>
        <v>52.800000000000004</v>
      </c>
      <c r="BB63" s="12"/>
      <c r="BC63" s="12">
        <f t="shared" si="5"/>
        <v>41.6</v>
      </c>
      <c r="BD63" s="12">
        <f t="shared" si="6"/>
        <v>92.5</v>
      </c>
      <c r="BE63" s="12">
        <f t="shared" si="7"/>
        <v>80.2</v>
      </c>
    </row>
    <row r="64" spans="1:57" ht="15.75" customHeight="1" x14ac:dyDescent="0.25">
      <c r="A64" s="1" t="s">
        <v>179</v>
      </c>
      <c r="B64" s="3" t="s">
        <v>160</v>
      </c>
      <c r="C64" s="4" t="s">
        <v>8</v>
      </c>
      <c r="D64" s="4">
        <v>7</v>
      </c>
      <c r="E64" s="4">
        <v>166</v>
      </c>
      <c r="F64" s="4">
        <v>7</v>
      </c>
      <c r="G64" s="4">
        <v>166</v>
      </c>
      <c r="H64" s="4">
        <v>0.44900000000000001</v>
      </c>
      <c r="I64" s="4">
        <v>17</v>
      </c>
      <c r="J64" s="4">
        <v>0</v>
      </c>
      <c r="K64" s="4">
        <v>0.38800000000000001</v>
      </c>
      <c r="L64" s="4">
        <v>0.26500000000000001</v>
      </c>
      <c r="M64" s="4">
        <v>8.2000000000000003E-2</v>
      </c>
      <c r="N64" s="4">
        <v>0</v>
      </c>
      <c r="O64" s="4">
        <v>4.1000000000000002E-2</v>
      </c>
      <c r="P64" s="4">
        <v>0.61199999999999999</v>
      </c>
      <c r="Q64" s="4">
        <v>0</v>
      </c>
      <c r="R64" s="4">
        <v>0.73699999999999999</v>
      </c>
      <c r="S64" s="4">
        <v>0.84599999999999997</v>
      </c>
      <c r="T64" s="4">
        <v>0.5</v>
      </c>
      <c r="U64" s="4">
        <v>0</v>
      </c>
      <c r="V64" s="4">
        <v>0.5</v>
      </c>
      <c r="W64" s="4">
        <v>0.26700000000000002</v>
      </c>
      <c r="X64" s="4">
        <v>0</v>
      </c>
      <c r="Y64" s="4">
        <v>0.78600000000000003</v>
      </c>
      <c r="Z64" s="4">
        <v>1</v>
      </c>
      <c r="AA64" s="4">
        <v>0</v>
      </c>
      <c r="AB64" s="4">
        <v>0.3</v>
      </c>
      <c r="AC64" s="4">
        <v>0.222</v>
      </c>
      <c r="AD64" s="10">
        <f t="shared" si="1"/>
        <v>0.91696800000000001</v>
      </c>
      <c r="AE64" s="9"/>
      <c r="AF64" s="9"/>
      <c r="AG64" s="12">
        <f t="shared" si="2"/>
        <v>47.199999999999996</v>
      </c>
      <c r="AH64" s="12">
        <f t="shared" si="2"/>
        <v>62.1</v>
      </c>
      <c r="AI64" s="12">
        <f t="shared" si="2"/>
        <v>49</v>
      </c>
      <c r="AJ64" s="12">
        <f t="shared" si="2"/>
        <v>75.099999999999994</v>
      </c>
      <c r="AK64" s="12"/>
      <c r="AL64" s="12">
        <f t="shared" si="8"/>
        <v>14.899999999999999</v>
      </c>
      <c r="AM64" s="12">
        <f t="shared" si="8"/>
        <v>60.8</v>
      </c>
      <c r="AN64" s="12">
        <f t="shared" si="8"/>
        <v>13</v>
      </c>
      <c r="AO64" s="12">
        <f t="shared" si="8"/>
        <v>0</v>
      </c>
      <c r="AP64" s="12">
        <f t="shared" si="9"/>
        <v>55.2</v>
      </c>
      <c r="AQ64" s="12">
        <f t="shared" si="9"/>
        <v>85</v>
      </c>
      <c r="AR64" s="12"/>
      <c r="AS64" s="12">
        <f t="shared" si="10"/>
        <v>93.100000000000009</v>
      </c>
      <c r="AT64" s="12">
        <f t="shared" si="10"/>
        <v>81.899999999999991</v>
      </c>
      <c r="AU64" s="12">
        <f t="shared" si="10"/>
        <v>59</v>
      </c>
      <c r="AV64" s="12">
        <f t="shared" si="10"/>
        <v>0</v>
      </c>
      <c r="AW64" s="12">
        <f t="shared" si="11"/>
        <v>75.7</v>
      </c>
      <c r="AX64" s="12">
        <f t="shared" si="11"/>
        <v>32.9</v>
      </c>
      <c r="AY64" s="12"/>
      <c r="AZ64" s="12">
        <f t="shared" si="3"/>
        <v>26.099999999999994</v>
      </c>
      <c r="BA64" s="12">
        <f t="shared" si="4"/>
        <v>52.800000000000004</v>
      </c>
      <c r="BB64" s="12"/>
      <c r="BC64" s="12">
        <f t="shared" si="5"/>
        <v>70.099999999999994</v>
      </c>
      <c r="BD64" s="12">
        <f t="shared" si="6"/>
        <v>52.1</v>
      </c>
      <c r="BE64" s="12">
        <f t="shared" si="7"/>
        <v>13.099999999999994</v>
      </c>
    </row>
    <row r="65" spans="1:57" ht="15.75" customHeight="1" x14ac:dyDescent="0.25">
      <c r="A65" s="1" t="s">
        <v>148</v>
      </c>
      <c r="B65" s="3" t="s">
        <v>244</v>
      </c>
      <c r="C65" s="4" t="s">
        <v>8</v>
      </c>
      <c r="D65" s="4">
        <v>8</v>
      </c>
      <c r="E65" s="4">
        <v>166</v>
      </c>
      <c r="F65" s="4">
        <v>8</v>
      </c>
      <c r="G65" s="4">
        <v>166</v>
      </c>
      <c r="H65" s="4">
        <v>0.53700000000000003</v>
      </c>
      <c r="I65" s="4">
        <v>9.5</v>
      </c>
      <c r="J65" s="4">
        <v>0</v>
      </c>
      <c r="K65" s="4">
        <v>0.72199999999999998</v>
      </c>
      <c r="L65" s="4">
        <v>0.35199999999999998</v>
      </c>
      <c r="M65" s="4">
        <v>0.315</v>
      </c>
      <c r="N65" s="4">
        <v>5.6000000000000001E-2</v>
      </c>
      <c r="O65" s="4">
        <v>0</v>
      </c>
      <c r="P65" s="4">
        <v>0.27800000000000002</v>
      </c>
      <c r="Q65" s="4">
        <v>0</v>
      </c>
      <c r="R65" s="4">
        <v>0.53800000000000003</v>
      </c>
      <c r="S65" s="4">
        <v>0.57899999999999996</v>
      </c>
      <c r="T65" s="4">
        <v>0.47099999999999997</v>
      </c>
      <c r="U65" s="4">
        <v>0.66700000000000004</v>
      </c>
      <c r="V65" s="4">
        <v>0</v>
      </c>
      <c r="W65" s="4">
        <v>0.53300000000000003</v>
      </c>
      <c r="X65" s="4">
        <v>0</v>
      </c>
      <c r="Y65" s="4">
        <v>0.52400000000000002</v>
      </c>
      <c r="Z65" s="4">
        <v>0.75</v>
      </c>
      <c r="AA65" s="4">
        <v>0</v>
      </c>
      <c r="AB65" s="4">
        <v>0.33300000000000002</v>
      </c>
      <c r="AC65" s="4">
        <v>1</v>
      </c>
      <c r="AD65" s="10">
        <f t="shared" si="1"/>
        <v>0.58682800000000002</v>
      </c>
      <c r="AE65" s="9"/>
      <c r="AF65" s="9"/>
      <c r="AG65" s="12">
        <f t="shared" si="2"/>
        <v>69.5</v>
      </c>
      <c r="AH65" s="12">
        <f t="shared" si="2"/>
        <v>62.1</v>
      </c>
      <c r="AI65" s="12">
        <f t="shared" si="2"/>
        <v>80.7</v>
      </c>
      <c r="AJ65" s="12">
        <f t="shared" si="2"/>
        <v>21.099999999999998</v>
      </c>
      <c r="AK65" s="12"/>
      <c r="AL65" s="12">
        <f t="shared" si="8"/>
        <v>70.8</v>
      </c>
      <c r="AM65" s="12">
        <f t="shared" si="8"/>
        <v>77</v>
      </c>
      <c r="AN65" s="12">
        <f t="shared" si="8"/>
        <v>75.099999999999994</v>
      </c>
      <c r="AO65" s="12">
        <f t="shared" si="8"/>
        <v>43.4</v>
      </c>
      <c r="AP65" s="12">
        <f t="shared" si="9"/>
        <v>0</v>
      </c>
      <c r="AQ65" s="12">
        <f t="shared" si="9"/>
        <v>29.099999999999998</v>
      </c>
      <c r="AR65" s="12"/>
      <c r="AS65" s="12">
        <f t="shared" si="10"/>
        <v>59.599999999999994</v>
      </c>
      <c r="AT65" s="12">
        <f t="shared" si="10"/>
        <v>38.5</v>
      </c>
      <c r="AU65" s="12">
        <f t="shared" si="10"/>
        <v>57.099999999999994</v>
      </c>
      <c r="AV65" s="12">
        <f t="shared" si="10"/>
        <v>85</v>
      </c>
      <c r="AW65" s="12">
        <f t="shared" si="11"/>
        <v>0</v>
      </c>
      <c r="AX65" s="12">
        <f t="shared" si="11"/>
        <v>93.7</v>
      </c>
      <c r="AY65" s="12"/>
      <c r="AZ65" s="12">
        <f t="shared" si="3"/>
        <v>64.599999999999994</v>
      </c>
      <c r="BA65" s="12">
        <f t="shared" si="4"/>
        <v>74</v>
      </c>
      <c r="BB65" s="12"/>
      <c r="BC65" s="12">
        <f t="shared" si="5"/>
        <v>73.2</v>
      </c>
      <c r="BD65" s="12">
        <f t="shared" si="6"/>
        <v>92.5</v>
      </c>
      <c r="BE65" s="12">
        <f t="shared" si="7"/>
        <v>70.900000000000006</v>
      </c>
    </row>
    <row r="66" spans="1:57" ht="15.75" customHeight="1" x14ac:dyDescent="0.25">
      <c r="A66" s="1" t="s">
        <v>205</v>
      </c>
      <c r="B66" s="3" t="s">
        <v>139</v>
      </c>
      <c r="C66" s="4" t="s">
        <v>8</v>
      </c>
      <c r="D66" s="4">
        <v>6</v>
      </c>
      <c r="E66" s="4">
        <v>162</v>
      </c>
      <c r="F66" s="4">
        <v>6</v>
      </c>
      <c r="G66" s="4">
        <v>162</v>
      </c>
      <c r="H66" s="4">
        <v>0.29299999999999998</v>
      </c>
      <c r="I66" s="4">
        <v>16.600000000000001</v>
      </c>
      <c r="J66" s="4">
        <v>0</v>
      </c>
      <c r="K66" s="4">
        <v>0.53700000000000003</v>
      </c>
      <c r="L66" s="4">
        <v>0.14599999999999999</v>
      </c>
      <c r="M66" s="4">
        <v>0.22</v>
      </c>
      <c r="N66" s="4">
        <v>7.2999999999999995E-2</v>
      </c>
      <c r="O66" s="4">
        <v>9.8000000000000004E-2</v>
      </c>
      <c r="P66" s="4">
        <v>0.46300000000000002</v>
      </c>
      <c r="Q66" s="4">
        <v>0</v>
      </c>
      <c r="R66" s="4">
        <v>0.318</v>
      </c>
      <c r="S66" s="4">
        <v>0.33300000000000002</v>
      </c>
      <c r="T66" s="4">
        <v>0.222</v>
      </c>
      <c r="U66" s="4">
        <v>0.66700000000000004</v>
      </c>
      <c r="V66" s="4">
        <v>0.25</v>
      </c>
      <c r="W66" s="4">
        <v>0.26300000000000001</v>
      </c>
      <c r="X66" s="4">
        <v>0</v>
      </c>
      <c r="Y66" s="4">
        <v>0.57099999999999995</v>
      </c>
      <c r="Z66" s="4">
        <v>0.8</v>
      </c>
      <c r="AA66" s="4">
        <v>0</v>
      </c>
      <c r="AB66" s="4">
        <v>0.105</v>
      </c>
      <c r="AC66" s="4">
        <v>0</v>
      </c>
      <c r="AD66" s="10">
        <f t="shared" si="1"/>
        <v>0.67702700000000005</v>
      </c>
      <c r="AE66" s="9"/>
      <c r="AF66" s="9"/>
      <c r="AG66" s="12">
        <f t="shared" si="2"/>
        <v>25.4</v>
      </c>
      <c r="AH66" s="12">
        <f t="shared" si="2"/>
        <v>61.4</v>
      </c>
      <c r="AI66" s="12">
        <f t="shared" si="2"/>
        <v>6.2</v>
      </c>
      <c r="AJ66" s="12">
        <f t="shared" si="2"/>
        <v>73.900000000000006</v>
      </c>
      <c r="AK66" s="12"/>
      <c r="AL66" s="12">
        <f t="shared" si="8"/>
        <v>34.1</v>
      </c>
      <c r="AM66" s="12">
        <f t="shared" si="8"/>
        <v>26</v>
      </c>
      <c r="AN66" s="12">
        <f t="shared" si="8"/>
        <v>45.300000000000004</v>
      </c>
      <c r="AO66" s="12">
        <f t="shared" si="8"/>
        <v>59</v>
      </c>
      <c r="AP66" s="12">
        <f t="shared" si="9"/>
        <v>81.899999999999991</v>
      </c>
      <c r="AQ66" s="12">
        <f t="shared" si="9"/>
        <v>65.2</v>
      </c>
      <c r="AR66" s="12"/>
      <c r="AS66" s="12">
        <f t="shared" si="10"/>
        <v>6.2</v>
      </c>
      <c r="AT66" s="12">
        <f t="shared" si="10"/>
        <v>12.4</v>
      </c>
      <c r="AU66" s="12">
        <f t="shared" si="10"/>
        <v>17.299999999999997</v>
      </c>
      <c r="AV66" s="12">
        <f t="shared" si="10"/>
        <v>85</v>
      </c>
      <c r="AW66" s="12">
        <f t="shared" si="11"/>
        <v>60.8</v>
      </c>
      <c r="AX66" s="12">
        <f t="shared" si="11"/>
        <v>31.6</v>
      </c>
      <c r="AY66" s="12"/>
      <c r="AZ66" s="12">
        <f t="shared" si="3"/>
        <v>56.6</v>
      </c>
      <c r="BA66" s="12">
        <f t="shared" si="4"/>
        <v>68.400000000000006</v>
      </c>
      <c r="BB66" s="12"/>
      <c r="BC66" s="12">
        <f t="shared" si="5"/>
        <v>29.099999999999998</v>
      </c>
      <c r="BD66" s="12">
        <f t="shared" si="6"/>
        <v>0</v>
      </c>
      <c r="BE66" s="12">
        <f t="shared" si="7"/>
        <v>56.6</v>
      </c>
    </row>
    <row r="67" spans="1:57" ht="15.75" customHeight="1" x14ac:dyDescent="0.25">
      <c r="A67" s="1" t="s">
        <v>126</v>
      </c>
      <c r="B67" s="3" t="s">
        <v>93</v>
      </c>
      <c r="C67" s="4" t="s">
        <v>96</v>
      </c>
      <c r="D67" s="4">
        <v>7</v>
      </c>
      <c r="E67" s="4">
        <v>161</v>
      </c>
      <c r="F67" s="4">
        <v>7</v>
      </c>
      <c r="G67" s="4">
        <v>161</v>
      </c>
      <c r="H67" s="4">
        <v>0.41699999999999998</v>
      </c>
      <c r="I67" s="4">
        <v>14.7</v>
      </c>
      <c r="J67" s="4">
        <v>0</v>
      </c>
      <c r="K67" s="4">
        <v>0.54200000000000004</v>
      </c>
      <c r="L67" s="4">
        <v>0.188</v>
      </c>
      <c r="M67" s="4">
        <v>0.27100000000000002</v>
      </c>
      <c r="N67" s="4">
        <v>6.3E-2</v>
      </c>
      <c r="O67" s="4">
        <v>2.1000000000000001E-2</v>
      </c>
      <c r="P67" s="4">
        <v>0.45800000000000002</v>
      </c>
      <c r="Q67" s="4">
        <v>0</v>
      </c>
      <c r="R67" s="4">
        <v>0.5</v>
      </c>
      <c r="S67" s="4">
        <v>0.55600000000000005</v>
      </c>
      <c r="T67" s="4">
        <v>0.61499999999999999</v>
      </c>
      <c r="U67" s="4">
        <v>0</v>
      </c>
      <c r="V67" s="4">
        <v>0</v>
      </c>
      <c r="W67" s="4">
        <v>0.318</v>
      </c>
      <c r="X67" s="4">
        <v>0</v>
      </c>
      <c r="Y67" s="4">
        <v>0.308</v>
      </c>
      <c r="Z67" s="4">
        <v>1</v>
      </c>
      <c r="AA67" s="4">
        <v>0</v>
      </c>
      <c r="AB67" s="4">
        <v>0.318</v>
      </c>
      <c r="AC67" s="4">
        <v>0.42899999999999999</v>
      </c>
      <c r="AD67" s="10">
        <f t="shared" si="1"/>
        <v>0.62493600000000005</v>
      </c>
      <c r="AE67" s="9"/>
      <c r="AF67" s="9"/>
      <c r="AG67" s="12">
        <f t="shared" si="2"/>
        <v>47.199999999999996</v>
      </c>
      <c r="AH67" s="12">
        <f t="shared" si="2"/>
        <v>60.8</v>
      </c>
      <c r="AI67" s="12">
        <f t="shared" si="2"/>
        <v>37.200000000000003</v>
      </c>
      <c r="AJ67" s="12">
        <f t="shared" si="2"/>
        <v>60.8</v>
      </c>
      <c r="AK67" s="12"/>
      <c r="AL67" s="12">
        <f t="shared" si="8"/>
        <v>35.4</v>
      </c>
      <c r="AM67" s="12">
        <f t="shared" si="8"/>
        <v>39.1</v>
      </c>
      <c r="AN67" s="12">
        <f t="shared" si="8"/>
        <v>63.3</v>
      </c>
      <c r="AO67" s="12">
        <f t="shared" si="8"/>
        <v>49</v>
      </c>
      <c r="AP67" s="12">
        <f t="shared" si="9"/>
        <v>32.9</v>
      </c>
      <c r="AQ67" s="12">
        <f t="shared" si="9"/>
        <v>64.5</v>
      </c>
      <c r="AR67" s="12"/>
      <c r="AS67" s="12">
        <f t="shared" si="10"/>
        <v>40.9</v>
      </c>
      <c r="AT67" s="12">
        <f t="shared" si="10"/>
        <v>32.200000000000003</v>
      </c>
      <c r="AU67" s="12">
        <f t="shared" si="10"/>
        <v>88.8</v>
      </c>
      <c r="AV67" s="12">
        <f t="shared" si="10"/>
        <v>0</v>
      </c>
      <c r="AW67" s="12">
        <f t="shared" si="11"/>
        <v>0</v>
      </c>
      <c r="AX67" s="12">
        <f t="shared" si="11"/>
        <v>45.300000000000004</v>
      </c>
      <c r="AY67" s="12"/>
      <c r="AZ67" s="12">
        <f t="shared" si="3"/>
        <v>83.3</v>
      </c>
      <c r="BA67" s="12">
        <f t="shared" si="4"/>
        <v>52.800000000000004</v>
      </c>
      <c r="BB67" s="12"/>
      <c r="BC67" s="12">
        <f t="shared" si="5"/>
        <v>72.599999999999994</v>
      </c>
      <c r="BD67" s="12">
        <f t="shared" si="6"/>
        <v>68.899999999999991</v>
      </c>
      <c r="BE67" s="12">
        <f t="shared" si="7"/>
        <v>65.300000000000011</v>
      </c>
    </row>
    <row r="68" spans="1:57" ht="15.75" customHeight="1" x14ac:dyDescent="0.25">
      <c r="A68" s="1" t="s">
        <v>230</v>
      </c>
      <c r="B68" s="4" t="s">
        <v>164</v>
      </c>
      <c r="C68" s="4" t="s">
        <v>87</v>
      </c>
      <c r="D68" s="4">
        <v>8</v>
      </c>
      <c r="E68" s="4">
        <v>160</v>
      </c>
      <c r="F68" s="4">
        <v>8</v>
      </c>
      <c r="G68" s="4">
        <v>160</v>
      </c>
      <c r="H68" s="4">
        <v>0.48699999999999999</v>
      </c>
      <c r="I68" s="4">
        <v>13.8</v>
      </c>
      <c r="J68" s="4">
        <v>0</v>
      </c>
      <c r="K68" s="4">
        <v>0.51300000000000001</v>
      </c>
      <c r="L68" s="4">
        <v>0.28199999999999997</v>
      </c>
      <c r="M68" s="4">
        <v>0.20499999999999999</v>
      </c>
      <c r="N68" s="4">
        <v>2.5999999999999999E-2</v>
      </c>
      <c r="O68" s="4">
        <v>0</v>
      </c>
      <c r="P68" s="4">
        <v>0.48699999999999999</v>
      </c>
      <c r="Q68" s="4">
        <v>0</v>
      </c>
      <c r="R68" s="4">
        <v>0.6</v>
      </c>
      <c r="S68" s="4">
        <v>0.63600000000000001</v>
      </c>
      <c r="T68" s="4">
        <v>0.625</v>
      </c>
      <c r="U68" s="4">
        <v>0</v>
      </c>
      <c r="V68" s="4">
        <v>0</v>
      </c>
      <c r="W68" s="4">
        <v>0.36799999999999999</v>
      </c>
      <c r="X68" s="4">
        <v>0</v>
      </c>
      <c r="Y68" s="4">
        <v>0.66700000000000004</v>
      </c>
      <c r="Z68" s="4">
        <v>0.85699999999999998</v>
      </c>
      <c r="AA68" s="4">
        <v>0</v>
      </c>
      <c r="AB68" s="4">
        <v>0.26300000000000001</v>
      </c>
      <c r="AC68" s="4">
        <v>0.6</v>
      </c>
      <c r="AD68" s="10">
        <f t="shared" si="1"/>
        <v>0.75953000000000004</v>
      </c>
      <c r="AE68" s="9"/>
      <c r="AF68" s="9"/>
      <c r="AG68" s="12">
        <f t="shared" si="2"/>
        <v>69.5</v>
      </c>
      <c r="AH68" s="12">
        <f t="shared" si="2"/>
        <v>60.199999999999996</v>
      </c>
      <c r="AI68" s="12">
        <f t="shared" si="2"/>
        <v>62.7</v>
      </c>
      <c r="AJ68" s="12">
        <f t="shared" si="2"/>
        <v>52.1</v>
      </c>
      <c r="AK68" s="12"/>
      <c r="AL68" s="12">
        <f t="shared" si="8"/>
        <v>28.499999999999996</v>
      </c>
      <c r="AM68" s="12">
        <f t="shared" si="8"/>
        <v>63.3</v>
      </c>
      <c r="AN68" s="12">
        <f t="shared" si="8"/>
        <v>40.300000000000004</v>
      </c>
      <c r="AO68" s="12">
        <f t="shared" si="8"/>
        <v>26.700000000000003</v>
      </c>
      <c r="AP68" s="12">
        <f t="shared" si="9"/>
        <v>0</v>
      </c>
      <c r="AQ68" s="12">
        <f t="shared" si="9"/>
        <v>71.399999999999991</v>
      </c>
      <c r="AR68" s="12"/>
      <c r="AS68" s="12">
        <f t="shared" si="10"/>
        <v>73.900000000000006</v>
      </c>
      <c r="AT68" s="12">
        <f t="shared" si="10"/>
        <v>49</v>
      </c>
      <c r="AU68" s="12">
        <f t="shared" si="10"/>
        <v>90</v>
      </c>
      <c r="AV68" s="12">
        <f t="shared" si="10"/>
        <v>0</v>
      </c>
      <c r="AW68" s="12">
        <f t="shared" si="11"/>
        <v>0</v>
      </c>
      <c r="AX68" s="12">
        <f t="shared" si="11"/>
        <v>63.3</v>
      </c>
      <c r="AY68" s="12"/>
      <c r="AZ68" s="12">
        <f t="shared" si="3"/>
        <v>42.900000000000006</v>
      </c>
      <c r="BA68" s="12">
        <f t="shared" si="4"/>
        <v>62.8</v>
      </c>
      <c r="BB68" s="12"/>
      <c r="BC68" s="12">
        <f t="shared" si="5"/>
        <v>64.5</v>
      </c>
      <c r="BD68" s="12">
        <f t="shared" si="6"/>
        <v>81.3</v>
      </c>
      <c r="BE68" s="12">
        <f t="shared" si="7"/>
        <v>41</v>
      </c>
    </row>
    <row r="69" spans="1:57" ht="15.75" customHeight="1" x14ac:dyDescent="0.25">
      <c r="A69" s="1" t="s">
        <v>110</v>
      </c>
      <c r="B69" s="3" t="s">
        <v>86</v>
      </c>
      <c r="C69" s="4" t="s">
        <v>8</v>
      </c>
      <c r="D69" s="4">
        <v>8</v>
      </c>
      <c r="E69" s="4">
        <v>159</v>
      </c>
      <c r="F69" s="4">
        <v>8</v>
      </c>
      <c r="G69" s="4">
        <v>159</v>
      </c>
      <c r="H69" s="4">
        <v>0.63900000000000001</v>
      </c>
      <c r="I69" s="4">
        <v>10.4</v>
      </c>
      <c r="J69" s="4">
        <v>0</v>
      </c>
      <c r="K69" s="4">
        <v>0.66700000000000004</v>
      </c>
      <c r="L69" s="4">
        <v>0.41699999999999998</v>
      </c>
      <c r="M69" s="4">
        <v>0.19400000000000001</v>
      </c>
      <c r="N69" s="4">
        <v>5.6000000000000001E-2</v>
      </c>
      <c r="O69" s="4">
        <v>0</v>
      </c>
      <c r="P69" s="4">
        <v>0.33300000000000002</v>
      </c>
      <c r="Q69" s="4">
        <v>0</v>
      </c>
      <c r="R69" s="4">
        <v>0.75</v>
      </c>
      <c r="S69" s="4">
        <v>0.8</v>
      </c>
      <c r="T69" s="4">
        <v>0.57099999999999995</v>
      </c>
      <c r="U69" s="4">
        <v>1</v>
      </c>
      <c r="V69" s="4">
        <v>0</v>
      </c>
      <c r="W69" s="4">
        <v>0.41699999999999998</v>
      </c>
      <c r="X69" s="4">
        <v>0</v>
      </c>
      <c r="Y69" s="4">
        <v>0.72199999999999998</v>
      </c>
      <c r="Z69" s="4">
        <v>1</v>
      </c>
      <c r="AA69" s="4">
        <v>0</v>
      </c>
      <c r="AB69" s="4">
        <v>0.33300000000000002</v>
      </c>
      <c r="AC69" s="4">
        <v>0.75</v>
      </c>
      <c r="AD69" s="10">
        <f t="shared" ref="AD69:AD132" si="12">(K69*Y69+P69*Z69)</f>
        <v>0.81457400000000002</v>
      </c>
      <c r="AE69" s="9"/>
      <c r="AF69" s="9"/>
      <c r="AG69" s="12">
        <f t="shared" ref="AG69:AJ132" si="13">(PERCENTRANK(F$4:F$298,F69))*100</f>
        <v>69.5</v>
      </c>
      <c r="AH69" s="12">
        <f t="shared" si="13"/>
        <v>59.599999999999994</v>
      </c>
      <c r="AI69" s="12">
        <f t="shared" si="13"/>
        <v>95.6</v>
      </c>
      <c r="AJ69" s="12">
        <f t="shared" si="13"/>
        <v>26.700000000000003</v>
      </c>
      <c r="AK69" s="12"/>
      <c r="AL69" s="12">
        <f t="shared" si="8"/>
        <v>61.4</v>
      </c>
      <c r="AM69" s="12">
        <f t="shared" si="8"/>
        <v>83.8</v>
      </c>
      <c r="AN69" s="12">
        <f t="shared" si="8"/>
        <v>37.799999999999997</v>
      </c>
      <c r="AO69" s="12">
        <f t="shared" si="8"/>
        <v>43.4</v>
      </c>
      <c r="AP69" s="12">
        <f t="shared" si="9"/>
        <v>0</v>
      </c>
      <c r="AQ69" s="12">
        <f t="shared" si="9"/>
        <v>36.6</v>
      </c>
      <c r="AR69" s="12"/>
      <c r="AS69" s="12">
        <f t="shared" si="10"/>
        <v>93.7</v>
      </c>
      <c r="AT69" s="12">
        <f t="shared" si="10"/>
        <v>73.2</v>
      </c>
      <c r="AU69" s="12">
        <f t="shared" si="10"/>
        <v>78.8</v>
      </c>
      <c r="AV69" s="12">
        <f t="shared" si="10"/>
        <v>91.9</v>
      </c>
      <c r="AW69" s="12">
        <f t="shared" si="11"/>
        <v>0</v>
      </c>
      <c r="AX69" s="12">
        <f t="shared" si="11"/>
        <v>75.099999999999994</v>
      </c>
      <c r="AY69" s="12"/>
      <c r="AZ69" s="12">
        <f t="shared" ref="AZ69:AZ132" si="14">100-(PERCENTRANK(Y$4:Y$298,Y69))*100</f>
        <v>34.200000000000003</v>
      </c>
      <c r="BA69" s="12">
        <f t="shared" ref="BA69:BA132" si="15">100-(PERCENTRANK(Z$4:Z$298,Z69))*100</f>
        <v>52.800000000000004</v>
      </c>
      <c r="BB69" s="12"/>
      <c r="BC69" s="12">
        <f t="shared" ref="BC69:BC132" si="16">(PERCENTRANK(AB$4:AB$298,AB69))*100</f>
        <v>73.2</v>
      </c>
      <c r="BD69" s="12">
        <f t="shared" ref="BD69:BD132" si="17">(PERCENTRANK(AC$4:AC$298,AC69))*100</f>
        <v>89.4</v>
      </c>
      <c r="BE69" s="12">
        <f t="shared" ref="BE69:BE132" si="18">100-(PERCENTRANK(AD$4:AD$298,AD69))*100</f>
        <v>31.699999999999989</v>
      </c>
    </row>
    <row r="70" spans="1:57" ht="15.75" customHeight="1" x14ac:dyDescent="0.25">
      <c r="A70" s="1" t="s">
        <v>174</v>
      </c>
      <c r="B70" s="3" t="s">
        <v>109</v>
      </c>
      <c r="C70" s="4" t="s">
        <v>8</v>
      </c>
      <c r="D70" s="4">
        <v>9</v>
      </c>
      <c r="E70" s="4">
        <v>158</v>
      </c>
      <c r="F70" s="4">
        <v>9</v>
      </c>
      <c r="G70" s="4">
        <v>158</v>
      </c>
      <c r="H70" s="4">
        <v>0.49199999999999999</v>
      </c>
      <c r="I70" s="4">
        <v>13.5</v>
      </c>
      <c r="J70" s="4">
        <v>0</v>
      </c>
      <c r="K70" s="4">
        <v>0.72099999999999997</v>
      </c>
      <c r="L70" s="4">
        <v>0.14799999999999999</v>
      </c>
      <c r="M70" s="4">
        <v>0.29499999999999998</v>
      </c>
      <c r="N70" s="4">
        <v>0.14799999999999999</v>
      </c>
      <c r="O70" s="4">
        <v>0.13100000000000001</v>
      </c>
      <c r="P70" s="4">
        <v>0.27900000000000003</v>
      </c>
      <c r="Q70" s="4">
        <v>0</v>
      </c>
      <c r="R70" s="4">
        <v>0.5</v>
      </c>
      <c r="S70" s="4">
        <v>0.55600000000000005</v>
      </c>
      <c r="T70" s="4">
        <v>0.55600000000000005</v>
      </c>
      <c r="U70" s="4">
        <v>0.44400000000000001</v>
      </c>
      <c r="V70" s="4">
        <v>0.375</v>
      </c>
      <c r="W70" s="4">
        <v>0.47099999999999997</v>
      </c>
      <c r="X70" s="4">
        <v>0</v>
      </c>
      <c r="Y70" s="4">
        <v>0.318</v>
      </c>
      <c r="Z70" s="4">
        <v>1</v>
      </c>
      <c r="AA70" s="4">
        <v>0</v>
      </c>
      <c r="AB70" s="4">
        <v>0.35299999999999998</v>
      </c>
      <c r="AC70" s="4">
        <v>0.5</v>
      </c>
      <c r="AD70" s="10">
        <f t="shared" si="12"/>
        <v>0.50827800000000001</v>
      </c>
      <c r="AE70" s="9"/>
      <c r="AF70" s="9"/>
      <c r="AG70" s="12">
        <f t="shared" si="13"/>
        <v>96.2</v>
      </c>
      <c r="AH70" s="12">
        <f t="shared" si="13"/>
        <v>58.3</v>
      </c>
      <c r="AI70" s="12">
        <f t="shared" si="13"/>
        <v>64.5</v>
      </c>
      <c r="AJ70" s="12">
        <f t="shared" si="13"/>
        <v>49</v>
      </c>
      <c r="AK70" s="12"/>
      <c r="AL70" s="12">
        <f t="shared" si="8"/>
        <v>70.099999999999994</v>
      </c>
      <c r="AM70" s="12">
        <f t="shared" si="8"/>
        <v>27.3</v>
      </c>
      <c r="AN70" s="12">
        <f t="shared" si="8"/>
        <v>67.7</v>
      </c>
      <c r="AO70" s="12">
        <f t="shared" si="8"/>
        <v>85</v>
      </c>
      <c r="AP70" s="12">
        <f t="shared" si="9"/>
        <v>91.9</v>
      </c>
      <c r="AQ70" s="12">
        <f t="shared" si="9"/>
        <v>29.799999999999997</v>
      </c>
      <c r="AR70" s="12"/>
      <c r="AS70" s="12">
        <f t="shared" si="10"/>
        <v>40.9</v>
      </c>
      <c r="AT70" s="12">
        <f t="shared" si="10"/>
        <v>32.200000000000003</v>
      </c>
      <c r="AU70" s="12">
        <f t="shared" si="10"/>
        <v>77</v>
      </c>
      <c r="AV70" s="12">
        <f t="shared" si="10"/>
        <v>70.099999999999994</v>
      </c>
      <c r="AW70" s="12">
        <f t="shared" si="11"/>
        <v>73.2</v>
      </c>
      <c r="AX70" s="12">
        <f t="shared" si="11"/>
        <v>85.7</v>
      </c>
      <c r="AY70" s="12"/>
      <c r="AZ70" s="12">
        <f t="shared" si="14"/>
        <v>82.7</v>
      </c>
      <c r="BA70" s="12">
        <f t="shared" si="15"/>
        <v>52.800000000000004</v>
      </c>
      <c r="BB70" s="12"/>
      <c r="BC70" s="12">
        <f t="shared" si="16"/>
        <v>80.7</v>
      </c>
      <c r="BD70" s="12">
        <f t="shared" si="17"/>
        <v>70.8</v>
      </c>
      <c r="BE70" s="12">
        <f t="shared" si="18"/>
        <v>82.7</v>
      </c>
    </row>
    <row r="71" spans="1:57" ht="15.75" customHeight="1" x14ac:dyDescent="0.25">
      <c r="A71" s="1" t="s">
        <v>156</v>
      </c>
      <c r="B71" s="3" t="s">
        <v>139</v>
      </c>
      <c r="C71" s="4" t="s">
        <v>87</v>
      </c>
      <c r="D71" s="4">
        <v>5</v>
      </c>
      <c r="E71" s="4">
        <v>158</v>
      </c>
      <c r="F71" s="4">
        <v>5</v>
      </c>
      <c r="G71" s="4">
        <v>158</v>
      </c>
      <c r="H71" s="4">
        <v>0.55800000000000005</v>
      </c>
      <c r="I71" s="4">
        <v>10.9</v>
      </c>
      <c r="J71" s="4">
        <v>0</v>
      </c>
      <c r="K71" s="4">
        <v>0.73099999999999998</v>
      </c>
      <c r="L71" s="4">
        <v>0.32700000000000001</v>
      </c>
      <c r="M71" s="4">
        <v>0.23100000000000001</v>
      </c>
      <c r="N71" s="4">
        <v>0.115</v>
      </c>
      <c r="O71" s="4">
        <v>5.8000000000000003E-2</v>
      </c>
      <c r="P71" s="4">
        <v>0.26900000000000002</v>
      </c>
      <c r="Q71" s="4">
        <v>0</v>
      </c>
      <c r="R71" s="4">
        <v>0.52600000000000002</v>
      </c>
      <c r="S71" s="4">
        <v>0.64700000000000002</v>
      </c>
      <c r="T71" s="4">
        <v>0.58299999999999996</v>
      </c>
      <c r="U71" s="4">
        <v>0.33300000000000002</v>
      </c>
      <c r="V71" s="4">
        <v>0</v>
      </c>
      <c r="W71" s="4">
        <v>0.64300000000000002</v>
      </c>
      <c r="X71" s="4">
        <v>0</v>
      </c>
      <c r="Y71" s="4">
        <v>0.8</v>
      </c>
      <c r="Z71" s="4">
        <v>0.77800000000000002</v>
      </c>
      <c r="AA71" s="4">
        <v>0</v>
      </c>
      <c r="AB71" s="4">
        <v>0.28599999999999998</v>
      </c>
      <c r="AC71" s="4">
        <v>0.5</v>
      </c>
      <c r="AD71" s="10">
        <f t="shared" si="12"/>
        <v>0.79408199999999995</v>
      </c>
      <c r="AE71" s="9"/>
      <c r="AF71" s="9"/>
      <c r="AG71" s="12">
        <f t="shared" si="13"/>
        <v>16.100000000000001</v>
      </c>
      <c r="AH71" s="12">
        <f t="shared" si="13"/>
        <v>58.3</v>
      </c>
      <c r="AI71" s="12">
        <f t="shared" si="13"/>
        <v>83.2</v>
      </c>
      <c r="AJ71" s="12">
        <f t="shared" si="13"/>
        <v>29.799999999999997</v>
      </c>
      <c r="AK71" s="12"/>
      <c r="AL71" s="12">
        <f t="shared" si="8"/>
        <v>72</v>
      </c>
      <c r="AM71" s="12">
        <f t="shared" si="8"/>
        <v>71.399999999999991</v>
      </c>
      <c r="AN71" s="12">
        <f t="shared" si="8"/>
        <v>49.6</v>
      </c>
      <c r="AO71" s="12">
        <f t="shared" si="8"/>
        <v>73.2</v>
      </c>
      <c r="AP71" s="12">
        <f t="shared" si="9"/>
        <v>65.2</v>
      </c>
      <c r="AQ71" s="12">
        <f t="shared" si="9"/>
        <v>27.900000000000002</v>
      </c>
      <c r="AR71" s="12"/>
      <c r="AS71" s="12">
        <f t="shared" si="10"/>
        <v>55.900000000000006</v>
      </c>
      <c r="AT71" s="12">
        <f t="shared" si="10"/>
        <v>50.9</v>
      </c>
      <c r="AU71" s="12">
        <f t="shared" si="10"/>
        <v>81.899999999999991</v>
      </c>
      <c r="AV71" s="12">
        <f t="shared" si="10"/>
        <v>53.400000000000006</v>
      </c>
      <c r="AW71" s="12">
        <f t="shared" si="11"/>
        <v>0</v>
      </c>
      <c r="AX71" s="12">
        <f t="shared" si="11"/>
        <v>96.2</v>
      </c>
      <c r="AY71" s="12"/>
      <c r="AZ71" s="12">
        <f t="shared" si="14"/>
        <v>24.900000000000006</v>
      </c>
      <c r="BA71" s="12">
        <f t="shared" si="15"/>
        <v>70.900000000000006</v>
      </c>
      <c r="BB71" s="12"/>
      <c r="BC71" s="12">
        <f t="shared" si="16"/>
        <v>68.899999999999991</v>
      </c>
      <c r="BD71" s="12">
        <f t="shared" si="17"/>
        <v>70.8</v>
      </c>
      <c r="BE71" s="12">
        <f t="shared" si="18"/>
        <v>33</v>
      </c>
    </row>
    <row r="72" spans="1:57" ht="15.75" customHeight="1" x14ac:dyDescent="0.25">
      <c r="A72" s="1" t="s">
        <v>171</v>
      </c>
      <c r="B72" s="3" t="s">
        <v>139</v>
      </c>
      <c r="C72" s="4" t="s">
        <v>96</v>
      </c>
      <c r="D72" s="4">
        <v>6</v>
      </c>
      <c r="E72" s="4">
        <v>157</v>
      </c>
      <c r="F72" s="4">
        <v>6</v>
      </c>
      <c r="G72" s="4">
        <v>157</v>
      </c>
      <c r="H72" s="4">
        <v>0.45</v>
      </c>
      <c r="I72" s="4">
        <v>14.5</v>
      </c>
      <c r="J72" s="4">
        <v>0</v>
      </c>
      <c r="K72" s="4">
        <v>0.5</v>
      </c>
      <c r="L72" s="4">
        <v>0.22500000000000001</v>
      </c>
      <c r="M72" s="4">
        <v>0.25</v>
      </c>
      <c r="N72" s="4">
        <v>0</v>
      </c>
      <c r="O72" s="4">
        <v>2.5000000000000001E-2</v>
      </c>
      <c r="P72" s="4">
        <v>0.5</v>
      </c>
      <c r="Q72" s="4">
        <v>0</v>
      </c>
      <c r="R72" s="4">
        <v>0.55000000000000004</v>
      </c>
      <c r="S72" s="4">
        <v>0.55600000000000005</v>
      </c>
      <c r="T72" s="4">
        <v>0.5</v>
      </c>
      <c r="U72" s="4">
        <v>0</v>
      </c>
      <c r="V72" s="4">
        <v>1</v>
      </c>
      <c r="W72" s="4">
        <v>0.35</v>
      </c>
      <c r="X72" s="4">
        <v>0</v>
      </c>
      <c r="Y72" s="4">
        <v>0.54500000000000004</v>
      </c>
      <c r="Z72" s="4">
        <v>1</v>
      </c>
      <c r="AA72" s="4">
        <v>0</v>
      </c>
      <c r="AB72" s="4">
        <v>0.35</v>
      </c>
      <c r="AC72" s="4">
        <v>0.14299999999999999</v>
      </c>
      <c r="AD72" s="10">
        <f t="shared" si="12"/>
        <v>0.77249999999999996</v>
      </c>
      <c r="AE72" s="9"/>
      <c r="AF72" s="9"/>
      <c r="AG72" s="12">
        <f t="shared" si="13"/>
        <v>25.4</v>
      </c>
      <c r="AH72" s="12">
        <f t="shared" si="13"/>
        <v>57.699999999999996</v>
      </c>
      <c r="AI72" s="12">
        <f t="shared" si="13"/>
        <v>50.3</v>
      </c>
      <c r="AJ72" s="12">
        <f t="shared" si="13"/>
        <v>57.099999999999994</v>
      </c>
      <c r="AK72" s="12"/>
      <c r="AL72" s="12">
        <f t="shared" si="8"/>
        <v>26.700000000000003</v>
      </c>
      <c r="AM72" s="12">
        <f t="shared" si="8"/>
        <v>52.1</v>
      </c>
      <c r="AN72" s="12">
        <f t="shared" si="8"/>
        <v>54</v>
      </c>
      <c r="AO72" s="12">
        <f t="shared" si="8"/>
        <v>0</v>
      </c>
      <c r="AP72" s="12">
        <f t="shared" si="9"/>
        <v>37.200000000000003</v>
      </c>
      <c r="AQ72" s="12">
        <f t="shared" si="9"/>
        <v>72</v>
      </c>
      <c r="AR72" s="12"/>
      <c r="AS72" s="12">
        <f t="shared" si="10"/>
        <v>63.3</v>
      </c>
      <c r="AT72" s="12">
        <f t="shared" si="10"/>
        <v>32.200000000000003</v>
      </c>
      <c r="AU72" s="12">
        <f t="shared" si="10"/>
        <v>59</v>
      </c>
      <c r="AV72" s="12">
        <f t="shared" si="10"/>
        <v>0</v>
      </c>
      <c r="AW72" s="12">
        <f t="shared" si="11"/>
        <v>91.3</v>
      </c>
      <c r="AX72" s="12">
        <f t="shared" si="11"/>
        <v>58.3</v>
      </c>
      <c r="AY72" s="12"/>
      <c r="AZ72" s="12">
        <f t="shared" si="14"/>
        <v>59.699999999999996</v>
      </c>
      <c r="BA72" s="12">
        <f t="shared" si="15"/>
        <v>52.800000000000004</v>
      </c>
      <c r="BB72" s="12"/>
      <c r="BC72" s="12">
        <f t="shared" si="16"/>
        <v>80.100000000000009</v>
      </c>
      <c r="BD72" s="12">
        <f t="shared" si="17"/>
        <v>46.5</v>
      </c>
      <c r="BE72" s="12">
        <f t="shared" si="18"/>
        <v>38.6</v>
      </c>
    </row>
    <row r="73" spans="1:57" ht="15.75" customHeight="1" x14ac:dyDescent="0.25">
      <c r="A73" s="1" t="s">
        <v>155</v>
      </c>
      <c r="B73" s="3" t="s">
        <v>93</v>
      </c>
      <c r="C73" s="4" t="s">
        <v>90</v>
      </c>
      <c r="D73" s="4">
        <v>7</v>
      </c>
      <c r="E73" s="4">
        <v>154</v>
      </c>
      <c r="F73" s="4">
        <v>7</v>
      </c>
      <c r="G73" s="4">
        <v>154</v>
      </c>
      <c r="H73" s="4">
        <v>0.39300000000000002</v>
      </c>
      <c r="I73" s="4">
        <v>10.6</v>
      </c>
      <c r="J73" s="4">
        <v>0</v>
      </c>
      <c r="K73" s="4">
        <v>0.71399999999999997</v>
      </c>
      <c r="L73" s="4">
        <v>0.214</v>
      </c>
      <c r="M73" s="4">
        <v>0.39300000000000002</v>
      </c>
      <c r="N73" s="4">
        <v>7.0999999999999994E-2</v>
      </c>
      <c r="O73" s="4">
        <v>3.5999999999999997E-2</v>
      </c>
      <c r="P73" s="4">
        <v>0.28599999999999998</v>
      </c>
      <c r="Q73" s="4">
        <v>0</v>
      </c>
      <c r="R73" s="4">
        <v>0.45</v>
      </c>
      <c r="S73" s="4">
        <v>0.83299999999999996</v>
      </c>
      <c r="T73" s="4">
        <v>0.27300000000000002</v>
      </c>
      <c r="U73" s="4">
        <v>0.5</v>
      </c>
      <c r="V73" s="4">
        <v>0</v>
      </c>
      <c r="W73" s="4">
        <v>0.25</v>
      </c>
      <c r="X73" s="4">
        <v>0</v>
      </c>
      <c r="Y73" s="4">
        <v>0.88900000000000001</v>
      </c>
      <c r="Z73" s="4">
        <v>1</v>
      </c>
      <c r="AA73" s="4">
        <v>0</v>
      </c>
      <c r="AB73" s="4">
        <v>0.5</v>
      </c>
      <c r="AC73" s="4">
        <v>0</v>
      </c>
      <c r="AD73" s="10">
        <f t="shared" si="12"/>
        <v>0.92074600000000006</v>
      </c>
      <c r="AE73" s="9"/>
      <c r="AF73" s="9"/>
      <c r="AG73" s="12">
        <f t="shared" si="13"/>
        <v>47.199999999999996</v>
      </c>
      <c r="AH73" s="12">
        <f t="shared" si="13"/>
        <v>57.099999999999994</v>
      </c>
      <c r="AI73" s="12">
        <f t="shared" si="13"/>
        <v>27.900000000000002</v>
      </c>
      <c r="AJ73" s="12">
        <f t="shared" si="13"/>
        <v>28.499999999999996</v>
      </c>
      <c r="AK73" s="12"/>
      <c r="AL73" s="12">
        <f t="shared" si="8"/>
        <v>68.300000000000011</v>
      </c>
      <c r="AM73" s="12">
        <f t="shared" si="8"/>
        <v>46.5</v>
      </c>
      <c r="AN73" s="12">
        <f t="shared" si="8"/>
        <v>88.8</v>
      </c>
      <c r="AO73" s="12">
        <f t="shared" si="8"/>
        <v>56.499999999999993</v>
      </c>
      <c r="AP73" s="12">
        <f t="shared" si="9"/>
        <v>49.6</v>
      </c>
      <c r="AQ73" s="12">
        <f t="shared" si="9"/>
        <v>31</v>
      </c>
      <c r="AR73" s="12"/>
      <c r="AS73" s="12">
        <f t="shared" si="10"/>
        <v>28.499999999999996</v>
      </c>
      <c r="AT73" s="12">
        <f t="shared" si="10"/>
        <v>77.600000000000009</v>
      </c>
      <c r="AU73" s="12">
        <f t="shared" si="10"/>
        <v>24.2</v>
      </c>
      <c r="AV73" s="12">
        <f t="shared" si="10"/>
        <v>72.599999999999994</v>
      </c>
      <c r="AW73" s="12">
        <f t="shared" si="11"/>
        <v>0</v>
      </c>
      <c r="AX73" s="12">
        <f t="shared" si="11"/>
        <v>29.099999999999998</v>
      </c>
      <c r="AY73" s="12"/>
      <c r="AZ73" s="12">
        <f t="shared" si="14"/>
        <v>13.700000000000003</v>
      </c>
      <c r="BA73" s="12">
        <f t="shared" si="15"/>
        <v>52.800000000000004</v>
      </c>
      <c r="BB73" s="12"/>
      <c r="BC73" s="12">
        <f t="shared" si="16"/>
        <v>87.5</v>
      </c>
      <c r="BD73" s="12">
        <f t="shared" si="17"/>
        <v>0</v>
      </c>
      <c r="BE73" s="12">
        <f t="shared" si="18"/>
        <v>12.5</v>
      </c>
    </row>
    <row r="74" spans="1:57" ht="15.75" customHeight="1" x14ac:dyDescent="0.25">
      <c r="A74" s="1" t="s">
        <v>158</v>
      </c>
      <c r="B74" s="3" t="s">
        <v>119</v>
      </c>
      <c r="C74" s="4" t="s">
        <v>8</v>
      </c>
      <c r="D74" s="4">
        <v>7</v>
      </c>
      <c r="E74" s="4">
        <v>153</v>
      </c>
      <c r="F74" s="4">
        <v>7</v>
      </c>
      <c r="G74" s="4">
        <v>153</v>
      </c>
      <c r="H74" s="4">
        <v>0.64600000000000002</v>
      </c>
      <c r="I74" s="4">
        <v>10.1</v>
      </c>
      <c r="J74" s="4">
        <v>0</v>
      </c>
      <c r="K74" s="4">
        <v>0.80500000000000005</v>
      </c>
      <c r="L74" s="4">
        <v>0.36599999999999999</v>
      </c>
      <c r="M74" s="4">
        <v>0.22</v>
      </c>
      <c r="N74" s="4">
        <v>0.11</v>
      </c>
      <c r="O74" s="4">
        <v>0.11</v>
      </c>
      <c r="P74" s="4">
        <v>0.19500000000000001</v>
      </c>
      <c r="Q74" s="4">
        <v>0</v>
      </c>
      <c r="R74" s="4">
        <v>0.66700000000000004</v>
      </c>
      <c r="S74" s="4">
        <v>0.83299999999999996</v>
      </c>
      <c r="T74" s="4">
        <v>0.5</v>
      </c>
      <c r="U74" s="4">
        <v>0.66700000000000004</v>
      </c>
      <c r="V74" s="4">
        <v>0.44400000000000001</v>
      </c>
      <c r="W74" s="4">
        <v>0.56299999999999994</v>
      </c>
      <c r="X74" s="4">
        <v>0</v>
      </c>
      <c r="Y74" s="4">
        <v>0.25</v>
      </c>
      <c r="Z74" s="4">
        <v>0.66700000000000004</v>
      </c>
      <c r="AA74" s="4">
        <v>0</v>
      </c>
      <c r="AB74" s="4">
        <v>0.125</v>
      </c>
      <c r="AC74" s="4">
        <v>0.5</v>
      </c>
      <c r="AD74" s="10">
        <f t="shared" si="12"/>
        <v>0.33131500000000003</v>
      </c>
      <c r="AE74" s="9"/>
      <c r="AF74" s="9"/>
      <c r="AG74" s="12">
        <f t="shared" si="13"/>
        <v>47.199999999999996</v>
      </c>
      <c r="AH74" s="12">
        <f t="shared" si="13"/>
        <v>56.499999999999993</v>
      </c>
      <c r="AI74" s="12">
        <f t="shared" si="13"/>
        <v>96.2</v>
      </c>
      <c r="AJ74" s="12">
        <f t="shared" si="13"/>
        <v>23.599999999999998</v>
      </c>
      <c r="AK74" s="12"/>
      <c r="AL74" s="12">
        <f t="shared" si="8"/>
        <v>77.600000000000009</v>
      </c>
      <c r="AM74" s="12">
        <f t="shared" si="8"/>
        <v>80.7</v>
      </c>
      <c r="AN74" s="12">
        <f t="shared" si="8"/>
        <v>45.300000000000004</v>
      </c>
      <c r="AO74" s="12">
        <f t="shared" si="8"/>
        <v>71.399999999999991</v>
      </c>
      <c r="AP74" s="12">
        <f t="shared" si="9"/>
        <v>86.9</v>
      </c>
      <c r="AQ74" s="12">
        <f t="shared" si="9"/>
        <v>21.099999999999998</v>
      </c>
      <c r="AR74" s="12"/>
      <c r="AS74" s="12">
        <f t="shared" si="10"/>
        <v>85.7</v>
      </c>
      <c r="AT74" s="12">
        <f t="shared" si="10"/>
        <v>77.600000000000009</v>
      </c>
      <c r="AU74" s="12">
        <f t="shared" si="10"/>
        <v>59</v>
      </c>
      <c r="AV74" s="12">
        <f t="shared" si="10"/>
        <v>85</v>
      </c>
      <c r="AW74" s="12">
        <f t="shared" si="11"/>
        <v>75.099999999999994</v>
      </c>
      <c r="AX74" s="12">
        <f t="shared" si="11"/>
        <v>95</v>
      </c>
      <c r="AY74" s="12"/>
      <c r="AZ74" s="12">
        <f t="shared" si="14"/>
        <v>88.9</v>
      </c>
      <c r="BA74" s="12">
        <f t="shared" si="15"/>
        <v>78.3</v>
      </c>
      <c r="BB74" s="12"/>
      <c r="BC74" s="12">
        <f t="shared" si="16"/>
        <v>34.1</v>
      </c>
      <c r="BD74" s="12">
        <f t="shared" si="17"/>
        <v>70.8</v>
      </c>
      <c r="BE74" s="12">
        <f t="shared" si="18"/>
        <v>95.7</v>
      </c>
    </row>
    <row r="75" spans="1:57" ht="15.75" customHeight="1" x14ac:dyDescent="0.25">
      <c r="A75" s="1" t="s">
        <v>183</v>
      </c>
      <c r="B75" s="3" t="s">
        <v>116</v>
      </c>
      <c r="C75" s="4" t="s">
        <v>8</v>
      </c>
      <c r="D75" s="4">
        <v>8</v>
      </c>
      <c r="E75" s="4">
        <v>152</v>
      </c>
      <c r="F75" s="4">
        <v>8</v>
      </c>
      <c r="G75" s="4">
        <v>152</v>
      </c>
      <c r="H75" s="4">
        <v>0.35399999999999998</v>
      </c>
      <c r="I75" s="4">
        <v>14.3</v>
      </c>
      <c r="J75" s="4">
        <v>0</v>
      </c>
      <c r="K75" s="4">
        <v>0.60799999999999998</v>
      </c>
      <c r="L75" s="4">
        <v>0.16500000000000001</v>
      </c>
      <c r="M75" s="4">
        <v>0.316</v>
      </c>
      <c r="N75" s="4">
        <v>3.7999999999999999E-2</v>
      </c>
      <c r="O75" s="4">
        <v>8.8999999999999996E-2</v>
      </c>
      <c r="P75" s="4">
        <v>0.39200000000000002</v>
      </c>
      <c r="Q75" s="4">
        <v>0</v>
      </c>
      <c r="R75" s="4">
        <v>0.375</v>
      </c>
      <c r="S75" s="4">
        <v>0.46200000000000002</v>
      </c>
      <c r="T75" s="4">
        <v>0.4</v>
      </c>
      <c r="U75" s="4">
        <v>0.33300000000000002</v>
      </c>
      <c r="V75" s="4">
        <v>0.14299999999999999</v>
      </c>
      <c r="W75" s="4">
        <v>0.32300000000000001</v>
      </c>
      <c r="X75" s="4">
        <v>0</v>
      </c>
      <c r="Y75" s="4">
        <v>0.66700000000000004</v>
      </c>
      <c r="Z75" s="4">
        <v>0.9</v>
      </c>
      <c r="AA75" s="4">
        <v>0</v>
      </c>
      <c r="AB75" s="4">
        <v>0.22600000000000001</v>
      </c>
      <c r="AC75" s="4">
        <v>0.28599999999999998</v>
      </c>
      <c r="AD75" s="10">
        <f t="shared" si="12"/>
        <v>0.75833600000000001</v>
      </c>
      <c r="AE75" s="9"/>
      <c r="AF75" s="9"/>
      <c r="AG75" s="12">
        <f t="shared" si="13"/>
        <v>69.5</v>
      </c>
      <c r="AH75" s="12">
        <f t="shared" si="13"/>
        <v>55.900000000000006</v>
      </c>
      <c r="AI75" s="12">
        <f t="shared" si="13"/>
        <v>18.600000000000001</v>
      </c>
      <c r="AJ75" s="12">
        <f t="shared" si="13"/>
        <v>55.900000000000006</v>
      </c>
      <c r="AK75" s="12"/>
      <c r="AL75" s="12">
        <f t="shared" si="8"/>
        <v>48.4</v>
      </c>
      <c r="AM75" s="12">
        <f t="shared" si="8"/>
        <v>29.799999999999997</v>
      </c>
      <c r="AN75" s="12">
        <f t="shared" si="8"/>
        <v>75.7</v>
      </c>
      <c r="AO75" s="12">
        <f t="shared" si="8"/>
        <v>32.200000000000003</v>
      </c>
      <c r="AP75" s="12">
        <f t="shared" si="9"/>
        <v>79.5</v>
      </c>
      <c r="AQ75" s="12">
        <f t="shared" si="9"/>
        <v>51.5</v>
      </c>
      <c r="AR75" s="12"/>
      <c r="AS75" s="12">
        <f t="shared" si="10"/>
        <v>13.600000000000001</v>
      </c>
      <c r="AT75" s="12">
        <f t="shared" si="10"/>
        <v>20.399999999999999</v>
      </c>
      <c r="AU75" s="12">
        <f t="shared" si="10"/>
        <v>43.4</v>
      </c>
      <c r="AV75" s="12">
        <f t="shared" si="10"/>
        <v>53.400000000000006</v>
      </c>
      <c r="AW75" s="12">
        <f t="shared" si="11"/>
        <v>57.099999999999994</v>
      </c>
      <c r="AX75" s="12">
        <f t="shared" si="11"/>
        <v>46.5</v>
      </c>
      <c r="AY75" s="12"/>
      <c r="AZ75" s="12">
        <f t="shared" si="14"/>
        <v>42.900000000000006</v>
      </c>
      <c r="BA75" s="12">
        <f t="shared" si="15"/>
        <v>55.3</v>
      </c>
      <c r="BB75" s="12"/>
      <c r="BC75" s="12">
        <f t="shared" si="16"/>
        <v>57.099999999999994</v>
      </c>
      <c r="BD75" s="12">
        <f t="shared" si="17"/>
        <v>56.499999999999993</v>
      </c>
      <c r="BE75" s="12">
        <f t="shared" si="18"/>
        <v>41.7</v>
      </c>
    </row>
    <row r="76" spans="1:57" ht="15.75" customHeight="1" x14ac:dyDescent="0.25">
      <c r="A76" s="1" t="s">
        <v>184</v>
      </c>
      <c r="B76" s="3" t="s">
        <v>164</v>
      </c>
      <c r="C76" s="4" t="s">
        <v>87</v>
      </c>
      <c r="D76" s="4">
        <v>6</v>
      </c>
      <c r="E76" s="4">
        <v>150</v>
      </c>
      <c r="F76" s="4">
        <v>6</v>
      </c>
      <c r="G76" s="4">
        <v>150</v>
      </c>
      <c r="H76" s="4">
        <v>0.60899999999999999</v>
      </c>
      <c r="I76" s="4">
        <v>6.8</v>
      </c>
      <c r="J76" s="4">
        <v>0</v>
      </c>
      <c r="K76" s="4">
        <v>0.80400000000000005</v>
      </c>
      <c r="L76" s="4">
        <v>0.54300000000000004</v>
      </c>
      <c r="M76" s="4">
        <v>0.26100000000000001</v>
      </c>
      <c r="N76" s="4">
        <v>0</v>
      </c>
      <c r="O76" s="4">
        <v>0</v>
      </c>
      <c r="P76" s="4">
        <v>0.19600000000000001</v>
      </c>
      <c r="Q76" s="4">
        <v>0</v>
      </c>
      <c r="R76" s="4">
        <v>0.64900000000000002</v>
      </c>
      <c r="S76" s="4">
        <v>0.72</v>
      </c>
      <c r="T76" s="4">
        <v>0.5</v>
      </c>
      <c r="U76" s="4">
        <v>0</v>
      </c>
      <c r="V76" s="4">
        <v>0</v>
      </c>
      <c r="W76" s="4">
        <v>0.44400000000000001</v>
      </c>
      <c r="X76" s="4">
        <v>0</v>
      </c>
      <c r="Y76" s="4">
        <v>0.66700000000000004</v>
      </c>
      <c r="Z76" s="4">
        <v>1</v>
      </c>
      <c r="AA76" s="4">
        <v>0</v>
      </c>
      <c r="AB76" s="4">
        <v>0.55600000000000005</v>
      </c>
      <c r="AC76" s="4">
        <v>0.4</v>
      </c>
      <c r="AD76" s="10">
        <f t="shared" si="12"/>
        <v>0.73226800000000014</v>
      </c>
      <c r="AE76" s="9"/>
      <c r="AF76" s="9"/>
      <c r="AG76" s="12">
        <f t="shared" si="13"/>
        <v>25.4</v>
      </c>
      <c r="AH76" s="12">
        <f t="shared" si="13"/>
        <v>55.2</v>
      </c>
      <c r="AI76" s="12">
        <f t="shared" si="13"/>
        <v>92.5</v>
      </c>
      <c r="AJ76" s="12">
        <f t="shared" si="13"/>
        <v>13</v>
      </c>
      <c r="AK76" s="12"/>
      <c r="AL76" s="12">
        <f t="shared" si="8"/>
        <v>77</v>
      </c>
      <c r="AM76" s="12">
        <f t="shared" si="8"/>
        <v>92.5</v>
      </c>
      <c r="AN76" s="12">
        <f t="shared" si="8"/>
        <v>59.599999999999994</v>
      </c>
      <c r="AO76" s="12">
        <f t="shared" si="8"/>
        <v>0</v>
      </c>
      <c r="AP76" s="12">
        <f t="shared" si="9"/>
        <v>0</v>
      </c>
      <c r="AQ76" s="12">
        <f t="shared" si="9"/>
        <v>22.900000000000002</v>
      </c>
      <c r="AR76" s="12"/>
      <c r="AS76" s="12">
        <f t="shared" si="10"/>
        <v>82.6</v>
      </c>
      <c r="AT76" s="12">
        <f t="shared" si="10"/>
        <v>62.7</v>
      </c>
      <c r="AU76" s="12">
        <f t="shared" si="10"/>
        <v>59</v>
      </c>
      <c r="AV76" s="12">
        <f t="shared" si="10"/>
        <v>0</v>
      </c>
      <c r="AW76" s="12">
        <f t="shared" si="11"/>
        <v>0</v>
      </c>
      <c r="AX76" s="12">
        <f t="shared" si="11"/>
        <v>81.899999999999991</v>
      </c>
      <c r="AY76" s="12"/>
      <c r="AZ76" s="12">
        <f t="shared" si="14"/>
        <v>42.900000000000006</v>
      </c>
      <c r="BA76" s="12">
        <f t="shared" si="15"/>
        <v>52.800000000000004</v>
      </c>
      <c r="BB76" s="12"/>
      <c r="BC76" s="12">
        <f t="shared" si="16"/>
        <v>92.5</v>
      </c>
      <c r="BD76" s="12">
        <f t="shared" si="17"/>
        <v>66.400000000000006</v>
      </c>
      <c r="BE76" s="12">
        <f t="shared" si="18"/>
        <v>45.4</v>
      </c>
    </row>
    <row r="77" spans="1:57" ht="15.75" customHeight="1" x14ac:dyDescent="0.25">
      <c r="A77" s="1" t="s">
        <v>192</v>
      </c>
      <c r="B77" s="3" t="s">
        <v>95</v>
      </c>
      <c r="C77" s="4" t="s">
        <v>114</v>
      </c>
      <c r="D77" s="4">
        <v>8</v>
      </c>
      <c r="E77" s="4">
        <v>147</v>
      </c>
      <c r="F77" s="4">
        <v>8</v>
      </c>
      <c r="G77" s="4">
        <v>147</v>
      </c>
      <c r="H77" s="4">
        <v>0.41899999999999998</v>
      </c>
      <c r="I77" s="4">
        <v>17.399999999999999</v>
      </c>
      <c r="J77" s="4">
        <v>0</v>
      </c>
      <c r="K77" s="4">
        <v>0.48399999999999999</v>
      </c>
      <c r="L77" s="4">
        <v>6.5000000000000002E-2</v>
      </c>
      <c r="M77" s="4">
        <v>0.161</v>
      </c>
      <c r="N77" s="4">
        <v>0.129</v>
      </c>
      <c r="O77" s="4">
        <v>0.129</v>
      </c>
      <c r="P77" s="4">
        <v>0.51600000000000001</v>
      </c>
      <c r="Q77" s="4">
        <v>0</v>
      </c>
      <c r="R77" s="4">
        <v>0.46700000000000003</v>
      </c>
      <c r="S77" s="4">
        <v>0.5</v>
      </c>
      <c r="T77" s="4">
        <v>0.6</v>
      </c>
      <c r="U77" s="4">
        <v>0.5</v>
      </c>
      <c r="V77" s="4">
        <v>0.25</v>
      </c>
      <c r="W77" s="4">
        <v>0.375</v>
      </c>
      <c r="X77" s="4">
        <v>0</v>
      </c>
      <c r="Y77" s="4">
        <v>0.85699999999999998</v>
      </c>
      <c r="Z77" s="4">
        <v>1</v>
      </c>
      <c r="AA77" s="4">
        <v>0</v>
      </c>
      <c r="AB77" s="4">
        <v>0.5</v>
      </c>
      <c r="AC77" s="4">
        <v>0.5</v>
      </c>
      <c r="AD77" s="10">
        <f t="shared" si="12"/>
        <v>0.93078799999999995</v>
      </c>
      <c r="AE77" s="9"/>
      <c r="AF77" s="9"/>
      <c r="AG77" s="12">
        <f t="shared" si="13"/>
        <v>69.5</v>
      </c>
      <c r="AH77" s="12">
        <f t="shared" si="13"/>
        <v>54</v>
      </c>
      <c r="AI77" s="12">
        <f t="shared" si="13"/>
        <v>38.5</v>
      </c>
      <c r="AJ77" s="12">
        <f t="shared" si="13"/>
        <v>77.600000000000009</v>
      </c>
      <c r="AK77" s="12"/>
      <c r="AL77" s="12">
        <f t="shared" si="8"/>
        <v>26</v>
      </c>
      <c r="AM77" s="12">
        <f t="shared" si="8"/>
        <v>12.4</v>
      </c>
      <c r="AN77" s="12">
        <f t="shared" si="8"/>
        <v>29.099999999999998</v>
      </c>
      <c r="AO77" s="12">
        <f t="shared" si="8"/>
        <v>79.5</v>
      </c>
      <c r="AP77" s="12">
        <f t="shared" si="9"/>
        <v>91.3</v>
      </c>
      <c r="AQ77" s="12">
        <f t="shared" si="9"/>
        <v>73.900000000000006</v>
      </c>
      <c r="AR77" s="12"/>
      <c r="AS77" s="12">
        <f t="shared" si="10"/>
        <v>31.6</v>
      </c>
      <c r="AT77" s="12">
        <f t="shared" si="10"/>
        <v>22.900000000000002</v>
      </c>
      <c r="AU77" s="12">
        <f t="shared" si="10"/>
        <v>84.399999999999991</v>
      </c>
      <c r="AV77" s="12">
        <f t="shared" si="10"/>
        <v>72.599999999999994</v>
      </c>
      <c r="AW77" s="12">
        <f t="shared" si="11"/>
        <v>60.8</v>
      </c>
      <c r="AX77" s="12">
        <f t="shared" si="11"/>
        <v>63.9</v>
      </c>
      <c r="AY77" s="12"/>
      <c r="AZ77" s="12">
        <f t="shared" si="14"/>
        <v>17.400000000000006</v>
      </c>
      <c r="BA77" s="12">
        <f t="shared" si="15"/>
        <v>52.800000000000004</v>
      </c>
      <c r="BB77" s="12"/>
      <c r="BC77" s="12">
        <f t="shared" si="16"/>
        <v>87.5</v>
      </c>
      <c r="BD77" s="12">
        <f t="shared" si="17"/>
        <v>70.8</v>
      </c>
      <c r="BE77" s="12">
        <f t="shared" si="18"/>
        <v>11.200000000000003</v>
      </c>
    </row>
    <row r="78" spans="1:57" ht="15.75" customHeight="1" x14ac:dyDescent="0.25">
      <c r="A78" s="1" t="s">
        <v>177</v>
      </c>
      <c r="B78" s="3" t="s">
        <v>119</v>
      </c>
      <c r="C78" s="4" t="s">
        <v>87</v>
      </c>
      <c r="D78" s="4">
        <v>7</v>
      </c>
      <c r="E78" s="4">
        <v>147</v>
      </c>
      <c r="F78" s="4">
        <v>7</v>
      </c>
      <c r="G78" s="4">
        <v>147</v>
      </c>
      <c r="H78" s="4">
        <v>0.70499999999999996</v>
      </c>
      <c r="I78" s="4">
        <v>5.7</v>
      </c>
      <c r="J78" s="4">
        <v>0</v>
      </c>
      <c r="K78" s="4">
        <v>0.93200000000000005</v>
      </c>
      <c r="L78" s="4">
        <v>0.36399999999999999</v>
      </c>
      <c r="M78" s="4">
        <v>0.5</v>
      </c>
      <c r="N78" s="4">
        <v>4.4999999999999998E-2</v>
      </c>
      <c r="O78" s="4">
        <v>2.3E-2</v>
      </c>
      <c r="P78" s="4">
        <v>6.8000000000000005E-2</v>
      </c>
      <c r="Q78" s="4">
        <v>0</v>
      </c>
      <c r="R78" s="4">
        <v>0.73199999999999998</v>
      </c>
      <c r="S78" s="4">
        <v>0.93799999999999994</v>
      </c>
      <c r="T78" s="4">
        <v>0.63600000000000001</v>
      </c>
      <c r="U78" s="4">
        <v>0</v>
      </c>
      <c r="V78" s="4">
        <v>1</v>
      </c>
      <c r="W78" s="4">
        <v>0.33300000000000002</v>
      </c>
      <c r="X78" s="4">
        <v>0</v>
      </c>
      <c r="Y78" s="4">
        <v>0.6</v>
      </c>
      <c r="Z78" s="4">
        <v>1</v>
      </c>
      <c r="AA78" s="4">
        <v>0</v>
      </c>
      <c r="AB78" s="4">
        <v>0</v>
      </c>
      <c r="AC78" s="4">
        <v>0</v>
      </c>
      <c r="AD78" s="10">
        <f t="shared" si="12"/>
        <v>0.62719999999999998</v>
      </c>
      <c r="AE78" s="9"/>
      <c r="AF78" s="9"/>
      <c r="AG78" s="12">
        <f t="shared" si="13"/>
        <v>47.199999999999996</v>
      </c>
      <c r="AH78" s="12">
        <f t="shared" si="13"/>
        <v>54</v>
      </c>
      <c r="AI78" s="12">
        <f t="shared" si="13"/>
        <v>98.7</v>
      </c>
      <c r="AJ78" s="12">
        <f t="shared" si="13"/>
        <v>6.2</v>
      </c>
      <c r="AK78" s="12"/>
      <c r="AL78" s="12">
        <f t="shared" si="8"/>
        <v>90</v>
      </c>
      <c r="AM78" s="12">
        <f t="shared" si="8"/>
        <v>78.8</v>
      </c>
      <c r="AN78" s="12">
        <f t="shared" si="8"/>
        <v>95.6</v>
      </c>
      <c r="AO78" s="12">
        <f t="shared" si="8"/>
        <v>37.200000000000003</v>
      </c>
      <c r="AP78" s="12">
        <f t="shared" si="9"/>
        <v>34.699999999999996</v>
      </c>
      <c r="AQ78" s="12">
        <f t="shared" si="9"/>
        <v>9.3000000000000007</v>
      </c>
      <c r="AR78" s="12"/>
      <c r="AS78" s="12">
        <f t="shared" si="10"/>
        <v>92.5</v>
      </c>
      <c r="AT78" s="12">
        <f t="shared" si="10"/>
        <v>86.9</v>
      </c>
      <c r="AU78" s="12">
        <f t="shared" si="10"/>
        <v>90.600000000000009</v>
      </c>
      <c r="AV78" s="12">
        <f t="shared" si="10"/>
        <v>0</v>
      </c>
      <c r="AW78" s="12">
        <f t="shared" si="11"/>
        <v>91.3</v>
      </c>
      <c r="AX78" s="12">
        <f t="shared" si="11"/>
        <v>49</v>
      </c>
      <c r="AY78" s="12"/>
      <c r="AZ78" s="12">
        <f t="shared" si="14"/>
        <v>52.2</v>
      </c>
      <c r="BA78" s="12">
        <f t="shared" si="15"/>
        <v>52.800000000000004</v>
      </c>
      <c r="BB78" s="12"/>
      <c r="BC78" s="12">
        <f t="shared" si="16"/>
        <v>0</v>
      </c>
      <c r="BD78" s="12">
        <f t="shared" si="17"/>
        <v>0</v>
      </c>
      <c r="BE78" s="12">
        <f t="shared" si="18"/>
        <v>64</v>
      </c>
    </row>
    <row r="79" spans="1:57" ht="15.75" customHeight="1" x14ac:dyDescent="0.25">
      <c r="A79" s="1" t="s">
        <v>135</v>
      </c>
      <c r="B79" s="3" t="s">
        <v>101</v>
      </c>
      <c r="C79" s="4" t="s">
        <v>8</v>
      </c>
      <c r="D79" s="4">
        <v>8</v>
      </c>
      <c r="E79" s="4">
        <v>145</v>
      </c>
      <c r="F79" s="4">
        <v>8</v>
      </c>
      <c r="G79" s="4">
        <v>145</v>
      </c>
      <c r="H79" s="4">
        <v>0.52400000000000002</v>
      </c>
      <c r="I79" s="4">
        <v>11.1</v>
      </c>
      <c r="J79" s="4">
        <v>0</v>
      </c>
      <c r="K79" s="4">
        <v>0.71399999999999997</v>
      </c>
      <c r="L79" s="4">
        <v>0.28599999999999998</v>
      </c>
      <c r="M79" s="4">
        <v>0.28599999999999998</v>
      </c>
      <c r="N79" s="4">
        <v>0.11899999999999999</v>
      </c>
      <c r="O79" s="4">
        <v>2.4E-2</v>
      </c>
      <c r="P79" s="4">
        <v>0.28599999999999998</v>
      </c>
      <c r="Q79" s="4">
        <v>0</v>
      </c>
      <c r="R79" s="4">
        <v>0.56699999999999995</v>
      </c>
      <c r="S79" s="4">
        <v>0.66700000000000004</v>
      </c>
      <c r="T79" s="4">
        <v>0.58299999999999996</v>
      </c>
      <c r="U79" s="4">
        <v>0.2</v>
      </c>
      <c r="V79" s="4">
        <v>1</v>
      </c>
      <c r="W79" s="4">
        <v>0.41699999999999998</v>
      </c>
      <c r="X79" s="4">
        <v>0</v>
      </c>
      <c r="Y79" s="4">
        <v>0.47099999999999997</v>
      </c>
      <c r="Z79" s="4">
        <v>1</v>
      </c>
      <c r="AA79" s="4">
        <v>0</v>
      </c>
      <c r="AB79" s="4">
        <v>0.16700000000000001</v>
      </c>
      <c r="AC79" s="4">
        <v>0.5</v>
      </c>
      <c r="AD79" s="10">
        <f t="shared" si="12"/>
        <v>0.6222939999999999</v>
      </c>
      <c r="AE79" s="9"/>
      <c r="AF79" s="9"/>
      <c r="AG79" s="12">
        <f t="shared" si="13"/>
        <v>69.5</v>
      </c>
      <c r="AH79" s="12">
        <f t="shared" si="13"/>
        <v>53.400000000000006</v>
      </c>
      <c r="AI79" s="12">
        <f t="shared" si="13"/>
        <v>76.3</v>
      </c>
      <c r="AJ79" s="12">
        <f t="shared" si="13"/>
        <v>31.6</v>
      </c>
      <c r="AK79" s="12"/>
      <c r="AL79" s="12">
        <f t="shared" si="8"/>
        <v>68.300000000000011</v>
      </c>
      <c r="AM79" s="12">
        <f t="shared" si="8"/>
        <v>63.9</v>
      </c>
      <c r="AN79" s="12">
        <f t="shared" si="8"/>
        <v>64.5</v>
      </c>
      <c r="AO79" s="12">
        <f t="shared" si="8"/>
        <v>75.099999999999994</v>
      </c>
      <c r="AP79" s="12">
        <f t="shared" si="9"/>
        <v>36.6</v>
      </c>
      <c r="AQ79" s="12">
        <f t="shared" si="9"/>
        <v>31</v>
      </c>
      <c r="AR79" s="12"/>
      <c r="AS79" s="12">
        <f t="shared" si="10"/>
        <v>68.300000000000011</v>
      </c>
      <c r="AT79" s="12">
        <f t="shared" si="10"/>
        <v>51.5</v>
      </c>
      <c r="AU79" s="12">
        <f t="shared" si="10"/>
        <v>81.899999999999991</v>
      </c>
      <c r="AV79" s="12">
        <f t="shared" si="10"/>
        <v>48.4</v>
      </c>
      <c r="AW79" s="12">
        <f t="shared" si="11"/>
        <v>91.3</v>
      </c>
      <c r="AX79" s="12">
        <f t="shared" si="11"/>
        <v>75.099999999999994</v>
      </c>
      <c r="AY79" s="12"/>
      <c r="AZ79" s="12">
        <f t="shared" si="14"/>
        <v>72.7</v>
      </c>
      <c r="BA79" s="12">
        <f t="shared" si="15"/>
        <v>52.800000000000004</v>
      </c>
      <c r="BB79" s="12"/>
      <c r="BC79" s="12">
        <f t="shared" si="16"/>
        <v>47.199999999999996</v>
      </c>
      <c r="BD79" s="12">
        <f t="shared" si="17"/>
        <v>70.8</v>
      </c>
      <c r="BE79" s="12">
        <f t="shared" si="18"/>
        <v>65.900000000000006</v>
      </c>
    </row>
    <row r="80" spans="1:57" ht="15.75" customHeight="1" x14ac:dyDescent="0.25">
      <c r="A80" s="1" t="s">
        <v>186</v>
      </c>
      <c r="B80" s="4" t="s">
        <v>160</v>
      </c>
      <c r="C80" s="4" t="s">
        <v>187</v>
      </c>
      <c r="D80" s="4">
        <v>6</v>
      </c>
      <c r="E80" s="4">
        <v>143</v>
      </c>
      <c r="F80" s="4">
        <v>6</v>
      </c>
      <c r="G80" s="4">
        <v>143</v>
      </c>
      <c r="H80" s="4">
        <v>0.51600000000000001</v>
      </c>
      <c r="I80" s="4">
        <v>11</v>
      </c>
      <c r="J80" s="4">
        <v>0</v>
      </c>
      <c r="K80" s="4">
        <v>0.74199999999999999</v>
      </c>
      <c r="L80" s="4">
        <v>0.25800000000000001</v>
      </c>
      <c r="M80" s="4">
        <v>0.32300000000000001</v>
      </c>
      <c r="N80" s="4">
        <v>0.113</v>
      </c>
      <c r="O80" s="4">
        <v>4.8000000000000001E-2</v>
      </c>
      <c r="P80" s="4">
        <v>0.25800000000000001</v>
      </c>
      <c r="Q80" s="4">
        <v>0</v>
      </c>
      <c r="R80" s="4">
        <v>0.56499999999999995</v>
      </c>
      <c r="S80" s="4">
        <v>0.68799999999999994</v>
      </c>
      <c r="T80" s="4">
        <v>0.55000000000000004</v>
      </c>
      <c r="U80" s="4">
        <v>0.42899999999999999</v>
      </c>
      <c r="V80" s="4">
        <v>0.33300000000000002</v>
      </c>
      <c r="W80" s="4">
        <v>0.375</v>
      </c>
      <c r="X80" s="4">
        <v>0</v>
      </c>
      <c r="Y80" s="4">
        <v>0.57699999999999996</v>
      </c>
      <c r="Z80" s="4">
        <v>1</v>
      </c>
      <c r="AA80" s="4">
        <v>0</v>
      </c>
      <c r="AB80" s="4">
        <v>6.3E-2</v>
      </c>
      <c r="AC80" s="4">
        <v>0</v>
      </c>
      <c r="AD80" s="10">
        <f t="shared" si="12"/>
        <v>0.68613400000000002</v>
      </c>
      <c r="AE80" s="9"/>
      <c r="AF80" s="9"/>
      <c r="AG80" s="12">
        <f t="shared" si="13"/>
        <v>25.4</v>
      </c>
      <c r="AH80" s="12">
        <f t="shared" si="13"/>
        <v>52.7</v>
      </c>
      <c r="AI80" s="12">
        <f t="shared" si="13"/>
        <v>73.2</v>
      </c>
      <c r="AJ80" s="12">
        <f t="shared" si="13"/>
        <v>31</v>
      </c>
      <c r="AK80" s="12"/>
      <c r="AL80" s="12">
        <f t="shared" si="8"/>
        <v>72.599999999999994</v>
      </c>
      <c r="AM80" s="12">
        <f t="shared" si="8"/>
        <v>58.3</v>
      </c>
      <c r="AN80" s="12">
        <f t="shared" si="8"/>
        <v>79.5</v>
      </c>
      <c r="AO80" s="12">
        <f t="shared" si="8"/>
        <v>72.599999999999994</v>
      </c>
      <c r="AP80" s="12">
        <f t="shared" si="9"/>
        <v>60.199999999999996</v>
      </c>
      <c r="AQ80" s="12">
        <f t="shared" si="9"/>
        <v>26.700000000000003</v>
      </c>
      <c r="AR80" s="12"/>
      <c r="AS80" s="12">
        <f t="shared" si="10"/>
        <v>67</v>
      </c>
      <c r="AT80" s="12">
        <f t="shared" si="10"/>
        <v>60.199999999999996</v>
      </c>
      <c r="AU80" s="12">
        <f t="shared" si="10"/>
        <v>76.3</v>
      </c>
      <c r="AV80" s="12">
        <f t="shared" si="10"/>
        <v>67</v>
      </c>
      <c r="AW80" s="12">
        <f t="shared" si="11"/>
        <v>65.8</v>
      </c>
      <c r="AX80" s="12">
        <f t="shared" si="11"/>
        <v>63.9</v>
      </c>
      <c r="AY80" s="12"/>
      <c r="AZ80" s="12">
        <f t="shared" si="14"/>
        <v>54.1</v>
      </c>
      <c r="BA80" s="12">
        <f t="shared" si="15"/>
        <v>52.800000000000004</v>
      </c>
      <c r="BB80" s="12"/>
      <c r="BC80" s="12">
        <f t="shared" si="16"/>
        <v>21.7</v>
      </c>
      <c r="BD80" s="12">
        <f t="shared" si="17"/>
        <v>0</v>
      </c>
      <c r="BE80" s="12">
        <f t="shared" si="18"/>
        <v>55.3</v>
      </c>
    </row>
    <row r="81" spans="1:57" ht="15.75" customHeight="1" x14ac:dyDescent="0.25">
      <c r="A81" s="1" t="s">
        <v>199</v>
      </c>
      <c r="B81" s="3" t="s">
        <v>142</v>
      </c>
      <c r="C81" s="4" t="s">
        <v>8</v>
      </c>
      <c r="D81" s="4">
        <v>6</v>
      </c>
      <c r="E81" s="4">
        <v>142</v>
      </c>
      <c r="F81" s="4">
        <v>6</v>
      </c>
      <c r="G81" s="4">
        <v>142</v>
      </c>
      <c r="H81" s="4">
        <v>0.316</v>
      </c>
      <c r="I81" s="4">
        <v>19</v>
      </c>
      <c r="J81" s="4">
        <v>0</v>
      </c>
      <c r="K81" s="4">
        <v>0.34200000000000003</v>
      </c>
      <c r="L81" s="4">
        <v>0.105</v>
      </c>
      <c r="M81" s="4">
        <v>0.105</v>
      </c>
      <c r="N81" s="4">
        <v>7.9000000000000001E-2</v>
      </c>
      <c r="O81" s="4">
        <v>5.2999999999999999E-2</v>
      </c>
      <c r="P81" s="4">
        <v>0.65800000000000003</v>
      </c>
      <c r="Q81" s="4">
        <v>0</v>
      </c>
      <c r="R81" s="4">
        <v>0.38500000000000001</v>
      </c>
      <c r="S81" s="4">
        <v>0.5</v>
      </c>
      <c r="T81" s="4">
        <v>0.25</v>
      </c>
      <c r="U81" s="4">
        <v>0.33300000000000002</v>
      </c>
      <c r="V81" s="4">
        <v>0.5</v>
      </c>
      <c r="W81" s="4">
        <v>0.28000000000000003</v>
      </c>
      <c r="X81" s="4">
        <v>0</v>
      </c>
      <c r="Y81" s="4">
        <v>0.2</v>
      </c>
      <c r="Z81" s="4">
        <v>0.57099999999999995</v>
      </c>
      <c r="AA81" s="4">
        <v>0</v>
      </c>
      <c r="AB81" s="4">
        <v>0.2</v>
      </c>
      <c r="AC81" s="4">
        <v>0.6</v>
      </c>
      <c r="AD81" s="10">
        <f t="shared" si="12"/>
        <v>0.44411800000000001</v>
      </c>
      <c r="AE81" s="9"/>
      <c r="AF81" s="9"/>
      <c r="AG81" s="12">
        <f t="shared" si="13"/>
        <v>25.4</v>
      </c>
      <c r="AH81" s="12">
        <f t="shared" si="13"/>
        <v>52.1</v>
      </c>
      <c r="AI81" s="12">
        <f t="shared" si="13"/>
        <v>10.5</v>
      </c>
      <c r="AJ81" s="12">
        <f t="shared" si="13"/>
        <v>87.5</v>
      </c>
      <c r="AK81" s="12"/>
      <c r="AL81" s="12">
        <f t="shared" si="8"/>
        <v>10.5</v>
      </c>
      <c r="AM81" s="12">
        <f t="shared" si="8"/>
        <v>17.299999999999997</v>
      </c>
      <c r="AN81" s="12">
        <f t="shared" si="8"/>
        <v>18</v>
      </c>
      <c r="AO81" s="12">
        <f t="shared" si="8"/>
        <v>62.7</v>
      </c>
      <c r="AP81" s="12">
        <f t="shared" si="9"/>
        <v>62.7</v>
      </c>
      <c r="AQ81" s="12">
        <f t="shared" si="9"/>
        <v>89.4</v>
      </c>
      <c r="AR81" s="12"/>
      <c r="AS81" s="12">
        <f t="shared" si="10"/>
        <v>15.5</v>
      </c>
      <c r="AT81" s="12">
        <f t="shared" si="10"/>
        <v>22.900000000000002</v>
      </c>
      <c r="AU81" s="12">
        <f t="shared" si="10"/>
        <v>19.8</v>
      </c>
      <c r="AV81" s="12">
        <f t="shared" si="10"/>
        <v>53.400000000000006</v>
      </c>
      <c r="AW81" s="12">
        <f t="shared" si="11"/>
        <v>75.7</v>
      </c>
      <c r="AX81" s="12">
        <f t="shared" si="11"/>
        <v>38.5</v>
      </c>
      <c r="AY81" s="12"/>
      <c r="AZ81" s="12">
        <f t="shared" si="14"/>
        <v>89.5</v>
      </c>
      <c r="BA81" s="12">
        <f t="shared" si="15"/>
        <v>78.900000000000006</v>
      </c>
      <c r="BB81" s="12"/>
      <c r="BC81" s="12">
        <f t="shared" si="16"/>
        <v>50.3</v>
      </c>
      <c r="BD81" s="12">
        <f t="shared" si="17"/>
        <v>81.3</v>
      </c>
      <c r="BE81" s="12">
        <f t="shared" si="18"/>
        <v>92</v>
      </c>
    </row>
    <row r="82" spans="1:57" ht="15.75" customHeight="1" x14ac:dyDescent="0.25">
      <c r="A82" s="1" t="s">
        <v>221</v>
      </c>
      <c r="B82" s="3" t="s">
        <v>160</v>
      </c>
      <c r="C82" s="4" t="s">
        <v>8</v>
      </c>
      <c r="D82" s="4">
        <v>7</v>
      </c>
      <c r="E82" s="4">
        <v>141</v>
      </c>
      <c r="F82" s="4">
        <v>7</v>
      </c>
      <c r="G82" s="4">
        <v>141</v>
      </c>
      <c r="H82" s="4">
        <v>0.42399999999999999</v>
      </c>
      <c r="I82" s="4">
        <v>18</v>
      </c>
      <c r="J82" s="4">
        <v>0</v>
      </c>
      <c r="K82" s="4">
        <v>0.42399999999999999</v>
      </c>
      <c r="L82" s="4">
        <v>0.03</v>
      </c>
      <c r="M82" s="4">
        <v>0.21199999999999999</v>
      </c>
      <c r="N82" s="4">
        <v>0.152</v>
      </c>
      <c r="O82" s="4">
        <v>0.03</v>
      </c>
      <c r="P82" s="4">
        <v>0.57599999999999996</v>
      </c>
      <c r="Q82" s="4">
        <v>0</v>
      </c>
      <c r="R82" s="4">
        <v>0.35699999999999998</v>
      </c>
      <c r="S82" s="4">
        <v>1</v>
      </c>
      <c r="T82" s="4">
        <v>0.28599999999999998</v>
      </c>
      <c r="U82" s="4">
        <v>0.2</v>
      </c>
      <c r="V82" s="4">
        <v>1</v>
      </c>
      <c r="W82" s="4">
        <v>0.47399999999999998</v>
      </c>
      <c r="X82" s="4">
        <v>0</v>
      </c>
      <c r="Y82" s="4">
        <v>0.8</v>
      </c>
      <c r="Z82" s="4">
        <v>1</v>
      </c>
      <c r="AA82" s="4">
        <v>0</v>
      </c>
      <c r="AB82" s="4">
        <v>0.47399999999999998</v>
      </c>
      <c r="AC82" s="4">
        <v>0.66700000000000004</v>
      </c>
      <c r="AD82" s="10">
        <f t="shared" si="12"/>
        <v>0.91520000000000001</v>
      </c>
      <c r="AE82" s="9"/>
      <c r="AF82" s="9"/>
      <c r="AG82" s="12">
        <f t="shared" si="13"/>
        <v>47.199999999999996</v>
      </c>
      <c r="AH82" s="12">
        <f t="shared" si="13"/>
        <v>51.5</v>
      </c>
      <c r="AI82" s="12">
        <f t="shared" si="13"/>
        <v>40.300000000000004</v>
      </c>
      <c r="AJ82" s="12">
        <f t="shared" si="13"/>
        <v>82.6</v>
      </c>
      <c r="AK82" s="12"/>
      <c r="AL82" s="12">
        <f t="shared" si="8"/>
        <v>19.2</v>
      </c>
      <c r="AM82" s="12">
        <f t="shared" si="8"/>
        <v>6.8000000000000007</v>
      </c>
      <c r="AN82" s="12">
        <f t="shared" si="8"/>
        <v>42.8</v>
      </c>
      <c r="AO82" s="12">
        <f t="shared" si="8"/>
        <v>85.7</v>
      </c>
      <c r="AP82" s="12">
        <f t="shared" si="9"/>
        <v>41.6</v>
      </c>
      <c r="AQ82" s="12">
        <f t="shared" si="9"/>
        <v>80.7</v>
      </c>
      <c r="AR82" s="12"/>
      <c r="AS82" s="12">
        <f t="shared" si="10"/>
        <v>10.5</v>
      </c>
      <c r="AT82" s="12">
        <f t="shared" si="10"/>
        <v>88.1</v>
      </c>
      <c r="AU82" s="12">
        <f t="shared" si="10"/>
        <v>26</v>
      </c>
      <c r="AV82" s="12">
        <f t="shared" si="10"/>
        <v>48.4</v>
      </c>
      <c r="AW82" s="12">
        <f t="shared" si="11"/>
        <v>91.3</v>
      </c>
      <c r="AX82" s="12">
        <f t="shared" si="11"/>
        <v>86.3</v>
      </c>
      <c r="AY82" s="12"/>
      <c r="AZ82" s="12">
        <f t="shared" si="14"/>
        <v>24.900000000000006</v>
      </c>
      <c r="BA82" s="12">
        <f t="shared" si="15"/>
        <v>52.800000000000004</v>
      </c>
      <c r="BB82" s="12"/>
      <c r="BC82" s="12">
        <f t="shared" si="16"/>
        <v>86.9</v>
      </c>
      <c r="BD82" s="12">
        <f t="shared" si="17"/>
        <v>85.7</v>
      </c>
      <c r="BE82" s="12">
        <f t="shared" si="18"/>
        <v>14.299999999999997</v>
      </c>
    </row>
    <row r="83" spans="1:57" ht="15.75" customHeight="1" x14ac:dyDescent="0.25">
      <c r="A83" s="1" t="s">
        <v>190</v>
      </c>
      <c r="B83" s="3" t="s">
        <v>116</v>
      </c>
      <c r="C83" s="4" t="s">
        <v>87</v>
      </c>
      <c r="D83" s="4">
        <v>8</v>
      </c>
      <c r="E83" s="4">
        <v>140</v>
      </c>
      <c r="F83" s="4">
        <v>8</v>
      </c>
      <c r="G83" s="4">
        <v>140</v>
      </c>
      <c r="H83" s="4">
        <v>0.27300000000000002</v>
      </c>
      <c r="I83" s="4">
        <v>13.6</v>
      </c>
      <c r="J83" s="4">
        <v>0</v>
      </c>
      <c r="K83" s="4">
        <v>0.66700000000000004</v>
      </c>
      <c r="L83" s="4">
        <v>0.03</v>
      </c>
      <c r="M83" s="4">
        <v>0.42399999999999999</v>
      </c>
      <c r="N83" s="4">
        <v>0.152</v>
      </c>
      <c r="O83" s="4">
        <v>6.0999999999999999E-2</v>
      </c>
      <c r="P83" s="4">
        <v>0.33300000000000002</v>
      </c>
      <c r="Q83" s="4">
        <v>0</v>
      </c>
      <c r="R83" s="4">
        <v>0.36399999999999999</v>
      </c>
      <c r="S83" s="4">
        <v>0</v>
      </c>
      <c r="T83" s="4">
        <v>0.35699999999999998</v>
      </c>
      <c r="U83" s="4">
        <v>0.4</v>
      </c>
      <c r="V83" s="4">
        <v>0.5</v>
      </c>
      <c r="W83" s="4">
        <v>9.0999999999999998E-2</v>
      </c>
      <c r="X83" s="4">
        <v>0</v>
      </c>
      <c r="Y83" s="4">
        <v>0.625</v>
      </c>
      <c r="Z83" s="4">
        <v>0</v>
      </c>
      <c r="AA83" s="4">
        <v>0</v>
      </c>
      <c r="AB83" s="4">
        <v>0.45500000000000002</v>
      </c>
      <c r="AC83" s="4">
        <v>0</v>
      </c>
      <c r="AD83" s="10">
        <f t="shared" si="12"/>
        <v>0.416875</v>
      </c>
      <c r="AE83" s="9"/>
      <c r="AF83" s="9"/>
      <c r="AG83" s="12">
        <f t="shared" si="13"/>
        <v>69.5</v>
      </c>
      <c r="AH83" s="12">
        <f t="shared" si="13"/>
        <v>50.9</v>
      </c>
      <c r="AI83" s="12">
        <f t="shared" si="13"/>
        <v>4.3</v>
      </c>
      <c r="AJ83" s="12">
        <f t="shared" si="13"/>
        <v>50.9</v>
      </c>
      <c r="AK83" s="12"/>
      <c r="AL83" s="12">
        <f t="shared" si="8"/>
        <v>61.4</v>
      </c>
      <c r="AM83" s="12">
        <f t="shared" si="8"/>
        <v>6.8000000000000007</v>
      </c>
      <c r="AN83" s="12">
        <f t="shared" si="8"/>
        <v>90.600000000000009</v>
      </c>
      <c r="AO83" s="12">
        <f t="shared" ref="AO83:AQ142" si="19">(PERCENTRANK(N$4:N$298,N83))*100</f>
        <v>85.7</v>
      </c>
      <c r="AP83" s="12">
        <f t="shared" si="9"/>
        <v>68.300000000000011</v>
      </c>
      <c r="AQ83" s="12">
        <f t="shared" si="9"/>
        <v>36.6</v>
      </c>
      <c r="AR83" s="12"/>
      <c r="AS83" s="12">
        <f t="shared" si="10"/>
        <v>12.4</v>
      </c>
      <c r="AT83" s="12">
        <f t="shared" si="10"/>
        <v>0</v>
      </c>
      <c r="AU83" s="12">
        <f t="shared" si="10"/>
        <v>37.200000000000003</v>
      </c>
      <c r="AV83" s="12">
        <f t="shared" ref="AV83:AX142" si="20">(PERCENTRANK(U$4:U$298,U83))*100</f>
        <v>63.3</v>
      </c>
      <c r="AW83" s="12">
        <f t="shared" si="11"/>
        <v>75.7</v>
      </c>
      <c r="AX83" s="12">
        <f t="shared" si="11"/>
        <v>16.100000000000001</v>
      </c>
      <c r="AY83" s="12"/>
      <c r="AZ83" s="12">
        <f t="shared" si="14"/>
        <v>46.599999999999994</v>
      </c>
      <c r="BA83" s="12">
        <f t="shared" si="15"/>
        <v>100</v>
      </c>
      <c r="BB83" s="12"/>
      <c r="BC83" s="12">
        <f t="shared" si="16"/>
        <v>85.7</v>
      </c>
      <c r="BD83" s="12">
        <f t="shared" si="17"/>
        <v>0</v>
      </c>
      <c r="BE83" s="12">
        <f t="shared" si="18"/>
        <v>93.2</v>
      </c>
    </row>
    <row r="84" spans="1:57" ht="15.75" customHeight="1" x14ac:dyDescent="0.25">
      <c r="A84" s="1" t="s">
        <v>178</v>
      </c>
      <c r="B84" s="3" t="s">
        <v>244</v>
      </c>
      <c r="C84" s="4" t="s">
        <v>8</v>
      </c>
      <c r="D84" s="4">
        <v>6</v>
      </c>
      <c r="E84" s="4">
        <v>135</v>
      </c>
      <c r="F84" s="4">
        <v>6</v>
      </c>
      <c r="G84" s="4">
        <v>135</v>
      </c>
      <c r="H84" s="4">
        <v>0.46</v>
      </c>
      <c r="I84" s="4">
        <v>11.2</v>
      </c>
      <c r="J84" s="4">
        <v>0</v>
      </c>
      <c r="K84" s="4">
        <v>0.82499999999999996</v>
      </c>
      <c r="L84" s="4">
        <v>0.222</v>
      </c>
      <c r="M84" s="4">
        <v>0.38100000000000001</v>
      </c>
      <c r="N84" s="4">
        <v>4.8000000000000001E-2</v>
      </c>
      <c r="O84" s="4">
        <v>0.17499999999999999</v>
      </c>
      <c r="P84" s="4">
        <v>0.17499999999999999</v>
      </c>
      <c r="Q84" s="4">
        <v>0</v>
      </c>
      <c r="R84" s="4">
        <v>0.48099999999999998</v>
      </c>
      <c r="S84" s="4">
        <v>0.64300000000000002</v>
      </c>
      <c r="T84" s="4">
        <v>0.5</v>
      </c>
      <c r="U84" s="4">
        <v>0.33300000000000002</v>
      </c>
      <c r="V84" s="4">
        <v>0.27300000000000002</v>
      </c>
      <c r="W84" s="4">
        <v>0.36399999999999999</v>
      </c>
      <c r="X84" s="4">
        <v>0</v>
      </c>
      <c r="Y84" s="4">
        <v>0.16</v>
      </c>
      <c r="Z84" s="4">
        <v>0.75</v>
      </c>
      <c r="AA84" s="4">
        <v>0</v>
      </c>
      <c r="AB84" s="4">
        <v>9.0999999999999998E-2</v>
      </c>
      <c r="AC84" s="4">
        <v>1</v>
      </c>
      <c r="AD84" s="10">
        <f t="shared" si="12"/>
        <v>0.26324999999999998</v>
      </c>
      <c r="AE84" s="9"/>
      <c r="AF84" s="9"/>
      <c r="AG84" s="12">
        <f t="shared" si="13"/>
        <v>25.4</v>
      </c>
      <c r="AH84" s="12">
        <f t="shared" si="13"/>
        <v>50.3</v>
      </c>
      <c r="AI84" s="12">
        <f t="shared" si="13"/>
        <v>52.1</v>
      </c>
      <c r="AJ84" s="12">
        <f t="shared" si="13"/>
        <v>32.200000000000003</v>
      </c>
      <c r="AK84" s="12"/>
      <c r="AL84" s="12">
        <f t="shared" ref="AL84:AN142" si="21">(PERCENTRANK(K$4:K$298,K84))*100</f>
        <v>80.7</v>
      </c>
      <c r="AM84" s="12">
        <f t="shared" si="21"/>
        <v>50.9</v>
      </c>
      <c r="AN84" s="12">
        <f t="shared" si="21"/>
        <v>86.3</v>
      </c>
      <c r="AO84" s="12">
        <f t="shared" si="19"/>
        <v>39.700000000000003</v>
      </c>
      <c r="AP84" s="12">
        <f t="shared" si="19"/>
        <v>96.2</v>
      </c>
      <c r="AQ84" s="12">
        <f t="shared" si="19"/>
        <v>18.600000000000001</v>
      </c>
      <c r="AR84" s="12"/>
      <c r="AS84" s="12">
        <f t="shared" ref="AS84:AU142" si="22">(PERCENTRANK(R$4:R$298,R84))*100</f>
        <v>37.799999999999997</v>
      </c>
      <c r="AT84" s="12">
        <f t="shared" si="22"/>
        <v>50.3</v>
      </c>
      <c r="AU84" s="12">
        <f t="shared" si="22"/>
        <v>59</v>
      </c>
      <c r="AV84" s="12">
        <f t="shared" si="20"/>
        <v>53.400000000000006</v>
      </c>
      <c r="AW84" s="12">
        <f t="shared" si="20"/>
        <v>64.5</v>
      </c>
      <c r="AX84" s="12">
        <f t="shared" si="20"/>
        <v>62.1</v>
      </c>
      <c r="AY84" s="12"/>
      <c r="AZ84" s="12">
        <f t="shared" si="14"/>
        <v>90.7</v>
      </c>
      <c r="BA84" s="12">
        <f t="shared" si="15"/>
        <v>74</v>
      </c>
      <c r="BB84" s="12"/>
      <c r="BC84" s="12">
        <f t="shared" si="16"/>
        <v>26</v>
      </c>
      <c r="BD84" s="12">
        <f t="shared" si="17"/>
        <v>92.5</v>
      </c>
      <c r="BE84" s="12">
        <f t="shared" si="18"/>
        <v>96.9</v>
      </c>
    </row>
    <row r="85" spans="1:57" ht="15.75" customHeight="1" x14ac:dyDescent="0.25">
      <c r="A85" s="1" t="s">
        <v>224</v>
      </c>
      <c r="B85" s="3" t="s">
        <v>160</v>
      </c>
      <c r="C85" s="4" t="s">
        <v>87</v>
      </c>
      <c r="D85" s="4">
        <v>6</v>
      </c>
      <c r="E85" s="4">
        <v>133</v>
      </c>
      <c r="F85" s="4">
        <v>6</v>
      </c>
      <c r="G85" s="4">
        <v>133</v>
      </c>
      <c r="H85" s="4">
        <v>0.38700000000000001</v>
      </c>
      <c r="I85" s="4">
        <v>7.5</v>
      </c>
      <c r="J85" s="4">
        <v>0</v>
      </c>
      <c r="K85" s="4">
        <v>0.80600000000000005</v>
      </c>
      <c r="L85" s="4">
        <v>0.51600000000000001</v>
      </c>
      <c r="M85" s="4">
        <v>0.22600000000000001</v>
      </c>
      <c r="N85" s="4">
        <v>3.2000000000000001E-2</v>
      </c>
      <c r="O85" s="4">
        <v>3.2000000000000001E-2</v>
      </c>
      <c r="P85" s="4">
        <v>0.19400000000000001</v>
      </c>
      <c r="Q85" s="4">
        <v>0</v>
      </c>
      <c r="R85" s="4">
        <v>0.4</v>
      </c>
      <c r="S85" s="4">
        <v>0.313</v>
      </c>
      <c r="T85" s="4">
        <v>0.57099999999999995</v>
      </c>
      <c r="U85" s="4">
        <v>0</v>
      </c>
      <c r="V85" s="4">
        <v>1</v>
      </c>
      <c r="W85" s="4">
        <v>0.33300000000000002</v>
      </c>
      <c r="X85" s="4">
        <v>0</v>
      </c>
      <c r="Y85" s="4">
        <v>0.5</v>
      </c>
      <c r="Z85" s="4">
        <v>0.5</v>
      </c>
      <c r="AA85" s="4">
        <v>0</v>
      </c>
      <c r="AB85" s="4">
        <v>0.66700000000000004</v>
      </c>
      <c r="AC85" s="4">
        <v>0.5</v>
      </c>
      <c r="AD85" s="10">
        <f t="shared" si="12"/>
        <v>0.5</v>
      </c>
      <c r="AE85" s="9"/>
      <c r="AF85" s="9"/>
      <c r="AG85" s="12">
        <f t="shared" si="13"/>
        <v>25.4</v>
      </c>
      <c r="AH85" s="12">
        <f t="shared" si="13"/>
        <v>49.6</v>
      </c>
      <c r="AI85" s="12">
        <f t="shared" si="13"/>
        <v>26</v>
      </c>
      <c r="AJ85" s="12">
        <f t="shared" si="13"/>
        <v>16.100000000000001</v>
      </c>
      <c r="AK85" s="12"/>
      <c r="AL85" s="12">
        <f t="shared" si="21"/>
        <v>79.5</v>
      </c>
      <c r="AM85" s="12">
        <f t="shared" si="21"/>
        <v>90</v>
      </c>
      <c r="AN85" s="12">
        <f t="shared" si="21"/>
        <v>47.199999999999996</v>
      </c>
      <c r="AO85" s="12">
        <f t="shared" si="19"/>
        <v>29.799999999999997</v>
      </c>
      <c r="AP85" s="12">
        <f t="shared" si="19"/>
        <v>45.300000000000004</v>
      </c>
      <c r="AQ85" s="12">
        <f t="shared" si="19"/>
        <v>20.399999999999999</v>
      </c>
      <c r="AR85" s="12"/>
      <c r="AS85" s="12">
        <f t="shared" si="22"/>
        <v>18</v>
      </c>
      <c r="AT85" s="12">
        <f t="shared" si="22"/>
        <v>11.1</v>
      </c>
      <c r="AU85" s="12">
        <f t="shared" si="22"/>
        <v>78.8</v>
      </c>
      <c r="AV85" s="12">
        <f t="shared" si="20"/>
        <v>0</v>
      </c>
      <c r="AW85" s="12">
        <f t="shared" si="20"/>
        <v>91.3</v>
      </c>
      <c r="AX85" s="12">
        <f t="shared" si="20"/>
        <v>49</v>
      </c>
      <c r="AY85" s="12"/>
      <c r="AZ85" s="12">
        <f t="shared" si="14"/>
        <v>70.900000000000006</v>
      </c>
      <c r="BA85" s="12">
        <f t="shared" si="15"/>
        <v>82</v>
      </c>
      <c r="BB85" s="12"/>
      <c r="BC85" s="12">
        <f t="shared" si="16"/>
        <v>95</v>
      </c>
      <c r="BD85" s="12">
        <f t="shared" si="17"/>
        <v>70.8</v>
      </c>
      <c r="BE85" s="12">
        <f t="shared" si="18"/>
        <v>85.1</v>
      </c>
    </row>
    <row r="86" spans="1:57" ht="15.75" customHeight="1" x14ac:dyDescent="0.25">
      <c r="A86" s="1" t="s">
        <v>167</v>
      </c>
      <c r="B86" s="3" t="s">
        <v>116</v>
      </c>
      <c r="C86" s="4" t="s">
        <v>8</v>
      </c>
      <c r="D86" s="4">
        <v>8</v>
      </c>
      <c r="E86" s="4">
        <v>130</v>
      </c>
      <c r="F86" s="4">
        <v>8</v>
      </c>
      <c r="G86" s="4">
        <v>130</v>
      </c>
      <c r="H86" s="4">
        <v>0.5</v>
      </c>
      <c r="I86" s="4">
        <v>20.2</v>
      </c>
      <c r="J86" s="4">
        <v>0</v>
      </c>
      <c r="K86" s="4">
        <v>0.25</v>
      </c>
      <c r="L86" s="4">
        <v>4.2000000000000003E-2</v>
      </c>
      <c r="M86" s="4">
        <v>0.16700000000000001</v>
      </c>
      <c r="N86" s="4">
        <v>0</v>
      </c>
      <c r="O86" s="4">
        <v>4.2000000000000003E-2</v>
      </c>
      <c r="P86" s="4">
        <v>0.75</v>
      </c>
      <c r="Q86" s="4">
        <v>0</v>
      </c>
      <c r="R86" s="4">
        <v>0.5</v>
      </c>
      <c r="S86" s="4">
        <v>1</v>
      </c>
      <c r="T86" s="4">
        <v>0.5</v>
      </c>
      <c r="U86" s="4">
        <v>0</v>
      </c>
      <c r="V86" s="4">
        <v>0</v>
      </c>
      <c r="W86" s="4">
        <v>0.5</v>
      </c>
      <c r="X86" s="4">
        <v>0</v>
      </c>
      <c r="Y86" s="4">
        <v>0.33300000000000002</v>
      </c>
      <c r="Z86" s="4">
        <v>1</v>
      </c>
      <c r="AA86" s="4">
        <v>0</v>
      </c>
      <c r="AB86" s="4">
        <v>0.111</v>
      </c>
      <c r="AC86" s="4">
        <v>0</v>
      </c>
      <c r="AD86" s="10">
        <f t="shared" si="12"/>
        <v>0.83325000000000005</v>
      </c>
      <c r="AE86" s="9"/>
      <c r="AF86" s="9"/>
      <c r="AG86" s="12">
        <f t="shared" si="13"/>
        <v>69.5</v>
      </c>
      <c r="AH86" s="12">
        <f t="shared" si="13"/>
        <v>49</v>
      </c>
      <c r="AI86" s="12">
        <f t="shared" si="13"/>
        <v>65.2</v>
      </c>
      <c r="AJ86" s="12">
        <f t="shared" si="13"/>
        <v>93.100000000000009</v>
      </c>
      <c r="AK86" s="12"/>
      <c r="AL86" s="12">
        <f t="shared" si="21"/>
        <v>5.5</v>
      </c>
      <c r="AM86" s="12">
        <f t="shared" si="21"/>
        <v>9.9</v>
      </c>
      <c r="AN86" s="12">
        <f t="shared" si="21"/>
        <v>30.4</v>
      </c>
      <c r="AO86" s="12">
        <f t="shared" si="19"/>
        <v>0</v>
      </c>
      <c r="AP86" s="12">
        <f t="shared" si="19"/>
        <v>56.499999999999993</v>
      </c>
      <c r="AQ86" s="12">
        <f t="shared" si="19"/>
        <v>93.7</v>
      </c>
      <c r="AR86" s="12"/>
      <c r="AS86" s="12">
        <f t="shared" si="22"/>
        <v>40.9</v>
      </c>
      <c r="AT86" s="12">
        <f t="shared" si="22"/>
        <v>88.1</v>
      </c>
      <c r="AU86" s="12">
        <f t="shared" si="22"/>
        <v>59</v>
      </c>
      <c r="AV86" s="12">
        <f t="shared" si="20"/>
        <v>0</v>
      </c>
      <c r="AW86" s="12">
        <f t="shared" si="20"/>
        <v>0</v>
      </c>
      <c r="AX86" s="12">
        <f t="shared" si="20"/>
        <v>87.5</v>
      </c>
      <c r="AY86" s="12"/>
      <c r="AZ86" s="12">
        <f t="shared" si="14"/>
        <v>82</v>
      </c>
      <c r="BA86" s="12">
        <f t="shared" si="15"/>
        <v>52.800000000000004</v>
      </c>
      <c r="BB86" s="12"/>
      <c r="BC86" s="12">
        <f t="shared" si="16"/>
        <v>29.799999999999997</v>
      </c>
      <c r="BD86" s="12">
        <f t="shared" si="17"/>
        <v>0</v>
      </c>
      <c r="BE86" s="12">
        <f t="shared" si="18"/>
        <v>28</v>
      </c>
    </row>
    <row r="87" spans="1:57" ht="15.75" customHeight="1" x14ac:dyDescent="0.25">
      <c r="A87" s="1" t="s">
        <v>193</v>
      </c>
      <c r="B87" s="3" t="s">
        <v>142</v>
      </c>
      <c r="C87" s="4" t="s">
        <v>8</v>
      </c>
      <c r="D87" s="4">
        <v>6</v>
      </c>
      <c r="E87" s="4">
        <v>129</v>
      </c>
      <c r="F87" s="4">
        <v>6</v>
      </c>
      <c r="G87" s="4">
        <v>129</v>
      </c>
      <c r="H87" s="4">
        <v>0.28599999999999998</v>
      </c>
      <c r="I87" s="4">
        <v>10.9</v>
      </c>
      <c r="J87" s="4">
        <v>0</v>
      </c>
      <c r="K87" s="4">
        <v>0.65700000000000003</v>
      </c>
      <c r="L87" s="4">
        <v>0.314</v>
      </c>
      <c r="M87" s="4">
        <v>0.314</v>
      </c>
      <c r="N87" s="4">
        <v>0</v>
      </c>
      <c r="O87" s="4">
        <v>2.9000000000000001E-2</v>
      </c>
      <c r="P87" s="4">
        <v>0.34300000000000003</v>
      </c>
      <c r="Q87" s="4">
        <v>0</v>
      </c>
      <c r="R87" s="4">
        <v>0.39100000000000001</v>
      </c>
      <c r="S87" s="4">
        <v>0.54500000000000004</v>
      </c>
      <c r="T87" s="4">
        <v>0.27300000000000002</v>
      </c>
      <c r="U87" s="4">
        <v>0</v>
      </c>
      <c r="V87" s="4">
        <v>0</v>
      </c>
      <c r="W87" s="4">
        <v>8.3000000000000004E-2</v>
      </c>
      <c r="X87" s="4">
        <v>0</v>
      </c>
      <c r="Y87" s="4">
        <v>0.55600000000000005</v>
      </c>
      <c r="Z87" s="4">
        <v>1</v>
      </c>
      <c r="AA87" s="4">
        <v>0</v>
      </c>
      <c r="AB87" s="4">
        <v>0.25</v>
      </c>
      <c r="AC87" s="4">
        <v>0</v>
      </c>
      <c r="AD87" s="10">
        <f t="shared" si="12"/>
        <v>0.70829200000000014</v>
      </c>
      <c r="AE87" s="9"/>
      <c r="AF87" s="9"/>
      <c r="AG87" s="12">
        <f t="shared" si="13"/>
        <v>25.4</v>
      </c>
      <c r="AH87" s="12">
        <f t="shared" si="13"/>
        <v>48.4</v>
      </c>
      <c r="AI87" s="12">
        <f t="shared" si="13"/>
        <v>5.5</v>
      </c>
      <c r="AJ87" s="12">
        <f t="shared" si="13"/>
        <v>29.799999999999997</v>
      </c>
      <c r="AK87" s="12"/>
      <c r="AL87" s="12">
        <f t="shared" si="21"/>
        <v>59</v>
      </c>
      <c r="AM87" s="12">
        <f t="shared" si="21"/>
        <v>68.899999999999991</v>
      </c>
      <c r="AN87" s="12">
        <f t="shared" si="21"/>
        <v>74.5</v>
      </c>
      <c r="AO87" s="12">
        <f t="shared" si="19"/>
        <v>0</v>
      </c>
      <c r="AP87" s="12">
        <f t="shared" si="19"/>
        <v>39.1</v>
      </c>
      <c r="AQ87" s="12">
        <f t="shared" si="19"/>
        <v>40.300000000000004</v>
      </c>
      <c r="AR87" s="12"/>
      <c r="AS87" s="12">
        <f t="shared" si="22"/>
        <v>16.7</v>
      </c>
      <c r="AT87" s="12">
        <f t="shared" si="22"/>
        <v>29.799999999999997</v>
      </c>
      <c r="AU87" s="12">
        <f t="shared" si="22"/>
        <v>24.2</v>
      </c>
      <c r="AV87" s="12">
        <f t="shared" si="20"/>
        <v>0</v>
      </c>
      <c r="AW87" s="12">
        <f t="shared" si="20"/>
        <v>0</v>
      </c>
      <c r="AX87" s="12">
        <f t="shared" si="20"/>
        <v>15.5</v>
      </c>
      <c r="AY87" s="12"/>
      <c r="AZ87" s="12">
        <f t="shared" si="14"/>
        <v>59.1</v>
      </c>
      <c r="BA87" s="12">
        <f t="shared" si="15"/>
        <v>52.800000000000004</v>
      </c>
      <c r="BB87" s="12"/>
      <c r="BC87" s="12">
        <f t="shared" si="16"/>
        <v>59</v>
      </c>
      <c r="BD87" s="12">
        <f t="shared" si="17"/>
        <v>0</v>
      </c>
      <c r="BE87" s="12">
        <f t="shared" si="18"/>
        <v>49.1</v>
      </c>
    </row>
    <row r="88" spans="1:57" ht="15.75" customHeight="1" x14ac:dyDescent="0.25">
      <c r="A88" s="1" t="s">
        <v>213</v>
      </c>
      <c r="B88" s="3" t="s">
        <v>160</v>
      </c>
      <c r="C88" s="4" t="s">
        <v>87</v>
      </c>
      <c r="D88" s="4">
        <v>7</v>
      </c>
      <c r="E88" s="4">
        <v>128</v>
      </c>
      <c r="F88" s="4">
        <v>7</v>
      </c>
      <c r="G88" s="4">
        <v>128</v>
      </c>
      <c r="H88" s="4">
        <v>0.5</v>
      </c>
      <c r="I88" s="4">
        <v>6</v>
      </c>
      <c r="J88" s="4">
        <v>0</v>
      </c>
      <c r="K88" s="4">
        <v>0.88500000000000001</v>
      </c>
      <c r="L88" s="4">
        <v>0.57699999999999996</v>
      </c>
      <c r="M88" s="4">
        <v>0.23100000000000001</v>
      </c>
      <c r="N88" s="4">
        <v>3.7999999999999999E-2</v>
      </c>
      <c r="O88" s="4">
        <v>3.7999999999999999E-2</v>
      </c>
      <c r="P88" s="4">
        <v>0.115</v>
      </c>
      <c r="Q88" s="4">
        <v>0</v>
      </c>
      <c r="R88" s="4">
        <v>0.56499999999999995</v>
      </c>
      <c r="S88" s="4">
        <v>0.66700000000000004</v>
      </c>
      <c r="T88" s="4">
        <v>0.5</v>
      </c>
      <c r="U88" s="4">
        <v>0</v>
      </c>
      <c r="V88" s="4">
        <v>0</v>
      </c>
      <c r="W88" s="4">
        <v>0</v>
      </c>
      <c r="X88" s="4">
        <v>0</v>
      </c>
      <c r="Y88" s="4">
        <v>0.53800000000000003</v>
      </c>
      <c r="Z88" s="4">
        <v>0</v>
      </c>
      <c r="AA88" s="4">
        <v>0</v>
      </c>
      <c r="AB88" s="4">
        <v>0.33300000000000002</v>
      </c>
      <c r="AC88" s="4">
        <v>0</v>
      </c>
      <c r="AD88" s="10">
        <f t="shared" si="12"/>
        <v>0.47613000000000005</v>
      </c>
      <c r="AE88" s="9"/>
      <c r="AF88" s="9"/>
      <c r="AG88" s="12">
        <f t="shared" si="13"/>
        <v>47.199999999999996</v>
      </c>
      <c r="AH88" s="12">
        <f t="shared" si="13"/>
        <v>47.8</v>
      </c>
      <c r="AI88" s="12">
        <f t="shared" si="13"/>
        <v>65.2</v>
      </c>
      <c r="AJ88" s="12">
        <f t="shared" si="13"/>
        <v>8</v>
      </c>
      <c r="AK88" s="12"/>
      <c r="AL88" s="12">
        <f t="shared" si="21"/>
        <v>86.9</v>
      </c>
      <c r="AM88" s="12">
        <f t="shared" si="21"/>
        <v>95.6</v>
      </c>
      <c r="AN88" s="12">
        <f t="shared" si="21"/>
        <v>49.6</v>
      </c>
      <c r="AO88" s="12">
        <f t="shared" si="19"/>
        <v>32.200000000000003</v>
      </c>
      <c r="AP88" s="12">
        <f t="shared" si="19"/>
        <v>52.7</v>
      </c>
      <c r="AQ88" s="12">
        <f t="shared" si="19"/>
        <v>13</v>
      </c>
      <c r="AR88" s="12"/>
      <c r="AS88" s="12">
        <f t="shared" si="22"/>
        <v>67</v>
      </c>
      <c r="AT88" s="12">
        <f t="shared" si="22"/>
        <v>51.5</v>
      </c>
      <c r="AU88" s="12">
        <f t="shared" si="22"/>
        <v>59</v>
      </c>
      <c r="AV88" s="12">
        <f t="shared" si="20"/>
        <v>0</v>
      </c>
      <c r="AW88" s="12">
        <f t="shared" si="20"/>
        <v>0</v>
      </c>
      <c r="AX88" s="12">
        <f t="shared" si="20"/>
        <v>0</v>
      </c>
      <c r="AY88" s="12"/>
      <c r="AZ88" s="12">
        <f t="shared" si="14"/>
        <v>60.9</v>
      </c>
      <c r="BA88" s="12">
        <f t="shared" si="15"/>
        <v>100</v>
      </c>
      <c r="BB88" s="12"/>
      <c r="BC88" s="12">
        <f t="shared" si="16"/>
        <v>73.2</v>
      </c>
      <c r="BD88" s="12">
        <f t="shared" si="17"/>
        <v>0</v>
      </c>
      <c r="BE88" s="12">
        <f t="shared" si="18"/>
        <v>88.9</v>
      </c>
    </row>
    <row r="89" spans="1:57" ht="15.75" customHeight="1" x14ac:dyDescent="0.25">
      <c r="A89" s="1" t="s">
        <v>204</v>
      </c>
      <c r="B89" s="3" t="s">
        <v>116</v>
      </c>
      <c r="C89" s="4" t="s">
        <v>87</v>
      </c>
      <c r="D89" s="4">
        <v>8</v>
      </c>
      <c r="E89" s="4">
        <v>127</v>
      </c>
      <c r="F89" s="4">
        <v>8</v>
      </c>
      <c r="G89" s="4">
        <v>127</v>
      </c>
      <c r="H89" s="4">
        <v>0.57699999999999996</v>
      </c>
      <c r="I89" s="4">
        <v>9.3000000000000007</v>
      </c>
      <c r="J89" s="4">
        <v>0</v>
      </c>
      <c r="K89" s="4">
        <v>0.76900000000000002</v>
      </c>
      <c r="L89" s="4">
        <v>0.154</v>
      </c>
      <c r="M89" s="4">
        <v>0.57699999999999996</v>
      </c>
      <c r="N89" s="4">
        <v>0</v>
      </c>
      <c r="O89" s="4">
        <v>3.7999999999999999E-2</v>
      </c>
      <c r="P89" s="4">
        <v>0.23100000000000001</v>
      </c>
      <c r="Q89" s="4">
        <v>0</v>
      </c>
      <c r="R89" s="4">
        <v>0.55000000000000004</v>
      </c>
      <c r="S89" s="4">
        <v>0.5</v>
      </c>
      <c r="T89" s="4">
        <v>0.6</v>
      </c>
      <c r="U89" s="4">
        <v>0</v>
      </c>
      <c r="V89" s="4">
        <v>0</v>
      </c>
      <c r="W89" s="4">
        <v>0.66700000000000004</v>
      </c>
      <c r="X89" s="4">
        <v>0</v>
      </c>
      <c r="Y89" s="4">
        <v>0.81799999999999995</v>
      </c>
      <c r="Z89" s="4">
        <v>1</v>
      </c>
      <c r="AA89" s="4">
        <v>0</v>
      </c>
      <c r="AB89" s="4">
        <v>0.33300000000000002</v>
      </c>
      <c r="AC89" s="4">
        <v>0.5</v>
      </c>
      <c r="AD89" s="10">
        <f t="shared" si="12"/>
        <v>0.86004199999999997</v>
      </c>
      <c r="AE89" s="9"/>
      <c r="AF89" s="9"/>
      <c r="AG89" s="12">
        <f t="shared" si="13"/>
        <v>69.5</v>
      </c>
      <c r="AH89" s="12">
        <f t="shared" si="13"/>
        <v>47.199999999999996</v>
      </c>
      <c r="AI89" s="12">
        <f t="shared" si="13"/>
        <v>87.5</v>
      </c>
      <c r="AJ89" s="12">
        <f t="shared" si="13"/>
        <v>19.8</v>
      </c>
      <c r="AK89" s="12"/>
      <c r="AL89" s="12">
        <f t="shared" si="21"/>
        <v>75.7</v>
      </c>
      <c r="AM89" s="12">
        <f t="shared" si="21"/>
        <v>27.900000000000002</v>
      </c>
      <c r="AN89" s="12">
        <f t="shared" si="21"/>
        <v>98.7</v>
      </c>
      <c r="AO89" s="12">
        <f t="shared" si="19"/>
        <v>0</v>
      </c>
      <c r="AP89" s="12">
        <f t="shared" si="19"/>
        <v>52.7</v>
      </c>
      <c r="AQ89" s="12">
        <f t="shared" si="19"/>
        <v>24.2</v>
      </c>
      <c r="AR89" s="12"/>
      <c r="AS89" s="12">
        <f t="shared" si="22"/>
        <v>63.3</v>
      </c>
      <c r="AT89" s="12">
        <f t="shared" si="22"/>
        <v>22.900000000000002</v>
      </c>
      <c r="AU89" s="12">
        <f t="shared" si="22"/>
        <v>84.399999999999991</v>
      </c>
      <c r="AV89" s="12">
        <f t="shared" si="20"/>
        <v>0</v>
      </c>
      <c r="AW89" s="12">
        <f t="shared" si="20"/>
        <v>0</v>
      </c>
      <c r="AX89" s="12">
        <f t="shared" si="20"/>
        <v>97.5</v>
      </c>
      <c r="AY89" s="12"/>
      <c r="AZ89" s="12">
        <f t="shared" si="14"/>
        <v>21.799999999999997</v>
      </c>
      <c r="BA89" s="12">
        <f t="shared" si="15"/>
        <v>52.800000000000004</v>
      </c>
      <c r="BB89" s="12"/>
      <c r="BC89" s="12">
        <f t="shared" si="16"/>
        <v>73.2</v>
      </c>
      <c r="BD89" s="12">
        <f t="shared" si="17"/>
        <v>70.8</v>
      </c>
      <c r="BE89" s="12">
        <f t="shared" si="18"/>
        <v>22.399999999999991</v>
      </c>
    </row>
    <row r="90" spans="1:57" ht="15.75" customHeight="1" x14ac:dyDescent="0.25">
      <c r="A90" s="1" t="s">
        <v>198</v>
      </c>
      <c r="B90" s="3" t="s">
        <v>244</v>
      </c>
      <c r="C90" s="4" t="s">
        <v>90</v>
      </c>
      <c r="D90" s="4">
        <v>8</v>
      </c>
      <c r="E90" s="4">
        <v>125</v>
      </c>
      <c r="F90" s="4">
        <v>8</v>
      </c>
      <c r="G90" s="4">
        <v>125</v>
      </c>
      <c r="H90" s="4">
        <v>0.622</v>
      </c>
      <c r="I90" s="4">
        <v>11.8</v>
      </c>
      <c r="J90" s="4">
        <v>0</v>
      </c>
      <c r="K90" s="4">
        <v>0.622</v>
      </c>
      <c r="L90" s="4">
        <v>0.28899999999999998</v>
      </c>
      <c r="M90" s="4">
        <v>0.311</v>
      </c>
      <c r="N90" s="4">
        <v>2.1999999999999999E-2</v>
      </c>
      <c r="O90" s="4">
        <v>0</v>
      </c>
      <c r="P90" s="4">
        <v>0.378</v>
      </c>
      <c r="Q90" s="4">
        <v>0</v>
      </c>
      <c r="R90" s="4">
        <v>0.78600000000000003</v>
      </c>
      <c r="S90" s="4">
        <v>1</v>
      </c>
      <c r="T90" s="4">
        <v>0.64300000000000002</v>
      </c>
      <c r="U90" s="4">
        <v>0</v>
      </c>
      <c r="V90" s="4">
        <v>0</v>
      </c>
      <c r="W90" s="4">
        <v>0.35299999999999998</v>
      </c>
      <c r="X90" s="4">
        <v>0</v>
      </c>
      <c r="Y90" s="4">
        <v>0.86399999999999999</v>
      </c>
      <c r="Z90" s="4">
        <v>1</v>
      </c>
      <c r="AA90" s="4">
        <v>0</v>
      </c>
      <c r="AB90" s="4">
        <v>0.17599999999999999</v>
      </c>
      <c r="AC90" s="4">
        <v>0.33300000000000002</v>
      </c>
      <c r="AD90" s="10">
        <f t="shared" si="12"/>
        <v>0.915408</v>
      </c>
      <c r="AE90" s="9"/>
      <c r="AF90" s="9"/>
      <c r="AG90" s="12">
        <f t="shared" si="13"/>
        <v>69.5</v>
      </c>
      <c r="AH90" s="12">
        <f t="shared" si="13"/>
        <v>46.5</v>
      </c>
      <c r="AI90" s="12">
        <f t="shared" si="13"/>
        <v>93.7</v>
      </c>
      <c r="AJ90" s="12">
        <f t="shared" si="13"/>
        <v>37.200000000000003</v>
      </c>
      <c r="AK90" s="12"/>
      <c r="AL90" s="12">
        <f t="shared" si="21"/>
        <v>51.5</v>
      </c>
      <c r="AM90" s="12">
        <f t="shared" si="21"/>
        <v>65.2</v>
      </c>
      <c r="AN90" s="12">
        <f t="shared" si="21"/>
        <v>73.900000000000006</v>
      </c>
      <c r="AO90" s="12">
        <f t="shared" si="19"/>
        <v>24.8</v>
      </c>
      <c r="AP90" s="12">
        <f t="shared" si="19"/>
        <v>0</v>
      </c>
      <c r="AQ90" s="12">
        <f t="shared" si="19"/>
        <v>47.8</v>
      </c>
      <c r="AR90" s="12"/>
      <c r="AS90" s="12">
        <f t="shared" si="22"/>
        <v>95.6</v>
      </c>
      <c r="AT90" s="12">
        <f t="shared" si="22"/>
        <v>88.1</v>
      </c>
      <c r="AU90" s="12">
        <f t="shared" si="22"/>
        <v>91.3</v>
      </c>
      <c r="AV90" s="12">
        <f t="shared" si="20"/>
        <v>0</v>
      </c>
      <c r="AW90" s="12">
        <f t="shared" si="20"/>
        <v>0</v>
      </c>
      <c r="AX90" s="12">
        <f t="shared" si="20"/>
        <v>59</v>
      </c>
      <c r="AY90" s="12"/>
      <c r="AZ90" s="12">
        <f t="shared" si="14"/>
        <v>15</v>
      </c>
      <c r="BA90" s="12">
        <f t="shared" si="15"/>
        <v>52.800000000000004</v>
      </c>
      <c r="BB90" s="12"/>
      <c r="BC90" s="12">
        <f t="shared" si="16"/>
        <v>48.4</v>
      </c>
      <c r="BD90" s="12">
        <f t="shared" si="17"/>
        <v>58.3</v>
      </c>
      <c r="BE90" s="12">
        <f t="shared" si="18"/>
        <v>13.700000000000003</v>
      </c>
    </row>
    <row r="91" spans="1:57" ht="15.75" customHeight="1" x14ac:dyDescent="0.25">
      <c r="A91" s="1" t="s">
        <v>136</v>
      </c>
      <c r="B91" s="3" t="s">
        <v>101</v>
      </c>
      <c r="C91" s="4" t="s">
        <v>87</v>
      </c>
      <c r="D91" s="4">
        <v>7</v>
      </c>
      <c r="E91" s="4">
        <v>122</v>
      </c>
      <c r="F91" s="4">
        <v>7</v>
      </c>
      <c r="G91" s="4">
        <v>122</v>
      </c>
      <c r="H91" s="4">
        <v>0.33300000000000002</v>
      </c>
      <c r="I91" s="4">
        <v>14.6</v>
      </c>
      <c r="J91" s="4">
        <v>0</v>
      </c>
      <c r="K91" s="4">
        <v>0.54500000000000004</v>
      </c>
      <c r="L91" s="4">
        <v>0.36399999999999999</v>
      </c>
      <c r="M91" s="4">
        <v>9.0999999999999998E-2</v>
      </c>
      <c r="N91" s="4">
        <v>6.0999999999999999E-2</v>
      </c>
      <c r="O91" s="4">
        <v>0.03</v>
      </c>
      <c r="P91" s="4">
        <v>0.45500000000000002</v>
      </c>
      <c r="Q91" s="4">
        <v>0</v>
      </c>
      <c r="R91" s="4">
        <v>0.5</v>
      </c>
      <c r="S91" s="4">
        <v>0.58299999999999996</v>
      </c>
      <c r="T91" s="4">
        <v>0.33300000000000002</v>
      </c>
      <c r="U91" s="4">
        <v>0.5</v>
      </c>
      <c r="V91" s="4">
        <v>0</v>
      </c>
      <c r="W91" s="4">
        <v>0.13300000000000001</v>
      </c>
      <c r="X91" s="4">
        <v>0</v>
      </c>
      <c r="Y91" s="4">
        <v>0.88900000000000001</v>
      </c>
      <c r="Z91" s="4">
        <v>1</v>
      </c>
      <c r="AA91" s="4">
        <v>0</v>
      </c>
      <c r="AB91" s="4">
        <v>6.7000000000000004E-2</v>
      </c>
      <c r="AC91" s="4">
        <v>0</v>
      </c>
      <c r="AD91" s="10">
        <f t="shared" si="12"/>
        <v>0.93950500000000003</v>
      </c>
      <c r="AE91" s="9"/>
      <c r="AF91" s="9"/>
      <c r="AG91" s="12">
        <f t="shared" si="13"/>
        <v>47.199999999999996</v>
      </c>
      <c r="AH91" s="12">
        <f t="shared" si="13"/>
        <v>45.9</v>
      </c>
      <c r="AI91" s="12">
        <f t="shared" si="13"/>
        <v>12.4</v>
      </c>
      <c r="AJ91" s="12">
        <f t="shared" si="13"/>
        <v>57.699999999999996</v>
      </c>
      <c r="AK91" s="12"/>
      <c r="AL91" s="12">
        <f t="shared" si="21"/>
        <v>36</v>
      </c>
      <c r="AM91" s="12">
        <f t="shared" si="21"/>
        <v>78.8</v>
      </c>
      <c r="AN91" s="12">
        <f t="shared" si="21"/>
        <v>14.2</v>
      </c>
      <c r="AO91" s="12">
        <f t="shared" si="19"/>
        <v>47.8</v>
      </c>
      <c r="AP91" s="12">
        <f t="shared" si="19"/>
        <v>41.6</v>
      </c>
      <c r="AQ91" s="12">
        <f t="shared" si="19"/>
        <v>63.9</v>
      </c>
      <c r="AR91" s="12"/>
      <c r="AS91" s="12">
        <f t="shared" si="22"/>
        <v>40.9</v>
      </c>
      <c r="AT91" s="12">
        <f t="shared" si="22"/>
        <v>39.1</v>
      </c>
      <c r="AU91" s="12">
        <f t="shared" si="22"/>
        <v>29.099999999999998</v>
      </c>
      <c r="AV91" s="12">
        <f t="shared" si="20"/>
        <v>72.599999999999994</v>
      </c>
      <c r="AW91" s="12">
        <f t="shared" si="20"/>
        <v>0</v>
      </c>
      <c r="AX91" s="12">
        <f t="shared" si="20"/>
        <v>18</v>
      </c>
      <c r="AY91" s="12"/>
      <c r="AZ91" s="12">
        <f t="shared" si="14"/>
        <v>13.700000000000003</v>
      </c>
      <c r="BA91" s="12">
        <f t="shared" si="15"/>
        <v>52.800000000000004</v>
      </c>
      <c r="BB91" s="12"/>
      <c r="BC91" s="12">
        <f t="shared" si="16"/>
        <v>22.900000000000002</v>
      </c>
      <c r="BD91" s="12">
        <f t="shared" si="17"/>
        <v>0</v>
      </c>
      <c r="BE91" s="12">
        <f t="shared" si="18"/>
        <v>10.599999999999994</v>
      </c>
    </row>
    <row r="92" spans="1:57" ht="15.75" customHeight="1" x14ac:dyDescent="0.25">
      <c r="A92" s="1" t="s">
        <v>219</v>
      </c>
      <c r="B92" s="3" t="s">
        <v>133</v>
      </c>
      <c r="C92" s="4" t="s">
        <v>187</v>
      </c>
      <c r="D92" s="4">
        <v>7</v>
      </c>
      <c r="E92" s="4">
        <v>119</v>
      </c>
      <c r="F92" s="4">
        <v>7</v>
      </c>
      <c r="G92" s="4">
        <v>119</v>
      </c>
      <c r="H92" s="4">
        <v>0.48299999999999998</v>
      </c>
      <c r="I92" s="4">
        <v>3.8</v>
      </c>
      <c r="J92" s="4">
        <v>0</v>
      </c>
      <c r="K92" s="4">
        <v>1</v>
      </c>
      <c r="L92" s="4">
        <v>0.44800000000000001</v>
      </c>
      <c r="M92" s="4">
        <v>0.51700000000000002</v>
      </c>
      <c r="N92" s="4">
        <v>3.4000000000000002E-2</v>
      </c>
      <c r="O92" s="4">
        <v>0</v>
      </c>
      <c r="P92" s="4">
        <v>0</v>
      </c>
      <c r="Q92" s="4">
        <v>0</v>
      </c>
      <c r="R92" s="4">
        <v>0.48299999999999998</v>
      </c>
      <c r="S92" s="4">
        <v>0.46200000000000002</v>
      </c>
      <c r="T92" s="4">
        <v>0.46700000000000003</v>
      </c>
      <c r="U92" s="4">
        <v>1</v>
      </c>
      <c r="V92" s="4">
        <v>0</v>
      </c>
      <c r="W92" s="4">
        <v>0</v>
      </c>
      <c r="X92" s="4">
        <v>0</v>
      </c>
      <c r="Y92" s="4">
        <v>0.85699999999999998</v>
      </c>
      <c r="Z92" s="4">
        <v>0</v>
      </c>
      <c r="AA92" s="4">
        <v>0</v>
      </c>
      <c r="AB92" s="4">
        <v>0</v>
      </c>
      <c r="AC92" s="4">
        <v>0</v>
      </c>
      <c r="AD92" s="10">
        <f t="shared" si="12"/>
        <v>0.85699999999999998</v>
      </c>
      <c r="AE92" s="9"/>
      <c r="AF92" s="9"/>
      <c r="AG92" s="12">
        <f t="shared" si="13"/>
        <v>47.199999999999996</v>
      </c>
      <c r="AH92" s="12">
        <f t="shared" si="13"/>
        <v>45.300000000000004</v>
      </c>
      <c r="AI92" s="12">
        <f t="shared" si="13"/>
        <v>62.1</v>
      </c>
      <c r="AJ92" s="12">
        <f t="shared" si="13"/>
        <v>1.7999999999999998</v>
      </c>
      <c r="AK92" s="12"/>
      <c r="AL92" s="12">
        <f t="shared" si="21"/>
        <v>95</v>
      </c>
      <c r="AM92" s="12">
        <f t="shared" si="21"/>
        <v>86.3</v>
      </c>
      <c r="AN92" s="12">
        <f t="shared" si="21"/>
        <v>97.5</v>
      </c>
      <c r="AO92" s="12">
        <f t="shared" si="19"/>
        <v>30.4</v>
      </c>
      <c r="AP92" s="12">
        <f t="shared" si="19"/>
        <v>0</v>
      </c>
      <c r="AQ92" s="12">
        <f t="shared" si="19"/>
        <v>0</v>
      </c>
      <c r="AR92" s="12"/>
      <c r="AS92" s="12">
        <f t="shared" si="22"/>
        <v>38.5</v>
      </c>
      <c r="AT92" s="12">
        <f t="shared" si="22"/>
        <v>20.399999999999999</v>
      </c>
      <c r="AU92" s="12">
        <f t="shared" si="22"/>
        <v>56.499999999999993</v>
      </c>
      <c r="AV92" s="12">
        <f t="shared" si="20"/>
        <v>91.9</v>
      </c>
      <c r="AW92" s="12">
        <f t="shared" si="20"/>
        <v>0</v>
      </c>
      <c r="AX92" s="12">
        <f t="shared" si="20"/>
        <v>0</v>
      </c>
      <c r="AY92" s="12"/>
      <c r="AZ92" s="12">
        <f t="shared" si="14"/>
        <v>17.400000000000006</v>
      </c>
      <c r="BA92" s="12">
        <f t="shared" si="15"/>
        <v>100</v>
      </c>
      <c r="BB92" s="12"/>
      <c r="BC92" s="12">
        <f t="shared" si="16"/>
        <v>0</v>
      </c>
      <c r="BD92" s="12">
        <f t="shared" si="17"/>
        <v>0</v>
      </c>
      <c r="BE92" s="12">
        <f t="shared" si="18"/>
        <v>23.700000000000003</v>
      </c>
    </row>
    <row r="93" spans="1:57" ht="15.75" customHeight="1" x14ac:dyDescent="0.25">
      <c r="A93" s="1" t="s">
        <v>132</v>
      </c>
      <c r="B93" s="3" t="s">
        <v>133</v>
      </c>
      <c r="C93" s="4" t="s">
        <v>87</v>
      </c>
      <c r="D93" s="4">
        <v>4</v>
      </c>
      <c r="E93" s="4">
        <v>118</v>
      </c>
      <c r="F93" s="4">
        <v>4</v>
      </c>
      <c r="G93" s="4">
        <v>118</v>
      </c>
      <c r="H93" s="4">
        <v>0.4</v>
      </c>
      <c r="I93" s="4">
        <v>14.1</v>
      </c>
      <c r="J93" s="4">
        <v>0</v>
      </c>
      <c r="K93" s="4">
        <v>0.65</v>
      </c>
      <c r="L93" s="4">
        <v>0.1</v>
      </c>
      <c r="M93" s="4">
        <v>0.28299999999999997</v>
      </c>
      <c r="N93" s="4">
        <v>0.16700000000000001</v>
      </c>
      <c r="O93" s="4">
        <v>0.1</v>
      </c>
      <c r="P93" s="4">
        <v>0.35</v>
      </c>
      <c r="Q93" s="4">
        <v>0</v>
      </c>
      <c r="R93" s="4">
        <v>0.46200000000000002</v>
      </c>
      <c r="S93" s="4">
        <v>0.66700000000000004</v>
      </c>
      <c r="T93" s="4">
        <v>0.41199999999999998</v>
      </c>
      <c r="U93" s="4">
        <v>0.5</v>
      </c>
      <c r="V93" s="4">
        <v>0.33300000000000002</v>
      </c>
      <c r="W93" s="4">
        <v>0.28599999999999998</v>
      </c>
      <c r="X93" s="4">
        <v>0</v>
      </c>
      <c r="Y93" s="4">
        <v>0.55600000000000005</v>
      </c>
      <c r="Z93" s="4">
        <v>0.83299999999999996</v>
      </c>
      <c r="AA93" s="4">
        <v>0</v>
      </c>
      <c r="AB93" s="4">
        <v>0.19</v>
      </c>
      <c r="AC93" s="4">
        <v>0.75</v>
      </c>
      <c r="AD93" s="10">
        <f t="shared" si="12"/>
        <v>0.65295000000000003</v>
      </c>
      <c r="AE93" s="9"/>
      <c r="AF93" s="9"/>
      <c r="AG93" s="12">
        <f t="shared" si="13"/>
        <v>10.5</v>
      </c>
      <c r="AH93" s="12">
        <f t="shared" si="13"/>
        <v>44.7</v>
      </c>
      <c r="AI93" s="12">
        <f t="shared" si="13"/>
        <v>28.499999999999996</v>
      </c>
      <c r="AJ93" s="12">
        <f t="shared" si="13"/>
        <v>54.6</v>
      </c>
      <c r="AK93" s="12"/>
      <c r="AL93" s="12">
        <f t="shared" si="21"/>
        <v>58.3</v>
      </c>
      <c r="AM93" s="12">
        <f t="shared" si="21"/>
        <v>16.100000000000001</v>
      </c>
      <c r="AN93" s="12">
        <f t="shared" si="21"/>
        <v>63.9</v>
      </c>
      <c r="AO93" s="12">
        <f t="shared" si="19"/>
        <v>88.1</v>
      </c>
      <c r="AP93" s="12">
        <f t="shared" si="19"/>
        <v>82.6</v>
      </c>
      <c r="AQ93" s="12">
        <f t="shared" si="19"/>
        <v>41.6</v>
      </c>
      <c r="AR93" s="12"/>
      <c r="AS93" s="12">
        <f t="shared" si="22"/>
        <v>30.4</v>
      </c>
      <c r="AT93" s="12">
        <f t="shared" si="22"/>
        <v>51.5</v>
      </c>
      <c r="AU93" s="12">
        <f t="shared" si="22"/>
        <v>47.8</v>
      </c>
      <c r="AV93" s="12">
        <f t="shared" si="20"/>
        <v>72.599999999999994</v>
      </c>
      <c r="AW93" s="12">
        <f t="shared" si="20"/>
        <v>65.8</v>
      </c>
      <c r="AX93" s="12">
        <f t="shared" si="20"/>
        <v>39.700000000000003</v>
      </c>
      <c r="AY93" s="12"/>
      <c r="AZ93" s="12">
        <f t="shared" si="14"/>
        <v>59.1</v>
      </c>
      <c r="BA93" s="12">
        <f t="shared" si="15"/>
        <v>65.900000000000006</v>
      </c>
      <c r="BB93" s="12"/>
      <c r="BC93" s="12">
        <f t="shared" si="16"/>
        <v>49.6</v>
      </c>
      <c r="BD93" s="12">
        <f t="shared" si="17"/>
        <v>89.4</v>
      </c>
      <c r="BE93" s="12">
        <f t="shared" si="18"/>
        <v>58.4</v>
      </c>
    </row>
    <row r="94" spans="1:57" ht="15.75" customHeight="1" x14ac:dyDescent="0.25">
      <c r="A94" s="1" t="s">
        <v>185</v>
      </c>
      <c r="B94" s="3" t="s">
        <v>119</v>
      </c>
      <c r="C94" s="4" t="s">
        <v>87</v>
      </c>
      <c r="D94" s="4">
        <v>7</v>
      </c>
      <c r="E94" s="4">
        <v>112</v>
      </c>
      <c r="F94" s="4">
        <v>7</v>
      </c>
      <c r="G94" s="4">
        <v>112</v>
      </c>
      <c r="H94" s="4">
        <v>0.52900000000000003</v>
      </c>
      <c r="I94" s="4">
        <v>12.1</v>
      </c>
      <c r="J94" s="4">
        <v>0</v>
      </c>
      <c r="K94" s="4">
        <v>0.64700000000000002</v>
      </c>
      <c r="L94" s="4">
        <v>0.29399999999999998</v>
      </c>
      <c r="M94" s="4">
        <v>0.29399999999999998</v>
      </c>
      <c r="N94" s="4">
        <v>0</v>
      </c>
      <c r="O94" s="4">
        <v>5.8999999999999997E-2</v>
      </c>
      <c r="P94" s="4">
        <v>0.35299999999999998</v>
      </c>
      <c r="Q94" s="4">
        <v>0</v>
      </c>
      <c r="R94" s="4">
        <v>0.81799999999999995</v>
      </c>
      <c r="S94" s="4">
        <v>0.8</v>
      </c>
      <c r="T94" s="4">
        <v>1</v>
      </c>
      <c r="U94" s="4">
        <v>0</v>
      </c>
      <c r="V94" s="4">
        <v>0</v>
      </c>
      <c r="W94" s="4">
        <v>0</v>
      </c>
      <c r="X94" s="4">
        <v>0</v>
      </c>
      <c r="Y94" s="4">
        <v>0.77800000000000002</v>
      </c>
      <c r="Z94" s="4">
        <v>0</v>
      </c>
      <c r="AA94" s="4">
        <v>0</v>
      </c>
      <c r="AB94" s="4">
        <v>0.66700000000000004</v>
      </c>
      <c r="AC94" s="4">
        <v>0</v>
      </c>
      <c r="AD94" s="10">
        <f t="shared" si="12"/>
        <v>0.50336599999999998</v>
      </c>
      <c r="AE94" s="9"/>
      <c r="AF94" s="9"/>
      <c r="AG94" s="12">
        <f t="shared" si="13"/>
        <v>47.199999999999996</v>
      </c>
      <c r="AH94" s="12">
        <f t="shared" si="13"/>
        <v>44</v>
      </c>
      <c r="AI94" s="12">
        <f t="shared" si="13"/>
        <v>77.600000000000009</v>
      </c>
      <c r="AJ94" s="12">
        <f t="shared" si="13"/>
        <v>39.1</v>
      </c>
      <c r="AK94" s="12"/>
      <c r="AL94" s="12">
        <f t="shared" si="21"/>
        <v>57.699999999999996</v>
      </c>
      <c r="AM94" s="12">
        <f t="shared" si="21"/>
        <v>65.8</v>
      </c>
      <c r="AN94" s="12">
        <f t="shared" si="21"/>
        <v>66.400000000000006</v>
      </c>
      <c r="AO94" s="12">
        <f t="shared" si="19"/>
        <v>0</v>
      </c>
      <c r="AP94" s="12">
        <f t="shared" si="19"/>
        <v>65.8</v>
      </c>
      <c r="AQ94" s="12">
        <f t="shared" si="19"/>
        <v>42.199999999999996</v>
      </c>
      <c r="AR94" s="12"/>
      <c r="AS94" s="12">
        <f t="shared" si="22"/>
        <v>96.2</v>
      </c>
      <c r="AT94" s="12">
        <f t="shared" si="22"/>
        <v>73.2</v>
      </c>
      <c r="AU94" s="12">
        <f t="shared" si="22"/>
        <v>96.8</v>
      </c>
      <c r="AV94" s="12">
        <f t="shared" si="20"/>
        <v>0</v>
      </c>
      <c r="AW94" s="12">
        <f t="shared" si="20"/>
        <v>0</v>
      </c>
      <c r="AX94" s="12">
        <f t="shared" si="20"/>
        <v>0</v>
      </c>
      <c r="AY94" s="12"/>
      <c r="AZ94" s="12">
        <f t="shared" si="14"/>
        <v>28</v>
      </c>
      <c r="BA94" s="12">
        <f t="shared" si="15"/>
        <v>100</v>
      </c>
      <c r="BB94" s="12"/>
      <c r="BC94" s="12">
        <f t="shared" si="16"/>
        <v>95</v>
      </c>
      <c r="BD94" s="12">
        <f t="shared" si="17"/>
        <v>0</v>
      </c>
      <c r="BE94" s="12">
        <f t="shared" si="18"/>
        <v>83.3</v>
      </c>
    </row>
    <row r="95" spans="1:57" ht="15.75" customHeight="1" x14ac:dyDescent="0.25">
      <c r="A95" s="1" t="s">
        <v>242</v>
      </c>
      <c r="B95" s="3" t="s">
        <v>109</v>
      </c>
      <c r="C95" s="4" t="s">
        <v>87</v>
      </c>
      <c r="D95" s="4">
        <v>6</v>
      </c>
      <c r="E95" s="4">
        <v>111</v>
      </c>
      <c r="F95" s="4">
        <v>6</v>
      </c>
      <c r="G95" s="4">
        <v>111</v>
      </c>
      <c r="H95" s="4">
        <v>0.5</v>
      </c>
      <c r="I95" s="4">
        <v>9.1</v>
      </c>
      <c r="J95" s="4">
        <v>0</v>
      </c>
      <c r="K95" s="4">
        <v>0.92900000000000005</v>
      </c>
      <c r="L95" s="4">
        <v>0.23799999999999999</v>
      </c>
      <c r="M95" s="4">
        <v>0.40500000000000003</v>
      </c>
      <c r="N95" s="4">
        <v>7.0999999999999994E-2</v>
      </c>
      <c r="O95" s="4">
        <v>0.214</v>
      </c>
      <c r="P95" s="4">
        <v>7.0999999999999994E-2</v>
      </c>
      <c r="Q95" s="4">
        <v>0</v>
      </c>
      <c r="R95" s="4">
        <v>0.53800000000000003</v>
      </c>
      <c r="S95" s="4">
        <v>0.6</v>
      </c>
      <c r="T95" s="4">
        <v>0.52900000000000003</v>
      </c>
      <c r="U95" s="4">
        <v>0.33300000000000002</v>
      </c>
      <c r="V95" s="4">
        <v>0.55600000000000005</v>
      </c>
      <c r="W95" s="4">
        <v>0</v>
      </c>
      <c r="X95" s="4">
        <v>0</v>
      </c>
      <c r="Y95" s="4">
        <v>0.61899999999999999</v>
      </c>
      <c r="Z95" s="4">
        <v>0</v>
      </c>
      <c r="AA95" s="4">
        <v>0</v>
      </c>
      <c r="AB95" s="4">
        <v>0</v>
      </c>
      <c r="AC95" s="4">
        <v>0</v>
      </c>
      <c r="AD95" s="10">
        <f t="shared" si="12"/>
        <v>0.57505099999999998</v>
      </c>
      <c r="AE95" s="9"/>
      <c r="AF95" s="9"/>
      <c r="AG95" s="12">
        <f t="shared" si="13"/>
        <v>25.4</v>
      </c>
      <c r="AH95" s="12">
        <f t="shared" si="13"/>
        <v>42.199999999999996</v>
      </c>
      <c r="AI95" s="12">
        <f t="shared" si="13"/>
        <v>65.2</v>
      </c>
      <c r="AJ95" s="12">
        <f t="shared" si="13"/>
        <v>19.2</v>
      </c>
      <c r="AK95" s="12"/>
      <c r="AL95" s="12">
        <f t="shared" si="21"/>
        <v>89.4</v>
      </c>
      <c r="AM95" s="12">
        <f t="shared" si="21"/>
        <v>54</v>
      </c>
      <c r="AN95" s="12">
        <f t="shared" si="21"/>
        <v>90</v>
      </c>
      <c r="AO95" s="12">
        <f t="shared" si="19"/>
        <v>56.499999999999993</v>
      </c>
      <c r="AP95" s="12">
        <f t="shared" si="19"/>
        <v>98.7</v>
      </c>
      <c r="AQ95" s="12">
        <f t="shared" si="19"/>
        <v>10.5</v>
      </c>
      <c r="AR95" s="12"/>
      <c r="AS95" s="12">
        <f t="shared" si="22"/>
        <v>59.599999999999994</v>
      </c>
      <c r="AT95" s="12">
        <f t="shared" si="22"/>
        <v>40.9</v>
      </c>
      <c r="AU95" s="12">
        <f t="shared" si="22"/>
        <v>74.5</v>
      </c>
      <c r="AV95" s="12">
        <f t="shared" si="20"/>
        <v>53.400000000000006</v>
      </c>
      <c r="AW95" s="12">
        <f t="shared" si="20"/>
        <v>83.8</v>
      </c>
      <c r="AX95" s="12">
        <f t="shared" si="20"/>
        <v>0</v>
      </c>
      <c r="AY95" s="12"/>
      <c r="AZ95" s="12">
        <f t="shared" si="14"/>
        <v>47.3</v>
      </c>
      <c r="BA95" s="12">
        <f t="shared" si="15"/>
        <v>100</v>
      </c>
      <c r="BB95" s="12"/>
      <c r="BC95" s="12">
        <f t="shared" si="16"/>
        <v>0</v>
      </c>
      <c r="BD95" s="12">
        <f t="shared" si="17"/>
        <v>0</v>
      </c>
      <c r="BE95" s="12">
        <f t="shared" si="18"/>
        <v>74</v>
      </c>
    </row>
    <row r="96" spans="1:57" ht="15.75" customHeight="1" x14ac:dyDescent="0.25">
      <c r="A96" s="1" t="s">
        <v>197</v>
      </c>
      <c r="B96" s="3" t="s">
        <v>93</v>
      </c>
      <c r="C96" s="4" t="s">
        <v>8</v>
      </c>
      <c r="D96" s="4">
        <v>7</v>
      </c>
      <c r="E96" s="4">
        <v>111</v>
      </c>
      <c r="F96" s="4">
        <v>7</v>
      </c>
      <c r="G96" s="4">
        <v>111</v>
      </c>
      <c r="H96" s="4">
        <v>0.46300000000000002</v>
      </c>
      <c r="I96" s="4">
        <v>10.4</v>
      </c>
      <c r="J96" s="4">
        <v>0</v>
      </c>
      <c r="K96" s="4">
        <v>0.80500000000000005</v>
      </c>
      <c r="L96" s="4">
        <v>0.22</v>
      </c>
      <c r="M96" s="4">
        <v>0.39</v>
      </c>
      <c r="N96" s="4">
        <v>0.122</v>
      </c>
      <c r="O96" s="4">
        <v>7.2999999999999995E-2</v>
      </c>
      <c r="P96" s="4">
        <v>0.19500000000000001</v>
      </c>
      <c r="Q96" s="4">
        <v>0</v>
      </c>
      <c r="R96" s="4">
        <v>0.45500000000000002</v>
      </c>
      <c r="S96" s="4">
        <v>0.55600000000000005</v>
      </c>
      <c r="T96" s="4">
        <v>0.25</v>
      </c>
      <c r="U96" s="4">
        <v>0.8</v>
      </c>
      <c r="V96" s="4">
        <v>0.66700000000000004</v>
      </c>
      <c r="W96" s="4">
        <v>0.5</v>
      </c>
      <c r="X96" s="4">
        <v>0</v>
      </c>
      <c r="Y96" s="4">
        <v>0.33300000000000002</v>
      </c>
      <c r="Z96" s="4">
        <v>1</v>
      </c>
      <c r="AA96" s="4">
        <v>0</v>
      </c>
      <c r="AB96" s="4">
        <v>0.25</v>
      </c>
      <c r="AC96" s="4">
        <v>1</v>
      </c>
      <c r="AD96" s="10">
        <f t="shared" si="12"/>
        <v>0.46306500000000006</v>
      </c>
      <c r="AE96" s="9"/>
      <c r="AF96" s="9"/>
      <c r="AG96" s="12">
        <f t="shared" si="13"/>
        <v>47.199999999999996</v>
      </c>
      <c r="AH96" s="12">
        <f t="shared" si="13"/>
        <v>42.199999999999996</v>
      </c>
      <c r="AI96" s="12">
        <f t="shared" si="13"/>
        <v>55.2</v>
      </c>
      <c r="AJ96" s="12">
        <f t="shared" si="13"/>
        <v>26.700000000000003</v>
      </c>
      <c r="AK96" s="12"/>
      <c r="AL96" s="12">
        <f t="shared" si="21"/>
        <v>77.600000000000009</v>
      </c>
      <c r="AM96" s="12">
        <f t="shared" si="21"/>
        <v>50.3</v>
      </c>
      <c r="AN96" s="12">
        <f t="shared" si="21"/>
        <v>88.1</v>
      </c>
      <c r="AO96" s="12">
        <f t="shared" si="19"/>
        <v>77.600000000000009</v>
      </c>
      <c r="AP96" s="12">
        <f t="shared" si="19"/>
        <v>75.7</v>
      </c>
      <c r="AQ96" s="12">
        <f t="shared" si="19"/>
        <v>21.099999999999998</v>
      </c>
      <c r="AR96" s="12"/>
      <c r="AS96" s="12">
        <f t="shared" si="22"/>
        <v>29.099999999999998</v>
      </c>
      <c r="AT96" s="12">
        <f t="shared" si="22"/>
        <v>32.200000000000003</v>
      </c>
      <c r="AU96" s="12">
        <f t="shared" si="22"/>
        <v>19.8</v>
      </c>
      <c r="AV96" s="12">
        <f t="shared" si="20"/>
        <v>91.3</v>
      </c>
      <c r="AW96" s="12">
        <f t="shared" si="20"/>
        <v>86.9</v>
      </c>
      <c r="AX96" s="12">
        <f t="shared" si="20"/>
        <v>87.5</v>
      </c>
      <c r="AY96" s="12"/>
      <c r="AZ96" s="12">
        <f t="shared" si="14"/>
        <v>82</v>
      </c>
      <c r="BA96" s="12">
        <f t="shared" si="15"/>
        <v>52.800000000000004</v>
      </c>
      <c r="BB96" s="12"/>
      <c r="BC96" s="12">
        <f t="shared" si="16"/>
        <v>59</v>
      </c>
      <c r="BD96" s="12">
        <f t="shared" si="17"/>
        <v>92.5</v>
      </c>
      <c r="BE96" s="12">
        <f t="shared" si="18"/>
        <v>89.5</v>
      </c>
    </row>
    <row r="97" spans="1:57" ht="15.75" customHeight="1" x14ac:dyDescent="0.25">
      <c r="A97" s="1" t="s">
        <v>231</v>
      </c>
      <c r="B97" s="3" t="s">
        <v>101</v>
      </c>
      <c r="C97" s="4" t="s">
        <v>87</v>
      </c>
      <c r="D97" s="4">
        <v>8</v>
      </c>
      <c r="E97" s="4">
        <v>111</v>
      </c>
      <c r="F97" s="4">
        <v>8</v>
      </c>
      <c r="G97" s="4">
        <v>111</v>
      </c>
      <c r="H97" s="4">
        <v>0.65400000000000003</v>
      </c>
      <c r="I97" s="4">
        <v>14.6</v>
      </c>
      <c r="J97" s="4">
        <v>0</v>
      </c>
      <c r="K97" s="4">
        <v>0.5</v>
      </c>
      <c r="L97" s="4">
        <v>0.34599999999999997</v>
      </c>
      <c r="M97" s="4">
        <v>0.115</v>
      </c>
      <c r="N97" s="4">
        <v>3.7999999999999999E-2</v>
      </c>
      <c r="O97" s="4">
        <v>0</v>
      </c>
      <c r="P97" s="4">
        <v>0.5</v>
      </c>
      <c r="Q97" s="4">
        <v>0</v>
      </c>
      <c r="R97" s="4">
        <v>0.76900000000000002</v>
      </c>
      <c r="S97" s="4">
        <v>1</v>
      </c>
      <c r="T97" s="4">
        <v>0.33300000000000002</v>
      </c>
      <c r="U97" s="4">
        <v>0</v>
      </c>
      <c r="V97" s="4">
        <v>0</v>
      </c>
      <c r="W97" s="4">
        <v>0.53800000000000003</v>
      </c>
      <c r="X97" s="4">
        <v>0</v>
      </c>
      <c r="Y97" s="4">
        <v>1</v>
      </c>
      <c r="Z97" s="4">
        <v>1</v>
      </c>
      <c r="AA97" s="4">
        <v>0</v>
      </c>
      <c r="AB97" s="4">
        <v>7.6999999999999999E-2</v>
      </c>
      <c r="AC97" s="4">
        <v>0</v>
      </c>
      <c r="AD97" s="10">
        <f t="shared" si="12"/>
        <v>1</v>
      </c>
      <c r="AE97" s="9"/>
      <c r="AF97" s="9"/>
      <c r="AG97" s="12">
        <f t="shared" si="13"/>
        <v>69.5</v>
      </c>
      <c r="AH97" s="12">
        <f t="shared" si="13"/>
        <v>42.199999999999996</v>
      </c>
      <c r="AI97" s="12">
        <f t="shared" si="13"/>
        <v>96.8</v>
      </c>
      <c r="AJ97" s="12">
        <f t="shared" si="13"/>
        <v>57.699999999999996</v>
      </c>
      <c r="AK97" s="12"/>
      <c r="AL97" s="12">
        <f t="shared" si="21"/>
        <v>26.700000000000003</v>
      </c>
      <c r="AM97" s="12">
        <f t="shared" si="21"/>
        <v>75.7</v>
      </c>
      <c r="AN97" s="12">
        <f t="shared" si="21"/>
        <v>21.7</v>
      </c>
      <c r="AO97" s="12">
        <f t="shared" si="19"/>
        <v>32.200000000000003</v>
      </c>
      <c r="AP97" s="12">
        <f t="shared" si="19"/>
        <v>0</v>
      </c>
      <c r="AQ97" s="12">
        <f t="shared" si="19"/>
        <v>72</v>
      </c>
      <c r="AR97" s="12"/>
      <c r="AS97" s="12">
        <f t="shared" si="22"/>
        <v>94.399999999999991</v>
      </c>
      <c r="AT97" s="12">
        <f t="shared" si="22"/>
        <v>88.1</v>
      </c>
      <c r="AU97" s="12">
        <f t="shared" si="22"/>
        <v>29.099999999999998</v>
      </c>
      <c r="AV97" s="12">
        <f t="shared" si="20"/>
        <v>0</v>
      </c>
      <c r="AW97" s="12">
        <f t="shared" si="20"/>
        <v>0</v>
      </c>
      <c r="AX97" s="12">
        <f t="shared" si="20"/>
        <v>94.399999999999991</v>
      </c>
      <c r="AY97" s="12"/>
      <c r="AZ97" s="12">
        <f t="shared" si="14"/>
        <v>9.3999999999999915</v>
      </c>
      <c r="BA97" s="12">
        <f t="shared" si="15"/>
        <v>52.800000000000004</v>
      </c>
      <c r="BB97" s="12"/>
      <c r="BC97" s="12">
        <f t="shared" si="16"/>
        <v>24.8</v>
      </c>
      <c r="BD97" s="12">
        <f t="shared" si="17"/>
        <v>0</v>
      </c>
      <c r="BE97" s="12">
        <f t="shared" si="18"/>
        <v>6.8999999999999915</v>
      </c>
    </row>
    <row r="98" spans="1:57" ht="15.75" customHeight="1" x14ac:dyDescent="0.25">
      <c r="A98" s="1" t="s">
        <v>223</v>
      </c>
      <c r="B98" s="3" t="s">
        <v>133</v>
      </c>
      <c r="C98" s="4" t="s">
        <v>8</v>
      </c>
      <c r="D98" s="4">
        <v>7</v>
      </c>
      <c r="E98" s="4">
        <v>110</v>
      </c>
      <c r="F98" s="4">
        <v>7</v>
      </c>
      <c r="G98" s="4">
        <v>110</v>
      </c>
      <c r="H98" s="4">
        <v>0.36099999999999999</v>
      </c>
      <c r="I98" s="4">
        <v>22.6</v>
      </c>
      <c r="J98" s="4">
        <v>0</v>
      </c>
      <c r="K98" s="4">
        <v>0.27800000000000002</v>
      </c>
      <c r="L98" s="4">
        <v>0</v>
      </c>
      <c r="M98" s="4">
        <v>0</v>
      </c>
      <c r="N98" s="4">
        <v>0.13900000000000001</v>
      </c>
      <c r="O98" s="4">
        <v>0.13900000000000001</v>
      </c>
      <c r="P98" s="4">
        <v>0.72199999999999998</v>
      </c>
      <c r="Q98" s="4">
        <v>0</v>
      </c>
      <c r="R98" s="4">
        <v>0.5</v>
      </c>
      <c r="S98" s="4">
        <v>0</v>
      </c>
      <c r="T98" s="4">
        <v>0</v>
      </c>
      <c r="U98" s="4">
        <v>0.4</v>
      </c>
      <c r="V98" s="4">
        <v>0.6</v>
      </c>
      <c r="W98" s="4">
        <v>0.308</v>
      </c>
      <c r="X98" s="4">
        <v>0</v>
      </c>
      <c r="Y98" s="4">
        <v>0.8</v>
      </c>
      <c r="Z98" s="4">
        <v>0.75</v>
      </c>
      <c r="AA98" s="4">
        <v>0</v>
      </c>
      <c r="AB98" s="4">
        <v>0.115</v>
      </c>
      <c r="AC98" s="4">
        <v>0.33300000000000002</v>
      </c>
      <c r="AD98" s="10">
        <f t="shared" si="12"/>
        <v>0.76390000000000002</v>
      </c>
      <c r="AE98" s="9"/>
      <c r="AF98" s="9"/>
      <c r="AG98" s="12">
        <f t="shared" si="13"/>
        <v>47.199999999999996</v>
      </c>
      <c r="AH98" s="12">
        <f t="shared" si="13"/>
        <v>40.9</v>
      </c>
      <c r="AI98" s="12">
        <f t="shared" si="13"/>
        <v>19.8</v>
      </c>
      <c r="AJ98" s="12">
        <f t="shared" si="13"/>
        <v>100</v>
      </c>
      <c r="AK98" s="12"/>
      <c r="AL98" s="12">
        <f t="shared" si="21"/>
        <v>7.3999999999999995</v>
      </c>
      <c r="AM98" s="12">
        <f t="shared" si="21"/>
        <v>0</v>
      </c>
      <c r="AN98" s="12">
        <f t="shared" si="21"/>
        <v>0</v>
      </c>
      <c r="AO98" s="12">
        <f t="shared" si="19"/>
        <v>83.2</v>
      </c>
      <c r="AP98" s="12">
        <f t="shared" si="19"/>
        <v>92.5</v>
      </c>
      <c r="AQ98" s="12">
        <f t="shared" si="19"/>
        <v>92.5</v>
      </c>
      <c r="AR98" s="12"/>
      <c r="AS98" s="12">
        <f t="shared" si="22"/>
        <v>40.9</v>
      </c>
      <c r="AT98" s="12">
        <f t="shared" si="22"/>
        <v>0</v>
      </c>
      <c r="AU98" s="12">
        <f t="shared" si="22"/>
        <v>0</v>
      </c>
      <c r="AV98" s="12">
        <f t="shared" si="20"/>
        <v>63.3</v>
      </c>
      <c r="AW98" s="12">
        <f t="shared" si="20"/>
        <v>86.3</v>
      </c>
      <c r="AX98" s="12">
        <f t="shared" si="20"/>
        <v>43.4</v>
      </c>
      <c r="AY98" s="12"/>
      <c r="AZ98" s="12">
        <f t="shared" si="14"/>
        <v>24.900000000000006</v>
      </c>
      <c r="BA98" s="12">
        <f t="shared" si="15"/>
        <v>74</v>
      </c>
      <c r="BB98" s="12"/>
      <c r="BC98" s="12">
        <f t="shared" si="16"/>
        <v>32.200000000000003</v>
      </c>
      <c r="BD98" s="12">
        <f t="shared" si="17"/>
        <v>58.3</v>
      </c>
      <c r="BE98" s="12">
        <f t="shared" si="18"/>
        <v>39.800000000000004</v>
      </c>
    </row>
    <row r="99" spans="1:57" ht="15.75" customHeight="1" x14ac:dyDescent="0.25">
      <c r="A99" s="1" t="s">
        <v>226</v>
      </c>
      <c r="B99" s="4" t="s">
        <v>109</v>
      </c>
      <c r="C99" s="4" t="s">
        <v>87</v>
      </c>
      <c r="D99" s="4">
        <v>8</v>
      </c>
      <c r="E99" s="4">
        <v>110</v>
      </c>
      <c r="F99" s="4">
        <v>8</v>
      </c>
      <c r="G99" s="4">
        <v>110</v>
      </c>
      <c r="H99" s="4">
        <v>0.53300000000000003</v>
      </c>
      <c r="I99" s="4">
        <v>6.3</v>
      </c>
      <c r="J99" s="4">
        <v>0</v>
      </c>
      <c r="K99" s="4">
        <v>0.93300000000000005</v>
      </c>
      <c r="L99" s="4">
        <v>0.4</v>
      </c>
      <c r="M99" s="4">
        <v>0.4</v>
      </c>
      <c r="N99" s="4">
        <v>6.7000000000000004E-2</v>
      </c>
      <c r="O99" s="4">
        <v>6.7000000000000004E-2</v>
      </c>
      <c r="P99" s="4">
        <v>6.7000000000000004E-2</v>
      </c>
      <c r="Q99" s="4">
        <v>0</v>
      </c>
      <c r="R99" s="4">
        <v>0.53600000000000003</v>
      </c>
      <c r="S99" s="4">
        <v>0.83299999999999996</v>
      </c>
      <c r="T99" s="4">
        <v>0.41699999999999998</v>
      </c>
      <c r="U99" s="4">
        <v>0</v>
      </c>
      <c r="V99" s="4">
        <v>0</v>
      </c>
      <c r="W99" s="4">
        <v>0.5</v>
      </c>
      <c r="X99" s="4">
        <v>0</v>
      </c>
      <c r="Y99" s="4">
        <v>0.6</v>
      </c>
      <c r="Z99" s="4">
        <v>1</v>
      </c>
      <c r="AA99" s="4">
        <v>0</v>
      </c>
      <c r="AB99" s="4">
        <v>0.5</v>
      </c>
      <c r="AC99" s="4">
        <v>0</v>
      </c>
      <c r="AD99" s="10">
        <f t="shared" si="12"/>
        <v>0.62680000000000002</v>
      </c>
      <c r="AE99" s="9"/>
      <c r="AF99" s="9"/>
      <c r="AG99" s="12">
        <f t="shared" si="13"/>
        <v>69.5</v>
      </c>
      <c r="AH99" s="12">
        <f t="shared" si="13"/>
        <v>40.9</v>
      </c>
      <c r="AI99" s="12">
        <f t="shared" si="13"/>
        <v>79.5</v>
      </c>
      <c r="AJ99" s="12">
        <f t="shared" si="13"/>
        <v>11.1</v>
      </c>
      <c r="AK99" s="12"/>
      <c r="AL99" s="12">
        <f t="shared" si="21"/>
        <v>91.3</v>
      </c>
      <c r="AM99" s="12">
        <f t="shared" si="21"/>
        <v>83.2</v>
      </c>
      <c r="AN99" s="12">
        <f t="shared" si="21"/>
        <v>89.4</v>
      </c>
      <c r="AO99" s="12">
        <f t="shared" si="19"/>
        <v>52.7</v>
      </c>
      <c r="AP99" s="12">
        <f t="shared" si="19"/>
        <v>72</v>
      </c>
      <c r="AQ99" s="12">
        <f t="shared" si="19"/>
        <v>8.6</v>
      </c>
      <c r="AR99" s="12"/>
      <c r="AS99" s="12">
        <f t="shared" si="22"/>
        <v>59</v>
      </c>
      <c r="AT99" s="12">
        <f t="shared" si="22"/>
        <v>77.600000000000009</v>
      </c>
      <c r="AU99" s="12">
        <f t="shared" si="22"/>
        <v>48.4</v>
      </c>
      <c r="AV99" s="12">
        <f t="shared" si="20"/>
        <v>0</v>
      </c>
      <c r="AW99" s="12">
        <f t="shared" si="20"/>
        <v>0</v>
      </c>
      <c r="AX99" s="12">
        <f t="shared" si="20"/>
        <v>87.5</v>
      </c>
      <c r="AY99" s="12"/>
      <c r="AZ99" s="12">
        <f t="shared" si="14"/>
        <v>52.2</v>
      </c>
      <c r="BA99" s="12">
        <f t="shared" si="15"/>
        <v>52.800000000000004</v>
      </c>
      <c r="BB99" s="12"/>
      <c r="BC99" s="12">
        <f t="shared" si="16"/>
        <v>87.5</v>
      </c>
      <c r="BD99" s="12">
        <f t="shared" si="17"/>
        <v>0</v>
      </c>
      <c r="BE99" s="12">
        <f t="shared" si="18"/>
        <v>64.599999999999994</v>
      </c>
    </row>
    <row r="100" spans="1:57" ht="15.75" customHeight="1" x14ac:dyDescent="0.25">
      <c r="A100" s="1" t="s">
        <v>211</v>
      </c>
      <c r="B100" s="3" t="s">
        <v>130</v>
      </c>
      <c r="C100" s="4" t="s">
        <v>8</v>
      </c>
      <c r="D100" s="4">
        <v>6</v>
      </c>
      <c r="E100" s="4">
        <v>108</v>
      </c>
      <c r="F100" s="4">
        <v>6</v>
      </c>
      <c r="G100" s="4">
        <v>108</v>
      </c>
      <c r="H100" s="4">
        <v>0.41199999999999998</v>
      </c>
      <c r="I100" s="4">
        <v>17.600000000000001</v>
      </c>
      <c r="J100" s="4">
        <v>0</v>
      </c>
      <c r="K100" s="4">
        <v>0.38200000000000001</v>
      </c>
      <c r="L100" s="4">
        <v>0.17599999999999999</v>
      </c>
      <c r="M100" s="4">
        <v>0.14699999999999999</v>
      </c>
      <c r="N100" s="4">
        <v>2.9000000000000001E-2</v>
      </c>
      <c r="O100" s="4">
        <v>2.9000000000000001E-2</v>
      </c>
      <c r="P100" s="4">
        <v>0.61799999999999999</v>
      </c>
      <c r="Q100" s="4">
        <v>0</v>
      </c>
      <c r="R100" s="4">
        <v>0.38500000000000001</v>
      </c>
      <c r="S100" s="4">
        <v>0.33300000000000002</v>
      </c>
      <c r="T100" s="4">
        <v>0.4</v>
      </c>
      <c r="U100" s="4">
        <v>0</v>
      </c>
      <c r="V100" s="4">
        <v>1</v>
      </c>
      <c r="W100" s="4">
        <v>0.42899999999999999</v>
      </c>
      <c r="X100" s="4">
        <v>0</v>
      </c>
      <c r="Y100" s="4">
        <v>0.4</v>
      </c>
      <c r="Z100" s="4">
        <v>0.88900000000000001</v>
      </c>
      <c r="AA100" s="4">
        <v>0</v>
      </c>
      <c r="AB100" s="4">
        <v>9.5000000000000001E-2</v>
      </c>
      <c r="AC100" s="4">
        <v>1</v>
      </c>
      <c r="AD100" s="10">
        <f t="shared" si="12"/>
        <v>0.7022020000000001</v>
      </c>
      <c r="AE100" s="9"/>
      <c r="AF100" s="9"/>
      <c r="AG100" s="12">
        <f t="shared" si="13"/>
        <v>25.4</v>
      </c>
      <c r="AH100" s="12">
        <f t="shared" si="13"/>
        <v>38.5</v>
      </c>
      <c r="AI100" s="12">
        <f t="shared" si="13"/>
        <v>35.4</v>
      </c>
      <c r="AJ100" s="12">
        <f t="shared" si="13"/>
        <v>78.2</v>
      </c>
      <c r="AK100" s="12"/>
      <c r="AL100" s="12">
        <f t="shared" si="21"/>
        <v>13</v>
      </c>
      <c r="AM100" s="12">
        <f t="shared" si="21"/>
        <v>34.1</v>
      </c>
      <c r="AN100" s="12">
        <f t="shared" si="21"/>
        <v>26.700000000000003</v>
      </c>
      <c r="AO100" s="12">
        <f t="shared" si="19"/>
        <v>27.3</v>
      </c>
      <c r="AP100" s="12">
        <f t="shared" si="19"/>
        <v>39.1</v>
      </c>
      <c r="AQ100" s="12">
        <f t="shared" si="19"/>
        <v>86.9</v>
      </c>
      <c r="AR100" s="12"/>
      <c r="AS100" s="12">
        <f t="shared" si="22"/>
        <v>15.5</v>
      </c>
      <c r="AT100" s="12">
        <f t="shared" si="22"/>
        <v>12.4</v>
      </c>
      <c r="AU100" s="12">
        <f t="shared" si="22"/>
        <v>43.4</v>
      </c>
      <c r="AV100" s="12">
        <f t="shared" si="20"/>
        <v>0</v>
      </c>
      <c r="AW100" s="12">
        <f t="shared" si="20"/>
        <v>91.3</v>
      </c>
      <c r="AX100" s="12">
        <f t="shared" si="20"/>
        <v>77</v>
      </c>
      <c r="AY100" s="12"/>
      <c r="AZ100" s="12">
        <f t="shared" si="14"/>
        <v>74.599999999999994</v>
      </c>
      <c r="BA100" s="12">
        <f t="shared" si="15"/>
        <v>59.1</v>
      </c>
      <c r="BB100" s="12"/>
      <c r="BC100" s="12">
        <f t="shared" si="16"/>
        <v>26.700000000000003</v>
      </c>
      <c r="BD100" s="12">
        <f t="shared" si="17"/>
        <v>92.5</v>
      </c>
      <c r="BE100" s="12">
        <f t="shared" si="18"/>
        <v>52.2</v>
      </c>
    </row>
    <row r="101" spans="1:57" ht="15.75" customHeight="1" x14ac:dyDescent="0.25">
      <c r="A101" s="1" t="s">
        <v>182</v>
      </c>
      <c r="B101" s="3" t="s">
        <v>93</v>
      </c>
      <c r="C101" s="4" t="s">
        <v>87</v>
      </c>
      <c r="D101" s="4">
        <v>7</v>
      </c>
      <c r="E101" s="4">
        <v>108</v>
      </c>
      <c r="F101" s="4">
        <v>7</v>
      </c>
      <c r="G101" s="4">
        <v>108</v>
      </c>
      <c r="H101" s="4">
        <v>0.5</v>
      </c>
      <c r="I101" s="4">
        <v>4.2</v>
      </c>
      <c r="J101" s="4">
        <v>0</v>
      </c>
      <c r="K101" s="4">
        <v>0.96399999999999997</v>
      </c>
      <c r="L101" s="4">
        <v>0.5</v>
      </c>
      <c r="M101" s="4">
        <v>0.46400000000000002</v>
      </c>
      <c r="N101" s="4">
        <v>0</v>
      </c>
      <c r="O101" s="4">
        <v>0</v>
      </c>
      <c r="P101" s="4">
        <v>3.5999999999999997E-2</v>
      </c>
      <c r="Q101" s="4">
        <v>0</v>
      </c>
      <c r="R101" s="4">
        <v>0.51900000000000002</v>
      </c>
      <c r="S101" s="4">
        <v>0.57099999999999995</v>
      </c>
      <c r="T101" s="4">
        <v>0.46200000000000002</v>
      </c>
      <c r="U101" s="4">
        <v>0</v>
      </c>
      <c r="V101" s="4">
        <v>0</v>
      </c>
      <c r="W101" s="4">
        <v>0</v>
      </c>
      <c r="X101" s="4">
        <v>0</v>
      </c>
      <c r="Y101" s="4">
        <v>0.57099999999999995</v>
      </c>
      <c r="Z101" s="4">
        <v>0</v>
      </c>
      <c r="AA101" s="4">
        <v>0</v>
      </c>
      <c r="AB101" s="4">
        <v>0</v>
      </c>
      <c r="AC101" s="4">
        <v>0</v>
      </c>
      <c r="AD101" s="10">
        <f t="shared" si="12"/>
        <v>0.55044399999999993</v>
      </c>
      <c r="AE101" s="9"/>
      <c r="AF101" s="9"/>
      <c r="AG101" s="12">
        <f t="shared" si="13"/>
        <v>47.199999999999996</v>
      </c>
      <c r="AH101" s="12">
        <f t="shared" si="13"/>
        <v>38.5</v>
      </c>
      <c r="AI101" s="12">
        <f t="shared" si="13"/>
        <v>65.2</v>
      </c>
      <c r="AJ101" s="12">
        <f t="shared" si="13"/>
        <v>3.1</v>
      </c>
      <c r="AK101" s="12"/>
      <c r="AL101" s="12">
        <f t="shared" si="21"/>
        <v>93.7</v>
      </c>
      <c r="AM101" s="12">
        <f t="shared" si="21"/>
        <v>88.8</v>
      </c>
      <c r="AN101" s="12">
        <f t="shared" si="21"/>
        <v>93.100000000000009</v>
      </c>
      <c r="AO101" s="12">
        <f t="shared" si="19"/>
        <v>0</v>
      </c>
      <c r="AP101" s="12">
        <f t="shared" si="19"/>
        <v>0</v>
      </c>
      <c r="AQ101" s="12">
        <f t="shared" si="19"/>
        <v>6.2</v>
      </c>
      <c r="AR101" s="12"/>
      <c r="AS101" s="12">
        <f t="shared" si="22"/>
        <v>54</v>
      </c>
      <c r="AT101" s="12">
        <f t="shared" si="22"/>
        <v>35.4</v>
      </c>
      <c r="AU101" s="12">
        <f t="shared" si="22"/>
        <v>55.2</v>
      </c>
      <c r="AV101" s="12">
        <f t="shared" si="20"/>
        <v>0</v>
      </c>
      <c r="AW101" s="12">
        <f t="shared" si="20"/>
        <v>0</v>
      </c>
      <c r="AX101" s="12">
        <f t="shared" si="20"/>
        <v>0</v>
      </c>
      <c r="AY101" s="12"/>
      <c r="AZ101" s="12">
        <f t="shared" si="14"/>
        <v>56.6</v>
      </c>
      <c r="BA101" s="12">
        <f t="shared" si="15"/>
        <v>100</v>
      </c>
      <c r="BB101" s="12"/>
      <c r="BC101" s="12">
        <f t="shared" si="16"/>
        <v>0</v>
      </c>
      <c r="BD101" s="12">
        <f t="shared" si="17"/>
        <v>0</v>
      </c>
      <c r="BE101" s="12">
        <f t="shared" si="18"/>
        <v>78.900000000000006</v>
      </c>
    </row>
    <row r="102" spans="1:57" ht="15.75" customHeight="1" x14ac:dyDescent="0.25">
      <c r="A102" s="1" t="s">
        <v>102</v>
      </c>
      <c r="B102" s="3" t="s">
        <v>86</v>
      </c>
      <c r="C102" s="4" t="s">
        <v>96</v>
      </c>
      <c r="D102" s="4">
        <v>5</v>
      </c>
      <c r="E102" s="4">
        <v>108</v>
      </c>
      <c r="F102" s="4">
        <v>5</v>
      </c>
      <c r="G102" s="4">
        <v>108</v>
      </c>
      <c r="H102" s="4">
        <v>0.48</v>
      </c>
      <c r="I102" s="4">
        <v>17.600000000000001</v>
      </c>
      <c r="J102" s="4">
        <v>0</v>
      </c>
      <c r="K102" s="4">
        <v>0.4</v>
      </c>
      <c r="L102" s="4">
        <v>0.04</v>
      </c>
      <c r="M102" s="4">
        <v>0.2</v>
      </c>
      <c r="N102" s="4">
        <v>0.12</v>
      </c>
      <c r="O102" s="4">
        <v>0.04</v>
      </c>
      <c r="P102" s="4">
        <v>0.6</v>
      </c>
      <c r="Q102" s="4">
        <v>0</v>
      </c>
      <c r="R102" s="4">
        <v>0.7</v>
      </c>
      <c r="S102" s="4">
        <v>1</v>
      </c>
      <c r="T102" s="4">
        <v>0.4</v>
      </c>
      <c r="U102" s="4">
        <v>1</v>
      </c>
      <c r="V102" s="4">
        <v>1</v>
      </c>
      <c r="W102" s="4">
        <v>0.33300000000000002</v>
      </c>
      <c r="X102" s="4">
        <v>0</v>
      </c>
      <c r="Y102" s="4">
        <v>0.28599999999999998</v>
      </c>
      <c r="Z102" s="4">
        <v>1</v>
      </c>
      <c r="AA102" s="4">
        <v>0</v>
      </c>
      <c r="AB102" s="4">
        <v>0.53300000000000003</v>
      </c>
      <c r="AC102" s="4">
        <v>0.375</v>
      </c>
      <c r="AD102" s="10">
        <f t="shared" si="12"/>
        <v>0.71439999999999992</v>
      </c>
      <c r="AE102" s="9"/>
      <c r="AF102" s="9"/>
      <c r="AG102" s="12">
        <f t="shared" si="13"/>
        <v>16.100000000000001</v>
      </c>
      <c r="AH102" s="12">
        <f t="shared" si="13"/>
        <v>38.5</v>
      </c>
      <c r="AI102" s="12">
        <f t="shared" si="13"/>
        <v>61.4</v>
      </c>
      <c r="AJ102" s="12">
        <f t="shared" si="13"/>
        <v>78.2</v>
      </c>
      <c r="AK102" s="12"/>
      <c r="AL102" s="12">
        <f t="shared" si="21"/>
        <v>15.5</v>
      </c>
      <c r="AM102" s="12">
        <f t="shared" si="21"/>
        <v>9.3000000000000007</v>
      </c>
      <c r="AN102" s="12">
        <f t="shared" si="21"/>
        <v>39.1</v>
      </c>
      <c r="AO102" s="12">
        <f t="shared" si="19"/>
        <v>76.3</v>
      </c>
      <c r="AP102" s="12">
        <f t="shared" si="19"/>
        <v>54</v>
      </c>
      <c r="AQ102" s="12">
        <f t="shared" si="19"/>
        <v>83.2</v>
      </c>
      <c r="AR102" s="12"/>
      <c r="AS102" s="12">
        <f t="shared" si="22"/>
        <v>90</v>
      </c>
      <c r="AT102" s="12">
        <f t="shared" si="22"/>
        <v>88.1</v>
      </c>
      <c r="AU102" s="12">
        <f t="shared" si="22"/>
        <v>43.4</v>
      </c>
      <c r="AV102" s="12">
        <f t="shared" si="20"/>
        <v>91.9</v>
      </c>
      <c r="AW102" s="12">
        <f t="shared" si="20"/>
        <v>91.3</v>
      </c>
      <c r="AX102" s="12">
        <f t="shared" si="20"/>
        <v>49</v>
      </c>
      <c r="AY102" s="12"/>
      <c r="AZ102" s="12">
        <f t="shared" si="14"/>
        <v>85.8</v>
      </c>
      <c r="BA102" s="12">
        <f t="shared" si="15"/>
        <v>52.800000000000004</v>
      </c>
      <c r="BB102" s="12"/>
      <c r="BC102" s="12">
        <f t="shared" si="16"/>
        <v>91.3</v>
      </c>
      <c r="BD102" s="12">
        <f t="shared" si="17"/>
        <v>65.2</v>
      </c>
      <c r="BE102" s="12">
        <f t="shared" si="18"/>
        <v>48.5</v>
      </c>
    </row>
    <row r="103" spans="1:57" ht="15.75" customHeight="1" x14ac:dyDescent="0.25">
      <c r="A103" s="1" t="s">
        <v>201</v>
      </c>
      <c r="B103" s="3" t="s">
        <v>101</v>
      </c>
      <c r="C103" s="4" t="s">
        <v>87</v>
      </c>
      <c r="D103" s="4">
        <v>8</v>
      </c>
      <c r="E103" s="4">
        <v>108</v>
      </c>
      <c r="F103" s="4">
        <v>8</v>
      </c>
      <c r="G103" s="4">
        <v>108</v>
      </c>
      <c r="H103" s="4">
        <v>0.44700000000000001</v>
      </c>
      <c r="I103" s="4">
        <v>13.4</v>
      </c>
      <c r="J103" s="4">
        <v>0</v>
      </c>
      <c r="K103" s="4">
        <v>0.66</v>
      </c>
      <c r="L103" s="4">
        <v>0.191</v>
      </c>
      <c r="M103" s="4">
        <v>0.23400000000000001</v>
      </c>
      <c r="N103" s="4">
        <v>0.17</v>
      </c>
      <c r="O103" s="4">
        <v>6.4000000000000001E-2</v>
      </c>
      <c r="P103" s="4">
        <v>0.34</v>
      </c>
      <c r="Q103" s="4">
        <v>0</v>
      </c>
      <c r="R103" s="4">
        <v>0.48399999999999999</v>
      </c>
      <c r="S103" s="4">
        <v>0.44400000000000001</v>
      </c>
      <c r="T103" s="4">
        <v>0.36399999999999999</v>
      </c>
      <c r="U103" s="4">
        <v>0.625</v>
      </c>
      <c r="V103" s="4">
        <v>0.66700000000000004</v>
      </c>
      <c r="W103" s="4">
        <v>0.375</v>
      </c>
      <c r="X103" s="4">
        <v>0</v>
      </c>
      <c r="Y103" s="4">
        <v>0.93300000000000005</v>
      </c>
      <c r="Z103" s="4">
        <v>1</v>
      </c>
      <c r="AA103" s="4">
        <v>0</v>
      </c>
      <c r="AB103" s="4">
        <v>0.125</v>
      </c>
      <c r="AC103" s="4">
        <v>0</v>
      </c>
      <c r="AD103" s="10">
        <f t="shared" si="12"/>
        <v>0.95578000000000007</v>
      </c>
      <c r="AE103" s="9"/>
      <c r="AF103" s="9"/>
      <c r="AG103" s="12">
        <f t="shared" si="13"/>
        <v>69.5</v>
      </c>
      <c r="AH103" s="12">
        <f t="shared" si="13"/>
        <v>38.5</v>
      </c>
      <c r="AI103" s="12">
        <f t="shared" si="13"/>
        <v>48.4</v>
      </c>
      <c r="AJ103" s="12">
        <f t="shared" si="13"/>
        <v>47.8</v>
      </c>
      <c r="AK103" s="12"/>
      <c r="AL103" s="12">
        <f t="shared" si="21"/>
        <v>60.199999999999996</v>
      </c>
      <c r="AM103" s="12">
        <f t="shared" si="21"/>
        <v>39.700000000000003</v>
      </c>
      <c r="AN103" s="12">
        <f t="shared" si="21"/>
        <v>52.1</v>
      </c>
      <c r="AO103" s="12">
        <f t="shared" si="19"/>
        <v>90</v>
      </c>
      <c r="AP103" s="12">
        <f t="shared" si="19"/>
        <v>70.8</v>
      </c>
      <c r="AQ103" s="12">
        <f t="shared" si="19"/>
        <v>39.700000000000003</v>
      </c>
      <c r="AR103" s="12"/>
      <c r="AS103" s="12">
        <f t="shared" si="22"/>
        <v>39.1</v>
      </c>
      <c r="AT103" s="12">
        <f t="shared" si="22"/>
        <v>18.600000000000001</v>
      </c>
      <c r="AU103" s="12">
        <f t="shared" si="22"/>
        <v>39.1</v>
      </c>
      <c r="AV103" s="12">
        <f t="shared" si="20"/>
        <v>84.399999999999991</v>
      </c>
      <c r="AW103" s="12">
        <f t="shared" si="20"/>
        <v>86.9</v>
      </c>
      <c r="AX103" s="12">
        <f t="shared" si="20"/>
        <v>63.9</v>
      </c>
      <c r="AY103" s="12"/>
      <c r="AZ103" s="12">
        <f t="shared" si="14"/>
        <v>10.599999999999994</v>
      </c>
      <c r="BA103" s="12">
        <f t="shared" si="15"/>
        <v>52.800000000000004</v>
      </c>
      <c r="BB103" s="12"/>
      <c r="BC103" s="12">
        <f t="shared" si="16"/>
        <v>34.1</v>
      </c>
      <c r="BD103" s="12">
        <f t="shared" si="17"/>
        <v>0</v>
      </c>
      <c r="BE103" s="12">
        <f t="shared" si="18"/>
        <v>8.0999999999999943</v>
      </c>
    </row>
    <row r="104" spans="1:57" ht="15.75" customHeight="1" x14ac:dyDescent="0.25">
      <c r="A104" s="1" t="s">
        <v>165</v>
      </c>
      <c r="B104" s="3" t="s">
        <v>86</v>
      </c>
      <c r="C104" s="4" t="s">
        <v>90</v>
      </c>
      <c r="D104" s="4">
        <v>8</v>
      </c>
      <c r="E104" s="4">
        <v>106</v>
      </c>
      <c r="F104" s="4">
        <v>8</v>
      </c>
      <c r="G104" s="4">
        <v>106</v>
      </c>
      <c r="H104" s="4">
        <v>0.5</v>
      </c>
      <c r="I104" s="4">
        <v>14.6</v>
      </c>
      <c r="J104" s="4">
        <v>0</v>
      </c>
      <c r="K104" s="4">
        <v>0.52900000000000003</v>
      </c>
      <c r="L104" s="4">
        <v>0.20599999999999999</v>
      </c>
      <c r="M104" s="4">
        <v>0.17599999999999999</v>
      </c>
      <c r="N104" s="4">
        <v>8.7999999999999995E-2</v>
      </c>
      <c r="O104" s="4">
        <v>5.8999999999999997E-2</v>
      </c>
      <c r="P104" s="4">
        <v>0.47099999999999997</v>
      </c>
      <c r="Q104" s="4">
        <v>0</v>
      </c>
      <c r="R104" s="4">
        <v>0.61099999999999999</v>
      </c>
      <c r="S104" s="4">
        <v>0.85699999999999998</v>
      </c>
      <c r="T104" s="4">
        <v>0.5</v>
      </c>
      <c r="U104" s="4">
        <v>0.66700000000000004</v>
      </c>
      <c r="V104" s="4">
        <v>0</v>
      </c>
      <c r="W104" s="4">
        <v>0.375</v>
      </c>
      <c r="X104" s="4">
        <v>0</v>
      </c>
      <c r="Y104" s="4">
        <v>0.81799999999999995</v>
      </c>
      <c r="Z104" s="4">
        <v>1</v>
      </c>
      <c r="AA104" s="4">
        <v>0</v>
      </c>
      <c r="AB104" s="4">
        <v>0.125</v>
      </c>
      <c r="AC104" s="4">
        <v>0</v>
      </c>
      <c r="AD104" s="10">
        <f t="shared" si="12"/>
        <v>0.90372199999999991</v>
      </c>
      <c r="AE104" s="9"/>
      <c r="AF104" s="9"/>
      <c r="AG104" s="12">
        <f t="shared" si="13"/>
        <v>69.5</v>
      </c>
      <c r="AH104" s="12">
        <f t="shared" si="13"/>
        <v>37.799999999999997</v>
      </c>
      <c r="AI104" s="12">
        <f t="shared" si="13"/>
        <v>65.2</v>
      </c>
      <c r="AJ104" s="12">
        <f t="shared" si="13"/>
        <v>57.699999999999996</v>
      </c>
      <c r="AK104" s="12"/>
      <c r="AL104" s="12">
        <f t="shared" si="21"/>
        <v>32.200000000000003</v>
      </c>
      <c r="AM104" s="12">
        <f t="shared" si="21"/>
        <v>44</v>
      </c>
      <c r="AN104" s="12">
        <f t="shared" si="21"/>
        <v>32.9</v>
      </c>
      <c r="AO104" s="12">
        <f t="shared" si="19"/>
        <v>65.2</v>
      </c>
      <c r="AP104" s="12">
        <f t="shared" si="19"/>
        <v>65.8</v>
      </c>
      <c r="AQ104" s="12">
        <f t="shared" si="19"/>
        <v>67</v>
      </c>
      <c r="AR104" s="12"/>
      <c r="AS104" s="12">
        <f t="shared" si="22"/>
        <v>77.600000000000009</v>
      </c>
      <c r="AT104" s="12">
        <f t="shared" si="22"/>
        <v>83.2</v>
      </c>
      <c r="AU104" s="12">
        <f t="shared" si="22"/>
        <v>59</v>
      </c>
      <c r="AV104" s="12">
        <f t="shared" si="20"/>
        <v>85</v>
      </c>
      <c r="AW104" s="12">
        <f t="shared" si="20"/>
        <v>0</v>
      </c>
      <c r="AX104" s="12">
        <f t="shared" si="20"/>
        <v>63.9</v>
      </c>
      <c r="AY104" s="12"/>
      <c r="AZ104" s="12">
        <f t="shared" si="14"/>
        <v>21.799999999999997</v>
      </c>
      <c r="BA104" s="12">
        <f t="shared" si="15"/>
        <v>52.800000000000004</v>
      </c>
      <c r="BB104" s="12"/>
      <c r="BC104" s="12">
        <f t="shared" si="16"/>
        <v>34.1</v>
      </c>
      <c r="BD104" s="12">
        <f t="shared" si="17"/>
        <v>0</v>
      </c>
      <c r="BE104" s="12">
        <f t="shared" si="18"/>
        <v>17.400000000000006</v>
      </c>
    </row>
    <row r="105" spans="1:57" ht="15.75" customHeight="1" x14ac:dyDescent="0.25">
      <c r="A105" s="1" t="s">
        <v>225</v>
      </c>
      <c r="B105" s="3" t="s">
        <v>139</v>
      </c>
      <c r="C105" s="4" t="s">
        <v>87</v>
      </c>
      <c r="D105" s="4">
        <v>6</v>
      </c>
      <c r="E105" s="4">
        <v>105</v>
      </c>
      <c r="F105" s="4">
        <v>6</v>
      </c>
      <c r="G105" s="4">
        <v>105</v>
      </c>
      <c r="H105" s="4">
        <v>0.60599999999999998</v>
      </c>
      <c r="I105" s="4">
        <v>10.1</v>
      </c>
      <c r="J105" s="4">
        <v>0</v>
      </c>
      <c r="K105" s="4">
        <v>0.66700000000000004</v>
      </c>
      <c r="L105" s="4">
        <v>0.45500000000000002</v>
      </c>
      <c r="M105" s="4">
        <v>0.21199999999999999</v>
      </c>
      <c r="N105" s="4">
        <v>0</v>
      </c>
      <c r="O105" s="4">
        <v>0</v>
      </c>
      <c r="P105" s="4">
        <v>0.33300000000000002</v>
      </c>
      <c r="Q105" s="4">
        <v>0</v>
      </c>
      <c r="R105" s="4">
        <v>0.77300000000000002</v>
      </c>
      <c r="S105" s="4">
        <v>0.8</v>
      </c>
      <c r="T105" s="4">
        <v>0.71399999999999997</v>
      </c>
      <c r="U105" s="4">
        <v>0</v>
      </c>
      <c r="V105" s="4">
        <v>0</v>
      </c>
      <c r="W105" s="4">
        <v>0.27300000000000002</v>
      </c>
      <c r="X105" s="4">
        <v>0</v>
      </c>
      <c r="Y105" s="4">
        <v>0.82399999999999995</v>
      </c>
      <c r="Z105" s="4">
        <v>1</v>
      </c>
      <c r="AA105" s="4">
        <v>0</v>
      </c>
      <c r="AB105" s="4">
        <v>0.45500000000000002</v>
      </c>
      <c r="AC105" s="4">
        <v>0.2</v>
      </c>
      <c r="AD105" s="10">
        <f t="shared" si="12"/>
        <v>0.88260800000000006</v>
      </c>
      <c r="AE105" s="9"/>
      <c r="AF105" s="9"/>
      <c r="AG105" s="12">
        <f t="shared" si="13"/>
        <v>25.4</v>
      </c>
      <c r="AH105" s="12">
        <f t="shared" si="13"/>
        <v>36.6</v>
      </c>
      <c r="AI105" s="12">
        <f t="shared" si="13"/>
        <v>91.9</v>
      </c>
      <c r="AJ105" s="12">
        <f t="shared" si="13"/>
        <v>23.599999999999998</v>
      </c>
      <c r="AK105" s="12"/>
      <c r="AL105" s="12">
        <f t="shared" si="21"/>
        <v>61.4</v>
      </c>
      <c r="AM105" s="12">
        <f t="shared" si="21"/>
        <v>86.9</v>
      </c>
      <c r="AN105" s="12">
        <f t="shared" si="21"/>
        <v>42.8</v>
      </c>
      <c r="AO105" s="12">
        <f t="shared" si="19"/>
        <v>0</v>
      </c>
      <c r="AP105" s="12">
        <f t="shared" si="19"/>
        <v>0</v>
      </c>
      <c r="AQ105" s="12">
        <f t="shared" si="19"/>
        <v>36.6</v>
      </c>
      <c r="AR105" s="12"/>
      <c r="AS105" s="12">
        <f t="shared" si="22"/>
        <v>95</v>
      </c>
      <c r="AT105" s="12">
        <f t="shared" si="22"/>
        <v>73.2</v>
      </c>
      <c r="AU105" s="12">
        <f t="shared" si="22"/>
        <v>94.399999999999991</v>
      </c>
      <c r="AV105" s="12">
        <f t="shared" si="20"/>
        <v>0</v>
      </c>
      <c r="AW105" s="12">
        <f t="shared" si="20"/>
        <v>0</v>
      </c>
      <c r="AX105" s="12">
        <f t="shared" si="20"/>
        <v>34.1</v>
      </c>
      <c r="AY105" s="12"/>
      <c r="AZ105" s="12">
        <f t="shared" si="14"/>
        <v>19.299999999999997</v>
      </c>
      <c r="BA105" s="12">
        <f t="shared" si="15"/>
        <v>52.800000000000004</v>
      </c>
      <c r="BB105" s="12"/>
      <c r="BC105" s="12">
        <f t="shared" si="16"/>
        <v>85.7</v>
      </c>
      <c r="BD105" s="12">
        <f t="shared" si="17"/>
        <v>49</v>
      </c>
      <c r="BE105" s="12">
        <f t="shared" si="18"/>
        <v>18.100000000000009</v>
      </c>
    </row>
    <row r="106" spans="1:57" ht="15.75" customHeight="1" x14ac:dyDescent="0.25">
      <c r="A106" s="1" t="s">
        <v>194</v>
      </c>
      <c r="B106" s="3" t="s">
        <v>95</v>
      </c>
      <c r="C106" s="4" t="s">
        <v>8</v>
      </c>
      <c r="D106" s="4">
        <v>8</v>
      </c>
      <c r="E106" s="4">
        <v>105</v>
      </c>
      <c r="F106" s="4">
        <v>8</v>
      </c>
      <c r="G106" s="4">
        <v>105</v>
      </c>
      <c r="H106" s="4">
        <v>0.36399999999999999</v>
      </c>
      <c r="I106" s="4">
        <v>21.3</v>
      </c>
      <c r="J106" s="4">
        <v>0</v>
      </c>
      <c r="K106" s="4">
        <v>0.24199999999999999</v>
      </c>
      <c r="L106" s="4">
        <v>0.121</v>
      </c>
      <c r="M106" s="4">
        <v>6.0999999999999999E-2</v>
      </c>
      <c r="N106" s="4">
        <v>0.03</v>
      </c>
      <c r="O106" s="4">
        <v>0.03</v>
      </c>
      <c r="P106" s="4">
        <v>0.75800000000000001</v>
      </c>
      <c r="Q106" s="4">
        <v>0</v>
      </c>
      <c r="R106" s="4">
        <v>0.375</v>
      </c>
      <c r="S106" s="4">
        <v>0.5</v>
      </c>
      <c r="T106" s="4">
        <v>0.5</v>
      </c>
      <c r="U106" s="4">
        <v>0</v>
      </c>
      <c r="V106" s="4">
        <v>0</v>
      </c>
      <c r="W106" s="4">
        <v>0.36</v>
      </c>
      <c r="X106" s="4">
        <v>0</v>
      </c>
      <c r="Y106" s="4">
        <v>0.33300000000000002</v>
      </c>
      <c r="Z106" s="4">
        <v>0.66700000000000004</v>
      </c>
      <c r="AA106" s="4">
        <v>0</v>
      </c>
      <c r="AB106" s="4">
        <v>0.2</v>
      </c>
      <c r="AC106" s="4">
        <v>0.6</v>
      </c>
      <c r="AD106" s="10">
        <f t="shared" si="12"/>
        <v>0.58617200000000003</v>
      </c>
      <c r="AE106" s="9"/>
      <c r="AF106" s="9"/>
      <c r="AG106" s="12">
        <f t="shared" si="13"/>
        <v>69.5</v>
      </c>
      <c r="AH106" s="12">
        <f t="shared" si="13"/>
        <v>36.6</v>
      </c>
      <c r="AI106" s="12">
        <f t="shared" si="13"/>
        <v>20.399999999999999</v>
      </c>
      <c r="AJ106" s="12">
        <f t="shared" si="13"/>
        <v>95.6</v>
      </c>
      <c r="AK106" s="12"/>
      <c r="AL106" s="12">
        <f t="shared" si="21"/>
        <v>4.3</v>
      </c>
      <c r="AM106" s="12">
        <f t="shared" si="21"/>
        <v>22.3</v>
      </c>
      <c r="AN106" s="12">
        <f t="shared" si="21"/>
        <v>8</v>
      </c>
      <c r="AO106" s="12">
        <f t="shared" si="19"/>
        <v>27.900000000000002</v>
      </c>
      <c r="AP106" s="12">
        <f t="shared" si="19"/>
        <v>41.6</v>
      </c>
      <c r="AQ106" s="12">
        <f t="shared" si="19"/>
        <v>95</v>
      </c>
      <c r="AR106" s="12"/>
      <c r="AS106" s="12">
        <f t="shared" si="22"/>
        <v>13.600000000000001</v>
      </c>
      <c r="AT106" s="12">
        <f t="shared" si="22"/>
        <v>22.900000000000002</v>
      </c>
      <c r="AU106" s="12">
        <f t="shared" si="22"/>
        <v>59</v>
      </c>
      <c r="AV106" s="12">
        <f t="shared" si="20"/>
        <v>0</v>
      </c>
      <c r="AW106" s="12">
        <f t="shared" si="20"/>
        <v>0</v>
      </c>
      <c r="AX106" s="12">
        <f t="shared" si="20"/>
        <v>61.4</v>
      </c>
      <c r="AY106" s="12"/>
      <c r="AZ106" s="12">
        <f t="shared" si="14"/>
        <v>82</v>
      </c>
      <c r="BA106" s="12">
        <f t="shared" si="15"/>
        <v>78.3</v>
      </c>
      <c r="BB106" s="12"/>
      <c r="BC106" s="12">
        <f t="shared" si="16"/>
        <v>50.3</v>
      </c>
      <c r="BD106" s="12">
        <f t="shared" si="17"/>
        <v>81.3</v>
      </c>
      <c r="BE106" s="12">
        <f t="shared" si="18"/>
        <v>71.5</v>
      </c>
    </row>
    <row r="107" spans="1:57" ht="15.75" customHeight="1" x14ac:dyDescent="0.25">
      <c r="A107" s="1" t="s">
        <v>189</v>
      </c>
      <c r="B107" s="3" t="s">
        <v>139</v>
      </c>
      <c r="C107" s="4" t="s">
        <v>8</v>
      </c>
      <c r="D107" s="4">
        <v>4</v>
      </c>
      <c r="E107" s="4">
        <v>102</v>
      </c>
      <c r="F107" s="4">
        <v>4</v>
      </c>
      <c r="G107" s="4">
        <v>102</v>
      </c>
      <c r="H107" s="4">
        <v>0.33300000000000002</v>
      </c>
      <c r="I107" s="4">
        <v>18.100000000000001</v>
      </c>
      <c r="J107" s="4">
        <v>0</v>
      </c>
      <c r="K107" s="4">
        <v>0.47199999999999998</v>
      </c>
      <c r="L107" s="4">
        <v>5.6000000000000001E-2</v>
      </c>
      <c r="M107" s="4">
        <v>0.13900000000000001</v>
      </c>
      <c r="N107" s="4">
        <v>0.19400000000000001</v>
      </c>
      <c r="O107" s="4">
        <v>8.3000000000000004E-2</v>
      </c>
      <c r="P107" s="4">
        <v>0.52800000000000002</v>
      </c>
      <c r="Q107" s="4">
        <v>0</v>
      </c>
      <c r="R107" s="4">
        <v>0.47099999999999997</v>
      </c>
      <c r="S107" s="4">
        <v>1</v>
      </c>
      <c r="T107" s="4">
        <v>0.4</v>
      </c>
      <c r="U107" s="4">
        <v>0.42899999999999999</v>
      </c>
      <c r="V107" s="4">
        <v>0.33300000000000002</v>
      </c>
      <c r="W107" s="4">
        <v>0.21099999999999999</v>
      </c>
      <c r="X107" s="4">
        <v>0</v>
      </c>
      <c r="Y107" s="4">
        <v>0.75</v>
      </c>
      <c r="Z107" s="4">
        <v>1</v>
      </c>
      <c r="AA107" s="4">
        <v>0</v>
      </c>
      <c r="AB107" s="4">
        <v>0.158</v>
      </c>
      <c r="AC107" s="4">
        <v>0</v>
      </c>
      <c r="AD107" s="10">
        <f t="shared" si="12"/>
        <v>0.88200000000000001</v>
      </c>
      <c r="AE107" s="9"/>
      <c r="AF107" s="9"/>
      <c r="AG107" s="12">
        <f t="shared" si="13"/>
        <v>10.5</v>
      </c>
      <c r="AH107" s="12">
        <f t="shared" si="13"/>
        <v>36</v>
      </c>
      <c r="AI107" s="12">
        <f t="shared" si="13"/>
        <v>12.4</v>
      </c>
      <c r="AJ107" s="12">
        <f t="shared" si="13"/>
        <v>83.8</v>
      </c>
      <c r="AK107" s="12"/>
      <c r="AL107" s="12">
        <f t="shared" si="21"/>
        <v>24.8</v>
      </c>
      <c r="AM107" s="12">
        <f t="shared" si="21"/>
        <v>11.1</v>
      </c>
      <c r="AN107" s="12">
        <f t="shared" si="21"/>
        <v>25.4</v>
      </c>
      <c r="AO107" s="12">
        <f t="shared" si="19"/>
        <v>92.5</v>
      </c>
      <c r="AP107" s="12">
        <f t="shared" si="19"/>
        <v>77</v>
      </c>
      <c r="AQ107" s="12">
        <f t="shared" si="19"/>
        <v>75.099999999999994</v>
      </c>
      <c r="AR107" s="12"/>
      <c r="AS107" s="12">
        <f t="shared" si="22"/>
        <v>33.5</v>
      </c>
      <c r="AT107" s="12">
        <f t="shared" si="22"/>
        <v>88.1</v>
      </c>
      <c r="AU107" s="12">
        <f t="shared" si="22"/>
        <v>43.4</v>
      </c>
      <c r="AV107" s="12">
        <f t="shared" si="20"/>
        <v>67</v>
      </c>
      <c r="AW107" s="12">
        <f t="shared" si="20"/>
        <v>65.8</v>
      </c>
      <c r="AX107" s="12">
        <f t="shared" si="20"/>
        <v>26</v>
      </c>
      <c r="AY107" s="12"/>
      <c r="AZ107" s="12">
        <f t="shared" si="14"/>
        <v>33</v>
      </c>
      <c r="BA107" s="12">
        <f t="shared" si="15"/>
        <v>52.800000000000004</v>
      </c>
      <c r="BB107" s="12"/>
      <c r="BC107" s="12">
        <f t="shared" si="16"/>
        <v>44</v>
      </c>
      <c r="BD107" s="12">
        <f t="shared" si="17"/>
        <v>0</v>
      </c>
      <c r="BE107" s="12">
        <f t="shared" si="18"/>
        <v>18.700000000000003</v>
      </c>
    </row>
    <row r="108" spans="1:57" ht="15.75" customHeight="1" x14ac:dyDescent="0.25">
      <c r="A108" s="1" t="s">
        <v>237</v>
      </c>
      <c r="B108" s="3" t="s">
        <v>160</v>
      </c>
      <c r="C108" s="4" t="s">
        <v>8</v>
      </c>
      <c r="D108" s="4">
        <v>7</v>
      </c>
      <c r="E108" s="4">
        <v>97</v>
      </c>
      <c r="F108" s="4">
        <v>7</v>
      </c>
      <c r="G108" s="4">
        <v>97</v>
      </c>
      <c r="H108" s="4">
        <v>0.46700000000000003</v>
      </c>
      <c r="I108" s="4">
        <v>14</v>
      </c>
      <c r="J108" s="4">
        <v>0</v>
      </c>
      <c r="K108" s="4">
        <v>0.53300000000000003</v>
      </c>
      <c r="L108" s="4">
        <v>0.16700000000000001</v>
      </c>
      <c r="M108" s="4">
        <v>0.3</v>
      </c>
      <c r="N108" s="4">
        <v>6.7000000000000004E-2</v>
      </c>
      <c r="O108" s="4">
        <v>0</v>
      </c>
      <c r="P108" s="4">
        <v>0.46700000000000003</v>
      </c>
      <c r="Q108" s="4">
        <v>0</v>
      </c>
      <c r="R108" s="4">
        <v>0.625</v>
      </c>
      <c r="S108" s="4">
        <v>1</v>
      </c>
      <c r="T108" s="4">
        <v>0.55600000000000005</v>
      </c>
      <c r="U108" s="4">
        <v>0</v>
      </c>
      <c r="V108" s="4">
        <v>0</v>
      </c>
      <c r="W108" s="4">
        <v>0.28599999999999998</v>
      </c>
      <c r="X108" s="4">
        <v>0</v>
      </c>
      <c r="Y108" s="4">
        <v>0.7</v>
      </c>
      <c r="Z108" s="4">
        <v>1</v>
      </c>
      <c r="AA108" s="4">
        <v>0</v>
      </c>
      <c r="AB108" s="4">
        <v>0.42899999999999999</v>
      </c>
      <c r="AC108" s="4">
        <v>0.33300000000000002</v>
      </c>
      <c r="AD108" s="10">
        <f t="shared" si="12"/>
        <v>0.84010000000000007</v>
      </c>
      <c r="AE108" s="9"/>
      <c r="AF108" s="9"/>
      <c r="AG108" s="12">
        <f t="shared" si="13"/>
        <v>47.199999999999996</v>
      </c>
      <c r="AH108" s="12">
        <f t="shared" si="13"/>
        <v>34.699999999999996</v>
      </c>
      <c r="AI108" s="12">
        <f t="shared" si="13"/>
        <v>56.499999999999993</v>
      </c>
      <c r="AJ108" s="12">
        <f t="shared" si="13"/>
        <v>54</v>
      </c>
      <c r="AK108" s="12"/>
      <c r="AL108" s="12">
        <f t="shared" si="21"/>
        <v>33.5</v>
      </c>
      <c r="AM108" s="12">
        <f t="shared" si="21"/>
        <v>30.4</v>
      </c>
      <c r="AN108" s="12">
        <f t="shared" si="21"/>
        <v>68.300000000000011</v>
      </c>
      <c r="AO108" s="12">
        <f t="shared" si="19"/>
        <v>52.7</v>
      </c>
      <c r="AP108" s="12">
        <f t="shared" si="19"/>
        <v>0</v>
      </c>
      <c r="AQ108" s="12">
        <f t="shared" si="19"/>
        <v>66.400000000000006</v>
      </c>
      <c r="AR108" s="12"/>
      <c r="AS108" s="12">
        <f t="shared" si="22"/>
        <v>80.100000000000009</v>
      </c>
      <c r="AT108" s="12">
        <f t="shared" si="22"/>
        <v>88.1</v>
      </c>
      <c r="AU108" s="12">
        <f t="shared" si="22"/>
        <v>77</v>
      </c>
      <c r="AV108" s="12">
        <f t="shared" si="20"/>
        <v>0</v>
      </c>
      <c r="AW108" s="12">
        <f t="shared" si="20"/>
        <v>0</v>
      </c>
      <c r="AX108" s="12">
        <f t="shared" si="20"/>
        <v>39.700000000000003</v>
      </c>
      <c r="AY108" s="12"/>
      <c r="AZ108" s="12">
        <f t="shared" si="14"/>
        <v>37.299999999999997</v>
      </c>
      <c r="BA108" s="12">
        <f t="shared" si="15"/>
        <v>52.800000000000004</v>
      </c>
      <c r="BB108" s="12"/>
      <c r="BC108" s="12">
        <f t="shared" si="16"/>
        <v>83.8</v>
      </c>
      <c r="BD108" s="12">
        <f t="shared" si="17"/>
        <v>58.3</v>
      </c>
      <c r="BE108" s="12">
        <f t="shared" si="18"/>
        <v>26.799999999999997</v>
      </c>
    </row>
    <row r="109" spans="1:57" ht="15.75" customHeight="1" x14ac:dyDescent="0.25">
      <c r="A109" s="1" t="s">
        <v>239</v>
      </c>
      <c r="B109" s="4" t="s">
        <v>164</v>
      </c>
      <c r="C109" s="4" t="s">
        <v>8</v>
      </c>
      <c r="D109" s="4">
        <v>8</v>
      </c>
      <c r="E109" s="4">
        <v>97</v>
      </c>
      <c r="F109" s="4">
        <v>8</v>
      </c>
      <c r="G109" s="4">
        <v>97</v>
      </c>
      <c r="H109" s="4">
        <v>0.36399999999999999</v>
      </c>
      <c r="I109" s="4">
        <v>21.3</v>
      </c>
      <c r="J109" s="4">
        <v>0</v>
      </c>
      <c r="K109" s="4">
        <v>0.24199999999999999</v>
      </c>
      <c r="L109" s="4">
        <v>6.0999999999999999E-2</v>
      </c>
      <c r="M109" s="4">
        <v>0.03</v>
      </c>
      <c r="N109" s="4">
        <v>9.0999999999999998E-2</v>
      </c>
      <c r="O109" s="4">
        <v>6.0999999999999999E-2</v>
      </c>
      <c r="P109" s="4">
        <v>0.75800000000000001</v>
      </c>
      <c r="Q109" s="4">
        <v>0</v>
      </c>
      <c r="R109" s="4">
        <v>0.5</v>
      </c>
      <c r="S109" s="4">
        <v>1</v>
      </c>
      <c r="T109" s="4">
        <v>0</v>
      </c>
      <c r="U109" s="4">
        <v>0</v>
      </c>
      <c r="V109" s="4">
        <v>1</v>
      </c>
      <c r="W109" s="4">
        <v>0.32</v>
      </c>
      <c r="X109" s="4">
        <v>0</v>
      </c>
      <c r="Y109" s="4">
        <v>1</v>
      </c>
      <c r="Z109" s="4">
        <v>0.875</v>
      </c>
      <c r="AA109" s="4">
        <v>0</v>
      </c>
      <c r="AB109" s="4">
        <v>0.16</v>
      </c>
      <c r="AC109" s="4">
        <v>0.25</v>
      </c>
      <c r="AD109" s="10">
        <f t="shared" si="12"/>
        <v>0.90525</v>
      </c>
      <c r="AE109" s="9"/>
      <c r="AF109" s="9"/>
      <c r="AG109" s="12">
        <f t="shared" si="13"/>
        <v>69.5</v>
      </c>
      <c r="AH109" s="12">
        <f t="shared" si="13"/>
        <v>34.699999999999996</v>
      </c>
      <c r="AI109" s="12">
        <f t="shared" si="13"/>
        <v>20.399999999999999</v>
      </c>
      <c r="AJ109" s="12">
        <f t="shared" si="13"/>
        <v>95.6</v>
      </c>
      <c r="AK109" s="12"/>
      <c r="AL109" s="12">
        <f t="shared" si="21"/>
        <v>4.3</v>
      </c>
      <c r="AM109" s="12">
        <f t="shared" si="21"/>
        <v>11.799999999999999</v>
      </c>
      <c r="AN109" s="12">
        <f t="shared" si="21"/>
        <v>6.2</v>
      </c>
      <c r="AO109" s="12">
        <f t="shared" si="19"/>
        <v>66.400000000000006</v>
      </c>
      <c r="AP109" s="12">
        <f t="shared" si="19"/>
        <v>68.300000000000011</v>
      </c>
      <c r="AQ109" s="12">
        <f t="shared" si="19"/>
        <v>95</v>
      </c>
      <c r="AR109" s="12"/>
      <c r="AS109" s="12">
        <f t="shared" si="22"/>
        <v>40.9</v>
      </c>
      <c r="AT109" s="12">
        <f t="shared" si="22"/>
        <v>88.1</v>
      </c>
      <c r="AU109" s="12">
        <f t="shared" si="22"/>
        <v>0</v>
      </c>
      <c r="AV109" s="12">
        <f t="shared" si="20"/>
        <v>0</v>
      </c>
      <c r="AW109" s="12">
        <f t="shared" si="20"/>
        <v>91.3</v>
      </c>
      <c r="AX109" s="12">
        <f t="shared" si="20"/>
        <v>45.9</v>
      </c>
      <c r="AY109" s="12"/>
      <c r="AZ109" s="12">
        <f t="shared" si="14"/>
        <v>9.3999999999999915</v>
      </c>
      <c r="BA109" s="12">
        <f t="shared" si="15"/>
        <v>60.3</v>
      </c>
      <c r="BB109" s="12"/>
      <c r="BC109" s="12">
        <f t="shared" si="16"/>
        <v>45.300000000000004</v>
      </c>
      <c r="BD109" s="12">
        <f t="shared" si="17"/>
        <v>52.7</v>
      </c>
      <c r="BE109" s="12">
        <f t="shared" si="18"/>
        <v>16.799999999999997</v>
      </c>
    </row>
    <row r="110" spans="1:57" ht="15.75" customHeight="1" x14ac:dyDescent="0.25">
      <c r="A110" s="1" t="s">
        <v>222</v>
      </c>
      <c r="B110" s="3" t="s">
        <v>160</v>
      </c>
      <c r="C110" s="4" t="s">
        <v>121</v>
      </c>
      <c r="D110" s="4">
        <v>7</v>
      </c>
      <c r="E110" s="4">
        <v>96</v>
      </c>
      <c r="F110" s="4">
        <v>7</v>
      </c>
      <c r="G110" s="4">
        <v>96</v>
      </c>
      <c r="H110" s="4">
        <v>0.61899999999999999</v>
      </c>
      <c r="I110" s="4">
        <v>2.7</v>
      </c>
      <c r="J110" s="4">
        <v>0</v>
      </c>
      <c r="K110" s="4">
        <v>1</v>
      </c>
      <c r="L110" s="4">
        <v>0.71399999999999997</v>
      </c>
      <c r="M110" s="4">
        <v>0.23799999999999999</v>
      </c>
      <c r="N110" s="4">
        <v>4.8000000000000001E-2</v>
      </c>
      <c r="O110" s="4">
        <v>0</v>
      </c>
      <c r="P110" s="4">
        <v>0</v>
      </c>
      <c r="Q110" s="4">
        <v>0</v>
      </c>
      <c r="R110" s="4">
        <v>0.61899999999999999</v>
      </c>
      <c r="S110" s="4">
        <v>0.6</v>
      </c>
      <c r="T110" s="4">
        <v>0.6</v>
      </c>
      <c r="U110" s="4">
        <v>1</v>
      </c>
      <c r="V110" s="4">
        <v>0</v>
      </c>
      <c r="W110" s="4">
        <v>0</v>
      </c>
      <c r="X110" s="4">
        <v>0</v>
      </c>
      <c r="Y110" s="4">
        <v>0.84599999999999997</v>
      </c>
      <c r="Z110" s="4">
        <v>0</v>
      </c>
      <c r="AA110" s="4">
        <v>0</v>
      </c>
      <c r="AB110" s="4">
        <v>0</v>
      </c>
      <c r="AC110" s="4">
        <v>0</v>
      </c>
      <c r="AD110" s="10">
        <f t="shared" si="12"/>
        <v>0.84599999999999997</v>
      </c>
      <c r="AE110" s="9"/>
      <c r="AF110" s="9"/>
      <c r="AG110" s="12">
        <f t="shared" si="13"/>
        <v>47.199999999999996</v>
      </c>
      <c r="AH110" s="12">
        <f t="shared" si="13"/>
        <v>34.1</v>
      </c>
      <c r="AI110" s="12">
        <f t="shared" si="13"/>
        <v>93.100000000000009</v>
      </c>
      <c r="AJ110" s="12">
        <f t="shared" si="13"/>
        <v>0</v>
      </c>
      <c r="AK110" s="12"/>
      <c r="AL110" s="12">
        <f t="shared" si="21"/>
        <v>95</v>
      </c>
      <c r="AM110" s="12">
        <f t="shared" si="21"/>
        <v>99.3</v>
      </c>
      <c r="AN110" s="12">
        <f t="shared" si="21"/>
        <v>52.7</v>
      </c>
      <c r="AO110" s="12">
        <f t="shared" si="19"/>
        <v>39.700000000000003</v>
      </c>
      <c r="AP110" s="12">
        <f t="shared" si="19"/>
        <v>0</v>
      </c>
      <c r="AQ110" s="12">
        <f t="shared" si="19"/>
        <v>0</v>
      </c>
      <c r="AR110" s="12"/>
      <c r="AS110" s="12">
        <f t="shared" si="22"/>
        <v>79.5</v>
      </c>
      <c r="AT110" s="12">
        <f t="shared" si="22"/>
        <v>40.9</v>
      </c>
      <c r="AU110" s="12">
        <f t="shared" si="22"/>
        <v>84.399999999999991</v>
      </c>
      <c r="AV110" s="12">
        <f t="shared" si="20"/>
        <v>91.9</v>
      </c>
      <c r="AW110" s="12">
        <f t="shared" si="20"/>
        <v>0</v>
      </c>
      <c r="AX110" s="12">
        <f t="shared" si="20"/>
        <v>0</v>
      </c>
      <c r="AY110" s="12"/>
      <c r="AZ110" s="12">
        <f t="shared" si="14"/>
        <v>18.100000000000009</v>
      </c>
      <c r="BA110" s="12">
        <f t="shared" si="15"/>
        <v>100</v>
      </c>
      <c r="BB110" s="12"/>
      <c r="BC110" s="12">
        <f t="shared" si="16"/>
        <v>0</v>
      </c>
      <c r="BD110" s="12">
        <f t="shared" si="17"/>
        <v>0</v>
      </c>
      <c r="BE110" s="12">
        <f t="shared" si="18"/>
        <v>25.5</v>
      </c>
    </row>
    <row r="111" spans="1:57" ht="15.75" customHeight="1" x14ac:dyDescent="0.25">
      <c r="A111" s="1" t="s">
        <v>208</v>
      </c>
      <c r="B111" s="3" t="s">
        <v>109</v>
      </c>
      <c r="C111" s="4" t="s">
        <v>8</v>
      </c>
      <c r="D111" s="4">
        <v>9</v>
      </c>
      <c r="E111" s="4">
        <v>94</v>
      </c>
      <c r="F111" s="4">
        <v>9</v>
      </c>
      <c r="G111" s="4">
        <v>94</v>
      </c>
      <c r="H111" s="4">
        <v>0.40600000000000003</v>
      </c>
      <c r="I111" s="4">
        <v>15.1</v>
      </c>
      <c r="J111" s="4">
        <v>0</v>
      </c>
      <c r="K111" s="4">
        <v>0.59399999999999997</v>
      </c>
      <c r="L111" s="4">
        <v>0.125</v>
      </c>
      <c r="M111" s="4">
        <v>0.219</v>
      </c>
      <c r="N111" s="4">
        <v>0.219</v>
      </c>
      <c r="O111" s="4">
        <v>3.1E-2</v>
      </c>
      <c r="P111" s="4">
        <v>0.40600000000000003</v>
      </c>
      <c r="Q111" s="4">
        <v>0</v>
      </c>
      <c r="R111" s="4">
        <v>0.57899999999999996</v>
      </c>
      <c r="S111" s="4">
        <v>0.75</v>
      </c>
      <c r="T111" s="4">
        <v>0.57099999999999995</v>
      </c>
      <c r="U111" s="4">
        <v>0.57099999999999995</v>
      </c>
      <c r="V111" s="4">
        <v>0</v>
      </c>
      <c r="W111" s="4">
        <v>0.154</v>
      </c>
      <c r="X111" s="4">
        <v>0</v>
      </c>
      <c r="Y111" s="4">
        <v>0.63600000000000001</v>
      </c>
      <c r="Z111" s="4">
        <v>1</v>
      </c>
      <c r="AA111" s="4">
        <v>0</v>
      </c>
      <c r="AB111" s="4">
        <v>0.154</v>
      </c>
      <c r="AC111" s="4">
        <v>0.5</v>
      </c>
      <c r="AD111" s="10">
        <f t="shared" si="12"/>
        <v>0.78378400000000004</v>
      </c>
      <c r="AE111" s="9"/>
      <c r="AF111" s="9"/>
      <c r="AG111" s="12">
        <f t="shared" si="13"/>
        <v>96.2</v>
      </c>
      <c r="AH111" s="12">
        <f t="shared" si="13"/>
        <v>32.9</v>
      </c>
      <c r="AI111" s="12">
        <f t="shared" si="13"/>
        <v>32.200000000000003</v>
      </c>
      <c r="AJ111" s="12">
        <f t="shared" si="13"/>
        <v>63.9</v>
      </c>
      <c r="AK111" s="12"/>
      <c r="AL111" s="12">
        <f t="shared" si="21"/>
        <v>45.9</v>
      </c>
      <c r="AM111" s="12">
        <f t="shared" si="21"/>
        <v>22.900000000000002</v>
      </c>
      <c r="AN111" s="12">
        <f t="shared" si="21"/>
        <v>44.7</v>
      </c>
      <c r="AO111" s="12">
        <f t="shared" si="19"/>
        <v>95</v>
      </c>
      <c r="AP111" s="12">
        <f t="shared" si="19"/>
        <v>44</v>
      </c>
      <c r="AQ111" s="12">
        <f t="shared" si="19"/>
        <v>54</v>
      </c>
      <c r="AR111" s="12"/>
      <c r="AS111" s="12">
        <f t="shared" si="22"/>
        <v>69.5</v>
      </c>
      <c r="AT111" s="12">
        <f t="shared" si="22"/>
        <v>66.400000000000006</v>
      </c>
      <c r="AU111" s="12">
        <f t="shared" si="22"/>
        <v>78.8</v>
      </c>
      <c r="AV111" s="12">
        <f t="shared" si="20"/>
        <v>80.100000000000009</v>
      </c>
      <c r="AW111" s="12">
        <f t="shared" si="20"/>
        <v>0</v>
      </c>
      <c r="AX111" s="12">
        <f t="shared" si="20"/>
        <v>19.8</v>
      </c>
      <c r="AY111" s="12"/>
      <c r="AZ111" s="12">
        <f t="shared" si="14"/>
        <v>45.4</v>
      </c>
      <c r="BA111" s="12">
        <f t="shared" si="15"/>
        <v>52.800000000000004</v>
      </c>
      <c r="BB111" s="12"/>
      <c r="BC111" s="12">
        <f t="shared" si="16"/>
        <v>42.8</v>
      </c>
      <c r="BD111" s="12">
        <f t="shared" si="17"/>
        <v>70.8</v>
      </c>
      <c r="BE111" s="12">
        <f t="shared" si="18"/>
        <v>37.299999999999997</v>
      </c>
    </row>
    <row r="112" spans="1:57" ht="15.75" customHeight="1" x14ac:dyDescent="0.25">
      <c r="A112" s="1" t="s">
        <v>238</v>
      </c>
      <c r="B112" s="3" t="s">
        <v>164</v>
      </c>
      <c r="C112" s="4" t="s">
        <v>87</v>
      </c>
      <c r="D112" s="4">
        <v>8</v>
      </c>
      <c r="E112" s="4">
        <v>94</v>
      </c>
      <c r="F112" s="4">
        <v>8</v>
      </c>
      <c r="G112" s="4">
        <v>94</v>
      </c>
      <c r="H112" s="4">
        <v>0.47599999999999998</v>
      </c>
      <c r="I112" s="4">
        <v>11.2</v>
      </c>
      <c r="J112" s="4">
        <v>0</v>
      </c>
      <c r="K112" s="4">
        <v>0.61899999999999999</v>
      </c>
      <c r="L112" s="4">
        <v>0.33300000000000002</v>
      </c>
      <c r="M112" s="4">
        <v>0.23799999999999999</v>
      </c>
      <c r="N112" s="4">
        <v>4.8000000000000001E-2</v>
      </c>
      <c r="O112" s="4">
        <v>0</v>
      </c>
      <c r="P112" s="4">
        <v>0.38100000000000001</v>
      </c>
      <c r="Q112" s="4">
        <v>0</v>
      </c>
      <c r="R112" s="4">
        <v>0.53800000000000003</v>
      </c>
      <c r="S112" s="4">
        <v>0.57099999999999995</v>
      </c>
      <c r="T112" s="4">
        <v>0.4</v>
      </c>
      <c r="U112" s="4">
        <v>1</v>
      </c>
      <c r="V112" s="4">
        <v>0</v>
      </c>
      <c r="W112" s="4">
        <v>0.375</v>
      </c>
      <c r="X112" s="4">
        <v>0</v>
      </c>
      <c r="Y112" s="4">
        <v>0.71399999999999997</v>
      </c>
      <c r="Z112" s="4">
        <v>1</v>
      </c>
      <c r="AA112" s="4">
        <v>0</v>
      </c>
      <c r="AB112" s="4">
        <v>0.75</v>
      </c>
      <c r="AC112" s="4">
        <v>0.5</v>
      </c>
      <c r="AD112" s="10">
        <f t="shared" si="12"/>
        <v>0.82296599999999998</v>
      </c>
      <c r="AE112" s="9"/>
      <c r="AF112" s="9"/>
      <c r="AG112" s="12">
        <f t="shared" si="13"/>
        <v>69.5</v>
      </c>
      <c r="AH112" s="12">
        <f t="shared" si="13"/>
        <v>32.9</v>
      </c>
      <c r="AI112" s="12">
        <f t="shared" si="13"/>
        <v>60.8</v>
      </c>
      <c r="AJ112" s="12">
        <f t="shared" si="13"/>
        <v>32.200000000000003</v>
      </c>
      <c r="AK112" s="12"/>
      <c r="AL112" s="12">
        <f t="shared" si="21"/>
        <v>50.9</v>
      </c>
      <c r="AM112" s="12">
        <f t="shared" si="21"/>
        <v>72.599999999999994</v>
      </c>
      <c r="AN112" s="12">
        <f t="shared" si="21"/>
        <v>52.7</v>
      </c>
      <c r="AO112" s="12">
        <f t="shared" si="19"/>
        <v>39.700000000000003</v>
      </c>
      <c r="AP112" s="12">
        <f t="shared" si="19"/>
        <v>0</v>
      </c>
      <c r="AQ112" s="12">
        <f t="shared" si="19"/>
        <v>49</v>
      </c>
      <c r="AR112" s="12"/>
      <c r="AS112" s="12">
        <f t="shared" si="22"/>
        <v>59.599999999999994</v>
      </c>
      <c r="AT112" s="12">
        <f t="shared" si="22"/>
        <v>35.4</v>
      </c>
      <c r="AU112" s="12">
        <f t="shared" si="22"/>
        <v>43.4</v>
      </c>
      <c r="AV112" s="12">
        <f t="shared" si="20"/>
        <v>91.9</v>
      </c>
      <c r="AW112" s="12">
        <f t="shared" si="20"/>
        <v>0</v>
      </c>
      <c r="AX112" s="12">
        <f t="shared" si="20"/>
        <v>63.9</v>
      </c>
      <c r="AY112" s="12"/>
      <c r="AZ112" s="12">
        <f t="shared" si="14"/>
        <v>36.700000000000003</v>
      </c>
      <c r="BA112" s="12">
        <f t="shared" si="15"/>
        <v>52.800000000000004</v>
      </c>
      <c r="BB112" s="12"/>
      <c r="BC112" s="12">
        <f t="shared" si="16"/>
        <v>98.7</v>
      </c>
      <c r="BD112" s="12">
        <f t="shared" si="17"/>
        <v>70.8</v>
      </c>
      <c r="BE112" s="12">
        <f t="shared" si="18"/>
        <v>31.100000000000009</v>
      </c>
    </row>
    <row r="113" spans="1:57" ht="15.75" customHeight="1" x14ac:dyDescent="0.25">
      <c r="A113" s="1" t="s">
        <v>220</v>
      </c>
      <c r="B113" s="3" t="s">
        <v>98</v>
      </c>
      <c r="C113" s="4" t="s">
        <v>8</v>
      </c>
      <c r="D113" s="4">
        <v>7</v>
      </c>
      <c r="E113" s="4">
        <v>92</v>
      </c>
      <c r="F113" s="4">
        <v>7</v>
      </c>
      <c r="G113" s="4">
        <v>92</v>
      </c>
      <c r="H113" s="4">
        <v>0.40699999999999997</v>
      </c>
      <c r="I113" s="4">
        <v>16.7</v>
      </c>
      <c r="J113" s="4">
        <v>0</v>
      </c>
      <c r="K113" s="4">
        <v>0.44400000000000001</v>
      </c>
      <c r="L113" s="4">
        <v>0.25900000000000001</v>
      </c>
      <c r="M113" s="4">
        <v>3.6999999999999998E-2</v>
      </c>
      <c r="N113" s="4">
        <v>3.6999999999999998E-2</v>
      </c>
      <c r="O113" s="4">
        <v>0.111</v>
      </c>
      <c r="P113" s="4">
        <v>0.55600000000000005</v>
      </c>
      <c r="Q113" s="4">
        <v>0</v>
      </c>
      <c r="R113" s="4">
        <v>0.41699999999999998</v>
      </c>
      <c r="S113" s="4">
        <v>0.28599999999999998</v>
      </c>
      <c r="T113" s="4">
        <v>0</v>
      </c>
      <c r="U113" s="4">
        <v>0</v>
      </c>
      <c r="V113" s="4">
        <v>1</v>
      </c>
      <c r="W113" s="4">
        <v>0.4</v>
      </c>
      <c r="X113" s="4">
        <v>0</v>
      </c>
      <c r="Y113" s="4">
        <v>0.4</v>
      </c>
      <c r="Z113" s="4">
        <v>0.66700000000000004</v>
      </c>
      <c r="AA113" s="4">
        <v>0</v>
      </c>
      <c r="AB113" s="4">
        <v>0.33300000000000002</v>
      </c>
      <c r="AC113" s="4">
        <v>0.6</v>
      </c>
      <c r="AD113" s="10">
        <f t="shared" si="12"/>
        <v>0.54845200000000005</v>
      </c>
      <c r="AE113" s="9"/>
      <c r="AF113" s="9"/>
      <c r="AG113" s="12">
        <f t="shared" si="13"/>
        <v>47.199999999999996</v>
      </c>
      <c r="AH113" s="12">
        <f t="shared" si="13"/>
        <v>32.200000000000003</v>
      </c>
      <c r="AI113" s="12">
        <f t="shared" si="13"/>
        <v>32.9</v>
      </c>
      <c r="AJ113" s="12">
        <f t="shared" si="13"/>
        <v>74.5</v>
      </c>
      <c r="AK113" s="12"/>
      <c r="AL113" s="12">
        <f t="shared" si="21"/>
        <v>20.399999999999999</v>
      </c>
      <c r="AM113" s="12">
        <f t="shared" si="21"/>
        <v>59</v>
      </c>
      <c r="AN113" s="12">
        <f t="shared" si="21"/>
        <v>6.8000000000000007</v>
      </c>
      <c r="AO113" s="12">
        <f t="shared" si="19"/>
        <v>31.6</v>
      </c>
      <c r="AP113" s="12">
        <f t="shared" si="19"/>
        <v>87.5</v>
      </c>
      <c r="AQ113" s="12">
        <f t="shared" si="19"/>
        <v>77.600000000000009</v>
      </c>
      <c r="AR113" s="12"/>
      <c r="AS113" s="12">
        <f t="shared" si="22"/>
        <v>21.099999999999998</v>
      </c>
      <c r="AT113" s="12">
        <f t="shared" si="22"/>
        <v>9.3000000000000007</v>
      </c>
      <c r="AU113" s="12">
        <f t="shared" si="22"/>
        <v>0</v>
      </c>
      <c r="AV113" s="12">
        <f t="shared" si="20"/>
        <v>0</v>
      </c>
      <c r="AW113" s="12">
        <f t="shared" si="20"/>
        <v>91.3</v>
      </c>
      <c r="AX113" s="12">
        <f t="shared" si="20"/>
        <v>70.8</v>
      </c>
      <c r="AY113" s="12"/>
      <c r="AZ113" s="12">
        <f t="shared" si="14"/>
        <v>74.599999999999994</v>
      </c>
      <c r="BA113" s="12">
        <f t="shared" si="15"/>
        <v>78.3</v>
      </c>
      <c r="BB113" s="12"/>
      <c r="BC113" s="12">
        <f t="shared" si="16"/>
        <v>73.2</v>
      </c>
      <c r="BD113" s="12">
        <f t="shared" si="17"/>
        <v>81.3</v>
      </c>
      <c r="BE113" s="12">
        <f t="shared" si="18"/>
        <v>79.599999999999994</v>
      </c>
    </row>
    <row r="114" spans="1:57" ht="15.75" customHeight="1" x14ac:dyDescent="0.25">
      <c r="A114" s="1" t="s">
        <v>196</v>
      </c>
      <c r="B114" s="3" t="s">
        <v>98</v>
      </c>
      <c r="C114" s="4" t="s">
        <v>8</v>
      </c>
      <c r="D114" s="4">
        <v>7</v>
      </c>
      <c r="E114" s="4">
        <v>86</v>
      </c>
      <c r="F114" s="4">
        <v>7</v>
      </c>
      <c r="G114" s="4">
        <v>86</v>
      </c>
      <c r="H114" s="4">
        <v>0.46200000000000002</v>
      </c>
      <c r="I114" s="4">
        <v>14.7</v>
      </c>
      <c r="J114" s="4">
        <v>0</v>
      </c>
      <c r="K114" s="4">
        <v>0.46200000000000002</v>
      </c>
      <c r="L114" s="4">
        <v>0.308</v>
      </c>
      <c r="M114" s="4">
        <v>7.6999999999999999E-2</v>
      </c>
      <c r="N114" s="4">
        <v>7.6999999999999999E-2</v>
      </c>
      <c r="O114" s="4">
        <v>0</v>
      </c>
      <c r="P114" s="4">
        <v>0.53800000000000003</v>
      </c>
      <c r="Q114" s="4">
        <v>0</v>
      </c>
      <c r="R114" s="4">
        <v>0.5</v>
      </c>
      <c r="S114" s="4">
        <v>0.75</v>
      </c>
      <c r="T114" s="4">
        <v>0</v>
      </c>
      <c r="U114" s="4">
        <v>0</v>
      </c>
      <c r="V114" s="4">
        <v>0</v>
      </c>
      <c r="W114" s="4">
        <v>0.42899999999999999</v>
      </c>
      <c r="X114" s="4">
        <v>0</v>
      </c>
      <c r="Y114" s="4">
        <v>1</v>
      </c>
      <c r="Z114" s="4">
        <v>1</v>
      </c>
      <c r="AA114" s="4">
        <v>0</v>
      </c>
      <c r="AB114" s="4">
        <v>0.71399999999999997</v>
      </c>
      <c r="AC114" s="4">
        <v>0.4</v>
      </c>
      <c r="AD114" s="10">
        <f t="shared" si="12"/>
        <v>1</v>
      </c>
      <c r="AE114" s="9"/>
      <c r="AF114" s="9"/>
      <c r="AG114" s="12">
        <f t="shared" si="13"/>
        <v>47.199999999999996</v>
      </c>
      <c r="AH114" s="12">
        <f t="shared" si="13"/>
        <v>31.6</v>
      </c>
      <c r="AI114" s="12">
        <f t="shared" si="13"/>
        <v>52.7</v>
      </c>
      <c r="AJ114" s="12">
        <f t="shared" si="13"/>
        <v>60.8</v>
      </c>
      <c r="AK114" s="12"/>
      <c r="AL114" s="12">
        <f t="shared" si="21"/>
        <v>24.2</v>
      </c>
      <c r="AM114" s="12">
        <f t="shared" si="21"/>
        <v>67.7</v>
      </c>
      <c r="AN114" s="12">
        <f t="shared" si="21"/>
        <v>11.799999999999999</v>
      </c>
      <c r="AO114" s="12">
        <f t="shared" si="19"/>
        <v>60.8</v>
      </c>
      <c r="AP114" s="12">
        <f t="shared" si="19"/>
        <v>0</v>
      </c>
      <c r="AQ114" s="12">
        <f t="shared" si="19"/>
        <v>75.7</v>
      </c>
      <c r="AR114" s="12"/>
      <c r="AS114" s="12">
        <f t="shared" si="22"/>
        <v>40.9</v>
      </c>
      <c r="AT114" s="12">
        <f t="shared" si="22"/>
        <v>66.400000000000006</v>
      </c>
      <c r="AU114" s="12">
        <f t="shared" si="22"/>
        <v>0</v>
      </c>
      <c r="AV114" s="12">
        <f t="shared" si="20"/>
        <v>0</v>
      </c>
      <c r="AW114" s="12">
        <f t="shared" si="20"/>
        <v>0</v>
      </c>
      <c r="AX114" s="12">
        <f t="shared" si="20"/>
        <v>77</v>
      </c>
      <c r="AY114" s="12"/>
      <c r="AZ114" s="12">
        <f t="shared" si="14"/>
        <v>9.3999999999999915</v>
      </c>
      <c r="BA114" s="12">
        <f t="shared" si="15"/>
        <v>52.800000000000004</v>
      </c>
      <c r="BB114" s="12"/>
      <c r="BC114" s="12">
        <f t="shared" si="16"/>
        <v>97.5</v>
      </c>
      <c r="BD114" s="12">
        <f t="shared" si="17"/>
        <v>66.400000000000006</v>
      </c>
      <c r="BE114" s="12">
        <f t="shared" si="18"/>
        <v>6.8999999999999915</v>
      </c>
    </row>
    <row r="115" spans="1:57" ht="15.75" customHeight="1" x14ac:dyDescent="0.25">
      <c r="A115" s="1" t="s">
        <v>200</v>
      </c>
      <c r="B115" s="3" t="s">
        <v>101</v>
      </c>
      <c r="C115" s="4" t="s">
        <v>8</v>
      </c>
      <c r="D115" s="4">
        <v>8</v>
      </c>
      <c r="E115" s="4">
        <v>85</v>
      </c>
      <c r="F115" s="4">
        <v>8</v>
      </c>
      <c r="G115" s="4">
        <v>85</v>
      </c>
      <c r="H115" s="4">
        <v>0.35</v>
      </c>
      <c r="I115" s="4">
        <v>13.7</v>
      </c>
      <c r="J115" s="4">
        <v>0</v>
      </c>
      <c r="K115" s="4">
        <v>0.625</v>
      </c>
      <c r="L115" s="4">
        <v>0.125</v>
      </c>
      <c r="M115" s="4">
        <v>0.35</v>
      </c>
      <c r="N115" s="4">
        <v>0.125</v>
      </c>
      <c r="O115" s="4">
        <v>2.5000000000000001E-2</v>
      </c>
      <c r="P115" s="4">
        <v>0.375</v>
      </c>
      <c r="Q115" s="4">
        <v>0</v>
      </c>
      <c r="R115" s="4">
        <v>0.36</v>
      </c>
      <c r="S115" s="4">
        <v>0.8</v>
      </c>
      <c r="T115" s="4">
        <v>0.14299999999999999</v>
      </c>
      <c r="U115" s="4">
        <v>0.6</v>
      </c>
      <c r="V115" s="4">
        <v>0</v>
      </c>
      <c r="W115" s="4">
        <v>0.33300000000000002</v>
      </c>
      <c r="X115" s="4">
        <v>0</v>
      </c>
      <c r="Y115" s="4">
        <v>0.33300000000000002</v>
      </c>
      <c r="Z115" s="4">
        <v>1</v>
      </c>
      <c r="AA115" s="4">
        <v>0</v>
      </c>
      <c r="AB115" s="4">
        <v>0.33300000000000002</v>
      </c>
      <c r="AC115" s="4">
        <v>0.6</v>
      </c>
      <c r="AD115" s="10">
        <f t="shared" si="12"/>
        <v>0.583125</v>
      </c>
      <c r="AE115" s="9"/>
      <c r="AF115" s="9"/>
      <c r="AG115" s="12">
        <f t="shared" si="13"/>
        <v>69.5</v>
      </c>
      <c r="AH115" s="12">
        <f t="shared" si="13"/>
        <v>31</v>
      </c>
      <c r="AI115" s="12">
        <f t="shared" si="13"/>
        <v>17.299999999999997</v>
      </c>
      <c r="AJ115" s="12">
        <f t="shared" si="13"/>
        <v>51.5</v>
      </c>
      <c r="AK115" s="12"/>
      <c r="AL115" s="12">
        <f t="shared" si="21"/>
        <v>52.7</v>
      </c>
      <c r="AM115" s="12">
        <f t="shared" si="21"/>
        <v>22.900000000000002</v>
      </c>
      <c r="AN115" s="12">
        <f t="shared" si="21"/>
        <v>80.7</v>
      </c>
      <c r="AO115" s="12">
        <f t="shared" si="19"/>
        <v>78.8</v>
      </c>
      <c r="AP115" s="12">
        <f t="shared" si="19"/>
        <v>37.200000000000003</v>
      </c>
      <c r="AQ115" s="12">
        <f t="shared" si="19"/>
        <v>46.5</v>
      </c>
      <c r="AR115" s="12"/>
      <c r="AS115" s="12">
        <f t="shared" si="22"/>
        <v>11.799999999999999</v>
      </c>
      <c r="AT115" s="12">
        <f t="shared" si="22"/>
        <v>73.2</v>
      </c>
      <c r="AU115" s="12">
        <f t="shared" si="22"/>
        <v>14.2</v>
      </c>
      <c r="AV115" s="12">
        <f t="shared" si="20"/>
        <v>81.899999999999991</v>
      </c>
      <c r="AW115" s="12">
        <f t="shared" si="20"/>
        <v>0</v>
      </c>
      <c r="AX115" s="12">
        <f t="shared" si="20"/>
        <v>49</v>
      </c>
      <c r="AY115" s="12"/>
      <c r="AZ115" s="12">
        <f t="shared" si="14"/>
        <v>82</v>
      </c>
      <c r="BA115" s="12">
        <f t="shared" si="15"/>
        <v>52.800000000000004</v>
      </c>
      <c r="BB115" s="12"/>
      <c r="BC115" s="12">
        <f t="shared" si="16"/>
        <v>73.2</v>
      </c>
      <c r="BD115" s="12">
        <f t="shared" si="17"/>
        <v>81.3</v>
      </c>
      <c r="BE115" s="12">
        <f t="shared" si="18"/>
        <v>72.7</v>
      </c>
    </row>
    <row r="116" spans="1:57" ht="15.75" customHeight="1" x14ac:dyDescent="0.25">
      <c r="A116" s="1" t="s">
        <v>188</v>
      </c>
      <c r="B116" s="4" t="s">
        <v>109</v>
      </c>
      <c r="C116" s="4" t="s">
        <v>90</v>
      </c>
      <c r="D116" s="4">
        <v>5</v>
      </c>
      <c r="E116" s="4">
        <v>83</v>
      </c>
      <c r="F116" s="4">
        <v>5</v>
      </c>
      <c r="G116" s="4">
        <v>83</v>
      </c>
      <c r="H116" s="4">
        <v>0.57899999999999996</v>
      </c>
      <c r="I116" s="4">
        <v>5.8</v>
      </c>
      <c r="J116" s="4">
        <v>0</v>
      </c>
      <c r="K116" s="4">
        <v>1</v>
      </c>
      <c r="L116" s="4">
        <v>0.42099999999999999</v>
      </c>
      <c r="M116" s="4">
        <v>0.316</v>
      </c>
      <c r="N116" s="4">
        <v>0.26300000000000001</v>
      </c>
      <c r="O116" s="4">
        <v>0</v>
      </c>
      <c r="P116" s="4">
        <v>0</v>
      </c>
      <c r="Q116" s="4">
        <v>0</v>
      </c>
      <c r="R116" s="4">
        <v>0.57899999999999996</v>
      </c>
      <c r="S116" s="4">
        <v>0.75</v>
      </c>
      <c r="T116" s="4">
        <v>0.33300000000000002</v>
      </c>
      <c r="U116" s="4">
        <v>0.6</v>
      </c>
      <c r="V116" s="4">
        <v>0</v>
      </c>
      <c r="W116" s="4">
        <v>0</v>
      </c>
      <c r="X116" s="4">
        <v>0</v>
      </c>
      <c r="Y116" s="4">
        <v>0.90900000000000003</v>
      </c>
      <c r="Z116" s="4">
        <v>0</v>
      </c>
      <c r="AA116" s="4">
        <v>0</v>
      </c>
      <c r="AB116" s="4">
        <v>0</v>
      </c>
      <c r="AC116" s="4">
        <v>0</v>
      </c>
      <c r="AD116" s="10">
        <f t="shared" si="12"/>
        <v>0.90900000000000003</v>
      </c>
      <c r="AE116" s="9"/>
      <c r="AF116" s="9"/>
      <c r="AG116" s="12">
        <f t="shared" si="13"/>
        <v>16.100000000000001</v>
      </c>
      <c r="AH116" s="12">
        <f t="shared" si="13"/>
        <v>29.799999999999997</v>
      </c>
      <c r="AI116" s="12">
        <f t="shared" si="13"/>
        <v>88.1</v>
      </c>
      <c r="AJ116" s="12">
        <f t="shared" si="13"/>
        <v>6.8000000000000007</v>
      </c>
      <c r="AK116" s="12"/>
      <c r="AL116" s="12">
        <f t="shared" si="21"/>
        <v>95</v>
      </c>
      <c r="AM116" s="12">
        <f t="shared" si="21"/>
        <v>85</v>
      </c>
      <c r="AN116" s="12">
        <f t="shared" si="21"/>
        <v>75.7</v>
      </c>
      <c r="AO116" s="12">
        <f t="shared" si="19"/>
        <v>96.8</v>
      </c>
      <c r="AP116" s="12">
        <f t="shared" si="19"/>
        <v>0</v>
      </c>
      <c r="AQ116" s="12">
        <f t="shared" si="19"/>
        <v>0</v>
      </c>
      <c r="AR116" s="12"/>
      <c r="AS116" s="12">
        <f t="shared" si="22"/>
        <v>69.5</v>
      </c>
      <c r="AT116" s="12">
        <f t="shared" si="22"/>
        <v>66.400000000000006</v>
      </c>
      <c r="AU116" s="12">
        <f t="shared" si="22"/>
        <v>29.099999999999998</v>
      </c>
      <c r="AV116" s="12">
        <f t="shared" si="20"/>
        <v>81.899999999999991</v>
      </c>
      <c r="AW116" s="12">
        <f t="shared" si="20"/>
        <v>0</v>
      </c>
      <c r="AX116" s="12">
        <f t="shared" si="20"/>
        <v>0</v>
      </c>
      <c r="AY116" s="12"/>
      <c r="AZ116" s="12">
        <f t="shared" si="14"/>
        <v>11.900000000000006</v>
      </c>
      <c r="BA116" s="12">
        <f t="shared" si="15"/>
        <v>100</v>
      </c>
      <c r="BB116" s="12"/>
      <c r="BC116" s="12">
        <f t="shared" si="16"/>
        <v>0</v>
      </c>
      <c r="BD116" s="12">
        <f t="shared" si="17"/>
        <v>0</v>
      </c>
      <c r="BE116" s="12">
        <f t="shared" si="18"/>
        <v>15.600000000000009</v>
      </c>
    </row>
    <row r="117" spans="1:57" ht="15.75" customHeight="1" x14ac:dyDescent="0.25">
      <c r="A117" s="1" t="s">
        <v>216</v>
      </c>
      <c r="B117" s="3" t="s">
        <v>142</v>
      </c>
      <c r="C117" s="4" t="s">
        <v>90</v>
      </c>
      <c r="D117" s="4">
        <v>6</v>
      </c>
      <c r="E117" s="4">
        <v>83</v>
      </c>
      <c r="F117" s="4">
        <v>6</v>
      </c>
      <c r="G117" s="4">
        <v>83</v>
      </c>
      <c r="H117" s="4">
        <v>0.46200000000000002</v>
      </c>
      <c r="I117" s="4">
        <v>7</v>
      </c>
      <c r="J117" s="4">
        <v>0</v>
      </c>
      <c r="K117" s="4">
        <v>1</v>
      </c>
      <c r="L117" s="4">
        <v>0.34599999999999997</v>
      </c>
      <c r="M117" s="4">
        <v>0.38500000000000001</v>
      </c>
      <c r="N117" s="4">
        <v>0.115</v>
      </c>
      <c r="O117" s="4">
        <v>0.154</v>
      </c>
      <c r="P117" s="4">
        <v>0</v>
      </c>
      <c r="Q117" s="4">
        <v>0</v>
      </c>
      <c r="R117" s="4">
        <v>0.46200000000000002</v>
      </c>
      <c r="S117" s="4">
        <v>0.44400000000000001</v>
      </c>
      <c r="T117" s="4">
        <v>0.6</v>
      </c>
      <c r="U117" s="4">
        <v>0.66700000000000004</v>
      </c>
      <c r="V117" s="4">
        <v>0</v>
      </c>
      <c r="W117" s="4">
        <v>0</v>
      </c>
      <c r="X117" s="4">
        <v>0</v>
      </c>
      <c r="Y117" s="4">
        <v>0.83299999999999996</v>
      </c>
      <c r="Z117" s="4">
        <v>0</v>
      </c>
      <c r="AA117" s="4">
        <v>0</v>
      </c>
      <c r="AB117" s="4">
        <v>0</v>
      </c>
      <c r="AC117" s="4">
        <v>0</v>
      </c>
      <c r="AD117" s="10">
        <f t="shared" si="12"/>
        <v>0.83299999999999996</v>
      </c>
      <c r="AE117" s="9"/>
      <c r="AF117" s="9"/>
      <c r="AG117" s="12">
        <f t="shared" si="13"/>
        <v>25.4</v>
      </c>
      <c r="AH117" s="12">
        <f t="shared" si="13"/>
        <v>29.799999999999997</v>
      </c>
      <c r="AI117" s="12">
        <f t="shared" si="13"/>
        <v>52.7</v>
      </c>
      <c r="AJ117" s="12">
        <f t="shared" si="13"/>
        <v>14.899999999999999</v>
      </c>
      <c r="AK117" s="12"/>
      <c r="AL117" s="12">
        <f t="shared" si="21"/>
        <v>95</v>
      </c>
      <c r="AM117" s="12">
        <f t="shared" si="21"/>
        <v>75.7</v>
      </c>
      <c r="AN117" s="12">
        <f t="shared" si="21"/>
        <v>87.5</v>
      </c>
      <c r="AO117" s="12">
        <f t="shared" si="19"/>
        <v>73.2</v>
      </c>
      <c r="AP117" s="12">
        <f t="shared" si="19"/>
        <v>95</v>
      </c>
      <c r="AQ117" s="12">
        <f t="shared" si="19"/>
        <v>0</v>
      </c>
      <c r="AR117" s="12"/>
      <c r="AS117" s="12">
        <f t="shared" si="22"/>
        <v>30.4</v>
      </c>
      <c r="AT117" s="12">
        <f t="shared" si="22"/>
        <v>18.600000000000001</v>
      </c>
      <c r="AU117" s="12">
        <f t="shared" si="22"/>
        <v>84.399999999999991</v>
      </c>
      <c r="AV117" s="12">
        <f t="shared" si="20"/>
        <v>85</v>
      </c>
      <c r="AW117" s="12">
        <f t="shared" si="20"/>
        <v>0</v>
      </c>
      <c r="AX117" s="12">
        <f t="shared" si="20"/>
        <v>0</v>
      </c>
      <c r="AY117" s="12"/>
      <c r="AZ117" s="12">
        <f t="shared" si="14"/>
        <v>18.700000000000003</v>
      </c>
      <c r="BA117" s="12">
        <f t="shared" si="15"/>
        <v>100</v>
      </c>
      <c r="BB117" s="12"/>
      <c r="BC117" s="12">
        <f t="shared" si="16"/>
        <v>0</v>
      </c>
      <c r="BD117" s="12">
        <f t="shared" si="17"/>
        <v>0</v>
      </c>
      <c r="BE117" s="12">
        <f t="shared" si="18"/>
        <v>29.200000000000003</v>
      </c>
    </row>
    <row r="118" spans="1:57" ht="15.75" customHeight="1" x14ac:dyDescent="0.25">
      <c r="A118" s="1" t="s">
        <v>175</v>
      </c>
      <c r="B118" s="3" t="s">
        <v>109</v>
      </c>
      <c r="C118" s="4" t="s">
        <v>90</v>
      </c>
      <c r="D118" s="4">
        <v>3</v>
      </c>
      <c r="E118" s="4">
        <v>82</v>
      </c>
      <c r="F118" s="4">
        <v>3</v>
      </c>
      <c r="G118" s="4">
        <v>82</v>
      </c>
      <c r="H118" s="4">
        <v>0.52900000000000003</v>
      </c>
      <c r="I118" s="4">
        <v>8.3000000000000007</v>
      </c>
      <c r="J118" s="4">
        <v>0</v>
      </c>
      <c r="K118" s="4">
        <v>0.94099999999999995</v>
      </c>
      <c r="L118" s="4">
        <v>0.26500000000000001</v>
      </c>
      <c r="M118" s="4">
        <v>0.35299999999999998</v>
      </c>
      <c r="N118" s="4">
        <v>0.29399999999999998</v>
      </c>
      <c r="O118" s="4">
        <v>2.9000000000000001E-2</v>
      </c>
      <c r="P118" s="4">
        <v>5.8999999999999997E-2</v>
      </c>
      <c r="Q118" s="4">
        <v>0</v>
      </c>
      <c r="R118" s="4">
        <v>0.56299999999999994</v>
      </c>
      <c r="S118" s="4">
        <v>0.66700000000000004</v>
      </c>
      <c r="T118" s="4">
        <v>0.66700000000000004</v>
      </c>
      <c r="U118" s="4">
        <v>0.4</v>
      </c>
      <c r="V118" s="4">
        <v>0</v>
      </c>
      <c r="W118" s="4">
        <v>0</v>
      </c>
      <c r="X118" s="4">
        <v>0</v>
      </c>
      <c r="Y118" s="4">
        <v>0.77800000000000002</v>
      </c>
      <c r="Z118" s="4">
        <v>0</v>
      </c>
      <c r="AA118" s="4">
        <v>0</v>
      </c>
      <c r="AB118" s="4">
        <v>0</v>
      </c>
      <c r="AC118" s="4">
        <v>0</v>
      </c>
      <c r="AD118" s="10">
        <f t="shared" si="12"/>
        <v>0.73209800000000003</v>
      </c>
      <c r="AE118" s="9"/>
      <c r="AF118" s="9"/>
      <c r="AG118" s="12">
        <f t="shared" si="13"/>
        <v>4.9000000000000004</v>
      </c>
      <c r="AH118" s="12">
        <f t="shared" si="13"/>
        <v>29.099999999999998</v>
      </c>
      <c r="AI118" s="12">
        <f t="shared" si="13"/>
        <v>77.600000000000009</v>
      </c>
      <c r="AJ118" s="12">
        <f t="shared" si="13"/>
        <v>17.299999999999997</v>
      </c>
      <c r="AK118" s="12"/>
      <c r="AL118" s="12">
        <f t="shared" si="21"/>
        <v>92.5</v>
      </c>
      <c r="AM118" s="12">
        <f t="shared" si="21"/>
        <v>60.8</v>
      </c>
      <c r="AN118" s="12">
        <f t="shared" si="21"/>
        <v>81.899999999999991</v>
      </c>
      <c r="AO118" s="12">
        <f t="shared" si="19"/>
        <v>98.1</v>
      </c>
      <c r="AP118" s="12">
        <f t="shared" si="19"/>
        <v>39.1</v>
      </c>
      <c r="AQ118" s="12">
        <f t="shared" si="19"/>
        <v>7.3999999999999995</v>
      </c>
      <c r="AR118" s="12"/>
      <c r="AS118" s="12">
        <f t="shared" si="22"/>
        <v>66.400000000000006</v>
      </c>
      <c r="AT118" s="12">
        <f t="shared" si="22"/>
        <v>51.5</v>
      </c>
      <c r="AU118" s="12">
        <f t="shared" si="22"/>
        <v>93.100000000000009</v>
      </c>
      <c r="AV118" s="12">
        <f t="shared" si="20"/>
        <v>63.3</v>
      </c>
      <c r="AW118" s="12">
        <f t="shared" si="20"/>
        <v>0</v>
      </c>
      <c r="AX118" s="12">
        <f t="shared" si="20"/>
        <v>0</v>
      </c>
      <c r="AY118" s="12"/>
      <c r="AZ118" s="12">
        <f t="shared" si="14"/>
        <v>28</v>
      </c>
      <c r="BA118" s="12">
        <f t="shared" si="15"/>
        <v>100</v>
      </c>
      <c r="BB118" s="12"/>
      <c r="BC118" s="12">
        <f t="shared" si="16"/>
        <v>0</v>
      </c>
      <c r="BD118" s="12">
        <f t="shared" si="17"/>
        <v>0</v>
      </c>
      <c r="BE118" s="12">
        <f t="shared" si="18"/>
        <v>46</v>
      </c>
    </row>
    <row r="119" spans="1:57" ht="15.75" customHeight="1" x14ac:dyDescent="0.25">
      <c r="A119" s="1" t="s">
        <v>157</v>
      </c>
      <c r="B119" s="3" t="s">
        <v>86</v>
      </c>
      <c r="C119" s="4" t="s">
        <v>8</v>
      </c>
      <c r="D119" s="4">
        <v>5</v>
      </c>
      <c r="E119" s="4">
        <v>81</v>
      </c>
      <c r="F119" s="4">
        <v>5</v>
      </c>
      <c r="G119" s="4">
        <v>81</v>
      </c>
      <c r="H119" s="4">
        <v>0.52900000000000003</v>
      </c>
      <c r="I119" s="4">
        <v>21.8</v>
      </c>
      <c r="J119" s="4">
        <v>0</v>
      </c>
      <c r="K119" s="4">
        <v>0.17599999999999999</v>
      </c>
      <c r="L119" s="4">
        <v>0</v>
      </c>
      <c r="M119" s="4">
        <v>0.11799999999999999</v>
      </c>
      <c r="N119" s="4">
        <v>0</v>
      </c>
      <c r="O119" s="4">
        <v>5.8999999999999997E-2</v>
      </c>
      <c r="P119" s="4">
        <v>0.82399999999999995</v>
      </c>
      <c r="Q119" s="4">
        <v>0</v>
      </c>
      <c r="R119" s="4">
        <v>0.66700000000000004</v>
      </c>
      <c r="S119" s="4">
        <v>0</v>
      </c>
      <c r="T119" s="4">
        <v>1</v>
      </c>
      <c r="U119" s="4">
        <v>0</v>
      </c>
      <c r="V119" s="4">
        <v>0</v>
      </c>
      <c r="W119" s="4">
        <v>0.5</v>
      </c>
      <c r="X119" s="4">
        <v>0</v>
      </c>
      <c r="Y119" s="4">
        <v>0.5</v>
      </c>
      <c r="Z119" s="4">
        <v>0.85699999999999998</v>
      </c>
      <c r="AA119" s="4">
        <v>0</v>
      </c>
      <c r="AB119" s="4">
        <v>0</v>
      </c>
      <c r="AC119" s="4">
        <v>0</v>
      </c>
      <c r="AD119" s="10">
        <f t="shared" si="12"/>
        <v>0.79416799999999987</v>
      </c>
      <c r="AE119" s="9"/>
      <c r="AF119" s="9"/>
      <c r="AG119" s="12">
        <f t="shared" si="13"/>
        <v>16.100000000000001</v>
      </c>
      <c r="AH119" s="12">
        <f t="shared" si="13"/>
        <v>28.499999999999996</v>
      </c>
      <c r="AI119" s="12">
        <f t="shared" si="13"/>
        <v>77.600000000000009</v>
      </c>
      <c r="AJ119" s="12">
        <f t="shared" si="13"/>
        <v>98.1</v>
      </c>
      <c r="AK119" s="12"/>
      <c r="AL119" s="12">
        <f t="shared" si="21"/>
        <v>0.6</v>
      </c>
      <c r="AM119" s="12">
        <f t="shared" si="21"/>
        <v>0</v>
      </c>
      <c r="AN119" s="12">
        <f t="shared" si="21"/>
        <v>22.3</v>
      </c>
      <c r="AO119" s="12">
        <f t="shared" si="19"/>
        <v>0</v>
      </c>
      <c r="AP119" s="12">
        <f t="shared" si="19"/>
        <v>65.8</v>
      </c>
      <c r="AQ119" s="12">
        <f t="shared" si="19"/>
        <v>99.3</v>
      </c>
      <c r="AR119" s="12"/>
      <c r="AS119" s="12">
        <f t="shared" si="22"/>
        <v>85.7</v>
      </c>
      <c r="AT119" s="12">
        <f t="shared" si="22"/>
        <v>0</v>
      </c>
      <c r="AU119" s="12">
        <f t="shared" si="22"/>
        <v>96.8</v>
      </c>
      <c r="AV119" s="12">
        <f t="shared" si="20"/>
        <v>0</v>
      </c>
      <c r="AW119" s="12">
        <f t="shared" si="20"/>
        <v>0</v>
      </c>
      <c r="AX119" s="12">
        <f t="shared" si="20"/>
        <v>87.5</v>
      </c>
      <c r="AY119" s="12"/>
      <c r="AZ119" s="12">
        <f t="shared" si="14"/>
        <v>70.900000000000006</v>
      </c>
      <c r="BA119" s="12">
        <f t="shared" si="15"/>
        <v>62.8</v>
      </c>
      <c r="BB119" s="12"/>
      <c r="BC119" s="12">
        <f t="shared" si="16"/>
        <v>0</v>
      </c>
      <c r="BD119" s="12">
        <f t="shared" si="17"/>
        <v>0</v>
      </c>
      <c r="BE119" s="12">
        <f t="shared" si="18"/>
        <v>32.299999999999997</v>
      </c>
    </row>
    <row r="120" spans="1:57" ht="15.75" customHeight="1" x14ac:dyDescent="0.25">
      <c r="A120" s="1" t="s">
        <v>124</v>
      </c>
      <c r="B120" s="3" t="s">
        <v>116</v>
      </c>
      <c r="C120" s="4" t="s">
        <v>90</v>
      </c>
      <c r="D120" s="4">
        <v>3</v>
      </c>
      <c r="E120" s="4">
        <v>80</v>
      </c>
      <c r="F120" s="4">
        <v>3</v>
      </c>
      <c r="G120" s="4">
        <v>80</v>
      </c>
      <c r="H120" s="4">
        <v>0.47499999999999998</v>
      </c>
      <c r="I120" s="4">
        <v>10.1</v>
      </c>
      <c r="J120" s="4">
        <v>0</v>
      </c>
      <c r="K120" s="4">
        <v>0.875</v>
      </c>
      <c r="L120" s="4">
        <v>0.27500000000000002</v>
      </c>
      <c r="M120" s="4">
        <v>0.25</v>
      </c>
      <c r="N120" s="4">
        <v>0.25</v>
      </c>
      <c r="O120" s="4">
        <v>0.1</v>
      </c>
      <c r="P120" s="4">
        <v>0.125</v>
      </c>
      <c r="Q120" s="4">
        <v>0</v>
      </c>
      <c r="R120" s="4">
        <v>0.48599999999999999</v>
      </c>
      <c r="S120" s="4">
        <v>0.81799999999999995</v>
      </c>
      <c r="T120" s="4">
        <v>0.5</v>
      </c>
      <c r="U120" s="4">
        <v>0.3</v>
      </c>
      <c r="V120" s="4">
        <v>0</v>
      </c>
      <c r="W120" s="4">
        <v>0.4</v>
      </c>
      <c r="X120" s="4">
        <v>0</v>
      </c>
      <c r="Y120" s="4">
        <v>0.58799999999999997</v>
      </c>
      <c r="Z120" s="4">
        <v>0.5</v>
      </c>
      <c r="AA120" s="4">
        <v>0</v>
      </c>
      <c r="AB120" s="4">
        <v>0.4</v>
      </c>
      <c r="AC120" s="4">
        <v>0.5</v>
      </c>
      <c r="AD120" s="10">
        <f t="shared" si="12"/>
        <v>0.57699999999999996</v>
      </c>
      <c r="AE120" s="9"/>
      <c r="AF120" s="9"/>
      <c r="AG120" s="12">
        <f t="shared" si="13"/>
        <v>4.9000000000000004</v>
      </c>
      <c r="AH120" s="12">
        <f t="shared" si="13"/>
        <v>27.3</v>
      </c>
      <c r="AI120" s="12">
        <f t="shared" si="13"/>
        <v>59.599999999999994</v>
      </c>
      <c r="AJ120" s="12">
        <f t="shared" si="13"/>
        <v>23.599999999999998</v>
      </c>
      <c r="AK120" s="12"/>
      <c r="AL120" s="12">
        <f t="shared" si="21"/>
        <v>85</v>
      </c>
      <c r="AM120" s="12">
        <f t="shared" si="21"/>
        <v>62.1</v>
      </c>
      <c r="AN120" s="12">
        <f t="shared" si="21"/>
        <v>54</v>
      </c>
      <c r="AO120" s="12">
        <f t="shared" si="19"/>
        <v>96.2</v>
      </c>
      <c r="AP120" s="12">
        <f t="shared" si="19"/>
        <v>82.6</v>
      </c>
      <c r="AQ120" s="12">
        <f t="shared" si="19"/>
        <v>14.899999999999999</v>
      </c>
      <c r="AR120" s="12"/>
      <c r="AS120" s="12">
        <f t="shared" si="22"/>
        <v>39.700000000000003</v>
      </c>
      <c r="AT120" s="12">
        <f t="shared" si="22"/>
        <v>75.7</v>
      </c>
      <c r="AU120" s="12">
        <f t="shared" si="22"/>
        <v>59</v>
      </c>
      <c r="AV120" s="12">
        <f t="shared" si="20"/>
        <v>52.7</v>
      </c>
      <c r="AW120" s="12">
        <f t="shared" si="20"/>
        <v>0</v>
      </c>
      <c r="AX120" s="12">
        <f t="shared" si="20"/>
        <v>70.8</v>
      </c>
      <c r="AY120" s="12"/>
      <c r="AZ120" s="12">
        <f t="shared" si="14"/>
        <v>53.5</v>
      </c>
      <c r="BA120" s="12">
        <f t="shared" si="15"/>
        <v>82</v>
      </c>
      <c r="BB120" s="12"/>
      <c r="BC120" s="12">
        <f t="shared" si="16"/>
        <v>81.899999999999991</v>
      </c>
      <c r="BD120" s="12">
        <f t="shared" si="17"/>
        <v>70.8</v>
      </c>
      <c r="BE120" s="12">
        <f t="shared" si="18"/>
        <v>73.3</v>
      </c>
    </row>
    <row r="121" spans="1:57" ht="15.75" customHeight="1" x14ac:dyDescent="0.25">
      <c r="A121" s="1" t="s">
        <v>166</v>
      </c>
      <c r="B121" s="3" t="s">
        <v>164</v>
      </c>
      <c r="C121" s="4" t="s">
        <v>8</v>
      </c>
      <c r="D121" s="4">
        <v>3</v>
      </c>
      <c r="E121" s="4">
        <v>80</v>
      </c>
      <c r="F121" s="4">
        <v>3</v>
      </c>
      <c r="G121" s="4">
        <v>80</v>
      </c>
      <c r="H121" s="4">
        <v>0.36399999999999999</v>
      </c>
      <c r="I121" s="4">
        <v>21.5</v>
      </c>
      <c r="J121" s="4">
        <v>0</v>
      </c>
      <c r="K121" s="4">
        <v>0.36399999999999999</v>
      </c>
      <c r="L121" s="4">
        <v>0</v>
      </c>
      <c r="M121" s="4">
        <v>0</v>
      </c>
      <c r="N121" s="4">
        <v>9.0999999999999998E-2</v>
      </c>
      <c r="O121" s="4">
        <v>0.27300000000000002</v>
      </c>
      <c r="P121" s="4">
        <v>0.63600000000000001</v>
      </c>
      <c r="Q121" s="4">
        <v>0</v>
      </c>
      <c r="R121" s="4">
        <v>0.5</v>
      </c>
      <c r="S121" s="4">
        <v>0</v>
      </c>
      <c r="T121" s="4">
        <v>0</v>
      </c>
      <c r="U121" s="4">
        <v>1</v>
      </c>
      <c r="V121" s="4">
        <v>0.33300000000000002</v>
      </c>
      <c r="W121" s="4">
        <v>0.28599999999999998</v>
      </c>
      <c r="X121" s="4">
        <v>0</v>
      </c>
      <c r="Y121" s="4">
        <v>0</v>
      </c>
      <c r="Z121" s="4">
        <v>1</v>
      </c>
      <c r="AA121" s="4">
        <v>0</v>
      </c>
      <c r="AB121" s="4">
        <v>0.42899999999999999</v>
      </c>
      <c r="AC121" s="4">
        <v>0</v>
      </c>
      <c r="AD121" s="10">
        <f t="shared" si="12"/>
        <v>0.63600000000000001</v>
      </c>
      <c r="AE121" s="9"/>
      <c r="AF121" s="9"/>
      <c r="AG121" s="12">
        <f t="shared" si="13"/>
        <v>4.9000000000000004</v>
      </c>
      <c r="AH121" s="12">
        <f t="shared" si="13"/>
        <v>27.3</v>
      </c>
      <c r="AI121" s="12">
        <f t="shared" si="13"/>
        <v>20.399999999999999</v>
      </c>
      <c r="AJ121" s="12">
        <f t="shared" si="13"/>
        <v>97.5</v>
      </c>
      <c r="AK121" s="12"/>
      <c r="AL121" s="12">
        <f t="shared" si="21"/>
        <v>11.1</v>
      </c>
      <c r="AM121" s="12">
        <f t="shared" si="21"/>
        <v>0</v>
      </c>
      <c r="AN121" s="12">
        <f t="shared" si="21"/>
        <v>0</v>
      </c>
      <c r="AO121" s="12">
        <f t="shared" si="19"/>
        <v>66.400000000000006</v>
      </c>
      <c r="AP121" s="12">
        <f t="shared" si="19"/>
        <v>99.3</v>
      </c>
      <c r="AQ121" s="12">
        <f t="shared" si="19"/>
        <v>88.8</v>
      </c>
      <c r="AR121" s="12"/>
      <c r="AS121" s="12">
        <f t="shared" si="22"/>
        <v>40.9</v>
      </c>
      <c r="AT121" s="12">
        <f t="shared" si="22"/>
        <v>0</v>
      </c>
      <c r="AU121" s="12">
        <f t="shared" si="22"/>
        <v>0</v>
      </c>
      <c r="AV121" s="12">
        <f t="shared" si="20"/>
        <v>91.9</v>
      </c>
      <c r="AW121" s="12">
        <f t="shared" si="20"/>
        <v>65.8</v>
      </c>
      <c r="AX121" s="12">
        <f t="shared" si="20"/>
        <v>39.700000000000003</v>
      </c>
      <c r="AY121" s="12"/>
      <c r="AZ121" s="12">
        <f t="shared" si="14"/>
        <v>100</v>
      </c>
      <c r="BA121" s="12">
        <f t="shared" si="15"/>
        <v>52.800000000000004</v>
      </c>
      <c r="BB121" s="12"/>
      <c r="BC121" s="12">
        <f t="shared" si="16"/>
        <v>83.8</v>
      </c>
      <c r="BD121" s="12">
        <f t="shared" si="17"/>
        <v>0</v>
      </c>
      <c r="BE121" s="12">
        <f t="shared" si="18"/>
        <v>61.5</v>
      </c>
    </row>
    <row r="122" spans="1:57" ht="15.75" customHeight="1" x14ac:dyDescent="0.25">
      <c r="A122" s="1" t="s">
        <v>245</v>
      </c>
      <c r="B122" s="3" t="s">
        <v>109</v>
      </c>
      <c r="C122" s="4" t="s">
        <v>87</v>
      </c>
      <c r="D122" s="4">
        <v>6</v>
      </c>
      <c r="E122" s="4">
        <v>78</v>
      </c>
      <c r="F122" s="4">
        <v>6</v>
      </c>
      <c r="G122" s="4">
        <v>78</v>
      </c>
      <c r="H122" s="4">
        <v>0.52200000000000002</v>
      </c>
      <c r="I122" s="4">
        <v>7.4</v>
      </c>
      <c r="J122" s="4">
        <v>0</v>
      </c>
      <c r="K122" s="4">
        <v>0.91300000000000003</v>
      </c>
      <c r="L122" s="4">
        <v>0.217</v>
      </c>
      <c r="M122" s="4">
        <v>0.56499999999999995</v>
      </c>
      <c r="N122" s="4">
        <v>8.6999999999999994E-2</v>
      </c>
      <c r="O122" s="4">
        <v>4.2999999999999997E-2</v>
      </c>
      <c r="P122" s="4">
        <v>8.6999999999999994E-2</v>
      </c>
      <c r="Q122" s="4">
        <v>0</v>
      </c>
      <c r="R122" s="4">
        <v>0.52400000000000002</v>
      </c>
      <c r="S122" s="4">
        <v>0.6</v>
      </c>
      <c r="T122" s="4">
        <v>0.61499999999999999</v>
      </c>
      <c r="U122" s="4">
        <v>0</v>
      </c>
      <c r="V122" s="4">
        <v>0</v>
      </c>
      <c r="W122" s="4">
        <v>0.5</v>
      </c>
      <c r="X122" s="4">
        <v>0</v>
      </c>
      <c r="Y122" s="4">
        <v>0.45500000000000002</v>
      </c>
      <c r="Z122" s="4">
        <v>1</v>
      </c>
      <c r="AA122" s="4">
        <v>0</v>
      </c>
      <c r="AB122" s="4">
        <v>0.5</v>
      </c>
      <c r="AC122" s="4">
        <v>1</v>
      </c>
      <c r="AD122" s="10">
        <f t="shared" si="12"/>
        <v>0.50241500000000006</v>
      </c>
      <c r="AE122" s="9"/>
      <c r="AF122" s="9"/>
      <c r="AG122" s="12">
        <f t="shared" si="13"/>
        <v>25.4</v>
      </c>
      <c r="AH122" s="12">
        <f t="shared" si="13"/>
        <v>26.700000000000003</v>
      </c>
      <c r="AI122" s="12">
        <f t="shared" si="13"/>
        <v>75.7</v>
      </c>
      <c r="AJ122" s="12">
        <f t="shared" si="13"/>
        <v>15.5</v>
      </c>
      <c r="AK122" s="12"/>
      <c r="AL122" s="12">
        <f t="shared" si="21"/>
        <v>88.1</v>
      </c>
      <c r="AM122" s="12">
        <f t="shared" si="21"/>
        <v>49</v>
      </c>
      <c r="AN122" s="12">
        <f t="shared" si="21"/>
        <v>98.1</v>
      </c>
      <c r="AO122" s="12">
        <f t="shared" si="19"/>
        <v>64.5</v>
      </c>
      <c r="AP122" s="12">
        <f t="shared" si="19"/>
        <v>57.699999999999996</v>
      </c>
      <c r="AQ122" s="12">
        <f t="shared" si="19"/>
        <v>11.799999999999999</v>
      </c>
      <c r="AR122" s="12"/>
      <c r="AS122" s="12">
        <f t="shared" si="22"/>
        <v>54.6</v>
      </c>
      <c r="AT122" s="12">
        <f t="shared" si="22"/>
        <v>40.9</v>
      </c>
      <c r="AU122" s="12">
        <f t="shared" si="22"/>
        <v>88.8</v>
      </c>
      <c r="AV122" s="12">
        <f t="shared" si="20"/>
        <v>0</v>
      </c>
      <c r="AW122" s="12">
        <f t="shared" si="20"/>
        <v>0</v>
      </c>
      <c r="AX122" s="12">
        <f t="shared" si="20"/>
        <v>87.5</v>
      </c>
      <c r="AY122" s="12"/>
      <c r="AZ122" s="12">
        <f t="shared" si="14"/>
        <v>73.3</v>
      </c>
      <c r="BA122" s="12">
        <f t="shared" si="15"/>
        <v>52.800000000000004</v>
      </c>
      <c r="BB122" s="12"/>
      <c r="BC122" s="12">
        <f t="shared" si="16"/>
        <v>87.5</v>
      </c>
      <c r="BD122" s="12">
        <f t="shared" si="17"/>
        <v>92.5</v>
      </c>
      <c r="BE122" s="12">
        <f t="shared" si="18"/>
        <v>83.9</v>
      </c>
    </row>
    <row r="123" spans="1:57" ht="15.75" customHeight="1" x14ac:dyDescent="0.25">
      <c r="A123" s="1" t="s">
        <v>240</v>
      </c>
      <c r="B123" s="3" t="s">
        <v>133</v>
      </c>
      <c r="C123" s="4" t="s">
        <v>8</v>
      </c>
      <c r="D123" s="4">
        <v>5</v>
      </c>
      <c r="E123" s="4">
        <v>77</v>
      </c>
      <c r="F123" s="4">
        <v>5</v>
      </c>
      <c r="G123" s="4">
        <v>77</v>
      </c>
      <c r="H123" s="4">
        <v>0.33300000000000002</v>
      </c>
      <c r="I123" s="4">
        <v>8.4</v>
      </c>
      <c r="J123" s="4">
        <v>0</v>
      </c>
      <c r="K123" s="4">
        <v>0.76200000000000001</v>
      </c>
      <c r="L123" s="4">
        <v>0.33300000000000002</v>
      </c>
      <c r="M123" s="4">
        <v>0.42899999999999999</v>
      </c>
      <c r="N123" s="4">
        <v>0</v>
      </c>
      <c r="O123" s="4">
        <v>0</v>
      </c>
      <c r="P123" s="4">
        <v>0.23799999999999999</v>
      </c>
      <c r="Q123" s="4">
        <v>0</v>
      </c>
      <c r="R123" s="4">
        <v>0.438</v>
      </c>
      <c r="S123" s="4">
        <v>0.42899999999999999</v>
      </c>
      <c r="T123" s="4">
        <v>0.44400000000000001</v>
      </c>
      <c r="U123" s="4">
        <v>0</v>
      </c>
      <c r="V123" s="4">
        <v>0</v>
      </c>
      <c r="W123" s="4">
        <v>0</v>
      </c>
      <c r="X123" s="4">
        <v>0</v>
      </c>
      <c r="Y123" s="4">
        <v>0.71399999999999997</v>
      </c>
      <c r="Z123" s="4">
        <v>0</v>
      </c>
      <c r="AA123" s="4">
        <v>0</v>
      </c>
      <c r="AB123" s="4">
        <v>0.4</v>
      </c>
      <c r="AC123" s="4">
        <v>0</v>
      </c>
      <c r="AD123" s="10">
        <f t="shared" si="12"/>
        <v>0.544068</v>
      </c>
      <c r="AE123" s="9"/>
      <c r="AF123" s="9"/>
      <c r="AG123" s="12">
        <f t="shared" si="13"/>
        <v>16.100000000000001</v>
      </c>
      <c r="AH123" s="12">
        <f t="shared" si="13"/>
        <v>25.4</v>
      </c>
      <c r="AI123" s="12">
        <f t="shared" si="13"/>
        <v>12.4</v>
      </c>
      <c r="AJ123" s="12">
        <f t="shared" si="13"/>
        <v>18</v>
      </c>
      <c r="AK123" s="12"/>
      <c r="AL123" s="12">
        <f t="shared" si="21"/>
        <v>75.099999999999994</v>
      </c>
      <c r="AM123" s="12">
        <f t="shared" si="21"/>
        <v>72.599999999999994</v>
      </c>
      <c r="AN123" s="12">
        <f t="shared" si="21"/>
        <v>91.3</v>
      </c>
      <c r="AO123" s="12">
        <f t="shared" si="19"/>
        <v>0</v>
      </c>
      <c r="AP123" s="12">
        <f t="shared" si="19"/>
        <v>0</v>
      </c>
      <c r="AQ123" s="12">
        <f t="shared" si="19"/>
        <v>24.8</v>
      </c>
      <c r="AR123" s="12"/>
      <c r="AS123" s="12">
        <f t="shared" si="22"/>
        <v>24.2</v>
      </c>
      <c r="AT123" s="12">
        <f t="shared" si="22"/>
        <v>18</v>
      </c>
      <c r="AU123" s="12">
        <f t="shared" si="22"/>
        <v>52.1</v>
      </c>
      <c r="AV123" s="12">
        <f t="shared" si="20"/>
        <v>0</v>
      </c>
      <c r="AW123" s="12">
        <f t="shared" si="20"/>
        <v>0</v>
      </c>
      <c r="AX123" s="12">
        <f t="shared" si="20"/>
        <v>0</v>
      </c>
      <c r="AY123" s="12"/>
      <c r="AZ123" s="12">
        <f t="shared" si="14"/>
        <v>36.700000000000003</v>
      </c>
      <c r="BA123" s="12">
        <f t="shared" si="15"/>
        <v>100</v>
      </c>
      <c r="BB123" s="12"/>
      <c r="BC123" s="12">
        <f t="shared" si="16"/>
        <v>81.899999999999991</v>
      </c>
      <c r="BD123" s="12">
        <f t="shared" si="17"/>
        <v>0</v>
      </c>
      <c r="BE123" s="12">
        <f t="shared" si="18"/>
        <v>80.8</v>
      </c>
    </row>
    <row r="124" spans="1:57" ht="15.75" customHeight="1" x14ac:dyDescent="0.25">
      <c r="A124" s="1" t="s">
        <v>246</v>
      </c>
      <c r="B124" s="3" t="s">
        <v>244</v>
      </c>
      <c r="C124" s="4" t="s">
        <v>87</v>
      </c>
      <c r="D124" s="4">
        <v>7</v>
      </c>
      <c r="E124" s="4">
        <v>77</v>
      </c>
      <c r="F124" s="4">
        <v>7</v>
      </c>
      <c r="G124" s="4">
        <v>77</v>
      </c>
      <c r="H124" s="4">
        <v>0.4</v>
      </c>
      <c r="I124" s="4">
        <v>4.8</v>
      </c>
      <c r="J124" s="4">
        <v>0</v>
      </c>
      <c r="K124" s="4">
        <v>1</v>
      </c>
      <c r="L124" s="4">
        <v>0.55000000000000004</v>
      </c>
      <c r="M124" s="4">
        <v>0.35</v>
      </c>
      <c r="N124" s="4">
        <v>0.05</v>
      </c>
      <c r="O124" s="4">
        <v>0.05</v>
      </c>
      <c r="P124" s="4">
        <v>0</v>
      </c>
      <c r="Q124" s="4">
        <v>0</v>
      </c>
      <c r="R124" s="4">
        <v>0.4</v>
      </c>
      <c r="S124" s="4">
        <v>0.54500000000000004</v>
      </c>
      <c r="T124" s="4">
        <v>0.28599999999999998</v>
      </c>
      <c r="U124" s="4">
        <v>0</v>
      </c>
      <c r="V124" s="4">
        <v>0</v>
      </c>
      <c r="W124" s="4">
        <v>0</v>
      </c>
      <c r="X124" s="4">
        <v>0</v>
      </c>
      <c r="Y124" s="4">
        <v>0.75</v>
      </c>
      <c r="Z124" s="4">
        <v>0</v>
      </c>
      <c r="AA124" s="4">
        <v>0</v>
      </c>
      <c r="AB124" s="4">
        <v>0</v>
      </c>
      <c r="AC124" s="4">
        <v>0</v>
      </c>
      <c r="AD124" s="10">
        <f t="shared" si="12"/>
        <v>0.75</v>
      </c>
      <c r="AE124" s="9"/>
      <c r="AF124" s="9"/>
      <c r="AG124" s="12">
        <f t="shared" si="13"/>
        <v>47.199999999999996</v>
      </c>
      <c r="AH124" s="12">
        <f t="shared" si="13"/>
        <v>25.4</v>
      </c>
      <c r="AI124" s="12">
        <f t="shared" si="13"/>
        <v>28.499999999999996</v>
      </c>
      <c r="AJ124" s="12">
        <f t="shared" si="13"/>
        <v>4.9000000000000004</v>
      </c>
      <c r="AK124" s="12"/>
      <c r="AL124" s="12">
        <f t="shared" si="21"/>
        <v>95</v>
      </c>
      <c r="AM124" s="12">
        <f t="shared" si="21"/>
        <v>93.100000000000009</v>
      </c>
      <c r="AN124" s="12">
        <f t="shared" si="21"/>
        <v>80.7</v>
      </c>
      <c r="AO124" s="12">
        <f t="shared" si="19"/>
        <v>41.6</v>
      </c>
      <c r="AP124" s="12">
        <f t="shared" si="19"/>
        <v>60.8</v>
      </c>
      <c r="AQ124" s="12">
        <f t="shared" si="19"/>
        <v>0</v>
      </c>
      <c r="AR124" s="12"/>
      <c r="AS124" s="12">
        <f t="shared" si="22"/>
        <v>18</v>
      </c>
      <c r="AT124" s="12">
        <f t="shared" si="22"/>
        <v>29.799999999999997</v>
      </c>
      <c r="AU124" s="12">
        <f t="shared" si="22"/>
        <v>26</v>
      </c>
      <c r="AV124" s="12">
        <f t="shared" si="20"/>
        <v>0</v>
      </c>
      <c r="AW124" s="12">
        <f t="shared" si="20"/>
        <v>0</v>
      </c>
      <c r="AX124" s="12">
        <f t="shared" si="20"/>
        <v>0</v>
      </c>
      <c r="AY124" s="12"/>
      <c r="AZ124" s="12">
        <f t="shared" si="14"/>
        <v>33</v>
      </c>
      <c r="BA124" s="12">
        <f t="shared" si="15"/>
        <v>100</v>
      </c>
      <c r="BB124" s="12"/>
      <c r="BC124" s="12">
        <f t="shared" si="16"/>
        <v>0</v>
      </c>
      <c r="BD124" s="12">
        <f t="shared" si="17"/>
        <v>0</v>
      </c>
      <c r="BE124" s="12">
        <f t="shared" si="18"/>
        <v>43.500000000000007</v>
      </c>
    </row>
    <row r="125" spans="1:57" ht="15.75" customHeight="1" x14ac:dyDescent="0.25">
      <c r="A125" s="1" t="s">
        <v>232</v>
      </c>
      <c r="B125" s="3" t="s">
        <v>160</v>
      </c>
      <c r="C125" s="4" t="s">
        <v>8</v>
      </c>
      <c r="D125" s="4">
        <v>6</v>
      </c>
      <c r="E125" s="4">
        <v>75</v>
      </c>
      <c r="F125" s="4">
        <v>6</v>
      </c>
      <c r="G125" s="4">
        <v>75</v>
      </c>
      <c r="H125" s="4">
        <v>0.29399999999999998</v>
      </c>
      <c r="I125" s="4">
        <v>19</v>
      </c>
      <c r="J125" s="4">
        <v>0</v>
      </c>
      <c r="K125" s="4">
        <v>0.52900000000000003</v>
      </c>
      <c r="L125" s="4">
        <v>0.17599999999999999</v>
      </c>
      <c r="M125" s="4">
        <v>0.11799999999999999</v>
      </c>
      <c r="N125" s="4">
        <v>5.8999999999999997E-2</v>
      </c>
      <c r="O125" s="4">
        <v>0.17599999999999999</v>
      </c>
      <c r="P125" s="4">
        <v>0.47099999999999997</v>
      </c>
      <c r="Q125" s="4">
        <v>0</v>
      </c>
      <c r="R125" s="4">
        <v>0.44400000000000001</v>
      </c>
      <c r="S125" s="4">
        <v>0.33300000000000002</v>
      </c>
      <c r="T125" s="4">
        <v>0.5</v>
      </c>
      <c r="U125" s="4">
        <v>1</v>
      </c>
      <c r="V125" s="4">
        <v>0.33300000000000002</v>
      </c>
      <c r="W125" s="4">
        <v>0.125</v>
      </c>
      <c r="X125" s="4">
        <v>0</v>
      </c>
      <c r="Y125" s="4">
        <v>0.25</v>
      </c>
      <c r="Z125" s="4">
        <v>1</v>
      </c>
      <c r="AA125" s="4">
        <v>0</v>
      </c>
      <c r="AB125" s="4">
        <v>0.125</v>
      </c>
      <c r="AC125" s="4">
        <v>0</v>
      </c>
      <c r="AD125" s="10">
        <f t="shared" si="12"/>
        <v>0.60324999999999995</v>
      </c>
      <c r="AE125" s="9"/>
      <c r="AF125" s="9"/>
      <c r="AG125" s="12">
        <f t="shared" si="13"/>
        <v>25.4</v>
      </c>
      <c r="AH125" s="12">
        <f t="shared" si="13"/>
        <v>24.8</v>
      </c>
      <c r="AI125" s="12">
        <f t="shared" si="13"/>
        <v>6.8000000000000007</v>
      </c>
      <c r="AJ125" s="12">
        <f t="shared" si="13"/>
        <v>87.5</v>
      </c>
      <c r="AK125" s="12"/>
      <c r="AL125" s="12">
        <f t="shared" si="21"/>
        <v>32.200000000000003</v>
      </c>
      <c r="AM125" s="12">
        <f t="shared" si="21"/>
        <v>34.1</v>
      </c>
      <c r="AN125" s="12">
        <f t="shared" si="21"/>
        <v>22.3</v>
      </c>
      <c r="AO125" s="12">
        <f t="shared" si="19"/>
        <v>45.9</v>
      </c>
      <c r="AP125" s="12">
        <f t="shared" si="19"/>
        <v>96.8</v>
      </c>
      <c r="AQ125" s="12">
        <f t="shared" si="19"/>
        <v>67</v>
      </c>
      <c r="AR125" s="12"/>
      <c r="AS125" s="12">
        <f t="shared" si="22"/>
        <v>26</v>
      </c>
      <c r="AT125" s="12">
        <f t="shared" si="22"/>
        <v>12.4</v>
      </c>
      <c r="AU125" s="12">
        <f t="shared" si="22"/>
        <v>59</v>
      </c>
      <c r="AV125" s="12">
        <f t="shared" si="20"/>
        <v>91.9</v>
      </c>
      <c r="AW125" s="12">
        <f t="shared" si="20"/>
        <v>65.8</v>
      </c>
      <c r="AX125" s="12">
        <f t="shared" si="20"/>
        <v>17.299999999999997</v>
      </c>
      <c r="AY125" s="12"/>
      <c r="AZ125" s="12">
        <f t="shared" si="14"/>
        <v>88.9</v>
      </c>
      <c r="BA125" s="12">
        <f t="shared" si="15"/>
        <v>52.800000000000004</v>
      </c>
      <c r="BB125" s="12"/>
      <c r="BC125" s="12">
        <f t="shared" si="16"/>
        <v>34.1</v>
      </c>
      <c r="BD125" s="12">
        <f t="shared" si="17"/>
        <v>0</v>
      </c>
      <c r="BE125" s="12">
        <f t="shared" si="18"/>
        <v>69</v>
      </c>
    </row>
    <row r="126" spans="1:57" ht="15.75" customHeight="1" x14ac:dyDescent="0.25">
      <c r="A126" s="1" t="s">
        <v>241</v>
      </c>
      <c r="B126" s="4" t="s">
        <v>142</v>
      </c>
      <c r="C126" s="4" t="s">
        <v>8</v>
      </c>
      <c r="D126" s="4">
        <v>4</v>
      </c>
      <c r="E126" s="4">
        <v>74</v>
      </c>
      <c r="F126" s="4">
        <v>4</v>
      </c>
      <c r="G126" s="4">
        <v>74</v>
      </c>
      <c r="H126" s="4">
        <v>0.36799999999999999</v>
      </c>
      <c r="I126" s="4">
        <v>12.4</v>
      </c>
      <c r="J126" s="4">
        <v>0</v>
      </c>
      <c r="K126" s="4">
        <v>0.57899999999999996</v>
      </c>
      <c r="L126" s="4">
        <v>0.36799999999999999</v>
      </c>
      <c r="M126" s="4">
        <v>0.21099999999999999</v>
      </c>
      <c r="N126" s="4">
        <v>0</v>
      </c>
      <c r="O126" s="4">
        <v>0</v>
      </c>
      <c r="P126" s="4">
        <v>0.42099999999999999</v>
      </c>
      <c r="Q126" s="4">
        <v>0</v>
      </c>
      <c r="R126" s="4">
        <v>0.36399999999999999</v>
      </c>
      <c r="S126" s="4">
        <v>0.28599999999999998</v>
      </c>
      <c r="T126" s="4">
        <v>0.5</v>
      </c>
      <c r="U126" s="4">
        <v>0</v>
      </c>
      <c r="V126" s="4">
        <v>0</v>
      </c>
      <c r="W126" s="4">
        <v>0.375</v>
      </c>
      <c r="X126" s="4">
        <v>0</v>
      </c>
      <c r="Y126" s="4">
        <v>0.25</v>
      </c>
      <c r="Z126" s="4">
        <v>1</v>
      </c>
      <c r="AA126" s="4">
        <v>0</v>
      </c>
      <c r="AB126" s="4">
        <v>0.125</v>
      </c>
      <c r="AC126" s="4">
        <v>1</v>
      </c>
      <c r="AD126" s="10">
        <f t="shared" si="12"/>
        <v>0.56574999999999998</v>
      </c>
      <c r="AE126" s="9"/>
      <c r="AF126" s="9"/>
      <c r="AG126" s="12">
        <f t="shared" si="13"/>
        <v>10.5</v>
      </c>
      <c r="AH126" s="12">
        <f t="shared" si="13"/>
        <v>24.2</v>
      </c>
      <c r="AI126" s="12">
        <f t="shared" si="13"/>
        <v>22.900000000000002</v>
      </c>
      <c r="AJ126" s="12">
        <f t="shared" si="13"/>
        <v>39.700000000000003</v>
      </c>
      <c r="AK126" s="12"/>
      <c r="AL126" s="12">
        <f t="shared" si="21"/>
        <v>42.8</v>
      </c>
      <c r="AM126" s="12">
        <f t="shared" si="21"/>
        <v>81.3</v>
      </c>
      <c r="AN126" s="12">
        <f t="shared" si="21"/>
        <v>42.199999999999996</v>
      </c>
      <c r="AO126" s="12">
        <f t="shared" si="19"/>
        <v>0</v>
      </c>
      <c r="AP126" s="12">
        <f t="shared" si="19"/>
        <v>0</v>
      </c>
      <c r="AQ126" s="12">
        <f t="shared" si="19"/>
        <v>57.099999999999994</v>
      </c>
      <c r="AR126" s="12"/>
      <c r="AS126" s="12">
        <f t="shared" si="22"/>
        <v>12.4</v>
      </c>
      <c r="AT126" s="12">
        <f t="shared" si="22"/>
        <v>9.3000000000000007</v>
      </c>
      <c r="AU126" s="12">
        <f t="shared" si="22"/>
        <v>59</v>
      </c>
      <c r="AV126" s="12">
        <f t="shared" si="20"/>
        <v>0</v>
      </c>
      <c r="AW126" s="12">
        <f t="shared" si="20"/>
        <v>0</v>
      </c>
      <c r="AX126" s="12">
        <f t="shared" si="20"/>
        <v>63.9</v>
      </c>
      <c r="AY126" s="12"/>
      <c r="AZ126" s="12">
        <f t="shared" si="14"/>
        <v>88.9</v>
      </c>
      <c r="BA126" s="12">
        <f t="shared" si="15"/>
        <v>52.800000000000004</v>
      </c>
      <c r="BB126" s="12"/>
      <c r="BC126" s="12">
        <f t="shared" si="16"/>
        <v>34.1</v>
      </c>
      <c r="BD126" s="12">
        <f t="shared" si="17"/>
        <v>92.5</v>
      </c>
      <c r="BE126" s="12">
        <f t="shared" si="18"/>
        <v>75.8</v>
      </c>
    </row>
    <row r="127" spans="1:57" ht="15.75" customHeight="1" x14ac:dyDescent="0.25">
      <c r="A127" s="1" t="s">
        <v>229</v>
      </c>
      <c r="B127" s="3" t="s">
        <v>142</v>
      </c>
      <c r="C127" s="4" t="s">
        <v>87</v>
      </c>
      <c r="D127" s="4">
        <v>6</v>
      </c>
      <c r="E127" s="4">
        <v>70</v>
      </c>
      <c r="F127" s="4">
        <v>6</v>
      </c>
      <c r="G127" s="4">
        <v>70</v>
      </c>
      <c r="H127" s="4">
        <v>0.45500000000000002</v>
      </c>
      <c r="I127" s="4">
        <v>12.7</v>
      </c>
      <c r="J127" s="4">
        <v>0</v>
      </c>
      <c r="K127" s="4">
        <v>0.59099999999999997</v>
      </c>
      <c r="L127" s="4">
        <v>0.182</v>
      </c>
      <c r="M127" s="4">
        <v>0.36399999999999999</v>
      </c>
      <c r="N127" s="4">
        <v>4.4999999999999998E-2</v>
      </c>
      <c r="O127" s="4">
        <v>0</v>
      </c>
      <c r="P127" s="4">
        <v>0.40899999999999997</v>
      </c>
      <c r="Q127" s="4">
        <v>0</v>
      </c>
      <c r="R127" s="4">
        <v>0.61499999999999999</v>
      </c>
      <c r="S127" s="4">
        <v>1</v>
      </c>
      <c r="T127" s="4">
        <v>0.5</v>
      </c>
      <c r="U127" s="4">
        <v>0</v>
      </c>
      <c r="V127" s="4">
        <v>0</v>
      </c>
      <c r="W127" s="4">
        <v>0.222</v>
      </c>
      <c r="X127" s="4">
        <v>0</v>
      </c>
      <c r="Y127" s="4">
        <v>0.875</v>
      </c>
      <c r="Z127" s="4">
        <v>1</v>
      </c>
      <c r="AA127" s="4">
        <v>0</v>
      </c>
      <c r="AB127" s="4">
        <v>0.111</v>
      </c>
      <c r="AC127" s="4">
        <v>0</v>
      </c>
      <c r="AD127" s="10">
        <f t="shared" si="12"/>
        <v>0.92612499999999986</v>
      </c>
      <c r="AE127" s="9"/>
      <c r="AF127" s="9"/>
      <c r="AG127" s="12">
        <f t="shared" si="13"/>
        <v>25.4</v>
      </c>
      <c r="AH127" s="12">
        <f t="shared" si="13"/>
        <v>23.599999999999998</v>
      </c>
      <c r="AI127" s="12">
        <f t="shared" si="13"/>
        <v>50.9</v>
      </c>
      <c r="AJ127" s="12">
        <f t="shared" si="13"/>
        <v>42.199999999999996</v>
      </c>
      <c r="AK127" s="12"/>
      <c r="AL127" s="12">
        <f t="shared" si="21"/>
        <v>45.300000000000004</v>
      </c>
      <c r="AM127" s="12">
        <f t="shared" si="21"/>
        <v>36.6</v>
      </c>
      <c r="AN127" s="12">
        <f t="shared" si="21"/>
        <v>85.7</v>
      </c>
      <c r="AO127" s="12">
        <f t="shared" si="19"/>
        <v>37.200000000000003</v>
      </c>
      <c r="AP127" s="12">
        <f t="shared" si="19"/>
        <v>0</v>
      </c>
      <c r="AQ127" s="12">
        <f t="shared" si="19"/>
        <v>54.6</v>
      </c>
      <c r="AR127" s="12"/>
      <c r="AS127" s="12">
        <f t="shared" si="22"/>
        <v>78.2</v>
      </c>
      <c r="AT127" s="12">
        <f t="shared" si="22"/>
        <v>88.1</v>
      </c>
      <c r="AU127" s="12">
        <f t="shared" si="22"/>
        <v>59</v>
      </c>
      <c r="AV127" s="12">
        <f t="shared" si="20"/>
        <v>0</v>
      </c>
      <c r="AW127" s="12">
        <f t="shared" si="20"/>
        <v>0</v>
      </c>
      <c r="AX127" s="12">
        <f t="shared" si="20"/>
        <v>26.700000000000003</v>
      </c>
      <c r="AY127" s="12"/>
      <c r="AZ127" s="12">
        <f t="shared" si="14"/>
        <v>14.299999999999997</v>
      </c>
      <c r="BA127" s="12">
        <f t="shared" si="15"/>
        <v>52.800000000000004</v>
      </c>
      <c r="BB127" s="12"/>
      <c r="BC127" s="12">
        <f t="shared" si="16"/>
        <v>29.799999999999997</v>
      </c>
      <c r="BD127" s="12">
        <f t="shared" si="17"/>
        <v>0</v>
      </c>
      <c r="BE127" s="12">
        <f t="shared" si="18"/>
        <v>11.900000000000006</v>
      </c>
    </row>
    <row r="128" spans="1:57" ht="15.75" customHeight="1" x14ac:dyDescent="0.25">
      <c r="A128" s="1" t="s">
        <v>233</v>
      </c>
      <c r="B128" s="3" t="s">
        <v>244</v>
      </c>
      <c r="C128" s="4" t="s">
        <v>8</v>
      </c>
      <c r="D128" s="4">
        <v>3</v>
      </c>
      <c r="E128" s="4">
        <v>68</v>
      </c>
      <c r="F128" s="4">
        <v>3</v>
      </c>
      <c r="G128" s="4">
        <v>68</v>
      </c>
      <c r="H128" s="4">
        <v>0.41899999999999998</v>
      </c>
      <c r="I128" s="4">
        <v>11.9</v>
      </c>
      <c r="J128" s="4">
        <v>0</v>
      </c>
      <c r="K128" s="4">
        <v>0.74199999999999999</v>
      </c>
      <c r="L128" s="4">
        <v>0.129</v>
      </c>
      <c r="M128" s="4">
        <v>0.51600000000000001</v>
      </c>
      <c r="N128" s="4">
        <v>6.5000000000000002E-2</v>
      </c>
      <c r="O128" s="4">
        <v>3.2000000000000001E-2</v>
      </c>
      <c r="P128" s="4">
        <v>0.25800000000000001</v>
      </c>
      <c r="Q128" s="4">
        <v>0</v>
      </c>
      <c r="R128" s="4">
        <v>0.47799999999999998</v>
      </c>
      <c r="S128" s="4">
        <v>1</v>
      </c>
      <c r="T128" s="4">
        <v>0.375</v>
      </c>
      <c r="U128" s="4">
        <v>0.5</v>
      </c>
      <c r="V128" s="4">
        <v>0</v>
      </c>
      <c r="W128" s="4">
        <v>0.25</v>
      </c>
      <c r="X128" s="4">
        <v>0</v>
      </c>
      <c r="Y128" s="4">
        <v>0</v>
      </c>
      <c r="Z128" s="4">
        <v>1</v>
      </c>
      <c r="AA128" s="4">
        <v>0</v>
      </c>
      <c r="AB128" s="4">
        <v>0.125</v>
      </c>
      <c r="AC128" s="4">
        <v>0</v>
      </c>
      <c r="AD128" s="10">
        <f t="shared" si="12"/>
        <v>0.25800000000000001</v>
      </c>
      <c r="AE128" s="9"/>
      <c r="AF128" s="9"/>
      <c r="AG128" s="12">
        <f t="shared" si="13"/>
        <v>4.9000000000000004</v>
      </c>
      <c r="AH128" s="12">
        <f t="shared" si="13"/>
        <v>22.900000000000002</v>
      </c>
      <c r="AI128" s="12">
        <f t="shared" si="13"/>
        <v>38.5</v>
      </c>
      <c r="AJ128" s="12">
        <f t="shared" si="13"/>
        <v>37.799999999999997</v>
      </c>
      <c r="AK128" s="12"/>
      <c r="AL128" s="12">
        <f t="shared" si="21"/>
        <v>72.599999999999994</v>
      </c>
      <c r="AM128" s="12">
        <f t="shared" si="21"/>
        <v>24.8</v>
      </c>
      <c r="AN128" s="12">
        <f t="shared" si="21"/>
        <v>96.8</v>
      </c>
      <c r="AO128" s="12">
        <f t="shared" si="19"/>
        <v>52.1</v>
      </c>
      <c r="AP128" s="12">
        <f t="shared" si="19"/>
        <v>45.300000000000004</v>
      </c>
      <c r="AQ128" s="12">
        <f t="shared" si="19"/>
        <v>26.700000000000003</v>
      </c>
      <c r="AR128" s="12"/>
      <c r="AS128" s="12">
        <f t="shared" si="22"/>
        <v>36.6</v>
      </c>
      <c r="AT128" s="12">
        <f t="shared" si="22"/>
        <v>88.1</v>
      </c>
      <c r="AU128" s="12">
        <f t="shared" si="22"/>
        <v>40.9</v>
      </c>
      <c r="AV128" s="12">
        <f t="shared" si="20"/>
        <v>72.599999999999994</v>
      </c>
      <c r="AW128" s="12">
        <f t="shared" si="20"/>
        <v>0</v>
      </c>
      <c r="AX128" s="12">
        <f t="shared" si="20"/>
        <v>29.099999999999998</v>
      </c>
      <c r="AY128" s="12"/>
      <c r="AZ128" s="12">
        <f t="shared" si="14"/>
        <v>100</v>
      </c>
      <c r="BA128" s="12">
        <f t="shared" si="15"/>
        <v>52.800000000000004</v>
      </c>
      <c r="BB128" s="12"/>
      <c r="BC128" s="12">
        <f t="shared" si="16"/>
        <v>34.1</v>
      </c>
      <c r="BD128" s="12">
        <f t="shared" si="17"/>
        <v>0</v>
      </c>
      <c r="BE128" s="12">
        <f t="shared" si="18"/>
        <v>97.6</v>
      </c>
    </row>
    <row r="129" spans="1:57" ht="15.75" customHeight="1" x14ac:dyDescent="0.25">
      <c r="A129" s="1" t="s">
        <v>248</v>
      </c>
      <c r="B129" s="3" t="s">
        <v>93</v>
      </c>
      <c r="C129" s="4" t="s">
        <v>8</v>
      </c>
      <c r="D129" s="4">
        <v>5</v>
      </c>
      <c r="E129" s="4">
        <v>67</v>
      </c>
      <c r="F129" s="4">
        <v>5</v>
      </c>
      <c r="G129" s="4">
        <v>67</v>
      </c>
      <c r="H129" s="4">
        <v>0.42899999999999999</v>
      </c>
      <c r="I129" s="4">
        <v>11.2</v>
      </c>
      <c r="J129" s="4">
        <v>0</v>
      </c>
      <c r="K129" s="4">
        <v>0.67900000000000005</v>
      </c>
      <c r="L129" s="4">
        <v>0.32100000000000001</v>
      </c>
      <c r="M129" s="4">
        <v>0.32100000000000001</v>
      </c>
      <c r="N129" s="4">
        <v>0</v>
      </c>
      <c r="O129" s="4">
        <v>3.5999999999999997E-2</v>
      </c>
      <c r="P129" s="4">
        <v>0.32100000000000001</v>
      </c>
      <c r="Q129" s="4">
        <v>0</v>
      </c>
      <c r="R129" s="4">
        <v>0.47399999999999998</v>
      </c>
      <c r="S129" s="4">
        <v>0.66700000000000004</v>
      </c>
      <c r="T129" s="4">
        <v>0.33300000000000002</v>
      </c>
      <c r="U129" s="4">
        <v>0</v>
      </c>
      <c r="V129" s="4">
        <v>0</v>
      </c>
      <c r="W129" s="4">
        <v>0.33300000000000002</v>
      </c>
      <c r="X129" s="4">
        <v>0</v>
      </c>
      <c r="Y129" s="4">
        <v>0.55600000000000005</v>
      </c>
      <c r="Z129" s="4">
        <v>0.33300000000000002</v>
      </c>
      <c r="AA129" s="4">
        <v>0</v>
      </c>
      <c r="AB129" s="4">
        <v>0.111</v>
      </c>
      <c r="AC129" s="4">
        <v>1</v>
      </c>
      <c r="AD129" s="10">
        <f t="shared" si="12"/>
        <v>0.4844170000000001</v>
      </c>
      <c r="AE129" s="9"/>
      <c r="AF129" s="9"/>
      <c r="AG129" s="12">
        <f t="shared" si="13"/>
        <v>16.100000000000001</v>
      </c>
      <c r="AH129" s="12">
        <f t="shared" si="13"/>
        <v>21.099999999999998</v>
      </c>
      <c r="AI129" s="12">
        <f t="shared" si="13"/>
        <v>40.9</v>
      </c>
      <c r="AJ129" s="12">
        <f t="shared" si="13"/>
        <v>32.200000000000003</v>
      </c>
      <c r="AK129" s="12"/>
      <c r="AL129" s="12">
        <f t="shared" si="21"/>
        <v>64.5</v>
      </c>
      <c r="AM129" s="12">
        <f t="shared" si="21"/>
        <v>70.099999999999994</v>
      </c>
      <c r="AN129" s="12">
        <f t="shared" si="21"/>
        <v>78.8</v>
      </c>
      <c r="AO129" s="12">
        <f t="shared" si="19"/>
        <v>0</v>
      </c>
      <c r="AP129" s="12">
        <f t="shared" si="19"/>
        <v>49.6</v>
      </c>
      <c r="AQ129" s="12">
        <f t="shared" si="19"/>
        <v>35.4</v>
      </c>
      <c r="AR129" s="12"/>
      <c r="AS129" s="12">
        <f t="shared" si="22"/>
        <v>36</v>
      </c>
      <c r="AT129" s="12">
        <f t="shared" si="22"/>
        <v>51.5</v>
      </c>
      <c r="AU129" s="12">
        <f t="shared" si="22"/>
        <v>29.099999999999998</v>
      </c>
      <c r="AV129" s="12">
        <f t="shared" si="20"/>
        <v>0</v>
      </c>
      <c r="AW129" s="12">
        <f t="shared" si="20"/>
        <v>0</v>
      </c>
      <c r="AX129" s="12">
        <f t="shared" si="20"/>
        <v>49</v>
      </c>
      <c r="AY129" s="12"/>
      <c r="AZ129" s="12">
        <f t="shared" si="14"/>
        <v>59.1</v>
      </c>
      <c r="BA129" s="12">
        <f t="shared" si="15"/>
        <v>83.3</v>
      </c>
      <c r="BB129" s="12"/>
      <c r="BC129" s="12">
        <f t="shared" si="16"/>
        <v>29.799999999999997</v>
      </c>
      <c r="BD129" s="12">
        <f t="shared" si="17"/>
        <v>92.5</v>
      </c>
      <c r="BE129" s="12">
        <f t="shared" si="18"/>
        <v>87.6</v>
      </c>
    </row>
    <row r="130" spans="1:57" ht="15.75" customHeight="1" x14ac:dyDescent="0.25">
      <c r="A130" s="1" t="s">
        <v>247</v>
      </c>
      <c r="B130" s="4" t="s">
        <v>86</v>
      </c>
      <c r="C130" s="4" t="s">
        <v>114</v>
      </c>
      <c r="D130" s="4">
        <v>4</v>
      </c>
      <c r="E130" s="4">
        <v>67</v>
      </c>
      <c r="F130" s="4">
        <v>4</v>
      </c>
      <c r="G130" s="4">
        <v>67</v>
      </c>
      <c r="H130" s="4">
        <v>0.11799999999999999</v>
      </c>
      <c r="I130" s="4">
        <v>19.5</v>
      </c>
      <c r="J130" s="4">
        <v>0</v>
      </c>
      <c r="K130" s="4">
        <v>0.29399999999999998</v>
      </c>
      <c r="L130" s="4">
        <v>0</v>
      </c>
      <c r="M130" s="4">
        <v>0.17599999999999999</v>
      </c>
      <c r="N130" s="4">
        <v>5.8999999999999997E-2</v>
      </c>
      <c r="O130" s="4">
        <v>5.8999999999999997E-2</v>
      </c>
      <c r="P130" s="4">
        <v>0.70599999999999996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0.16700000000000001</v>
      </c>
      <c r="X130" s="4">
        <v>0</v>
      </c>
      <c r="Y130" s="4">
        <v>0</v>
      </c>
      <c r="Z130" s="4">
        <v>1</v>
      </c>
      <c r="AA130" s="4">
        <v>0</v>
      </c>
      <c r="AB130" s="4">
        <v>0.33300000000000002</v>
      </c>
      <c r="AC130" s="4">
        <v>0</v>
      </c>
      <c r="AD130" s="10">
        <f t="shared" si="12"/>
        <v>0.70599999999999996</v>
      </c>
      <c r="AE130" s="9"/>
      <c r="AF130" s="9"/>
      <c r="AG130" s="12">
        <f t="shared" si="13"/>
        <v>10.5</v>
      </c>
      <c r="AH130" s="12">
        <f t="shared" si="13"/>
        <v>21.099999999999998</v>
      </c>
      <c r="AI130" s="12">
        <f t="shared" si="13"/>
        <v>1.2</v>
      </c>
      <c r="AJ130" s="12">
        <f t="shared" si="13"/>
        <v>91.9</v>
      </c>
      <c r="AK130" s="12"/>
      <c r="AL130" s="12">
        <f t="shared" si="21"/>
        <v>8.6</v>
      </c>
      <c r="AM130" s="12">
        <f t="shared" si="21"/>
        <v>0</v>
      </c>
      <c r="AN130" s="12">
        <f t="shared" si="21"/>
        <v>32.9</v>
      </c>
      <c r="AO130" s="12">
        <f t="shared" si="19"/>
        <v>45.9</v>
      </c>
      <c r="AP130" s="12">
        <f t="shared" si="19"/>
        <v>65.8</v>
      </c>
      <c r="AQ130" s="12">
        <f t="shared" si="19"/>
        <v>91.3</v>
      </c>
      <c r="AR130" s="12"/>
      <c r="AS130" s="12">
        <f t="shared" si="22"/>
        <v>0</v>
      </c>
      <c r="AT130" s="12">
        <f t="shared" si="22"/>
        <v>0</v>
      </c>
      <c r="AU130" s="12">
        <f t="shared" si="22"/>
        <v>0</v>
      </c>
      <c r="AV130" s="12">
        <f t="shared" si="20"/>
        <v>0</v>
      </c>
      <c r="AW130" s="12">
        <f t="shared" si="20"/>
        <v>0</v>
      </c>
      <c r="AX130" s="12">
        <f t="shared" si="20"/>
        <v>21.099999999999998</v>
      </c>
      <c r="AY130" s="12"/>
      <c r="AZ130" s="12">
        <f t="shared" si="14"/>
        <v>100</v>
      </c>
      <c r="BA130" s="12">
        <f t="shared" si="15"/>
        <v>52.800000000000004</v>
      </c>
      <c r="BB130" s="12"/>
      <c r="BC130" s="12">
        <f t="shared" si="16"/>
        <v>73.2</v>
      </c>
      <c r="BD130" s="12">
        <f t="shared" si="17"/>
        <v>0</v>
      </c>
      <c r="BE130" s="12">
        <f t="shared" si="18"/>
        <v>50.4</v>
      </c>
    </row>
    <row r="131" spans="1:57" ht="15.75" customHeight="1" x14ac:dyDescent="0.25">
      <c r="A131" s="1" t="s">
        <v>215</v>
      </c>
      <c r="B131" s="3" t="s">
        <v>95</v>
      </c>
      <c r="C131" s="4" t="s">
        <v>90</v>
      </c>
      <c r="D131" s="4">
        <v>7</v>
      </c>
      <c r="E131" s="4">
        <v>67</v>
      </c>
      <c r="F131" s="4">
        <v>7</v>
      </c>
      <c r="G131" s="4">
        <v>67</v>
      </c>
      <c r="H131" s="4">
        <v>0.42099999999999999</v>
      </c>
      <c r="I131" s="4">
        <v>17</v>
      </c>
      <c r="J131" s="4">
        <v>0</v>
      </c>
      <c r="K131" s="4">
        <v>0.42099999999999999</v>
      </c>
      <c r="L131" s="4">
        <v>0.105</v>
      </c>
      <c r="M131" s="4">
        <v>0.26300000000000001</v>
      </c>
      <c r="N131" s="4">
        <v>0</v>
      </c>
      <c r="O131" s="4">
        <v>5.2999999999999999E-2</v>
      </c>
      <c r="P131" s="4">
        <v>0.57899999999999996</v>
      </c>
      <c r="Q131" s="4">
        <v>0</v>
      </c>
      <c r="R131" s="4">
        <v>0.5</v>
      </c>
      <c r="S131" s="4">
        <v>1</v>
      </c>
      <c r="T131" s="4">
        <v>0.4</v>
      </c>
      <c r="U131" s="4">
        <v>0</v>
      </c>
      <c r="V131" s="4">
        <v>0</v>
      </c>
      <c r="W131" s="4">
        <v>0.36399999999999999</v>
      </c>
      <c r="X131" s="4">
        <v>0</v>
      </c>
      <c r="Y131" s="4">
        <v>1</v>
      </c>
      <c r="Z131" s="4">
        <v>1</v>
      </c>
      <c r="AA131" s="4">
        <v>0</v>
      </c>
      <c r="AB131" s="4">
        <v>0.54500000000000004</v>
      </c>
      <c r="AC131" s="4">
        <v>0.33300000000000002</v>
      </c>
      <c r="AD131" s="10">
        <f t="shared" si="12"/>
        <v>1</v>
      </c>
      <c r="AE131" s="9"/>
      <c r="AF131" s="9"/>
      <c r="AG131" s="12">
        <f t="shared" si="13"/>
        <v>47.199999999999996</v>
      </c>
      <c r="AH131" s="12">
        <f t="shared" si="13"/>
        <v>21.099999999999998</v>
      </c>
      <c r="AI131" s="12">
        <f t="shared" si="13"/>
        <v>39.700000000000003</v>
      </c>
      <c r="AJ131" s="12">
        <f t="shared" si="13"/>
        <v>75.099999999999994</v>
      </c>
      <c r="AK131" s="12"/>
      <c r="AL131" s="12">
        <f t="shared" si="21"/>
        <v>18.600000000000001</v>
      </c>
      <c r="AM131" s="12">
        <f t="shared" si="21"/>
        <v>17.299999999999997</v>
      </c>
      <c r="AN131" s="12">
        <f t="shared" si="21"/>
        <v>60.8</v>
      </c>
      <c r="AO131" s="12">
        <f t="shared" si="19"/>
        <v>0</v>
      </c>
      <c r="AP131" s="12">
        <f t="shared" si="19"/>
        <v>62.7</v>
      </c>
      <c r="AQ131" s="12">
        <f t="shared" si="19"/>
        <v>81.3</v>
      </c>
      <c r="AR131" s="12"/>
      <c r="AS131" s="12">
        <f t="shared" si="22"/>
        <v>40.9</v>
      </c>
      <c r="AT131" s="12">
        <f t="shared" si="22"/>
        <v>88.1</v>
      </c>
      <c r="AU131" s="12">
        <f t="shared" si="22"/>
        <v>43.4</v>
      </c>
      <c r="AV131" s="12">
        <f t="shared" si="20"/>
        <v>0</v>
      </c>
      <c r="AW131" s="12">
        <f t="shared" si="20"/>
        <v>0</v>
      </c>
      <c r="AX131" s="12">
        <f t="shared" si="20"/>
        <v>62.1</v>
      </c>
      <c r="AY131" s="12"/>
      <c r="AZ131" s="12">
        <f t="shared" si="14"/>
        <v>9.3999999999999915</v>
      </c>
      <c r="BA131" s="12">
        <f t="shared" si="15"/>
        <v>52.800000000000004</v>
      </c>
      <c r="BB131" s="12"/>
      <c r="BC131" s="12">
        <f t="shared" si="16"/>
        <v>91.9</v>
      </c>
      <c r="BD131" s="12">
        <f t="shared" si="17"/>
        <v>58.3</v>
      </c>
      <c r="BE131" s="12">
        <f t="shared" si="18"/>
        <v>6.8999999999999915</v>
      </c>
    </row>
    <row r="132" spans="1:57" ht="15.75" customHeight="1" x14ac:dyDescent="0.25">
      <c r="A132" s="1" t="s">
        <v>191</v>
      </c>
      <c r="B132" s="3" t="s">
        <v>119</v>
      </c>
      <c r="C132" s="4" t="s">
        <v>121</v>
      </c>
      <c r="D132" s="4">
        <v>6</v>
      </c>
      <c r="E132" s="4">
        <v>65</v>
      </c>
      <c r="F132" s="4">
        <v>6</v>
      </c>
      <c r="G132" s="4">
        <v>65</v>
      </c>
      <c r="H132" s="4">
        <v>0.66700000000000004</v>
      </c>
      <c r="I132" s="4">
        <v>4.2</v>
      </c>
      <c r="J132" s="4">
        <v>0</v>
      </c>
      <c r="K132" s="4">
        <v>1</v>
      </c>
      <c r="L132" s="4">
        <v>0.33300000000000002</v>
      </c>
      <c r="M132" s="4">
        <v>0.66700000000000004</v>
      </c>
      <c r="N132" s="4">
        <v>0</v>
      </c>
      <c r="O132" s="4">
        <v>0</v>
      </c>
      <c r="P132" s="4">
        <v>0</v>
      </c>
      <c r="Q132" s="4">
        <v>0</v>
      </c>
      <c r="R132" s="4">
        <v>0.66700000000000004</v>
      </c>
      <c r="S132" s="4">
        <v>1</v>
      </c>
      <c r="T132" s="4">
        <v>0.5</v>
      </c>
      <c r="U132" s="4">
        <v>0</v>
      </c>
      <c r="V132" s="4">
        <v>0</v>
      </c>
      <c r="W132" s="4">
        <v>0</v>
      </c>
      <c r="X132" s="4">
        <v>0</v>
      </c>
      <c r="Y132" s="4">
        <v>1</v>
      </c>
      <c r="Z132" s="4">
        <v>0</v>
      </c>
      <c r="AA132" s="4">
        <v>0</v>
      </c>
      <c r="AB132" s="4">
        <v>0</v>
      </c>
      <c r="AC132" s="4">
        <v>0</v>
      </c>
      <c r="AD132" s="10">
        <f t="shared" si="12"/>
        <v>1</v>
      </c>
      <c r="AE132" s="9"/>
      <c r="AF132" s="9"/>
      <c r="AG132" s="12">
        <f t="shared" si="13"/>
        <v>25.4</v>
      </c>
      <c r="AH132" s="12">
        <f t="shared" si="13"/>
        <v>20.399999999999999</v>
      </c>
      <c r="AI132" s="12">
        <f t="shared" si="13"/>
        <v>97.5</v>
      </c>
      <c r="AJ132" s="12">
        <f t="shared" ref="AJ132:AJ165" si="23">(PERCENTRANK(I$4:I$298,I132))*100</f>
        <v>3.1</v>
      </c>
      <c r="AK132" s="12"/>
      <c r="AL132" s="12">
        <f t="shared" si="21"/>
        <v>95</v>
      </c>
      <c r="AM132" s="12">
        <f t="shared" si="21"/>
        <v>72.599999999999994</v>
      </c>
      <c r="AN132" s="12">
        <f t="shared" si="21"/>
        <v>99.3</v>
      </c>
      <c r="AO132" s="12">
        <f t="shared" si="19"/>
        <v>0</v>
      </c>
      <c r="AP132" s="12">
        <f t="shared" si="19"/>
        <v>0</v>
      </c>
      <c r="AQ132" s="12">
        <f t="shared" si="19"/>
        <v>0</v>
      </c>
      <c r="AR132" s="12"/>
      <c r="AS132" s="12">
        <f t="shared" si="22"/>
        <v>85.7</v>
      </c>
      <c r="AT132" s="12">
        <f t="shared" si="22"/>
        <v>88.1</v>
      </c>
      <c r="AU132" s="12">
        <f t="shared" si="22"/>
        <v>59</v>
      </c>
      <c r="AV132" s="12">
        <f t="shared" si="20"/>
        <v>0</v>
      </c>
      <c r="AW132" s="12">
        <f t="shared" si="20"/>
        <v>0</v>
      </c>
      <c r="AX132" s="12">
        <f t="shared" si="20"/>
        <v>0</v>
      </c>
      <c r="AY132" s="12"/>
      <c r="AZ132" s="12">
        <f t="shared" si="14"/>
        <v>9.3999999999999915</v>
      </c>
      <c r="BA132" s="12">
        <f t="shared" si="15"/>
        <v>100</v>
      </c>
      <c r="BB132" s="12"/>
      <c r="BC132" s="12">
        <f t="shared" si="16"/>
        <v>0</v>
      </c>
      <c r="BD132" s="12">
        <f t="shared" si="17"/>
        <v>0</v>
      </c>
      <c r="BE132" s="12">
        <f t="shared" si="18"/>
        <v>6.8999999999999915</v>
      </c>
    </row>
    <row r="133" spans="1:57" ht="15.75" customHeight="1" x14ac:dyDescent="0.25">
      <c r="A133" s="1" t="s">
        <v>212</v>
      </c>
      <c r="B133" s="3" t="s">
        <v>119</v>
      </c>
      <c r="C133" s="4" t="s">
        <v>87</v>
      </c>
      <c r="D133" s="4">
        <v>6</v>
      </c>
      <c r="E133" s="4">
        <v>64</v>
      </c>
      <c r="F133" s="4">
        <v>6</v>
      </c>
      <c r="G133" s="4">
        <v>64</v>
      </c>
      <c r="H133" s="4">
        <v>0.55000000000000004</v>
      </c>
      <c r="I133" s="4">
        <v>6.2</v>
      </c>
      <c r="J133" s="4">
        <v>0</v>
      </c>
      <c r="K133" s="4">
        <v>0.85</v>
      </c>
      <c r="L133" s="4">
        <v>0.55000000000000004</v>
      </c>
      <c r="M133" s="4">
        <v>0.3</v>
      </c>
      <c r="N133" s="4">
        <v>0</v>
      </c>
      <c r="O133" s="4">
        <v>0</v>
      </c>
      <c r="P133" s="4">
        <v>0.15</v>
      </c>
      <c r="Q133" s="4">
        <v>0</v>
      </c>
      <c r="R133" s="4">
        <v>0.58799999999999997</v>
      </c>
      <c r="S133" s="4">
        <v>0.72699999999999998</v>
      </c>
      <c r="T133" s="4">
        <v>0.33300000000000002</v>
      </c>
      <c r="U133" s="4">
        <v>0</v>
      </c>
      <c r="V133" s="4">
        <v>0</v>
      </c>
      <c r="W133" s="4">
        <v>0.33300000000000002</v>
      </c>
      <c r="X133" s="4">
        <v>0</v>
      </c>
      <c r="Y133" s="4">
        <v>0.8</v>
      </c>
      <c r="Z133" s="4">
        <v>1</v>
      </c>
      <c r="AA133" s="4">
        <v>0</v>
      </c>
      <c r="AB133" s="4">
        <v>0</v>
      </c>
      <c r="AC133" s="4">
        <v>0</v>
      </c>
      <c r="AD133" s="10">
        <f t="shared" ref="AD133:AD165" si="24">(K133*Y133+P133*Z133)</f>
        <v>0.83000000000000007</v>
      </c>
      <c r="AE133" s="9"/>
      <c r="AF133" s="9"/>
      <c r="AG133" s="12">
        <f t="shared" ref="AG133:AI148" si="25">(PERCENTRANK(F$4:F$298,F133))*100</f>
        <v>25.4</v>
      </c>
      <c r="AH133" s="12">
        <f t="shared" si="25"/>
        <v>19.8</v>
      </c>
      <c r="AI133" s="12">
        <f t="shared" si="25"/>
        <v>82.6</v>
      </c>
      <c r="AJ133" s="12">
        <f t="shared" si="23"/>
        <v>9.9</v>
      </c>
      <c r="AK133" s="12"/>
      <c r="AL133" s="12">
        <f t="shared" si="21"/>
        <v>82.6</v>
      </c>
      <c r="AM133" s="12">
        <f t="shared" si="21"/>
        <v>93.100000000000009</v>
      </c>
      <c r="AN133" s="12">
        <f t="shared" si="21"/>
        <v>68.300000000000011</v>
      </c>
      <c r="AO133" s="12">
        <f t="shared" si="19"/>
        <v>0</v>
      </c>
      <c r="AP133" s="12">
        <f t="shared" si="19"/>
        <v>0</v>
      </c>
      <c r="AQ133" s="12">
        <f t="shared" si="19"/>
        <v>17.299999999999997</v>
      </c>
      <c r="AR133" s="12"/>
      <c r="AS133" s="12">
        <f t="shared" si="22"/>
        <v>72</v>
      </c>
      <c r="AT133" s="12">
        <f t="shared" si="22"/>
        <v>63.9</v>
      </c>
      <c r="AU133" s="12">
        <f t="shared" si="22"/>
        <v>29.099999999999998</v>
      </c>
      <c r="AV133" s="12">
        <f t="shared" si="20"/>
        <v>0</v>
      </c>
      <c r="AW133" s="12">
        <f t="shared" si="20"/>
        <v>0</v>
      </c>
      <c r="AX133" s="12">
        <f t="shared" si="20"/>
        <v>49</v>
      </c>
      <c r="AY133" s="12"/>
      <c r="AZ133" s="12">
        <f t="shared" ref="AZ133:AZ165" si="26">100-(PERCENTRANK(Y$4:Y$298,Y133))*100</f>
        <v>24.900000000000006</v>
      </c>
      <c r="BA133" s="12">
        <f t="shared" ref="BA133:BA165" si="27">100-(PERCENTRANK(Z$4:Z$298,Z133))*100</f>
        <v>52.800000000000004</v>
      </c>
      <c r="BB133" s="12"/>
      <c r="BC133" s="12">
        <f t="shared" ref="BC133:BC165" si="28">(PERCENTRANK(AB$4:AB$298,AB133))*100</f>
        <v>0</v>
      </c>
      <c r="BD133" s="12">
        <f t="shared" ref="BD133:BD165" si="29">(PERCENTRANK(AC$4:AC$298,AC133))*100</f>
        <v>0</v>
      </c>
      <c r="BE133" s="12">
        <f t="shared" ref="BE133:BE165" si="30">100-(PERCENTRANK(AD$4:AD$298,AD133))*100</f>
        <v>30.5</v>
      </c>
    </row>
    <row r="134" spans="1:57" ht="15.75" customHeight="1" x14ac:dyDescent="0.25">
      <c r="A134" s="1" t="s">
        <v>249</v>
      </c>
      <c r="B134" s="3" t="s">
        <v>133</v>
      </c>
      <c r="C134" s="4" t="s">
        <v>8</v>
      </c>
      <c r="D134" s="4">
        <v>5</v>
      </c>
      <c r="E134" s="4">
        <v>63</v>
      </c>
      <c r="F134" s="4">
        <v>5</v>
      </c>
      <c r="G134" s="4">
        <v>63</v>
      </c>
      <c r="H134" s="4">
        <v>0.32600000000000001</v>
      </c>
      <c r="I134" s="4">
        <v>17.899999999999999</v>
      </c>
      <c r="J134" s="4">
        <v>0</v>
      </c>
      <c r="K134" s="4">
        <v>0.372</v>
      </c>
      <c r="L134" s="4">
        <v>0.20899999999999999</v>
      </c>
      <c r="M134" s="4">
        <v>9.2999999999999999E-2</v>
      </c>
      <c r="N134" s="4">
        <v>7.0000000000000007E-2</v>
      </c>
      <c r="O134" s="4">
        <v>0</v>
      </c>
      <c r="P134" s="4">
        <v>0.628</v>
      </c>
      <c r="Q134" s="4">
        <v>0</v>
      </c>
      <c r="R134" s="4">
        <v>0.5</v>
      </c>
      <c r="S134" s="4">
        <v>0.66700000000000004</v>
      </c>
      <c r="T134" s="4">
        <v>0.5</v>
      </c>
      <c r="U134" s="4">
        <v>0</v>
      </c>
      <c r="V134" s="4">
        <v>0</v>
      </c>
      <c r="W134" s="4">
        <v>0.222</v>
      </c>
      <c r="X134" s="4">
        <v>0</v>
      </c>
      <c r="Y134" s="4">
        <v>1</v>
      </c>
      <c r="Z134" s="4">
        <v>0.66700000000000004</v>
      </c>
      <c r="AA134" s="4">
        <v>0</v>
      </c>
      <c r="AB134" s="4">
        <v>0.14799999999999999</v>
      </c>
      <c r="AC134" s="4">
        <v>0</v>
      </c>
      <c r="AD134" s="10">
        <f t="shared" si="24"/>
        <v>0.79087600000000002</v>
      </c>
      <c r="AE134" s="9"/>
      <c r="AF134" s="9"/>
      <c r="AG134" s="12">
        <f t="shared" si="25"/>
        <v>16.100000000000001</v>
      </c>
      <c r="AH134" s="12">
        <f t="shared" si="25"/>
        <v>19.2</v>
      </c>
      <c r="AI134" s="12">
        <f t="shared" si="25"/>
        <v>11.799999999999999</v>
      </c>
      <c r="AJ134" s="12">
        <f t="shared" si="23"/>
        <v>81.899999999999991</v>
      </c>
      <c r="AK134" s="12"/>
      <c r="AL134" s="12">
        <f t="shared" si="21"/>
        <v>11.799999999999999</v>
      </c>
      <c r="AM134" s="12">
        <f t="shared" si="21"/>
        <v>44.7</v>
      </c>
      <c r="AN134" s="12">
        <f t="shared" si="21"/>
        <v>15.5</v>
      </c>
      <c r="AO134" s="12">
        <f t="shared" si="19"/>
        <v>55.2</v>
      </c>
      <c r="AP134" s="12">
        <f t="shared" si="19"/>
        <v>0</v>
      </c>
      <c r="AQ134" s="12">
        <f t="shared" si="19"/>
        <v>88.1</v>
      </c>
      <c r="AR134" s="12"/>
      <c r="AS134" s="12">
        <f t="shared" si="22"/>
        <v>40.9</v>
      </c>
      <c r="AT134" s="12">
        <f t="shared" si="22"/>
        <v>51.5</v>
      </c>
      <c r="AU134" s="12">
        <f t="shared" si="22"/>
        <v>59</v>
      </c>
      <c r="AV134" s="12">
        <f t="shared" si="20"/>
        <v>0</v>
      </c>
      <c r="AW134" s="12">
        <f t="shared" si="20"/>
        <v>0</v>
      </c>
      <c r="AX134" s="12">
        <f t="shared" si="20"/>
        <v>26.700000000000003</v>
      </c>
      <c r="AY134" s="12"/>
      <c r="AZ134" s="12">
        <f t="shared" si="26"/>
        <v>9.3999999999999915</v>
      </c>
      <c r="BA134" s="12">
        <f t="shared" si="27"/>
        <v>78.3</v>
      </c>
      <c r="BB134" s="12"/>
      <c r="BC134" s="12">
        <f t="shared" si="28"/>
        <v>42.199999999999996</v>
      </c>
      <c r="BD134" s="12">
        <f t="shared" si="29"/>
        <v>0</v>
      </c>
      <c r="BE134" s="12">
        <f t="shared" si="30"/>
        <v>34.200000000000003</v>
      </c>
    </row>
    <row r="135" spans="1:57" ht="15.75" customHeight="1" x14ac:dyDescent="0.25">
      <c r="A135" s="1" t="s">
        <v>210</v>
      </c>
      <c r="B135" s="3" t="s">
        <v>244</v>
      </c>
      <c r="C135" s="4" t="s">
        <v>121</v>
      </c>
      <c r="D135" s="4">
        <v>5</v>
      </c>
      <c r="E135" s="4">
        <v>60</v>
      </c>
      <c r="F135" s="4">
        <v>5</v>
      </c>
      <c r="G135" s="4">
        <v>60</v>
      </c>
      <c r="H135" s="4">
        <v>0.5</v>
      </c>
      <c r="I135" s="4">
        <v>16.399999999999999</v>
      </c>
      <c r="J135" s="4">
        <v>0</v>
      </c>
      <c r="K135" s="4">
        <v>0.42899999999999999</v>
      </c>
      <c r="L135" s="4">
        <v>7.0999999999999994E-2</v>
      </c>
      <c r="M135" s="4">
        <v>0.35699999999999998</v>
      </c>
      <c r="N135" s="4">
        <v>0</v>
      </c>
      <c r="O135" s="4">
        <v>0</v>
      </c>
      <c r="P135" s="4">
        <v>0.57099999999999995</v>
      </c>
      <c r="Q135" s="4">
        <v>0</v>
      </c>
      <c r="R135" s="4">
        <v>0.83299999999999996</v>
      </c>
      <c r="S135" s="4">
        <v>1</v>
      </c>
      <c r="T135" s="4">
        <v>0.8</v>
      </c>
      <c r="U135" s="4">
        <v>0</v>
      </c>
      <c r="V135" s="4">
        <v>0</v>
      </c>
      <c r="W135" s="4">
        <v>0.25</v>
      </c>
      <c r="X135" s="4">
        <v>0</v>
      </c>
      <c r="Y135" s="4">
        <v>0.8</v>
      </c>
      <c r="Z135" s="4">
        <v>1</v>
      </c>
      <c r="AA135" s="4">
        <v>0</v>
      </c>
      <c r="AB135" s="4">
        <v>0.25</v>
      </c>
      <c r="AC135" s="4">
        <v>0.5</v>
      </c>
      <c r="AD135" s="10">
        <f t="shared" si="24"/>
        <v>0.9141999999999999</v>
      </c>
      <c r="AE135" s="9"/>
      <c r="AF135" s="9"/>
      <c r="AG135" s="12">
        <f t="shared" si="25"/>
        <v>16.100000000000001</v>
      </c>
      <c r="AH135" s="12">
        <f t="shared" si="25"/>
        <v>18</v>
      </c>
      <c r="AI135" s="12">
        <f t="shared" si="25"/>
        <v>65.2</v>
      </c>
      <c r="AJ135" s="12">
        <f t="shared" si="23"/>
        <v>72.599999999999994</v>
      </c>
      <c r="AK135" s="12"/>
      <c r="AL135" s="12">
        <f t="shared" si="21"/>
        <v>19.8</v>
      </c>
      <c r="AM135" s="12">
        <f t="shared" si="21"/>
        <v>14.2</v>
      </c>
      <c r="AN135" s="12">
        <f t="shared" si="21"/>
        <v>83.2</v>
      </c>
      <c r="AO135" s="12">
        <f t="shared" si="19"/>
        <v>0</v>
      </c>
      <c r="AP135" s="12">
        <f t="shared" si="19"/>
        <v>0</v>
      </c>
      <c r="AQ135" s="12">
        <f t="shared" si="19"/>
        <v>80.100000000000009</v>
      </c>
      <c r="AR135" s="12"/>
      <c r="AS135" s="12">
        <f t="shared" si="22"/>
        <v>96.8</v>
      </c>
      <c r="AT135" s="12">
        <f t="shared" si="22"/>
        <v>88.1</v>
      </c>
      <c r="AU135" s="12">
        <f t="shared" si="22"/>
        <v>95.6</v>
      </c>
      <c r="AV135" s="12">
        <f t="shared" si="20"/>
        <v>0</v>
      </c>
      <c r="AW135" s="12">
        <f t="shared" si="20"/>
        <v>0</v>
      </c>
      <c r="AX135" s="12">
        <f t="shared" si="20"/>
        <v>29.099999999999998</v>
      </c>
      <c r="AY135" s="12"/>
      <c r="AZ135" s="12">
        <f t="shared" si="26"/>
        <v>24.900000000000006</v>
      </c>
      <c r="BA135" s="12">
        <f t="shared" si="27"/>
        <v>52.800000000000004</v>
      </c>
      <c r="BB135" s="12"/>
      <c r="BC135" s="12">
        <f t="shared" si="28"/>
        <v>59</v>
      </c>
      <c r="BD135" s="12">
        <f t="shared" si="29"/>
        <v>70.8</v>
      </c>
      <c r="BE135" s="12">
        <f t="shared" si="30"/>
        <v>15</v>
      </c>
    </row>
    <row r="136" spans="1:57" ht="15.75" customHeight="1" x14ac:dyDescent="0.25">
      <c r="A136" s="1" t="s">
        <v>250</v>
      </c>
      <c r="B136" s="3" t="s">
        <v>164</v>
      </c>
      <c r="C136" s="4" t="s">
        <v>8</v>
      </c>
      <c r="D136" s="4">
        <v>8</v>
      </c>
      <c r="E136" s="4">
        <v>60</v>
      </c>
      <c r="F136" s="4">
        <v>8</v>
      </c>
      <c r="G136" s="4">
        <v>60</v>
      </c>
      <c r="H136" s="4">
        <v>0.3</v>
      </c>
      <c r="I136" s="4">
        <v>12.9</v>
      </c>
      <c r="J136" s="4">
        <v>0</v>
      </c>
      <c r="K136" s="4">
        <v>0.6</v>
      </c>
      <c r="L136" s="4">
        <v>0.3</v>
      </c>
      <c r="M136" s="4">
        <v>0</v>
      </c>
      <c r="N136" s="4">
        <v>0.3</v>
      </c>
      <c r="O136" s="4">
        <v>0</v>
      </c>
      <c r="P136" s="4">
        <v>0.4</v>
      </c>
      <c r="Q136" s="4">
        <v>0</v>
      </c>
      <c r="R136" s="4">
        <v>0.16700000000000001</v>
      </c>
      <c r="S136" s="4">
        <v>0.33300000000000002</v>
      </c>
      <c r="T136" s="4">
        <v>0</v>
      </c>
      <c r="U136" s="4">
        <v>0</v>
      </c>
      <c r="V136" s="4">
        <v>0</v>
      </c>
      <c r="W136" s="4">
        <v>0.5</v>
      </c>
      <c r="X136" s="4">
        <v>0</v>
      </c>
      <c r="Y136" s="4">
        <v>0</v>
      </c>
      <c r="Z136" s="4">
        <v>1</v>
      </c>
      <c r="AA136" s="4">
        <v>0</v>
      </c>
      <c r="AB136" s="4">
        <v>0.75</v>
      </c>
      <c r="AC136" s="4">
        <v>0.33300000000000002</v>
      </c>
      <c r="AD136" s="10">
        <f t="shared" si="24"/>
        <v>0.4</v>
      </c>
      <c r="AE136" s="9"/>
      <c r="AF136" s="9"/>
      <c r="AG136" s="12">
        <f t="shared" si="25"/>
        <v>69.5</v>
      </c>
      <c r="AH136" s="12">
        <f t="shared" si="25"/>
        <v>18</v>
      </c>
      <c r="AI136" s="12">
        <f t="shared" si="25"/>
        <v>8</v>
      </c>
      <c r="AJ136" s="12">
        <f t="shared" si="23"/>
        <v>43.4</v>
      </c>
      <c r="AK136" s="12"/>
      <c r="AL136" s="12">
        <f t="shared" si="21"/>
        <v>46.5</v>
      </c>
      <c r="AM136" s="12">
        <f t="shared" si="21"/>
        <v>67</v>
      </c>
      <c r="AN136" s="12">
        <f t="shared" si="21"/>
        <v>0</v>
      </c>
      <c r="AO136" s="12">
        <f t="shared" si="19"/>
        <v>98.7</v>
      </c>
      <c r="AP136" s="12">
        <f t="shared" si="19"/>
        <v>0</v>
      </c>
      <c r="AQ136" s="12">
        <f t="shared" si="19"/>
        <v>53.400000000000006</v>
      </c>
      <c r="AR136" s="12"/>
      <c r="AS136" s="12">
        <f t="shared" si="22"/>
        <v>1.7999999999999998</v>
      </c>
      <c r="AT136" s="12">
        <f t="shared" si="22"/>
        <v>12.4</v>
      </c>
      <c r="AU136" s="12">
        <f t="shared" si="22"/>
        <v>0</v>
      </c>
      <c r="AV136" s="12">
        <f t="shared" si="20"/>
        <v>0</v>
      </c>
      <c r="AW136" s="12">
        <f t="shared" si="20"/>
        <v>0</v>
      </c>
      <c r="AX136" s="12">
        <f t="shared" si="20"/>
        <v>87.5</v>
      </c>
      <c r="AY136" s="12"/>
      <c r="AZ136" s="12">
        <f t="shared" si="26"/>
        <v>100</v>
      </c>
      <c r="BA136" s="12">
        <f t="shared" si="27"/>
        <v>52.800000000000004</v>
      </c>
      <c r="BB136" s="12"/>
      <c r="BC136" s="12">
        <f t="shared" si="28"/>
        <v>98.7</v>
      </c>
      <c r="BD136" s="12">
        <f t="shared" si="29"/>
        <v>58.3</v>
      </c>
      <c r="BE136" s="12">
        <f t="shared" si="30"/>
        <v>93.8</v>
      </c>
    </row>
    <row r="137" spans="1:57" ht="15.75" customHeight="1" x14ac:dyDescent="0.25">
      <c r="A137" s="1" t="s">
        <v>202</v>
      </c>
      <c r="B137" s="3" t="s">
        <v>142</v>
      </c>
      <c r="C137" s="4" t="s">
        <v>8</v>
      </c>
      <c r="D137" s="4">
        <v>5</v>
      </c>
      <c r="E137" s="4">
        <v>59</v>
      </c>
      <c r="F137" s="4">
        <v>5</v>
      </c>
      <c r="G137" s="4">
        <v>59</v>
      </c>
      <c r="H137" s="4">
        <v>0.222</v>
      </c>
      <c r="I137" s="4">
        <v>17.100000000000001</v>
      </c>
      <c r="J137" s="4">
        <v>0</v>
      </c>
      <c r="K137" s="4">
        <v>0.44400000000000001</v>
      </c>
      <c r="L137" s="4">
        <v>0</v>
      </c>
      <c r="M137" s="4">
        <v>0.44400000000000001</v>
      </c>
      <c r="N137" s="4">
        <v>0</v>
      </c>
      <c r="O137" s="4">
        <v>0</v>
      </c>
      <c r="P137" s="4">
        <v>0.55600000000000005</v>
      </c>
      <c r="Q137" s="4">
        <v>0</v>
      </c>
      <c r="R137" s="4">
        <v>0.25</v>
      </c>
      <c r="S137" s="4">
        <v>0</v>
      </c>
      <c r="T137" s="4">
        <v>0.25</v>
      </c>
      <c r="U137" s="4">
        <v>0</v>
      </c>
      <c r="V137" s="4">
        <v>0</v>
      </c>
      <c r="W137" s="4">
        <v>0.2</v>
      </c>
      <c r="X137" s="4">
        <v>0</v>
      </c>
      <c r="Y137" s="4">
        <v>0</v>
      </c>
      <c r="Z137" s="4">
        <v>1</v>
      </c>
      <c r="AA137" s="4">
        <v>0</v>
      </c>
      <c r="AB137" s="4">
        <v>0.2</v>
      </c>
      <c r="AC137" s="4">
        <v>0</v>
      </c>
      <c r="AD137" s="10">
        <f t="shared" si="24"/>
        <v>0.55600000000000005</v>
      </c>
      <c r="AE137" s="9"/>
      <c r="AF137" s="9"/>
      <c r="AG137" s="12">
        <f t="shared" si="25"/>
        <v>16.100000000000001</v>
      </c>
      <c r="AH137" s="12">
        <f t="shared" si="25"/>
        <v>17.299999999999997</v>
      </c>
      <c r="AI137" s="12">
        <f t="shared" si="25"/>
        <v>1.7999999999999998</v>
      </c>
      <c r="AJ137" s="12">
        <f t="shared" si="23"/>
        <v>76.3</v>
      </c>
      <c r="AK137" s="12"/>
      <c r="AL137" s="12">
        <f t="shared" si="21"/>
        <v>20.399999999999999</v>
      </c>
      <c r="AM137" s="12">
        <f t="shared" si="21"/>
        <v>0</v>
      </c>
      <c r="AN137" s="12">
        <f t="shared" si="21"/>
        <v>92.5</v>
      </c>
      <c r="AO137" s="12">
        <f t="shared" si="19"/>
        <v>0</v>
      </c>
      <c r="AP137" s="12">
        <f t="shared" si="19"/>
        <v>0</v>
      </c>
      <c r="AQ137" s="12">
        <f t="shared" si="19"/>
        <v>77.600000000000009</v>
      </c>
      <c r="AR137" s="12"/>
      <c r="AS137" s="12">
        <f t="shared" si="22"/>
        <v>3.1</v>
      </c>
      <c r="AT137" s="12">
        <f t="shared" si="22"/>
        <v>0</v>
      </c>
      <c r="AU137" s="12">
        <f t="shared" si="22"/>
        <v>19.8</v>
      </c>
      <c r="AV137" s="12">
        <f t="shared" si="20"/>
        <v>0</v>
      </c>
      <c r="AW137" s="12">
        <f t="shared" si="20"/>
        <v>0</v>
      </c>
      <c r="AX137" s="12">
        <f t="shared" si="20"/>
        <v>24.8</v>
      </c>
      <c r="AY137" s="12"/>
      <c r="AZ137" s="12">
        <f t="shared" si="26"/>
        <v>100</v>
      </c>
      <c r="BA137" s="12">
        <f t="shared" si="27"/>
        <v>52.800000000000004</v>
      </c>
      <c r="BB137" s="12"/>
      <c r="BC137" s="12">
        <f t="shared" si="28"/>
        <v>50.3</v>
      </c>
      <c r="BD137" s="12">
        <f t="shared" si="29"/>
        <v>0</v>
      </c>
      <c r="BE137" s="12">
        <f t="shared" si="30"/>
        <v>78.3</v>
      </c>
    </row>
    <row r="138" spans="1:57" ht="15.75" customHeight="1" x14ac:dyDescent="0.25">
      <c r="A138" s="1" t="s">
        <v>203</v>
      </c>
      <c r="B138" s="3" t="s">
        <v>142</v>
      </c>
      <c r="C138" s="4" t="s">
        <v>8</v>
      </c>
      <c r="D138" s="4">
        <v>4</v>
      </c>
      <c r="E138" s="4">
        <v>58</v>
      </c>
      <c r="F138" s="4">
        <v>4</v>
      </c>
      <c r="G138" s="4">
        <v>58</v>
      </c>
      <c r="H138" s="4">
        <v>0.26700000000000002</v>
      </c>
      <c r="I138" s="4">
        <v>19.7</v>
      </c>
      <c r="J138" s="4">
        <v>0</v>
      </c>
      <c r="K138" s="4">
        <v>0.26700000000000002</v>
      </c>
      <c r="L138" s="4">
        <v>0.2</v>
      </c>
      <c r="M138" s="4">
        <v>6.7000000000000004E-2</v>
      </c>
      <c r="N138" s="4">
        <v>0</v>
      </c>
      <c r="O138" s="4">
        <v>0</v>
      </c>
      <c r="P138" s="4">
        <v>0.73299999999999998</v>
      </c>
      <c r="Q138" s="4">
        <v>0</v>
      </c>
      <c r="R138" s="4">
        <v>0.5</v>
      </c>
      <c r="S138" s="4">
        <v>0.66700000000000004</v>
      </c>
      <c r="T138" s="4">
        <v>0</v>
      </c>
      <c r="U138" s="4">
        <v>0</v>
      </c>
      <c r="V138" s="4">
        <v>0</v>
      </c>
      <c r="W138" s="4">
        <v>0.182</v>
      </c>
      <c r="X138" s="4">
        <v>0</v>
      </c>
      <c r="Y138" s="4">
        <v>0.5</v>
      </c>
      <c r="Z138" s="4">
        <v>1</v>
      </c>
      <c r="AA138" s="4">
        <v>0</v>
      </c>
      <c r="AB138" s="4">
        <v>0.27300000000000002</v>
      </c>
      <c r="AC138" s="4">
        <v>0.66700000000000004</v>
      </c>
      <c r="AD138" s="10">
        <f t="shared" si="24"/>
        <v>0.86650000000000005</v>
      </c>
      <c r="AE138" s="9"/>
      <c r="AF138" s="9"/>
      <c r="AG138" s="12">
        <f t="shared" si="25"/>
        <v>10.5</v>
      </c>
      <c r="AH138" s="12">
        <f t="shared" si="25"/>
        <v>16.7</v>
      </c>
      <c r="AI138" s="12">
        <f t="shared" si="25"/>
        <v>2.4</v>
      </c>
      <c r="AJ138" s="12">
        <f t="shared" si="23"/>
        <v>92.5</v>
      </c>
      <c r="AK138" s="12"/>
      <c r="AL138" s="12">
        <f t="shared" si="21"/>
        <v>6.8000000000000007</v>
      </c>
      <c r="AM138" s="12">
        <f t="shared" si="21"/>
        <v>41.6</v>
      </c>
      <c r="AN138" s="12">
        <f t="shared" si="21"/>
        <v>11.1</v>
      </c>
      <c r="AO138" s="12">
        <f t="shared" si="19"/>
        <v>0</v>
      </c>
      <c r="AP138" s="12">
        <f t="shared" si="19"/>
        <v>0</v>
      </c>
      <c r="AQ138" s="12">
        <f t="shared" si="19"/>
        <v>93.100000000000009</v>
      </c>
      <c r="AR138" s="12"/>
      <c r="AS138" s="12">
        <f t="shared" si="22"/>
        <v>40.9</v>
      </c>
      <c r="AT138" s="12">
        <f t="shared" si="22"/>
        <v>51.5</v>
      </c>
      <c r="AU138" s="12">
        <f t="shared" si="22"/>
        <v>0</v>
      </c>
      <c r="AV138" s="12">
        <f t="shared" si="20"/>
        <v>0</v>
      </c>
      <c r="AW138" s="12">
        <f t="shared" si="20"/>
        <v>0</v>
      </c>
      <c r="AX138" s="12">
        <f t="shared" si="20"/>
        <v>22.900000000000002</v>
      </c>
      <c r="AY138" s="12"/>
      <c r="AZ138" s="12">
        <f t="shared" si="26"/>
        <v>70.900000000000006</v>
      </c>
      <c r="BA138" s="12">
        <f t="shared" si="27"/>
        <v>52.800000000000004</v>
      </c>
      <c r="BB138" s="12"/>
      <c r="BC138" s="12">
        <f t="shared" si="28"/>
        <v>66.400000000000006</v>
      </c>
      <c r="BD138" s="12">
        <f t="shared" si="29"/>
        <v>85.7</v>
      </c>
      <c r="BE138" s="12">
        <f t="shared" si="30"/>
        <v>21.200000000000003</v>
      </c>
    </row>
    <row r="139" spans="1:57" ht="15.75" customHeight="1" x14ac:dyDescent="0.25">
      <c r="A139" s="1" t="s">
        <v>251</v>
      </c>
      <c r="B139" s="4" t="s">
        <v>109</v>
      </c>
      <c r="C139" s="4" t="s">
        <v>8</v>
      </c>
      <c r="D139" s="4">
        <v>4</v>
      </c>
      <c r="E139" s="4">
        <v>57</v>
      </c>
      <c r="F139" s="4">
        <v>4</v>
      </c>
      <c r="G139" s="4">
        <v>57</v>
      </c>
      <c r="H139" s="4">
        <v>0.44400000000000001</v>
      </c>
      <c r="I139" s="4">
        <v>20.3</v>
      </c>
      <c r="J139" s="4">
        <v>0</v>
      </c>
      <c r="K139" s="4">
        <v>0.222</v>
      </c>
      <c r="L139" s="4">
        <v>0.222</v>
      </c>
      <c r="M139" s="4">
        <v>0</v>
      </c>
      <c r="N139" s="4">
        <v>0</v>
      </c>
      <c r="O139" s="4">
        <v>0</v>
      </c>
      <c r="P139" s="4">
        <v>0.77800000000000002</v>
      </c>
      <c r="Q139" s="4">
        <v>0</v>
      </c>
      <c r="R139" s="4">
        <v>1</v>
      </c>
      <c r="S139" s="4">
        <v>1</v>
      </c>
      <c r="T139" s="4">
        <v>0</v>
      </c>
      <c r="U139" s="4">
        <v>0</v>
      </c>
      <c r="V139" s="4">
        <v>0</v>
      </c>
      <c r="W139" s="4">
        <v>0.28599999999999998</v>
      </c>
      <c r="X139" s="4">
        <v>0</v>
      </c>
      <c r="Y139" s="4">
        <v>0</v>
      </c>
      <c r="Z139" s="4">
        <v>1</v>
      </c>
      <c r="AA139" s="4">
        <v>0</v>
      </c>
      <c r="AB139" s="4">
        <v>0</v>
      </c>
      <c r="AC139" s="4">
        <v>0</v>
      </c>
      <c r="AD139" s="10">
        <f t="shared" si="24"/>
        <v>0.77800000000000002</v>
      </c>
      <c r="AE139" s="9"/>
      <c r="AF139" s="9"/>
      <c r="AG139" s="12">
        <f t="shared" si="25"/>
        <v>10.5</v>
      </c>
      <c r="AH139" s="12">
        <f t="shared" si="25"/>
        <v>14.899999999999999</v>
      </c>
      <c r="AI139" s="12">
        <f t="shared" si="25"/>
        <v>45.9</v>
      </c>
      <c r="AJ139" s="12">
        <f t="shared" si="23"/>
        <v>93.7</v>
      </c>
      <c r="AK139" s="12"/>
      <c r="AL139" s="12">
        <f t="shared" si="21"/>
        <v>3.1</v>
      </c>
      <c r="AM139" s="12">
        <f t="shared" si="21"/>
        <v>50.9</v>
      </c>
      <c r="AN139" s="12">
        <f t="shared" si="21"/>
        <v>0</v>
      </c>
      <c r="AO139" s="12">
        <f t="shared" si="19"/>
        <v>0</v>
      </c>
      <c r="AP139" s="12">
        <f t="shared" si="19"/>
        <v>0</v>
      </c>
      <c r="AQ139" s="12">
        <f t="shared" si="19"/>
        <v>96.2</v>
      </c>
      <c r="AR139" s="12"/>
      <c r="AS139" s="12">
        <f t="shared" si="22"/>
        <v>97.5</v>
      </c>
      <c r="AT139" s="12">
        <f t="shared" si="22"/>
        <v>88.1</v>
      </c>
      <c r="AU139" s="12">
        <f t="shared" si="22"/>
        <v>0</v>
      </c>
      <c r="AV139" s="12">
        <f t="shared" si="20"/>
        <v>0</v>
      </c>
      <c r="AW139" s="12">
        <f t="shared" si="20"/>
        <v>0</v>
      </c>
      <c r="AX139" s="12">
        <f t="shared" si="20"/>
        <v>39.700000000000003</v>
      </c>
      <c r="AY139" s="12"/>
      <c r="AZ139" s="12">
        <f t="shared" si="26"/>
        <v>100</v>
      </c>
      <c r="BA139" s="12">
        <f t="shared" si="27"/>
        <v>52.800000000000004</v>
      </c>
      <c r="BB139" s="12"/>
      <c r="BC139" s="12">
        <f t="shared" si="28"/>
        <v>0</v>
      </c>
      <c r="BD139" s="12">
        <f t="shared" si="29"/>
        <v>0</v>
      </c>
      <c r="BE139" s="12">
        <f t="shared" si="30"/>
        <v>37.9</v>
      </c>
    </row>
    <row r="140" spans="1:57" ht="15.75" customHeight="1" x14ac:dyDescent="0.25">
      <c r="A140" s="1" t="s">
        <v>236</v>
      </c>
      <c r="B140" s="3" t="s">
        <v>95</v>
      </c>
      <c r="C140" s="4" t="s">
        <v>87</v>
      </c>
      <c r="D140" s="4">
        <v>5</v>
      </c>
      <c r="E140" s="4">
        <v>57</v>
      </c>
      <c r="F140" s="4">
        <v>5</v>
      </c>
      <c r="G140" s="4">
        <v>57</v>
      </c>
      <c r="H140" s="4">
        <v>0.35699999999999998</v>
      </c>
      <c r="I140" s="4">
        <v>12</v>
      </c>
      <c r="J140" s="4">
        <v>0</v>
      </c>
      <c r="K140" s="4">
        <v>0.64300000000000002</v>
      </c>
      <c r="L140" s="4">
        <v>0.214</v>
      </c>
      <c r="M140" s="4">
        <v>0.35699999999999998</v>
      </c>
      <c r="N140" s="4">
        <v>7.0999999999999994E-2</v>
      </c>
      <c r="O140" s="4">
        <v>0</v>
      </c>
      <c r="P140" s="4">
        <v>0.35699999999999998</v>
      </c>
      <c r="Q140" s="4">
        <v>0</v>
      </c>
      <c r="R140" s="4">
        <v>0.33300000000000002</v>
      </c>
      <c r="S140" s="4">
        <v>0</v>
      </c>
      <c r="T140" s="4">
        <v>0.6</v>
      </c>
      <c r="U140" s="4">
        <v>0</v>
      </c>
      <c r="V140" s="4">
        <v>0</v>
      </c>
      <c r="W140" s="4">
        <v>0.4</v>
      </c>
      <c r="X140" s="4">
        <v>0</v>
      </c>
      <c r="Y140" s="4">
        <v>0.66700000000000004</v>
      </c>
      <c r="Z140" s="4">
        <v>1</v>
      </c>
      <c r="AA140" s="4">
        <v>0</v>
      </c>
      <c r="AB140" s="4">
        <v>0.2</v>
      </c>
      <c r="AC140" s="4">
        <v>0</v>
      </c>
      <c r="AD140" s="10">
        <f t="shared" si="24"/>
        <v>0.78588100000000005</v>
      </c>
      <c r="AE140" s="9"/>
      <c r="AF140" s="9"/>
      <c r="AG140" s="12">
        <f t="shared" si="25"/>
        <v>16.100000000000001</v>
      </c>
      <c r="AH140" s="12">
        <f t="shared" si="25"/>
        <v>14.899999999999999</v>
      </c>
      <c r="AI140" s="12">
        <f t="shared" si="25"/>
        <v>19.2</v>
      </c>
      <c r="AJ140" s="12">
        <f t="shared" si="23"/>
        <v>38.5</v>
      </c>
      <c r="AK140" s="12"/>
      <c r="AL140" s="12">
        <f t="shared" si="21"/>
        <v>56.499999999999993</v>
      </c>
      <c r="AM140" s="12">
        <f t="shared" si="21"/>
        <v>46.5</v>
      </c>
      <c r="AN140" s="12">
        <f t="shared" si="21"/>
        <v>83.2</v>
      </c>
      <c r="AO140" s="12">
        <f t="shared" si="19"/>
        <v>56.499999999999993</v>
      </c>
      <c r="AP140" s="12">
        <f t="shared" si="19"/>
        <v>0</v>
      </c>
      <c r="AQ140" s="12">
        <f t="shared" si="19"/>
        <v>43.4</v>
      </c>
      <c r="AR140" s="12"/>
      <c r="AS140" s="12">
        <f t="shared" si="22"/>
        <v>6.8000000000000007</v>
      </c>
      <c r="AT140" s="12">
        <f t="shared" si="22"/>
        <v>0</v>
      </c>
      <c r="AU140" s="12">
        <f t="shared" si="22"/>
        <v>84.399999999999991</v>
      </c>
      <c r="AV140" s="12">
        <f t="shared" si="20"/>
        <v>0</v>
      </c>
      <c r="AW140" s="12">
        <f t="shared" si="20"/>
        <v>0</v>
      </c>
      <c r="AX140" s="12">
        <f t="shared" si="20"/>
        <v>70.8</v>
      </c>
      <c r="AY140" s="12"/>
      <c r="AZ140" s="12">
        <f t="shared" si="26"/>
        <v>42.900000000000006</v>
      </c>
      <c r="BA140" s="12">
        <f t="shared" si="27"/>
        <v>52.800000000000004</v>
      </c>
      <c r="BB140" s="12"/>
      <c r="BC140" s="12">
        <f t="shared" si="28"/>
        <v>50.3</v>
      </c>
      <c r="BD140" s="12">
        <f t="shared" si="29"/>
        <v>0</v>
      </c>
      <c r="BE140" s="12">
        <f t="shared" si="30"/>
        <v>36.700000000000003</v>
      </c>
    </row>
    <row r="141" spans="1:57" ht="15.75" customHeight="1" x14ac:dyDescent="0.25">
      <c r="A141" s="1" t="s">
        <v>214</v>
      </c>
      <c r="B141" s="3" t="s">
        <v>244</v>
      </c>
      <c r="C141" s="4" t="s">
        <v>114</v>
      </c>
      <c r="D141" s="4">
        <v>5</v>
      </c>
      <c r="E141" s="4">
        <v>57</v>
      </c>
      <c r="F141" s="4">
        <v>5</v>
      </c>
      <c r="G141" s="4">
        <v>57</v>
      </c>
      <c r="H141" s="4">
        <v>0.58799999999999997</v>
      </c>
      <c r="I141" s="4">
        <v>8.1</v>
      </c>
      <c r="J141" s="4">
        <v>0</v>
      </c>
      <c r="K141" s="4">
        <v>0.82399999999999995</v>
      </c>
      <c r="L141" s="4">
        <v>0.11799999999999999</v>
      </c>
      <c r="M141" s="4">
        <v>0.70599999999999996</v>
      </c>
      <c r="N141" s="4">
        <v>0</v>
      </c>
      <c r="O141" s="4">
        <v>0</v>
      </c>
      <c r="P141" s="4">
        <v>0.17599999999999999</v>
      </c>
      <c r="Q141" s="4">
        <v>0</v>
      </c>
      <c r="R141" s="4">
        <v>0.71399999999999997</v>
      </c>
      <c r="S141" s="4">
        <v>0.5</v>
      </c>
      <c r="T141" s="4">
        <v>0.75</v>
      </c>
      <c r="U141" s="4">
        <v>0</v>
      </c>
      <c r="V141" s="4">
        <v>0</v>
      </c>
      <c r="W141" s="4">
        <v>0</v>
      </c>
      <c r="X141" s="4">
        <v>0</v>
      </c>
      <c r="Y141" s="4">
        <v>0.6</v>
      </c>
      <c r="Z141" s="4">
        <v>0</v>
      </c>
      <c r="AA141" s="4">
        <v>0</v>
      </c>
      <c r="AB141" s="4">
        <v>0.33300000000000002</v>
      </c>
      <c r="AC141" s="4">
        <v>0</v>
      </c>
      <c r="AD141" s="10">
        <f t="shared" si="24"/>
        <v>0.49439999999999995</v>
      </c>
      <c r="AE141" s="9"/>
      <c r="AF141" s="9"/>
      <c r="AG141" s="12">
        <f t="shared" si="25"/>
        <v>16.100000000000001</v>
      </c>
      <c r="AH141" s="12">
        <f t="shared" si="25"/>
        <v>14.899999999999999</v>
      </c>
      <c r="AI141" s="12">
        <f t="shared" si="25"/>
        <v>88.8</v>
      </c>
      <c r="AJ141" s="12">
        <f t="shared" si="23"/>
        <v>16.7</v>
      </c>
      <c r="AK141" s="12"/>
      <c r="AL141" s="12">
        <f t="shared" si="21"/>
        <v>80.100000000000009</v>
      </c>
      <c r="AM141" s="12">
        <f t="shared" si="21"/>
        <v>21.099999999999998</v>
      </c>
      <c r="AN141" s="12">
        <f t="shared" si="21"/>
        <v>100</v>
      </c>
      <c r="AO141" s="12">
        <f t="shared" si="19"/>
        <v>0</v>
      </c>
      <c r="AP141" s="12">
        <f t="shared" si="19"/>
        <v>0</v>
      </c>
      <c r="AQ141" s="12">
        <f t="shared" si="19"/>
        <v>19.8</v>
      </c>
      <c r="AR141" s="12"/>
      <c r="AS141" s="12">
        <f t="shared" si="22"/>
        <v>90.600000000000009</v>
      </c>
      <c r="AT141" s="12">
        <f t="shared" si="22"/>
        <v>22.900000000000002</v>
      </c>
      <c r="AU141" s="12">
        <f t="shared" si="22"/>
        <v>95</v>
      </c>
      <c r="AV141" s="12">
        <f t="shared" si="20"/>
        <v>0</v>
      </c>
      <c r="AW141" s="12">
        <f t="shared" si="20"/>
        <v>0</v>
      </c>
      <c r="AX141" s="12">
        <f t="shared" si="20"/>
        <v>0</v>
      </c>
      <c r="AY141" s="12"/>
      <c r="AZ141" s="12">
        <f t="shared" si="26"/>
        <v>52.2</v>
      </c>
      <c r="BA141" s="12">
        <f t="shared" si="27"/>
        <v>100</v>
      </c>
      <c r="BB141" s="12"/>
      <c r="BC141" s="12">
        <f t="shared" si="28"/>
        <v>73.2</v>
      </c>
      <c r="BD141" s="12">
        <f t="shared" si="29"/>
        <v>0</v>
      </c>
      <c r="BE141" s="12">
        <f t="shared" si="30"/>
        <v>86.4</v>
      </c>
    </row>
    <row r="142" spans="1:57" ht="15.75" customHeight="1" x14ac:dyDescent="0.25">
      <c r="A142" s="1" t="s">
        <v>234</v>
      </c>
      <c r="B142" s="3" t="s">
        <v>130</v>
      </c>
      <c r="C142" s="4" t="s">
        <v>90</v>
      </c>
      <c r="D142" s="4">
        <v>6</v>
      </c>
      <c r="E142" s="4">
        <v>55</v>
      </c>
      <c r="F142" s="4">
        <v>6</v>
      </c>
      <c r="G142" s="4">
        <v>55</v>
      </c>
      <c r="H142" s="4">
        <v>0.5</v>
      </c>
      <c r="I142" s="4">
        <v>6.6</v>
      </c>
      <c r="J142" s="4">
        <v>0</v>
      </c>
      <c r="K142" s="4">
        <v>0.86399999999999999</v>
      </c>
      <c r="L142" s="4">
        <v>0.5</v>
      </c>
      <c r="M142" s="4">
        <v>0.318</v>
      </c>
      <c r="N142" s="4">
        <v>4.4999999999999998E-2</v>
      </c>
      <c r="O142" s="4">
        <v>0</v>
      </c>
      <c r="P142" s="4">
        <v>0.13600000000000001</v>
      </c>
      <c r="Q142" s="4">
        <v>0</v>
      </c>
      <c r="R142" s="4">
        <v>0.57899999999999996</v>
      </c>
      <c r="S142" s="4">
        <v>0.90900000000000003</v>
      </c>
      <c r="T142" s="4">
        <v>0.14299999999999999</v>
      </c>
      <c r="U142" s="4">
        <v>0</v>
      </c>
      <c r="V142" s="4">
        <v>0</v>
      </c>
      <c r="W142" s="4">
        <v>0</v>
      </c>
      <c r="X142" s="4">
        <v>0</v>
      </c>
      <c r="Y142" s="4">
        <v>0.81799999999999995</v>
      </c>
      <c r="Z142" s="4">
        <v>0</v>
      </c>
      <c r="AA142" s="4">
        <v>0</v>
      </c>
      <c r="AB142" s="4">
        <v>0</v>
      </c>
      <c r="AC142" s="4">
        <v>0</v>
      </c>
      <c r="AD142" s="10">
        <f t="shared" si="24"/>
        <v>0.70675199999999994</v>
      </c>
      <c r="AE142" s="9"/>
      <c r="AF142" s="9"/>
      <c r="AG142" s="12">
        <f t="shared" si="25"/>
        <v>25.4</v>
      </c>
      <c r="AH142" s="12">
        <f t="shared" si="25"/>
        <v>13.600000000000001</v>
      </c>
      <c r="AI142" s="12">
        <f t="shared" si="25"/>
        <v>65.2</v>
      </c>
      <c r="AJ142" s="12">
        <f t="shared" si="23"/>
        <v>11.799999999999999</v>
      </c>
      <c r="AK142" s="12"/>
      <c r="AL142" s="12">
        <f t="shared" si="21"/>
        <v>83.8</v>
      </c>
      <c r="AM142" s="12">
        <f t="shared" si="21"/>
        <v>88.8</v>
      </c>
      <c r="AN142" s="12">
        <f t="shared" si="21"/>
        <v>77.600000000000009</v>
      </c>
      <c r="AO142" s="12">
        <f t="shared" si="19"/>
        <v>37.200000000000003</v>
      </c>
      <c r="AP142" s="12">
        <f t="shared" si="19"/>
        <v>0</v>
      </c>
      <c r="AQ142" s="12">
        <f t="shared" si="19"/>
        <v>16.100000000000001</v>
      </c>
      <c r="AR142" s="12"/>
      <c r="AS142" s="12">
        <f t="shared" si="22"/>
        <v>69.5</v>
      </c>
      <c r="AT142" s="12">
        <f t="shared" si="22"/>
        <v>86.3</v>
      </c>
      <c r="AU142" s="12">
        <f t="shared" si="22"/>
        <v>14.2</v>
      </c>
      <c r="AV142" s="12">
        <f t="shared" si="20"/>
        <v>0</v>
      </c>
      <c r="AW142" s="12">
        <f t="shared" si="20"/>
        <v>0</v>
      </c>
      <c r="AX142" s="12">
        <f t="shared" si="20"/>
        <v>0</v>
      </c>
      <c r="AY142" s="12"/>
      <c r="AZ142" s="12">
        <f t="shared" si="26"/>
        <v>21.799999999999997</v>
      </c>
      <c r="BA142" s="12">
        <f t="shared" si="27"/>
        <v>100</v>
      </c>
      <c r="BB142" s="12"/>
      <c r="BC142" s="12">
        <f t="shared" si="28"/>
        <v>0</v>
      </c>
      <c r="BD142" s="12">
        <f t="shared" si="29"/>
        <v>0</v>
      </c>
      <c r="BE142" s="12">
        <f t="shared" si="30"/>
        <v>49.7</v>
      </c>
    </row>
    <row r="143" spans="1:57" ht="15.75" customHeight="1" x14ac:dyDescent="0.25">
      <c r="A143" s="1" t="s">
        <v>252</v>
      </c>
      <c r="B143" s="3" t="s">
        <v>164</v>
      </c>
      <c r="C143" s="4" t="s">
        <v>90</v>
      </c>
      <c r="D143" s="4">
        <v>6</v>
      </c>
      <c r="E143" s="4">
        <v>55</v>
      </c>
      <c r="F143" s="4">
        <v>6</v>
      </c>
      <c r="G143" s="4">
        <v>55</v>
      </c>
      <c r="H143" s="4">
        <v>0.46700000000000003</v>
      </c>
      <c r="I143" s="4">
        <v>6.9</v>
      </c>
      <c r="J143" s="4">
        <v>0</v>
      </c>
      <c r="K143" s="4">
        <v>0.86699999999999999</v>
      </c>
      <c r="L143" s="4">
        <v>0.46700000000000003</v>
      </c>
      <c r="M143" s="4">
        <v>0.26700000000000002</v>
      </c>
      <c r="N143" s="4">
        <v>0.13300000000000001</v>
      </c>
      <c r="O143" s="4">
        <v>0</v>
      </c>
      <c r="P143" s="4">
        <v>0.13300000000000001</v>
      </c>
      <c r="Q143" s="4">
        <v>0</v>
      </c>
      <c r="R143" s="4">
        <v>0.53800000000000003</v>
      </c>
      <c r="S143" s="4">
        <v>0.85699999999999998</v>
      </c>
      <c r="T143" s="4">
        <v>0.25</v>
      </c>
      <c r="U143" s="4">
        <v>0</v>
      </c>
      <c r="V143" s="4">
        <v>0</v>
      </c>
      <c r="W143" s="4">
        <v>0</v>
      </c>
      <c r="X143" s="4">
        <v>0</v>
      </c>
      <c r="Y143" s="4">
        <v>0.85699999999999998</v>
      </c>
      <c r="Z143" s="4">
        <v>0</v>
      </c>
      <c r="AA143" s="4">
        <v>0</v>
      </c>
      <c r="AB143" s="4">
        <v>0.5</v>
      </c>
      <c r="AC143" s="4">
        <v>0</v>
      </c>
      <c r="AD143" s="10">
        <f t="shared" si="24"/>
        <v>0.74301899999999999</v>
      </c>
      <c r="AE143" s="9"/>
      <c r="AF143" s="9"/>
      <c r="AG143" s="12">
        <f t="shared" si="25"/>
        <v>25.4</v>
      </c>
      <c r="AH143" s="12">
        <f t="shared" si="25"/>
        <v>13.600000000000001</v>
      </c>
      <c r="AI143" s="12">
        <f t="shared" si="25"/>
        <v>56.499999999999993</v>
      </c>
      <c r="AJ143" s="12">
        <f t="shared" si="23"/>
        <v>13.600000000000001</v>
      </c>
      <c r="AK143" s="12"/>
      <c r="AL143" s="12">
        <f t="shared" ref="AL143:AQ165" si="31">(PERCENTRANK(K$4:K$298,K143))*100</f>
        <v>84.399999999999991</v>
      </c>
      <c r="AM143" s="12">
        <f t="shared" si="31"/>
        <v>87.5</v>
      </c>
      <c r="AN143" s="12">
        <f t="shared" si="31"/>
        <v>62.1</v>
      </c>
      <c r="AO143" s="12">
        <f t="shared" si="31"/>
        <v>80.7</v>
      </c>
      <c r="AP143" s="12">
        <f t="shared" si="31"/>
        <v>0</v>
      </c>
      <c r="AQ143" s="12">
        <f t="shared" si="31"/>
        <v>15.5</v>
      </c>
      <c r="AR143" s="12"/>
      <c r="AS143" s="12">
        <f t="shared" ref="AS143:AX165" si="32">(PERCENTRANK(R$4:R$298,R143))*100</f>
        <v>59.599999999999994</v>
      </c>
      <c r="AT143" s="12">
        <f t="shared" si="32"/>
        <v>83.2</v>
      </c>
      <c r="AU143" s="12">
        <f t="shared" si="32"/>
        <v>19.8</v>
      </c>
      <c r="AV143" s="12">
        <f t="shared" si="32"/>
        <v>0</v>
      </c>
      <c r="AW143" s="12">
        <f t="shared" si="32"/>
        <v>0</v>
      </c>
      <c r="AX143" s="12">
        <f t="shared" si="32"/>
        <v>0</v>
      </c>
      <c r="AY143" s="12"/>
      <c r="AZ143" s="12">
        <f t="shared" si="26"/>
        <v>17.400000000000006</v>
      </c>
      <c r="BA143" s="12">
        <f t="shared" si="27"/>
        <v>100</v>
      </c>
      <c r="BB143" s="12"/>
      <c r="BC143" s="12">
        <f t="shared" si="28"/>
        <v>87.5</v>
      </c>
      <c r="BD143" s="12">
        <f t="shared" si="29"/>
        <v>0</v>
      </c>
      <c r="BE143" s="12">
        <f t="shared" si="30"/>
        <v>44.099999999999994</v>
      </c>
    </row>
    <row r="144" spans="1:57" ht="15.75" customHeight="1" x14ac:dyDescent="0.25">
      <c r="A144" s="1" t="s">
        <v>181</v>
      </c>
      <c r="B144" s="3" t="s">
        <v>98</v>
      </c>
      <c r="C144" s="4" t="s">
        <v>90</v>
      </c>
      <c r="D144" s="4">
        <v>3</v>
      </c>
      <c r="E144" s="4">
        <v>52</v>
      </c>
      <c r="F144" s="4">
        <v>3</v>
      </c>
      <c r="G144" s="4">
        <v>52</v>
      </c>
      <c r="H144" s="4">
        <v>0.625</v>
      </c>
      <c r="I144" s="4">
        <v>5.5</v>
      </c>
      <c r="J144" s="4">
        <v>0</v>
      </c>
      <c r="K144" s="4">
        <v>0.93799999999999994</v>
      </c>
      <c r="L144" s="4">
        <v>0.75</v>
      </c>
      <c r="M144" s="4">
        <v>6.3E-2</v>
      </c>
      <c r="N144" s="4">
        <v>0</v>
      </c>
      <c r="O144" s="4">
        <v>0.125</v>
      </c>
      <c r="P144" s="4">
        <v>6.3E-2</v>
      </c>
      <c r="Q144" s="4">
        <v>0</v>
      </c>
      <c r="R144" s="4">
        <v>0.66700000000000004</v>
      </c>
      <c r="S144" s="4">
        <v>0.75</v>
      </c>
      <c r="T144" s="4">
        <v>0</v>
      </c>
      <c r="U144" s="4">
        <v>0</v>
      </c>
      <c r="V144" s="4">
        <v>0.5</v>
      </c>
      <c r="W144" s="4">
        <v>0</v>
      </c>
      <c r="X144" s="4">
        <v>0</v>
      </c>
      <c r="Y144" s="4">
        <v>0.6</v>
      </c>
      <c r="Z144" s="4">
        <v>0</v>
      </c>
      <c r="AA144" s="4">
        <v>0</v>
      </c>
      <c r="AB144" s="4">
        <v>0</v>
      </c>
      <c r="AC144" s="4">
        <v>0</v>
      </c>
      <c r="AD144" s="10">
        <f t="shared" si="24"/>
        <v>0.56279999999999997</v>
      </c>
      <c r="AE144" s="9"/>
      <c r="AF144" s="9"/>
      <c r="AG144" s="12">
        <f t="shared" si="25"/>
        <v>4.9000000000000004</v>
      </c>
      <c r="AH144" s="12">
        <f t="shared" si="25"/>
        <v>12.4</v>
      </c>
      <c r="AI144" s="12">
        <f t="shared" si="25"/>
        <v>94.399999999999991</v>
      </c>
      <c r="AJ144" s="12">
        <f t="shared" si="23"/>
        <v>5.5</v>
      </c>
      <c r="AK144" s="12"/>
      <c r="AL144" s="12">
        <f t="shared" si="31"/>
        <v>91.9</v>
      </c>
      <c r="AM144" s="12">
        <f t="shared" si="31"/>
        <v>100</v>
      </c>
      <c r="AN144" s="12">
        <f t="shared" si="31"/>
        <v>8.6</v>
      </c>
      <c r="AO144" s="12">
        <f t="shared" si="31"/>
        <v>0</v>
      </c>
      <c r="AP144" s="12">
        <f t="shared" si="31"/>
        <v>90</v>
      </c>
      <c r="AQ144" s="12">
        <f t="shared" si="31"/>
        <v>8</v>
      </c>
      <c r="AR144" s="12"/>
      <c r="AS144" s="12">
        <f t="shared" si="32"/>
        <v>85.7</v>
      </c>
      <c r="AT144" s="12">
        <f t="shared" si="32"/>
        <v>66.400000000000006</v>
      </c>
      <c r="AU144" s="12">
        <f t="shared" si="32"/>
        <v>0</v>
      </c>
      <c r="AV144" s="12">
        <f t="shared" si="32"/>
        <v>0</v>
      </c>
      <c r="AW144" s="12">
        <f t="shared" si="32"/>
        <v>75.7</v>
      </c>
      <c r="AX144" s="12">
        <f t="shared" si="32"/>
        <v>0</v>
      </c>
      <c r="AY144" s="12"/>
      <c r="AZ144" s="12">
        <f t="shared" si="26"/>
        <v>52.2</v>
      </c>
      <c r="BA144" s="12">
        <f t="shared" si="27"/>
        <v>100</v>
      </c>
      <c r="BB144" s="12"/>
      <c r="BC144" s="12">
        <f t="shared" si="28"/>
        <v>0</v>
      </c>
      <c r="BD144" s="12">
        <f t="shared" si="29"/>
        <v>0</v>
      </c>
      <c r="BE144" s="12">
        <f t="shared" si="30"/>
        <v>76.400000000000006</v>
      </c>
    </row>
    <row r="145" spans="1:57" ht="15.75" customHeight="1" x14ac:dyDescent="0.25">
      <c r="A145" s="1" t="s">
        <v>253</v>
      </c>
      <c r="B145" s="3" t="s">
        <v>244</v>
      </c>
      <c r="C145" s="4" t="s">
        <v>8</v>
      </c>
      <c r="D145" s="4">
        <v>3</v>
      </c>
      <c r="E145" s="4">
        <v>52</v>
      </c>
      <c r="F145" s="4">
        <v>3</v>
      </c>
      <c r="G145" s="4">
        <v>52</v>
      </c>
      <c r="H145" s="4">
        <v>0.46700000000000003</v>
      </c>
      <c r="I145" s="4">
        <v>9.3000000000000007</v>
      </c>
      <c r="J145" s="4">
        <v>0</v>
      </c>
      <c r="K145" s="4">
        <v>0.8</v>
      </c>
      <c r="L145" s="4">
        <v>0.2</v>
      </c>
      <c r="M145" s="4">
        <v>0.46700000000000003</v>
      </c>
      <c r="N145" s="4">
        <v>0.13300000000000001</v>
      </c>
      <c r="O145" s="4">
        <v>0</v>
      </c>
      <c r="P145" s="4">
        <v>0.2</v>
      </c>
      <c r="Q145" s="4">
        <v>0</v>
      </c>
      <c r="R145" s="4">
        <v>0.33300000000000002</v>
      </c>
      <c r="S145" s="4">
        <v>0</v>
      </c>
      <c r="T145" s="4">
        <v>0.28599999999999998</v>
      </c>
      <c r="U145" s="4">
        <v>1</v>
      </c>
      <c r="V145" s="4">
        <v>0</v>
      </c>
      <c r="W145" s="4">
        <v>1</v>
      </c>
      <c r="X145" s="4">
        <v>0</v>
      </c>
      <c r="Y145" s="4">
        <v>0</v>
      </c>
      <c r="Z145" s="4">
        <v>1</v>
      </c>
      <c r="AA145" s="4">
        <v>0</v>
      </c>
      <c r="AB145" s="4">
        <v>0.66700000000000004</v>
      </c>
      <c r="AC145" s="4">
        <v>1</v>
      </c>
      <c r="AD145" s="10">
        <f t="shared" si="24"/>
        <v>0.2</v>
      </c>
      <c r="AE145" s="9"/>
      <c r="AF145" s="9"/>
      <c r="AG145" s="12">
        <f t="shared" si="25"/>
        <v>4.9000000000000004</v>
      </c>
      <c r="AH145" s="12">
        <f t="shared" si="25"/>
        <v>12.4</v>
      </c>
      <c r="AI145" s="12">
        <f t="shared" si="25"/>
        <v>56.499999999999993</v>
      </c>
      <c r="AJ145" s="12">
        <f t="shared" si="23"/>
        <v>19.8</v>
      </c>
      <c r="AK145" s="12"/>
      <c r="AL145" s="12">
        <f t="shared" si="31"/>
        <v>76.3</v>
      </c>
      <c r="AM145" s="12">
        <f t="shared" si="31"/>
        <v>41.6</v>
      </c>
      <c r="AN145" s="12">
        <f t="shared" si="31"/>
        <v>93.7</v>
      </c>
      <c r="AO145" s="12">
        <f t="shared" si="31"/>
        <v>80.7</v>
      </c>
      <c r="AP145" s="12">
        <f t="shared" si="31"/>
        <v>0</v>
      </c>
      <c r="AQ145" s="12">
        <f t="shared" si="31"/>
        <v>23.599999999999998</v>
      </c>
      <c r="AR145" s="12"/>
      <c r="AS145" s="12">
        <f t="shared" si="32"/>
        <v>6.8000000000000007</v>
      </c>
      <c r="AT145" s="12">
        <f t="shared" si="32"/>
        <v>0</v>
      </c>
      <c r="AU145" s="12">
        <f t="shared" si="32"/>
        <v>26</v>
      </c>
      <c r="AV145" s="12">
        <f t="shared" si="32"/>
        <v>91.9</v>
      </c>
      <c r="AW145" s="12">
        <f t="shared" si="32"/>
        <v>0</v>
      </c>
      <c r="AX145" s="12">
        <f t="shared" si="32"/>
        <v>100</v>
      </c>
      <c r="AY145" s="12"/>
      <c r="AZ145" s="12">
        <f t="shared" si="26"/>
        <v>100</v>
      </c>
      <c r="BA145" s="12">
        <f t="shared" si="27"/>
        <v>52.800000000000004</v>
      </c>
      <c r="BB145" s="12"/>
      <c r="BC145" s="12">
        <f t="shared" si="28"/>
        <v>95</v>
      </c>
      <c r="BD145" s="12">
        <f t="shared" si="29"/>
        <v>92.5</v>
      </c>
      <c r="BE145" s="12">
        <f t="shared" si="30"/>
        <v>98.8</v>
      </c>
    </row>
    <row r="146" spans="1:57" ht="15.75" customHeight="1" x14ac:dyDescent="0.25">
      <c r="A146" s="1" t="s">
        <v>254</v>
      </c>
      <c r="B146" s="3" t="s">
        <v>101</v>
      </c>
      <c r="C146" s="4" t="s">
        <v>87</v>
      </c>
      <c r="D146" s="4">
        <v>6</v>
      </c>
      <c r="E146" s="4">
        <v>50</v>
      </c>
      <c r="F146" s="4">
        <v>6</v>
      </c>
      <c r="G146" s="4">
        <v>50</v>
      </c>
      <c r="H146" s="4">
        <v>0.5</v>
      </c>
      <c r="I146" s="4">
        <v>21.3</v>
      </c>
      <c r="J146" s="4">
        <v>0</v>
      </c>
      <c r="K146" s="4">
        <v>0.125</v>
      </c>
      <c r="L146" s="4">
        <v>0</v>
      </c>
      <c r="M146" s="4">
        <v>0.125</v>
      </c>
      <c r="N146" s="4">
        <v>0</v>
      </c>
      <c r="O146" s="4">
        <v>0</v>
      </c>
      <c r="P146" s="4">
        <v>0.875</v>
      </c>
      <c r="Q146" s="4">
        <v>0</v>
      </c>
      <c r="R146" s="4">
        <v>1</v>
      </c>
      <c r="S146" s="4">
        <v>0</v>
      </c>
      <c r="T146" s="4">
        <v>1</v>
      </c>
      <c r="U146" s="4">
        <v>0</v>
      </c>
      <c r="V146" s="4">
        <v>0</v>
      </c>
      <c r="W146" s="4">
        <v>0.42899999999999999</v>
      </c>
      <c r="X146" s="4">
        <v>0</v>
      </c>
      <c r="Y146" s="4">
        <v>0</v>
      </c>
      <c r="Z146" s="4">
        <v>1</v>
      </c>
      <c r="AA146" s="4">
        <v>0</v>
      </c>
      <c r="AB146" s="4">
        <v>0.42899999999999999</v>
      </c>
      <c r="AC146" s="4">
        <v>0</v>
      </c>
      <c r="AD146" s="10">
        <f t="shared" si="24"/>
        <v>0.875</v>
      </c>
      <c r="AE146" s="9"/>
      <c r="AF146" s="9"/>
      <c r="AG146" s="12">
        <f t="shared" si="25"/>
        <v>25.4</v>
      </c>
      <c r="AH146" s="12">
        <f t="shared" si="25"/>
        <v>11.1</v>
      </c>
      <c r="AI146" s="12">
        <f t="shared" si="25"/>
        <v>65.2</v>
      </c>
      <c r="AJ146" s="12">
        <f t="shared" si="23"/>
        <v>95.6</v>
      </c>
      <c r="AK146" s="12"/>
      <c r="AL146" s="12">
        <f t="shared" si="31"/>
        <v>0</v>
      </c>
      <c r="AM146" s="12">
        <f t="shared" si="31"/>
        <v>0</v>
      </c>
      <c r="AN146" s="12">
        <f t="shared" si="31"/>
        <v>23.599999999999998</v>
      </c>
      <c r="AO146" s="12">
        <f t="shared" si="31"/>
        <v>0</v>
      </c>
      <c r="AP146" s="12">
        <f t="shared" si="31"/>
        <v>0</v>
      </c>
      <c r="AQ146" s="12">
        <f t="shared" si="31"/>
        <v>100</v>
      </c>
      <c r="AR146" s="12"/>
      <c r="AS146" s="12">
        <f t="shared" si="32"/>
        <v>97.5</v>
      </c>
      <c r="AT146" s="12">
        <f t="shared" si="32"/>
        <v>0</v>
      </c>
      <c r="AU146" s="12">
        <f t="shared" si="32"/>
        <v>96.8</v>
      </c>
      <c r="AV146" s="12">
        <f t="shared" si="32"/>
        <v>0</v>
      </c>
      <c r="AW146" s="12">
        <f t="shared" si="32"/>
        <v>0</v>
      </c>
      <c r="AX146" s="12">
        <f t="shared" si="32"/>
        <v>77</v>
      </c>
      <c r="AY146" s="12"/>
      <c r="AZ146" s="12">
        <f t="shared" si="26"/>
        <v>100</v>
      </c>
      <c r="BA146" s="12">
        <f t="shared" si="27"/>
        <v>52.800000000000004</v>
      </c>
      <c r="BB146" s="12"/>
      <c r="BC146" s="12">
        <f t="shared" si="28"/>
        <v>83.8</v>
      </c>
      <c r="BD146" s="12">
        <f t="shared" si="29"/>
        <v>0</v>
      </c>
      <c r="BE146" s="12">
        <f t="shared" si="30"/>
        <v>20.5</v>
      </c>
    </row>
    <row r="147" spans="1:57" ht="15.75" customHeight="1" x14ac:dyDescent="0.25">
      <c r="A147" s="1" t="s">
        <v>218</v>
      </c>
      <c r="B147" s="3" t="s">
        <v>255</v>
      </c>
      <c r="C147" s="4" t="s">
        <v>87</v>
      </c>
      <c r="D147" s="4">
        <v>5</v>
      </c>
      <c r="E147" s="4">
        <v>50</v>
      </c>
      <c r="F147" s="4">
        <v>5</v>
      </c>
      <c r="G147" s="4">
        <v>50</v>
      </c>
      <c r="H147" s="4">
        <v>0.625</v>
      </c>
      <c r="I147" s="4">
        <v>10</v>
      </c>
      <c r="J147" s="4">
        <v>0</v>
      </c>
      <c r="K147" s="4">
        <v>0.625</v>
      </c>
      <c r="L147" s="4">
        <v>0.625</v>
      </c>
      <c r="M147" s="4">
        <v>0</v>
      </c>
      <c r="N147" s="4">
        <v>0</v>
      </c>
      <c r="O147" s="4">
        <v>0</v>
      </c>
      <c r="P147" s="4">
        <v>0.375</v>
      </c>
      <c r="Q147" s="4">
        <v>0</v>
      </c>
      <c r="R147" s="4">
        <v>0.6</v>
      </c>
      <c r="S147" s="4">
        <v>0.6</v>
      </c>
      <c r="T147" s="4">
        <v>0</v>
      </c>
      <c r="U147" s="4">
        <v>0</v>
      </c>
      <c r="V147" s="4">
        <v>0</v>
      </c>
      <c r="W147" s="4">
        <v>0.66700000000000004</v>
      </c>
      <c r="X147" s="4">
        <v>0</v>
      </c>
      <c r="Y147" s="4">
        <v>0.66700000000000004</v>
      </c>
      <c r="Z147" s="4">
        <v>1</v>
      </c>
      <c r="AA147" s="4">
        <v>0</v>
      </c>
      <c r="AB147" s="4">
        <v>0.33300000000000002</v>
      </c>
      <c r="AC147" s="4">
        <v>0</v>
      </c>
      <c r="AD147" s="10">
        <f t="shared" si="24"/>
        <v>0.791875</v>
      </c>
      <c r="AE147" s="9"/>
      <c r="AF147" s="9"/>
      <c r="AG147" s="12">
        <f t="shared" si="25"/>
        <v>16.100000000000001</v>
      </c>
      <c r="AH147" s="12">
        <f t="shared" si="25"/>
        <v>11.1</v>
      </c>
      <c r="AI147" s="12">
        <f t="shared" si="25"/>
        <v>94.399999999999991</v>
      </c>
      <c r="AJ147" s="12">
        <f t="shared" si="23"/>
        <v>22.3</v>
      </c>
      <c r="AK147" s="12"/>
      <c r="AL147" s="12">
        <f t="shared" si="31"/>
        <v>52.7</v>
      </c>
      <c r="AM147" s="12">
        <f t="shared" si="31"/>
        <v>96.2</v>
      </c>
      <c r="AN147" s="12">
        <f t="shared" si="31"/>
        <v>0</v>
      </c>
      <c r="AO147" s="12">
        <f t="shared" si="31"/>
        <v>0</v>
      </c>
      <c r="AP147" s="12">
        <f t="shared" si="31"/>
        <v>0</v>
      </c>
      <c r="AQ147" s="12">
        <f t="shared" si="31"/>
        <v>46.5</v>
      </c>
      <c r="AR147" s="12"/>
      <c r="AS147" s="12">
        <f t="shared" si="32"/>
        <v>73.900000000000006</v>
      </c>
      <c r="AT147" s="12">
        <f t="shared" si="32"/>
        <v>40.9</v>
      </c>
      <c r="AU147" s="12">
        <f t="shared" si="32"/>
        <v>0</v>
      </c>
      <c r="AV147" s="12">
        <f t="shared" si="32"/>
        <v>0</v>
      </c>
      <c r="AW147" s="12">
        <f t="shared" si="32"/>
        <v>0</v>
      </c>
      <c r="AX147" s="12">
        <f t="shared" si="32"/>
        <v>97.5</v>
      </c>
      <c r="AY147" s="12"/>
      <c r="AZ147" s="12">
        <f t="shared" si="26"/>
        <v>42.900000000000006</v>
      </c>
      <c r="BA147" s="12">
        <f t="shared" si="27"/>
        <v>52.800000000000004</v>
      </c>
      <c r="BB147" s="12"/>
      <c r="BC147" s="12">
        <f t="shared" si="28"/>
        <v>73.2</v>
      </c>
      <c r="BD147" s="12">
        <f t="shared" si="29"/>
        <v>0</v>
      </c>
      <c r="BE147" s="12">
        <f t="shared" si="30"/>
        <v>33.599999999999994</v>
      </c>
    </row>
    <row r="148" spans="1:57" ht="15.75" customHeight="1" x14ac:dyDescent="0.25">
      <c r="A148" s="1" t="s">
        <v>228</v>
      </c>
      <c r="B148" s="3" t="s">
        <v>139</v>
      </c>
      <c r="C148" s="4" t="s">
        <v>8</v>
      </c>
      <c r="D148" s="4">
        <v>5</v>
      </c>
      <c r="E148" s="4">
        <v>47</v>
      </c>
      <c r="F148" s="4">
        <v>5</v>
      </c>
      <c r="G148" s="4">
        <v>47</v>
      </c>
      <c r="H148" s="4">
        <v>0.27300000000000002</v>
      </c>
      <c r="I148" s="4">
        <v>14.7</v>
      </c>
      <c r="J148" s="4">
        <v>0</v>
      </c>
      <c r="K148" s="4">
        <v>0.45500000000000002</v>
      </c>
      <c r="L148" s="4">
        <v>0.36399999999999999</v>
      </c>
      <c r="M148" s="4">
        <v>9.0999999999999998E-2</v>
      </c>
      <c r="N148" s="4">
        <v>0</v>
      </c>
      <c r="O148" s="4">
        <v>0</v>
      </c>
      <c r="P148" s="4">
        <v>0.54500000000000004</v>
      </c>
      <c r="Q148" s="4">
        <v>0</v>
      </c>
      <c r="R148" s="4">
        <v>0.6</v>
      </c>
      <c r="S148" s="4">
        <v>0.75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1</v>
      </c>
      <c r="Z148" s="4">
        <v>0</v>
      </c>
      <c r="AA148" s="4">
        <v>0</v>
      </c>
      <c r="AB148" s="4">
        <v>0.5</v>
      </c>
      <c r="AC148" s="4">
        <v>0</v>
      </c>
      <c r="AD148" s="10">
        <f t="shared" si="24"/>
        <v>0.45500000000000002</v>
      </c>
      <c r="AE148" s="9"/>
      <c r="AF148" s="9"/>
      <c r="AG148" s="12">
        <f t="shared" si="25"/>
        <v>16.100000000000001</v>
      </c>
      <c r="AH148" s="12">
        <f t="shared" si="25"/>
        <v>9.9</v>
      </c>
      <c r="AI148" s="12">
        <f t="shared" si="25"/>
        <v>4.3</v>
      </c>
      <c r="AJ148" s="12">
        <f t="shared" si="23"/>
        <v>60.8</v>
      </c>
      <c r="AK148" s="12"/>
      <c r="AL148" s="12">
        <f t="shared" si="31"/>
        <v>22.900000000000002</v>
      </c>
      <c r="AM148" s="12">
        <f t="shared" si="31"/>
        <v>78.8</v>
      </c>
      <c r="AN148" s="12">
        <f t="shared" si="31"/>
        <v>14.2</v>
      </c>
      <c r="AO148" s="12">
        <f t="shared" si="31"/>
        <v>0</v>
      </c>
      <c r="AP148" s="12">
        <f t="shared" si="31"/>
        <v>0</v>
      </c>
      <c r="AQ148" s="12">
        <f t="shared" si="31"/>
        <v>77</v>
      </c>
      <c r="AR148" s="12"/>
      <c r="AS148" s="12">
        <f t="shared" si="32"/>
        <v>73.900000000000006</v>
      </c>
      <c r="AT148" s="12">
        <f t="shared" si="32"/>
        <v>66.400000000000006</v>
      </c>
      <c r="AU148" s="12">
        <f t="shared" si="32"/>
        <v>0</v>
      </c>
      <c r="AV148" s="12">
        <f t="shared" si="32"/>
        <v>0</v>
      </c>
      <c r="AW148" s="12">
        <f t="shared" si="32"/>
        <v>0</v>
      </c>
      <c r="AX148" s="12">
        <f t="shared" si="32"/>
        <v>0</v>
      </c>
      <c r="AY148" s="12"/>
      <c r="AZ148" s="12">
        <f t="shared" si="26"/>
        <v>9.3999999999999915</v>
      </c>
      <c r="BA148" s="12">
        <f t="shared" si="27"/>
        <v>100</v>
      </c>
      <c r="BB148" s="12"/>
      <c r="BC148" s="12">
        <f t="shared" si="28"/>
        <v>87.5</v>
      </c>
      <c r="BD148" s="12">
        <f t="shared" si="29"/>
        <v>0</v>
      </c>
      <c r="BE148" s="12">
        <f t="shared" si="30"/>
        <v>90.1</v>
      </c>
    </row>
    <row r="149" spans="1:57" ht="15.75" customHeight="1" x14ac:dyDescent="0.25">
      <c r="A149" s="1" t="s">
        <v>256</v>
      </c>
      <c r="B149" s="3" t="s">
        <v>98</v>
      </c>
      <c r="C149" s="4" t="s">
        <v>87</v>
      </c>
      <c r="D149" s="4">
        <v>6</v>
      </c>
      <c r="E149" s="4">
        <v>47</v>
      </c>
      <c r="F149" s="4">
        <v>6</v>
      </c>
      <c r="G149" s="4">
        <v>47</v>
      </c>
      <c r="H149" s="4">
        <v>0.57099999999999995</v>
      </c>
      <c r="I149" s="4">
        <v>3.7</v>
      </c>
      <c r="J149" s="4">
        <v>0</v>
      </c>
      <c r="K149" s="4">
        <v>1</v>
      </c>
      <c r="L149" s="4">
        <v>0.64300000000000002</v>
      </c>
      <c r="M149" s="4">
        <v>0.28599999999999998</v>
      </c>
      <c r="N149" s="4">
        <v>7.0999999999999994E-2</v>
      </c>
      <c r="O149" s="4">
        <v>0</v>
      </c>
      <c r="P149" s="4">
        <v>0</v>
      </c>
      <c r="Q149" s="4">
        <v>0</v>
      </c>
      <c r="R149" s="4">
        <v>0.57099999999999995</v>
      </c>
      <c r="S149" s="4">
        <v>0.66700000000000004</v>
      </c>
      <c r="T149" s="4">
        <v>0.5</v>
      </c>
      <c r="U149" s="4">
        <v>0</v>
      </c>
      <c r="V149" s="4">
        <v>0</v>
      </c>
      <c r="W149" s="4">
        <v>0</v>
      </c>
      <c r="X149" s="4">
        <v>0</v>
      </c>
      <c r="Y149" s="4">
        <v>0.75</v>
      </c>
      <c r="Z149" s="4">
        <v>0</v>
      </c>
      <c r="AA149" s="4">
        <v>0</v>
      </c>
      <c r="AB149" s="4">
        <v>0</v>
      </c>
      <c r="AC149" s="4">
        <v>0</v>
      </c>
      <c r="AD149" s="10">
        <f t="shared" si="24"/>
        <v>0.75</v>
      </c>
      <c r="AE149" s="9"/>
      <c r="AF149" s="9"/>
      <c r="AG149" s="12">
        <f t="shared" ref="AG149:AI165" si="33">(PERCENTRANK(F$4:F$298,F149))*100</f>
        <v>25.4</v>
      </c>
      <c r="AH149" s="12">
        <f t="shared" si="33"/>
        <v>9.9</v>
      </c>
      <c r="AI149" s="12">
        <f t="shared" si="33"/>
        <v>85.7</v>
      </c>
      <c r="AJ149" s="12">
        <f t="shared" si="23"/>
        <v>1.2</v>
      </c>
      <c r="AK149" s="12"/>
      <c r="AL149" s="12">
        <f t="shared" si="31"/>
        <v>95</v>
      </c>
      <c r="AM149" s="12">
        <f t="shared" si="31"/>
        <v>97.5</v>
      </c>
      <c r="AN149" s="12">
        <f t="shared" si="31"/>
        <v>64.5</v>
      </c>
      <c r="AO149" s="12">
        <f t="shared" si="31"/>
        <v>56.499999999999993</v>
      </c>
      <c r="AP149" s="12">
        <f t="shared" si="31"/>
        <v>0</v>
      </c>
      <c r="AQ149" s="12">
        <f t="shared" si="31"/>
        <v>0</v>
      </c>
      <c r="AR149" s="12"/>
      <c r="AS149" s="12">
        <f t="shared" si="32"/>
        <v>68.899999999999991</v>
      </c>
      <c r="AT149" s="12">
        <f t="shared" si="32"/>
        <v>51.5</v>
      </c>
      <c r="AU149" s="12">
        <f t="shared" si="32"/>
        <v>59</v>
      </c>
      <c r="AV149" s="12">
        <f t="shared" si="32"/>
        <v>0</v>
      </c>
      <c r="AW149" s="12">
        <f t="shared" si="32"/>
        <v>0</v>
      </c>
      <c r="AX149" s="12">
        <f t="shared" si="32"/>
        <v>0</v>
      </c>
      <c r="AY149" s="12"/>
      <c r="AZ149" s="12">
        <f t="shared" si="26"/>
        <v>33</v>
      </c>
      <c r="BA149" s="12">
        <f t="shared" si="27"/>
        <v>100</v>
      </c>
      <c r="BB149" s="12"/>
      <c r="BC149" s="12">
        <f t="shared" si="28"/>
        <v>0</v>
      </c>
      <c r="BD149" s="12">
        <f t="shared" si="29"/>
        <v>0</v>
      </c>
      <c r="BE149" s="12">
        <f t="shared" si="30"/>
        <v>43.500000000000007</v>
      </c>
    </row>
    <row r="150" spans="1:57" ht="15.75" customHeight="1" x14ac:dyDescent="0.25">
      <c r="A150" s="1" t="s">
        <v>257</v>
      </c>
      <c r="B150" s="4" t="s">
        <v>86</v>
      </c>
      <c r="C150" s="4" t="s">
        <v>87</v>
      </c>
      <c r="D150" s="4">
        <v>3</v>
      </c>
      <c r="E150" s="4">
        <v>46</v>
      </c>
      <c r="F150" s="4">
        <v>3</v>
      </c>
      <c r="G150" s="4">
        <v>46</v>
      </c>
      <c r="H150" s="4">
        <v>0.34799999999999998</v>
      </c>
      <c r="I150" s="4">
        <v>14.3</v>
      </c>
      <c r="J150" s="4">
        <v>0</v>
      </c>
      <c r="K150" s="4">
        <v>0.56499999999999995</v>
      </c>
      <c r="L150" s="4">
        <v>0.217</v>
      </c>
      <c r="M150" s="4">
        <v>0.30399999999999999</v>
      </c>
      <c r="N150" s="4">
        <v>0</v>
      </c>
      <c r="O150" s="4">
        <v>4.2999999999999997E-2</v>
      </c>
      <c r="P150" s="4">
        <v>0.435</v>
      </c>
      <c r="Q150" s="4">
        <v>0</v>
      </c>
      <c r="R150" s="4">
        <v>0.308</v>
      </c>
      <c r="S150" s="4">
        <v>0.6</v>
      </c>
      <c r="T150" s="4">
        <v>0</v>
      </c>
      <c r="U150" s="4">
        <v>0</v>
      </c>
      <c r="V150" s="4">
        <v>1</v>
      </c>
      <c r="W150" s="4">
        <v>0.4</v>
      </c>
      <c r="X150" s="4">
        <v>0</v>
      </c>
      <c r="Y150" s="4">
        <v>0.75</v>
      </c>
      <c r="Z150" s="4">
        <v>1</v>
      </c>
      <c r="AA150" s="4">
        <v>0</v>
      </c>
      <c r="AB150" s="4">
        <v>0.1</v>
      </c>
      <c r="AC150" s="4">
        <v>1</v>
      </c>
      <c r="AD150" s="10">
        <f t="shared" si="24"/>
        <v>0.8587499999999999</v>
      </c>
      <c r="AE150" s="9"/>
      <c r="AF150" s="9"/>
      <c r="AG150" s="12">
        <f t="shared" si="33"/>
        <v>4.9000000000000004</v>
      </c>
      <c r="AH150" s="12">
        <f t="shared" si="33"/>
        <v>9.3000000000000007</v>
      </c>
      <c r="AI150" s="12">
        <f t="shared" si="33"/>
        <v>16.7</v>
      </c>
      <c r="AJ150" s="12">
        <f t="shared" si="23"/>
        <v>55.900000000000006</v>
      </c>
      <c r="AK150" s="12"/>
      <c r="AL150" s="12">
        <f t="shared" si="31"/>
        <v>38.5</v>
      </c>
      <c r="AM150" s="12">
        <f t="shared" si="31"/>
        <v>49</v>
      </c>
      <c r="AN150" s="12">
        <f t="shared" si="31"/>
        <v>70.099999999999994</v>
      </c>
      <c r="AO150" s="12">
        <f t="shared" si="31"/>
        <v>0</v>
      </c>
      <c r="AP150" s="12">
        <f t="shared" si="31"/>
        <v>57.699999999999996</v>
      </c>
      <c r="AQ150" s="12">
        <f t="shared" si="31"/>
        <v>60.8</v>
      </c>
      <c r="AR150" s="12"/>
      <c r="AS150" s="12">
        <f t="shared" si="32"/>
        <v>4.9000000000000004</v>
      </c>
      <c r="AT150" s="12">
        <f t="shared" si="32"/>
        <v>40.9</v>
      </c>
      <c r="AU150" s="12">
        <f t="shared" si="32"/>
        <v>0</v>
      </c>
      <c r="AV150" s="12">
        <f t="shared" si="32"/>
        <v>0</v>
      </c>
      <c r="AW150" s="12">
        <f t="shared" si="32"/>
        <v>91.3</v>
      </c>
      <c r="AX150" s="12">
        <f t="shared" si="32"/>
        <v>70.8</v>
      </c>
      <c r="AY150" s="12"/>
      <c r="AZ150" s="12">
        <f t="shared" si="26"/>
        <v>33</v>
      </c>
      <c r="BA150" s="12">
        <f t="shared" si="27"/>
        <v>52.800000000000004</v>
      </c>
      <c r="BB150" s="12"/>
      <c r="BC150" s="12">
        <f t="shared" si="28"/>
        <v>27.900000000000002</v>
      </c>
      <c r="BD150" s="12">
        <f t="shared" si="29"/>
        <v>92.5</v>
      </c>
      <c r="BE150" s="12">
        <f t="shared" si="30"/>
        <v>23</v>
      </c>
    </row>
    <row r="151" spans="1:57" ht="15.75" customHeight="1" x14ac:dyDescent="0.25">
      <c r="A151" s="1" t="s">
        <v>209</v>
      </c>
      <c r="B151" s="3" t="s">
        <v>119</v>
      </c>
      <c r="C151" s="4" t="s">
        <v>87</v>
      </c>
      <c r="D151" s="4">
        <v>4</v>
      </c>
      <c r="E151" s="4">
        <v>44</v>
      </c>
      <c r="F151" s="4">
        <v>4</v>
      </c>
      <c r="G151" s="4">
        <v>44</v>
      </c>
      <c r="H151" s="4">
        <v>0</v>
      </c>
      <c r="I151" s="4">
        <v>19</v>
      </c>
      <c r="J151" s="4">
        <v>0</v>
      </c>
      <c r="K151" s="4">
        <v>0.57099999999999995</v>
      </c>
      <c r="L151" s="4">
        <v>0</v>
      </c>
      <c r="M151" s="4">
        <v>0</v>
      </c>
      <c r="N151" s="4">
        <v>0.42899999999999999</v>
      </c>
      <c r="O151" s="4">
        <v>0.14299999999999999</v>
      </c>
      <c r="P151" s="4">
        <v>0.42899999999999999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  <c r="Y151" s="4">
        <v>0</v>
      </c>
      <c r="Z151" s="4">
        <v>0</v>
      </c>
      <c r="AA151" s="4">
        <v>0</v>
      </c>
      <c r="AB151" s="4">
        <v>0.33300000000000002</v>
      </c>
      <c r="AC151" s="4">
        <v>0</v>
      </c>
      <c r="AD151" s="10">
        <f t="shared" si="24"/>
        <v>0</v>
      </c>
      <c r="AE151" s="9"/>
      <c r="AF151" s="9"/>
      <c r="AG151" s="12">
        <f t="shared" si="33"/>
        <v>10.5</v>
      </c>
      <c r="AH151" s="12">
        <f t="shared" si="33"/>
        <v>8.6</v>
      </c>
      <c r="AI151" s="12">
        <f t="shared" si="33"/>
        <v>0</v>
      </c>
      <c r="AJ151" s="12">
        <f t="shared" si="23"/>
        <v>87.5</v>
      </c>
      <c r="AK151" s="12"/>
      <c r="AL151" s="12">
        <f t="shared" si="31"/>
        <v>40.9</v>
      </c>
      <c r="AM151" s="12">
        <f t="shared" si="31"/>
        <v>0</v>
      </c>
      <c r="AN151" s="12">
        <f t="shared" si="31"/>
        <v>0</v>
      </c>
      <c r="AO151" s="12">
        <f t="shared" si="31"/>
        <v>100</v>
      </c>
      <c r="AP151" s="12">
        <f t="shared" si="31"/>
        <v>93.100000000000009</v>
      </c>
      <c r="AQ151" s="12">
        <f t="shared" si="31"/>
        <v>57.699999999999996</v>
      </c>
      <c r="AR151" s="12"/>
      <c r="AS151" s="12">
        <f t="shared" si="32"/>
        <v>0</v>
      </c>
      <c r="AT151" s="12">
        <f t="shared" si="32"/>
        <v>0</v>
      </c>
      <c r="AU151" s="12">
        <f t="shared" si="32"/>
        <v>0</v>
      </c>
      <c r="AV151" s="12">
        <f t="shared" si="32"/>
        <v>0</v>
      </c>
      <c r="AW151" s="12">
        <f t="shared" si="32"/>
        <v>0</v>
      </c>
      <c r="AX151" s="12">
        <f t="shared" si="32"/>
        <v>0</v>
      </c>
      <c r="AY151" s="12"/>
      <c r="AZ151" s="12">
        <f t="shared" si="26"/>
        <v>100</v>
      </c>
      <c r="BA151" s="12">
        <f t="shared" si="27"/>
        <v>100</v>
      </c>
      <c r="BB151" s="12"/>
      <c r="BC151" s="12">
        <f t="shared" si="28"/>
        <v>73.2</v>
      </c>
      <c r="BD151" s="12">
        <f t="shared" si="29"/>
        <v>0</v>
      </c>
      <c r="BE151" s="12">
        <f t="shared" si="30"/>
        <v>100</v>
      </c>
    </row>
    <row r="152" spans="1:57" ht="15.75" customHeight="1" x14ac:dyDescent="0.25">
      <c r="A152" s="1" t="s">
        <v>258</v>
      </c>
      <c r="B152" s="3" t="s">
        <v>130</v>
      </c>
      <c r="C152" s="4" t="s">
        <v>8</v>
      </c>
      <c r="D152" s="4">
        <v>6</v>
      </c>
      <c r="E152" s="4">
        <v>42</v>
      </c>
      <c r="F152" s="4">
        <v>6</v>
      </c>
      <c r="G152" s="4">
        <v>42</v>
      </c>
      <c r="H152" s="4">
        <v>0.42899999999999999</v>
      </c>
      <c r="I152" s="4">
        <v>12.7</v>
      </c>
      <c r="J152" s="4">
        <v>0</v>
      </c>
      <c r="K152" s="4">
        <v>0.57099999999999995</v>
      </c>
      <c r="L152" s="4">
        <v>0.214</v>
      </c>
      <c r="M152" s="4">
        <v>0.35699999999999998</v>
      </c>
      <c r="N152" s="4">
        <v>0</v>
      </c>
      <c r="O152" s="4">
        <v>0</v>
      </c>
      <c r="P152" s="4">
        <v>0.42899999999999999</v>
      </c>
      <c r="Q152" s="4">
        <v>0</v>
      </c>
      <c r="R152" s="4">
        <v>0.5</v>
      </c>
      <c r="S152" s="4">
        <v>0.33300000000000002</v>
      </c>
      <c r="T152" s="4">
        <v>0.6</v>
      </c>
      <c r="U152" s="4">
        <v>0</v>
      </c>
      <c r="V152" s="4">
        <v>0</v>
      </c>
      <c r="W152" s="4">
        <v>0.33300000000000002</v>
      </c>
      <c r="X152" s="4">
        <v>0</v>
      </c>
      <c r="Y152" s="4">
        <v>1</v>
      </c>
      <c r="Z152" s="4">
        <v>1</v>
      </c>
      <c r="AA152" s="4">
        <v>0</v>
      </c>
      <c r="AB152" s="4">
        <v>0</v>
      </c>
      <c r="AC152" s="4">
        <v>0</v>
      </c>
      <c r="AD152" s="10">
        <f t="shared" si="24"/>
        <v>1</v>
      </c>
      <c r="AE152" s="9"/>
      <c r="AF152" s="9"/>
      <c r="AG152" s="12">
        <f t="shared" si="33"/>
        <v>25.4</v>
      </c>
      <c r="AH152" s="12">
        <f t="shared" si="33"/>
        <v>8</v>
      </c>
      <c r="AI152" s="12">
        <f t="shared" si="33"/>
        <v>40.9</v>
      </c>
      <c r="AJ152" s="12">
        <f t="shared" si="23"/>
        <v>42.199999999999996</v>
      </c>
      <c r="AK152" s="12"/>
      <c r="AL152" s="12">
        <f t="shared" si="31"/>
        <v>40.9</v>
      </c>
      <c r="AM152" s="12">
        <f t="shared" si="31"/>
        <v>46.5</v>
      </c>
      <c r="AN152" s="12">
        <f t="shared" si="31"/>
        <v>83.2</v>
      </c>
      <c r="AO152" s="12">
        <f t="shared" si="31"/>
        <v>0</v>
      </c>
      <c r="AP152" s="12">
        <f t="shared" si="31"/>
        <v>0</v>
      </c>
      <c r="AQ152" s="12">
        <f t="shared" si="31"/>
        <v>57.699999999999996</v>
      </c>
      <c r="AR152" s="12"/>
      <c r="AS152" s="12">
        <f t="shared" si="32"/>
        <v>40.9</v>
      </c>
      <c r="AT152" s="12">
        <f t="shared" si="32"/>
        <v>12.4</v>
      </c>
      <c r="AU152" s="12">
        <f t="shared" si="32"/>
        <v>84.399999999999991</v>
      </c>
      <c r="AV152" s="12">
        <f t="shared" si="32"/>
        <v>0</v>
      </c>
      <c r="AW152" s="12">
        <f t="shared" si="32"/>
        <v>0</v>
      </c>
      <c r="AX152" s="12">
        <f t="shared" si="32"/>
        <v>49</v>
      </c>
      <c r="AY152" s="12"/>
      <c r="AZ152" s="12">
        <f t="shared" si="26"/>
        <v>9.3999999999999915</v>
      </c>
      <c r="BA152" s="12">
        <f t="shared" si="27"/>
        <v>52.800000000000004</v>
      </c>
      <c r="BB152" s="12"/>
      <c r="BC152" s="12">
        <f t="shared" si="28"/>
        <v>0</v>
      </c>
      <c r="BD152" s="12">
        <f t="shared" si="29"/>
        <v>0</v>
      </c>
      <c r="BE152" s="12">
        <f t="shared" si="30"/>
        <v>6.8999999999999915</v>
      </c>
    </row>
    <row r="153" spans="1:57" ht="15.75" customHeight="1" x14ac:dyDescent="0.25">
      <c r="A153" s="1" t="s">
        <v>259</v>
      </c>
      <c r="B153" s="3" t="s">
        <v>142</v>
      </c>
      <c r="C153" s="4" t="s">
        <v>87</v>
      </c>
      <c r="D153" s="4">
        <v>2</v>
      </c>
      <c r="E153" s="4">
        <v>40</v>
      </c>
      <c r="F153" s="4">
        <v>2</v>
      </c>
      <c r="G153" s="4">
        <v>40</v>
      </c>
      <c r="H153" s="4">
        <v>0.46200000000000002</v>
      </c>
      <c r="I153" s="4">
        <v>19.100000000000001</v>
      </c>
      <c r="J153" s="4">
        <v>0</v>
      </c>
      <c r="K153" s="4">
        <v>0.38500000000000001</v>
      </c>
      <c r="L153" s="4">
        <v>0</v>
      </c>
      <c r="M153" s="4">
        <v>0.23100000000000001</v>
      </c>
      <c r="N153" s="4">
        <v>0</v>
      </c>
      <c r="O153" s="4">
        <v>0.154</v>
      </c>
      <c r="P153" s="4">
        <v>0.61499999999999999</v>
      </c>
      <c r="Q153" s="4">
        <v>0</v>
      </c>
      <c r="R153" s="4">
        <v>0.6</v>
      </c>
      <c r="S153" s="4">
        <v>0</v>
      </c>
      <c r="T153" s="4">
        <v>1</v>
      </c>
      <c r="U153" s="4">
        <v>0</v>
      </c>
      <c r="V153" s="4">
        <v>0</v>
      </c>
      <c r="W153" s="4">
        <v>0.375</v>
      </c>
      <c r="X153" s="4">
        <v>0</v>
      </c>
      <c r="Y153" s="4">
        <v>0</v>
      </c>
      <c r="Z153" s="4">
        <v>1</v>
      </c>
      <c r="AA153" s="4">
        <v>0</v>
      </c>
      <c r="AB153" s="4">
        <v>0.375</v>
      </c>
      <c r="AC153" s="4">
        <v>0.66700000000000004</v>
      </c>
      <c r="AD153" s="10">
        <f t="shared" si="24"/>
        <v>0.61499999999999999</v>
      </c>
      <c r="AE153" s="9"/>
      <c r="AF153" s="9"/>
      <c r="AG153" s="12">
        <f t="shared" si="33"/>
        <v>1.2</v>
      </c>
      <c r="AH153" s="12">
        <f t="shared" si="33"/>
        <v>7.3999999999999995</v>
      </c>
      <c r="AI153" s="12">
        <f t="shared" si="33"/>
        <v>52.7</v>
      </c>
      <c r="AJ153" s="12">
        <f t="shared" si="23"/>
        <v>90</v>
      </c>
      <c r="AK153" s="12"/>
      <c r="AL153" s="12">
        <f t="shared" si="31"/>
        <v>13.600000000000001</v>
      </c>
      <c r="AM153" s="12">
        <f t="shared" si="31"/>
        <v>0</v>
      </c>
      <c r="AN153" s="12">
        <f t="shared" si="31"/>
        <v>49.6</v>
      </c>
      <c r="AO153" s="12">
        <f t="shared" si="31"/>
        <v>0</v>
      </c>
      <c r="AP153" s="12">
        <f t="shared" si="31"/>
        <v>95</v>
      </c>
      <c r="AQ153" s="12">
        <f t="shared" si="31"/>
        <v>85.7</v>
      </c>
      <c r="AR153" s="12"/>
      <c r="AS153" s="12">
        <f t="shared" si="32"/>
        <v>73.900000000000006</v>
      </c>
      <c r="AT153" s="12">
        <f t="shared" si="32"/>
        <v>0</v>
      </c>
      <c r="AU153" s="12">
        <f t="shared" si="32"/>
        <v>96.8</v>
      </c>
      <c r="AV153" s="12">
        <f t="shared" si="32"/>
        <v>0</v>
      </c>
      <c r="AW153" s="12">
        <f t="shared" si="32"/>
        <v>0</v>
      </c>
      <c r="AX153" s="12">
        <f t="shared" si="32"/>
        <v>63.9</v>
      </c>
      <c r="AY153" s="12"/>
      <c r="AZ153" s="12">
        <f t="shared" si="26"/>
        <v>100</v>
      </c>
      <c r="BA153" s="12">
        <f t="shared" si="27"/>
        <v>52.800000000000004</v>
      </c>
      <c r="BB153" s="12"/>
      <c r="BC153" s="12">
        <f t="shared" si="28"/>
        <v>81.3</v>
      </c>
      <c r="BD153" s="12">
        <f t="shared" si="29"/>
        <v>85.7</v>
      </c>
      <c r="BE153" s="12">
        <f t="shared" si="30"/>
        <v>67.8</v>
      </c>
    </row>
    <row r="154" spans="1:57" ht="15.75" customHeight="1" x14ac:dyDescent="0.25">
      <c r="A154" s="1" t="s">
        <v>260</v>
      </c>
      <c r="B154" s="3" t="s">
        <v>98</v>
      </c>
      <c r="C154" s="4" t="s">
        <v>87</v>
      </c>
      <c r="D154" s="4">
        <v>3</v>
      </c>
      <c r="E154" s="4">
        <v>39</v>
      </c>
      <c r="F154" s="4">
        <v>3</v>
      </c>
      <c r="G154" s="4">
        <v>39</v>
      </c>
      <c r="H154" s="4">
        <v>0.57099999999999995</v>
      </c>
      <c r="I154" s="4">
        <v>15.3</v>
      </c>
      <c r="J154" s="4">
        <v>0</v>
      </c>
      <c r="K154" s="4">
        <v>0.57099999999999995</v>
      </c>
      <c r="L154" s="4">
        <v>0.28599999999999998</v>
      </c>
      <c r="M154" s="4">
        <v>0</v>
      </c>
      <c r="N154" s="4">
        <v>0.14299999999999999</v>
      </c>
      <c r="O154" s="4">
        <v>0.14299999999999999</v>
      </c>
      <c r="P154" s="4">
        <v>0.42899999999999999</v>
      </c>
      <c r="Q154" s="4">
        <v>0</v>
      </c>
      <c r="R154" s="4">
        <v>0.5</v>
      </c>
      <c r="S154" s="4">
        <v>0.5</v>
      </c>
      <c r="T154" s="4">
        <v>0</v>
      </c>
      <c r="U154" s="4">
        <v>1</v>
      </c>
      <c r="V154" s="4">
        <v>0</v>
      </c>
      <c r="W154" s="4">
        <v>0.66700000000000004</v>
      </c>
      <c r="X154" s="4">
        <v>0</v>
      </c>
      <c r="Y154" s="4">
        <v>1</v>
      </c>
      <c r="Z154" s="4">
        <v>1</v>
      </c>
      <c r="AA154" s="4">
        <v>0</v>
      </c>
      <c r="AB154" s="4">
        <v>0.33300000000000002</v>
      </c>
      <c r="AC154" s="4">
        <v>0</v>
      </c>
      <c r="AD154" s="10">
        <f t="shared" si="24"/>
        <v>1</v>
      </c>
      <c r="AE154" s="9"/>
      <c r="AF154" s="9"/>
      <c r="AG154" s="12">
        <f t="shared" si="33"/>
        <v>4.9000000000000004</v>
      </c>
      <c r="AH154" s="12">
        <f t="shared" si="33"/>
        <v>6.8000000000000007</v>
      </c>
      <c r="AI154" s="12">
        <f t="shared" si="33"/>
        <v>85.7</v>
      </c>
      <c r="AJ154" s="12">
        <f t="shared" si="23"/>
        <v>66.400000000000006</v>
      </c>
      <c r="AK154" s="12"/>
      <c r="AL154" s="12">
        <f t="shared" si="31"/>
        <v>40.9</v>
      </c>
      <c r="AM154" s="12">
        <f t="shared" si="31"/>
        <v>63.9</v>
      </c>
      <c r="AN154" s="12">
        <f t="shared" si="31"/>
        <v>0</v>
      </c>
      <c r="AO154" s="12">
        <f t="shared" si="31"/>
        <v>83.8</v>
      </c>
      <c r="AP154" s="12">
        <f t="shared" si="31"/>
        <v>93.100000000000009</v>
      </c>
      <c r="AQ154" s="12">
        <f t="shared" si="31"/>
        <v>57.699999999999996</v>
      </c>
      <c r="AR154" s="12"/>
      <c r="AS154" s="12">
        <f t="shared" si="32"/>
        <v>40.9</v>
      </c>
      <c r="AT154" s="12">
        <f t="shared" si="32"/>
        <v>22.900000000000002</v>
      </c>
      <c r="AU154" s="12">
        <f t="shared" si="32"/>
        <v>0</v>
      </c>
      <c r="AV154" s="12">
        <f t="shared" si="32"/>
        <v>91.9</v>
      </c>
      <c r="AW154" s="12">
        <f t="shared" si="32"/>
        <v>0</v>
      </c>
      <c r="AX154" s="12">
        <f t="shared" si="32"/>
        <v>97.5</v>
      </c>
      <c r="AY154" s="12"/>
      <c r="AZ154" s="12">
        <f t="shared" si="26"/>
        <v>9.3999999999999915</v>
      </c>
      <c r="BA154" s="12">
        <f t="shared" si="27"/>
        <v>52.800000000000004</v>
      </c>
      <c r="BB154" s="12"/>
      <c r="BC154" s="12">
        <f t="shared" si="28"/>
        <v>73.2</v>
      </c>
      <c r="BD154" s="12">
        <f t="shared" si="29"/>
        <v>0</v>
      </c>
      <c r="BE154" s="12">
        <f t="shared" si="30"/>
        <v>6.8999999999999915</v>
      </c>
    </row>
    <row r="155" spans="1:57" ht="15.75" customHeight="1" x14ac:dyDescent="0.25">
      <c r="A155" s="1" t="s">
        <v>261</v>
      </c>
      <c r="B155" s="3" t="s">
        <v>116</v>
      </c>
      <c r="C155" s="4" t="s">
        <v>90</v>
      </c>
      <c r="D155" s="4">
        <v>2</v>
      </c>
      <c r="E155" s="4">
        <v>38</v>
      </c>
      <c r="F155" s="4">
        <v>2</v>
      </c>
      <c r="G155" s="4">
        <v>38</v>
      </c>
      <c r="H155" s="4">
        <v>0.5</v>
      </c>
      <c r="I155" s="4">
        <v>10.4</v>
      </c>
      <c r="J155" s="4">
        <v>0</v>
      </c>
      <c r="K155" s="4">
        <v>0.83299999999999996</v>
      </c>
      <c r="L155" s="4">
        <v>0.41699999999999998</v>
      </c>
      <c r="M155" s="4">
        <v>0.16700000000000001</v>
      </c>
      <c r="N155" s="4">
        <v>0.16700000000000001</v>
      </c>
      <c r="O155" s="4">
        <v>8.3000000000000004E-2</v>
      </c>
      <c r="P155" s="4">
        <v>0.16700000000000001</v>
      </c>
      <c r="Q155" s="4">
        <v>0</v>
      </c>
      <c r="R155" s="4">
        <v>0.6</v>
      </c>
      <c r="S155" s="4">
        <v>0.6</v>
      </c>
      <c r="T155" s="4">
        <v>1</v>
      </c>
      <c r="U155" s="4">
        <v>0.5</v>
      </c>
      <c r="V155" s="4">
        <v>0</v>
      </c>
      <c r="W155" s="4">
        <v>0</v>
      </c>
      <c r="X155" s="4">
        <v>0</v>
      </c>
      <c r="Y155" s="4">
        <v>1</v>
      </c>
      <c r="Z155" s="4">
        <v>0</v>
      </c>
      <c r="AA155" s="4">
        <v>0</v>
      </c>
      <c r="AB155" s="4">
        <v>0</v>
      </c>
      <c r="AC155" s="4">
        <v>0</v>
      </c>
      <c r="AD155" s="10">
        <f t="shared" si="24"/>
        <v>0.83299999999999996</v>
      </c>
      <c r="AE155" s="9"/>
      <c r="AF155" s="9"/>
      <c r="AG155" s="12">
        <f t="shared" si="33"/>
        <v>1.2</v>
      </c>
      <c r="AH155" s="12">
        <f t="shared" si="33"/>
        <v>6.2</v>
      </c>
      <c r="AI155" s="12">
        <f t="shared" si="33"/>
        <v>65.2</v>
      </c>
      <c r="AJ155" s="12">
        <f t="shared" si="23"/>
        <v>26.700000000000003</v>
      </c>
      <c r="AK155" s="12"/>
      <c r="AL155" s="12">
        <f t="shared" si="31"/>
        <v>81.899999999999991</v>
      </c>
      <c r="AM155" s="12">
        <f t="shared" si="31"/>
        <v>83.8</v>
      </c>
      <c r="AN155" s="12">
        <f t="shared" si="31"/>
        <v>30.4</v>
      </c>
      <c r="AO155" s="12">
        <f t="shared" si="31"/>
        <v>88.1</v>
      </c>
      <c r="AP155" s="12">
        <f t="shared" si="31"/>
        <v>77</v>
      </c>
      <c r="AQ155" s="12">
        <f t="shared" si="31"/>
        <v>18</v>
      </c>
      <c r="AR155" s="12"/>
      <c r="AS155" s="12">
        <f t="shared" si="32"/>
        <v>73.900000000000006</v>
      </c>
      <c r="AT155" s="12">
        <f t="shared" si="32"/>
        <v>40.9</v>
      </c>
      <c r="AU155" s="12">
        <f t="shared" si="32"/>
        <v>96.8</v>
      </c>
      <c r="AV155" s="12">
        <f t="shared" si="32"/>
        <v>72.599999999999994</v>
      </c>
      <c r="AW155" s="12">
        <f t="shared" si="32"/>
        <v>0</v>
      </c>
      <c r="AX155" s="12">
        <f t="shared" si="32"/>
        <v>0</v>
      </c>
      <c r="AY155" s="12"/>
      <c r="AZ155" s="12">
        <f t="shared" si="26"/>
        <v>9.3999999999999915</v>
      </c>
      <c r="BA155" s="12">
        <f t="shared" si="27"/>
        <v>100</v>
      </c>
      <c r="BB155" s="12"/>
      <c r="BC155" s="12">
        <f t="shared" si="28"/>
        <v>0</v>
      </c>
      <c r="BD155" s="12">
        <f t="shared" si="29"/>
        <v>0</v>
      </c>
      <c r="BE155" s="12">
        <f t="shared" si="30"/>
        <v>29.200000000000003</v>
      </c>
    </row>
    <row r="156" spans="1:57" ht="15.75" customHeight="1" x14ac:dyDescent="0.25">
      <c r="A156" s="1" t="s">
        <v>227</v>
      </c>
      <c r="B156" s="3" t="s">
        <v>160</v>
      </c>
      <c r="C156" s="4" t="s">
        <v>187</v>
      </c>
      <c r="D156" s="4">
        <v>4</v>
      </c>
      <c r="E156" s="4">
        <v>37</v>
      </c>
      <c r="F156" s="4">
        <v>4</v>
      </c>
      <c r="G156" s="4">
        <v>37</v>
      </c>
      <c r="H156" s="4">
        <v>0.54500000000000004</v>
      </c>
      <c r="I156" s="4">
        <v>22</v>
      </c>
      <c r="J156" s="4">
        <v>0</v>
      </c>
      <c r="K156" s="4">
        <v>0.182</v>
      </c>
      <c r="L156" s="4">
        <v>9.0999999999999998E-2</v>
      </c>
      <c r="M156" s="4">
        <v>0</v>
      </c>
      <c r="N156" s="4">
        <v>9.0999999999999998E-2</v>
      </c>
      <c r="O156" s="4">
        <v>0</v>
      </c>
      <c r="P156" s="4">
        <v>0.81799999999999995</v>
      </c>
      <c r="Q156" s="4">
        <v>0</v>
      </c>
      <c r="R156" s="4">
        <v>1</v>
      </c>
      <c r="S156" s="4">
        <v>1</v>
      </c>
      <c r="T156" s="4">
        <v>0</v>
      </c>
      <c r="U156" s="4">
        <v>1</v>
      </c>
      <c r="V156" s="4">
        <v>0</v>
      </c>
      <c r="W156" s="4">
        <v>0.44400000000000001</v>
      </c>
      <c r="X156" s="4">
        <v>0</v>
      </c>
      <c r="Y156" s="4">
        <v>1</v>
      </c>
      <c r="Z156" s="4">
        <v>1</v>
      </c>
      <c r="AA156" s="4">
        <v>0</v>
      </c>
      <c r="AB156" s="4">
        <v>0.111</v>
      </c>
      <c r="AC156" s="4">
        <v>0</v>
      </c>
      <c r="AD156" s="10">
        <f t="shared" si="24"/>
        <v>1</v>
      </c>
      <c r="AE156" s="9"/>
      <c r="AF156" s="9"/>
      <c r="AG156" s="12">
        <f t="shared" si="33"/>
        <v>10.5</v>
      </c>
      <c r="AH156" s="12">
        <f t="shared" si="33"/>
        <v>4.9000000000000004</v>
      </c>
      <c r="AI156" s="12">
        <f t="shared" si="33"/>
        <v>81.899999999999991</v>
      </c>
      <c r="AJ156" s="12">
        <f t="shared" si="23"/>
        <v>98.7</v>
      </c>
      <c r="AK156" s="12"/>
      <c r="AL156" s="12">
        <f t="shared" si="31"/>
        <v>1.2</v>
      </c>
      <c r="AM156" s="12">
        <f t="shared" si="31"/>
        <v>14.899999999999999</v>
      </c>
      <c r="AN156" s="12">
        <f t="shared" si="31"/>
        <v>0</v>
      </c>
      <c r="AO156" s="12">
        <f t="shared" si="31"/>
        <v>66.400000000000006</v>
      </c>
      <c r="AP156" s="12">
        <f t="shared" si="31"/>
        <v>0</v>
      </c>
      <c r="AQ156" s="12">
        <f t="shared" si="31"/>
        <v>98.7</v>
      </c>
      <c r="AR156" s="12"/>
      <c r="AS156" s="12">
        <f t="shared" si="32"/>
        <v>97.5</v>
      </c>
      <c r="AT156" s="12">
        <f t="shared" si="32"/>
        <v>88.1</v>
      </c>
      <c r="AU156" s="12">
        <f t="shared" si="32"/>
        <v>0</v>
      </c>
      <c r="AV156" s="12">
        <f t="shared" si="32"/>
        <v>91.9</v>
      </c>
      <c r="AW156" s="12">
        <f t="shared" si="32"/>
        <v>0</v>
      </c>
      <c r="AX156" s="12">
        <f t="shared" si="32"/>
        <v>81.899999999999991</v>
      </c>
      <c r="AY156" s="12"/>
      <c r="AZ156" s="12">
        <f t="shared" si="26"/>
        <v>9.3999999999999915</v>
      </c>
      <c r="BA156" s="12">
        <f t="shared" si="27"/>
        <v>52.800000000000004</v>
      </c>
      <c r="BB156" s="12"/>
      <c r="BC156" s="12">
        <f t="shared" si="28"/>
        <v>29.799999999999997</v>
      </c>
      <c r="BD156" s="12">
        <f t="shared" si="29"/>
        <v>0</v>
      </c>
      <c r="BE156" s="12">
        <f t="shared" si="30"/>
        <v>6.8999999999999915</v>
      </c>
    </row>
    <row r="157" spans="1:57" ht="15.75" customHeight="1" x14ac:dyDescent="0.25">
      <c r="A157" s="1" t="s">
        <v>262</v>
      </c>
      <c r="B157" s="3" t="s">
        <v>101</v>
      </c>
      <c r="C157" s="4" t="s">
        <v>90</v>
      </c>
      <c r="D157" s="4">
        <v>5</v>
      </c>
      <c r="E157" s="4">
        <v>37</v>
      </c>
      <c r="F157" s="4">
        <v>5</v>
      </c>
      <c r="G157" s="4">
        <v>37</v>
      </c>
      <c r="H157" s="4">
        <v>0.111</v>
      </c>
      <c r="I157" s="4">
        <v>15.3</v>
      </c>
      <c r="J157" s="4">
        <v>0</v>
      </c>
      <c r="K157" s="4">
        <v>0.44400000000000001</v>
      </c>
      <c r="L157" s="4">
        <v>0.111</v>
      </c>
      <c r="M157" s="4">
        <v>0.33300000000000002</v>
      </c>
      <c r="N157" s="4">
        <v>0</v>
      </c>
      <c r="O157" s="4">
        <v>0</v>
      </c>
      <c r="P157" s="4">
        <v>0.55600000000000005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0.2</v>
      </c>
      <c r="X157" s="4">
        <v>0</v>
      </c>
      <c r="Y157" s="4">
        <v>0</v>
      </c>
      <c r="Z157" s="4">
        <v>1</v>
      </c>
      <c r="AA157" s="4">
        <v>0</v>
      </c>
      <c r="AB157" s="4">
        <v>0</v>
      </c>
      <c r="AC157" s="4">
        <v>0</v>
      </c>
      <c r="AD157" s="10">
        <f t="shared" si="24"/>
        <v>0.55600000000000005</v>
      </c>
      <c r="AE157" s="9"/>
      <c r="AF157" s="9"/>
      <c r="AG157" s="12">
        <f t="shared" si="33"/>
        <v>16.100000000000001</v>
      </c>
      <c r="AH157" s="12">
        <f t="shared" si="33"/>
        <v>4.9000000000000004</v>
      </c>
      <c r="AI157" s="12">
        <f t="shared" si="33"/>
        <v>0.6</v>
      </c>
      <c r="AJ157" s="12">
        <f t="shared" si="23"/>
        <v>66.400000000000006</v>
      </c>
      <c r="AK157" s="12"/>
      <c r="AL157" s="12">
        <f t="shared" si="31"/>
        <v>20.399999999999999</v>
      </c>
      <c r="AM157" s="12">
        <f t="shared" si="31"/>
        <v>19.8</v>
      </c>
      <c r="AN157" s="12">
        <f t="shared" si="31"/>
        <v>80.100000000000009</v>
      </c>
      <c r="AO157" s="12">
        <f t="shared" si="31"/>
        <v>0</v>
      </c>
      <c r="AP157" s="12">
        <f t="shared" si="31"/>
        <v>0</v>
      </c>
      <c r="AQ157" s="12">
        <f t="shared" si="31"/>
        <v>77.600000000000009</v>
      </c>
      <c r="AR157" s="12"/>
      <c r="AS157" s="12">
        <f t="shared" si="32"/>
        <v>0</v>
      </c>
      <c r="AT157" s="12">
        <f t="shared" si="32"/>
        <v>0</v>
      </c>
      <c r="AU157" s="12">
        <f t="shared" si="32"/>
        <v>0</v>
      </c>
      <c r="AV157" s="12">
        <f t="shared" si="32"/>
        <v>0</v>
      </c>
      <c r="AW157" s="12">
        <f t="shared" si="32"/>
        <v>0</v>
      </c>
      <c r="AX157" s="12">
        <f t="shared" si="32"/>
        <v>24.8</v>
      </c>
      <c r="AY157" s="12"/>
      <c r="AZ157" s="12">
        <f t="shared" si="26"/>
        <v>100</v>
      </c>
      <c r="BA157" s="12">
        <f t="shared" si="27"/>
        <v>52.800000000000004</v>
      </c>
      <c r="BB157" s="12"/>
      <c r="BC157" s="12">
        <f t="shared" si="28"/>
        <v>0</v>
      </c>
      <c r="BD157" s="12">
        <f t="shared" si="29"/>
        <v>0</v>
      </c>
      <c r="BE157" s="12">
        <f t="shared" si="30"/>
        <v>78.3</v>
      </c>
    </row>
    <row r="158" spans="1:57" ht="15.75" customHeight="1" x14ac:dyDescent="0.25">
      <c r="A158" s="1" t="s">
        <v>263</v>
      </c>
      <c r="B158" s="3" t="s">
        <v>93</v>
      </c>
      <c r="C158" s="4" t="s">
        <v>87</v>
      </c>
      <c r="D158" s="4">
        <v>3</v>
      </c>
      <c r="E158" s="4">
        <v>34</v>
      </c>
      <c r="F158" s="4">
        <v>3</v>
      </c>
      <c r="G158" s="4">
        <v>34</v>
      </c>
      <c r="H158" s="4">
        <v>0.44400000000000001</v>
      </c>
      <c r="I158" s="4">
        <v>18.399999999999999</v>
      </c>
      <c r="J158" s="4">
        <v>0</v>
      </c>
      <c r="K158" s="4">
        <v>0.44400000000000001</v>
      </c>
      <c r="L158" s="4">
        <v>0</v>
      </c>
      <c r="M158" s="4">
        <v>0.111</v>
      </c>
      <c r="N158" s="4">
        <v>0.27800000000000002</v>
      </c>
      <c r="O158" s="4">
        <v>5.6000000000000001E-2</v>
      </c>
      <c r="P158" s="4">
        <v>0.55600000000000005</v>
      </c>
      <c r="Q158" s="4">
        <v>0</v>
      </c>
      <c r="R158" s="4">
        <v>0.375</v>
      </c>
      <c r="S158" s="4">
        <v>0</v>
      </c>
      <c r="T158" s="4">
        <v>0</v>
      </c>
      <c r="U158" s="4">
        <v>0.4</v>
      </c>
      <c r="V158" s="4">
        <v>1</v>
      </c>
      <c r="W158" s="4">
        <v>0.5</v>
      </c>
      <c r="X158" s="4">
        <v>0</v>
      </c>
      <c r="Y158" s="4">
        <v>0.33300000000000002</v>
      </c>
      <c r="Z158" s="4">
        <v>0.8</v>
      </c>
      <c r="AA158" s="4">
        <v>0</v>
      </c>
      <c r="AB158" s="4">
        <v>0</v>
      </c>
      <c r="AC158" s="4">
        <v>0</v>
      </c>
      <c r="AD158" s="10">
        <f t="shared" si="24"/>
        <v>0.59265200000000007</v>
      </c>
      <c r="AE158" s="9"/>
      <c r="AF158" s="9"/>
      <c r="AG158" s="12">
        <f t="shared" si="33"/>
        <v>4.9000000000000004</v>
      </c>
      <c r="AH158" s="12">
        <f t="shared" si="33"/>
        <v>4.3</v>
      </c>
      <c r="AI158" s="12">
        <f t="shared" si="33"/>
        <v>45.9</v>
      </c>
      <c r="AJ158" s="12">
        <f t="shared" si="23"/>
        <v>85.7</v>
      </c>
      <c r="AK158" s="12"/>
      <c r="AL158" s="12">
        <f t="shared" si="31"/>
        <v>20.399999999999999</v>
      </c>
      <c r="AM158" s="12">
        <f t="shared" si="31"/>
        <v>0</v>
      </c>
      <c r="AN158" s="12">
        <f t="shared" si="31"/>
        <v>19.2</v>
      </c>
      <c r="AO158" s="12">
        <f t="shared" si="31"/>
        <v>97.5</v>
      </c>
      <c r="AP158" s="12">
        <f t="shared" si="31"/>
        <v>63.9</v>
      </c>
      <c r="AQ158" s="12">
        <f t="shared" si="31"/>
        <v>77.600000000000009</v>
      </c>
      <c r="AR158" s="12"/>
      <c r="AS158" s="12">
        <f t="shared" si="32"/>
        <v>13.600000000000001</v>
      </c>
      <c r="AT158" s="12">
        <f t="shared" si="32"/>
        <v>0</v>
      </c>
      <c r="AU158" s="12">
        <f t="shared" si="32"/>
        <v>0</v>
      </c>
      <c r="AV158" s="12">
        <f t="shared" si="32"/>
        <v>63.3</v>
      </c>
      <c r="AW158" s="12">
        <f t="shared" si="32"/>
        <v>91.3</v>
      </c>
      <c r="AX158" s="12">
        <f t="shared" si="32"/>
        <v>87.5</v>
      </c>
      <c r="AY158" s="12"/>
      <c r="AZ158" s="12">
        <f t="shared" si="26"/>
        <v>82</v>
      </c>
      <c r="BA158" s="12">
        <f t="shared" si="27"/>
        <v>68.400000000000006</v>
      </c>
      <c r="BB158" s="12"/>
      <c r="BC158" s="12">
        <f t="shared" si="28"/>
        <v>0</v>
      </c>
      <c r="BD158" s="12">
        <f t="shared" si="29"/>
        <v>0</v>
      </c>
      <c r="BE158" s="12">
        <f t="shared" si="30"/>
        <v>70.2</v>
      </c>
    </row>
    <row r="159" spans="1:57" ht="15.75" customHeight="1" x14ac:dyDescent="0.25">
      <c r="A159" s="1" t="s">
        <v>264</v>
      </c>
      <c r="B159" s="3" t="s">
        <v>86</v>
      </c>
      <c r="C159" s="4" t="s">
        <v>87</v>
      </c>
      <c r="D159" s="4">
        <v>1</v>
      </c>
      <c r="E159" s="4">
        <v>33</v>
      </c>
      <c r="F159" s="4">
        <v>1</v>
      </c>
      <c r="G159" s="4">
        <v>33</v>
      </c>
      <c r="H159" s="4">
        <v>0.75</v>
      </c>
      <c r="I159" s="4">
        <v>19</v>
      </c>
      <c r="J159" s="4">
        <v>0</v>
      </c>
      <c r="K159" s="4">
        <v>0.25</v>
      </c>
      <c r="L159" s="4">
        <v>0.25</v>
      </c>
      <c r="M159" s="4">
        <v>0</v>
      </c>
      <c r="N159" s="4">
        <v>0</v>
      </c>
      <c r="O159" s="4">
        <v>0</v>
      </c>
      <c r="P159" s="4">
        <v>0.75</v>
      </c>
      <c r="Q159" s="4">
        <v>0</v>
      </c>
      <c r="R159" s="4">
        <v>1</v>
      </c>
      <c r="S159" s="4">
        <v>1</v>
      </c>
      <c r="T159" s="4">
        <v>0</v>
      </c>
      <c r="U159" s="4">
        <v>0</v>
      </c>
      <c r="V159" s="4">
        <v>0</v>
      </c>
      <c r="W159" s="4">
        <v>0.66700000000000004</v>
      </c>
      <c r="X159" s="4">
        <v>0</v>
      </c>
      <c r="Y159" s="4">
        <v>1</v>
      </c>
      <c r="Z159" s="4">
        <v>1</v>
      </c>
      <c r="AA159" s="4">
        <v>0</v>
      </c>
      <c r="AB159" s="4">
        <v>0.66700000000000004</v>
      </c>
      <c r="AC159" s="4">
        <v>0.5</v>
      </c>
      <c r="AD159" s="10">
        <f t="shared" si="24"/>
        <v>1</v>
      </c>
      <c r="AE159" s="9"/>
      <c r="AF159" s="9"/>
      <c r="AG159" s="12">
        <f t="shared" si="33"/>
        <v>0</v>
      </c>
      <c r="AH159" s="12">
        <f t="shared" si="33"/>
        <v>3.1</v>
      </c>
      <c r="AI159" s="12">
        <f t="shared" si="33"/>
        <v>100</v>
      </c>
      <c r="AJ159" s="12">
        <f t="shared" si="23"/>
        <v>87.5</v>
      </c>
      <c r="AK159" s="12"/>
      <c r="AL159" s="12">
        <f t="shared" si="31"/>
        <v>5.5</v>
      </c>
      <c r="AM159" s="12">
        <f t="shared" si="31"/>
        <v>55.900000000000006</v>
      </c>
      <c r="AN159" s="12">
        <f t="shared" si="31"/>
        <v>0</v>
      </c>
      <c r="AO159" s="12">
        <f t="shared" si="31"/>
        <v>0</v>
      </c>
      <c r="AP159" s="12">
        <f t="shared" si="31"/>
        <v>0</v>
      </c>
      <c r="AQ159" s="12">
        <f t="shared" si="31"/>
        <v>93.7</v>
      </c>
      <c r="AR159" s="12"/>
      <c r="AS159" s="12">
        <f t="shared" si="32"/>
        <v>97.5</v>
      </c>
      <c r="AT159" s="12">
        <f t="shared" si="32"/>
        <v>88.1</v>
      </c>
      <c r="AU159" s="12">
        <f t="shared" si="32"/>
        <v>0</v>
      </c>
      <c r="AV159" s="12">
        <f t="shared" si="32"/>
        <v>0</v>
      </c>
      <c r="AW159" s="12">
        <f t="shared" si="32"/>
        <v>0</v>
      </c>
      <c r="AX159" s="12">
        <f t="shared" si="32"/>
        <v>97.5</v>
      </c>
      <c r="AY159" s="12"/>
      <c r="AZ159" s="12">
        <f t="shared" si="26"/>
        <v>9.3999999999999915</v>
      </c>
      <c r="BA159" s="12">
        <f t="shared" si="27"/>
        <v>52.800000000000004</v>
      </c>
      <c r="BB159" s="12"/>
      <c r="BC159" s="12">
        <f t="shared" si="28"/>
        <v>95</v>
      </c>
      <c r="BD159" s="12">
        <f t="shared" si="29"/>
        <v>70.8</v>
      </c>
      <c r="BE159" s="12">
        <f t="shared" si="30"/>
        <v>6.8999999999999915</v>
      </c>
    </row>
    <row r="160" spans="1:57" ht="15.75" customHeight="1" x14ac:dyDescent="0.25">
      <c r="A160" s="1" t="s">
        <v>265</v>
      </c>
      <c r="B160" s="3" t="s">
        <v>116</v>
      </c>
      <c r="C160" s="4" t="s">
        <v>8</v>
      </c>
      <c r="D160" s="4">
        <v>2</v>
      </c>
      <c r="E160" s="4">
        <v>33</v>
      </c>
      <c r="F160" s="4">
        <v>2</v>
      </c>
      <c r="G160" s="4">
        <v>33</v>
      </c>
      <c r="H160" s="4">
        <v>0.6</v>
      </c>
      <c r="I160" s="4">
        <v>21</v>
      </c>
      <c r="J160" s="4">
        <v>0</v>
      </c>
      <c r="K160" s="4">
        <v>0.2</v>
      </c>
      <c r="L160" s="4">
        <v>0</v>
      </c>
      <c r="M160" s="4">
        <v>0.2</v>
      </c>
      <c r="N160" s="4">
        <v>0</v>
      </c>
      <c r="O160" s="4">
        <v>0</v>
      </c>
      <c r="P160" s="4">
        <v>0.8</v>
      </c>
      <c r="Q160" s="4">
        <v>0</v>
      </c>
      <c r="R160" s="4">
        <v>1</v>
      </c>
      <c r="S160" s="4">
        <v>0</v>
      </c>
      <c r="T160" s="4">
        <v>1</v>
      </c>
      <c r="U160" s="4">
        <v>0</v>
      </c>
      <c r="V160" s="4">
        <v>0</v>
      </c>
      <c r="W160" s="4">
        <v>0.5</v>
      </c>
      <c r="X160" s="4">
        <v>0</v>
      </c>
      <c r="Y160" s="4">
        <v>1</v>
      </c>
      <c r="Z160" s="4">
        <v>1</v>
      </c>
      <c r="AA160" s="4">
        <v>0</v>
      </c>
      <c r="AB160" s="4">
        <v>0</v>
      </c>
      <c r="AC160" s="4">
        <v>0</v>
      </c>
      <c r="AD160" s="10">
        <f t="shared" si="24"/>
        <v>1</v>
      </c>
      <c r="AE160" s="9"/>
      <c r="AF160" s="9"/>
      <c r="AG160" s="12">
        <f t="shared" si="33"/>
        <v>1.2</v>
      </c>
      <c r="AH160" s="12">
        <f t="shared" si="33"/>
        <v>3.1</v>
      </c>
      <c r="AI160" s="12">
        <f t="shared" si="33"/>
        <v>90.600000000000009</v>
      </c>
      <c r="AJ160" s="12">
        <f t="shared" si="23"/>
        <v>94.399999999999991</v>
      </c>
      <c r="AK160" s="12"/>
      <c r="AL160" s="12">
        <f t="shared" si="31"/>
        <v>2.4</v>
      </c>
      <c r="AM160" s="12">
        <f t="shared" si="31"/>
        <v>0</v>
      </c>
      <c r="AN160" s="12">
        <f t="shared" si="31"/>
        <v>39.1</v>
      </c>
      <c r="AO160" s="12">
        <f t="shared" si="31"/>
        <v>0</v>
      </c>
      <c r="AP160" s="12">
        <f t="shared" si="31"/>
        <v>0</v>
      </c>
      <c r="AQ160" s="12">
        <f t="shared" si="31"/>
        <v>97.5</v>
      </c>
      <c r="AR160" s="12"/>
      <c r="AS160" s="12">
        <f t="shared" si="32"/>
        <v>97.5</v>
      </c>
      <c r="AT160" s="12">
        <f t="shared" si="32"/>
        <v>0</v>
      </c>
      <c r="AU160" s="12">
        <f t="shared" si="32"/>
        <v>96.8</v>
      </c>
      <c r="AV160" s="12">
        <f t="shared" si="32"/>
        <v>0</v>
      </c>
      <c r="AW160" s="12">
        <f t="shared" si="32"/>
        <v>0</v>
      </c>
      <c r="AX160" s="12">
        <f t="shared" si="32"/>
        <v>87.5</v>
      </c>
      <c r="AY160" s="12"/>
      <c r="AZ160" s="12">
        <f t="shared" si="26"/>
        <v>9.3999999999999915</v>
      </c>
      <c r="BA160" s="12">
        <f t="shared" si="27"/>
        <v>52.800000000000004</v>
      </c>
      <c r="BB160" s="12"/>
      <c r="BC160" s="12">
        <f t="shared" si="28"/>
        <v>0</v>
      </c>
      <c r="BD160" s="12">
        <f t="shared" si="29"/>
        <v>0</v>
      </c>
      <c r="BE160" s="12">
        <f t="shared" si="30"/>
        <v>6.8999999999999915</v>
      </c>
    </row>
    <row r="161" spans="1:57" ht="15.75" customHeight="1" x14ac:dyDescent="0.25">
      <c r="A161" s="1" t="s">
        <v>269</v>
      </c>
      <c r="B161" s="3" t="s">
        <v>133</v>
      </c>
      <c r="C161" s="4" t="s">
        <v>121</v>
      </c>
      <c r="D161" s="4">
        <v>2</v>
      </c>
      <c r="E161" s="4">
        <v>31</v>
      </c>
      <c r="F161" s="4">
        <v>2</v>
      </c>
      <c r="G161" s="4">
        <v>31</v>
      </c>
      <c r="H161" s="4">
        <v>0.35299999999999998</v>
      </c>
      <c r="I161" s="4">
        <v>11.5</v>
      </c>
      <c r="J161" s="4">
        <v>0</v>
      </c>
      <c r="K161" s="4">
        <v>0.58799999999999997</v>
      </c>
      <c r="L161" s="4">
        <v>0.52900000000000003</v>
      </c>
      <c r="M161" s="4">
        <v>0</v>
      </c>
      <c r="N161" s="4">
        <v>5.8999999999999997E-2</v>
      </c>
      <c r="O161" s="4">
        <v>0</v>
      </c>
      <c r="P161" s="4">
        <v>0.41199999999999998</v>
      </c>
      <c r="Q161" s="4">
        <v>0</v>
      </c>
      <c r="R161" s="4">
        <v>0.5</v>
      </c>
      <c r="S161" s="4">
        <v>0.44400000000000001</v>
      </c>
      <c r="T161" s="4">
        <v>0</v>
      </c>
      <c r="U161" s="4">
        <v>1</v>
      </c>
      <c r="V161" s="4">
        <v>0</v>
      </c>
      <c r="W161" s="4">
        <v>0.14299999999999999</v>
      </c>
      <c r="X161" s="4">
        <v>0</v>
      </c>
      <c r="Y161" s="4">
        <v>1</v>
      </c>
      <c r="Z161" s="4">
        <v>1</v>
      </c>
      <c r="AA161" s="4">
        <v>0</v>
      </c>
      <c r="AB161" s="4">
        <v>0.57099999999999995</v>
      </c>
      <c r="AC161" s="4">
        <v>0.25</v>
      </c>
      <c r="AD161" s="10">
        <f t="shared" si="24"/>
        <v>1</v>
      </c>
      <c r="AE161" s="9"/>
      <c r="AF161" s="9"/>
      <c r="AG161" s="12">
        <f t="shared" si="33"/>
        <v>1.2</v>
      </c>
      <c r="AH161" s="12">
        <f t="shared" si="33"/>
        <v>0.6</v>
      </c>
      <c r="AI161" s="12">
        <f t="shared" si="33"/>
        <v>18</v>
      </c>
      <c r="AJ161" s="12">
        <f t="shared" si="23"/>
        <v>35.4</v>
      </c>
      <c r="AK161" s="12"/>
      <c r="AL161" s="12">
        <f t="shared" si="31"/>
        <v>44.7</v>
      </c>
      <c r="AM161" s="12">
        <f t="shared" si="31"/>
        <v>91.9</v>
      </c>
      <c r="AN161" s="12">
        <f t="shared" si="31"/>
        <v>0</v>
      </c>
      <c r="AO161" s="12">
        <f t="shared" si="31"/>
        <v>45.9</v>
      </c>
      <c r="AP161" s="12">
        <f t="shared" si="31"/>
        <v>0</v>
      </c>
      <c r="AQ161" s="12">
        <f t="shared" si="31"/>
        <v>55.2</v>
      </c>
      <c r="AR161" s="12"/>
      <c r="AS161" s="12">
        <f t="shared" si="32"/>
        <v>40.9</v>
      </c>
      <c r="AT161" s="12">
        <f t="shared" si="32"/>
        <v>18.600000000000001</v>
      </c>
      <c r="AU161" s="12">
        <f t="shared" si="32"/>
        <v>0</v>
      </c>
      <c r="AV161" s="12">
        <f t="shared" si="32"/>
        <v>91.9</v>
      </c>
      <c r="AW161" s="12">
        <f t="shared" si="32"/>
        <v>0</v>
      </c>
      <c r="AX161" s="12">
        <f t="shared" si="32"/>
        <v>18.600000000000001</v>
      </c>
      <c r="AY161" s="12"/>
      <c r="AZ161" s="12">
        <f t="shared" si="26"/>
        <v>9.3999999999999915</v>
      </c>
      <c r="BA161" s="12">
        <f t="shared" si="27"/>
        <v>52.800000000000004</v>
      </c>
      <c r="BB161" s="12"/>
      <c r="BC161" s="12">
        <f t="shared" si="28"/>
        <v>93.100000000000009</v>
      </c>
      <c r="BD161" s="12">
        <f t="shared" si="29"/>
        <v>52.7</v>
      </c>
      <c r="BE161" s="12">
        <f t="shared" si="30"/>
        <v>6.8999999999999915</v>
      </c>
    </row>
    <row r="162" spans="1:57" ht="15.75" customHeight="1" x14ac:dyDescent="0.25">
      <c r="A162" s="1" t="s">
        <v>268</v>
      </c>
      <c r="B162" s="3" t="s">
        <v>139</v>
      </c>
      <c r="C162" s="4" t="s">
        <v>8</v>
      </c>
      <c r="D162" s="4">
        <v>4</v>
      </c>
      <c r="E162" s="4">
        <v>31</v>
      </c>
      <c r="F162" s="4">
        <v>4</v>
      </c>
      <c r="G162" s="4">
        <v>31</v>
      </c>
      <c r="H162" s="4">
        <v>0.44400000000000001</v>
      </c>
      <c r="I162" s="4">
        <v>19.3</v>
      </c>
      <c r="J162" s="4">
        <v>0</v>
      </c>
      <c r="K162" s="4">
        <v>0.222</v>
      </c>
      <c r="L162" s="4">
        <v>0.111</v>
      </c>
      <c r="M162" s="4">
        <v>0.111</v>
      </c>
      <c r="N162" s="4">
        <v>0</v>
      </c>
      <c r="O162" s="4">
        <v>0</v>
      </c>
      <c r="P162" s="4">
        <v>0.77800000000000002</v>
      </c>
      <c r="Q162" s="4">
        <v>0</v>
      </c>
      <c r="R162" s="4">
        <v>0.5</v>
      </c>
      <c r="S162" s="4">
        <v>1</v>
      </c>
      <c r="T162" s="4">
        <v>0</v>
      </c>
      <c r="U162" s="4">
        <v>0</v>
      </c>
      <c r="V162" s="4">
        <v>0</v>
      </c>
      <c r="W162" s="4">
        <v>0.42899999999999999</v>
      </c>
      <c r="X162" s="4">
        <v>0</v>
      </c>
      <c r="Y162" s="4">
        <v>1</v>
      </c>
      <c r="Z162" s="4">
        <v>1</v>
      </c>
      <c r="AA162" s="4">
        <v>0</v>
      </c>
      <c r="AB162" s="4">
        <v>0.71399999999999997</v>
      </c>
      <c r="AC162" s="4">
        <v>0.4</v>
      </c>
      <c r="AD162" s="10">
        <f t="shared" si="24"/>
        <v>1</v>
      </c>
      <c r="AE162" s="9"/>
      <c r="AF162" s="9"/>
      <c r="AG162" s="12">
        <f t="shared" si="33"/>
        <v>10.5</v>
      </c>
      <c r="AH162" s="12">
        <f t="shared" si="33"/>
        <v>0.6</v>
      </c>
      <c r="AI162" s="12">
        <f t="shared" si="33"/>
        <v>45.9</v>
      </c>
      <c r="AJ162" s="12">
        <f t="shared" si="23"/>
        <v>90.600000000000009</v>
      </c>
      <c r="AK162" s="12"/>
      <c r="AL162" s="12">
        <f t="shared" si="31"/>
        <v>3.1</v>
      </c>
      <c r="AM162" s="12">
        <f t="shared" si="31"/>
        <v>19.8</v>
      </c>
      <c r="AN162" s="12">
        <f t="shared" si="31"/>
        <v>19.2</v>
      </c>
      <c r="AO162" s="12">
        <f t="shared" si="31"/>
        <v>0</v>
      </c>
      <c r="AP162" s="12">
        <f t="shared" si="31"/>
        <v>0</v>
      </c>
      <c r="AQ162" s="12">
        <f t="shared" si="31"/>
        <v>96.2</v>
      </c>
      <c r="AR162" s="12"/>
      <c r="AS162" s="12">
        <f t="shared" si="32"/>
        <v>40.9</v>
      </c>
      <c r="AT162" s="12">
        <f t="shared" si="32"/>
        <v>88.1</v>
      </c>
      <c r="AU162" s="12">
        <f t="shared" si="32"/>
        <v>0</v>
      </c>
      <c r="AV162" s="12">
        <f t="shared" si="32"/>
        <v>0</v>
      </c>
      <c r="AW162" s="12">
        <f t="shared" si="32"/>
        <v>0</v>
      </c>
      <c r="AX162" s="12">
        <f t="shared" si="32"/>
        <v>77</v>
      </c>
      <c r="AY162" s="12"/>
      <c r="AZ162" s="12">
        <f t="shared" si="26"/>
        <v>9.3999999999999915</v>
      </c>
      <c r="BA162" s="12">
        <f t="shared" si="27"/>
        <v>52.800000000000004</v>
      </c>
      <c r="BB162" s="12"/>
      <c r="BC162" s="12">
        <f t="shared" si="28"/>
        <v>97.5</v>
      </c>
      <c r="BD162" s="12">
        <f t="shared" si="29"/>
        <v>66.400000000000006</v>
      </c>
      <c r="BE162" s="12">
        <f t="shared" si="30"/>
        <v>6.8999999999999915</v>
      </c>
    </row>
    <row r="163" spans="1:57" ht="15.75" customHeight="1" x14ac:dyDescent="0.25">
      <c r="A163" s="1" t="s">
        <v>266</v>
      </c>
      <c r="B163" s="3" t="s">
        <v>86</v>
      </c>
      <c r="C163" s="4" t="s">
        <v>87</v>
      </c>
      <c r="D163" s="4">
        <v>2</v>
      </c>
      <c r="E163" s="4">
        <v>31</v>
      </c>
      <c r="F163" s="4">
        <v>2</v>
      </c>
      <c r="G163" s="4">
        <v>31</v>
      </c>
      <c r="H163" s="4">
        <v>0.4</v>
      </c>
      <c r="I163" s="4">
        <v>17.8</v>
      </c>
      <c r="J163" s="4">
        <v>0</v>
      </c>
      <c r="K163" s="4">
        <v>0.3</v>
      </c>
      <c r="L163" s="4">
        <v>0.2</v>
      </c>
      <c r="M163" s="4">
        <v>0.1</v>
      </c>
      <c r="N163" s="4">
        <v>0</v>
      </c>
      <c r="O163" s="4">
        <v>0</v>
      </c>
      <c r="P163" s="4">
        <v>0.7</v>
      </c>
      <c r="Q163" s="4">
        <v>0</v>
      </c>
      <c r="R163" s="4">
        <v>0.66700000000000004</v>
      </c>
      <c r="S163" s="4">
        <v>1</v>
      </c>
      <c r="T163" s="4">
        <v>0</v>
      </c>
      <c r="U163" s="4">
        <v>0</v>
      </c>
      <c r="V163" s="4">
        <v>0</v>
      </c>
      <c r="W163" s="4">
        <v>0.28599999999999998</v>
      </c>
      <c r="X163" s="4">
        <v>0</v>
      </c>
      <c r="Y163" s="4">
        <v>1</v>
      </c>
      <c r="Z163" s="4">
        <v>1</v>
      </c>
      <c r="AA163" s="4">
        <v>0</v>
      </c>
      <c r="AB163" s="4">
        <v>0.57099999999999995</v>
      </c>
      <c r="AC163" s="4">
        <v>0</v>
      </c>
      <c r="AD163" s="10">
        <f t="shared" si="24"/>
        <v>1</v>
      </c>
      <c r="AE163" s="9"/>
      <c r="AF163" s="9"/>
      <c r="AG163" s="12">
        <f t="shared" si="33"/>
        <v>1.2</v>
      </c>
      <c r="AH163" s="12">
        <f t="shared" si="33"/>
        <v>0.6</v>
      </c>
      <c r="AI163" s="12">
        <f t="shared" si="33"/>
        <v>28.499999999999996</v>
      </c>
      <c r="AJ163" s="12">
        <f t="shared" si="23"/>
        <v>81.3</v>
      </c>
      <c r="AK163" s="12"/>
      <c r="AL163" s="12">
        <f t="shared" si="31"/>
        <v>9.3000000000000007</v>
      </c>
      <c r="AM163" s="12">
        <f t="shared" si="31"/>
        <v>41.6</v>
      </c>
      <c r="AN163" s="12">
        <f t="shared" si="31"/>
        <v>17.299999999999997</v>
      </c>
      <c r="AO163" s="12">
        <f t="shared" si="31"/>
        <v>0</v>
      </c>
      <c r="AP163" s="12">
        <f t="shared" si="31"/>
        <v>0</v>
      </c>
      <c r="AQ163" s="12">
        <f t="shared" si="31"/>
        <v>90</v>
      </c>
      <c r="AR163" s="12"/>
      <c r="AS163" s="12">
        <f t="shared" si="32"/>
        <v>85.7</v>
      </c>
      <c r="AT163" s="12">
        <f t="shared" si="32"/>
        <v>88.1</v>
      </c>
      <c r="AU163" s="12">
        <f t="shared" si="32"/>
        <v>0</v>
      </c>
      <c r="AV163" s="12">
        <f t="shared" si="32"/>
        <v>0</v>
      </c>
      <c r="AW163" s="12">
        <f t="shared" si="32"/>
        <v>0</v>
      </c>
      <c r="AX163" s="12">
        <f t="shared" si="32"/>
        <v>39.700000000000003</v>
      </c>
      <c r="AY163" s="12"/>
      <c r="AZ163" s="12">
        <f t="shared" si="26"/>
        <v>9.3999999999999915</v>
      </c>
      <c r="BA163" s="12">
        <f t="shared" si="27"/>
        <v>52.800000000000004</v>
      </c>
      <c r="BB163" s="12"/>
      <c r="BC163" s="12">
        <f t="shared" si="28"/>
        <v>93.100000000000009</v>
      </c>
      <c r="BD163" s="12">
        <f t="shared" si="29"/>
        <v>0</v>
      </c>
      <c r="BE163" s="12">
        <f t="shared" si="30"/>
        <v>6.8999999999999915</v>
      </c>
    </row>
    <row r="164" spans="1:57" ht="15.75" customHeight="1" x14ac:dyDescent="0.25">
      <c r="A164" s="1" t="s">
        <v>267</v>
      </c>
      <c r="B164" s="3" t="s">
        <v>86</v>
      </c>
      <c r="C164" s="4" t="s">
        <v>8</v>
      </c>
      <c r="D164" s="4">
        <v>1</v>
      </c>
      <c r="E164" s="4">
        <v>31</v>
      </c>
      <c r="F164" s="4">
        <v>1</v>
      </c>
      <c r="G164" s="4">
        <v>31</v>
      </c>
      <c r="H164" s="4">
        <v>0.26700000000000002</v>
      </c>
      <c r="I164" s="4">
        <v>13.5</v>
      </c>
      <c r="J164" s="4">
        <v>0</v>
      </c>
      <c r="K164" s="4">
        <v>0.66700000000000004</v>
      </c>
      <c r="L164" s="4">
        <v>0.2</v>
      </c>
      <c r="M164" s="4">
        <v>0.26700000000000002</v>
      </c>
      <c r="N164" s="4">
        <v>0.13300000000000001</v>
      </c>
      <c r="O164" s="4">
        <v>6.7000000000000004E-2</v>
      </c>
      <c r="P164" s="4">
        <v>0.33300000000000002</v>
      </c>
      <c r="Q164" s="4">
        <v>0</v>
      </c>
      <c r="R164" s="4">
        <v>0.2</v>
      </c>
      <c r="S164" s="4">
        <v>0.33300000000000002</v>
      </c>
      <c r="T164" s="4">
        <v>0</v>
      </c>
      <c r="U164" s="4">
        <v>0.5</v>
      </c>
      <c r="V164" s="4">
        <v>0</v>
      </c>
      <c r="W164" s="4">
        <v>0.4</v>
      </c>
      <c r="X164" s="4">
        <v>0</v>
      </c>
      <c r="Y164" s="4">
        <v>0.5</v>
      </c>
      <c r="Z164" s="4">
        <v>0.5</v>
      </c>
      <c r="AA164" s="4">
        <v>0</v>
      </c>
      <c r="AB164" s="4">
        <v>0.2</v>
      </c>
      <c r="AC164" s="4">
        <v>0</v>
      </c>
      <c r="AD164" s="10">
        <f t="shared" si="24"/>
        <v>0.5</v>
      </c>
      <c r="AE164" s="9"/>
      <c r="AF164" s="9"/>
      <c r="AG164" s="12">
        <f t="shared" si="33"/>
        <v>0</v>
      </c>
      <c r="AH164" s="12">
        <f t="shared" si="33"/>
        <v>0.6</v>
      </c>
      <c r="AI164" s="12">
        <f t="shared" si="33"/>
        <v>2.4</v>
      </c>
      <c r="AJ164" s="12">
        <f t="shared" si="23"/>
        <v>49</v>
      </c>
      <c r="AK164" s="12"/>
      <c r="AL164" s="12">
        <f t="shared" si="31"/>
        <v>61.4</v>
      </c>
      <c r="AM164" s="12">
        <f t="shared" si="31"/>
        <v>41.6</v>
      </c>
      <c r="AN164" s="12">
        <f t="shared" si="31"/>
        <v>62.1</v>
      </c>
      <c r="AO164" s="12">
        <f t="shared" si="31"/>
        <v>80.7</v>
      </c>
      <c r="AP164" s="12">
        <f t="shared" si="31"/>
        <v>72</v>
      </c>
      <c r="AQ164" s="12">
        <f t="shared" si="31"/>
        <v>36.6</v>
      </c>
      <c r="AR164" s="12"/>
      <c r="AS164" s="12">
        <f t="shared" si="32"/>
        <v>2.4</v>
      </c>
      <c r="AT164" s="12">
        <f t="shared" si="32"/>
        <v>12.4</v>
      </c>
      <c r="AU164" s="12">
        <f t="shared" si="32"/>
        <v>0</v>
      </c>
      <c r="AV164" s="12">
        <f t="shared" si="32"/>
        <v>72.599999999999994</v>
      </c>
      <c r="AW164" s="12">
        <f t="shared" si="32"/>
        <v>0</v>
      </c>
      <c r="AX164" s="12">
        <f t="shared" si="32"/>
        <v>70.8</v>
      </c>
      <c r="AY164" s="12"/>
      <c r="AZ164" s="12">
        <f t="shared" si="26"/>
        <v>70.900000000000006</v>
      </c>
      <c r="BA164" s="12">
        <f t="shared" si="27"/>
        <v>82</v>
      </c>
      <c r="BB164" s="12"/>
      <c r="BC164" s="12">
        <f t="shared" si="28"/>
        <v>50.3</v>
      </c>
      <c r="BD164" s="12">
        <f t="shared" si="29"/>
        <v>0</v>
      </c>
      <c r="BE164" s="12">
        <f t="shared" si="30"/>
        <v>85.1</v>
      </c>
    </row>
    <row r="165" spans="1:57" ht="15.75" customHeight="1" x14ac:dyDescent="0.25">
      <c r="A165" s="1" t="s">
        <v>217</v>
      </c>
      <c r="B165" s="3" t="s">
        <v>244</v>
      </c>
      <c r="C165" s="4" t="s">
        <v>8</v>
      </c>
      <c r="D165" s="4">
        <v>2</v>
      </c>
      <c r="E165" s="4">
        <v>30</v>
      </c>
      <c r="F165" s="4">
        <v>2</v>
      </c>
      <c r="G165" s="4">
        <v>30</v>
      </c>
      <c r="H165" s="4">
        <v>0.5</v>
      </c>
      <c r="I165" s="4">
        <v>18.2</v>
      </c>
      <c r="J165" s="4">
        <v>0</v>
      </c>
      <c r="K165" s="4">
        <v>0.3</v>
      </c>
      <c r="L165" s="4">
        <v>0</v>
      </c>
      <c r="M165" s="4">
        <v>0.3</v>
      </c>
      <c r="N165" s="4">
        <v>0</v>
      </c>
      <c r="O165" s="4">
        <v>0</v>
      </c>
      <c r="P165" s="4">
        <v>0.7</v>
      </c>
      <c r="Q165" s="4">
        <v>0</v>
      </c>
      <c r="R165" s="4">
        <v>0.33300000000000002</v>
      </c>
      <c r="S165" s="4">
        <v>0</v>
      </c>
      <c r="T165" s="4">
        <v>0.33300000000000002</v>
      </c>
      <c r="U165" s="4">
        <v>0</v>
      </c>
      <c r="V165" s="4">
        <v>0</v>
      </c>
      <c r="W165" s="4">
        <v>0.57099999999999995</v>
      </c>
      <c r="X165" s="4">
        <v>0</v>
      </c>
      <c r="Y165" s="4">
        <v>0</v>
      </c>
      <c r="Z165" s="4">
        <v>0.25</v>
      </c>
      <c r="AA165" s="4">
        <v>0</v>
      </c>
      <c r="AB165" s="4">
        <v>0</v>
      </c>
      <c r="AC165" s="4">
        <v>0</v>
      </c>
      <c r="AD165" s="10">
        <f t="shared" si="24"/>
        <v>0.17499999999999999</v>
      </c>
      <c r="AE165" s="9"/>
      <c r="AF165" s="9"/>
      <c r="AG165" s="12">
        <f t="shared" si="33"/>
        <v>1.2</v>
      </c>
      <c r="AH165" s="12">
        <f t="shared" si="33"/>
        <v>0</v>
      </c>
      <c r="AI165" s="12">
        <f t="shared" si="33"/>
        <v>65.2</v>
      </c>
      <c r="AJ165" s="12">
        <f t="shared" si="23"/>
        <v>84.399999999999991</v>
      </c>
      <c r="AK165" s="12"/>
      <c r="AL165" s="12">
        <f t="shared" si="31"/>
        <v>9.3000000000000007</v>
      </c>
      <c r="AM165" s="12">
        <f t="shared" si="31"/>
        <v>0</v>
      </c>
      <c r="AN165" s="12">
        <f t="shared" si="31"/>
        <v>68.300000000000011</v>
      </c>
      <c r="AO165" s="12">
        <f t="shared" si="31"/>
        <v>0</v>
      </c>
      <c r="AP165" s="12">
        <f t="shared" si="31"/>
        <v>0</v>
      </c>
      <c r="AQ165" s="12">
        <f t="shared" si="31"/>
        <v>90</v>
      </c>
      <c r="AR165" s="12"/>
      <c r="AS165" s="12">
        <f t="shared" si="32"/>
        <v>6.8000000000000007</v>
      </c>
      <c r="AT165" s="12">
        <f t="shared" si="32"/>
        <v>0</v>
      </c>
      <c r="AU165" s="12">
        <f t="shared" si="32"/>
        <v>29.099999999999998</v>
      </c>
      <c r="AV165" s="12">
        <f t="shared" si="32"/>
        <v>0</v>
      </c>
      <c r="AW165" s="12">
        <f t="shared" si="32"/>
        <v>0</v>
      </c>
      <c r="AX165" s="12">
        <f t="shared" si="32"/>
        <v>95.6</v>
      </c>
      <c r="AY165" s="12"/>
      <c r="AZ165" s="12">
        <f t="shared" si="26"/>
        <v>100</v>
      </c>
      <c r="BA165" s="12">
        <f t="shared" si="27"/>
        <v>83.9</v>
      </c>
      <c r="BB165" s="12"/>
      <c r="BC165" s="12">
        <f t="shared" si="28"/>
        <v>0</v>
      </c>
      <c r="BD165" s="12">
        <f t="shared" si="29"/>
        <v>0</v>
      </c>
      <c r="BE165" s="12">
        <f t="shared" si="30"/>
        <v>99.4</v>
      </c>
    </row>
    <row r="166" spans="1:57" ht="15.75" customHeight="1" x14ac:dyDescent="0.25">
      <c r="A166" s="1"/>
      <c r="B166" s="3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10"/>
      <c r="AE166" s="9"/>
      <c r="AF166" s="9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</row>
    <row r="167" spans="1:57" ht="15.75" customHeight="1" x14ac:dyDescent="0.25">
      <c r="A167" s="1"/>
      <c r="B167" s="3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10"/>
      <c r="AE167" s="9"/>
      <c r="AF167" s="9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</row>
    <row r="168" spans="1:57" ht="15.75" customHeight="1" x14ac:dyDescent="0.25">
      <c r="A168" s="1"/>
      <c r="B168" s="3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10"/>
      <c r="AE168" s="9"/>
      <c r="AF168" s="9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</row>
    <row r="169" spans="1:57" ht="15.75" customHeight="1" x14ac:dyDescent="0.25">
      <c r="A169" s="1"/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10"/>
      <c r="AE169" s="9"/>
      <c r="AF169" s="9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</row>
    <row r="170" spans="1:57" ht="15.75" customHeight="1" x14ac:dyDescent="0.25">
      <c r="A170" s="1"/>
      <c r="B170" s="3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10"/>
      <c r="AE170" s="9"/>
      <c r="AF170" s="9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</row>
    <row r="171" spans="1:57" ht="15.75" customHeight="1" x14ac:dyDescent="0.25">
      <c r="A171" s="1"/>
      <c r="B171" s="3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10"/>
      <c r="AE171" s="9"/>
      <c r="AF171" s="9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</row>
    <row r="172" spans="1:57" ht="15.75" customHeight="1" x14ac:dyDescent="0.25">
      <c r="A172" s="1"/>
      <c r="B172" s="3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10"/>
      <c r="AE172" s="9"/>
      <c r="AF172" s="9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</row>
    <row r="173" spans="1:57" ht="15.75" customHeight="1" x14ac:dyDescent="0.25">
      <c r="A173" s="1"/>
      <c r="B173" s="3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10"/>
      <c r="AE173" s="9"/>
      <c r="AF173" s="9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</row>
    <row r="174" spans="1:57" ht="15.75" customHeight="1" x14ac:dyDescent="0.25">
      <c r="A174" s="1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10"/>
      <c r="AE174" s="9"/>
      <c r="AF174" s="9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</row>
    <row r="175" spans="1:57" ht="15.75" customHeight="1" x14ac:dyDescent="0.25">
      <c r="A175" s="1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10"/>
      <c r="AE175" s="9"/>
      <c r="AF175" s="9"/>
      <c r="AG175" s="12"/>
      <c r="AH175" s="12"/>
      <c r="AI175" s="12"/>
      <c r="AJ175" s="12"/>
      <c r="AK175" s="9"/>
      <c r="AL175" s="12"/>
      <c r="AM175" s="12"/>
      <c r="AN175" s="12"/>
      <c r="AO175" s="12"/>
      <c r="AP175" s="12"/>
      <c r="AQ175" s="12"/>
      <c r="AR175" s="9"/>
      <c r="AS175" s="12"/>
      <c r="AT175" s="12"/>
      <c r="AU175" s="12"/>
      <c r="AV175" s="12"/>
      <c r="AW175" s="12"/>
      <c r="AX175" s="12"/>
      <c r="AY175" s="9"/>
      <c r="AZ175" s="12"/>
      <c r="BA175" s="12"/>
      <c r="BB175" s="9"/>
      <c r="BC175" s="12"/>
      <c r="BD175" s="12"/>
      <c r="BE175" s="12"/>
    </row>
    <row r="176" spans="1:57" ht="15.75" customHeight="1" x14ac:dyDescent="0.25">
      <c r="A176" s="1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10"/>
      <c r="AE176" s="9"/>
      <c r="AF176" s="9"/>
      <c r="AG176" s="12"/>
      <c r="AH176" s="12"/>
      <c r="AI176" s="12"/>
      <c r="AJ176" s="12"/>
      <c r="AK176" s="9"/>
      <c r="AL176" s="12"/>
      <c r="AM176" s="12"/>
      <c r="AN176" s="12"/>
      <c r="AO176" s="12"/>
      <c r="AP176" s="12"/>
      <c r="AQ176" s="12"/>
      <c r="AR176" s="9"/>
      <c r="AS176" s="12"/>
      <c r="AT176" s="12"/>
      <c r="AU176" s="12"/>
      <c r="AV176" s="12"/>
      <c r="AW176" s="12"/>
      <c r="AX176" s="12"/>
      <c r="AY176" s="9"/>
      <c r="AZ176" s="12"/>
      <c r="BA176" s="12"/>
      <c r="BB176" s="9"/>
      <c r="BC176" s="12"/>
      <c r="BD176" s="12"/>
      <c r="BE176" s="12"/>
    </row>
    <row r="177" spans="1:57" ht="15.75" customHeight="1" x14ac:dyDescent="0.25">
      <c r="A177" s="1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10"/>
      <c r="AE177" s="9"/>
      <c r="AF177" s="9"/>
      <c r="AG177" s="12"/>
      <c r="AH177" s="12"/>
      <c r="AI177" s="12"/>
      <c r="AJ177" s="12"/>
      <c r="AK177" s="9"/>
      <c r="AL177" s="12"/>
      <c r="AM177" s="12"/>
      <c r="AN177" s="12"/>
      <c r="AO177" s="12"/>
      <c r="AP177" s="12"/>
      <c r="AQ177" s="12"/>
      <c r="AR177" s="9"/>
      <c r="AS177" s="12"/>
      <c r="AT177" s="12"/>
      <c r="AU177" s="12"/>
      <c r="AV177" s="12"/>
      <c r="AW177" s="12"/>
      <c r="AX177" s="12"/>
      <c r="AY177" s="9"/>
      <c r="AZ177" s="12"/>
      <c r="BA177" s="12"/>
      <c r="BB177" s="9"/>
      <c r="BC177" s="12"/>
      <c r="BD177" s="12"/>
      <c r="BE177" s="12"/>
    </row>
    <row r="178" spans="1:57" ht="15.75" customHeight="1" x14ac:dyDescent="0.25">
      <c r="A178" s="1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10"/>
      <c r="AE178" s="9"/>
      <c r="AF178" s="9"/>
      <c r="AG178" s="12"/>
      <c r="AH178" s="12"/>
      <c r="AI178" s="12"/>
      <c r="AJ178" s="12"/>
      <c r="AK178" s="9"/>
      <c r="AL178" s="12"/>
      <c r="AM178" s="12"/>
      <c r="AN178" s="12"/>
      <c r="AO178" s="12"/>
      <c r="AP178" s="12"/>
      <c r="AQ178" s="12"/>
      <c r="AR178" s="9"/>
      <c r="AS178" s="12"/>
      <c r="AT178" s="12"/>
      <c r="AU178" s="12"/>
      <c r="AV178" s="12"/>
      <c r="AW178" s="12"/>
      <c r="AX178" s="12"/>
      <c r="AY178" s="9"/>
      <c r="AZ178" s="12"/>
      <c r="BA178" s="12"/>
      <c r="BB178" s="9"/>
      <c r="BC178" s="12"/>
      <c r="BD178" s="12"/>
      <c r="BE178" s="12"/>
    </row>
    <row r="179" spans="1:57" ht="15.75" customHeight="1" x14ac:dyDescent="0.25">
      <c r="A179" s="1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10"/>
      <c r="AE179" s="9"/>
      <c r="AF179" s="9"/>
      <c r="AG179" s="12"/>
      <c r="AH179" s="12"/>
      <c r="AI179" s="12"/>
      <c r="AJ179" s="12"/>
      <c r="AK179" s="9"/>
      <c r="AL179" s="12"/>
      <c r="AM179" s="12"/>
      <c r="AN179" s="12"/>
      <c r="AO179" s="12"/>
      <c r="AP179" s="12"/>
      <c r="AQ179" s="12"/>
      <c r="AR179" s="9"/>
      <c r="AS179" s="12"/>
      <c r="AT179" s="12"/>
      <c r="AU179" s="12"/>
      <c r="AV179" s="12"/>
      <c r="AW179" s="12"/>
      <c r="AX179" s="12"/>
      <c r="AY179" s="9"/>
      <c r="AZ179" s="12"/>
      <c r="BA179" s="12"/>
      <c r="BB179" s="9"/>
      <c r="BC179" s="12"/>
      <c r="BD179" s="12"/>
      <c r="BE179" s="12"/>
    </row>
    <row r="180" spans="1:57" ht="15.75" customHeight="1" x14ac:dyDescent="0.25">
      <c r="A180" s="1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10"/>
      <c r="AE180" s="9"/>
      <c r="AF180" s="9"/>
      <c r="AG180" s="12"/>
      <c r="AH180" s="12"/>
      <c r="AI180" s="12"/>
      <c r="AJ180" s="12"/>
      <c r="AK180" s="9"/>
      <c r="AL180" s="12"/>
      <c r="AM180" s="12"/>
      <c r="AN180" s="12"/>
      <c r="AO180" s="12"/>
      <c r="AP180" s="12"/>
      <c r="AQ180" s="12"/>
      <c r="AR180" s="9"/>
      <c r="AS180" s="12"/>
      <c r="AT180" s="12"/>
      <c r="AU180" s="12"/>
      <c r="AV180" s="12"/>
      <c r="AW180" s="12"/>
      <c r="AX180" s="12"/>
      <c r="AY180" s="9"/>
      <c r="AZ180" s="12"/>
      <c r="BA180" s="12"/>
      <c r="BB180" s="9"/>
      <c r="BC180" s="12"/>
      <c r="BD180" s="12"/>
      <c r="BE180" s="12"/>
    </row>
    <row r="181" spans="1:57" ht="15.75" customHeight="1" x14ac:dyDescent="0.25">
      <c r="A181" s="1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10"/>
      <c r="AE181" s="9"/>
      <c r="AF181" s="9"/>
      <c r="AG181" s="12"/>
      <c r="AH181" s="12"/>
      <c r="AI181" s="12"/>
      <c r="AJ181" s="12"/>
      <c r="AK181" s="9"/>
      <c r="AL181" s="12"/>
      <c r="AM181" s="12"/>
      <c r="AN181" s="12"/>
      <c r="AO181" s="12"/>
      <c r="AP181" s="12"/>
      <c r="AQ181" s="12"/>
      <c r="AR181" s="9"/>
      <c r="AS181" s="12"/>
      <c r="AT181" s="12"/>
      <c r="AU181" s="12"/>
      <c r="AV181" s="12"/>
      <c r="AW181" s="12"/>
      <c r="AX181" s="12"/>
      <c r="AY181" s="9"/>
      <c r="AZ181" s="12"/>
      <c r="BA181" s="12"/>
      <c r="BB181" s="9"/>
      <c r="BC181" s="12"/>
      <c r="BD181" s="12"/>
      <c r="BE181" s="12"/>
    </row>
    <row r="182" spans="1:57" ht="15.75" customHeight="1" x14ac:dyDescent="0.25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/>
      <c r="AE182" s="9"/>
      <c r="AF182" s="9"/>
      <c r="AG182" s="12"/>
      <c r="AH182" s="12"/>
      <c r="AI182" s="12"/>
      <c r="AJ182" s="12"/>
      <c r="AK182" s="9"/>
      <c r="AL182" s="12"/>
      <c r="AM182" s="12"/>
      <c r="AN182" s="12"/>
      <c r="AO182" s="12"/>
      <c r="AP182" s="12"/>
      <c r="AQ182" s="12"/>
      <c r="AR182" s="9"/>
      <c r="AS182" s="12"/>
      <c r="AT182" s="12"/>
      <c r="AU182" s="12"/>
      <c r="AV182" s="12"/>
      <c r="AW182" s="12"/>
      <c r="AX182" s="12"/>
      <c r="AY182" s="9"/>
      <c r="AZ182" s="12"/>
      <c r="BA182" s="12"/>
      <c r="BB182" s="9"/>
      <c r="BC182" s="12"/>
      <c r="BD182" s="12"/>
      <c r="BE182" s="12"/>
    </row>
    <row r="183" spans="1:57" ht="15.75" customHeight="1" x14ac:dyDescent="0.25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/>
      <c r="AE183" s="9"/>
      <c r="AF183" s="9"/>
      <c r="AG183" s="12"/>
      <c r="AH183" s="12"/>
      <c r="AI183" s="12"/>
      <c r="AJ183" s="12"/>
      <c r="AK183" s="9"/>
      <c r="AL183" s="12"/>
      <c r="AM183" s="12"/>
      <c r="AN183" s="12"/>
      <c r="AO183" s="12"/>
      <c r="AP183" s="12"/>
      <c r="AQ183" s="12"/>
      <c r="AR183" s="9"/>
      <c r="AS183" s="12"/>
      <c r="AT183" s="12"/>
      <c r="AU183" s="12"/>
      <c r="AV183" s="12"/>
      <c r="AW183" s="12"/>
      <c r="AX183" s="12"/>
      <c r="AY183" s="9"/>
      <c r="AZ183" s="12"/>
      <c r="BA183" s="12"/>
      <c r="BB183" s="9"/>
      <c r="BC183" s="12"/>
      <c r="BD183" s="12"/>
      <c r="BE183" s="12"/>
    </row>
    <row r="184" spans="1:57" ht="15.75" customHeight="1" x14ac:dyDescent="0.25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/>
      <c r="AE184" s="9"/>
      <c r="AF184" s="9"/>
      <c r="AG184" s="12"/>
      <c r="AH184" s="12"/>
      <c r="AI184" s="12"/>
      <c r="AJ184" s="12"/>
      <c r="AK184" s="9"/>
      <c r="AL184" s="12"/>
      <c r="AM184" s="12"/>
      <c r="AN184" s="12"/>
      <c r="AO184" s="12"/>
      <c r="AP184" s="12"/>
      <c r="AQ184" s="12"/>
      <c r="AR184" s="9"/>
      <c r="AS184" s="12"/>
      <c r="AT184" s="12"/>
      <c r="AU184" s="12"/>
      <c r="AV184" s="12"/>
      <c r="AW184" s="12"/>
      <c r="AX184" s="12"/>
      <c r="AY184" s="9"/>
      <c r="AZ184" s="12"/>
      <c r="BA184" s="12"/>
      <c r="BB184" s="9"/>
      <c r="BC184" s="12"/>
      <c r="BD184" s="12"/>
      <c r="BE184" s="12"/>
    </row>
    <row r="185" spans="1:57" ht="15.75" customHeight="1" x14ac:dyDescent="0.25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/>
      <c r="AE185" s="9"/>
      <c r="AF185" s="9"/>
      <c r="AG185" s="12"/>
      <c r="AH185" s="12"/>
      <c r="AI185" s="12"/>
      <c r="AJ185" s="12"/>
      <c r="AK185" s="9"/>
      <c r="AL185" s="12"/>
      <c r="AM185" s="12"/>
      <c r="AN185" s="12"/>
      <c r="AO185" s="12"/>
      <c r="AP185" s="12"/>
      <c r="AQ185" s="12"/>
      <c r="AR185" s="9"/>
      <c r="AS185" s="12"/>
      <c r="AT185" s="12"/>
      <c r="AU185" s="12"/>
      <c r="AV185" s="12"/>
      <c r="AW185" s="12"/>
      <c r="AX185" s="12"/>
      <c r="AY185" s="9"/>
      <c r="AZ185" s="12"/>
      <c r="BA185" s="12"/>
      <c r="BB185" s="9"/>
      <c r="BC185" s="12"/>
      <c r="BD185" s="12"/>
      <c r="BE185" s="12"/>
    </row>
    <row r="186" spans="1:57" ht="15.75" customHeight="1" x14ac:dyDescent="0.25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 x14ac:dyDescent="0.25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 x14ac:dyDescent="0.25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 x14ac:dyDescent="0.25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 x14ac:dyDescent="0.25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 x14ac:dyDescent="0.25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 x14ac:dyDescent="0.25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 x14ac:dyDescent="0.25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 x14ac:dyDescent="0.25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 x14ac:dyDescent="0.25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 x14ac:dyDescent="0.25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 x14ac:dyDescent="0.25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 x14ac:dyDescent="0.25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 x14ac:dyDescent="0.25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 x14ac:dyDescent="0.25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 x14ac:dyDescent="0.25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 x14ac:dyDescent="0.25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 x14ac:dyDescent="0.25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 x14ac:dyDescent="0.25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 x14ac:dyDescent="0.25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 x14ac:dyDescent="0.25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 x14ac:dyDescent="0.25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 x14ac:dyDescent="0.25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 x14ac:dyDescent="0.25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 x14ac:dyDescent="0.25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 x14ac:dyDescent="0.25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 x14ac:dyDescent="0.25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 x14ac:dyDescent="0.25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 x14ac:dyDescent="0.25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 x14ac:dyDescent="0.25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 x14ac:dyDescent="0.25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 x14ac:dyDescent="0.25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 x14ac:dyDescent="0.25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 x14ac:dyDescent="0.25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 x14ac:dyDescent="0.25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 x14ac:dyDescent="0.25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 x14ac:dyDescent="0.25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 x14ac:dyDescent="0.25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 x14ac:dyDescent="0.25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 x14ac:dyDescent="0.25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 x14ac:dyDescent="0.25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 x14ac:dyDescent="0.25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 x14ac:dyDescent="0.25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 x14ac:dyDescent="0.25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 x14ac:dyDescent="0.25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 x14ac:dyDescent="0.25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 x14ac:dyDescent="0.25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 x14ac:dyDescent="0.25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 x14ac:dyDescent="0.25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 x14ac:dyDescent="0.25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 x14ac:dyDescent="0.25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 x14ac:dyDescent="0.25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 x14ac:dyDescent="0.25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 x14ac:dyDescent="0.25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 x14ac:dyDescent="0.25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 x14ac:dyDescent="0.25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 x14ac:dyDescent="0.25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 x14ac:dyDescent="0.25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 x14ac:dyDescent="0.25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 x14ac:dyDescent="0.25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 x14ac:dyDescent="0.25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 x14ac:dyDescent="0.25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 x14ac:dyDescent="0.25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 x14ac:dyDescent="0.25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 x14ac:dyDescent="0.25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 x14ac:dyDescent="0.25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 x14ac:dyDescent="0.25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 x14ac:dyDescent="0.25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 x14ac:dyDescent="0.25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 x14ac:dyDescent="0.25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 x14ac:dyDescent="0.25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 x14ac:dyDescent="0.25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 x14ac:dyDescent="0.25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 x14ac:dyDescent="0.25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 x14ac:dyDescent="0.25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 x14ac:dyDescent="0.25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 x14ac:dyDescent="0.25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 x14ac:dyDescent="0.25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 x14ac:dyDescent="0.25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 x14ac:dyDescent="0.25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 x14ac:dyDescent="0.25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 x14ac:dyDescent="0.25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 x14ac:dyDescent="0.25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 x14ac:dyDescent="0.25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 x14ac:dyDescent="0.25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 x14ac:dyDescent="0.25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 x14ac:dyDescent="0.25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 x14ac:dyDescent="0.25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 x14ac:dyDescent="0.25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 x14ac:dyDescent="0.25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 x14ac:dyDescent="0.25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 x14ac:dyDescent="0.25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 x14ac:dyDescent="0.25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 x14ac:dyDescent="0.25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 x14ac:dyDescent="0.25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 x14ac:dyDescent="0.25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 x14ac:dyDescent="0.25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 x14ac:dyDescent="0.25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 x14ac:dyDescent="0.25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 x14ac:dyDescent="0.25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 x14ac:dyDescent="0.25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 x14ac:dyDescent="0.25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 x14ac:dyDescent="0.25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 x14ac:dyDescent="0.25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 x14ac:dyDescent="0.25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 x14ac:dyDescent="0.25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 x14ac:dyDescent="0.25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 x14ac:dyDescent="0.25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 x14ac:dyDescent="0.25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 x14ac:dyDescent="0.25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 x14ac:dyDescent="0.25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 x14ac:dyDescent="0.25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 x14ac:dyDescent="0.25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 x14ac:dyDescent="0.25"/>
    <row r="300" spans="1:57" ht="15.75" customHeight="1" x14ac:dyDescent="0.25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 x14ac:dyDescent="0.25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 x14ac:dyDescent="0.25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 x14ac:dyDescent="0.25"/>
    <row r="304" spans="1:57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3:AD3" xr:uid="{00000000-0009-0000-0000-000004000000}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4:AX4 AG4:AG298 AH5:AJ298 AL5:AQ298 AS5:AX298">
    <cfRule type="colorScale" priority="2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2026-05-29T12:46:26Z</dcterms:modified>
</cp:coreProperties>
</file>