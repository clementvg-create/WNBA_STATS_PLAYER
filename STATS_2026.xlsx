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6A857BC-C49E-4C5F-A2B4-69F4BBFA057A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EXP" sheetId="1" r:id="rId1"/>
    <sheet name="TOTAL_BASIC" sheetId="2" r:id="rId2"/>
    <sheet name="PER_GAME_BASIC" sheetId="3" r:id="rId3"/>
    <sheet name="ADVANCED" sheetId="4" r:id="rId4"/>
    <sheet name="SHOOTING" sheetId="6" r:id="rId5"/>
  </sheets>
  <definedNames>
    <definedName name="_xlnm._FilterDatabase" localSheetId="3" hidden="1">ADVANCED!$A$2:$BI$2</definedName>
    <definedName name="_xlnm._FilterDatabase" localSheetId="2" hidden="1">PER_GAME_BASIC!$A$2:$AC$184</definedName>
    <definedName name="_xlnm._FilterDatabase" localSheetId="4" hidden="1">SHOOTING!$A$3:$AD$3</definedName>
    <definedName name="_xlnm._FilterDatabase" localSheetId="1" hidden="1">TOTAL_BASIC!$A$2:$AC$2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x/Ay+Yb54+uEzThiZP7nmNUBj+QoSi8oDLL/paKSa+E="/>
    </ext>
  </extLst>
</workbook>
</file>

<file path=xl/calcChain.xml><?xml version="1.0" encoding="utf-8"?>
<calcChain xmlns="http://schemas.openxmlformats.org/spreadsheetml/2006/main">
  <c r="D301" i="2" l="1"/>
  <c r="AA186" i="4" s="1"/>
  <c r="BE187" i="6"/>
  <c r="BD187" i="6"/>
  <c r="BC187" i="6"/>
  <c r="BA187" i="6"/>
  <c r="AZ187" i="6"/>
  <c r="AX187" i="6"/>
  <c r="AW187" i="6"/>
  <c r="AV187" i="6"/>
  <c r="AU187" i="6"/>
  <c r="AT187" i="6"/>
  <c r="AS187" i="6"/>
  <c r="AQ187" i="6"/>
  <c r="AP187" i="6"/>
  <c r="AO187" i="6"/>
  <c r="AN187" i="6"/>
  <c r="AM187" i="6"/>
  <c r="AL187" i="6"/>
  <c r="AJ187" i="6"/>
  <c r="AI187" i="6"/>
  <c r="AH187" i="6"/>
  <c r="AG187" i="6"/>
  <c r="BE186" i="6"/>
  <c r="BD186" i="6"/>
  <c r="BC186" i="6"/>
  <c r="BA186" i="6"/>
  <c r="AZ186" i="6"/>
  <c r="AX186" i="6"/>
  <c r="AW186" i="6"/>
  <c r="AV186" i="6"/>
  <c r="AU186" i="6"/>
  <c r="AT186" i="6"/>
  <c r="AS186" i="6"/>
  <c r="AQ186" i="6"/>
  <c r="AP186" i="6"/>
  <c r="AO186" i="6"/>
  <c r="AN186" i="6"/>
  <c r="AM186" i="6"/>
  <c r="AL186" i="6"/>
  <c r="AJ186" i="6"/>
  <c r="AI186" i="6"/>
  <c r="AH186" i="6"/>
  <c r="AG186" i="6"/>
  <c r="AD186" i="6"/>
  <c r="AD187" i="6"/>
  <c r="BH186" i="4"/>
  <c r="BG186" i="4"/>
  <c r="BC186" i="4"/>
  <c r="BB186" i="4"/>
  <c r="BA186" i="4"/>
  <c r="AZ186" i="4"/>
  <c r="AX186" i="4"/>
  <c r="AW186" i="4"/>
  <c r="AV186" i="4"/>
  <c r="AU186" i="4"/>
  <c r="AT186" i="4"/>
  <c r="AS186" i="4"/>
  <c r="AR186" i="4"/>
  <c r="AQ186" i="4"/>
  <c r="AP186" i="4"/>
  <c r="AO186" i="4"/>
  <c r="AN186" i="4"/>
  <c r="AM186" i="4"/>
  <c r="AL186" i="4"/>
  <c r="AK186" i="4"/>
  <c r="AJ186" i="4"/>
  <c r="AI186" i="4"/>
  <c r="AF186" i="4"/>
  <c r="BI186" i="4" s="1"/>
  <c r="AE186" i="4"/>
  <c r="AD186" i="4"/>
  <c r="AC186" i="4"/>
  <c r="BF186" i="4" s="1"/>
  <c r="AB186" i="4"/>
  <c r="BE186" i="4" s="1"/>
  <c r="BG185" i="4"/>
  <c r="BF185" i="4"/>
  <c r="BC185" i="4"/>
  <c r="BB185" i="4"/>
  <c r="BA185" i="4"/>
  <c r="AZ185" i="4"/>
  <c r="AX185" i="4"/>
  <c r="AW185" i="4"/>
  <c r="AV185" i="4"/>
  <c r="AU185" i="4"/>
  <c r="AT185" i="4"/>
  <c r="AS185" i="4"/>
  <c r="AR185" i="4"/>
  <c r="AQ185" i="4"/>
  <c r="AP185" i="4"/>
  <c r="AO185" i="4"/>
  <c r="AN185" i="4"/>
  <c r="AM185" i="4"/>
  <c r="AL185" i="4"/>
  <c r="AK185" i="4"/>
  <c r="AJ185" i="4"/>
  <c r="AI185" i="4"/>
  <c r="AF185" i="4"/>
  <c r="AE185" i="4"/>
  <c r="BH185" i="4" s="1"/>
  <c r="AD185" i="4"/>
  <c r="AC185" i="4"/>
  <c r="AB185" i="4"/>
  <c r="BE185" i="4" s="1"/>
  <c r="AL186" i="3"/>
  <c r="AK186" i="3"/>
  <c r="AJ186" i="3"/>
  <c r="AE186" i="3"/>
  <c r="AI186" i="3" s="1"/>
  <c r="AD186" i="3"/>
  <c r="AH185" i="3" s="1"/>
  <c r="AC186" i="3"/>
  <c r="AL185" i="3"/>
  <c r="AK185" i="3"/>
  <c r="AJ185" i="3"/>
  <c r="AD185" i="3"/>
  <c r="AC185" i="3"/>
  <c r="AE185" i="3" s="1"/>
  <c r="AI185" i="3" s="1"/>
  <c r="AC185" i="2"/>
  <c r="AC186" i="2"/>
  <c r="BD185" i="6"/>
  <c r="BC185" i="6"/>
  <c r="BA185" i="6"/>
  <c r="AZ185" i="6"/>
  <c r="AX185" i="6"/>
  <c r="AW185" i="6"/>
  <c r="AV185" i="6"/>
  <c r="AU185" i="6"/>
  <c r="AT185" i="6"/>
  <c r="AS185" i="6"/>
  <c r="AQ185" i="6"/>
  <c r="AP185" i="6"/>
  <c r="AO185" i="6"/>
  <c r="AN185" i="6"/>
  <c r="AM185" i="6"/>
  <c r="AL185" i="6"/>
  <c r="AJ185" i="6"/>
  <c r="AI185" i="6"/>
  <c r="AH185" i="6"/>
  <c r="AG185" i="6"/>
  <c r="BD184" i="6"/>
  <c r="BC184" i="6"/>
  <c r="BA184" i="6"/>
  <c r="AZ184" i="6"/>
  <c r="AX184" i="6"/>
  <c r="AW184" i="6"/>
  <c r="AV184" i="6"/>
  <c r="AU184" i="6"/>
  <c r="AT184" i="6"/>
  <c r="AS184" i="6"/>
  <c r="AQ184" i="6"/>
  <c r="AP184" i="6"/>
  <c r="AO184" i="6"/>
  <c r="AN184" i="6"/>
  <c r="AM184" i="6"/>
  <c r="AL184" i="6"/>
  <c r="AJ184" i="6"/>
  <c r="AI184" i="6"/>
  <c r="AH184" i="6"/>
  <c r="AG184" i="6"/>
  <c r="AD184" i="6"/>
  <c r="AD185" i="6"/>
  <c r="BC184" i="4"/>
  <c r="BB184" i="4"/>
  <c r="BA184" i="4"/>
  <c r="AZ184" i="4"/>
  <c r="AX184" i="4"/>
  <c r="AW184" i="4"/>
  <c r="AV184" i="4"/>
  <c r="AU184" i="4"/>
  <c r="AT184" i="4"/>
  <c r="AS184" i="4"/>
  <c r="AR184" i="4"/>
  <c r="AQ184" i="4"/>
  <c r="AP184" i="4"/>
  <c r="AO184" i="4"/>
  <c r="AN184" i="4"/>
  <c r="AM184" i="4"/>
  <c r="AL184" i="4"/>
  <c r="AK184" i="4"/>
  <c r="AJ184" i="4"/>
  <c r="AI184" i="4"/>
  <c r="AF184" i="4"/>
  <c r="AE184" i="4"/>
  <c r="AD184" i="4"/>
  <c r="AC184" i="4"/>
  <c r="AB184" i="4"/>
  <c r="BC183" i="4"/>
  <c r="BB183" i="4"/>
  <c r="BA183" i="4"/>
  <c r="AZ183" i="4"/>
  <c r="AX183" i="4"/>
  <c r="AW183" i="4"/>
  <c r="AV183" i="4"/>
  <c r="AU183" i="4"/>
  <c r="AT183" i="4"/>
  <c r="AS183" i="4"/>
  <c r="AR183" i="4"/>
  <c r="AQ183" i="4"/>
  <c r="AP183" i="4"/>
  <c r="AO183" i="4"/>
  <c r="AN183" i="4"/>
  <c r="AM183" i="4"/>
  <c r="AL183" i="4"/>
  <c r="AK183" i="4"/>
  <c r="AJ183" i="4"/>
  <c r="AI183" i="4"/>
  <c r="AF183" i="4"/>
  <c r="AE183" i="4"/>
  <c r="AD183" i="4"/>
  <c r="AC183" i="4"/>
  <c r="AB183" i="4"/>
  <c r="AL184" i="3"/>
  <c r="AK184" i="3"/>
  <c r="AJ184" i="3"/>
  <c r="AD184" i="3"/>
  <c r="AC184" i="3"/>
  <c r="AL183" i="3"/>
  <c r="AK183" i="3"/>
  <c r="AJ183" i="3"/>
  <c r="AD183" i="3"/>
  <c r="AC183" i="3"/>
  <c r="AC183" i="2"/>
  <c r="AC184" i="2"/>
  <c r="AA185" i="4" l="1"/>
  <c r="BI185" i="4"/>
  <c r="AH186" i="3"/>
  <c r="BD183" i="6"/>
  <c r="BC183" i="6"/>
  <c r="BA183" i="6"/>
  <c r="AZ183" i="6"/>
  <c r="AX183" i="6"/>
  <c r="AW183" i="6"/>
  <c r="AV183" i="6"/>
  <c r="AU183" i="6"/>
  <c r="AT183" i="6"/>
  <c r="AS183" i="6"/>
  <c r="AQ183" i="6"/>
  <c r="AP183" i="6"/>
  <c r="AO183" i="6"/>
  <c r="AN183" i="6"/>
  <c r="AM183" i="6"/>
  <c r="AL183" i="6"/>
  <c r="AJ183" i="6"/>
  <c r="AI183" i="6"/>
  <c r="AH183" i="6"/>
  <c r="AG183" i="6"/>
  <c r="AD183" i="6"/>
  <c r="BD182" i="6"/>
  <c r="BC182" i="6"/>
  <c r="BA182" i="6"/>
  <c r="AZ182" i="6"/>
  <c r="AX182" i="6"/>
  <c r="AW182" i="6"/>
  <c r="AV182" i="6"/>
  <c r="AU182" i="6"/>
  <c r="AT182" i="6"/>
  <c r="AS182" i="6"/>
  <c r="AQ182" i="6"/>
  <c r="AP182" i="6"/>
  <c r="AO182" i="6"/>
  <c r="AN182" i="6"/>
  <c r="AM182" i="6"/>
  <c r="AL182" i="6"/>
  <c r="AJ182" i="6"/>
  <c r="AI182" i="6"/>
  <c r="AH182" i="6"/>
  <c r="AG182" i="6"/>
  <c r="AD182" i="6"/>
  <c r="BC182" i="4"/>
  <c r="BB182" i="4"/>
  <c r="BA182" i="4"/>
  <c r="AZ182" i="4"/>
  <c r="AX182" i="4"/>
  <c r="AW182" i="4"/>
  <c r="AV182" i="4"/>
  <c r="AU182" i="4"/>
  <c r="AT182" i="4"/>
  <c r="AS182" i="4"/>
  <c r="AR182" i="4"/>
  <c r="AQ182" i="4"/>
  <c r="AP182" i="4"/>
  <c r="AO182" i="4"/>
  <c r="AN182" i="4"/>
  <c r="AM182" i="4"/>
  <c r="AL182" i="4"/>
  <c r="AK182" i="4"/>
  <c r="AJ182" i="4"/>
  <c r="AI182" i="4"/>
  <c r="AF182" i="4"/>
  <c r="AE182" i="4"/>
  <c r="AD182" i="4"/>
  <c r="AC182" i="4"/>
  <c r="AB182" i="4"/>
  <c r="BC181" i="4"/>
  <c r="BB181" i="4"/>
  <c r="BA181" i="4"/>
  <c r="AZ181" i="4"/>
  <c r="AX181" i="4"/>
  <c r="AW181" i="4"/>
  <c r="AV181" i="4"/>
  <c r="AU181" i="4"/>
  <c r="AT181" i="4"/>
  <c r="AS181" i="4"/>
  <c r="AR181" i="4"/>
  <c r="AQ181" i="4"/>
  <c r="AP181" i="4"/>
  <c r="AO181" i="4"/>
  <c r="AN181" i="4"/>
  <c r="AM181" i="4"/>
  <c r="AL181" i="4"/>
  <c r="AK181" i="4"/>
  <c r="AJ181" i="4"/>
  <c r="AI181" i="4"/>
  <c r="AF181" i="4"/>
  <c r="AE181" i="4"/>
  <c r="AD181" i="4"/>
  <c r="AC181" i="4"/>
  <c r="AB181" i="4"/>
  <c r="AL182" i="3"/>
  <c r="AK182" i="3"/>
  <c r="AJ182" i="3"/>
  <c r="AL181" i="3"/>
  <c r="AK181" i="3"/>
  <c r="AJ181" i="3"/>
  <c r="AD182" i="3"/>
  <c r="AC182" i="3"/>
  <c r="AD181" i="3"/>
  <c r="AC181" i="3"/>
  <c r="AC181" i="2"/>
  <c r="AC182" i="2"/>
  <c r="AC3" i="2" l="1"/>
  <c r="BD181" i="6"/>
  <c r="BC181" i="6"/>
  <c r="BD180" i="6"/>
  <c r="BC180" i="6"/>
  <c r="BD179" i="6"/>
  <c r="BC179" i="6"/>
  <c r="BD178" i="6"/>
  <c r="BC178" i="6"/>
  <c r="BA181" i="6"/>
  <c r="AZ181" i="6"/>
  <c r="AX181" i="6"/>
  <c r="AW181" i="6"/>
  <c r="AV181" i="6"/>
  <c r="AU181" i="6"/>
  <c r="AT181" i="6"/>
  <c r="AS181" i="6"/>
  <c r="AQ181" i="6"/>
  <c r="AP181" i="6"/>
  <c r="AO181" i="6"/>
  <c r="AN181" i="6"/>
  <c r="AM181" i="6"/>
  <c r="AL181" i="6"/>
  <c r="AJ181" i="6"/>
  <c r="AI181" i="6"/>
  <c r="AH181" i="6"/>
  <c r="AG181" i="6"/>
  <c r="BA180" i="6"/>
  <c r="AZ180" i="6"/>
  <c r="AX180" i="6"/>
  <c r="AW180" i="6"/>
  <c r="AV180" i="6"/>
  <c r="AU180" i="6"/>
  <c r="AT180" i="6"/>
  <c r="AS180" i="6"/>
  <c r="AQ180" i="6"/>
  <c r="AP180" i="6"/>
  <c r="AO180" i="6"/>
  <c r="AN180" i="6"/>
  <c r="AM180" i="6"/>
  <c r="AL180" i="6"/>
  <c r="AJ180" i="6"/>
  <c r="AI180" i="6"/>
  <c r="AH180" i="6"/>
  <c r="AG180" i="6"/>
  <c r="BA179" i="6"/>
  <c r="AZ179" i="6"/>
  <c r="AX179" i="6"/>
  <c r="AW179" i="6"/>
  <c r="AV179" i="6"/>
  <c r="AU179" i="6"/>
  <c r="AT179" i="6"/>
  <c r="AS179" i="6"/>
  <c r="AQ179" i="6"/>
  <c r="AP179" i="6"/>
  <c r="AO179" i="6"/>
  <c r="AN179" i="6"/>
  <c r="AM179" i="6"/>
  <c r="AL179" i="6"/>
  <c r="AJ179" i="6"/>
  <c r="AI179" i="6"/>
  <c r="AH179" i="6"/>
  <c r="AG179" i="6"/>
  <c r="BA178" i="6"/>
  <c r="AZ178" i="6"/>
  <c r="AX178" i="6"/>
  <c r="AW178" i="6"/>
  <c r="AV178" i="6"/>
  <c r="AU178" i="6"/>
  <c r="AT178" i="6"/>
  <c r="AS178" i="6"/>
  <c r="AQ178" i="6"/>
  <c r="AP178" i="6"/>
  <c r="AO178" i="6"/>
  <c r="AN178" i="6"/>
  <c r="AM178" i="6"/>
  <c r="AL178" i="6"/>
  <c r="AJ178" i="6"/>
  <c r="AI178" i="6"/>
  <c r="AH178" i="6"/>
  <c r="AG178" i="6"/>
  <c r="AD178" i="6"/>
  <c r="AD179" i="6"/>
  <c r="AD180" i="6"/>
  <c r="AD181" i="6"/>
  <c r="BC180" i="4"/>
  <c r="BB180" i="4"/>
  <c r="BA180" i="4"/>
  <c r="AZ180" i="4"/>
  <c r="AX180" i="4"/>
  <c r="AW180" i="4"/>
  <c r="AV180" i="4"/>
  <c r="AU180" i="4"/>
  <c r="AT180" i="4"/>
  <c r="AS180" i="4"/>
  <c r="AR180" i="4"/>
  <c r="AQ180" i="4"/>
  <c r="AP180" i="4"/>
  <c r="AO180" i="4"/>
  <c r="AN180" i="4"/>
  <c r="AM180" i="4"/>
  <c r="AL180" i="4"/>
  <c r="AK180" i="4"/>
  <c r="AJ180" i="4"/>
  <c r="AI180" i="4"/>
  <c r="BC179" i="4"/>
  <c r="BB179" i="4"/>
  <c r="BA179" i="4"/>
  <c r="AZ179" i="4"/>
  <c r="AX179" i="4"/>
  <c r="AW179" i="4"/>
  <c r="AV179" i="4"/>
  <c r="AU179" i="4"/>
  <c r="AT179" i="4"/>
  <c r="AS179" i="4"/>
  <c r="AR179" i="4"/>
  <c r="AQ179" i="4"/>
  <c r="AP179" i="4"/>
  <c r="AO179" i="4"/>
  <c r="AN179" i="4"/>
  <c r="AM179" i="4"/>
  <c r="AL179" i="4"/>
  <c r="AK179" i="4"/>
  <c r="AJ179" i="4"/>
  <c r="AI179" i="4"/>
  <c r="BC178" i="4"/>
  <c r="BB178" i="4"/>
  <c r="BA178" i="4"/>
  <c r="AZ178" i="4"/>
  <c r="AX178" i="4"/>
  <c r="AW178" i="4"/>
  <c r="AV178" i="4"/>
  <c r="AU178" i="4"/>
  <c r="AT178" i="4"/>
  <c r="AS178" i="4"/>
  <c r="AR178" i="4"/>
  <c r="AQ178" i="4"/>
  <c r="AP178" i="4"/>
  <c r="AO178" i="4"/>
  <c r="AN178" i="4"/>
  <c r="AM178" i="4"/>
  <c r="AL178" i="4"/>
  <c r="AK178" i="4"/>
  <c r="AJ178" i="4"/>
  <c r="AI178" i="4"/>
  <c r="BC177" i="4"/>
  <c r="BB177" i="4"/>
  <c r="BA177" i="4"/>
  <c r="AZ177" i="4"/>
  <c r="AX177" i="4"/>
  <c r="AW177" i="4"/>
  <c r="AV177" i="4"/>
  <c r="AU177" i="4"/>
  <c r="AT177" i="4"/>
  <c r="AS177" i="4"/>
  <c r="AR177" i="4"/>
  <c r="AQ177" i="4"/>
  <c r="AP177" i="4"/>
  <c r="AO177" i="4"/>
  <c r="AN177" i="4"/>
  <c r="AM177" i="4"/>
  <c r="AL177" i="4"/>
  <c r="AK177" i="4"/>
  <c r="AJ177" i="4"/>
  <c r="AI177" i="4"/>
  <c r="AF177" i="4"/>
  <c r="AF178" i="4"/>
  <c r="AF179" i="4"/>
  <c r="AF180" i="4"/>
  <c r="AE177" i="4"/>
  <c r="AE178" i="4"/>
  <c r="AE179" i="4"/>
  <c r="AE180" i="4"/>
  <c r="AD177" i="4"/>
  <c r="AD178" i="4"/>
  <c r="AD179" i="4"/>
  <c r="AD180" i="4"/>
  <c r="AC177" i="4"/>
  <c r="AC178" i="4"/>
  <c r="AC179" i="4"/>
  <c r="AC180" i="4"/>
  <c r="AB177" i="4"/>
  <c r="AB178" i="4"/>
  <c r="AB179" i="4"/>
  <c r="AB180" i="4"/>
  <c r="AL177" i="3"/>
  <c r="AL178" i="3"/>
  <c r="AL179" i="3"/>
  <c r="AL180" i="3"/>
  <c r="AK177" i="3"/>
  <c r="AK178" i="3"/>
  <c r="AK179" i="3"/>
  <c r="AK180" i="3"/>
  <c r="AJ177" i="3"/>
  <c r="AJ178" i="3"/>
  <c r="AJ179" i="3"/>
  <c r="AJ180" i="3"/>
  <c r="AD177" i="3"/>
  <c r="AD178" i="3"/>
  <c r="AD179" i="3"/>
  <c r="AD180" i="3"/>
  <c r="AC177" i="3"/>
  <c r="AC178" i="3"/>
  <c r="AC179" i="3"/>
  <c r="AC180" i="3"/>
  <c r="AC177" i="2"/>
  <c r="AC178" i="2"/>
  <c r="AC179" i="2"/>
  <c r="AC180" i="2"/>
  <c r="BD177" i="6"/>
  <c r="BC177" i="6"/>
  <c r="BA177" i="6"/>
  <c r="AZ177" i="6"/>
  <c r="AX177" i="6"/>
  <c r="AW177" i="6"/>
  <c r="AV177" i="6"/>
  <c r="AU177" i="6"/>
  <c r="AT177" i="6"/>
  <c r="AS177" i="6"/>
  <c r="AQ177" i="6"/>
  <c r="AP177" i="6"/>
  <c r="AO177" i="6"/>
  <c r="AN177" i="6"/>
  <c r="AM177" i="6"/>
  <c r="AL177" i="6"/>
  <c r="AJ177" i="6"/>
  <c r="AI177" i="6"/>
  <c r="AH177" i="6"/>
  <c r="AG177" i="6"/>
  <c r="AD177" i="6"/>
  <c r="BC176" i="4"/>
  <c r="BB176" i="4"/>
  <c r="BA176" i="4"/>
  <c r="AZ176" i="4"/>
  <c r="AX176" i="4"/>
  <c r="AW176" i="4"/>
  <c r="AV176" i="4"/>
  <c r="AU176" i="4"/>
  <c r="AT176" i="4"/>
  <c r="AS176" i="4"/>
  <c r="AR176" i="4"/>
  <c r="AQ176" i="4"/>
  <c r="AP176" i="4"/>
  <c r="AO176" i="4"/>
  <c r="AN176" i="4"/>
  <c r="AM176" i="4"/>
  <c r="AL176" i="4"/>
  <c r="AK176" i="4"/>
  <c r="AJ176" i="4"/>
  <c r="AI176" i="4"/>
  <c r="AF176" i="4"/>
  <c r="AE176" i="4"/>
  <c r="AD176" i="4"/>
  <c r="AC176" i="4"/>
  <c r="AB176" i="4"/>
  <c r="AL176" i="3"/>
  <c r="AK176" i="3"/>
  <c r="AJ176" i="3"/>
  <c r="AD176" i="3"/>
  <c r="AC176" i="3"/>
  <c r="AC176" i="2"/>
  <c r="BD174" i="6"/>
  <c r="BD175" i="6"/>
  <c r="BD176" i="6"/>
  <c r="BC174" i="6"/>
  <c r="BC175" i="6"/>
  <c r="BC176" i="6"/>
  <c r="BA174" i="6"/>
  <c r="BA175" i="6"/>
  <c r="BA176" i="6"/>
  <c r="AZ174" i="6"/>
  <c r="AZ175" i="6"/>
  <c r="AZ176" i="6"/>
  <c r="AX174" i="6"/>
  <c r="AX175" i="6"/>
  <c r="AX176" i="6"/>
  <c r="AW174" i="6"/>
  <c r="AW175" i="6"/>
  <c r="AW176" i="6"/>
  <c r="AV174" i="6"/>
  <c r="AV175" i="6"/>
  <c r="AV176" i="6"/>
  <c r="AU174" i="6"/>
  <c r="AU175" i="6"/>
  <c r="AU176" i="6"/>
  <c r="AT174" i="6"/>
  <c r="AT175" i="6"/>
  <c r="AT176" i="6"/>
  <c r="AS174" i="6"/>
  <c r="AS175" i="6"/>
  <c r="AS176" i="6"/>
  <c r="AQ174" i="6"/>
  <c r="AQ175" i="6"/>
  <c r="AQ176" i="6"/>
  <c r="AP174" i="6"/>
  <c r="AP175" i="6"/>
  <c r="AP176" i="6"/>
  <c r="AO174" i="6"/>
  <c r="AO175" i="6"/>
  <c r="AO176" i="6"/>
  <c r="AN174" i="6"/>
  <c r="AN175" i="6"/>
  <c r="AN176" i="6"/>
  <c r="AM174" i="6"/>
  <c r="AM175" i="6"/>
  <c r="AM176" i="6"/>
  <c r="AL174" i="6"/>
  <c r="AL175" i="6"/>
  <c r="AL176" i="6"/>
  <c r="AJ174" i="6"/>
  <c r="AJ175" i="6"/>
  <c r="AJ176" i="6"/>
  <c r="AI174" i="6"/>
  <c r="AI175" i="6"/>
  <c r="AI176" i="6"/>
  <c r="AH174" i="6"/>
  <c r="AH175" i="6"/>
  <c r="AH176" i="6"/>
  <c r="AG174" i="6"/>
  <c r="AG175" i="6"/>
  <c r="AG176" i="6"/>
  <c r="AD174" i="6"/>
  <c r="AD175" i="6"/>
  <c r="AD176" i="6"/>
  <c r="BC173" i="4"/>
  <c r="BC174" i="4"/>
  <c r="BC175" i="4"/>
  <c r="BB173" i="4"/>
  <c r="BB174" i="4"/>
  <c r="BB175" i="4"/>
  <c r="BA173" i="4"/>
  <c r="BA174" i="4"/>
  <c r="BA175" i="4"/>
  <c r="AZ173" i="4"/>
  <c r="AZ174" i="4"/>
  <c r="AZ175" i="4"/>
  <c r="AX173" i="4"/>
  <c r="AX174" i="4"/>
  <c r="AX175" i="4"/>
  <c r="AW173" i="4"/>
  <c r="AW174" i="4"/>
  <c r="AW175" i="4"/>
  <c r="AV173" i="4"/>
  <c r="AV174" i="4"/>
  <c r="AV175" i="4"/>
  <c r="AU173" i="4"/>
  <c r="AU174" i="4"/>
  <c r="AU175" i="4"/>
  <c r="AT173" i="4"/>
  <c r="AT174" i="4"/>
  <c r="AT175" i="4"/>
  <c r="AS173" i="4"/>
  <c r="AS174" i="4"/>
  <c r="AS175" i="4"/>
  <c r="AR173" i="4"/>
  <c r="AR174" i="4"/>
  <c r="AR175" i="4"/>
  <c r="AQ173" i="4"/>
  <c r="AQ174" i="4"/>
  <c r="AQ175" i="4"/>
  <c r="AP173" i="4"/>
  <c r="AP174" i="4"/>
  <c r="AP175" i="4"/>
  <c r="AO173" i="4"/>
  <c r="AO174" i="4"/>
  <c r="AO175" i="4"/>
  <c r="AN173" i="4"/>
  <c r="AN174" i="4"/>
  <c r="AN175" i="4"/>
  <c r="AM173" i="4"/>
  <c r="AM174" i="4"/>
  <c r="AM175" i="4"/>
  <c r="AL173" i="4"/>
  <c r="AL174" i="4"/>
  <c r="AL175" i="4"/>
  <c r="AK173" i="4"/>
  <c r="AK174" i="4"/>
  <c r="AK175" i="4"/>
  <c r="AJ173" i="4"/>
  <c r="AJ174" i="4"/>
  <c r="AJ175" i="4"/>
  <c r="AI173" i="4"/>
  <c r="AI174" i="4"/>
  <c r="AI175" i="4"/>
  <c r="AF173" i="4"/>
  <c r="AF174" i="4"/>
  <c r="AF175" i="4"/>
  <c r="AE173" i="4"/>
  <c r="AE174" i="4"/>
  <c r="AE175" i="4"/>
  <c r="AD173" i="4"/>
  <c r="AD174" i="4"/>
  <c r="AD175" i="4"/>
  <c r="AC173" i="4"/>
  <c r="AC174" i="4"/>
  <c r="AC175" i="4"/>
  <c r="AB173" i="4"/>
  <c r="AB174" i="4"/>
  <c r="AB175" i="4"/>
  <c r="AL173" i="3"/>
  <c r="AL174" i="3"/>
  <c r="AL175" i="3"/>
  <c r="AK173" i="3"/>
  <c r="AK174" i="3"/>
  <c r="AK175" i="3"/>
  <c r="AJ173" i="3"/>
  <c r="AJ174" i="3"/>
  <c r="AJ175" i="3"/>
  <c r="AD173" i="3"/>
  <c r="AD174" i="3"/>
  <c r="AD175" i="3"/>
  <c r="AC173" i="3"/>
  <c r="AC174" i="3"/>
  <c r="AC175" i="3"/>
  <c r="AC173" i="2"/>
  <c r="AC174" i="2"/>
  <c r="AC175" i="2"/>
  <c r="BD172" i="6"/>
  <c r="BD173" i="6"/>
  <c r="BC172" i="6"/>
  <c r="BC173" i="6"/>
  <c r="BA172" i="6"/>
  <c r="BA173" i="6"/>
  <c r="AZ172" i="6"/>
  <c r="AZ173" i="6"/>
  <c r="AX172" i="6"/>
  <c r="AX173" i="6"/>
  <c r="AW172" i="6"/>
  <c r="AW173" i="6"/>
  <c r="AV172" i="6"/>
  <c r="AV173" i="6"/>
  <c r="AU172" i="6"/>
  <c r="AU173" i="6"/>
  <c r="AT172" i="6"/>
  <c r="AT173" i="6"/>
  <c r="AS172" i="6"/>
  <c r="AS173" i="6"/>
  <c r="AQ172" i="6"/>
  <c r="AQ173" i="6"/>
  <c r="AP172" i="6"/>
  <c r="AP173" i="6"/>
  <c r="AO172" i="6"/>
  <c r="AO173" i="6"/>
  <c r="AN172" i="6"/>
  <c r="AN173" i="6"/>
  <c r="AM172" i="6"/>
  <c r="AM173" i="6"/>
  <c r="AL172" i="6"/>
  <c r="AL173" i="6"/>
  <c r="AJ172" i="6"/>
  <c r="AJ173" i="6"/>
  <c r="AI172" i="6"/>
  <c r="AI173" i="6"/>
  <c r="AH172" i="6"/>
  <c r="AH173" i="6"/>
  <c r="AG172" i="6"/>
  <c r="AG173" i="6"/>
  <c r="AD172" i="6"/>
  <c r="AD173" i="6"/>
  <c r="BC171" i="4"/>
  <c r="BC172" i="4"/>
  <c r="BB171" i="4"/>
  <c r="BB172" i="4"/>
  <c r="BA171" i="4"/>
  <c r="BA172" i="4"/>
  <c r="AZ171" i="4"/>
  <c r="AZ172" i="4"/>
  <c r="AX171" i="4"/>
  <c r="AX172" i="4"/>
  <c r="AW171" i="4"/>
  <c r="AW172" i="4"/>
  <c r="AV171" i="4"/>
  <c r="AV172" i="4"/>
  <c r="AU171" i="4"/>
  <c r="AU172" i="4"/>
  <c r="AT171" i="4"/>
  <c r="AT172" i="4"/>
  <c r="AS171" i="4"/>
  <c r="AS172" i="4"/>
  <c r="AR171" i="4"/>
  <c r="AR172" i="4"/>
  <c r="AQ171" i="4"/>
  <c r="AQ172" i="4"/>
  <c r="AP171" i="4"/>
  <c r="AP172" i="4"/>
  <c r="AO171" i="4"/>
  <c r="AO172" i="4"/>
  <c r="AN171" i="4"/>
  <c r="AN172" i="4"/>
  <c r="AM171" i="4"/>
  <c r="AM172" i="4"/>
  <c r="AL171" i="4"/>
  <c r="AL172" i="4"/>
  <c r="AK171" i="4"/>
  <c r="AK172" i="4"/>
  <c r="AJ171" i="4"/>
  <c r="AJ172" i="4"/>
  <c r="AI171" i="4"/>
  <c r="AI172" i="4"/>
  <c r="AF171" i="4"/>
  <c r="AF172" i="4"/>
  <c r="AE171" i="4"/>
  <c r="AE172" i="4"/>
  <c r="AD171" i="4"/>
  <c r="AD172" i="4"/>
  <c r="AC171" i="4"/>
  <c r="AC172" i="4"/>
  <c r="AB171" i="4"/>
  <c r="AB172" i="4"/>
  <c r="AL171" i="3"/>
  <c r="AL172" i="3"/>
  <c r="AK171" i="3"/>
  <c r="AK172" i="3"/>
  <c r="AJ171" i="3"/>
  <c r="AJ172" i="3"/>
  <c r="AD171" i="3"/>
  <c r="AD172" i="3"/>
  <c r="AC171" i="3"/>
  <c r="AC172" i="3"/>
  <c r="AC171" i="2"/>
  <c r="AC172" i="2"/>
  <c r="BD168" i="6"/>
  <c r="BD169" i="6"/>
  <c r="BD170" i="6"/>
  <c r="BD171" i="6"/>
  <c r="BC168" i="6"/>
  <c r="BC169" i="6"/>
  <c r="BC170" i="6"/>
  <c r="BC171" i="6"/>
  <c r="BA168" i="6"/>
  <c r="BA169" i="6"/>
  <c r="BA170" i="6"/>
  <c r="BA171" i="6"/>
  <c r="AZ168" i="6"/>
  <c r="AZ169" i="6"/>
  <c r="AZ170" i="6"/>
  <c r="AZ171" i="6"/>
  <c r="AX168" i="6"/>
  <c r="AX169" i="6"/>
  <c r="AX170" i="6"/>
  <c r="AX171" i="6"/>
  <c r="AW168" i="6"/>
  <c r="AW169" i="6"/>
  <c r="AW170" i="6"/>
  <c r="AW171" i="6"/>
  <c r="AV168" i="6"/>
  <c r="AV169" i="6"/>
  <c r="AV170" i="6"/>
  <c r="AV171" i="6"/>
  <c r="AU168" i="6"/>
  <c r="AU169" i="6"/>
  <c r="AU170" i="6"/>
  <c r="AU171" i="6"/>
  <c r="AT168" i="6"/>
  <c r="AT169" i="6"/>
  <c r="AT170" i="6"/>
  <c r="AT171" i="6"/>
  <c r="AS168" i="6"/>
  <c r="AS169" i="6"/>
  <c r="AS170" i="6"/>
  <c r="AS171" i="6"/>
  <c r="AQ168" i="6"/>
  <c r="AQ169" i="6"/>
  <c r="AQ170" i="6"/>
  <c r="AQ171" i="6"/>
  <c r="AP168" i="6"/>
  <c r="AP169" i="6"/>
  <c r="AP170" i="6"/>
  <c r="AP171" i="6"/>
  <c r="AO168" i="6"/>
  <c r="AO169" i="6"/>
  <c r="AO170" i="6"/>
  <c r="AO171" i="6"/>
  <c r="AN168" i="6"/>
  <c r="AN169" i="6"/>
  <c r="AN170" i="6"/>
  <c r="AN171" i="6"/>
  <c r="AM168" i="6"/>
  <c r="AM169" i="6"/>
  <c r="AM170" i="6"/>
  <c r="AM171" i="6"/>
  <c r="AL168" i="6"/>
  <c r="AL169" i="6"/>
  <c r="AL170" i="6"/>
  <c r="AL171" i="6"/>
  <c r="AJ168" i="6"/>
  <c r="AJ169" i="6"/>
  <c r="AJ170" i="6"/>
  <c r="AJ171" i="6"/>
  <c r="AI168" i="6"/>
  <c r="AI169" i="6"/>
  <c r="AI170" i="6"/>
  <c r="AI171" i="6"/>
  <c r="AH168" i="6"/>
  <c r="AH169" i="6"/>
  <c r="AH170" i="6"/>
  <c r="AH171" i="6"/>
  <c r="AG168" i="6"/>
  <c r="AG169" i="6"/>
  <c r="AG170" i="6"/>
  <c r="AG171" i="6"/>
  <c r="AD168" i="6"/>
  <c r="AD169" i="6"/>
  <c r="AD170" i="6"/>
  <c r="AD171" i="6"/>
  <c r="BC167" i="4"/>
  <c r="BC168" i="4"/>
  <c r="BC169" i="4"/>
  <c r="BC170" i="4"/>
  <c r="BB167" i="4"/>
  <c r="BB168" i="4"/>
  <c r="BB169" i="4"/>
  <c r="BB170" i="4"/>
  <c r="BA167" i="4"/>
  <c r="BA168" i="4"/>
  <c r="BA169" i="4"/>
  <c r="BA170" i="4"/>
  <c r="AZ167" i="4"/>
  <c r="AZ168" i="4"/>
  <c r="AZ169" i="4"/>
  <c r="AZ170" i="4"/>
  <c r="AX167" i="4"/>
  <c r="AX168" i="4"/>
  <c r="AX169" i="4"/>
  <c r="AX170" i="4"/>
  <c r="AW167" i="4"/>
  <c r="AW168" i="4"/>
  <c r="AW169" i="4"/>
  <c r="AW170" i="4"/>
  <c r="AV167" i="4"/>
  <c r="AV168" i="4"/>
  <c r="AV169" i="4"/>
  <c r="AV170" i="4"/>
  <c r="AU167" i="4"/>
  <c r="AU168" i="4"/>
  <c r="AU169" i="4"/>
  <c r="AU170" i="4"/>
  <c r="AT167" i="4"/>
  <c r="AT168" i="4"/>
  <c r="AT169" i="4"/>
  <c r="AT170" i="4"/>
  <c r="AS167" i="4"/>
  <c r="AS168" i="4"/>
  <c r="AS169" i="4"/>
  <c r="AS170" i="4"/>
  <c r="AR167" i="4"/>
  <c r="AR168" i="4"/>
  <c r="AR169" i="4"/>
  <c r="AR170" i="4"/>
  <c r="AQ167" i="4"/>
  <c r="AQ168" i="4"/>
  <c r="AQ169" i="4"/>
  <c r="AQ170" i="4"/>
  <c r="AP167" i="4"/>
  <c r="AP168" i="4"/>
  <c r="AP169" i="4"/>
  <c r="AP170" i="4"/>
  <c r="AO167" i="4"/>
  <c r="AO168" i="4"/>
  <c r="AO169" i="4"/>
  <c r="AO170" i="4"/>
  <c r="AN167" i="4"/>
  <c r="AN168" i="4"/>
  <c r="AN169" i="4"/>
  <c r="AN170" i="4"/>
  <c r="AM167" i="4"/>
  <c r="AM168" i="4"/>
  <c r="AM169" i="4"/>
  <c r="AM170" i="4"/>
  <c r="AL167" i="4"/>
  <c r="AL168" i="4"/>
  <c r="AL169" i="4"/>
  <c r="AL170" i="4"/>
  <c r="AK167" i="4"/>
  <c r="AK168" i="4"/>
  <c r="AK169" i="4"/>
  <c r="AK170" i="4"/>
  <c r="AJ167" i="4"/>
  <c r="AJ168" i="4"/>
  <c r="AJ169" i="4"/>
  <c r="AJ170" i="4"/>
  <c r="AI167" i="4"/>
  <c r="AI168" i="4"/>
  <c r="AI169" i="4"/>
  <c r="AI170" i="4"/>
  <c r="AF167" i="4"/>
  <c r="AF168" i="4"/>
  <c r="AF169" i="4"/>
  <c r="AF170" i="4"/>
  <c r="AE167" i="4"/>
  <c r="AE168" i="4"/>
  <c r="AE169" i="4"/>
  <c r="AE170" i="4"/>
  <c r="AD167" i="4"/>
  <c r="AD168" i="4"/>
  <c r="AD169" i="4"/>
  <c r="AD170" i="4"/>
  <c r="AC167" i="4"/>
  <c r="AC168" i="4"/>
  <c r="AC169" i="4"/>
  <c r="AC170" i="4"/>
  <c r="AB167" i="4"/>
  <c r="AB168" i="4"/>
  <c r="AB169" i="4"/>
  <c r="AB170" i="4"/>
  <c r="AL167" i="3"/>
  <c r="AL168" i="3"/>
  <c r="AL169" i="3"/>
  <c r="AL170" i="3"/>
  <c r="AK167" i="3"/>
  <c r="AK168" i="3"/>
  <c r="AK169" i="3"/>
  <c r="AK170" i="3"/>
  <c r="AJ167" i="3"/>
  <c r="AJ168" i="3"/>
  <c r="AJ169" i="3"/>
  <c r="AJ170" i="3"/>
  <c r="AD167" i="3"/>
  <c r="AD168" i="3"/>
  <c r="AD169" i="3"/>
  <c r="AD170" i="3"/>
  <c r="AC167" i="3"/>
  <c r="AC168" i="3"/>
  <c r="AC169" i="3"/>
  <c r="AC170" i="3"/>
  <c r="AC167" i="2"/>
  <c r="AC168" i="2"/>
  <c r="AC169" i="2"/>
  <c r="AC170" i="2"/>
  <c r="BD167" i="6" l="1"/>
  <c r="BC167" i="6"/>
  <c r="BA167" i="6"/>
  <c r="AZ167" i="6"/>
  <c r="AX167" i="6"/>
  <c r="AW167" i="6"/>
  <c r="AV167" i="6"/>
  <c r="AU167" i="6"/>
  <c r="AT167" i="6"/>
  <c r="AS167" i="6"/>
  <c r="AQ167" i="6"/>
  <c r="AP167" i="6"/>
  <c r="AO167" i="6"/>
  <c r="AN167" i="6"/>
  <c r="AM167" i="6"/>
  <c r="AL167" i="6"/>
  <c r="AJ167" i="6"/>
  <c r="AI167" i="6"/>
  <c r="AH167" i="6"/>
  <c r="AG167" i="6"/>
  <c r="AD167" i="6"/>
  <c r="BC166" i="4"/>
  <c r="BB166" i="4"/>
  <c r="BA166" i="4"/>
  <c r="AZ166" i="4"/>
  <c r="AX166" i="4"/>
  <c r="AW166" i="4"/>
  <c r="AV166" i="4"/>
  <c r="AU166" i="4"/>
  <c r="AT166" i="4"/>
  <c r="AS166" i="4"/>
  <c r="AR166" i="4"/>
  <c r="AQ166" i="4"/>
  <c r="AP166" i="4"/>
  <c r="AO166" i="4"/>
  <c r="AN166" i="4"/>
  <c r="AM166" i="4"/>
  <c r="AL166" i="4"/>
  <c r="AK166" i="4"/>
  <c r="AJ166" i="4"/>
  <c r="AI166" i="4"/>
  <c r="AF166" i="4"/>
  <c r="AE166" i="4"/>
  <c r="AD166" i="4"/>
  <c r="AC166" i="4"/>
  <c r="AB166" i="4"/>
  <c r="AL166" i="3"/>
  <c r="AK166" i="3"/>
  <c r="AJ166" i="3"/>
  <c r="AD166" i="3"/>
  <c r="AC166" i="3"/>
  <c r="AC166" i="2"/>
  <c r="BD164" i="6"/>
  <c r="BD165" i="6"/>
  <c r="BD166" i="6"/>
  <c r="BC164" i="6"/>
  <c r="BC165" i="6"/>
  <c r="BC166" i="6"/>
  <c r="BA164" i="6"/>
  <c r="BA165" i="6"/>
  <c r="BA166" i="6"/>
  <c r="AZ164" i="6"/>
  <c r="AZ165" i="6"/>
  <c r="AZ166" i="6"/>
  <c r="AX164" i="6"/>
  <c r="AX165" i="6"/>
  <c r="AX166" i="6"/>
  <c r="AW164" i="6"/>
  <c r="AW165" i="6"/>
  <c r="AW166" i="6"/>
  <c r="AV164" i="6"/>
  <c r="AV165" i="6"/>
  <c r="AV166" i="6"/>
  <c r="AU164" i="6"/>
  <c r="AU165" i="6"/>
  <c r="AU166" i="6"/>
  <c r="AT164" i="6"/>
  <c r="AT165" i="6"/>
  <c r="AT166" i="6"/>
  <c r="AS164" i="6"/>
  <c r="AS165" i="6"/>
  <c r="AS166" i="6"/>
  <c r="AQ164" i="6"/>
  <c r="AQ165" i="6"/>
  <c r="AQ166" i="6"/>
  <c r="AP164" i="6"/>
  <c r="AP165" i="6"/>
  <c r="AP166" i="6"/>
  <c r="AO164" i="6"/>
  <c r="AO165" i="6"/>
  <c r="AO166" i="6"/>
  <c r="AN164" i="6"/>
  <c r="AN165" i="6"/>
  <c r="AN166" i="6"/>
  <c r="AM164" i="6"/>
  <c r="AM165" i="6"/>
  <c r="AM166" i="6"/>
  <c r="AL164" i="6"/>
  <c r="AL165" i="6"/>
  <c r="AL166" i="6"/>
  <c r="AJ164" i="6"/>
  <c r="AJ165" i="6"/>
  <c r="AJ166" i="6"/>
  <c r="AI164" i="6"/>
  <c r="AI165" i="6"/>
  <c r="AI166" i="6"/>
  <c r="AH164" i="6"/>
  <c r="AH165" i="6"/>
  <c r="AH166" i="6"/>
  <c r="AG164" i="6"/>
  <c r="AG165" i="6"/>
  <c r="AG166" i="6"/>
  <c r="AD164" i="6"/>
  <c r="AD165" i="6"/>
  <c r="AD166" i="6"/>
  <c r="BC163" i="4"/>
  <c r="BC164" i="4"/>
  <c r="BC165" i="4"/>
  <c r="BB163" i="4"/>
  <c r="BB164" i="4"/>
  <c r="BB165" i="4"/>
  <c r="BA163" i="4"/>
  <c r="BA164" i="4"/>
  <c r="BA165" i="4"/>
  <c r="AZ163" i="4"/>
  <c r="AZ164" i="4"/>
  <c r="AZ165" i="4"/>
  <c r="AX163" i="4"/>
  <c r="AX164" i="4"/>
  <c r="AX165" i="4"/>
  <c r="AW163" i="4"/>
  <c r="AW164" i="4"/>
  <c r="AW165" i="4"/>
  <c r="AV163" i="4"/>
  <c r="AV164" i="4"/>
  <c r="AV165" i="4"/>
  <c r="AU163" i="4"/>
  <c r="AU164" i="4"/>
  <c r="AU165" i="4"/>
  <c r="AT163" i="4"/>
  <c r="AT164" i="4"/>
  <c r="AT165" i="4"/>
  <c r="AS163" i="4"/>
  <c r="AS164" i="4"/>
  <c r="AS165" i="4"/>
  <c r="AR163" i="4"/>
  <c r="AR164" i="4"/>
  <c r="AR165" i="4"/>
  <c r="AQ163" i="4"/>
  <c r="AQ164" i="4"/>
  <c r="AQ165" i="4"/>
  <c r="AP163" i="4"/>
  <c r="AP164" i="4"/>
  <c r="AP165" i="4"/>
  <c r="AO163" i="4"/>
  <c r="AO164" i="4"/>
  <c r="AO165" i="4"/>
  <c r="AN163" i="4"/>
  <c r="AN164" i="4"/>
  <c r="AN165" i="4"/>
  <c r="AM163" i="4"/>
  <c r="AM164" i="4"/>
  <c r="AM165" i="4"/>
  <c r="AL163" i="4"/>
  <c r="AL164" i="4"/>
  <c r="AL165" i="4"/>
  <c r="AK163" i="4"/>
  <c r="AK164" i="4"/>
  <c r="AK165" i="4"/>
  <c r="AJ163" i="4"/>
  <c r="AJ164" i="4"/>
  <c r="AJ165" i="4"/>
  <c r="AI163" i="4"/>
  <c r="AI164" i="4"/>
  <c r="AI165" i="4"/>
  <c r="AF163" i="4"/>
  <c r="AF164" i="4"/>
  <c r="AF165" i="4"/>
  <c r="AE163" i="4"/>
  <c r="AE164" i="4"/>
  <c r="AE165" i="4"/>
  <c r="AD163" i="4"/>
  <c r="AD164" i="4"/>
  <c r="AD165" i="4"/>
  <c r="AC163" i="4"/>
  <c r="AC164" i="4"/>
  <c r="AC165" i="4"/>
  <c r="AB163" i="4"/>
  <c r="AB164" i="4"/>
  <c r="AB165" i="4"/>
  <c r="AL163" i="3"/>
  <c r="AL164" i="3"/>
  <c r="AL165" i="3"/>
  <c r="AK163" i="3"/>
  <c r="AK164" i="3"/>
  <c r="AK165" i="3"/>
  <c r="AJ163" i="3"/>
  <c r="AJ164" i="3"/>
  <c r="AJ165" i="3"/>
  <c r="AD163" i="3"/>
  <c r="AD164" i="3"/>
  <c r="AD165" i="3"/>
  <c r="AC163" i="3"/>
  <c r="AC164" i="3"/>
  <c r="AC165" i="3"/>
  <c r="AC163" i="2"/>
  <c r="AC164" i="2"/>
  <c r="AC165" i="2"/>
  <c r="BD162" i="6"/>
  <c r="BD163" i="6"/>
  <c r="BC162" i="6"/>
  <c r="BC163" i="6"/>
  <c r="BA162" i="6"/>
  <c r="BA163" i="6"/>
  <c r="AZ162" i="6"/>
  <c r="AZ163" i="6"/>
  <c r="AX162" i="6"/>
  <c r="AX163" i="6"/>
  <c r="AW162" i="6"/>
  <c r="AW163" i="6"/>
  <c r="AV162" i="6"/>
  <c r="AV163" i="6"/>
  <c r="AU162" i="6"/>
  <c r="AU163" i="6"/>
  <c r="AT162" i="6"/>
  <c r="AT163" i="6"/>
  <c r="AS162" i="6"/>
  <c r="AS163" i="6"/>
  <c r="AQ162" i="6"/>
  <c r="AQ163" i="6"/>
  <c r="AP162" i="6"/>
  <c r="AP163" i="6"/>
  <c r="AO162" i="6"/>
  <c r="AO163" i="6"/>
  <c r="AN162" i="6"/>
  <c r="AN163" i="6"/>
  <c r="AM162" i="6"/>
  <c r="AM163" i="6"/>
  <c r="AL162" i="6"/>
  <c r="AL163" i="6"/>
  <c r="AJ162" i="6"/>
  <c r="AJ163" i="6"/>
  <c r="AI162" i="6"/>
  <c r="AI163" i="6"/>
  <c r="AH162" i="6"/>
  <c r="AH163" i="6"/>
  <c r="AG162" i="6"/>
  <c r="AG163" i="6"/>
  <c r="AD162" i="6"/>
  <c r="AD163" i="6"/>
  <c r="BC161" i="4"/>
  <c r="BC162" i="4"/>
  <c r="BB161" i="4"/>
  <c r="BB162" i="4"/>
  <c r="BA161" i="4"/>
  <c r="BA162" i="4"/>
  <c r="AZ161" i="4"/>
  <c r="AZ162" i="4"/>
  <c r="AX161" i="4"/>
  <c r="AX162" i="4"/>
  <c r="AW161" i="4"/>
  <c r="AW162" i="4"/>
  <c r="AV161" i="4"/>
  <c r="AV162" i="4"/>
  <c r="AU161" i="4"/>
  <c r="AU162" i="4"/>
  <c r="AT161" i="4"/>
  <c r="AT162" i="4"/>
  <c r="AS161" i="4"/>
  <c r="AS162" i="4"/>
  <c r="AR161" i="4"/>
  <c r="AR162" i="4"/>
  <c r="AQ161" i="4"/>
  <c r="AQ162" i="4"/>
  <c r="AP161" i="4"/>
  <c r="AP162" i="4"/>
  <c r="AO161" i="4"/>
  <c r="AO162" i="4"/>
  <c r="AN161" i="4"/>
  <c r="AN162" i="4"/>
  <c r="AM161" i="4"/>
  <c r="AM162" i="4"/>
  <c r="AL161" i="4"/>
  <c r="AL162" i="4"/>
  <c r="AK161" i="4"/>
  <c r="AK162" i="4"/>
  <c r="AJ161" i="4"/>
  <c r="AJ162" i="4"/>
  <c r="AI161" i="4"/>
  <c r="AI162" i="4"/>
  <c r="AF161" i="4"/>
  <c r="AF162" i="4"/>
  <c r="AE161" i="4"/>
  <c r="AE162" i="4"/>
  <c r="AD161" i="4"/>
  <c r="AD162" i="4"/>
  <c r="AC161" i="4"/>
  <c r="AC162" i="4"/>
  <c r="AB161" i="4"/>
  <c r="AB162" i="4"/>
  <c r="AL161" i="3"/>
  <c r="AL162" i="3"/>
  <c r="AK161" i="3"/>
  <c r="AK162" i="3"/>
  <c r="AJ161" i="3"/>
  <c r="AJ162" i="3"/>
  <c r="AD161" i="3"/>
  <c r="AD162" i="3"/>
  <c r="AC161" i="3"/>
  <c r="AC162" i="3"/>
  <c r="AC161" i="2"/>
  <c r="AC162" i="2"/>
  <c r="BD160" i="6"/>
  <c r="BD161" i="6"/>
  <c r="BC160" i="6"/>
  <c r="BC161" i="6"/>
  <c r="BA160" i="6"/>
  <c r="BA161" i="6"/>
  <c r="AZ160" i="6"/>
  <c r="AZ161" i="6"/>
  <c r="AX160" i="6"/>
  <c r="AX161" i="6"/>
  <c r="AW160" i="6"/>
  <c r="AW161" i="6"/>
  <c r="AV160" i="6"/>
  <c r="AV161" i="6"/>
  <c r="AU160" i="6"/>
  <c r="AU161" i="6"/>
  <c r="AT160" i="6"/>
  <c r="AT161" i="6"/>
  <c r="AS160" i="6"/>
  <c r="AS161" i="6"/>
  <c r="AQ160" i="6"/>
  <c r="AQ161" i="6"/>
  <c r="AP160" i="6"/>
  <c r="AP161" i="6"/>
  <c r="AO160" i="6"/>
  <c r="AO161" i="6"/>
  <c r="AN160" i="6"/>
  <c r="AN161" i="6"/>
  <c r="AM160" i="6"/>
  <c r="AM161" i="6"/>
  <c r="AL160" i="6"/>
  <c r="AL161" i="6"/>
  <c r="AJ160" i="6"/>
  <c r="AJ161" i="6"/>
  <c r="AI160" i="6"/>
  <c r="AI161" i="6"/>
  <c r="AH160" i="6"/>
  <c r="AH161" i="6"/>
  <c r="AG160" i="6"/>
  <c r="AG161" i="6"/>
  <c r="AD160" i="6"/>
  <c r="AD161" i="6"/>
  <c r="BC159" i="4"/>
  <c r="BC160" i="4"/>
  <c r="BB159" i="4"/>
  <c r="BB160" i="4"/>
  <c r="BA159" i="4"/>
  <c r="BA160" i="4"/>
  <c r="AZ159" i="4"/>
  <c r="AZ160" i="4"/>
  <c r="AX159" i="4"/>
  <c r="AX160" i="4"/>
  <c r="AW159" i="4"/>
  <c r="AW160" i="4"/>
  <c r="AV159" i="4"/>
  <c r="AV160" i="4"/>
  <c r="AU159" i="4"/>
  <c r="AU160" i="4"/>
  <c r="AU158" i="4"/>
  <c r="AT159" i="4"/>
  <c r="AT160" i="4"/>
  <c r="AS159" i="4"/>
  <c r="AS160" i="4"/>
  <c r="AR159" i="4"/>
  <c r="AR160" i="4"/>
  <c r="AQ159" i="4"/>
  <c r="AQ160" i="4"/>
  <c r="AP159" i="4"/>
  <c r="AP160" i="4"/>
  <c r="AO159" i="4"/>
  <c r="AO160" i="4"/>
  <c r="AN159" i="4"/>
  <c r="AN160" i="4"/>
  <c r="AM159" i="4"/>
  <c r="AM160" i="4"/>
  <c r="AL159" i="4"/>
  <c r="AL160" i="4"/>
  <c r="AK159" i="4"/>
  <c r="AK160" i="4"/>
  <c r="AJ159" i="4"/>
  <c r="AJ160" i="4"/>
  <c r="AI159" i="4"/>
  <c r="AI160" i="4"/>
  <c r="AF159" i="4"/>
  <c r="AF160" i="4"/>
  <c r="AE159" i="4"/>
  <c r="AE160" i="4"/>
  <c r="AD159" i="4"/>
  <c r="AD160" i="4"/>
  <c r="AC159" i="4"/>
  <c r="AC160" i="4"/>
  <c r="AB159" i="4"/>
  <c r="AB160" i="4"/>
  <c r="AL159" i="3"/>
  <c r="AL160" i="3"/>
  <c r="AK159" i="3"/>
  <c r="AK160" i="3"/>
  <c r="AJ159" i="3"/>
  <c r="AJ160" i="3"/>
  <c r="AD159" i="3"/>
  <c r="AD160" i="3"/>
  <c r="AC159" i="3"/>
  <c r="AC160" i="3"/>
  <c r="BD142" i="6" l="1"/>
  <c r="BD143" i="6"/>
  <c r="BD144" i="6"/>
  <c r="BD145" i="6"/>
  <c r="BD146" i="6"/>
  <c r="BD147" i="6"/>
  <c r="BD148" i="6"/>
  <c r="BD149" i="6"/>
  <c r="BD150" i="6"/>
  <c r="BD151" i="6"/>
  <c r="BD152" i="6"/>
  <c r="BD153" i="6"/>
  <c r="BD154" i="6"/>
  <c r="BD155" i="6"/>
  <c r="BD156" i="6"/>
  <c r="BD157" i="6"/>
  <c r="BD158" i="6"/>
  <c r="BD159" i="6"/>
  <c r="BC142" i="6"/>
  <c r="BC143" i="6"/>
  <c r="BC144" i="6"/>
  <c r="BC145" i="6"/>
  <c r="BC146" i="6"/>
  <c r="BC147" i="6"/>
  <c r="BC148" i="6"/>
  <c r="BC149" i="6"/>
  <c r="BC150" i="6"/>
  <c r="BC151" i="6"/>
  <c r="BC152" i="6"/>
  <c r="BC153" i="6"/>
  <c r="BC154" i="6"/>
  <c r="BC155" i="6"/>
  <c r="BC156" i="6"/>
  <c r="BC157" i="6"/>
  <c r="BC158" i="6"/>
  <c r="BC159" i="6"/>
  <c r="BA142" i="6"/>
  <c r="BA143" i="6"/>
  <c r="BA144" i="6"/>
  <c r="BA145" i="6"/>
  <c r="BA146" i="6"/>
  <c r="BA147" i="6"/>
  <c r="BA148" i="6"/>
  <c r="BA149" i="6"/>
  <c r="BA150" i="6"/>
  <c r="BA151" i="6"/>
  <c r="BA152" i="6"/>
  <c r="BA153" i="6"/>
  <c r="BA154" i="6"/>
  <c r="BA155" i="6"/>
  <c r="BA156" i="6"/>
  <c r="BA157" i="6"/>
  <c r="BA158" i="6"/>
  <c r="BA159" i="6"/>
  <c r="AZ142" i="6"/>
  <c r="AZ143" i="6"/>
  <c r="AZ144" i="6"/>
  <c r="AZ145" i="6"/>
  <c r="AZ146" i="6"/>
  <c r="AZ147" i="6"/>
  <c r="AZ148" i="6"/>
  <c r="AZ149" i="6"/>
  <c r="AZ150" i="6"/>
  <c r="AZ151" i="6"/>
  <c r="AZ152" i="6"/>
  <c r="AZ153" i="6"/>
  <c r="AZ154" i="6"/>
  <c r="AZ155" i="6"/>
  <c r="AZ156" i="6"/>
  <c r="AZ157" i="6"/>
  <c r="AZ158" i="6"/>
  <c r="AZ159" i="6"/>
  <c r="AX142" i="6"/>
  <c r="AX143" i="6"/>
  <c r="AX144" i="6"/>
  <c r="AX145" i="6"/>
  <c r="AX146" i="6"/>
  <c r="AX147" i="6"/>
  <c r="AX148" i="6"/>
  <c r="AX149" i="6"/>
  <c r="AX150" i="6"/>
  <c r="AX151" i="6"/>
  <c r="AX152" i="6"/>
  <c r="AX153" i="6"/>
  <c r="AX154" i="6"/>
  <c r="AX155" i="6"/>
  <c r="AX156" i="6"/>
  <c r="AX157" i="6"/>
  <c r="AX158" i="6"/>
  <c r="AX159" i="6"/>
  <c r="AW142" i="6"/>
  <c r="AW143" i="6"/>
  <c r="AW144" i="6"/>
  <c r="AW145" i="6"/>
  <c r="AW146" i="6"/>
  <c r="AW147" i="6"/>
  <c r="AW148" i="6"/>
  <c r="AW149" i="6"/>
  <c r="AW150" i="6"/>
  <c r="AW151" i="6"/>
  <c r="AW152" i="6"/>
  <c r="AW153" i="6"/>
  <c r="AW154" i="6"/>
  <c r="AW155" i="6"/>
  <c r="AW156" i="6"/>
  <c r="AW157" i="6"/>
  <c r="AW158" i="6"/>
  <c r="AW159" i="6"/>
  <c r="AV142" i="6"/>
  <c r="AV143" i="6"/>
  <c r="AV144" i="6"/>
  <c r="AV145" i="6"/>
  <c r="AV146" i="6"/>
  <c r="AV147" i="6"/>
  <c r="AV148" i="6"/>
  <c r="AV149" i="6"/>
  <c r="AV150" i="6"/>
  <c r="AV151" i="6"/>
  <c r="AV152" i="6"/>
  <c r="AV153" i="6"/>
  <c r="AV154" i="6"/>
  <c r="AV155" i="6"/>
  <c r="AV156" i="6"/>
  <c r="AV157" i="6"/>
  <c r="AV158" i="6"/>
  <c r="AV159" i="6"/>
  <c r="AU142" i="6"/>
  <c r="AU143" i="6"/>
  <c r="AU144" i="6"/>
  <c r="AU145" i="6"/>
  <c r="AU146" i="6"/>
  <c r="AU147" i="6"/>
  <c r="AU148" i="6"/>
  <c r="AU149" i="6"/>
  <c r="AU150" i="6"/>
  <c r="AU151" i="6"/>
  <c r="AU152" i="6"/>
  <c r="AU153" i="6"/>
  <c r="AU154" i="6"/>
  <c r="AU155" i="6"/>
  <c r="AU156" i="6"/>
  <c r="AU157" i="6"/>
  <c r="AU158" i="6"/>
  <c r="AU159" i="6"/>
  <c r="AT142" i="6"/>
  <c r="AT143" i="6"/>
  <c r="AT144" i="6"/>
  <c r="AT145" i="6"/>
  <c r="AT146" i="6"/>
  <c r="AT147" i="6"/>
  <c r="AT148" i="6"/>
  <c r="AT149" i="6"/>
  <c r="AT150" i="6"/>
  <c r="AT151" i="6"/>
  <c r="AT152" i="6"/>
  <c r="AT153" i="6"/>
  <c r="AT154" i="6"/>
  <c r="AT155" i="6"/>
  <c r="AT156" i="6"/>
  <c r="AT157" i="6"/>
  <c r="AT158" i="6"/>
  <c r="AT159" i="6"/>
  <c r="AS142" i="6"/>
  <c r="AS143" i="6"/>
  <c r="AS144" i="6"/>
  <c r="AS145" i="6"/>
  <c r="AS146" i="6"/>
  <c r="AS147" i="6"/>
  <c r="AS148" i="6"/>
  <c r="AS149" i="6"/>
  <c r="AS150" i="6"/>
  <c r="AS151" i="6"/>
  <c r="AS152" i="6"/>
  <c r="AS153" i="6"/>
  <c r="AS154" i="6"/>
  <c r="AS155" i="6"/>
  <c r="AS156" i="6"/>
  <c r="AS157" i="6"/>
  <c r="AS158" i="6"/>
  <c r="AS159" i="6"/>
  <c r="AQ142" i="6"/>
  <c r="AQ143" i="6"/>
  <c r="AQ144" i="6"/>
  <c r="AQ145" i="6"/>
  <c r="AQ146" i="6"/>
  <c r="AQ147" i="6"/>
  <c r="AQ148" i="6"/>
  <c r="AQ149" i="6"/>
  <c r="AQ150" i="6"/>
  <c r="AQ151" i="6"/>
  <c r="AQ152" i="6"/>
  <c r="AQ153" i="6"/>
  <c r="AQ154" i="6"/>
  <c r="AQ155" i="6"/>
  <c r="AQ156" i="6"/>
  <c r="AQ157" i="6"/>
  <c r="AQ158" i="6"/>
  <c r="AQ159" i="6"/>
  <c r="AP142" i="6"/>
  <c r="AP143" i="6"/>
  <c r="AP144" i="6"/>
  <c r="AP145" i="6"/>
  <c r="AP146" i="6"/>
  <c r="AP147" i="6"/>
  <c r="AP148" i="6"/>
  <c r="AP149" i="6"/>
  <c r="AP150" i="6"/>
  <c r="AP151" i="6"/>
  <c r="AP152" i="6"/>
  <c r="AP153" i="6"/>
  <c r="AP154" i="6"/>
  <c r="AP155" i="6"/>
  <c r="AP156" i="6"/>
  <c r="AP157" i="6"/>
  <c r="AP158" i="6"/>
  <c r="AP159" i="6"/>
  <c r="AO142" i="6"/>
  <c r="AO143" i="6"/>
  <c r="AO144" i="6"/>
  <c r="AO145" i="6"/>
  <c r="AO146" i="6"/>
  <c r="AO147" i="6"/>
  <c r="AO148" i="6"/>
  <c r="AO149" i="6"/>
  <c r="AO150" i="6"/>
  <c r="AO151" i="6"/>
  <c r="AO152" i="6"/>
  <c r="AO153" i="6"/>
  <c r="AO154" i="6"/>
  <c r="AO155" i="6"/>
  <c r="AO156" i="6"/>
  <c r="AO157" i="6"/>
  <c r="AO158" i="6"/>
  <c r="AO159" i="6"/>
  <c r="AN142" i="6"/>
  <c r="AN143" i="6"/>
  <c r="AN144" i="6"/>
  <c r="AN145" i="6"/>
  <c r="AN146" i="6"/>
  <c r="AN147" i="6"/>
  <c r="AN148" i="6"/>
  <c r="AN149" i="6"/>
  <c r="AN150" i="6"/>
  <c r="AN151" i="6"/>
  <c r="AN152" i="6"/>
  <c r="AN153" i="6"/>
  <c r="AN154" i="6"/>
  <c r="AN155" i="6"/>
  <c r="AN156" i="6"/>
  <c r="AN157" i="6"/>
  <c r="AN158" i="6"/>
  <c r="AN159" i="6"/>
  <c r="AM142" i="6"/>
  <c r="AM143" i="6"/>
  <c r="AM144" i="6"/>
  <c r="AM145" i="6"/>
  <c r="AM146" i="6"/>
  <c r="AM147" i="6"/>
  <c r="AM148" i="6"/>
  <c r="AM149" i="6"/>
  <c r="AM150" i="6"/>
  <c r="AM151" i="6"/>
  <c r="AM152" i="6"/>
  <c r="AM153" i="6"/>
  <c r="AM154" i="6"/>
  <c r="AM155" i="6"/>
  <c r="AM156" i="6"/>
  <c r="AM157" i="6"/>
  <c r="AM158" i="6"/>
  <c r="AM159" i="6"/>
  <c r="AL142" i="6"/>
  <c r="AL143" i="6"/>
  <c r="AL144" i="6"/>
  <c r="AL145" i="6"/>
  <c r="AL146" i="6"/>
  <c r="AL147" i="6"/>
  <c r="AL148" i="6"/>
  <c r="AL149" i="6"/>
  <c r="AL150" i="6"/>
  <c r="AL151" i="6"/>
  <c r="AL152" i="6"/>
  <c r="AL153" i="6"/>
  <c r="AL154" i="6"/>
  <c r="AL155" i="6"/>
  <c r="AL156" i="6"/>
  <c r="AL157" i="6"/>
  <c r="AL158" i="6"/>
  <c r="AL159" i="6"/>
  <c r="AJ142" i="6"/>
  <c r="AJ143" i="6"/>
  <c r="AJ144" i="6"/>
  <c r="AJ145" i="6"/>
  <c r="AJ146" i="6"/>
  <c r="AJ147" i="6"/>
  <c r="AJ148" i="6"/>
  <c r="AJ149" i="6"/>
  <c r="AJ150" i="6"/>
  <c r="AJ151" i="6"/>
  <c r="AJ152" i="6"/>
  <c r="AJ153" i="6"/>
  <c r="AJ154" i="6"/>
  <c r="AJ155" i="6"/>
  <c r="AJ156" i="6"/>
  <c r="AJ157" i="6"/>
  <c r="AJ158" i="6"/>
  <c r="AJ159" i="6"/>
  <c r="AI142" i="6"/>
  <c r="AI143" i="6"/>
  <c r="AI144" i="6"/>
  <c r="AI145" i="6"/>
  <c r="AI146" i="6"/>
  <c r="AI147" i="6"/>
  <c r="AI148" i="6"/>
  <c r="AI149" i="6"/>
  <c r="AI150" i="6"/>
  <c r="AI151" i="6"/>
  <c r="AI152" i="6"/>
  <c r="AI153" i="6"/>
  <c r="AI154" i="6"/>
  <c r="AI155" i="6"/>
  <c r="AI156" i="6"/>
  <c r="AI157" i="6"/>
  <c r="AI158" i="6"/>
  <c r="AI159" i="6"/>
  <c r="AH142" i="6"/>
  <c r="AH143" i="6"/>
  <c r="AH144" i="6"/>
  <c r="AH145" i="6"/>
  <c r="AH146" i="6"/>
  <c r="AH147" i="6"/>
  <c r="AH148" i="6"/>
  <c r="AH149" i="6"/>
  <c r="AH150" i="6"/>
  <c r="AH151" i="6"/>
  <c r="AH152" i="6"/>
  <c r="AH153" i="6"/>
  <c r="AH154" i="6"/>
  <c r="AH155" i="6"/>
  <c r="AH156" i="6"/>
  <c r="AH157" i="6"/>
  <c r="AH158" i="6"/>
  <c r="AH159" i="6"/>
  <c r="AG142" i="6"/>
  <c r="AG143" i="6"/>
  <c r="AG144" i="6"/>
  <c r="AG145" i="6"/>
  <c r="AG146" i="6"/>
  <c r="AG147" i="6"/>
  <c r="AG148" i="6"/>
  <c r="AG149" i="6"/>
  <c r="AG150" i="6"/>
  <c r="AG151" i="6"/>
  <c r="AG152" i="6"/>
  <c r="AG153" i="6"/>
  <c r="AG154" i="6"/>
  <c r="AG155" i="6"/>
  <c r="AG156" i="6"/>
  <c r="AG157" i="6"/>
  <c r="AG158" i="6"/>
  <c r="AG159" i="6"/>
  <c r="AD142" i="6"/>
  <c r="AD143" i="6"/>
  <c r="AD144" i="6"/>
  <c r="AD145" i="6"/>
  <c r="AD146" i="6"/>
  <c r="AD147" i="6"/>
  <c r="AD148" i="6"/>
  <c r="AD149" i="6"/>
  <c r="AD150" i="6"/>
  <c r="AD151" i="6"/>
  <c r="AD152" i="6"/>
  <c r="AD153" i="6"/>
  <c r="AD154" i="6"/>
  <c r="AD155" i="6"/>
  <c r="AD156" i="6"/>
  <c r="AD157" i="6"/>
  <c r="AD158" i="6"/>
  <c r="AD159" i="6"/>
  <c r="BC141" i="4"/>
  <c r="BC142" i="4"/>
  <c r="BC143" i="4"/>
  <c r="BC144" i="4"/>
  <c r="BC145" i="4"/>
  <c r="BC146" i="4"/>
  <c r="BC147" i="4"/>
  <c r="BC148" i="4"/>
  <c r="BC149" i="4"/>
  <c r="BC150" i="4"/>
  <c r="BC151" i="4"/>
  <c r="BC152" i="4"/>
  <c r="BC153" i="4"/>
  <c r="BC154" i="4"/>
  <c r="BC155" i="4"/>
  <c r="BC156" i="4"/>
  <c r="BC157" i="4"/>
  <c r="BC158" i="4"/>
  <c r="BB141" i="4"/>
  <c r="BB142" i="4"/>
  <c r="BB143" i="4"/>
  <c r="BB144" i="4"/>
  <c r="BB145" i="4"/>
  <c r="BB146" i="4"/>
  <c r="BB147" i="4"/>
  <c r="BB148" i="4"/>
  <c r="BB149" i="4"/>
  <c r="BB150" i="4"/>
  <c r="BB151" i="4"/>
  <c r="BB152" i="4"/>
  <c r="BB153" i="4"/>
  <c r="BB154" i="4"/>
  <c r="BB155" i="4"/>
  <c r="BB156" i="4"/>
  <c r="BB157" i="4"/>
  <c r="BB158" i="4"/>
  <c r="BA141" i="4"/>
  <c r="BA142" i="4"/>
  <c r="BA143" i="4"/>
  <c r="BA144" i="4"/>
  <c r="BA145" i="4"/>
  <c r="BA146" i="4"/>
  <c r="BA147" i="4"/>
  <c r="BA148" i="4"/>
  <c r="BA149" i="4"/>
  <c r="BA150" i="4"/>
  <c r="BA151" i="4"/>
  <c r="BA152" i="4"/>
  <c r="BA153" i="4"/>
  <c r="BA154" i="4"/>
  <c r="BA155" i="4"/>
  <c r="BA156" i="4"/>
  <c r="BA157" i="4"/>
  <c r="BA158" i="4"/>
  <c r="AZ141" i="4"/>
  <c r="AZ142" i="4"/>
  <c r="AZ143" i="4"/>
  <c r="AZ144" i="4"/>
  <c r="AZ145" i="4"/>
  <c r="AZ146" i="4"/>
  <c r="AZ147" i="4"/>
  <c r="AZ148" i="4"/>
  <c r="AZ149" i="4"/>
  <c r="AZ150" i="4"/>
  <c r="AZ151" i="4"/>
  <c r="AZ152" i="4"/>
  <c r="AZ153" i="4"/>
  <c r="AZ154" i="4"/>
  <c r="AZ155" i="4"/>
  <c r="AZ156" i="4"/>
  <c r="AZ157" i="4"/>
  <c r="AZ158" i="4"/>
  <c r="AX141" i="4"/>
  <c r="AX142" i="4"/>
  <c r="AX143" i="4"/>
  <c r="AX144" i="4"/>
  <c r="AX145" i="4"/>
  <c r="AX146" i="4"/>
  <c r="AX147" i="4"/>
  <c r="AX148" i="4"/>
  <c r="AX149" i="4"/>
  <c r="AX150" i="4"/>
  <c r="AX151" i="4"/>
  <c r="AX152" i="4"/>
  <c r="AX153" i="4"/>
  <c r="AX154" i="4"/>
  <c r="AX155" i="4"/>
  <c r="AX156" i="4"/>
  <c r="AX157" i="4"/>
  <c r="AX158" i="4"/>
  <c r="AW141" i="4"/>
  <c r="AW142" i="4"/>
  <c r="AW143" i="4"/>
  <c r="AW144" i="4"/>
  <c r="AW145" i="4"/>
  <c r="AW146" i="4"/>
  <c r="AW147" i="4"/>
  <c r="AW148" i="4"/>
  <c r="AW149" i="4"/>
  <c r="AW150" i="4"/>
  <c r="AW151" i="4"/>
  <c r="AW152" i="4"/>
  <c r="AW153" i="4"/>
  <c r="AW154" i="4"/>
  <c r="AW155" i="4"/>
  <c r="AW156" i="4"/>
  <c r="AW157" i="4"/>
  <c r="AW158" i="4"/>
  <c r="AV141" i="4"/>
  <c r="AV142" i="4"/>
  <c r="AV143" i="4"/>
  <c r="AV144" i="4"/>
  <c r="AV145" i="4"/>
  <c r="AV146" i="4"/>
  <c r="AV147" i="4"/>
  <c r="AV148" i="4"/>
  <c r="AV149" i="4"/>
  <c r="AV150" i="4"/>
  <c r="AV151" i="4"/>
  <c r="AV152" i="4"/>
  <c r="AV153" i="4"/>
  <c r="AV154" i="4"/>
  <c r="AV155" i="4"/>
  <c r="AV156" i="4"/>
  <c r="AV157" i="4"/>
  <c r="AV158" i="4"/>
  <c r="AU141" i="4"/>
  <c r="AU142" i="4"/>
  <c r="AU143" i="4"/>
  <c r="AU144" i="4"/>
  <c r="AU145" i="4"/>
  <c r="AU146" i="4"/>
  <c r="AU147" i="4"/>
  <c r="AU148" i="4"/>
  <c r="AU149" i="4"/>
  <c r="AU150" i="4"/>
  <c r="AU151" i="4"/>
  <c r="AU152" i="4"/>
  <c r="AU153" i="4"/>
  <c r="AU154" i="4"/>
  <c r="AU155" i="4"/>
  <c r="AU156" i="4"/>
  <c r="AU157" i="4"/>
  <c r="AT141" i="4"/>
  <c r="AT142" i="4"/>
  <c r="AT143" i="4"/>
  <c r="AT144" i="4"/>
  <c r="AT145" i="4"/>
  <c r="AT146" i="4"/>
  <c r="AT147" i="4"/>
  <c r="AT148" i="4"/>
  <c r="AT149" i="4"/>
  <c r="AT150" i="4"/>
  <c r="AT151" i="4"/>
  <c r="AT152" i="4"/>
  <c r="AT153" i="4"/>
  <c r="AT154" i="4"/>
  <c r="AT155" i="4"/>
  <c r="AT156" i="4"/>
  <c r="AT157" i="4"/>
  <c r="AT158" i="4"/>
  <c r="AS141" i="4"/>
  <c r="AS142" i="4"/>
  <c r="AS143" i="4"/>
  <c r="AS144" i="4"/>
  <c r="AS145" i="4"/>
  <c r="AS146" i="4"/>
  <c r="AS147" i="4"/>
  <c r="AS148" i="4"/>
  <c r="AS149" i="4"/>
  <c r="AS150" i="4"/>
  <c r="AS151" i="4"/>
  <c r="AS152" i="4"/>
  <c r="AS153" i="4"/>
  <c r="AS154" i="4"/>
  <c r="AS155" i="4"/>
  <c r="AS156" i="4"/>
  <c r="AS157" i="4"/>
  <c r="AS158" i="4"/>
  <c r="AR141" i="4"/>
  <c r="AR142" i="4"/>
  <c r="AR143" i="4"/>
  <c r="AR144" i="4"/>
  <c r="AR145" i="4"/>
  <c r="AR146" i="4"/>
  <c r="AR147" i="4"/>
  <c r="AR148" i="4"/>
  <c r="AR149" i="4"/>
  <c r="AR150" i="4"/>
  <c r="AR151" i="4"/>
  <c r="AR152" i="4"/>
  <c r="AR153" i="4"/>
  <c r="AR154" i="4"/>
  <c r="AR155" i="4"/>
  <c r="AR156" i="4"/>
  <c r="AR157" i="4"/>
  <c r="AR158" i="4"/>
  <c r="AQ141" i="4"/>
  <c r="AQ142" i="4"/>
  <c r="AQ143" i="4"/>
  <c r="AQ144" i="4"/>
  <c r="AQ145" i="4"/>
  <c r="AQ146" i="4"/>
  <c r="AQ147" i="4"/>
  <c r="AQ148" i="4"/>
  <c r="AQ149" i="4"/>
  <c r="AQ150" i="4"/>
  <c r="AQ151" i="4"/>
  <c r="AQ152" i="4"/>
  <c r="AQ153" i="4"/>
  <c r="AQ154" i="4"/>
  <c r="AQ155" i="4"/>
  <c r="AQ156" i="4"/>
  <c r="AQ157" i="4"/>
  <c r="AQ158" i="4"/>
  <c r="AP141" i="4"/>
  <c r="AP142" i="4"/>
  <c r="AP143" i="4"/>
  <c r="AP144" i="4"/>
  <c r="AP145" i="4"/>
  <c r="AP146" i="4"/>
  <c r="AP147" i="4"/>
  <c r="AP148" i="4"/>
  <c r="AP149" i="4"/>
  <c r="AP150" i="4"/>
  <c r="AP151" i="4"/>
  <c r="AP152" i="4"/>
  <c r="AP153" i="4"/>
  <c r="AP154" i="4"/>
  <c r="AP155" i="4"/>
  <c r="AP156" i="4"/>
  <c r="AP157" i="4"/>
  <c r="AP158" i="4"/>
  <c r="AO141" i="4"/>
  <c r="AO142" i="4"/>
  <c r="AO143" i="4"/>
  <c r="AO144" i="4"/>
  <c r="AO145" i="4"/>
  <c r="AO146" i="4"/>
  <c r="AO147" i="4"/>
  <c r="AO148" i="4"/>
  <c r="AO149" i="4"/>
  <c r="AO150" i="4"/>
  <c r="AO151" i="4"/>
  <c r="AO152" i="4"/>
  <c r="AO153" i="4"/>
  <c r="AO154" i="4"/>
  <c r="AO155" i="4"/>
  <c r="AO156" i="4"/>
  <c r="AO157" i="4"/>
  <c r="AO158" i="4"/>
  <c r="AN141" i="4"/>
  <c r="AN142" i="4"/>
  <c r="AN143" i="4"/>
  <c r="AN144" i="4"/>
  <c r="AN145" i="4"/>
  <c r="AN146" i="4"/>
  <c r="AN147" i="4"/>
  <c r="AN148" i="4"/>
  <c r="AN149" i="4"/>
  <c r="AN150" i="4"/>
  <c r="AN151" i="4"/>
  <c r="AN152" i="4"/>
  <c r="AN153" i="4"/>
  <c r="AN154" i="4"/>
  <c r="AN155" i="4"/>
  <c r="AN156" i="4"/>
  <c r="AN157" i="4"/>
  <c r="AN158" i="4"/>
  <c r="AM141" i="4"/>
  <c r="AM142" i="4"/>
  <c r="AM143" i="4"/>
  <c r="AM144" i="4"/>
  <c r="AM145" i="4"/>
  <c r="AM146" i="4"/>
  <c r="AM147" i="4"/>
  <c r="AM148" i="4"/>
  <c r="AM149" i="4"/>
  <c r="AM150" i="4"/>
  <c r="AM151" i="4"/>
  <c r="AM152" i="4"/>
  <c r="AM153" i="4"/>
  <c r="AM154" i="4"/>
  <c r="AM155" i="4"/>
  <c r="AM156" i="4"/>
  <c r="AM157" i="4"/>
  <c r="AM158" i="4"/>
  <c r="AL141" i="4"/>
  <c r="AL142" i="4"/>
  <c r="AL143" i="4"/>
  <c r="AL144" i="4"/>
  <c r="AL145" i="4"/>
  <c r="AL146" i="4"/>
  <c r="AL147" i="4"/>
  <c r="AL148" i="4"/>
  <c r="AL149" i="4"/>
  <c r="AL150" i="4"/>
  <c r="AL151" i="4"/>
  <c r="AL152" i="4"/>
  <c r="AL153" i="4"/>
  <c r="AL154" i="4"/>
  <c r="AL155" i="4"/>
  <c r="AL156" i="4"/>
  <c r="AL157" i="4"/>
  <c r="AL158" i="4"/>
  <c r="AK141" i="4"/>
  <c r="AK142" i="4"/>
  <c r="AK143" i="4"/>
  <c r="AK144" i="4"/>
  <c r="AK145" i="4"/>
  <c r="AK146" i="4"/>
  <c r="AK147" i="4"/>
  <c r="AK148" i="4"/>
  <c r="AK149" i="4"/>
  <c r="AK150" i="4"/>
  <c r="AK151" i="4"/>
  <c r="AK152" i="4"/>
  <c r="AK153" i="4"/>
  <c r="AK154" i="4"/>
  <c r="AK155" i="4"/>
  <c r="AK156" i="4"/>
  <c r="AK157" i="4"/>
  <c r="AK158" i="4"/>
  <c r="AJ141" i="4"/>
  <c r="AJ142" i="4"/>
  <c r="AJ143" i="4"/>
  <c r="AJ144" i="4"/>
  <c r="AJ145" i="4"/>
  <c r="AJ146" i="4"/>
  <c r="AJ147" i="4"/>
  <c r="AJ148" i="4"/>
  <c r="AJ149" i="4"/>
  <c r="AJ150" i="4"/>
  <c r="AJ151" i="4"/>
  <c r="AJ152" i="4"/>
  <c r="AJ153" i="4"/>
  <c r="AJ154" i="4"/>
  <c r="AJ155" i="4"/>
  <c r="AJ156" i="4"/>
  <c r="AJ157" i="4"/>
  <c r="AJ158" i="4"/>
  <c r="AI141" i="4"/>
  <c r="AI142" i="4"/>
  <c r="AI143" i="4"/>
  <c r="AI144" i="4"/>
  <c r="AI145" i="4"/>
  <c r="AI146" i="4"/>
  <c r="AI147" i="4"/>
  <c r="AI148" i="4"/>
  <c r="AI149" i="4"/>
  <c r="AI150" i="4"/>
  <c r="AI151" i="4"/>
  <c r="AI152" i="4"/>
  <c r="AI153" i="4"/>
  <c r="AI154" i="4"/>
  <c r="AI155" i="4"/>
  <c r="AI156" i="4"/>
  <c r="AI157" i="4"/>
  <c r="AI158" i="4"/>
  <c r="AF141" i="4"/>
  <c r="AF142" i="4"/>
  <c r="AF143" i="4"/>
  <c r="AF144" i="4"/>
  <c r="AF145" i="4"/>
  <c r="AF146" i="4"/>
  <c r="AF147" i="4"/>
  <c r="AF148" i="4"/>
  <c r="AF149" i="4"/>
  <c r="AF150" i="4"/>
  <c r="AF151" i="4"/>
  <c r="AF152" i="4"/>
  <c r="AF153" i="4"/>
  <c r="AF154" i="4"/>
  <c r="AF155" i="4"/>
  <c r="AF156" i="4"/>
  <c r="AF157" i="4"/>
  <c r="AF158" i="4"/>
  <c r="AE141" i="4"/>
  <c r="AE142" i="4"/>
  <c r="AE143" i="4"/>
  <c r="AE144" i="4"/>
  <c r="AE145" i="4"/>
  <c r="AE146" i="4"/>
  <c r="AE147" i="4"/>
  <c r="AE148" i="4"/>
  <c r="AE149" i="4"/>
  <c r="AE150" i="4"/>
  <c r="AE151" i="4"/>
  <c r="AE152" i="4"/>
  <c r="AE153" i="4"/>
  <c r="AE154" i="4"/>
  <c r="AE155" i="4"/>
  <c r="AE156" i="4"/>
  <c r="AE157" i="4"/>
  <c r="AE158" i="4"/>
  <c r="AD141" i="4"/>
  <c r="AD142" i="4"/>
  <c r="AD143" i="4"/>
  <c r="AD144" i="4"/>
  <c r="AD145" i="4"/>
  <c r="AD146" i="4"/>
  <c r="AD147" i="4"/>
  <c r="AD148" i="4"/>
  <c r="AD149" i="4"/>
  <c r="AD150" i="4"/>
  <c r="AD151" i="4"/>
  <c r="AD152" i="4"/>
  <c r="AD153" i="4"/>
  <c r="AD154" i="4"/>
  <c r="AD155" i="4"/>
  <c r="AD156" i="4"/>
  <c r="AD157" i="4"/>
  <c r="AD158" i="4"/>
  <c r="AC141" i="4"/>
  <c r="AC142" i="4"/>
  <c r="AC143" i="4"/>
  <c r="AC144" i="4"/>
  <c r="AC145" i="4"/>
  <c r="AC146" i="4"/>
  <c r="AC147" i="4"/>
  <c r="AC148" i="4"/>
  <c r="AC149" i="4"/>
  <c r="AC150" i="4"/>
  <c r="AC151" i="4"/>
  <c r="AC152" i="4"/>
  <c r="AC153" i="4"/>
  <c r="AC154" i="4"/>
  <c r="AC155" i="4"/>
  <c r="AC156" i="4"/>
  <c r="AC157" i="4"/>
  <c r="AC158" i="4"/>
  <c r="AB141" i="4"/>
  <c r="AB142" i="4"/>
  <c r="AB143" i="4"/>
  <c r="AB144" i="4"/>
  <c r="AB145" i="4"/>
  <c r="AB146" i="4"/>
  <c r="AB147" i="4"/>
  <c r="AB148" i="4"/>
  <c r="AB149" i="4"/>
  <c r="AB150" i="4"/>
  <c r="AB151" i="4"/>
  <c r="AB152" i="4"/>
  <c r="AB153" i="4"/>
  <c r="AB154" i="4"/>
  <c r="AB155" i="4"/>
  <c r="AB156" i="4"/>
  <c r="AB157" i="4"/>
  <c r="AB158" i="4"/>
  <c r="AL141" i="3"/>
  <c r="AL142" i="3"/>
  <c r="AL143" i="3"/>
  <c r="AL144" i="3"/>
  <c r="AL145" i="3"/>
  <c r="AL146" i="3"/>
  <c r="AL147" i="3"/>
  <c r="AL148" i="3"/>
  <c r="AL149" i="3"/>
  <c r="AL150" i="3"/>
  <c r="AL151" i="3"/>
  <c r="AL152" i="3"/>
  <c r="AL153" i="3"/>
  <c r="AL154" i="3"/>
  <c r="AL155" i="3"/>
  <c r="AL156" i="3"/>
  <c r="AL157" i="3"/>
  <c r="AL158" i="3"/>
  <c r="AK141" i="3"/>
  <c r="AK142" i="3"/>
  <c r="AK143" i="3"/>
  <c r="AK144" i="3"/>
  <c r="AK145" i="3"/>
  <c r="AK146" i="3"/>
  <c r="AK147" i="3"/>
  <c r="AK148" i="3"/>
  <c r="AK149" i="3"/>
  <c r="AK150" i="3"/>
  <c r="AK151" i="3"/>
  <c r="AK152" i="3"/>
  <c r="AK153" i="3"/>
  <c r="AK154" i="3"/>
  <c r="AK155" i="3"/>
  <c r="AK156" i="3"/>
  <c r="AK157" i="3"/>
  <c r="AK158" i="3"/>
  <c r="AJ141" i="3"/>
  <c r="AJ142" i="3"/>
  <c r="AJ143" i="3"/>
  <c r="AJ144" i="3"/>
  <c r="AJ145" i="3"/>
  <c r="AJ146" i="3"/>
  <c r="AJ147" i="3"/>
  <c r="AJ148" i="3"/>
  <c r="AJ149" i="3"/>
  <c r="AJ150" i="3"/>
  <c r="AJ151" i="3"/>
  <c r="AJ152" i="3"/>
  <c r="AJ153" i="3"/>
  <c r="AJ154" i="3"/>
  <c r="AJ155" i="3"/>
  <c r="AJ156" i="3"/>
  <c r="AJ157" i="3"/>
  <c r="AJ158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C141" i="3"/>
  <c r="AC142" i="3"/>
  <c r="AC143" i="3"/>
  <c r="AC144" i="3"/>
  <c r="AC145" i="3"/>
  <c r="AC146" i="3"/>
  <c r="AC147" i="3"/>
  <c r="AC148" i="3"/>
  <c r="AC149" i="3"/>
  <c r="AC150" i="3"/>
  <c r="AC151" i="3"/>
  <c r="AC152" i="3"/>
  <c r="AC153" i="3"/>
  <c r="AC154" i="3"/>
  <c r="AC155" i="3"/>
  <c r="AC156" i="3"/>
  <c r="AC157" i="3"/>
  <c r="AC158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116" i="3"/>
  <c r="AC117" i="3"/>
  <c r="AC118" i="3"/>
  <c r="AC119" i="3"/>
  <c r="AC120" i="3"/>
  <c r="AC121" i="3"/>
  <c r="AC122" i="3"/>
  <c r="AC123" i="3"/>
  <c r="AC124" i="3"/>
  <c r="AC125" i="3"/>
  <c r="AC126" i="3"/>
  <c r="AC127" i="3"/>
  <c r="AC128" i="3"/>
  <c r="AC129" i="3"/>
  <c r="AC130" i="3"/>
  <c r="AC131" i="3"/>
  <c r="AC132" i="3"/>
  <c r="AC133" i="3"/>
  <c r="AC134" i="3"/>
  <c r="AC135" i="3"/>
  <c r="AC136" i="3"/>
  <c r="AC137" i="3"/>
  <c r="AC138" i="3"/>
  <c r="AC139" i="3"/>
  <c r="AC140" i="3"/>
  <c r="AC56" i="2"/>
  <c r="AC78" i="2"/>
  <c r="AC99" i="2"/>
  <c r="AC103" i="2"/>
  <c r="AC104" i="2"/>
  <c r="AC106" i="2"/>
  <c r="AC113" i="2"/>
  <c r="AC114" i="2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L63" i="3"/>
  <c r="AL64" i="3"/>
  <c r="AL65" i="3"/>
  <c r="AL66" i="3"/>
  <c r="AL67" i="3"/>
  <c r="AL68" i="3"/>
  <c r="AL69" i="3"/>
  <c r="AL70" i="3"/>
  <c r="AL71" i="3"/>
  <c r="AL72" i="3"/>
  <c r="AL73" i="3"/>
  <c r="AL74" i="3"/>
  <c r="AL75" i="3"/>
  <c r="AL76" i="3"/>
  <c r="AL77" i="3"/>
  <c r="AL78" i="3"/>
  <c r="AL79" i="3"/>
  <c r="AL80" i="3"/>
  <c r="AL81" i="3"/>
  <c r="AL82" i="3"/>
  <c r="AL83" i="3"/>
  <c r="AL84" i="3"/>
  <c r="AL85" i="3"/>
  <c r="AL86" i="3"/>
  <c r="AL87" i="3"/>
  <c r="AL88" i="3"/>
  <c r="AL89" i="3"/>
  <c r="AL90" i="3"/>
  <c r="AL91" i="3"/>
  <c r="AL92" i="3"/>
  <c r="AL93" i="3"/>
  <c r="AL94" i="3"/>
  <c r="AL95" i="3"/>
  <c r="AL96" i="3"/>
  <c r="AL97" i="3"/>
  <c r="AL98" i="3"/>
  <c r="AL99" i="3"/>
  <c r="AL100" i="3"/>
  <c r="AL101" i="3"/>
  <c r="AL102" i="3"/>
  <c r="AL103" i="3"/>
  <c r="AL104" i="3"/>
  <c r="AL105" i="3"/>
  <c r="AL106" i="3"/>
  <c r="AL107" i="3"/>
  <c r="AL108" i="3"/>
  <c r="AL109" i="3"/>
  <c r="AL110" i="3"/>
  <c r="AL111" i="3"/>
  <c r="AL112" i="3"/>
  <c r="AL113" i="3"/>
  <c r="AL114" i="3"/>
  <c r="AL115" i="3"/>
  <c r="AL116" i="3"/>
  <c r="AL117" i="3"/>
  <c r="AL118" i="3"/>
  <c r="AL119" i="3"/>
  <c r="AL120" i="3"/>
  <c r="AL121" i="3"/>
  <c r="AL122" i="3"/>
  <c r="AL123" i="3"/>
  <c r="AL124" i="3"/>
  <c r="AL125" i="3"/>
  <c r="AL126" i="3"/>
  <c r="AL127" i="3"/>
  <c r="AL128" i="3"/>
  <c r="AL129" i="3"/>
  <c r="AL130" i="3"/>
  <c r="AL131" i="3"/>
  <c r="AL132" i="3"/>
  <c r="AL133" i="3"/>
  <c r="AL134" i="3"/>
  <c r="AL135" i="3"/>
  <c r="AL136" i="3"/>
  <c r="AL137" i="3"/>
  <c r="AL138" i="3"/>
  <c r="AL139" i="3"/>
  <c r="AL140" i="3"/>
  <c r="AL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K43" i="3"/>
  <c r="AK44" i="3"/>
  <c r="AK45" i="3"/>
  <c r="AK46" i="3"/>
  <c r="AK47" i="3"/>
  <c r="AK48" i="3"/>
  <c r="AK49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K63" i="3"/>
  <c r="AK64" i="3"/>
  <c r="AK65" i="3"/>
  <c r="AK66" i="3"/>
  <c r="AK67" i="3"/>
  <c r="AK68" i="3"/>
  <c r="AK69" i="3"/>
  <c r="AK70" i="3"/>
  <c r="AK71" i="3"/>
  <c r="AK72" i="3"/>
  <c r="AK73" i="3"/>
  <c r="AK74" i="3"/>
  <c r="AK75" i="3"/>
  <c r="AK76" i="3"/>
  <c r="AK77" i="3"/>
  <c r="AK78" i="3"/>
  <c r="AK79" i="3"/>
  <c r="AK80" i="3"/>
  <c r="AK81" i="3"/>
  <c r="AK82" i="3"/>
  <c r="AK83" i="3"/>
  <c r="AK84" i="3"/>
  <c r="AK85" i="3"/>
  <c r="AK86" i="3"/>
  <c r="AK87" i="3"/>
  <c r="AK88" i="3"/>
  <c r="AK89" i="3"/>
  <c r="AK90" i="3"/>
  <c r="AK91" i="3"/>
  <c r="AK92" i="3"/>
  <c r="AK93" i="3"/>
  <c r="AK94" i="3"/>
  <c r="AK95" i="3"/>
  <c r="AK96" i="3"/>
  <c r="AK97" i="3"/>
  <c r="AK98" i="3"/>
  <c r="AK99" i="3"/>
  <c r="AK100" i="3"/>
  <c r="AK101" i="3"/>
  <c r="AK102" i="3"/>
  <c r="AK103" i="3"/>
  <c r="AK104" i="3"/>
  <c r="AK105" i="3"/>
  <c r="AK106" i="3"/>
  <c r="AK107" i="3"/>
  <c r="AK108" i="3"/>
  <c r="AK109" i="3"/>
  <c r="AK110" i="3"/>
  <c r="AK111" i="3"/>
  <c r="AK112" i="3"/>
  <c r="AK113" i="3"/>
  <c r="AK114" i="3"/>
  <c r="AK115" i="3"/>
  <c r="AK116" i="3"/>
  <c r="AK117" i="3"/>
  <c r="AK118" i="3"/>
  <c r="AK119" i="3"/>
  <c r="AK120" i="3"/>
  <c r="AK121" i="3"/>
  <c r="AK122" i="3"/>
  <c r="AK123" i="3"/>
  <c r="AK124" i="3"/>
  <c r="AK125" i="3"/>
  <c r="AK126" i="3"/>
  <c r="AK127" i="3"/>
  <c r="AK128" i="3"/>
  <c r="AK129" i="3"/>
  <c r="AK130" i="3"/>
  <c r="AK131" i="3"/>
  <c r="AK132" i="3"/>
  <c r="AK133" i="3"/>
  <c r="AK134" i="3"/>
  <c r="AK135" i="3"/>
  <c r="AK136" i="3"/>
  <c r="AK137" i="3"/>
  <c r="AK138" i="3"/>
  <c r="AK139" i="3"/>
  <c r="AK140" i="3"/>
  <c r="AK3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38" i="3"/>
  <c r="AJ39" i="3"/>
  <c r="AJ40" i="3"/>
  <c r="AJ41" i="3"/>
  <c r="AJ42" i="3"/>
  <c r="AJ43" i="3"/>
  <c r="AJ44" i="3"/>
  <c r="AJ45" i="3"/>
  <c r="AJ46" i="3"/>
  <c r="AJ47" i="3"/>
  <c r="AJ48" i="3"/>
  <c r="AJ49" i="3"/>
  <c r="AJ50" i="3"/>
  <c r="AJ51" i="3"/>
  <c r="AJ52" i="3"/>
  <c r="AJ53" i="3"/>
  <c r="AJ54" i="3"/>
  <c r="AJ55" i="3"/>
  <c r="AJ56" i="3"/>
  <c r="AJ57" i="3"/>
  <c r="AJ58" i="3"/>
  <c r="AJ59" i="3"/>
  <c r="AJ60" i="3"/>
  <c r="AJ61" i="3"/>
  <c r="AJ62" i="3"/>
  <c r="AJ63" i="3"/>
  <c r="AJ64" i="3"/>
  <c r="AJ65" i="3"/>
  <c r="AJ66" i="3"/>
  <c r="AJ67" i="3"/>
  <c r="AJ68" i="3"/>
  <c r="AJ69" i="3"/>
  <c r="AJ70" i="3"/>
  <c r="AJ71" i="3"/>
  <c r="AJ72" i="3"/>
  <c r="AJ73" i="3"/>
  <c r="AJ74" i="3"/>
  <c r="AJ75" i="3"/>
  <c r="AJ76" i="3"/>
  <c r="AJ77" i="3"/>
  <c r="AJ78" i="3"/>
  <c r="AJ79" i="3"/>
  <c r="AJ80" i="3"/>
  <c r="AJ81" i="3"/>
  <c r="AJ82" i="3"/>
  <c r="AJ83" i="3"/>
  <c r="AJ84" i="3"/>
  <c r="AJ85" i="3"/>
  <c r="AJ86" i="3"/>
  <c r="AJ87" i="3"/>
  <c r="AJ88" i="3"/>
  <c r="AJ89" i="3"/>
  <c r="AJ90" i="3"/>
  <c r="AJ91" i="3"/>
  <c r="AJ92" i="3"/>
  <c r="AJ93" i="3"/>
  <c r="AJ94" i="3"/>
  <c r="AJ95" i="3"/>
  <c r="AJ96" i="3"/>
  <c r="AJ97" i="3"/>
  <c r="AJ98" i="3"/>
  <c r="AJ99" i="3"/>
  <c r="AJ100" i="3"/>
  <c r="AJ101" i="3"/>
  <c r="AJ102" i="3"/>
  <c r="AJ103" i="3"/>
  <c r="AJ104" i="3"/>
  <c r="AJ105" i="3"/>
  <c r="AJ106" i="3"/>
  <c r="AJ107" i="3"/>
  <c r="AJ108" i="3"/>
  <c r="AJ109" i="3"/>
  <c r="AJ110" i="3"/>
  <c r="AJ111" i="3"/>
  <c r="AJ112" i="3"/>
  <c r="AJ113" i="3"/>
  <c r="AJ114" i="3"/>
  <c r="AJ115" i="3"/>
  <c r="AJ116" i="3"/>
  <c r="AJ117" i="3"/>
  <c r="AJ118" i="3"/>
  <c r="AJ119" i="3"/>
  <c r="AJ120" i="3"/>
  <c r="AJ121" i="3"/>
  <c r="AJ122" i="3"/>
  <c r="AJ123" i="3"/>
  <c r="AJ124" i="3"/>
  <c r="AJ125" i="3"/>
  <c r="AJ126" i="3"/>
  <c r="AJ127" i="3"/>
  <c r="AJ128" i="3"/>
  <c r="AJ129" i="3"/>
  <c r="AJ130" i="3"/>
  <c r="AJ131" i="3"/>
  <c r="AJ132" i="3"/>
  <c r="AJ133" i="3"/>
  <c r="AJ134" i="3"/>
  <c r="AJ135" i="3"/>
  <c r="AJ136" i="3"/>
  <c r="AJ137" i="3"/>
  <c r="AJ138" i="3"/>
  <c r="AJ139" i="3"/>
  <c r="AJ140" i="3"/>
  <c r="AJ3" i="3"/>
  <c r="E300" i="2" l="1"/>
  <c r="F300" i="2"/>
  <c r="G300" i="2"/>
  <c r="H300" i="2"/>
  <c r="I300" i="2"/>
  <c r="J300" i="2"/>
  <c r="K300" i="2"/>
  <c r="L300" i="2"/>
  <c r="M300" i="2"/>
  <c r="N300" i="2"/>
  <c r="O300" i="2"/>
  <c r="P300" i="2"/>
  <c r="Q300" i="2"/>
  <c r="R300" i="2"/>
  <c r="S300" i="2"/>
  <c r="T300" i="2"/>
  <c r="U300" i="2"/>
  <c r="V300" i="2"/>
  <c r="W300" i="2"/>
  <c r="X300" i="2"/>
  <c r="Y300" i="2"/>
  <c r="Z300" i="2"/>
  <c r="AA300" i="2"/>
  <c r="AB300" i="2"/>
  <c r="D300" i="2"/>
  <c r="AX4" i="4"/>
  <c r="AX5" i="4"/>
  <c r="AX6" i="4"/>
  <c r="AX7" i="4"/>
  <c r="AX8" i="4"/>
  <c r="AX9" i="4"/>
  <c r="AX10" i="4"/>
  <c r="AX11" i="4"/>
  <c r="AX12" i="4"/>
  <c r="AX13" i="4"/>
  <c r="AX14" i="4"/>
  <c r="AX15" i="4"/>
  <c r="AX16" i="4"/>
  <c r="AX17" i="4"/>
  <c r="AX18" i="4"/>
  <c r="AX19" i="4"/>
  <c r="AX20" i="4"/>
  <c r="AX21" i="4"/>
  <c r="AX22" i="4"/>
  <c r="AX23" i="4"/>
  <c r="AX24" i="4"/>
  <c r="AX25" i="4"/>
  <c r="AX26" i="4"/>
  <c r="AX27" i="4"/>
  <c r="AX28" i="4"/>
  <c r="AX29" i="4"/>
  <c r="AX30" i="4"/>
  <c r="AX31" i="4"/>
  <c r="AX32" i="4"/>
  <c r="AX33" i="4"/>
  <c r="AX34" i="4"/>
  <c r="AX35" i="4"/>
  <c r="AX36" i="4"/>
  <c r="AX37" i="4"/>
  <c r="AX38" i="4"/>
  <c r="AX39" i="4"/>
  <c r="AX40" i="4"/>
  <c r="AX41" i="4"/>
  <c r="AX42" i="4"/>
  <c r="AX43" i="4"/>
  <c r="AX44" i="4"/>
  <c r="AX45" i="4"/>
  <c r="AX46" i="4"/>
  <c r="AX47" i="4"/>
  <c r="AX48" i="4"/>
  <c r="AX49" i="4"/>
  <c r="AX50" i="4"/>
  <c r="AX51" i="4"/>
  <c r="AX52" i="4"/>
  <c r="AX53" i="4"/>
  <c r="AX54" i="4"/>
  <c r="AX55" i="4"/>
  <c r="AX56" i="4"/>
  <c r="AX57" i="4"/>
  <c r="AX58" i="4"/>
  <c r="AX59" i="4"/>
  <c r="AX60" i="4"/>
  <c r="AX61" i="4"/>
  <c r="AX62" i="4"/>
  <c r="AX63" i="4"/>
  <c r="AX64" i="4"/>
  <c r="AX65" i="4"/>
  <c r="AX66" i="4"/>
  <c r="AX67" i="4"/>
  <c r="AX68" i="4"/>
  <c r="AX69" i="4"/>
  <c r="AX70" i="4"/>
  <c r="AX71" i="4"/>
  <c r="AX72" i="4"/>
  <c r="AX73" i="4"/>
  <c r="AX74" i="4"/>
  <c r="AX75" i="4"/>
  <c r="AX76" i="4"/>
  <c r="AX77" i="4"/>
  <c r="AX78" i="4"/>
  <c r="AX79" i="4"/>
  <c r="AX80" i="4"/>
  <c r="AX81" i="4"/>
  <c r="AX82" i="4"/>
  <c r="AX83" i="4"/>
  <c r="AX84" i="4"/>
  <c r="AX85" i="4"/>
  <c r="AX86" i="4"/>
  <c r="AX87" i="4"/>
  <c r="AX88" i="4"/>
  <c r="AX89" i="4"/>
  <c r="AX90" i="4"/>
  <c r="AX91" i="4"/>
  <c r="AX92" i="4"/>
  <c r="AX93" i="4"/>
  <c r="AX94" i="4"/>
  <c r="AX95" i="4"/>
  <c r="AX96" i="4"/>
  <c r="AX97" i="4"/>
  <c r="AX98" i="4"/>
  <c r="AX99" i="4"/>
  <c r="AX100" i="4"/>
  <c r="AX101" i="4"/>
  <c r="AX102" i="4"/>
  <c r="AX103" i="4"/>
  <c r="AX104" i="4"/>
  <c r="AX105" i="4"/>
  <c r="AX106" i="4"/>
  <c r="AX107" i="4"/>
  <c r="AX108" i="4"/>
  <c r="AX109" i="4"/>
  <c r="AX110" i="4"/>
  <c r="AX111" i="4"/>
  <c r="AX112" i="4"/>
  <c r="AX113" i="4"/>
  <c r="AX114" i="4"/>
  <c r="AX115" i="4"/>
  <c r="AX116" i="4"/>
  <c r="AX117" i="4"/>
  <c r="AX118" i="4"/>
  <c r="AX119" i="4"/>
  <c r="AX120" i="4"/>
  <c r="AX121" i="4"/>
  <c r="AX122" i="4"/>
  <c r="AX123" i="4"/>
  <c r="AX124" i="4"/>
  <c r="AX125" i="4"/>
  <c r="AX126" i="4"/>
  <c r="AX127" i="4"/>
  <c r="AX128" i="4"/>
  <c r="AX129" i="4"/>
  <c r="AX130" i="4"/>
  <c r="AX131" i="4"/>
  <c r="AX132" i="4"/>
  <c r="AX133" i="4"/>
  <c r="AX134" i="4"/>
  <c r="AX135" i="4"/>
  <c r="AX136" i="4"/>
  <c r="AX137" i="4"/>
  <c r="AX138" i="4"/>
  <c r="AX139" i="4"/>
  <c r="AX140" i="4"/>
  <c r="AX3" i="4"/>
  <c r="AU4" i="4"/>
  <c r="AU5" i="4"/>
  <c r="AU6" i="4"/>
  <c r="AU7" i="4"/>
  <c r="AU8" i="4"/>
  <c r="AU9" i="4"/>
  <c r="AU10" i="4"/>
  <c r="AU11" i="4"/>
  <c r="AU12" i="4"/>
  <c r="AU13" i="4"/>
  <c r="AU14" i="4"/>
  <c r="AU15" i="4"/>
  <c r="AU16" i="4"/>
  <c r="AU17" i="4"/>
  <c r="AU18" i="4"/>
  <c r="AU19" i="4"/>
  <c r="AU20" i="4"/>
  <c r="AU21" i="4"/>
  <c r="AU22" i="4"/>
  <c r="AU23" i="4"/>
  <c r="AU24" i="4"/>
  <c r="AU25" i="4"/>
  <c r="AU26" i="4"/>
  <c r="AU27" i="4"/>
  <c r="AU28" i="4"/>
  <c r="AU29" i="4"/>
  <c r="AU30" i="4"/>
  <c r="AU31" i="4"/>
  <c r="AU32" i="4"/>
  <c r="AU33" i="4"/>
  <c r="AU34" i="4"/>
  <c r="AU35" i="4"/>
  <c r="AU36" i="4"/>
  <c r="AU37" i="4"/>
  <c r="AU38" i="4"/>
  <c r="AU39" i="4"/>
  <c r="AU40" i="4"/>
  <c r="AU41" i="4"/>
  <c r="AU42" i="4"/>
  <c r="AU43" i="4"/>
  <c r="AU44" i="4"/>
  <c r="AU45" i="4"/>
  <c r="AU46" i="4"/>
  <c r="AU47" i="4"/>
  <c r="AU48" i="4"/>
  <c r="AU49" i="4"/>
  <c r="AU50" i="4"/>
  <c r="AU51" i="4"/>
  <c r="AU52" i="4"/>
  <c r="AU53" i="4"/>
  <c r="AU54" i="4"/>
  <c r="AU55" i="4"/>
  <c r="AU56" i="4"/>
  <c r="AU57" i="4"/>
  <c r="AU58" i="4"/>
  <c r="AU59" i="4"/>
  <c r="AU60" i="4"/>
  <c r="AU61" i="4"/>
  <c r="AU62" i="4"/>
  <c r="AU63" i="4"/>
  <c r="AU64" i="4"/>
  <c r="AU65" i="4"/>
  <c r="AU66" i="4"/>
  <c r="AU67" i="4"/>
  <c r="AU68" i="4"/>
  <c r="AU69" i="4"/>
  <c r="AU70" i="4"/>
  <c r="AU71" i="4"/>
  <c r="AU72" i="4"/>
  <c r="AU73" i="4"/>
  <c r="AU74" i="4"/>
  <c r="AU75" i="4"/>
  <c r="AU76" i="4"/>
  <c r="AU77" i="4"/>
  <c r="AU78" i="4"/>
  <c r="AU79" i="4"/>
  <c r="AU80" i="4"/>
  <c r="AU81" i="4"/>
  <c r="AU82" i="4"/>
  <c r="AU83" i="4"/>
  <c r="AU84" i="4"/>
  <c r="AU85" i="4"/>
  <c r="AU86" i="4"/>
  <c r="AU87" i="4"/>
  <c r="AU88" i="4"/>
  <c r="AU89" i="4"/>
  <c r="AU90" i="4"/>
  <c r="AU91" i="4"/>
  <c r="AU92" i="4"/>
  <c r="AU93" i="4"/>
  <c r="AU94" i="4"/>
  <c r="AU95" i="4"/>
  <c r="AU96" i="4"/>
  <c r="AU97" i="4"/>
  <c r="AU98" i="4"/>
  <c r="AU99" i="4"/>
  <c r="AU100" i="4"/>
  <c r="AU101" i="4"/>
  <c r="AU102" i="4"/>
  <c r="AU103" i="4"/>
  <c r="AU104" i="4"/>
  <c r="AU105" i="4"/>
  <c r="AU106" i="4"/>
  <c r="AU107" i="4"/>
  <c r="AU108" i="4"/>
  <c r="AU109" i="4"/>
  <c r="AU110" i="4"/>
  <c r="AU111" i="4"/>
  <c r="AU112" i="4"/>
  <c r="AU113" i="4"/>
  <c r="AU114" i="4"/>
  <c r="AU115" i="4"/>
  <c r="AU116" i="4"/>
  <c r="AU117" i="4"/>
  <c r="AU118" i="4"/>
  <c r="AU119" i="4"/>
  <c r="AU120" i="4"/>
  <c r="AU121" i="4"/>
  <c r="AU122" i="4"/>
  <c r="AU123" i="4"/>
  <c r="AU124" i="4"/>
  <c r="AU125" i="4"/>
  <c r="AU126" i="4"/>
  <c r="AU127" i="4"/>
  <c r="AU128" i="4"/>
  <c r="AU129" i="4"/>
  <c r="AU130" i="4"/>
  <c r="AU131" i="4"/>
  <c r="AU132" i="4"/>
  <c r="AU133" i="4"/>
  <c r="AU134" i="4"/>
  <c r="AU135" i="4"/>
  <c r="AU136" i="4"/>
  <c r="AU137" i="4"/>
  <c r="AU138" i="4"/>
  <c r="AU139" i="4"/>
  <c r="AU140" i="4"/>
  <c r="AU3" i="4"/>
  <c r="BD5" i="6"/>
  <c r="BD6" i="6"/>
  <c r="BD7" i="6"/>
  <c r="BD8" i="6"/>
  <c r="BD9" i="6"/>
  <c r="BD10" i="6"/>
  <c r="BD11" i="6"/>
  <c r="BD12" i="6"/>
  <c r="BD13" i="6"/>
  <c r="BD14" i="6"/>
  <c r="BD15" i="6"/>
  <c r="BD16" i="6"/>
  <c r="BD17" i="6"/>
  <c r="BD18" i="6"/>
  <c r="BD19" i="6"/>
  <c r="BD20" i="6"/>
  <c r="BD21" i="6"/>
  <c r="BD22" i="6"/>
  <c r="BD23" i="6"/>
  <c r="BD24" i="6"/>
  <c r="BD25" i="6"/>
  <c r="BD26" i="6"/>
  <c r="BD27" i="6"/>
  <c r="BD28" i="6"/>
  <c r="BD29" i="6"/>
  <c r="BD30" i="6"/>
  <c r="BD31" i="6"/>
  <c r="BD32" i="6"/>
  <c r="BD33" i="6"/>
  <c r="BD34" i="6"/>
  <c r="BD35" i="6"/>
  <c r="BD36" i="6"/>
  <c r="BD37" i="6"/>
  <c r="BD38" i="6"/>
  <c r="BD39" i="6"/>
  <c r="BD40" i="6"/>
  <c r="BD41" i="6"/>
  <c r="BD42" i="6"/>
  <c r="BD43" i="6"/>
  <c r="BD44" i="6"/>
  <c r="BD45" i="6"/>
  <c r="BD46" i="6"/>
  <c r="BD47" i="6"/>
  <c r="BD48" i="6"/>
  <c r="BD49" i="6"/>
  <c r="BD50" i="6"/>
  <c r="BD51" i="6"/>
  <c r="BD52" i="6"/>
  <c r="BD53" i="6"/>
  <c r="BD54" i="6"/>
  <c r="BD55" i="6"/>
  <c r="BD56" i="6"/>
  <c r="BD57" i="6"/>
  <c r="BD58" i="6"/>
  <c r="BD59" i="6"/>
  <c r="BD60" i="6"/>
  <c r="BD61" i="6"/>
  <c r="BD62" i="6"/>
  <c r="BD63" i="6"/>
  <c r="BD64" i="6"/>
  <c r="BD65" i="6"/>
  <c r="BD66" i="6"/>
  <c r="BD67" i="6"/>
  <c r="BD68" i="6"/>
  <c r="BD69" i="6"/>
  <c r="BD70" i="6"/>
  <c r="BD71" i="6"/>
  <c r="BD72" i="6"/>
  <c r="BD73" i="6"/>
  <c r="BD74" i="6"/>
  <c r="BD75" i="6"/>
  <c r="BD76" i="6"/>
  <c r="BD77" i="6"/>
  <c r="BD78" i="6"/>
  <c r="BD79" i="6"/>
  <c r="BD80" i="6"/>
  <c r="BD81" i="6"/>
  <c r="BD82" i="6"/>
  <c r="BD83" i="6"/>
  <c r="BD84" i="6"/>
  <c r="BD85" i="6"/>
  <c r="BD86" i="6"/>
  <c r="BD87" i="6"/>
  <c r="BD88" i="6"/>
  <c r="BD89" i="6"/>
  <c r="BD90" i="6"/>
  <c r="BD91" i="6"/>
  <c r="BD92" i="6"/>
  <c r="BD93" i="6"/>
  <c r="BD94" i="6"/>
  <c r="BD95" i="6"/>
  <c r="BD96" i="6"/>
  <c r="BD97" i="6"/>
  <c r="BD98" i="6"/>
  <c r="BD99" i="6"/>
  <c r="BD100" i="6"/>
  <c r="BD101" i="6"/>
  <c r="BD102" i="6"/>
  <c r="BD103" i="6"/>
  <c r="BD104" i="6"/>
  <c r="BD105" i="6"/>
  <c r="BD106" i="6"/>
  <c r="BD107" i="6"/>
  <c r="BD108" i="6"/>
  <c r="BD109" i="6"/>
  <c r="BD110" i="6"/>
  <c r="BD111" i="6"/>
  <c r="BD112" i="6"/>
  <c r="BD113" i="6"/>
  <c r="BD114" i="6"/>
  <c r="BD115" i="6"/>
  <c r="BD116" i="6"/>
  <c r="BD117" i="6"/>
  <c r="BD118" i="6"/>
  <c r="BD119" i="6"/>
  <c r="BD120" i="6"/>
  <c r="BD121" i="6"/>
  <c r="BD122" i="6"/>
  <c r="BD123" i="6"/>
  <c r="BD124" i="6"/>
  <c r="BD125" i="6"/>
  <c r="BD126" i="6"/>
  <c r="BD127" i="6"/>
  <c r="BD128" i="6"/>
  <c r="BD129" i="6"/>
  <c r="BD130" i="6"/>
  <c r="BD131" i="6"/>
  <c r="BD132" i="6"/>
  <c r="BD133" i="6"/>
  <c r="BD134" i="6"/>
  <c r="BD135" i="6"/>
  <c r="BD136" i="6"/>
  <c r="BD137" i="6"/>
  <c r="BD138" i="6"/>
  <c r="BD139" i="6"/>
  <c r="BD140" i="6"/>
  <c r="BD141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33" i="6"/>
  <c r="BC34" i="6"/>
  <c r="BC35" i="6"/>
  <c r="BC36" i="6"/>
  <c r="BC37" i="6"/>
  <c r="BC38" i="6"/>
  <c r="BC39" i="6"/>
  <c r="BC40" i="6"/>
  <c r="BC41" i="6"/>
  <c r="BC42" i="6"/>
  <c r="BC43" i="6"/>
  <c r="BC44" i="6"/>
  <c r="BC45" i="6"/>
  <c r="BC46" i="6"/>
  <c r="BC47" i="6"/>
  <c r="BC48" i="6"/>
  <c r="BC49" i="6"/>
  <c r="BC50" i="6"/>
  <c r="BC51" i="6"/>
  <c r="BC52" i="6"/>
  <c r="BC53" i="6"/>
  <c r="BC54" i="6"/>
  <c r="BC55" i="6"/>
  <c r="BC56" i="6"/>
  <c r="BC57" i="6"/>
  <c r="BC58" i="6"/>
  <c r="BC59" i="6"/>
  <c r="BC60" i="6"/>
  <c r="BC61" i="6"/>
  <c r="BC62" i="6"/>
  <c r="BC63" i="6"/>
  <c r="BC64" i="6"/>
  <c r="BC65" i="6"/>
  <c r="BC66" i="6"/>
  <c r="BC67" i="6"/>
  <c r="BC68" i="6"/>
  <c r="BC69" i="6"/>
  <c r="BC70" i="6"/>
  <c r="BC71" i="6"/>
  <c r="BC72" i="6"/>
  <c r="BC73" i="6"/>
  <c r="BC74" i="6"/>
  <c r="BC75" i="6"/>
  <c r="BC76" i="6"/>
  <c r="BC77" i="6"/>
  <c r="BC78" i="6"/>
  <c r="BC79" i="6"/>
  <c r="BC80" i="6"/>
  <c r="BC81" i="6"/>
  <c r="BC82" i="6"/>
  <c r="BC83" i="6"/>
  <c r="BC84" i="6"/>
  <c r="BC85" i="6"/>
  <c r="BC86" i="6"/>
  <c r="BC87" i="6"/>
  <c r="BC88" i="6"/>
  <c r="BC89" i="6"/>
  <c r="BC90" i="6"/>
  <c r="BC91" i="6"/>
  <c r="BC92" i="6"/>
  <c r="BC93" i="6"/>
  <c r="BC94" i="6"/>
  <c r="BC95" i="6"/>
  <c r="BC96" i="6"/>
  <c r="BC97" i="6"/>
  <c r="BC98" i="6"/>
  <c r="BC99" i="6"/>
  <c r="BC100" i="6"/>
  <c r="BC101" i="6"/>
  <c r="BC102" i="6"/>
  <c r="BC103" i="6"/>
  <c r="BC104" i="6"/>
  <c r="BC105" i="6"/>
  <c r="BC106" i="6"/>
  <c r="BC107" i="6"/>
  <c r="BC108" i="6"/>
  <c r="BC109" i="6"/>
  <c r="BC110" i="6"/>
  <c r="BC111" i="6"/>
  <c r="BC112" i="6"/>
  <c r="BC113" i="6"/>
  <c r="BC114" i="6"/>
  <c r="BC115" i="6"/>
  <c r="BC116" i="6"/>
  <c r="BC117" i="6"/>
  <c r="BC118" i="6"/>
  <c r="BC119" i="6"/>
  <c r="BC120" i="6"/>
  <c r="BC121" i="6"/>
  <c r="BC122" i="6"/>
  <c r="BC123" i="6"/>
  <c r="BC124" i="6"/>
  <c r="BC125" i="6"/>
  <c r="BC126" i="6"/>
  <c r="BC127" i="6"/>
  <c r="BC128" i="6"/>
  <c r="BC129" i="6"/>
  <c r="BC130" i="6"/>
  <c r="BC131" i="6"/>
  <c r="BC132" i="6"/>
  <c r="BC133" i="6"/>
  <c r="BC134" i="6"/>
  <c r="BC135" i="6"/>
  <c r="BC136" i="6"/>
  <c r="BC137" i="6"/>
  <c r="BC138" i="6"/>
  <c r="BC139" i="6"/>
  <c r="BC140" i="6"/>
  <c r="BC141" i="6"/>
  <c r="BA5" i="6"/>
  <c r="BA6" i="6"/>
  <c r="BA7" i="6"/>
  <c r="BA8" i="6"/>
  <c r="BA9" i="6"/>
  <c r="BA10" i="6"/>
  <c r="BA11" i="6"/>
  <c r="BA12" i="6"/>
  <c r="BA13" i="6"/>
  <c r="BA14" i="6"/>
  <c r="BA15" i="6"/>
  <c r="BA16" i="6"/>
  <c r="BA17" i="6"/>
  <c r="BA18" i="6"/>
  <c r="BA19" i="6"/>
  <c r="BA20" i="6"/>
  <c r="BA21" i="6"/>
  <c r="BA22" i="6"/>
  <c r="BA23" i="6"/>
  <c r="BA24" i="6"/>
  <c r="BA25" i="6"/>
  <c r="BA26" i="6"/>
  <c r="BA27" i="6"/>
  <c r="BA28" i="6"/>
  <c r="BA29" i="6"/>
  <c r="BA30" i="6"/>
  <c r="BA31" i="6"/>
  <c r="BA32" i="6"/>
  <c r="BA33" i="6"/>
  <c r="BA34" i="6"/>
  <c r="BA35" i="6"/>
  <c r="BA36" i="6"/>
  <c r="BA37" i="6"/>
  <c r="BA38" i="6"/>
  <c r="BA39" i="6"/>
  <c r="BA40" i="6"/>
  <c r="BA41" i="6"/>
  <c r="BA42" i="6"/>
  <c r="BA43" i="6"/>
  <c r="BA44" i="6"/>
  <c r="BA45" i="6"/>
  <c r="BA46" i="6"/>
  <c r="BA47" i="6"/>
  <c r="BA48" i="6"/>
  <c r="BA49" i="6"/>
  <c r="BA50" i="6"/>
  <c r="BA51" i="6"/>
  <c r="BA52" i="6"/>
  <c r="BA53" i="6"/>
  <c r="BA54" i="6"/>
  <c r="BA55" i="6"/>
  <c r="BA56" i="6"/>
  <c r="BA57" i="6"/>
  <c r="BA58" i="6"/>
  <c r="BA59" i="6"/>
  <c r="BA60" i="6"/>
  <c r="BA61" i="6"/>
  <c r="BA62" i="6"/>
  <c r="BA63" i="6"/>
  <c r="BA64" i="6"/>
  <c r="BA65" i="6"/>
  <c r="BA66" i="6"/>
  <c r="BA67" i="6"/>
  <c r="BA68" i="6"/>
  <c r="BA69" i="6"/>
  <c r="BA70" i="6"/>
  <c r="BA71" i="6"/>
  <c r="BA72" i="6"/>
  <c r="BA73" i="6"/>
  <c r="BA74" i="6"/>
  <c r="BA75" i="6"/>
  <c r="BA76" i="6"/>
  <c r="BA77" i="6"/>
  <c r="BA78" i="6"/>
  <c r="BA79" i="6"/>
  <c r="BA80" i="6"/>
  <c r="BA81" i="6"/>
  <c r="BA82" i="6"/>
  <c r="BA83" i="6"/>
  <c r="BA84" i="6"/>
  <c r="BA85" i="6"/>
  <c r="BA86" i="6"/>
  <c r="BA87" i="6"/>
  <c r="BA88" i="6"/>
  <c r="BA89" i="6"/>
  <c r="BA90" i="6"/>
  <c r="BA91" i="6"/>
  <c r="BA92" i="6"/>
  <c r="BA93" i="6"/>
  <c r="BA94" i="6"/>
  <c r="BA95" i="6"/>
  <c r="BA96" i="6"/>
  <c r="BA97" i="6"/>
  <c r="BA98" i="6"/>
  <c r="BA99" i="6"/>
  <c r="BA100" i="6"/>
  <c r="BA101" i="6"/>
  <c r="BA102" i="6"/>
  <c r="BA103" i="6"/>
  <c r="BA104" i="6"/>
  <c r="BA105" i="6"/>
  <c r="BA106" i="6"/>
  <c r="BA107" i="6"/>
  <c r="BA108" i="6"/>
  <c r="BA109" i="6"/>
  <c r="BA110" i="6"/>
  <c r="BA111" i="6"/>
  <c r="BA112" i="6"/>
  <c r="BA113" i="6"/>
  <c r="BA114" i="6"/>
  <c r="BA115" i="6"/>
  <c r="BA116" i="6"/>
  <c r="BA117" i="6"/>
  <c r="BA118" i="6"/>
  <c r="BA119" i="6"/>
  <c r="BA120" i="6"/>
  <c r="BA121" i="6"/>
  <c r="BA122" i="6"/>
  <c r="BA123" i="6"/>
  <c r="BA124" i="6"/>
  <c r="BA125" i="6"/>
  <c r="BA126" i="6"/>
  <c r="BA127" i="6"/>
  <c r="BA128" i="6"/>
  <c r="BA129" i="6"/>
  <c r="BA130" i="6"/>
  <c r="BA131" i="6"/>
  <c r="BA132" i="6"/>
  <c r="BA133" i="6"/>
  <c r="BA134" i="6"/>
  <c r="BA135" i="6"/>
  <c r="BA136" i="6"/>
  <c r="BA137" i="6"/>
  <c r="BA138" i="6"/>
  <c r="BA139" i="6"/>
  <c r="BA140" i="6"/>
  <c r="BA141" i="6"/>
  <c r="AZ5" i="6"/>
  <c r="AZ6" i="6"/>
  <c r="AZ7" i="6"/>
  <c r="AZ8" i="6"/>
  <c r="AZ9" i="6"/>
  <c r="AZ10" i="6"/>
  <c r="AZ11" i="6"/>
  <c r="AZ12" i="6"/>
  <c r="AZ13" i="6"/>
  <c r="AZ14" i="6"/>
  <c r="AZ15" i="6"/>
  <c r="AZ16" i="6"/>
  <c r="AZ17" i="6"/>
  <c r="AZ18" i="6"/>
  <c r="AZ19" i="6"/>
  <c r="AZ20" i="6"/>
  <c r="AZ21" i="6"/>
  <c r="AZ22" i="6"/>
  <c r="AZ23" i="6"/>
  <c r="AZ24" i="6"/>
  <c r="AZ25" i="6"/>
  <c r="AZ26" i="6"/>
  <c r="AZ27" i="6"/>
  <c r="AZ28" i="6"/>
  <c r="AZ29" i="6"/>
  <c r="AZ30" i="6"/>
  <c r="AZ31" i="6"/>
  <c r="AZ32" i="6"/>
  <c r="AZ33" i="6"/>
  <c r="AZ34" i="6"/>
  <c r="AZ35" i="6"/>
  <c r="AZ36" i="6"/>
  <c r="AZ37" i="6"/>
  <c r="AZ38" i="6"/>
  <c r="AZ39" i="6"/>
  <c r="AZ40" i="6"/>
  <c r="AZ41" i="6"/>
  <c r="AZ42" i="6"/>
  <c r="AZ43" i="6"/>
  <c r="AZ44" i="6"/>
  <c r="AZ45" i="6"/>
  <c r="AZ46" i="6"/>
  <c r="AZ47" i="6"/>
  <c r="AZ48" i="6"/>
  <c r="AZ49" i="6"/>
  <c r="AZ50" i="6"/>
  <c r="AZ51" i="6"/>
  <c r="AZ52" i="6"/>
  <c r="AZ53" i="6"/>
  <c r="AZ54" i="6"/>
  <c r="AZ55" i="6"/>
  <c r="AZ56" i="6"/>
  <c r="AZ57" i="6"/>
  <c r="AZ58" i="6"/>
  <c r="AZ59" i="6"/>
  <c r="AZ60" i="6"/>
  <c r="AZ61" i="6"/>
  <c r="AZ62" i="6"/>
  <c r="AZ63" i="6"/>
  <c r="AZ64" i="6"/>
  <c r="AZ65" i="6"/>
  <c r="AZ66" i="6"/>
  <c r="AZ67" i="6"/>
  <c r="AZ68" i="6"/>
  <c r="AZ69" i="6"/>
  <c r="AZ70" i="6"/>
  <c r="AZ71" i="6"/>
  <c r="AZ72" i="6"/>
  <c r="AZ73" i="6"/>
  <c r="AZ74" i="6"/>
  <c r="AZ75" i="6"/>
  <c r="AZ76" i="6"/>
  <c r="AZ77" i="6"/>
  <c r="AZ78" i="6"/>
  <c r="AZ79" i="6"/>
  <c r="AZ80" i="6"/>
  <c r="AZ81" i="6"/>
  <c r="AZ82" i="6"/>
  <c r="AZ83" i="6"/>
  <c r="AZ84" i="6"/>
  <c r="AZ85" i="6"/>
  <c r="AZ86" i="6"/>
  <c r="AZ87" i="6"/>
  <c r="AZ88" i="6"/>
  <c r="AZ89" i="6"/>
  <c r="AZ90" i="6"/>
  <c r="AZ91" i="6"/>
  <c r="AZ92" i="6"/>
  <c r="AZ93" i="6"/>
  <c r="AZ94" i="6"/>
  <c r="AZ95" i="6"/>
  <c r="AZ96" i="6"/>
  <c r="AZ97" i="6"/>
  <c r="AZ98" i="6"/>
  <c r="AZ99" i="6"/>
  <c r="AZ100" i="6"/>
  <c r="AZ101" i="6"/>
  <c r="AZ102" i="6"/>
  <c r="AZ103" i="6"/>
  <c r="AZ104" i="6"/>
  <c r="AZ105" i="6"/>
  <c r="AZ106" i="6"/>
  <c r="AZ107" i="6"/>
  <c r="AZ108" i="6"/>
  <c r="AZ109" i="6"/>
  <c r="AZ110" i="6"/>
  <c r="AZ111" i="6"/>
  <c r="AZ112" i="6"/>
  <c r="AZ113" i="6"/>
  <c r="AZ114" i="6"/>
  <c r="AZ115" i="6"/>
  <c r="AZ116" i="6"/>
  <c r="AZ117" i="6"/>
  <c r="AZ118" i="6"/>
  <c r="AZ119" i="6"/>
  <c r="AZ120" i="6"/>
  <c r="AZ121" i="6"/>
  <c r="AZ122" i="6"/>
  <c r="AZ123" i="6"/>
  <c r="AZ124" i="6"/>
  <c r="AZ125" i="6"/>
  <c r="AZ126" i="6"/>
  <c r="AZ127" i="6"/>
  <c r="AZ128" i="6"/>
  <c r="AZ129" i="6"/>
  <c r="AZ130" i="6"/>
  <c r="AZ131" i="6"/>
  <c r="AZ132" i="6"/>
  <c r="AZ133" i="6"/>
  <c r="AZ134" i="6"/>
  <c r="AZ135" i="6"/>
  <c r="AZ136" i="6"/>
  <c r="AZ137" i="6"/>
  <c r="AZ138" i="6"/>
  <c r="AZ139" i="6"/>
  <c r="AZ140" i="6"/>
  <c r="AZ141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2" i="6"/>
  <c r="AX23" i="6"/>
  <c r="AX24" i="6"/>
  <c r="AX25" i="6"/>
  <c r="AX26" i="6"/>
  <c r="AX27" i="6"/>
  <c r="AX28" i="6"/>
  <c r="AX29" i="6"/>
  <c r="AX30" i="6"/>
  <c r="AX31" i="6"/>
  <c r="AX32" i="6"/>
  <c r="AX33" i="6"/>
  <c r="AX34" i="6"/>
  <c r="AX35" i="6"/>
  <c r="AX36" i="6"/>
  <c r="AX37" i="6"/>
  <c r="AX38" i="6"/>
  <c r="AX39" i="6"/>
  <c r="AX40" i="6"/>
  <c r="AX41" i="6"/>
  <c r="AX42" i="6"/>
  <c r="AX43" i="6"/>
  <c r="AX44" i="6"/>
  <c r="AX45" i="6"/>
  <c r="AX46" i="6"/>
  <c r="AX47" i="6"/>
  <c r="AX48" i="6"/>
  <c r="AX49" i="6"/>
  <c r="AX50" i="6"/>
  <c r="AX51" i="6"/>
  <c r="AX52" i="6"/>
  <c r="AX53" i="6"/>
  <c r="AX54" i="6"/>
  <c r="AX55" i="6"/>
  <c r="AX56" i="6"/>
  <c r="AX57" i="6"/>
  <c r="AX58" i="6"/>
  <c r="AX59" i="6"/>
  <c r="AX60" i="6"/>
  <c r="AX61" i="6"/>
  <c r="AX62" i="6"/>
  <c r="AX63" i="6"/>
  <c r="AX64" i="6"/>
  <c r="AX65" i="6"/>
  <c r="AX66" i="6"/>
  <c r="AX67" i="6"/>
  <c r="AX68" i="6"/>
  <c r="AX69" i="6"/>
  <c r="AX70" i="6"/>
  <c r="AX71" i="6"/>
  <c r="AX72" i="6"/>
  <c r="AX73" i="6"/>
  <c r="AX74" i="6"/>
  <c r="AX75" i="6"/>
  <c r="AX76" i="6"/>
  <c r="AX77" i="6"/>
  <c r="AX78" i="6"/>
  <c r="AX79" i="6"/>
  <c r="AX80" i="6"/>
  <c r="AX81" i="6"/>
  <c r="AX82" i="6"/>
  <c r="AX83" i="6"/>
  <c r="AX84" i="6"/>
  <c r="AX85" i="6"/>
  <c r="AX86" i="6"/>
  <c r="AX87" i="6"/>
  <c r="AX88" i="6"/>
  <c r="AX89" i="6"/>
  <c r="AX90" i="6"/>
  <c r="AX91" i="6"/>
  <c r="AX92" i="6"/>
  <c r="AX93" i="6"/>
  <c r="AX94" i="6"/>
  <c r="AX95" i="6"/>
  <c r="AX96" i="6"/>
  <c r="AX97" i="6"/>
  <c r="AX98" i="6"/>
  <c r="AX99" i="6"/>
  <c r="AX100" i="6"/>
  <c r="AX101" i="6"/>
  <c r="AX102" i="6"/>
  <c r="AX103" i="6"/>
  <c r="AX104" i="6"/>
  <c r="AX105" i="6"/>
  <c r="AX106" i="6"/>
  <c r="AX107" i="6"/>
  <c r="AX108" i="6"/>
  <c r="AX109" i="6"/>
  <c r="AX110" i="6"/>
  <c r="AX111" i="6"/>
  <c r="AX112" i="6"/>
  <c r="AX113" i="6"/>
  <c r="AX114" i="6"/>
  <c r="AX115" i="6"/>
  <c r="AX116" i="6"/>
  <c r="AX117" i="6"/>
  <c r="AX118" i="6"/>
  <c r="AX119" i="6"/>
  <c r="AX120" i="6"/>
  <c r="AX121" i="6"/>
  <c r="AX122" i="6"/>
  <c r="AX123" i="6"/>
  <c r="AX124" i="6"/>
  <c r="AX125" i="6"/>
  <c r="AX126" i="6"/>
  <c r="AX127" i="6"/>
  <c r="AX128" i="6"/>
  <c r="AX129" i="6"/>
  <c r="AX130" i="6"/>
  <c r="AX131" i="6"/>
  <c r="AX132" i="6"/>
  <c r="AX133" i="6"/>
  <c r="AX134" i="6"/>
  <c r="AX135" i="6"/>
  <c r="AX136" i="6"/>
  <c r="AX137" i="6"/>
  <c r="AX138" i="6"/>
  <c r="AX139" i="6"/>
  <c r="AX140" i="6"/>
  <c r="AX141" i="6"/>
  <c r="AW5" i="6"/>
  <c r="AW6" i="6"/>
  <c r="AW7" i="6"/>
  <c r="AW8" i="6"/>
  <c r="AW9" i="6"/>
  <c r="AW10" i="6"/>
  <c r="AW11" i="6"/>
  <c r="AW12" i="6"/>
  <c r="AW13" i="6"/>
  <c r="AW14" i="6"/>
  <c r="AW15" i="6"/>
  <c r="AW16" i="6"/>
  <c r="AW17" i="6"/>
  <c r="AW18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AW31" i="6"/>
  <c r="AW32" i="6"/>
  <c r="AW33" i="6"/>
  <c r="AW34" i="6"/>
  <c r="AW35" i="6"/>
  <c r="AW36" i="6"/>
  <c r="AW37" i="6"/>
  <c r="AW38" i="6"/>
  <c r="AW39" i="6"/>
  <c r="AW40" i="6"/>
  <c r="AW41" i="6"/>
  <c r="AW42" i="6"/>
  <c r="AW43" i="6"/>
  <c r="AW44" i="6"/>
  <c r="AW45" i="6"/>
  <c r="AW46" i="6"/>
  <c r="AW47" i="6"/>
  <c r="AW48" i="6"/>
  <c r="AW49" i="6"/>
  <c r="AW50" i="6"/>
  <c r="AW51" i="6"/>
  <c r="AW52" i="6"/>
  <c r="AW53" i="6"/>
  <c r="AW54" i="6"/>
  <c r="AW55" i="6"/>
  <c r="AW56" i="6"/>
  <c r="AW57" i="6"/>
  <c r="AW58" i="6"/>
  <c r="AW59" i="6"/>
  <c r="AW60" i="6"/>
  <c r="AW61" i="6"/>
  <c r="AW62" i="6"/>
  <c r="AW63" i="6"/>
  <c r="AW64" i="6"/>
  <c r="AW65" i="6"/>
  <c r="AW66" i="6"/>
  <c r="AW67" i="6"/>
  <c r="AW68" i="6"/>
  <c r="AW69" i="6"/>
  <c r="AW70" i="6"/>
  <c r="AW71" i="6"/>
  <c r="AW72" i="6"/>
  <c r="AW73" i="6"/>
  <c r="AW74" i="6"/>
  <c r="AW75" i="6"/>
  <c r="AW76" i="6"/>
  <c r="AW77" i="6"/>
  <c r="AW78" i="6"/>
  <c r="AW79" i="6"/>
  <c r="AW80" i="6"/>
  <c r="AW81" i="6"/>
  <c r="AW82" i="6"/>
  <c r="AW83" i="6"/>
  <c r="AW84" i="6"/>
  <c r="AW85" i="6"/>
  <c r="AW86" i="6"/>
  <c r="AW87" i="6"/>
  <c r="AW88" i="6"/>
  <c r="AW89" i="6"/>
  <c r="AW90" i="6"/>
  <c r="AW91" i="6"/>
  <c r="AW92" i="6"/>
  <c r="AW93" i="6"/>
  <c r="AW94" i="6"/>
  <c r="AW95" i="6"/>
  <c r="AW96" i="6"/>
  <c r="AW97" i="6"/>
  <c r="AW98" i="6"/>
  <c r="AW99" i="6"/>
  <c r="AW100" i="6"/>
  <c r="AW101" i="6"/>
  <c r="AW102" i="6"/>
  <c r="AW103" i="6"/>
  <c r="AW104" i="6"/>
  <c r="AW105" i="6"/>
  <c r="AW106" i="6"/>
  <c r="AW107" i="6"/>
  <c r="AW108" i="6"/>
  <c r="AW109" i="6"/>
  <c r="AW110" i="6"/>
  <c r="AW111" i="6"/>
  <c r="AW112" i="6"/>
  <c r="AW113" i="6"/>
  <c r="AW114" i="6"/>
  <c r="AW115" i="6"/>
  <c r="AW116" i="6"/>
  <c r="AW117" i="6"/>
  <c r="AW118" i="6"/>
  <c r="AW119" i="6"/>
  <c r="AW120" i="6"/>
  <c r="AW121" i="6"/>
  <c r="AW122" i="6"/>
  <c r="AW123" i="6"/>
  <c r="AW124" i="6"/>
  <c r="AW125" i="6"/>
  <c r="AW126" i="6"/>
  <c r="AW127" i="6"/>
  <c r="AW128" i="6"/>
  <c r="AW129" i="6"/>
  <c r="AW130" i="6"/>
  <c r="AW131" i="6"/>
  <c r="AW132" i="6"/>
  <c r="AW133" i="6"/>
  <c r="AW134" i="6"/>
  <c r="AW135" i="6"/>
  <c r="AW136" i="6"/>
  <c r="AW137" i="6"/>
  <c r="AW138" i="6"/>
  <c r="AW139" i="6"/>
  <c r="AW140" i="6"/>
  <c r="AW141" i="6"/>
  <c r="AV5" i="6"/>
  <c r="AV6" i="6"/>
  <c r="AV7" i="6"/>
  <c r="AV8" i="6"/>
  <c r="AV9" i="6"/>
  <c r="AV10" i="6"/>
  <c r="AV11" i="6"/>
  <c r="AV12" i="6"/>
  <c r="AV13" i="6"/>
  <c r="AV14" i="6"/>
  <c r="AV15" i="6"/>
  <c r="AV16" i="6"/>
  <c r="AV17" i="6"/>
  <c r="AV18" i="6"/>
  <c r="AV19" i="6"/>
  <c r="AV20" i="6"/>
  <c r="AV21" i="6"/>
  <c r="AV22" i="6"/>
  <c r="AV23" i="6"/>
  <c r="AV24" i="6"/>
  <c r="AV25" i="6"/>
  <c r="AV26" i="6"/>
  <c r="AV27" i="6"/>
  <c r="AV28" i="6"/>
  <c r="AV29" i="6"/>
  <c r="AV30" i="6"/>
  <c r="AV31" i="6"/>
  <c r="AV32" i="6"/>
  <c r="AV33" i="6"/>
  <c r="AV34" i="6"/>
  <c r="AV35" i="6"/>
  <c r="AV36" i="6"/>
  <c r="AV37" i="6"/>
  <c r="AV38" i="6"/>
  <c r="AV39" i="6"/>
  <c r="AV40" i="6"/>
  <c r="AV41" i="6"/>
  <c r="AV42" i="6"/>
  <c r="AV43" i="6"/>
  <c r="AV44" i="6"/>
  <c r="AV45" i="6"/>
  <c r="AV46" i="6"/>
  <c r="AV47" i="6"/>
  <c r="AV48" i="6"/>
  <c r="AV49" i="6"/>
  <c r="AV50" i="6"/>
  <c r="AV51" i="6"/>
  <c r="AV52" i="6"/>
  <c r="AV53" i="6"/>
  <c r="AV54" i="6"/>
  <c r="AV55" i="6"/>
  <c r="AV56" i="6"/>
  <c r="AV57" i="6"/>
  <c r="AV58" i="6"/>
  <c r="AV59" i="6"/>
  <c r="AV60" i="6"/>
  <c r="AV61" i="6"/>
  <c r="AV62" i="6"/>
  <c r="AV63" i="6"/>
  <c r="AV64" i="6"/>
  <c r="AV65" i="6"/>
  <c r="AV66" i="6"/>
  <c r="AV67" i="6"/>
  <c r="AV68" i="6"/>
  <c r="AV69" i="6"/>
  <c r="AV70" i="6"/>
  <c r="AV71" i="6"/>
  <c r="AV72" i="6"/>
  <c r="AV73" i="6"/>
  <c r="AV74" i="6"/>
  <c r="AV75" i="6"/>
  <c r="AV76" i="6"/>
  <c r="AV77" i="6"/>
  <c r="AV78" i="6"/>
  <c r="AV79" i="6"/>
  <c r="AV80" i="6"/>
  <c r="AV81" i="6"/>
  <c r="AV82" i="6"/>
  <c r="AV83" i="6"/>
  <c r="AV84" i="6"/>
  <c r="AV85" i="6"/>
  <c r="AV86" i="6"/>
  <c r="AV87" i="6"/>
  <c r="AV88" i="6"/>
  <c r="AV89" i="6"/>
  <c r="AV90" i="6"/>
  <c r="AV91" i="6"/>
  <c r="AV92" i="6"/>
  <c r="AV93" i="6"/>
  <c r="AV94" i="6"/>
  <c r="AV95" i="6"/>
  <c r="AV96" i="6"/>
  <c r="AV97" i="6"/>
  <c r="AV98" i="6"/>
  <c r="AV99" i="6"/>
  <c r="AV100" i="6"/>
  <c r="AV101" i="6"/>
  <c r="AV102" i="6"/>
  <c r="AV103" i="6"/>
  <c r="AV104" i="6"/>
  <c r="AV105" i="6"/>
  <c r="AV106" i="6"/>
  <c r="AV107" i="6"/>
  <c r="AV108" i="6"/>
  <c r="AV109" i="6"/>
  <c r="AV110" i="6"/>
  <c r="AV111" i="6"/>
  <c r="AV112" i="6"/>
  <c r="AV113" i="6"/>
  <c r="AV114" i="6"/>
  <c r="AV115" i="6"/>
  <c r="AV116" i="6"/>
  <c r="AV117" i="6"/>
  <c r="AV118" i="6"/>
  <c r="AV119" i="6"/>
  <c r="AV120" i="6"/>
  <c r="AV121" i="6"/>
  <c r="AV122" i="6"/>
  <c r="AV123" i="6"/>
  <c r="AV124" i="6"/>
  <c r="AV125" i="6"/>
  <c r="AV126" i="6"/>
  <c r="AV127" i="6"/>
  <c r="AV128" i="6"/>
  <c r="AV129" i="6"/>
  <c r="AV130" i="6"/>
  <c r="AV131" i="6"/>
  <c r="AV132" i="6"/>
  <c r="AV133" i="6"/>
  <c r="AV134" i="6"/>
  <c r="AV135" i="6"/>
  <c r="AV136" i="6"/>
  <c r="AV137" i="6"/>
  <c r="AV138" i="6"/>
  <c r="AV139" i="6"/>
  <c r="AV140" i="6"/>
  <c r="AV141" i="6"/>
  <c r="AU5" i="6"/>
  <c r="AU6" i="6"/>
  <c r="AU7" i="6"/>
  <c r="AU8" i="6"/>
  <c r="AU9" i="6"/>
  <c r="AU10" i="6"/>
  <c r="AU11" i="6"/>
  <c r="AU12" i="6"/>
  <c r="AU13" i="6"/>
  <c r="AU14" i="6"/>
  <c r="AU15" i="6"/>
  <c r="AU16" i="6"/>
  <c r="AU17" i="6"/>
  <c r="AU18" i="6"/>
  <c r="AU19" i="6"/>
  <c r="AU20" i="6"/>
  <c r="AU21" i="6"/>
  <c r="AU22" i="6"/>
  <c r="AU23" i="6"/>
  <c r="AU24" i="6"/>
  <c r="AU25" i="6"/>
  <c r="AU26" i="6"/>
  <c r="AU27" i="6"/>
  <c r="AU28" i="6"/>
  <c r="AU29" i="6"/>
  <c r="AU30" i="6"/>
  <c r="AU31" i="6"/>
  <c r="AU32" i="6"/>
  <c r="AU33" i="6"/>
  <c r="AU34" i="6"/>
  <c r="AU35" i="6"/>
  <c r="AU36" i="6"/>
  <c r="AU37" i="6"/>
  <c r="AU38" i="6"/>
  <c r="AU39" i="6"/>
  <c r="AU40" i="6"/>
  <c r="AU41" i="6"/>
  <c r="AU42" i="6"/>
  <c r="AU43" i="6"/>
  <c r="AU44" i="6"/>
  <c r="AU45" i="6"/>
  <c r="AU46" i="6"/>
  <c r="AU47" i="6"/>
  <c r="AU48" i="6"/>
  <c r="AU49" i="6"/>
  <c r="AU50" i="6"/>
  <c r="AU51" i="6"/>
  <c r="AU52" i="6"/>
  <c r="AU53" i="6"/>
  <c r="AU54" i="6"/>
  <c r="AU55" i="6"/>
  <c r="AU56" i="6"/>
  <c r="AU57" i="6"/>
  <c r="AU58" i="6"/>
  <c r="AU59" i="6"/>
  <c r="AU60" i="6"/>
  <c r="AU61" i="6"/>
  <c r="AU62" i="6"/>
  <c r="AU63" i="6"/>
  <c r="AU64" i="6"/>
  <c r="AU65" i="6"/>
  <c r="AU66" i="6"/>
  <c r="AU67" i="6"/>
  <c r="AU68" i="6"/>
  <c r="AU69" i="6"/>
  <c r="AU70" i="6"/>
  <c r="AU71" i="6"/>
  <c r="AU72" i="6"/>
  <c r="AU73" i="6"/>
  <c r="AU74" i="6"/>
  <c r="AU75" i="6"/>
  <c r="AU76" i="6"/>
  <c r="AU77" i="6"/>
  <c r="AU78" i="6"/>
  <c r="AU79" i="6"/>
  <c r="AU80" i="6"/>
  <c r="AU81" i="6"/>
  <c r="AU82" i="6"/>
  <c r="AU83" i="6"/>
  <c r="AU84" i="6"/>
  <c r="AU85" i="6"/>
  <c r="AU86" i="6"/>
  <c r="AU87" i="6"/>
  <c r="AU88" i="6"/>
  <c r="AU89" i="6"/>
  <c r="AU90" i="6"/>
  <c r="AU91" i="6"/>
  <c r="AU92" i="6"/>
  <c r="AU93" i="6"/>
  <c r="AU94" i="6"/>
  <c r="AU95" i="6"/>
  <c r="AU96" i="6"/>
  <c r="AU97" i="6"/>
  <c r="AU98" i="6"/>
  <c r="AU99" i="6"/>
  <c r="AU100" i="6"/>
  <c r="AU101" i="6"/>
  <c r="AU102" i="6"/>
  <c r="AU103" i="6"/>
  <c r="AU104" i="6"/>
  <c r="AU105" i="6"/>
  <c r="AU106" i="6"/>
  <c r="AU107" i="6"/>
  <c r="AU108" i="6"/>
  <c r="AU109" i="6"/>
  <c r="AU110" i="6"/>
  <c r="AU111" i="6"/>
  <c r="AU112" i="6"/>
  <c r="AU113" i="6"/>
  <c r="AU114" i="6"/>
  <c r="AU115" i="6"/>
  <c r="AU116" i="6"/>
  <c r="AU117" i="6"/>
  <c r="AU118" i="6"/>
  <c r="AU119" i="6"/>
  <c r="AU120" i="6"/>
  <c r="AU121" i="6"/>
  <c r="AU122" i="6"/>
  <c r="AU123" i="6"/>
  <c r="AU124" i="6"/>
  <c r="AU125" i="6"/>
  <c r="AU126" i="6"/>
  <c r="AU127" i="6"/>
  <c r="AU128" i="6"/>
  <c r="AU129" i="6"/>
  <c r="AU130" i="6"/>
  <c r="AU131" i="6"/>
  <c r="AU132" i="6"/>
  <c r="AU133" i="6"/>
  <c r="AU134" i="6"/>
  <c r="AU135" i="6"/>
  <c r="AU136" i="6"/>
  <c r="AU137" i="6"/>
  <c r="AU138" i="6"/>
  <c r="AU139" i="6"/>
  <c r="AU140" i="6"/>
  <c r="AU141" i="6"/>
  <c r="AT5" i="6"/>
  <c r="AT6" i="6"/>
  <c r="AT7" i="6"/>
  <c r="AT8" i="6"/>
  <c r="AT9" i="6"/>
  <c r="AT10" i="6"/>
  <c r="AT11" i="6"/>
  <c r="AT12" i="6"/>
  <c r="AT13" i="6"/>
  <c r="AT14" i="6"/>
  <c r="AT15" i="6"/>
  <c r="AT16" i="6"/>
  <c r="AT17" i="6"/>
  <c r="AT18" i="6"/>
  <c r="AT19" i="6"/>
  <c r="AT20" i="6"/>
  <c r="AT21" i="6"/>
  <c r="AT22" i="6"/>
  <c r="AT23" i="6"/>
  <c r="AT24" i="6"/>
  <c r="AT25" i="6"/>
  <c r="AT26" i="6"/>
  <c r="AT27" i="6"/>
  <c r="AT28" i="6"/>
  <c r="AT29" i="6"/>
  <c r="AT30" i="6"/>
  <c r="AT31" i="6"/>
  <c r="AT32" i="6"/>
  <c r="AT33" i="6"/>
  <c r="AT34" i="6"/>
  <c r="AT35" i="6"/>
  <c r="AT36" i="6"/>
  <c r="AT37" i="6"/>
  <c r="AT38" i="6"/>
  <c r="AT39" i="6"/>
  <c r="AT40" i="6"/>
  <c r="AT41" i="6"/>
  <c r="AT42" i="6"/>
  <c r="AT43" i="6"/>
  <c r="AT44" i="6"/>
  <c r="AT45" i="6"/>
  <c r="AT46" i="6"/>
  <c r="AT47" i="6"/>
  <c r="AT48" i="6"/>
  <c r="AT49" i="6"/>
  <c r="AT50" i="6"/>
  <c r="AT51" i="6"/>
  <c r="AT52" i="6"/>
  <c r="AT53" i="6"/>
  <c r="AT54" i="6"/>
  <c r="AT55" i="6"/>
  <c r="AT56" i="6"/>
  <c r="AT57" i="6"/>
  <c r="AT58" i="6"/>
  <c r="AT59" i="6"/>
  <c r="AT60" i="6"/>
  <c r="AT61" i="6"/>
  <c r="AT62" i="6"/>
  <c r="AT63" i="6"/>
  <c r="AT64" i="6"/>
  <c r="AT65" i="6"/>
  <c r="AT66" i="6"/>
  <c r="AT67" i="6"/>
  <c r="AT68" i="6"/>
  <c r="AT69" i="6"/>
  <c r="AT70" i="6"/>
  <c r="AT71" i="6"/>
  <c r="AT72" i="6"/>
  <c r="AT73" i="6"/>
  <c r="AT74" i="6"/>
  <c r="AT75" i="6"/>
  <c r="AT76" i="6"/>
  <c r="AT77" i="6"/>
  <c r="AT78" i="6"/>
  <c r="AT79" i="6"/>
  <c r="AT80" i="6"/>
  <c r="AT81" i="6"/>
  <c r="AT82" i="6"/>
  <c r="AT83" i="6"/>
  <c r="AT84" i="6"/>
  <c r="AT85" i="6"/>
  <c r="AT86" i="6"/>
  <c r="AT87" i="6"/>
  <c r="AT88" i="6"/>
  <c r="AT89" i="6"/>
  <c r="AT90" i="6"/>
  <c r="AT91" i="6"/>
  <c r="AT92" i="6"/>
  <c r="AT93" i="6"/>
  <c r="AT94" i="6"/>
  <c r="AT95" i="6"/>
  <c r="AT96" i="6"/>
  <c r="AT97" i="6"/>
  <c r="AT98" i="6"/>
  <c r="AT99" i="6"/>
  <c r="AT100" i="6"/>
  <c r="AT101" i="6"/>
  <c r="AT102" i="6"/>
  <c r="AT103" i="6"/>
  <c r="AT104" i="6"/>
  <c r="AT105" i="6"/>
  <c r="AT106" i="6"/>
  <c r="AT107" i="6"/>
  <c r="AT108" i="6"/>
  <c r="AT109" i="6"/>
  <c r="AT110" i="6"/>
  <c r="AT111" i="6"/>
  <c r="AT112" i="6"/>
  <c r="AT113" i="6"/>
  <c r="AT114" i="6"/>
  <c r="AT115" i="6"/>
  <c r="AT116" i="6"/>
  <c r="AT117" i="6"/>
  <c r="AT118" i="6"/>
  <c r="AT119" i="6"/>
  <c r="AT120" i="6"/>
  <c r="AT121" i="6"/>
  <c r="AT122" i="6"/>
  <c r="AT123" i="6"/>
  <c r="AT124" i="6"/>
  <c r="AT125" i="6"/>
  <c r="AT126" i="6"/>
  <c r="AT127" i="6"/>
  <c r="AT128" i="6"/>
  <c r="AT129" i="6"/>
  <c r="AT130" i="6"/>
  <c r="AT131" i="6"/>
  <c r="AT132" i="6"/>
  <c r="AT133" i="6"/>
  <c r="AT134" i="6"/>
  <c r="AT135" i="6"/>
  <c r="AT136" i="6"/>
  <c r="AT137" i="6"/>
  <c r="AT138" i="6"/>
  <c r="AT139" i="6"/>
  <c r="AT140" i="6"/>
  <c r="AT141" i="6"/>
  <c r="AS5" i="6"/>
  <c r="AS6" i="6"/>
  <c r="AS7" i="6"/>
  <c r="AS8" i="6"/>
  <c r="AS9" i="6"/>
  <c r="AS10" i="6"/>
  <c r="AS11" i="6"/>
  <c r="AS12" i="6"/>
  <c r="AS13" i="6"/>
  <c r="AS14" i="6"/>
  <c r="AS15" i="6"/>
  <c r="AS16" i="6"/>
  <c r="AS17" i="6"/>
  <c r="AS18" i="6"/>
  <c r="AS19" i="6"/>
  <c r="AS20" i="6"/>
  <c r="AS21" i="6"/>
  <c r="AS22" i="6"/>
  <c r="AS23" i="6"/>
  <c r="AS24" i="6"/>
  <c r="AS25" i="6"/>
  <c r="AS26" i="6"/>
  <c r="AS27" i="6"/>
  <c r="AS28" i="6"/>
  <c r="AS29" i="6"/>
  <c r="AS30" i="6"/>
  <c r="AS31" i="6"/>
  <c r="AS32" i="6"/>
  <c r="AS33" i="6"/>
  <c r="AS34" i="6"/>
  <c r="AS35" i="6"/>
  <c r="AS36" i="6"/>
  <c r="AS37" i="6"/>
  <c r="AS38" i="6"/>
  <c r="AS39" i="6"/>
  <c r="AS40" i="6"/>
  <c r="AS41" i="6"/>
  <c r="AS42" i="6"/>
  <c r="AS43" i="6"/>
  <c r="AS44" i="6"/>
  <c r="AS45" i="6"/>
  <c r="AS46" i="6"/>
  <c r="AS47" i="6"/>
  <c r="AS48" i="6"/>
  <c r="AS49" i="6"/>
  <c r="AS50" i="6"/>
  <c r="AS51" i="6"/>
  <c r="AS52" i="6"/>
  <c r="AS53" i="6"/>
  <c r="AS54" i="6"/>
  <c r="AS55" i="6"/>
  <c r="AS56" i="6"/>
  <c r="AS57" i="6"/>
  <c r="AS58" i="6"/>
  <c r="AS59" i="6"/>
  <c r="AS60" i="6"/>
  <c r="AS61" i="6"/>
  <c r="AS62" i="6"/>
  <c r="AS63" i="6"/>
  <c r="AS64" i="6"/>
  <c r="AS65" i="6"/>
  <c r="AS66" i="6"/>
  <c r="AS67" i="6"/>
  <c r="AS68" i="6"/>
  <c r="AS69" i="6"/>
  <c r="AS70" i="6"/>
  <c r="AS71" i="6"/>
  <c r="AS72" i="6"/>
  <c r="AS73" i="6"/>
  <c r="AS74" i="6"/>
  <c r="AS75" i="6"/>
  <c r="AS76" i="6"/>
  <c r="AS77" i="6"/>
  <c r="AS78" i="6"/>
  <c r="AS79" i="6"/>
  <c r="AS80" i="6"/>
  <c r="AS81" i="6"/>
  <c r="AS82" i="6"/>
  <c r="AS83" i="6"/>
  <c r="AS84" i="6"/>
  <c r="AS85" i="6"/>
  <c r="AS86" i="6"/>
  <c r="AS87" i="6"/>
  <c r="AS88" i="6"/>
  <c r="AS89" i="6"/>
  <c r="AS90" i="6"/>
  <c r="AS91" i="6"/>
  <c r="AS92" i="6"/>
  <c r="AS93" i="6"/>
  <c r="AS94" i="6"/>
  <c r="AS95" i="6"/>
  <c r="AS96" i="6"/>
  <c r="AS97" i="6"/>
  <c r="AS98" i="6"/>
  <c r="AS99" i="6"/>
  <c r="AS100" i="6"/>
  <c r="AS101" i="6"/>
  <c r="AS102" i="6"/>
  <c r="AS103" i="6"/>
  <c r="AS104" i="6"/>
  <c r="AS105" i="6"/>
  <c r="AS106" i="6"/>
  <c r="AS107" i="6"/>
  <c r="AS108" i="6"/>
  <c r="AS109" i="6"/>
  <c r="AS110" i="6"/>
  <c r="AS111" i="6"/>
  <c r="AS112" i="6"/>
  <c r="AS113" i="6"/>
  <c r="AS114" i="6"/>
  <c r="AS115" i="6"/>
  <c r="AS116" i="6"/>
  <c r="AS117" i="6"/>
  <c r="AS118" i="6"/>
  <c r="AS119" i="6"/>
  <c r="AS120" i="6"/>
  <c r="AS121" i="6"/>
  <c r="AS122" i="6"/>
  <c r="AS123" i="6"/>
  <c r="AS124" i="6"/>
  <c r="AS125" i="6"/>
  <c r="AS126" i="6"/>
  <c r="AS127" i="6"/>
  <c r="AS128" i="6"/>
  <c r="AS129" i="6"/>
  <c r="AS130" i="6"/>
  <c r="AS131" i="6"/>
  <c r="AS132" i="6"/>
  <c r="AS133" i="6"/>
  <c r="AS134" i="6"/>
  <c r="AS135" i="6"/>
  <c r="AS136" i="6"/>
  <c r="AS137" i="6"/>
  <c r="AS138" i="6"/>
  <c r="AS139" i="6"/>
  <c r="AS140" i="6"/>
  <c r="AS141" i="6"/>
  <c r="AQ5" i="6"/>
  <c r="AQ6" i="6"/>
  <c r="AQ7" i="6"/>
  <c r="AQ8" i="6"/>
  <c r="AQ9" i="6"/>
  <c r="AQ10" i="6"/>
  <c r="AQ11" i="6"/>
  <c r="AQ12" i="6"/>
  <c r="AQ13" i="6"/>
  <c r="AQ14" i="6"/>
  <c r="AQ15" i="6"/>
  <c r="AQ16" i="6"/>
  <c r="AQ17" i="6"/>
  <c r="AQ18" i="6"/>
  <c r="AQ19" i="6"/>
  <c r="AQ20" i="6"/>
  <c r="AQ21" i="6"/>
  <c r="AQ22" i="6"/>
  <c r="AQ23" i="6"/>
  <c r="AQ24" i="6"/>
  <c r="AQ25" i="6"/>
  <c r="AQ26" i="6"/>
  <c r="AQ27" i="6"/>
  <c r="AQ28" i="6"/>
  <c r="AQ29" i="6"/>
  <c r="AQ30" i="6"/>
  <c r="AQ31" i="6"/>
  <c r="AQ32" i="6"/>
  <c r="AQ33" i="6"/>
  <c r="AQ34" i="6"/>
  <c r="AQ35" i="6"/>
  <c r="AQ36" i="6"/>
  <c r="AQ37" i="6"/>
  <c r="AQ38" i="6"/>
  <c r="AQ39" i="6"/>
  <c r="AQ40" i="6"/>
  <c r="AQ41" i="6"/>
  <c r="AQ42" i="6"/>
  <c r="AQ43" i="6"/>
  <c r="AQ44" i="6"/>
  <c r="AQ45" i="6"/>
  <c r="AQ46" i="6"/>
  <c r="AQ47" i="6"/>
  <c r="AQ48" i="6"/>
  <c r="AQ49" i="6"/>
  <c r="AQ50" i="6"/>
  <c r="AQ51" i="6"/>
  <c r="AQ52" i="6"/>
  <c r="AQ53" i="6"/>
  <c r="AQ54" i="6"/>
  <c r="AQ55" i="6"/>
  <c r="AQ56" i="6"/>
  <c r="AQ57" i="6"/>
  <c r="AQ58" i="6"/>
  <c r="AQ59" i="6"/>
  <c r="AQ60" i="6"/>
  <c r="AQ61" i="6"/>
  <c r="AQ62" i="6"/>
  <c r="AQ63" i="6"/>
  <c r="AQ64" i="6"/>
  <c r="AQ65" i="6"/>
  <c r="AQ66" i="6"/>
  <c r="AQ67" i="6"/>
  <c r="AQ68" i="6"/>
  <c r="AQ69" i="6"/>
  <c r="AQ70" i="6"/>
  <c r="AQ71" i="6"/>
  <c r="AQ72" i="6"/>
  <c r="AQ73" i="6"/>
  <c r="AQ74" i="6"/>
  <c r="AQ75" i="6"/>
  <c r="AQ76" i="6"/>
  <c r="AQ77" i="6"/>
  <c r="AQ78" i="6"/>
  <c r="AQ79" i="6"/>
  <c r="AQ80" i="6"/>
  <c r="AQ81" i="6"/>
  <c r="AQ82" i="6"/>
  <c r="AQ83" i="6"/>
  <c r="AQ84" i="6"/>
  <c r="AQ85" i="6"/>
  <c r="AQ86" i="6"/>
  <c r="AQ87" i="6"/>
  <c r="AQ88" i="6"/>
  <c r="AQ89" i="6"/>
  <c r="AQ90" i="6"/>
  <c r="AQ91" i="6"/>
  <c r="AQ92" i="6"/>
  <c r="AQ93" i="6"/>
  <c r="AQ94" i="6"/>
  <c r="AQ95" i="6"/>
  <c r="AQ96" i="6"/>
  <c r="AQ97" i="6"/>
  <c r="AQ98" i="6"/>
  <c r="AQ99" i="6"/>
  <c r="AQ100" i="6"/>
  <c r="AQ101" i="6"/>
  <c r="AQ102" i="6"/>
  <c r="AQ103" i="6"/>
  <c r="AQ104" i="6"/>
  <c r="AQ105" i="6"/>
  <c r="AQ106" i="6"/>
  <c r="AQ107" i="6"/>
  <c r="AQ108" i="6"/>
  <c r="AQ109" i="6"/>
  <c r="AQ110" i="6"/>
  <c r="AQ111" i="6"/>
  <c r="AQ112" i="6"/>
  <c r="AQ113" i="6"/>
  <c r="AQ114" i="6"/>
  <c r="AQ115" i="6"/>
  <c r="AQ116" i="6"/>
  <c r="AQ117" i="6"/>
  <c r="AQ118" i="6"/>
  <c r="AQ119" i="6"/>
  <c r="AQ120" i="6"/>
  <c r="AQ121" i="6"/>
  <c r="AQ122" i="6"/>
  <c r="AQ123" i="6"/>
  <c r="AQ124" i="6"/>
  <c r="AQ125" i="6"/>
  <c r="AQ126" i="6"/>
  <c r="AQ127" i="6"/>
  <c r="AQ128" i="6"/>
  <c r="AQ129" i="6"/>
  <c r="AQ130" i="6"/>
  <c r="AQ131" i="6"/>
  <c r="AQ132" i="6"/>
  <c r="AQ133" i="6"/>
  <c r="AQ134" i="6"/>
  <c r="AQ135" i="6"/>
  <c r="AQ136" i="6"/>
  <c r="AQ137" i="6"/>
  <c r="AQ138" i="6"/>
  <c r="AQ139" i="6"/>
  <c r="AQ140" i="6"/>
  <c r="AQ141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P32" i="6"/>
  <c r="AP33" i="6"/>
  <c r="AP34" i="6"/>
  <c r="AP35" i="6"/>
  <c r="AP36" i="6"/>
  <c r="AP37" i="6"/>
  <c r="AP38" i="6"/>
  <c r="AP39" i="6"/>
  <c r="AP40" i="6"/>
  <c r="AP41" i="6"/>
  <c r="AP42" i="6"/>
  <c r="AP43" i="6"/>
  <c r="AP44" i="6"/>
  <c r="AP45" i="6"/>
  <c r="AP46" i="6"/>
  <c r="AP47" i="6"/>
  <c r="AP48" i="6"/>
  <c r="AP49" i="6"/>
  <c r="AP50" i="6"/>
  <c r="AP51" i="6"/>
  <c r="AP52" i="6"/>
  <c r="AP53" i="6"/>
  <c r="AP54" i="6"/>
  <c r="AP55" i="6"/>
  <c r="AP56" i="6"/>
  <c r="AP57" i="6"/>
  <c r="AP58" i="6"/>
  <c r="AP59" i="6"/>
  <c r="AP60" i="6"/>
  <c r="AP61" i="6"/>
  <c r="AP62" i="6"/>
  <c r="AP63" i="6"/>
  <c r="AP64" i="6"/>
  <c r="AP65" i="6"/>
  <c r="AP66" i="6"/>
  <c r="AP67" i="6"/>
  <c r="AP68" i="6"/>
  <c r="AP69" i="6"/>
  <c r="AP70" i="6"/>
  <c r="AP71" i="6"/>
  <c r="AP72" i="6"/>
  <c r="AP73" i="6"/>
  <c r="AP74" i="6"/>
  <c r="AP75" i="6"/>
  <c r="AP76" i="6"/>
  <c r="AP77" i="6"/>
  <c r="AP78" i="6"/>
  <c r="AP79" i="6"/>
  <c r="AP80" i="6"/>
  <c r="AP81" i="6"/>
  <c r="AP82" i="6"/>
  <c r="AP83" i="6"/>
  <c r="AP84" i="6"/>
  <c r="AP85" i="6"/>
  <c r="AP86" i="6"/>
  <c r="AP87" i="6"/>
  <c r="AP88" i="6"/>
  <c r="AP89" i="6"/>
  <c r="AP90" i="6"/>
  <c r="AP91" i="6"/>
  <c r="AP92" i="6"/>
  <c r="AP93" i="6"/>
  <c r="AP94" i="6"/>
  <c r="AP95" i="6"/>
  <c r="AP96" i="6"/>
  <c r="AP97" i="6"/>
  <c r="AP98" i="6"/>
  <c r="AP99" i="6"/>
  <c r="AP100" i="6"/>
  <c r="AP101" i="6"/>
  <c r="AP102" i="6"/>
  <c r="AP103" i="6"/>
  <c r="AP104" i="6"/>
  <c r="AP105" i="6"/>
  <c r="AP106" i="6"/>
  <c r="AP107" i="6"/>
  <c r="AP108" i="6"/>
  <c r="AP109" i="6"/>
  <c r="AP110" i="6"/>
  <c r="AP111" i="6"/>
  <c r="AP112" i="6"/>
  <c r="AP113" i="6"/>
  <c r="AP114" i="6"/>
  <c r="AP115" i="6"/>
  <c r="AP116" i="6"/>
  <c r="AP117" i="6"/>
  <c r="AP118" i="6"/>
  <c r="AP119" i="6"/>
  <c r="AP120" i="6"/>
  <c r="AP121" i="6"/>
  <c r="AP122" i="6"/>
  <c r="AP123" i="6"/>
  <c r="AP124" i="6"/>
  <c r="AP125" i="6"/>
  <c r="AP126" i="6"/>
  <c r="AP127" i="6"/>
  <c r="AP128" i="6"/>
  <c r="AP129" i="6"/>
  <c r="AP130" i="6"/>
  <c r="AP131" i="6"/>
  <c r="AP132" i="6"/>
  <c r="AP133" i="6"/>
  <c r="AP134" i="6"/>
  <c r="AP135" i="6"/>
  <c r="AP136" i="6"/>
  <c r="AP137" i="6"/>
  <c r="AP138" i="6"/>
  <c r="AP139" i="6"/>
  <c r="AP140" i="6"/>
  <c r="AP141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O33" i="6"/>
  <c r="AO34" i="6"/>
  <c r="AO35" i="6"/>
  <c r="AO36" i="6"/>
  <c r="AO37" i="6"/>
  <c r="AO38" i="6"/>
  <c r="AO39" i="6"/>
  <c r="AO40" i="6"/>
  <c r="AO41" i="6"/>
  <c r="AO42" i="6"/>
  <c r="AO43" i="6"/>
  <c r="AO44" i="6"/>
  <c r="AO45" i="6"/>
  <c r="AO46" i="6"/>
  <c r="AO47" i="6"/>
  <c r="AO48" i="6"/>
  <c r="AO49" i="6"/>
  <c r="AO50" i="6"/>
  <c r="AO51" i="6"/>
  <c r="AO52" i="6"/>
  <c r="AO53" i="6"/>
  <c r="AO54" i="6"/>
  <c r="AO55" i="6"/>
  <c r="AO56" i="6"/>
  <c r="AO57" i="6"/>
  <c r="AO58" i="6"/>
  <c r="AO59" i="6"/>
  <c r="AO60" i="6"/>
  <c r="AO61" i="6"/>
  <c r="AO62" i="6"/>
  <c r="AO63" i="6"/>
  <c r="AO64" i="6"/>
  <c r="AO65" i="6"/>
  <c r="AO66" i="6"/>
  <c r="AO67" i="6"/>
  <c r="AO68" i="6"/>
  <c r="AO69" i="6"/>
  <c r="AO70" i="6"/>
  <c r="AO71" i="6"/>
  <c r="AO72" i="6"/>
  <c r="AO73" i="6"/>
  <c r="AO74" i="6"/>
  <c r="AO75" i="6"/>
  <c r="AO76" i="6"/>
  <c r="AO77" i="6"/>
  <c r="AO78" i="6"/>
  <c r="AO79" i="6"/>
  <c r="AO80" i="6"/>
  <c r="AO81" i="6"/>
  <c r="AO82" i="6"/>
  <c r="AO83" i="6"/>
  <c r="AO84" i="6"/>
  <c r="AO85" i="6"/>
  <c r="AO86" i="6"/>
  <c r="AO87" i="6"/>
  <c r="AO88" i="6"/>
  <c r="AO89" i="6"/>
  <c r="AO90" i="6"/>
  <c r="AO91" i="6"/>
  <c r="AO92" i="6"/>
  <c r="AO93" i="6"/>
  <c r="AO94" i="6"/>
  <c r="AO95" i="6"/>
  <c r="AO96" i="6"/>
  <c r="AO97" i="6"/>
  <c r="AO98" i="6"/>
  <c r="AO99" i="6"/>
  <c r="AO100" i="6"/>
  <c r="AO101" i="6"/>
  <c r="AO102" i="6"/>
  <c r="AO103" i="6"/>
  <c r="AO104" i="6"/>
  <c r="AO105" i="6"/>
  <c r="AO106" i="6"/>
  <c r="AO107" i="6"/>
  <c r="AO108" i="6"/>
  <c r="AO109" i="6"/>
  <c r="AO110" i="6"/>
  <c r="AO111" i="6"/>
  <c r="AO112" i="6"/>
  <c r="AO113" i="6"/>
  <c r="AO114" i="6"/>
  <c r="AO115" i="6"/>
  <c r="AO116" i="6"/>
  <c r="AO117" i="6"/>
  <c r="AO118" i="6"/>
  <c r="AO119" i="6"/>
  <c r="AO120" i="6"/>
  <c r="AO121" i="6"/>
  <c r="AO122" i="6"/>
  <c r="AO123" i="6"/>
  <c r="AO124" i="6"/>
  <c r="AO125" i="6"/>
  <c r="AO126" i="6"/>
  <c r="AO127" i="6"/>
  <c r="AO128" i="6"/>
  <c r="AO129" i="6"/>
  <c r="AO130" i="6"/>
  <c r="AO131" i="6"/>
  <c r="AO132" i="6"/>
  <c r="AO133" i="6"/>
  <c r="AO134" i="6"/>
  <c r="AO135" i="6"/>
  <c r="AO136" i="6"/>
  <c r="AO137" i="6"/>
  <c r="AO138" i="6"/>
  <c r="AO139" i="6"/>
  <c r="AO140" i="6"/>
  <c r="AO141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N33" i="6"/>
  <c r="AN34" i="6"/>
  <c r="AN35" i="6"/>
  <c r="AN36" i="6"/>
  <c r="AN37" i="6"/>
  <c r="AN38" i="6"/>
  <c r="AN39" i="6"/>
  <c r="AN40" i="6"/>
  <c r="AN41" i="6"/>
  <c r="AN42" i="6"/>
  <c r="AN43" i="6"/>
  <c r="AN44" i="6"/>
  <c r="AN45" i="6"/>
  <c r="AN46" i="6"/>
  <c r="AN47" i="6"/>
  <c r="AN48" i="6"/>
  <c r="AN49" i="6"/>
  <c r="AN50" i="6"/>
  <c r="AN51" i="6"/>
  <c r="AN52" i="6"/>
  <c r="AN53" i="6"/>
  <c r="AN54" i="6"/>
  <c r="AN55" i="6"/>
  <c r="AN56" i="6"/>
  <c r="AN57" i="6"/>
  <c r="AN58" i="6"/>
  <c r="AN59" i="6"/>
  <c r="AN60" i="6"/>
  <c r="AN61" i="6"/>
  <c r="AN62" i="6"/>
  <c r="AN63" i="6"/>
  <c r="AN64" i="6"/>
  <c r="AN65" i="6"/>
  <c r="AN66" i="6"/>
  <c r="AN67" i="6"/>
  <c r="AN68" i="6"/>
  <c r="AN69" i="6"/>
  <c r="AN70" i="6"/>
  <c r="AN71" i="6"/>
  <c r="AN72" i="6"/>
  <c r="AN73" i="6"/>
  <c r="AN74" i="6"/>
  <c r="AN75" i="6"/>
  <c r="AN76" i="6"/>
  <c r="AN77" i="6"/>
  <c r="AN78" i="6"/>
  <c r="AN79" i="6"/>
  <c r="AN80" i="6"/>
  <c r="AN81" i="6"/>
  <c r="AN82" i="6"/>
  <c r="AN83" i="6"/>
  <c r="AN84" i="6"/>
  <c r="AN85" i="6"/>
  <c r="AN86" i="6"/>
  <c r="AN87" i="6"/>
  <c r="AN88" i="6"/>
  <c r="AN89" i="6"/>
  <c r="AN90" i="6"/>
  <c r="AN91" i="6"/>
  <c r="AN92" i="6"/>
  <c r="AN93" i="6"/>
  <c r="AN94" i="6"/>
  <c r="AN95" i="6"/>
  <c r="AN96" i="6"/>
  <c r="AN97" i="6"/>
  <c r="AN98" i="6"/>
  <c r="AN99" i="6"/>
  <c r="AN100" i="6"/>
  <c r="AN101" i="6"/>
  <c r="AN102" i="6"/>
  <c r="AN103" i="6"/>
  <c r="AN104" i="6"/>
  <c r="AN105" i="6"/>
  <c r="AN106" i="6"/>
  <c r="AN107" i="6"/>
  <c r="AN108" i="6"/>
  <c r="AN109" i="6"/>
  <c r="AN110" i="6"/>
  <c r="AN111" i="6"/>
  <c r="AN112" i="6"/>
  <c r="AN113" i="6"/>
  <c r="AN114" i="6"/>
  <c r="AN115" i="6"/>
  <c r="AN116" i="6"/>
  <c r="AN117" i="6"/>
  <c r="AN118" i="6"/>
  <c r="AN119" i="6"/>
  <c r="AN120" i="6"/>
  <c r="AN121" i="6"/>
  <c r="AN122" i="6"/>
  <c r="AN123" i="6"/>
  <c r="AN124" i="6"/>
  <c r="AN125" i="6"/>
  <c r="AN126" i="6"/>
  <c r="AN127" i="6"/>
  <c r="AN128" i="6"/>
  <c r="AN129" i="6"/>
  <c r="AN130" i="6"/>
  <c r="AN131" i="6"/>
  <c r="AN132" i="6"/>
  <c r="AN133" i="6"/>
  <c r="AN134" i="6"/>
  <c r="AN135" i="6"/>
  <c r="AN136" i="6"/>
  <c r="AN137" i="6"/>
  <c r="AN138" i="6"/>
  <c r="AN139" i="6"/>
  <c r="AN140" i="6"/>
  <c r="AN141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M33" i="6"/>
  <c r="AM34" i="6"/>
  <c r="AM35" i="6"/>
  <c r="AM36" i="6"/>
  <c r="AM37" i="6"/>
  <c r="AM38" i="6"/>
  <c r="AM39" i="6"/>
  <c r="AM40" i="6"/>
  <c r="AM41" i="6"/>
  <c r="AM42" i="6"/>
  <c r="AM43" i="6"/>
  <c r="AM44" i="6"/>
  <c r="AM45" i="6"/>
  <c r="AM46" i="6"/>
  <c r="AM47" i="6"/>
  <c r="AM48" i="6"/>
  <c r="AM49" i="6"/>
  <c r="AM50" i="6"/>
  <c r="AM51" i="6"/>
  <c r="AM52" i="6"/>
  <c r="AM53" i="6"/>
  <c r="AM54" i="6"/>
  <c r="AM55" i="6"/>
  <c r="AM56" i="6"/>
  <c r="AM57" i="6"/>
  <c r="AM58" i="6"/>
  <c r="AM59" i="6"/>
  <c r="AM60" i="6"/>
  <c r="AM61" i="6"/>
  <c r="AM62" i="6"/>
  <c r="AM63" i="6"/>
  <c r="AM64" i="6"/>
  <c r="AM65" i="6"/>
  <c r="AM66" i="6"/>
  <c r="AM67" i="6"/>
  <c r="AM68" i="6"/>
  <c r="AM69" i="6"/>
  <c r="AM70" i="6"/>
  <c r="AM71" i="6"/>
  <c r="AM72" i="6"/>
  <c r="AM73" i="6"/>
  <c r="AM74" i="6"/>
  <c r="AM75" i="6"/>
  <c r="AM76" i="6"/>
  <c r="AM77" i="6"/>
  <c r="AM78" i="6"/>
  <c r="AM79" i="6"/>
  <c r="AM80" i="6"/>
  <c r="AM81" i="6"/>
  <c r="AM82" i="6"/>
  <c r="AM83" i="6"/>
  <c r="AM84" i="6"/>
  <c r="AM85" i="6"/>
  <c r="AM86" i="6"/>
  <c r="AM87" i="6"/>
  <c r="AM88" i="6"/>
  <c r="AM89" i="6"/>
  <c r="AM90" i="6"/>
  <c r="AM91" i="6"/>
  <c r="AM92" i="6"/>
  <c r="AM93" i="6"/>
  <c r="AM94" i="6"/>
  <c r="AM95" i="6"/>
  <c r="AM96" i="6"/>
  <c r="AM97" i="6"/>
  <c r="AM98" i="6"/>
  <c r="AM99" i="6"/>
  <c r="AM100" i="6"/>
  <c r="AM101" i="6"/>
  <c r="AM102" i="6"/>
  <c r="AM103" i="6"/>
  <c r="AM104" i="6"/>
  <c r="AM105" i="6"/>
  <c r="AM106" i="6"/>
  <c r="AM107" i="6"/>
  <c r="AM108" i="6"/>
  <c r="AM109" i="6"/>
  <c r="AM110" i="6"/>
  <c r="AM111" i="6"/>
  <c r="AM112" i="6"/>
  <c r="AM113" i="6"/>
  <c r="AM114" i="6"/>
  <c r="AM115" i="6"/>
  <c r="AM116" i="6"/>
  <c r="AM117" i="6"/>
  <c r="AM118" i="6"/>
  <c r="AM119" i="6"/>
  <c r="AM120" i="6"/>
  <c r="AM121" i="6"/>
  <c r="AM122" i="6"/>
  <c r="AM123" i="6"/>
  <c r="AM124" i="6"/>
  <c r="AM125" i="6"/>
  <c r="AM126" i="6"/>
  <c r="AM127" i="6"/>
  <c r="AM128" i="6"/>
  <c r="AM129" i="6"/>
  <c r="AM130" i="6"/>
  <c r="AM131" i="6"/>
  <c r="AM132" i="6"/>
  <c r="AM133" i="6"/>
  <c r="AM134" i="6"/>
  <c r="AM135" i="6"/>
  <c r="AM136" i="6"/>
  <c r="AM137" i="6"/>
  <c r="AM138" i="6"/>
  <c r="AM139" i="6"/>
  <c r="AM140" i="6"/>
  <c r="AM141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L33" i="6"/>
  <c r="AL34" i="6"/>
  <c r="AL35" i="6"/>
  <c r="AL36" i="6"/>
  <c r="AL37" i="6"/>
  <c r="AL38" i="6"/>
  <c r="AL39" i="6"/>
  <c r="AL40" i="6"/>
  <c r="AL41" i="6"/>
  <c r="AL42" i="6"/>
  <c r="AL43" i="6"/>
  <c r="AL44" i="6"/>
  <c r="AL45" i="6"/>
  <c r="AL46" i="6"/>
  <c r="AL47" i="6"/>
  <c r="AL48" i="6"/>
  <c r="AL49" i="6"/>
  <c r="AL50" i="6"/>
  <c r="AL51" i="6"/>
  <c r="AL52" i="6"/>
  <c r="AL53" i="6"/>
  <c r="AL54" i="6"/>
  <c r="AL55" i="6"/>
  <c r="AL56" i="6"/>
  <c r="AL57" i="6"/>
  <c r="AL58" i="6"/>
  <c r="AL59" i="6"/>
  <c r="AL60" i="6"/>
  <c r="AL61" i="6"/>
  <c r="AL62" i="6"/>
  <c r="AL63" i="6"/>
  <c r="AL64" i="6"/>
  <c r="AL65" i="6"/>
  <c r="AL66" i="6"/>
  <c r="AL67" i="6"/>
  <c r="AL68" i="6"/>
  <c r="AL69" i="6"/>
  <c r="AL70" i="6"/>
  <c r="AL71" i="6"/>
  <c r="AL72" i="6"/>
  <c r="AL73" i="6"/>
  <c r="AL74" i="6"/>
  <c r="AL75" i="6"/>
  <c r="AL76" i="6"/>
  <c r="AL77" i="6"/>
  <c r="AL78" i="6"/>
  <c r="AL79" i="6"/>
  <c r="AL80" i="6"/>
  <c r="AL81" i="6"/>
  <c r="AL82" i="6"/>
  <c r="AL83" i="6"/>
  <c r="AL84" i="6"/>
  <c r="AL85" i="6"/>
  <c r="AL86" i="6"/>
  <c r="AL87" i="6"/>
  <c r="AL88" i="6"/>
  <c r="AL89" i="6"/>
  <c r="AL90" i="6"/>
  <c r="AL91" i="6"/>
  <c r="AL92" i="6"/>
  <c r="AL93" i="6"/>
  <c r="AL94" i="6"/>
  <c r="AL95" i="6"/>
  <c r="AL96" i="6"/>
  <c r="AL97" i="6"/>
  <c r="AL98" i="6"/>
  <c r="AL99" i="6"/>
  <c r="AL100" i="6"/>
  <c r="AL101" i="6"/>
  <c r="AL102" i="6"/>
  <c r="AL103" i="6"/>
  <c r="AL104" i="6"/>
  <c r="AL105" i="6"/>
  <c r="AL106" i="6"/>
  <c r="AL107" i="6"/>
  <c r="AL108" i="6"/>
  <c r="AL109" i="6"/>
  <c r="AL110" i="6"/>
  <c r="AL111" i="6"/>
  <c r="AL112" i="6"/>
  <c r="AL113" i="6"/>
  <c r="AL114" i="6"/>
  <c r="AL115" i="6"/>
  <c r="AL116" i="6"/>
  <c r="AL117" i="6"/>
  <c r="AL118" i="6"/>
  <c r="AL119" i="6"/>
  <c r="AL120" i="6"/>
  <c r="AL121" i="6"/>
  <c r="AL122" i="6"/>
  <c r="AL123" i="6"/>
  <c r="AL124" i="6"/>
  <c r="AL125" i="6"/>
  <c r="AL126" i="6"/>
  <c r="AL127" i="6"/>
  <c r="AL128" i="6"/>
  <c r="AL129" i="6"/>
  <c r="AL130" i="6"/>
  <c r="AL131" i="6"/>
  <c r="AL132" i="6"/>
  <c r="AL133" i="6"/>
  <c r="AL134" i="6"/>
  <c r="AL135" i="6"/>
  <c r="AL136" i="6"/>
  <c r="AL137" i="6"/>
  <c r="AL138" i="6"/>
  <c r="AL139" i="6"/>
  <c r="AL140" i="6"/>
  <c r="AL141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J33" i="6"/>
  <c r="AJ34" i="6"/>
  <c r="AJ35" i="6"/>
  <c r="AJ36" i="6"/>
  <c r="AJ37" i="6"/>
  <c r="AJ38" i="6"/>
  <c r="AJ39" i="6"/>
  <c r="AJ40" i="6"/>
  <c r="AJ41" i="6"/>
  <c r="AJ42" i="6"/>
  <c r="AJ43" i="6"/>
  <c r="AJ44" i="6"/>
  <c r="AJ45" i="6"/>
  <c r="AJ46" i="6"/>
  <c r="AJ47" i="6"/>
  <c r="AJ48" i="6"/>
  <c r="AJ49" i="6"/>
  <c r="AJ50" i="6"/>
  <c r="AJ51" i="6"/>
  <c r="AJ52" i="6"/>
  <c r="AJ53" i="6"/>
  <c r="AJ54" i="6"/>
  <c r="AJ55" i="6"/>
  <c r="AJ56" i="6"/>
  <c r="AJ57" i="6"/>
  <c r="AJ58" i="6"/>
  <c r="AJ59" i="6"/>
  <c r="AJ60" i="6"/>
  <c r="AJ61" i="6"/>
  <c r="AJ62" i="6"/>
  <c r="AJ63" i="6"/>
  <c r="AJ64" i="6"/>
  <c r="AJ65" i="6"/>
  <c r="AJ66" i="6"/>
  <c r="AJ67" i="6"/>
  <c r="AJ68" i="6"/>
  <c r="AJ69" i="6"/>
  <c r="AJ70" i="6"/>
  <c r="AJ71" i="6"/>
  <c r="AJ72" i="6"/>
  <c r="AJ73" i="6"/>
  <c r="AJ74" i="6"/>
  <c r="AJ75" i="6"/>
  <c r="AJ76" i="6"/>
  <c r="AJ77" i="6"/>
  <c r="AJ78" i="6"/>
  <c r="AJ79" i="6"/>
  <c r="AJ80" i="6"/>
  <c r="AJ81" i="6"/>
  <c r="AJ82" i="6"/>
  <c r="AJ83" i="6"/>
  <c r="AJ84" i="6"/>
  <c r="AJ85" i="6"/>
  <c r="AJ86" i="6"/>
  <c r="AJ87" i="6"/>
  <c r="AJ88" i="6"/>
  <c r="AJ89" i="6"/>
  <c r="AJ90" i="6"/>
  <c r="AJ91" i="6"/>
  <c r="AJ92" i="6"/>
  <c r="AJ93" i="6"/>
  <c r="AJ94" i="6"/>
  <c r="AJ95" i="6"/>
  <c r="AJ96" i="6"/>
  <c r="AJ97" i="6"/>
  <c r="AJ98" i="6"/>
  <c r="AJ99" i="6"/>
  <c r="AJ100" i="6"/>
  <c r="AJ101" i="6"/>
  <c r="AJ102" i="6"/>
  <c r="AJ103" i="6"/>
  <c r="AJ104" i="6"/>
  <c r="AJ105" i="6"/>
  <c r="AJ106" i="6"/>
  <c r="AJ107" i="6"/>
  <c r="AJ108" i="6"/>
  <c r="AJ109" i="6"/>
  <c r="AJ110" i="6"/>
  <c r="AJ111" i="6"/>
  <c r="AJ112" i="6"/>
  <c r="AJ113" i="6"/>
  <c r="AJ114" i="6"/>
  <c r="AJ115" i="6"/>
  <c r="AJ116" i="6"/>
  <c r="AJ117" i="6"/>
  <c r="AJ118" i="6"/>
  <c r="AJ119" i="6"/>
  <c r="AJ120" i="6"/>
  <c r="AJ121" i="6"/>
  <c r="AJ122" i="6"/>
  <c r="AJ123" i="6"/>
  <c r="AJ124" i="6"/>
  <c r="AJ125" i="6"/>
  <c r="AJ126" i="6"/>
  <c r="AJ127" i="6"/>
  <c r="AJ128" i="6"/>
  <c r="AJ129" i="6"/>
  <c r="AJ130" i="6"/>
  <c r="AJ131" i="6"/>
  <c r="AJ132" i="6"/>
  <c r="AJ133" i="6"/>
  <c r="AJ134" i="6"/>
  <c r="AJ135" i="6"/>
  <c r="AJ136" i="6"/>
  <c r="AJ137" i="6"/>
  <c r="AJ138" i="6"/>
  <c r="AJ139" i="6"/>
  <c r="AJ140" i="6"/>
  <c r="AJ141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I33" i="6"/>
  <c r="AI34" i="6"/>
  <c r="AI35" i="6"/>
  <c r="AI36" i="6"/>
  <c r="AI37" i="6"/>
  <c r="AI38" i="6"/>
  <c r="AI39" i="6"/>
  <c r="AI40" i="6"/>
  <c r="AI41" i="6"/>
  <c r="AI42" i="6"/>
  <c r="AI43" i="6"/>
  <c r="AI44" i="6"/>
  <c r="AI45" i="6"/>
  <c r="AI46" i="6"/>
  <c r="AI47" i="6"/>
  <c r="AI48" i="6"/>
  <c r="AI49" i="6"/>
  <c r="AI50" i="6"/>
  <c r="AI51" i="6"/>
  <c r="AI52" i="6"/>
  <c r="AI53" i="6"/>
  <c r="AI54" i="6"/>
  <c r="AI55" i="6"/>
  <c r="AI56" i="6"/>
  <c r="AI57" i="6"/>
  <c r="AI58" i="6"/>
  <c r="AI59" i="6"/>
  <c r="AI60" i="6"/>
  <c r="AI61" i="6"/>
  <c r="AI62" i="6"/>
  <c r="AI63" i="6"/>
  <c r="AI64" i="6"/>
  <c r="AI65" i="6"/>
  <c r="AI66" i="6"/>
  <c r="AI67" i="6"/>
  <c r="AI68" i="6"/>
  <c r="AI69" i="6"/>
  <c r="AI70" i="6"/>
  <c r="AI71" i="6"/>
  <c r="AI72" i="6"/>
  <c r="AI73" i="6"/>
  <c r="AI74" i="6"/>
  <c r="AI75" i="6"/>
  <c r="AI76" i="6"/>
  <c r="AI77" i="6"/>
  <c r="AI78" i="6"/>
  <c r="AI79" i="6"/>
  <c r="AI80" i="6"/>
  <c r="AI81" i="6"/>
  <c r="AI82" i="6"/>
  <c r="AI83" i="6"/>
  <c r="AI84" i="6"/>
  <c r="AI85" i="6"/>
  <c r="AI86" i="6"/>
  <c r="AI87" i="6"/>
  <c r="AI88" i="6"/>
  <c r="AI89" i="6"/>
  <c r="AI90" i="6"/>
  <c r="AI91" i="6"/>
  <c r="AI92" i="6"/>
  <c r="AI93" i="6"/>
  <c r="AI94" i="6"/>
  <c r="AI95" i="6"/>
  <c r="AI96" i="6"/>
  <c r="AI97" i="6"/>
  <c r="AI98" i="6"/>
  <c r="AI99" i="6"/>
  <c r="AI100" i="6"/>
  <c r="AI101" i="6"/>
  <c r="AI102" i="6"/>
  <c r="AI103" i="6"/>
  <c r="AI104" i="6"/>
  <c r="AI105" i="6"/>
  <c r="AI106" i="6"/>
  <c r="AI107" i="6"/>
  <c r="AI108" i="6"/>
  <c r="AI109" i="6"/>
  <c r="AI110" i="6"/>
  <c r="AI111" i="6"/>
  <c r="AI112" i="6"/>
  <c r="AI113" i="6"/>
  <c r="AI114" i="6"/>
  <c r="AI115" i="6"/>
  <c r="AI116" i="6"/>
  <c r="AI117" i="6"/>
  <c r="AI118" i="6"/>
  <c r="AI119" i="6"/>
  <c r="AI120" i="6"/>
  <c r="AI121" i="6"/>
  <c r="AI122" i="6"/>
  <c r="AI123" i="6"/>
  <c r="AI124" i="6"/>
  <c r="AI125" i="6"/>
  <c r="AI126" i="6"/>
  <c r="AI127" i="6"/>
  <c r="AI128" i="6"/>
  <c r="AI129" i="6"/>
  <c r="AI130" i="6"/>
  <c r="AI131" i="6"/>
  <c r="AI132" i="6"/>
  <c r="AI133" i="6"/>
  <c r="AI134" i="6"/>
  <c r="AI135" i="6"/>
  <c r="AI136" i="6"/>
  <c r="AI137" i="6"/>
  <c r="AI138" i="6"/>
  <c r="AI139" i="6"/>
  <c r="AI140" i="6"/>
  <c r="AI141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H33" i="6"/>
  <c r="AH34" i="6"/>
  <c r="AH35" i="6"/>
  <c r="AH36" i="6"/>
  <c r="AH37" i="6"/>
  <c r="AH38" i="6"/>
  <c r="AH39" i="6"/>
  <c r="AH40" i="6"/>
  <c r="AH41" i="6"/>
  <c r="AH42" i="6"/>
  <c r="AH43" i="6"/>
  <c r="AH44" i="6"/>
  <c r="AH45" i="6"/>
  <c r="AH46" i="6"/>
  <c r="AH47" i="6"/>
  <c r="AH48" i="6"/>
  <c r="AH49" i="6"/>
  <c r="AH50" i="6"/>
  <c r="AH51" i="6"/>
  <c r="AH52" i="6"/>
  <c r="AH53" i="6"/>
  <c r="AH54" i="6"/>
  <c r="AH55" i="6"/>
  <c r="AH56" i="6"/>
  <c r="AH57" i="6"/>
  <c r="AH58" i="6"/>
  <c r="AH59" i="6"/>
  <c r="AH60" i="6"/>
  <c r="AH61" i="6"/>
  <c r="AH62" i="6"/>
  <c r="AH63" i="6"/>
  <c r="AH64" i="6"/>
  <c r="AH65" i="6"/>
  <c r="AH66" i="6"/>
  <c r="AH67" i="6"/>
  <c r="AH68" i="6"/>
  <c r="AH69" i="6"/>
  <c r="AH70" i="6"/>
  <c r="AH71" i="6"/>
  <c r="AH72" i="6"/>
  <c r="AH73" i="6"/>
  <c r="AH74" i="6"/>
  <c r="AH75" i="6"/>
  <c r="AH76" i="6"/>
  <c r="AH77" i="6"/>
  <c r="AH78" i="6"/>
  <c r="AH79" i="6"/>
  <c r="AH80" i="6"/>
  <c r="AH81" i="6"/>
  <c r="AH82" i="6"/>
  <c r="AH83" i="6"/>
  <c r="AH84" i="6"/>
  <c r="AH85" i="6"/>
  <c r="AH86" i="6"/>
  <c r="AH87" i="6"/>
  <c r="AH88" i="6"/>
  <c r="AH89" i="6"/>
  <c r="AH90" i="6"/>
  <c r="AH91" i="6"/>
  <c r="AH92" i="6"/>
  <c r="AH93" i="6"/>
  <c r="AH94" i="6"/>
  <c r="AH95" i="6"/>
  <c r="AH96" i="6"/>
  <c r="AH97" i="6"/>
  <c r="AH98" i="6"/>
  <c r="AH99" i="6"/>
  <c r="AH100" i="6"/>
  <c r="AH101" i="6"/>
  <c r="AH102" i="6"/>
  <c r="AH103" i="6"/>
  <c r="AH104" i="6"/>
  <c r="AH105" i="6"/>
  <c r="AH106" i="6"/>
  <c r="AH107" i="6"/>
  <c r="AH108" i="6"/>
  <c r="AH109" i="6"/>
  <c r="AH110" i="6"/>
  <c r="AH111" i="6"/>
  <c r="AH112" i="6"/>
  <c r="AH113" i="6"/>
  <c r="AH114" i="6"/>
  <c r="AH115" i="6"/>
  <c r="AH116" i="6"/>
  <c r="AH117" i="6"/>
  <c r="AH118" i="6"/>
  <c r="AH119" i="6"/>
  <c r="AH120" i="6"/>
  <c r="AH121" i="6"/>
  <c r="AH122" i="6"/>
  <c r="AH123" i="6"/>
  <c r="AH124" i="6"/>
  <c r="AH125" i="6"/>
  <c r="AH126" i="6"/>
  <c r="AH127" i="6"/>
  <c r="AH128" i="6"/>
  <c r="AH129" i="6"/>
  <c r="AH130" i="6"/>
  <c r="AH131" i="6"/>
  <c r="AH132" i="6"/>
  <c r="AH133" i="6"/>
  <c r="AH134" i="6"/>
  <c r="AH135" i="6"/>
  <c r="AH136" i="6"/>
  <c r="AH137" i="6"/>
  <c r="AH138" i="6"/>
  <c r="AH139" i="6"/>
  <c r="AH140" i="6"/>
  <c r="AH141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G33" i="6"/>
  <c r="AG34" i="6"/>
  <c r="AG35" i="6"/>
  <c r="AG36" i="6"/>
  <c r="AG37" i="6"/>
  <c r="AG38" i="6"/>
  <c r="AG39" i="6"/>
  <c r="AG40" i="6"/>
  <c r="AG41" i="6"/>
  <c r="AG42" i="6"/>
  <c r="AG43" i="6"/>
  <c r="AG44" i="6"/>
  <c r="AG45" i="6"/>
  <c r="AG46" i="6"/>
  <c r="AG47" i="6"/>
  <c r="AG48" i="6"/>
  <c r="AG49" i="6"/>
  <c r="AG50" i="6"/>
  <c r="AG51" i="6"/>
  <c r="AG52" i="6"/>
  <c r="AG53" i="6"/>
  <c r="AG54" i="6"/>
  <c r="AG55" i="6"/>
  <c r="AG56" i="6"/>
  <c r="AG57" i="6"/>
  <c r="AG58" i="6"/>
  <c r="AG59" i="6"/>
  <c r="AG60" i="6"/>
  <c r="AG61" i="6"/>
  <c r="AG62" i="6"/>
  <c r="AG63" i="6"/>
  <c r="AG64" i="6"/>
  <c r="AG65" i="6"/>
  <c r="AG66" i="6"/>
  <c r="AG67" i="6"/>
  <c r="AG68" i="6"/>
  <c r="AG69" i="6"/>
  <c r="AG70" i="6"/>
  <c r="AG71" i="6"/>
  <c r="AG72" i="6"/>
  <c r="AG73" i="6"/>
  <c r="AG74" i="6"/>
  <c r="AG75" i="6"/>
  <c r="AG76" i="6"/>
  <c r="AG77" i="6"/>
  <c r="AG78" i="6"/>
  <c r="AG79" i="6"/>
  <c r="AG80" i="6"/>
  <c r="AG81" i="6"/>
  <c r="AG82" i="6"/>
  <c r="AG83" i="6"/>
  <c r="AG84" i="6"/>
  <c r="AG85" i="6"/>
  <c r="AG86" i="6"/>
  <c r="AG87" i="6"/>
  <c r="AG88" i="6"/>
  <c r="AG89" i="6"/>
  <c r="AG90" i="6"/>
  <c r="AG91" i="6"/>
  <c r="AG92" i="6"/>
  <c r="AG93" i="6"/>
  <c r="AG94" i="6"/>
  <c r="AG95" i="6"/>
  <c r="AG96" i="6"/>
  <c r="AG97" i="6"/>
  <c r="AG98" i="6"/>
  <c r="AG99" i="6"/>
  <c r="AG100" i="6"/>
  <c r="AG101" i="6"/>
  <c r="AG102" i="6"/>
  <c r="AG103" i="6"/>
  <c r="AG104" i="6"/>
  <c r="AG105" i="6"/>
  <c r="AG106" i="6"/>
  <c r="AG107" i="6"/>
  <c r="AG108" i="6"/>
  <c r="AG109" i="6"/>
  <c r="AG110" i="6"/>
  <c r="AG111" i="6"/>
  <c r="AG112" i="6"/>
  <c r="AG113" i="6"/>
  <c r="AG114" i="6"/>
  <c r="AG115" i="6"/>
  <c r="AG116" i="6"/>
  <c r="AG117" i="6"/>
  <c r="AG118" i="6"/>
  <c r="AG119" i="6"/>
  <c r="AG120" i="6"/>
  <c r="AG121" i="6"/>
  <c r="AG122" i="6"/>
  <c r="AG123" i="6"/>
  <c r="AG124" i="6"/>
  <c r="AG125" i="6"/>
  <c r="AG126" i="6"/>
  <c r="AG127" i="6"/>
  <c r="AG128" i="6"/>
  <c r="AG129" i="6"/>
  <c r="AG130" i="6"/>
  <c r="AG131" i="6"/>
  <c r="AG132" i="6"/>
  <c r="AG133" i="6"/>
  <c r="AG134" i="6"/>
  <c r="AG135" i="6"/>
  <c r="AG136" i="6"/>
  <c r="AG137" i="6"/>
  <c r="AG138" i="6"/>
  <c r="AG139" i="6"/>
  <c r="AG140" i="6"/>
  <c r="AG141" i="6"/>
  <c r="BD4" i="6"/>
  <c r="BC4" i="6"/>
  <c r="BA4" i="6"/>
  <c r="AZ4" i="6"/>
  <c r="AH4" i="6"/>
  <c r="AI4" i="6"/>
  <c r="AJ4" i="6"/>
  <c r="AL4" i="6"/>
  <c r="AM4" i="6"/>
  <c r="AN4" i="6"/>
  <c r="AO4" i="6"/>
  <c r="AP4" i="6"/>
  <c r="AQ4" i="6"/>
  <c r="AS4" i="6"/>
  <c r="AT4" i="6"/>
  <c r="AU4" i="6"/>
  <c r="AV4" i="6"/>
  <c r="AW4" i="6"/>
  <c r="AX4" i="6"/>
  <c r="AG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D33" i="6"/>
  <c r="AD34" i="6"/>
  <c r="AD35" i="6"/>
  <c r="AD36" i="6"/>
  <c r="AD37" i="6"/>
  <c r="AD38" i="6"/>
  <c r="AD39" i="6"/>
  <c r="AD40" i="6"/>
  <c r="AD41" i="6"/>
  <c r="AD42" i="6"/>
  <c r="AD43" i="6"/>
  <c r="AD44" i="6"/>
  <c r="AD45" i="6"/>
  <c r="AD46" i="6"/>
  <c r="AD47" i="6"/>
  <c r="AD48" i="6"/>
  <c r="AD49" i="6"/>
  <c r="AD50" i="6"/>
  <c r="AD51" i="6"/>
  <c r="AD52" i="6"/>
  <c r="AD53" i="6"/>
  <c r="AD54" i="6"/>
  <c r="AD55" i="6"/>
  <c r="AD56" i="6"/>
  <c r="AD57" i="6"/>
  <c r="AD58" i="6"/>
  <c r="AD59" i="6"/>
  <c r="AD60" i="6"/>
  <c r="AD61" i="6"/>
  <c r="AD62" i="6"/>
  <c r="AD63" i="6"/>
  <c r="AD64" i="6"/>
  <c r="AD65" i="6"/>
  <c r="AD66" i="6"/>
  <c r="AD67" i="6"/>
  <c r="AD68" i="6"/>
  <c r="AD69" i="6"/>
  <c r="AD70" i="6"/>
  <c r="AD71" i="6"/>
  <c r="AD72" i="6"/>
  <c r="AD73" i="6"/>
  <c r="AD74" i="6"/>
  <c r="AD75" i="6"/>
  <c r="AD76" i="6"/>
  <c r="AD77" i="6"/>
  <c r="AD78" i="6"/>
  <c r="AD79" i="6"/>
  <c r="AD80" i="6"/>
  <c r="AD81" i="6"/>
  <c r="AD82" i="6"/>
  <c r="AD83" i="6"/>
  <c r="AD84" i="6"/>
  <c r="AD85" i="6"/>
  <c r="AD86" i="6"/>
  <c r="AD87" i="6"/>
  <c r="AD88" i="6"/>
  <c r="AD89" i="6"/>
  <c r="AD90" i="6"/>
  <c r="AD91" i="6"/>
  <c r="AD92" i="6"/>
  <c r="AD93" i="6"/>
  <c r="AD94" i="6"/>
  <c r="AD95" i="6"/>
  <c r="AD96" i="6"/>
  <c r="AD97" i="6"/>
  <c r="AD98" i="6"/>
  <c r="AD99" i="6"/>
  <c r="AD100" i="6"/>
  <c r="AD101" i="6"/>
  <c r="AD102" i="6"/>
  <c r="AD103" i="6"/>
  <c r="AD104" i="6"/>
  <c r="AD105" i="6"/>
  <c r="AD106" i="6"/>
  <c r="AD107" i="6"/>
  <c r="AD108" i="6"/>
  <c r="AD109" i="6"/>
  <c r="AD110" i="6"/>
  <c r="AD111" i="6"/>
  <c r="AD112" i="6"/>
  <c r="AD113" i="6"/>
  <c r="AD114" i="6"/>
  <c r="AD115" i="6"/>
  <c r="AD116" i="6"/>
  <c r="AD117" i="6"/>
  <c r="AD118" i="6"/>
  <c r="AD119" i="6"/>
  <c r="AD120" i="6"/>
  <c r="AD121" i="6"/>
  <c r="AD122" i="6"/>
  <c r="AD123" i="6"/>
  <c r="AD124" i="6"/>
  <c r="AD125" i="6"/>
  <c r="AD126" i="6"/>
  <c r="AD127" i="6"/>
  <c r="AD128" i="6"/>
  <c r="AD129" i="6"/>
  <c r="AD130" i="6"/>
  <c r="AD131" i="6"/>
  <c r="AD132" i="6"/>
  <c r="AD133" i="6"/>
  <c r="AD134" i="6"/>
  <c r="AD135" i="6"/>
  <c r="AD136" i="6"/>
  <c r="AD137" i="6"/>
  <c r="AD138" i="6"/>
  <c r="AD139" i="6"/>
  <c r="AD140" i="6"/>
  <c r="AD141" i="6"/>
  <c r="BC4" i="4"/>
  <c r="BC5" i="4"/>
  <c r="BC6" i="4"/>
  <c r="BC7" i="4"/>
  <c r="BC8" i="4"/>
  <c r="BC9" i="4"/>
  <c r="BC10" i="4"/>
  <c r="BC11" i="4"/>
  <c r="BC12" i="4"/>
  <c r="BC13" i="4"/>
  <c r="BC14" i="4"/>
  <c r="BC15" i="4"/>
  <c r="BC16" i="4"/>
  <c r="BC17" i="4"/>
  <c r="BC18" i="4"/>
  <c r="BC19" i="4"/>
  <c r="BC20" i="4"/>
  <c r="BC21" i="4"/>
  <c r="BC22" i="4"/>
  <c r="BC23" i="4"/>
  <c r="BC24" i="4"/>
  <c r="BC25" i="4"/>
  <c r="BC26" i="4"/>
  <c r="BC27" i="4"/>
  <c r="BC28" i="4"/>
  <c r="BC29" i="4"/>
  <c r="BC30" i="4"/>
  <c r="BC31" i="4"/>
  <c r="BC32" i="4"/>
  <c r="BC33" i="4"/>
  <c r="BC34" i="4"/>
  <c r="BC35" i="4"/>
  <c r="BC36" i="4"/>
  <c r="BC37" i="4"/>
  <c r="BC38" i="4"/>
  <c r="BC39" i="4"/>
  <c r="BC40" i="4"/>
  <c r="BC41" i="4"/>
  <c r="BC42" i="4"/>
  <c r="BC43" i="4"/>
  <c r="BC44" i="4"/>
  <c r="BC45" i="4"/>
  <c r="BC46" i="4"/>
  <c r="BC47" i="4"/>
  <c r="BC48" i="4"/>
  <c r="BC49" i="4"/>
  <c r="BC50" i="4"/>
  <c r="BC51" i="4"/>
  <c r="BC52" i="4"/>
  <c r="BC53" i="4"/>
  <c r="BC54" i="4"/>
  <c r="BC55" i="4"/>
  <c r="BC56" i="4"/>
  <c r="BC57" i="4"/>
  <c r="BC58" i="4"/>
  <c r="BC59" i="4"/>
  <c r="BC60" i="4"/>
  <c r="BC61" i="4"/>
  <c r="BC62" i="4"/>
  <c r="BC63" i="4"/>
  <c r="BC64" i="4"/>
  <c r="BC65" i="4"/>
  <c r="BC66" i="4"/>
  <c r="BC67" i="4"/>
  <c r="BC68" i="4"/>
  <c r="BC69" i="4"/>
  <c r="BC70" i="4"/>
  <c r="BC71" i="4"/>
  <c r="BC72" i="4"/>
  <c r="BC73" i="4"/>
  <c r="BC74" i="4"/>
  <c r="BC75" i="4"/>
  <c r="BC76" i="4"/>
  <c r="BC77" i="4"/>
  <c r="BC78" i="4"/>
  <c r="BC79" i="4"/>
  <c r="BC80" i="4"/>
  <c r="BC81" i="4"/>
  <c r="BC82" i="4"/>
  <c r="BC83" i="4"/>
  <c r="BC84" i="4"/>
  <c r="BC85" i="4"/>
  <c r="BC86" i="4"/>
  <c r="BC87" i="4"/>
  <c r="BC88" i="4"/>
  <c r="BC89" i="4"/>
  <c r="BC90" i="4"/>
  <c r="BC91" i="4"/>
  <c r="BC92" i="4"/>
  <c r="BC93" i="4"/>
  <c r="BC94" i="4"/>
  <c r="BC95" i="4"/>
  <c r="BC96" i="4"/>
  <c r="BC97" i="4"/>
  <c r="BC98" i="4"/>
  <c r="BC99" i="4"/>
  <c r="BC100" i="4"/>
  <c r="BC101" i="4"/>
  <c r="BC102" i="4"/>
  <c r="BC103" i="4"/>
  <c r="BC104" i="4"/>
  <c r="BC105" i="4"/>
  <c r="BC106" i="4"/>
  <c r="BC107" i="4"/>
  <c r="BC108" i="4"/>
  <c r="BC109" i="4"/>
  <c r="BC110" i="4"/>
  <c r="BC111" i="4"/>
  <c r="BC112" i="4"/>
  <c r="BC113" i="4"/>
  <c r="BC114" i="4"/>
  <c r="BC115" i="4"/>
  <c r="BC116" i="4"/>
  <c r="BC117" i="4"/>
  <c r="BC118" i="4"/>
  <c r="BC119" i="4"/>
  <c r="BC120" i="4"/>
  <c r="BC121" i="4"/>
  <c r="BC122" i="4"/>
  <c r="BC123" i="4"/>
  <c r="BC124" i="4"/>
  <c r="BC125" i="4"/>
  <c r="BC126" i="4"/>
  <c r="BC127" i="4"/>
  <c r="BC128" i="4"/>
  <c r="BC129" i="4"/>
  <c r="BC130" i="4"/>
  <c r="BC131" i="4"/>
  <c r="BC132" i="4"/>
  <c r="BC133" i="4"/>
  <c r="BC134" i="4"/>
  <c r="BC135" i="4"/>
  <c r="BC136" i="4"/>
  <c r="BC137" i="4"/>
  <c r="BC138" i="4"/>
  <c r="BC139" i="4"/>
  <c r="BC140" i="4"/>
  <c r="BB4" i="4"/>
  <c r="BB5" i="4"/>
  <c r="BB6" i="4"/>
  <c r="BB7" i="4"/>
  <c r="BB8" i="4"/>
  <c r="BB9" i="4"/>
  <c r="BB10" i="4"/>
  <c r="BB11" i="4"/>
  <c r="BB12" i="4"/>
  <c r="BB13" i="4"/>
  <c r="BB14" i="4"/>
  <c r="BB15" i="4"/>
  <c r="BB16" i="4"/>
  <c r="BB17" i="4"/>
  <c r="BB18" i="4"/>
  <c r="BB19" i="4"/>
  <c r="BB20" i="4"/>
  <c r="BB21" i="4"/>
  <c r="BB22" i="4"/>
  <c r="BB23" i="4"/>
  <c r="BB24" i="4"/>
  <c r="BB25" i="4"/>
  <c r="BB26" i="4"/>
  <c r="BB27" i="4"/>
  <c r="BB28" i="4"/>
  <c r="BB29" i="4"/>
  <c r="BB30" i="4"/>
  <c r="BB31" i="4"/>
  <c r="BB32" i="4"/>
  <c r="BB33" i="4"/>
  <c r="BB34" i="4"/>
  <c r="BB35" i="4"/>
  <c r="BB36" i="4"/>
  <c r="BB37" i="4"/>
  <c r="BB38" i="4"/>
  <c r="BB39" i="4"/>
  <c r="BB40" i="4"/>
  <c r="BB41" i="4"/>
  <c r="BB42" i="4"/>
  <c r="BB43" i="4"/>
  <c r="BB44" i="4"/>
  <c r="BB45" i="4"/>
  <c r="BB46" i="4"/>
  <c r="BB47" i="4"/>
  <c r="BB48" i="4"/>
  <c r="BB49" i="4"/>
  <c r="BB50" i="4"/>
  <c r="BB51" i="4"/>
  <c r="BB52" i="4"/>
  <c r="BB53" i="4"/>
  <c r="BB54" i="4"/>
  <c r="BB55" i="4"/>
  <c r="BB56" i="4"/>
  <c r="BB57" i="4"/>
  <c r="BB58" i="4"/>
  <c r="BB59" i="4"/>
  <c r="BB60" i="4"/>
  <c r="BB61" i="4"/>
  <c r="BB62" i="4"/>
  <c r="BB63" i="4"/>
  <c r="BB64" i="4"/>
  <c r="BB65" i="4"/>
  <c r="BB66" i="4"/>
  <c r="BB67" i="4"/>
  <c r="BB68" i="4"/>
  <c r="BB69" i="4"/>
  <c r="BB70" i="4"/>
  <c r="BB71" i="4"/>
  <c r="BB72" i="4"/>
  <c r="BB73" i="4"/>
  <c r="BB74" i="4"/>
  <c r="BB75" i="4"/>
  <c r="BB76" i="4"/>
  <c r="BB77" i="4"/>
  <c r="BB78" i="4"/>
  <c r="BB79" i="4"/>
  <c r="BB80" i="4"/>
  <c r="BB81" i="4"/>
  <c r="BB82" i="4"/>
  <c r="BB83" i="4"/>
  <c r="BB84" i="4"/>
  <c r="BB85" i="4"/>
  <c r="BB86" i="4"/>
  <c r="BB87" i="4"/>
  <c r="BB88" i="4"/>
  <c r="BB89" i="4"/>
  <c r="BB90" i="4"/>
  <c r="BB91" i="4"/>
  <c r="BB92" i="4"/>
  <c r="BB93" i="4"/>
  <c r="BB94" i="4"/>
  <c r="BB95" i="4"/>
  <c r="BB96" i="4"/>
  <c r="BB97" i="4"/>
  <c r="BB98" i="4"/>
  <c r="BB99" i="4"/>
  <c r="BB100" i="4"/>
  <c r="BB101" i="4"/>
  <c r="BB102" i="4"/>
  <c r="BB103" i="4"/>
  <c r="BB104" i="4"/>
  <c r="BB105" i="4"/>
  <c r="BB106" i="4"/>
  <c r="BB107" i="4"/>
  <c r="BB108" i="4"/>
  <c r="BB109" i="4"/>
  <c r="BB110" i="4"/>
  <c r="BB111" i="4"/>
  <c r="BB112" i="4"/>
  <c r="BB113" i="4"/>
  <c r="BB114" i="4"/>
  <c r="BB115" i="4"/>
  <c r="BB116" i="4"/>
  <c r="BB117" i="4"/>
  <c r="BB118" i="4"/>
  <c r="BB119" i="4"/>
  <c r="BB120" i="4"/>
  <c r="BB121" i="4"/>
  <c r="BB122" i="4"/>
  <c r="BB123" i="4"/>
  <c r="BB124" i="4"/>
  <c r="BB125" i="4"/>
  <c r="BB126" i="4"/>
  <c r="BB127" i="4"/>
  <c r="BB128" i="4"/>
  <c r="BB129" i="4"/>
  <c r="BB130" i="4"/>
  <c r="BB131" i="4"/>
  <c r="BB132" i="4"/>
  <c r="BB133" i="4"/>
  <c r="BB134" i="4"/>
  <c r="BB135" i="4"/>
  <c r="BB136" i="4"/>
  <c r="BB137" i="4"/>
  <c r="BB138" i="4"/>
  <c r="BB139" i="4"/>
  <c r="BB140" i="4"/>
  <c r="BA4" i="4"/>
  <c r="BA5" i="4"/>
  <c r="BA6" i="4"/>
  <c r="BA7" i="4"/>
  <c r="BA8" i="4"/>
  <c r="BA9" i="4"/>
  <c r="BA10" i="4"/>
  <c r="BA11" i="4"/>
  <c r="BA12" i="4"/>
  <c r="BA13" i="4"/>
  <c r="BA14" i="4"/>
  <c r="BA15" i="4"/>
  <c r="BA16" i="4"/>
  <c r="BA17" i="4"/>
  <c r="BA18" i="4"/>
  <c r="BA19" i="4"/>
  <c r="BA20" i="4"/>
  <c r="BA21" i="4"/>
  <c r="BA22" i="4"/>
  <c r="BA23" i="4"/>
  <c r="BA24" i="4"/>
  <c r="BA25" i="4"/>
  <c r="BA26" i="4"/>
  <c r="BA27" i="4"/>
  <c r="BA28" i="4"/>
  <c r="BA29" i="4"/>
  <c r="BA30" i="4"/>
  <c r="BA31" i="4"/>
  <c r="BA32" i="4"/>
  <c r="BA33" i="4"/>
  <c r="BA34" i="4"/>
  <c r="BA35" i="4"/>
  <c r="BA36" i="4"/>
  <c r="BA37" i="4"/>
  <c r="BA38" i="4"/>
  <c r="BA39" i="4"/>
  <c r="BA40" i="4"/>
  <c r="BA41" i="4"/>
  <c r="BA42" i="4"/>
  <c r="BA43" i="4"/>
  <c r="BA44" i="4"/>
  <c r="BA45" i="4"/>
  <c r="BA46" i="4"/>
  <c r="BA47" i="4"/>
  <c r="BA48" i="4"/>
  <c r="BA49" i="4"/>
  <c r="BA50" i="4"/>
  <c r="BA51" i="4"/>
  <c r="BA52" i="4"/>
  <c r="BA53" i="4"/>
  <c r="BA54" i="4"/>
  <c r="BA55" i="4"/>
  <c r="BA56" i="4"/>
  <c r="BA57" i="4"/>
  <c r="BA58" i="4"/>
  <c r="BA59" i="4"/>
  <c r="BA60" i="4"/>
  <c r="BA61" i="4"/>
  <c r="BA62" i="4"/>
  <c r="BA63" i="4"/>
  <c r="BA64" i="4"/>
  <c r="BA65" i="4"/>
  <c r="BA66" i="4"/>
  <c r="BA67" i="4"/>
  <c r="BA68" i="4"/>
  <c r="BA69" i="4"/>
  <c r="BA70" i="4"/>
  <c r="BA71" i="4"/>
  <c r="BA72" i="4"/>
  <c r="BA73" i="4"/>
  <c r="BA74" i="4"/>
  <c r="BA75" i="4"/>
  <c r="BA76" i="4"/>
  <c r="BA77" i="4"/>
  <c r="BA78" i="4"/>
  <c r="BA79" i="4"/>
  <c r="BA80" i="4"/>
  <c r="BA81" i="4"/>
  <c r="BA82" i="4"/>
  <c r="BA83" i="4"/>
  <c r="BA84" i="4"/>
  <c r="BA85" i="4"/>
  <c r="BA86" i="4"/>
  <c r="BA87" i="4"/>
  <c r="BA88" i="4"/>
  <c r="BA89" i="4"/>
  <c r="BA90" i="4"/>
  <c r="BA91" i="4"/>
  <c r="BA92" i="4"/>
  <c r="BA93" i="4"/>
  <c r="BA94" i="4"/>
  <c r="BA95" i="4"/>
  <c r="BA96" i="4"/>
  <c r="BA97" i="4"/>
  <c r="BA98" i="4"/>
  <c r="BA99" i="4"/>
  <c r="BA100" i="4"/>
  <c r="BA101" i="4"/>
  <c r="BA102" i="4"/>
  <c r="BA103" i="4"/>
  <c r="BA104" i="4"/>
  <c r="BA105" i="4"/>
  <c r="BA106" i="4"/>
  <c r="BA107" i="4"/>
  <c r="BA108" i="4"/>
  <c r="BA109" i="4"/>
  <c r="BA110" i="4"/>
  <c r="BA111" i="4"/>
  <c r="BA112" i="4"/>
  <c r="BA113" i="4"/>
  <c r="BA114" i="4"/>
  <c r="BA115" i="4"/>
  <c r="BA116" i="4"/>
  <c r="BA117" i="4"/>
  <c r="BA118" i="4"/>
  <c r="BA119" i="4"/>
  <c r="BA120" i="4"/>
  <c r="BA121" i="4"/>
  <c r="BA122" i="4"/>
  <c r="BA123" i="4"/>
  <c r="BA124" i="4"/>
  <c r="BA125" i="4"/>
  <c r="BA126" i="4"/>
  <c r="BA127" i="4"/>
  <c r="BA128" i="4"/>
  <c r="BA129" i="4"/>
  <c r="BA130" i="4"/>
  <c r="BA131" i="4"/>
  <c r="BA132" i="4"/>
  <c r="BA133" i="4"/>
  <c r="BA134" i="4"/>
  <c r="BA135" i="4"/>
  <c r="BA136" i="4"/>
  <c r="BA137" i="4"/>
  <c r="BA138" i="4"/>
  <c r="BA139" i="4"/>
  <c r="BA140" i="4"/>
  <c r="AZ4" i="4"/>
  <c r="AZ5" i="4"/>
  <c r="AZ6" i="4"/>
  <c r="AZ7" i="4"/>
  <c r="AZ8" i="4"/>
  <c r="AZ9" i="4"/>
  <c r="AZ10" i="4"/>
  <c r="AZ11" i="4"/>
  <c r="AZ12" i="4"/>
  <c r="AZ13" i="4"/>
  <c r="AZ14" i="4"/>
  <c r="AZ15" i="4"/>
  <c r="AZ16" i="4"/>
  <c r="AZ17" i="4"/>
  <c r="AZ18" i="4"/>
  <c r="AZ19" i="4"/>
  <c r="AZ20" i="4"/>
  <c r="AZ21" i="4"/>
  <c r="AZ22" i="4"/>
  <c r="AZ23" i="4"/>
  <c r="AZ24" i="4"/>
  <c r="AZ25" i="4"/>
  <c r="AZ26" i="4"/>
  <c r="AZ27" i="4"/>
  <c r="AZ28" i="4"/>
  <c r="AZ29" i="4"/>
  <c r="AZ30" i="4"/>
  <c r="AZ31" i="4"/>
  <c r="AZ32" i="4"/>
  <c r="AZ33" i="4"/>
  <c r="AZ34" i="4"/>
  <c r="AZ35" i="4"/>
  <c r="AZ36" i="4"/>
  <c r="AZ37" i="4"/>
  <c r="AZ38" i="4"/>
  <c r="AZ39" i="4"/>
  <c r="AZ40" i="4"/>
  <c r="AZ41" i="4"/>
  <c r="AZ42" i="4"/>
  <c r="AZ43" i="4"/>
  <c r="AZ44" i="4"/>
  <c r="AZ45" i="4"/>
  <c r="AZ46" i="4"/>
  <c r="AZ47" i="4"/>
  <c r="AZ48" i="4"/>
  <c r="AZ49" i="4"/>
  <c r="AZ50" i="4"/>
  <c r="AZ51" i="4"/>
  <c r="AZ52" i="4"/>
  <c r="AZ53" i="4"/>
  <c r="AZ54" i="4"/>
  <c r="AZ55" i="4"/>
  <c r="AZ56" i="4"/>
  <c r="AZ57" i="4"/>
  <c r="AZ58" i="4"/>
  <c r="AZ59" i="4"/>
  <c r="AZ60" i="4"/>
  <c r="AZ61" i="4"/>
  <c r="AZ62" i="4"/>
  <c r="AZ63" i="4"/>
  <c r="AZ64" i="4"/>
  <c r="AZ65" i="4"/>
  <c r="AZ66" i="4"/>
  <c r="AZ67" i="4"/>
  <c r="AZ68" i="4"/>
  <c r="AZ69" i="4"/>
  <c r="AZ70" i="4"/>
  <c r="AZ71" i="4"/>
  <c r="AZ72" i="4"/>
  <c r="AZ73" i="4"/>
  <c r="AZ74" i="4"/>
  <c r="AZ75" i="4"/>
  <c r="AZ76" i="4"/>
  <c r="AZ77" i="4"/>
  <c r="AZ78" i="4"/>
  <c r="AZ79" i="4"/>
  <c r="AZ80" i="4"/>
  <c r="AZ81" i="4"/>
  <c r="AZ82" i="4"/>
  <c r="AZ83" i="4"/>
  <c r="AZ84" i="4"/>
  <c r="AZ85" i="4"/>
  <c r="AZ86" i="4"/>
  <c r="AZ87" i="4"/>
  <c r="AZ88" i="4"/>
  <c r="AZ89" i="4"/>
  <c r="AZ90" i="4"/>
  <c r="AZ91" i="4"/>
  <c r="AZ92" i="4"/>
  <c r="AZ93" i="4"/>
  <c r="AZ94" i="4"/>
  <c r="AZ95" i="4"/>
  <c r="AZ96" i="4"/>
  <c r="AZ97" i="4"/>
  <c r="AZ98" i="4"/>
  <c r="AZ99" i="4"/>
  <c r="AZ100" i="4"/>
  <c r="AZ101" i="4"/>
  <c r="AZ102" i="4"/>
  <c r="AZ103" i="4"/>
  <c r="AZ104" i="4"/>
  <c r="AZ105" i="4"/>
  <c r="AZ106" i="4"/>
  <c r="AZ107" i="4"/>
  <c r="AZ108" i="4"/>
  <c r="AZ109" i="4"/>
  <c r="AZ110" i="4"/>
  <c r="AZ111" i="4"/>
  <c r="AZ112" i="4"/>
  <c r="AZ113" i="4"/>
  <c r="AZ114" i="4"/>
  <c r="AZ115" i="4"/>
  <c r="AZ116" i="4"/>
  <c r="AZ117" i="4"/>
  <c r="AZ118" i="4"/>
  <c r="AZ119" i="4"/>
  <c r="AZ120" i="4"/>
  <c r="AZ121" i="4"/>
  <c r="AZ122" i="4"/>
  <c r="AZ123" i="4"/>
  <c r="AZ124" i="4"/>
  <c r="AZ125" i="4"/>
  <c r="AZ126" i="4"/>
  <c r="AZ127" i="4"/>
  <c r="AZ128" i="4"/>
  <c r="AZ129" i="4"/>
  <c r="AZ130" i="4"/>
  <c r="AZ131" i="4"/>
  <c r="AZ132" i="4"/>
  <c r="AZ133" i="4"/>
  <c r="AZ134" i="4"/>
  <c r="AZ135" i="4"/>
  <c r="AZ136" i="4"/>
  <c r="AZ137" i="4"/>
  <c r="AZ138" i="4"/>
  <c r="AZ139" i="4"/>
  <c r="AZ140" i="4"/>
  <c r="AW4" i="4"/>
  <c r="AW5" i="4"/>
  <c r="AW6" i="4"/>
  <c r="AW7" i="4"/>
  <c r="AW8" i="4"/>
  <c r="AW9" i="4"/>
  <c r="AW10" i="4"/>
  <c r="AW11" i="4"/>
  <c r="AW12" i="4"/>
  <c r="AW13" i="4"/>
  <c r="AW14" i="4"/>
  <c r="AW15" i="4"/>
  <c r="AW16" i="4"/>
  <c r="AW17" i="4"/>
  <c r="AW18" i="4"/>
  <c r="AW19" i="4"/>
  <c r="AW20" i="4"/>
  <c r="AW21" i="4"/>
  <c r="AW22" i="4"/>
  <c r="AW23" i="4"/>
  <c r="AW24" i="4"/>
  <c r="AW25" i="4"/>
  <c r="AW26" i="4"/>
  <c r="AW27" i="4"/>
  <c r="AW28" i="4"/>
  <c r="AW29" i="4"/>
  <c r="AW30" i="4"/>
  <c r="AW31" i="4"/>
  <c r="AW32" i="4"/>
  <c r="AW33" i="4"/>
  <c r="AW34" i="4"/>
  <c r="AW35" i="4"/>
  <c r="AW36" i="4"/>
  <c r="AW37" i="4"/>
  <c r="AW38" i="4"/>
  <c r="AW39" i="4"/>
  <c r="AW40" i="4"/>
  <c r="AW41" i="4"/>
  <c r="AW42" i="4"/>
  <c r="AW43" i="4"/>
  <c r="AW44" i="4"/>
  <c r="AW45" i="4"/>
  <c r="AW46" i="4"/>
  <c r="AW47" i="4"/>
  <c r="AW48" i="4"/>
  <c r="AW49" i="4"/>
  <c r="AW50" i="4"/>
  <c r="AW51" i="4"/>
  <c r="AW52" i="4"/>
  <c r="AW53" i="4"/>
  <c r="AW54" i="4"/>
  <c r="AW55" i="4"/>
  <c r="AW56" i="4"/>
  <c r="AW57" i="4"/>
  <c r="AW58" i="4"/>
  <c r="AW59" i="4"/>
  <c r="AW60" i="4"/>
  <c r="AW61" i="4"/>
  <c r="AW62" i="4"/>
  <c r="AW63" i="4"/>
  <c r="AW64" i="4"/>
  <c r="AW65" i="4"/>
  <c r="AW66" i="4"/>
  <c r="AW67" i="4"/>
  <c r="AW68" i="4"/>
  <c r="AW69" i="4"/>
  <c r="AW70" i="4"/>
  <c r="AW71" i="4"/>
  <c r="AW72" i="4"/>
  <c r="AW73" i="4"/>
  <c r="AW74" i="4"/>
  <c r="AW75" i="4"/>
  <c r="AW76" i="4"/>
  <c r="AW77" i="4"/>
  <c r="AW78" i="4"/>
  <c r="AW79" i="4"/>
  <c r="AW80" i="4"/>
  <c r="AW81" i="4"/>
  <c r="AW82" i="4"/>
  <c r="AW83" i="4"/>
  <c r="AW84" i="4"/>
  <c r="AW85" i="4"/>
  <c r="AW86" i="4"/>
  <c r="AW87" i="4"/>
  <c r="AW88" i="4"/>
  <c r="AW89" i="4"/>
  <c r="AW90" i="4"/>
  <c r="AW91" i="4"/>
  <c r="AW92" i="4"/>
  <c r="AW93" i="4"/>
  <c r="AW94" i="4"/>
  <c r="AW95" i="4"/>
  <c r="AW96" i="4"/>
  <c r="AW97" i="4"/>
  <c r="AW98" i="4"/>
  <c r="AW99" i="4"/>
  <c r="AW100" i="4"/>
  <c r="AW101" i="4"/>
  <c r="AW102" i="4"/>
  <c r="AW103" i="4"/>
  <c r="AW104" i="4"/>
  <c r="AW105" i="4"/>
  <c r="AW106" i="4"/>
  <c r="AW107" i="4"/>
  <c r="AW108" i="4"/>
  <c r="AW109" i="4"/>
  <c r="AW110" i="4"/>
  <c r="AW111" i="4"/>
  <c r="AW112" i="4"/>
  <c r="AW113" i="4"/>
  <c r="AW114" i="4"/>
  <c r="AW115" i="4"/>
  <c r="AW116" i="4"/>
  <c r="AW117" i="4"/>
  <c r="AW118" i="4"/>
  <c r="AW119" i="4"/>
  <c r="AW120" i="4"/>
  <c r="AW121" i="4"/>
  <c r="AW122" i="4"/>
  <c r="AW123" i="4"/>
  <c r="AW124" i="4"/>
  <c r="AW125" i="4"/>
  <c r="AW126" i="4"/>
  <c r="AW127" i="4"/>
  <c r="AW128" i="4"/>
  <c r="AW129" i="4"/>
  <c r="AW130" i="4"/>
  <c r="AW131" i="4"/>
  <c r="AW132" i="4"/>
  <c r="AW133" i="4"/>
  <c r="AW134" i="4"/>
  <c r="AW135" i="4"/>
  <c r="AW136" i="4"/>
  <c r="AW137" i="4"/>
  <c r="AW138" i="4"/>
  <c r="AW139" i="4"/>
  <c r="AW140" i="4"/>
  <c r="AV4" i="4"/>
  <c r="AV5" i="4"/>
  <c r="AV6" i="4"/>
  <c r="AV7" i="4"/>
  <c r="AV8" i="4"/>
  <c r="AV9" i="4"/>
  <c r="AV10" i="4"/>
  <c r="AV11" i="4"/>
  <c r="AV12" i="4"/>
  <c r="AV13" i="4"/>
  <c r="AV14" i="4"/>
  <c r="AV15" i="4"/>
  <c r="AV16" i="4"/>
  <c r="AV17" i="4"/>
  <c r="AV18" i="4"/>
  <c r="AV19" i="4"/>
  <c r="AV20" i="4"/>
  <c r="AV21" i="4"/>
  <c r="AV22" i="4"/>
  <c r="AV23" i="4"/>
  <c r="AV24" i="4"/>
  <c r="AV25" i="4"/>
  <c r="AV26" i="4"/>
  <c r="AV27" i="4"/>
  <c r="AV28" i="4"/>
  <c r="AV29" i="4"/>
  <c r="AV30" i="4"/>
  <c r="AV31" i="4"/>
  <c r="AV32" i="4"/>
  <c r="AV33" i="4"/>
  <c r="AV34" i="4"/>
  <c r="AV35" i="4"/>
  <c r="AV36" i="4"/>
  <c r="AV37" i="4"/>
  <c r="AV38" i="4"/>
  <c r="AV39" i="4"/>
  <c r="AV40" i="4"/>
  <c r="AV41" i="4"/>
  <c r="AV42" i="4"/>
  <c r="AV43" i="4"/>
  <c r="AV44" i="4"/>
  <c r="AV45" i="4"/>
  <c r="AV46" i="4"/>
  <c r="AV47" i="4"/>
  <c r="AV48" i="4"/>
  <c r="AV49" i="4"/>
  <c r="AV50" i="4"/>
  <c r="AV51" i="4"/>
  <c r="AV52" i="4"/>
  <c r="AV53" i="4"/>
  <c r="AV54" i="4"/>
  <c r="AV55" i="4"/>
  <c r="AV56" i="4"/>
  <c r="AV57" i="4"/>
  <c r="AV58" i="4"/>
  <c r="AV59" i="4"/>
  <c r="AV60" i="4"/>
  <c r="AV61" i="4"/>
  <c r="AV62" i="4"/>
  <c r="AV63" i="4"/>
  <c r="AV64" i="4"/>
  <c r="AV65" i="4"/>
  <c r="AV66" i="4"/>
  <c r="AV67" i="4"/>
  <c r="AV68" i="4"/>
  <c r="AV69" i="4"/>
  <c r="AV70" i="4"/>
  <c r="AV71" i="4"/>
  <c r="AV72" i="4"/>
  <c r="AV73" i="4"/>
  <c r="AV74" i="4"/>
  <c r="AV75" i="4"/>
  <c r="AV76" i="4"/>
  <c r="AV77" i="4"/>
  <c r="AV78" i="4"/>
  <c r="AV79" i="4"/>
  <c r="AV80" i="4"/>
  <c r="AV81" i="4"/>
  <c r="AV82" i="4"/>
  <c r="AV83" i="4"/>
  <c r="AV84" i="4"/>
  <c r="AV85" i="4"/>
  <c r="AV86" i="4"/>
  <c r="AV87" i="4"/>
  <c r="AV88" i="4"/>
  <c r="AV89" i="4"/>
  <c r="AV90" i="4"/>
  <c r="AV91" i="4"/>
  <c r="AV92" i="4"/>
  <c r="AV93" i="4"/>
  <c r="AV94" i="4"/>
  <c r="AV95" i="4"/>
  <c r="AV96" i="4"/>
  <c r="AV97" i="4"/>
  <c r="AV98" i="4"/>
  <c r="AV99" i="4"/>
  <c r="AV100" i="4"/>
  <c r="AV101" i="4"/>
  <c r="AV102" i="4"/>
  <c r="AV103" i="4"/>
  <c r="AV104" i="4"/>
  <c r="AV105" i="4"/>
  <c r="AV106" i="4"/>
  <c r="AV107" i="4"/>
  <c r="AV108" i="4"/>
  <c r="AV109" i="4"/>
  <c r="AV110" i="4"/>
  <c r="AV111" i="4"/>
  <c r="AV112" i="4"/>
  <c r="AV113" i="4"/>
  <c r="AV114" i="4"/>
  <c r="AV115" i="4"/>
  <c r="AV116" i="4"/>
  <c r="AV117" i="4"/>
  <c r="AV118" i="4"/>
  <c r="AV119" i="4"/>
  <c r="AV120" i="4"/>
  <c r="AV121" i="4"/>
  <c r="AV122" i="4"/>
  <c r="AV123" i="4"/>
  <c r="AV124" i="4"/>
  <c r="AV125" i="4"/>
  <c r="AV126" i="4"/>
  <c r="AV127" i="4"/>
  <c r="AV128" i="4"/>
  <c r="AV129" i="4"/>
  <c r="AV130" i="4"/>
  <c r="AV131" i="4"/>
  <c r="AV132" i="4"/>
  <c r="AV133" i="4"/>
  <c r="AV134" i="4"/>
  <c r="AV135" i="4"/>
  <c r="AV136" i="4"/>
  <c r="AV137" i="4"/>
  <c r="AV138" i="4"/>
  <c r="AV139" i="4"/>
  <c r="AV140" i="4"/>
  <c r="AT4" i="4"/>
  <c r="AT5" i="4"/>
  <c r="AT6" i="4"/>
  <c r="AT7" i="4"/>
  <c r="AT8" i="4"/>
  <c r="AT9" i="4"/>
  <c r="AT10" i="4"/>
  <c r="AT11" i="4"/>
  <c r="AT12" i="4"/>
  <c r="AT13" i="4"/>
  <c r="AT14" i="4"/>
  <c r="AT15" i="4"/>
  <c r="AT16" i="4"/>
  <c r="AT17" i="4"/>
  <c r="AT18" i="4"/>
  <c r="AT19" i="4"/>
  <c r="AT20" i="4"/>
  <c r="AT21" i="4"/>
  <c r="AT22" i="4"/>
  <c r="AT23" i="4"/>
  <c r="AT24" i="4"/>
  <c r="AT25" i="4"/>
  <c r="AT26" i="4"/>
  <c r="AT27" i="4"/>
  <c r="AT28" i="4"/>
  <c r="AT29" i="4"/>
  <c r="AT30" i="4"/>
  <c r="AT31" i="4"/>
  <c r="AT32" i="4"/>
  <c r="AT33" i="4"/>
  <c r="AT34" i="4"/>
  <c r="AT35" i="4"/>
  <c r="AT36" i="4"/>
  <c r="AT37" i="4"/>
  <c r="AT38" i="4"/>
  <c r="AT39" i="4"/>
  <c r="AT40" i="4"/>
  <c r="AT41" i="4"/>
  <c r="AT42" i="4"/>
  <c r="AT43" i="4"/>
  <c r="AT44" i="4"/>
  <c r="AT45" i="4"/>
  <c r="AT46" i="4"/>
  <c r="AT47" i="4"/>
  <c r="AT48" i="4"/>
  <c r="AT49" i="4"/>
  <c r="AT50" i="4"/>
  <c r="AT51" i="4"/>
  <c r="AT52" i="4"/>
  <c r="AT53" i="4"/>
  <c r="AT54" i="4"/>
  <c r="AT55" i="4"/>
  <c r="AT56" i="4"/>
  <c r="AT57" i="4"/>
  <c r="AT58" i="4"/>
  <c r="AT59" i="4"/>
  <c r="AT60" i="4"/>
  <c r="AT61" i="4"/>
  <c r="AT62" i="4"/>
  <c r="AT63" i="4"/>
  <c r="AT64" i="4"/>
  <c r="AT65" i="4"/>
  <c r="AT66" i="4"/>
  <c r="AT67" i="4"/>
  <c r="AT68" i="4"/>
  <c r="AT69" i="4"/>
  <c r="AT70" i="4"/>
  <c r="AT71" i="4"/>
  <c r="AT72" i="4"/>
  <c r="AT73" i="4"/>
  <c r="AT74" i="4"/>
  <c r="AT75" i="4"/>
  <c r="AT76" i="4"/>
  <c r="AT77" i="4"/>
  <c r="AT78" i="4"/>
  <c r="AT79" i="4"/>
  <c r="AT80" i="4"/>
  <c r="AT81" i="4"/>
  <c r="AT82" i="4"/>
  <c r="AT83" i="4"/>
  <c r="AT84" i="4"/>
  <c r="AT85" i="4"/>
  <c r="AT86" i="4"/>
  <c r="AT87" i="4"/>
  <c r="AT88" i="4"/>
  <c r="AT89" i="4"/>
  <c r="AT90" i="4"/>
  <c r="AT91" i="4"/>
  <c r="AT92" i="4"/>
  <c r="AT93" i="4"/>
  <c r="AT94" i="4"/>
  <c r="AT95" i="4"/>
  <c r="AT96" i="4"/>
  <c r="AT97" i="4"/>
  <c r="AT98" i="4"/>
  <c r="AT99" i="4"/>
  <c r="AT100" i="4"/>
  <c r="AT101" i="4"/>
  <c r="AT102" i="4"/>
  <c r="AT103" i="4"/>
  <c r="AT104" i="4"/>
  <c r="AT105" i="4"/>
  <c r="AT106" i="4"/>
  <c r="AT107" i="4"/>
  <c r="AT108" i="4"/>
  <c r="AT109" i="4"/>
  <c r="AT110" i="4"/>
  <c r="AT111" i="4"/>
  <c r="AT112" i="4"/>
  <c r="AT113" i="4"/>
  <c r="AT114" i="4"/>
  <c r="AT115" i="4"/>
  <c r="AT116" i="4"/>
  <c r="AT117" i="4"/>
  <c r="AT118" i="4"/>
  <c r="AT119" i="4"/>
  <c r="AT120" i="4"/>
  <c r="AT121" i="4"/>
  <c r="AT122" i="4"/>
  <c r="AT123" i="4"/>
  <c r="AT124" i="4"/>
  <c r="AT125" i="4"/>
  <c r="AT126" i="4"/>
  <c r="AT127" i="4"/>
  <c r="AT128" i="4"/>
  <c r="AT129" i="4"/>
  <c r="AT130" i="4"/>
  <c r="AT131" i="4"/>
  <c r="AT132" i="4"/>
  <c r="AT133" i="4"/>
  <c r="AT134" i="4"/>
  <c r="AT135" i="4"/>
  <c r="AT136" i="4"/>
  <c r="AT137" i="4"/>
  <c r="AT138" i="4"/>
  <c r="AT139" i="4"/>
  <c r="AT140" i="4"/>
  <c r="AS4" i="4"/>
  <c r="AS5" i="4"/>
  <c r="AS6" i="4"/>
  <c r="AS7" i="4"/>
  <c r="AS8" i="4"/>
  <c r="AS9" i="4"/>
  <c r="AS10" i="4"/>
  <c r="AS11" i="4"/>
  <c r="AS12" i="4"/>
  <c r="AS13" i="4"/>
  <c r="AS14" i="4"/>
  <c r="AS15" i="4"/>
  <c r="AS16" i="4"/>
  <c r="AS17" i="4"/>
  <c r="AS18" i="4"/>
  <c r="AS19" i="4"/>
  <c r="AS20" i="4"/>
  <c r="AS21" i="4"/>
  <c r="AS22" i="4"/>
  <c r="AS23" i="4"/>
  <c r="AS24" i="4"/>
  <c r="AS25" i="4"/>
  <c r="AS26" i="4"/>
  <c r="AS27" i="4"/>
  <c r="AS28" i="4"/>
  <c r="AS29" i="4"/>
  <c r="AS30" i="4"/>
  <c r="AS31" i="4"/>
  <c r="AS32" i="4"/>
  <c r="AS33" i="4"/>
  <c r="AS34" i="4"/>
  <c r="AS35" i="4"/>
  <c r="AS36" i="4"/>
  <c r="AS37" i="4"/>
  <c r="AS38" i="4"/>
  <c r="AS39" i="4"/>
  <c r="AS40" i="4"/>
  <c r="AS41" i="4"/>
  <c r="AS42" i="4"/>
  <c r="AS43" i="4"/>
  <c r="AS44" i="4"/>
  <c r="AS45" i="4"/>
  <c r="AS46" i="4"/>
  <c r="AS47" i="4"/>
  <c r="AS48" i="4"/>
  <c r="AS49" i="4"/>
  <c r="AS50" i="4"/>
  <c r="AS51" i="4"/>
  <c r="AS52" i="4"/>
  <c r="AS53" i="4"/>
  <c r="AS54" i="4"/>
  <c r="AS55" i="4"/>
  <c r="AS56" i="4"/>
  <c r="AS57" i="4"/>
  <c r="AS58" i="4"/>
  <c r="AS59" i="4"/>
  <c r="AS60" i="4"/>
  <c r="AS61" i="4"/>
  <c r="AS62" i="4"/>
  <c r="AS63" i="4"/>
  <c r="AS64" i="4"/>
  <c r="AS65" i="4"/>
  <c r="AS66" i="4"/>
  <c r="AS67" i="4"/>
  <c r="AS68" i="4"/>
  <c r="AS69" i="4"/>
  <c r="AS70" i="4"/>
  <c r="AS71" i="4"/>
  <c r="AS72" i="4"/>
  <c r="AS73" i="4"/>
  <c r="AS74" i="4"/>
  <c r="AS75" i="4"/>
  <c r="AS76" i="4"/>
  <c r="AS77" i="4"/>
  <c r="AS78" i="4"/>
  <c r="AS79" i="4"/>
  <c r="AS80" i="4"/>
  <c r="AS81" i="4"/>
  <c r="AS82" i="4"/>
  <c r="AS83" i="4"/>
  <c r="AS84" i="4"/>
  <c r="AS85" i="4"/>
  <c r="AS86" i="4"/>
  <c r="AS87" i="4"/>
  <c r="AS88" i="4"/>
  <c r="AS89" i="4"/>
  <c r="AS90" i="4"/>
  <c r="AS91" i="4"/>
  <c r="AS92" i="4"/>
  <c r="AS93" i="4"/>
  <c r="AS94" i="4"/>
  <c r="AS95" i="4"/>
  <c r="AS96" i="4"/>
  <c r="AS97" i="4"/>
  <c r="AS98" i="4"/>
  <c r="AS99" i="4"/>
  <c r="AS100" i="4"/>
  <c r="AS101" i="4"/>
  <c r="AS102" i="4"/>
  <c r="AS103" i="4"/>
  <c r="AS104" i="4"/>
  <c r="AS105" i="4"/>
  <c r="AS106" i="4"/>
  <c r="AS107" i="4"/>
  <c r="AS108" i="4"/>
  <c r="AS109" i="4"/>
  <c r="AS110" i="4"/>
  <c r="AS111" i="4"/>
  <c r="AS112" i="4"/>
  <c r="AS113" i="4"/>
  <c r="AS114" i="4"/>
  <c r="AS115" i="4"/>
  <c r="AS116" i="4"/>
  <c r="AS117" i="4"/>
  <c r="AS118" i="4"/>
  <c r="AS119" i="4"/>
  <c r="AS120" i="4"/>
  <c r="AS121" i="4"/>
  <c r="AS122" i="4"/>
  <c r="AS123" i="4"/>
  <c r="AS124" i="4"/>
  <c r="AS125" i="4"/>
  <c r="AS126" i="4"/>
  <c r="AS127" i="4"/>
  <c r="AS128" i="4"/>
  <c r="AS129" i="4"/>
  <c r="AS130" i="4"/>
  <c r="AS131" i="4"/>
  <c r="AS132" i="4"/>
  <c r="AS133" i="4"/>
  <c r="AS134" i="4"/>
  <c r="AS135" i="4"/>
  <c r="AS136" i="4"/>
  <c r="AS137" i="4"/>
  <c r="AS138" i="4"/>
  <c r="AS139" i="4"/>
  <c r="AS140" i="4"/>
  <c r="AR4" i="4"/>
  <c r="AR5" i="4"/>
  <c r="AR6" i="4"/>
  <c r="AR7" i="4"/>
  <c r="AR8" i="4"/>
  <c r="AR9" i="4"/>
  <c r="AR10" i="4"/>
  <c r="AR11" i="4"/>
  <c r="AR12" i="4"/>
  <c r="AR13" i="4"/>
  <c r="AR14" i="4"/>
  <c r="AR15" i="4"/>
  <c r="AR16" i="4"/>
  <c r="AR17" i="4"/>
  <c r="AR18" i="4"/>
  <c r="AR19" i="4"/>
  <c r="AR20" i="4"/>
  <c r="AR21" i="4"/>
  <c r="AR22" i="4"/>
  <c r="AR23" i="4"/>
  <c r="AR24" i="4"/>
  <c r="AR25" i="4"/>
  <c r="AR26" i="4"/>
  <c r="AR27" i="4"/>
  <c r="AR28" i="4"/>
  <c r="AR29" i="4"/>
  <c r="AR30" i="4"/>
  <c r="AR31" i="4"/>
  <c r="AR32" i="4"/>
  <c r="AR33" i="4"/>
  <c r="AR34" i="4"/>
  <c r="AR35" i="4"/>
  <c r="AR36" i="4"/>
  <c r="AR37" i="4"/>
  <c r="AR38" i="4"/>
  <c r="AR39" i="4"/>
  <c r="AR40" i="4"/>
  <c r="AR41" i="4"/>
  <c r="AR42" i="4"/>
  <c r="AR43" i="4"/>
  <c r="AR44" i="4"/>
  <c r="AR45" i="4"/>
  <c r="AR46" i="4"/>
  <c r="AR47" i="4"/>
  <c r="AR48" i="4"/>
  <c r="AR49" i="4"/>
  <c r="AR50" i="4"/>
  <c r="AR51" i="4"/>
  <c r="AR52" i="4"/>
  <c r="AR53" i="4"/>
  <c r="AR54" i="4"/>
  <c r="AR55" i="4"/>
  <c r="AR56" i="4"/>
  <c r="AR57" i="4"/>
  <c r="AR58" i="4"/>
  <c r="AR59" i="4"/>
  <c r="AR60" i="4"/>
  <c r="AR61" i="4"/>
  <c r="AR62" i="4"/>
  <c r="AR63" i="4"/>
  <c r="AR64" i="4"/>
  <c r="AR65" i="4"/>
  <c r="AR66" i="4"/>
  <c r="AR67" i="4"/>
  <c r="AR68" i="4"/>
  <c r="AR69" i="4"/>
  <c r="AR70" i="4"/>
  <c r="AR71" i="4"/>
  <c r="AR72" i="4"/>
  <c r="AR73" i="4"/>
  <c r="AR74" i="4"/>
  <c r="AR75" i="4"/>
  <c r="AR76" i="4"/>
  <c r="AR77" i="4"/>
  <c r="AR78" i="4"/>
  <c r="AR79" i="4"/>
  <c r="AR80" i="4"/>
  <c r="AR81" i="4"/>
  <c r="AR82" i="4"/>
  <c r="AR83" i="4"/>
  <c r="AR84" i="4"/>
  <c r="AR85" i="4"/>
  <c r="AR86" i="4"/>
  <c r="AR87" i="4"/>
  <c r="AR88" i="4"/>
  <c r="AR89" i="4"/>
  <c r="AR90" i="4"/>
  <c r="AR91" i="4"/>
  <c r="AR92" i="4"/>
  <c r="AR93" i="4"/>
  <c r="AR94" i="4"/>
  <c r="AR95" i="4"/>
  <c r="AR96" i="4"/>
  <c r="AR97" i="4"/>
  <c r="AR98" i="4"/>
  <c r="AR99" i="4"/>
  <c r="AR100" i="4"/>
  <c r="AR101" i="4"/>
  <c r="AR102" i="4"/>
  <c r="AR103" i="4"/>
  <c r="AR104" i="4"/>
  <c r="AR105" i="4"/>
  <c r="AR106" i="4"/>
  <c r="AR107" i="4"/>
  <c r="AR108" i="4"/>
  <c r="AR109" i="4"/>
  <c r="AR110" i="4"/>
  <c r="AR111" i="4"/>
  <c r="AR112" i="4"/>
  <c r="AR113" i="4"/>
  <c r="AR114" i="4"/>
  <c r="AR115" i="4"/>
  <c r="AR116" i="4"/>
  <c r="AR117" i="4"/>
  <c r="AR118" i="4"/>
  <c r="AR119" i="4"/>
  <c r="AR120" i="4"/>
  <c r="AR121" i="4"/>
  <c r="AR122" i="4"/>
  <c r="AR123" i="4"/>
  <c r="AR124" i="4"/>
  <c r="AR125" i="4"/>
  <c r="AR126" i="4"/>
  <c r="AR127" i="4"/>
  <c r="AR128" i="4"/>
  <c r="AR129" i="4"/>
  <c r="AR130" i="4"/>
  <c r="AR131" i="4"/>
  <c r="AR132" i="4"/>
  <c r="AR133" i="4"/>
  <c r="AR134" i="4"/>
  <c r="AR135" i="4"/>
  <c r="AR136" i="4"/>
  <c r="AR137" i="4"/>
  <c r="AR138" i="4"/>
  <c r="AR139" i="4"/>
  <c r="AR140" i="4"/>
  <c r="AQ4" i="4"/>
  <c r="AQ5" i="4"/>
  <c r="AQ6" i="4"/>
  <c r="AQ7" i="4"/>
  <c r="AQ8" i="4"/>
  <c r="AQ9" i="4"/>
  <c r="AQ10" i="4"/>
  <c r="AQ11" i="4"/>
  <c r="AQ12" i="4"/>
  <c r="AQ13" i="4"/>
  <c r="AQ14" i="4"/>
  <c r="AQ15" i="4"/>
  <c r="AQ16" i="4"/>
  <c r="AQ17" i="4"/>
  <c r="AQ18" i="4"/>
  <c r="AQ19" i="4"/>
  <c r="AQ20" i="4"/>
  <c r="AQ21" i="4"/>
  <c r="AQ22" i="4"/>
  <c r="AQ23" i="4"/>
  <c r="AQ24" i="4"/>
  <c r="AQ25" i="4"/>
  <c r="AQ26" i="4"/>
  <c r="AQ27" i="4"/>
  <c r="AQ28" i="4"/>
  <c r="AQ29" i="4"/>
  <c r="AQ30" i="4"/>
  <c r="AQ31" i="4"/>
  <c r="AQ32" i="4"/>
  <c r="AQ33" i="4"/>
  <c r="AQ34" i="4"/>
  <c r="AQ35" i="4"/>
  <c r="AQ36" i="4"/>
  <c r="AQ37" i="4"/>
  <c r="AQ38" i="4"/>
  <c r="AQ39" i="4"/>
  <c r="AQ40" i="4"/>
  <c r="AQ41" i="4"/>
  <c r="AQ42" i="4"/>
  <c r="AQ43" i="4"/>
  <c r="AQ44" i="4"/>
  <c r="AQ45" i="4"/>
  <c r="AQ46" i="4"/>
  <c r="AQ47" i="4"/>
  <c r="AQ48" i="4"/>
  <c r="AQ49" i="4"/>
  <c r="AQ50" i="4"/>
  <c r="AQ51" i="4"/>
  <c r="AQ52" i="4"/>
  <c r="AQ53" i="4"/>
  <c r="AQ54" i="4"/>
  <c r="AQ55" i="4"/>
  <c r="AQ56" i="4"/>
  <c r="AQ57" i="4"/>
  <c r="AQ58" i="4"/>
  <c r="AQ59" i="4"/>
  <c r="AQ60" i="4"/>
  <c r="AQ61" i="4"/>
  <c r="AQ62" i="4"/>
  <c r="AQ63" i="4"/>
  <c r="AQ64" i="4"/>
  <c r="AQ65" i="4"/>
  <c r="AQ66" i="4"/>
  <c r="AQ67" i="4"/>
  <c r="AQ68" i="4"/>
  <c r="AQ69" i="4"/>
  <c r="AQ70" i="4"/>
  <c r="AQ71" i="4"/>
  <c r="AQ72" i="4"/>
  <c r="AQ73" i="4"/>
  <c r="AQ74" i="4"/>
  <c r="AQ75" i="4"/>
  <c r="AQ76" i="4"/>
  <c r="AQ77" i="4"/>
  <c r="AQ78" i="4"/>
  <c r="AQ79" i="4"/>
  <c r="AQ80" i="4"/>
  <c r="AQ81" i="4"/>
  <c r="AQ82" i="4"/>
  <c r="AQ83" i="4"/>
  <c r="AQ84" i="4"/>
  <c r="AQ85" i="4"/>
  <c r="AQ86" i="4"/>
  <c r="AQ87" i="4"/>
  <c r="AQ88" i="4"/>
  <c r="AQ89" i="4"/>
  <c r="AQ90" i="4"/>
  <c r="AQ91" i="4"/>
  <c r="AQ92" i="4"/>
  <c r="AQ93" i="4"/>
  <c r="AQ94" i="4"/>
  <c r="AQ95" i="4"/>
  <c r="AQ96" i="4"/>
  <c r="AQ97" i="4"/>
  <c r="AQ98" i="4"/>
  <c r="AQ99" i="4"/>
  <c r="AQ100" i="4"/>
  <c r="AQ101" i="4"/>
  <c r="AQ102" i="4"/>
  <c r="AQ103" i="4"/>
  <c r="AQ104" i="4"/>
  <c r="AQ105" i="4"/>
  <c r="AQ106" i="4"/>
  <c r="AQ107" i="4"/>
  <c r="AQ108" i="4"/>
  <c r="AQ109" i="4"/>
  <c r="AQ110" i="4"/>
  <c r="AQ111" i="4"/>
  <c r="AQ112" i="4"/>
  <c r="AQ113" i="4"/>
  <c r="AQ114" i="4"/>
  <c r="AQ115" i="4"/>
  <c r="AQ116" i="4"/>
  <c r="AQ117" i="4"/>
  <c r="AQ118" i="4"/>
  <c r="AQ119" i="4"/>
  <c r="AQ120" i="4"/>
  <c r="AQ121" i="4"/>
  <c r="AQ122" i="4"/>
  <c r="AQ123" i="4"/>
  <c r="AQ124" i="4"/>
  <c r="AQ125" i="4"/>
  <c r="AQ126" i="4"/>
  <c r="AQ127" i="4"/>
  <c r="AQ128" i="4"/>
  <c r="AQ129" i="4"/>
  <c r="AQ130" i="4"/>
  <c r="AQ131" i="4"/>
  <c r="AQ132" i="4"/>
  <c r="AQ133" i="4"/>
  <c r="AQ134" i="4"/>
  <c r="AQ135" i="4"/>
  <c r="AQ136" i="4"/>
  <c r="AQ137" i="4"/>
  <c r="AQ138" i="4"/>
  <c r="AQ139" i="4"/>
  <c r="AQ140" i="4"/>
  <c r="AP4" i="4"/>
  <c r="AP5" i="4"/>
  <c r="AP6" i="4"/>
  <c r="AP7" i="4"/>
  <c r="AP8" i="4"/>
  <c r="AP9" i="4"/>
  <c r="AP10" i="4"/>
  <c r="AP11" i="4"/>
  <c r="AP12" i="4"/>
  <c r="AP13" i="4"/>
  <c r="AP14" i="4"/>
  <c r="AP15" i="4"/>
  <c r="AP16" i="4"/>
  <c r="AP17" i="4"/>
  <c r="AP18" i="4"/>
  <c r="AP19" i="4"/>
  <c r="AP20" i="4"/>
  <c r="AP21" i="4"/>
  <c r="AP22" i="4"/>
  <c r="AP23" i="4"/>
  <c r="AP24" i="4"/>
  <c r="AP25" i="4"/>
  <c r="AP26" i="4"/>
  <c r="AP27" i="4"/>
  <c r="AP28" i="4"/>
  <c r="AP29" i="4"/>
  <c r="AP30" i="4"/>
  <c r="AP31" i="4"/>
  <c r="AP32" i="4"/>
  <c r="AP33" i="4"/>
  <c r="AP34" i="4"/>
  <c r="AP35" i="4"/>
  <c r="AP36" i="4"/>
  <c r="AP37" i="4"/>
  <c r="AP38" i="4"/>
  <c r="AP39" i="4"/>
  <c r="AP40" i="4"/>
  <c r="AP41" i="4"/>
  <c r="AP42" i="4"/>
  <c r="AP43" i="4"/>
  <c r="AP44" i="4"/>
  <c r="AP45" i="4"/>
  <c r="AP46" i="4"/>
  <c r="AP47" i="4"/>
  <c r="AP48" i="4"/>
  <c r="AP49" i="4"/>
  <c r="AP50" i="4"/>
  <c r="AP51" i="4"/>
  <c r="AP52" i="4"/>
  <c r="AP53" i="4"/>
  <c r="AP54" i="4"/>
  <c r="AP55" i="4"/>
  <c r="AP56" i="4"/>
  <c r="AP57" i="4"/>
  <c r="AP58" i="4"/>
  <c r="AP59" i="4"/>
  <c r="AP60" i="4"/>
  <c r="AP61" i="4"/>
  <c r="AP62" i="4"/>
  <c r="AP63" i="4"/>
  <c r="AP64" i="4"/>
  <c r="AP65" i="4"/>
  <c r="AP66" i="4"/>
  <c r="AP67" i="4"/>
  <c r="AP68" i="4"/>
  <c r="AP69" i="4"/>
  <c r="AP70" i="4"/>
  <c r="AP71" i="4"/>
  <c r="AP72" i="4"/>
  <c r="AP73" i="4"/>
  <c r="AP74" i="4"/>
  <c r="AP75" i="4"/>
  <c r="AP76" i="4"/>
  <c r="AP77" i="4"/>
  <c r="AP78" i="4"/>
  <c r="AP79" i="4"/>
  <c r="AP80" i="4"/>
  <c r="AP81" i="4"/>
  <c r="AP82" i="4"/>
  <c r="AP83" i="4"/>
  <c r="AP84" i="4"/>
  <c r="AP85" i="4"/>
  <c r="AP86" i="4"/>
  <c r="AP87" i="4"/>
  <c r="AP88" i="4"/>
  <c r="AP89" i="4"/>
  <c r="AP90" i="4"/>
  <c r="AP91" i="4"/>
  <c r="AP92" i="4"/>
  <c r="AP93" i="4"/>
  <c r="AP94" i="4"/>
  <c r="AP95" i="4"/>
  <c r="AP96" i="4"/>
  <c r="AP97" i="4"/>
  <c r="AP98" i="4"/>
  <c r="AP99" i="4"/>
  <c r="AP100" i="4"/>
  <c r="AP101" i="4"/>
  <c r="AP102" i="4"/>
  <c r="AP103" i="4"/>
  <c r="AP104" i="4"/>
  <c r="AP105" i="4"/>
  <c r="AP106" i="4"/>
  <c r="AP107" i="4"/>
  <c r="AP108" i="4"/>
  <c r="AP109" i="4"/>
  <c r="AP110" i="4"/>
  <c r="AP111" i="4"/>
  <c r="AP112" i="4"/>
  <c r="AP113" i="4"/>
  <c r="AP114" i="4"/>
  <c r="AP115" i="4"/>
  <c r="AP116" i="4"/>
  <c r="AP117" i="4"/>
  <c r="AP118" i="4"/>
  <c r="AP119" i="4"/>
  <c r="AP120" i="4"/>
  <c r="AP121" i="4"/>
  <c r="AP122" i="4"/>
  <c r="AP123" i="4"/>
  <c r="AP124" i="4"/>
  <c r="AP125" i="4"/>
  <c r="AP126" i="4"/>
  <c r="AP127" i="4"/>
  <c r="AP128" i="4"/>
  <c r="AP129" i="4"/>
  <c r="AP130" i="4"/>
  <c r="AP131" i="4"/>
  <c r="AP132" i="4"/>
  <c r="AP133" i="4"/>
  <c r="AP134" i="4"/>
  <c r="AP135" i="4"/>
  <c r="AP136" i="4"/>
  <c r="AP137" i="4"/>
  <c r="AP138" i="4"/>
  <c r="AP139" i="4"/>
  <c r="AP140" i="4"/>
  <c r="AO4" i="4"/>
  <c r="AO5" i="4"/>
  <c r="AO6" i="4"/>
  <c r="AO7" i="4"/>
  <c r="AO8" i="4"/>
  <c r="AO9" i="4"/>
  <c r="AO10" i="4"/>
  <c r="AO11" i="4"/>
  <c r="AO12" i="4"/>
  <c r="AO13" i="4"/>
  <c r="AO14" i="4"/>
  <c r="AO15" i="4"/>
  <c r="AO16" i="4"/>
  <c r="AO17" i="4"/>
  <c r="AO18" i="4"/>
  <c r="AO19" i="4"/>
  <c r="AO20" i="4"/>
  <c r="AO21" i="4"/>
  <c r="AO22" i="4"/>
  <c r="AO23" i="4"/>
  <c r="AO24" i="4"/>
  <c r="AO25" i="4"/>
  <c r="AO26" i="4"/>
  <c r="AO27" i="4"/>
  <c r="AO28" i="4"/>
  <c r="AO29" i="4"/>
  <c r="AO30" i="4"/>
  <c r="AO31" i="4"/>
  <c r="AO32" i="4"/>
  <c r="AO33" i="4"/>
  <c r="AO34" i="4"/>
  <c r="AO35" i="4"/>
  <c r="AO36" i="4"/>
  <c r="AO37" i="4"/>
  <c r="AO38" i="4"/>
  <c r="AO39" i="4"/>
  <c r="AO40" i="4"/>
  <c r="AO41" i="4"/>
  <c r="AO42" i="4"/>
  <c r="AO43" i="4"/>
  <c r="AO44" i="4"/>
  <c r="AO45" i="4"/>
  <c r="AO46" i="4"/>
  <c r="AO47" i="4"/>
  <c r="AO48" i="4"/>
  <c r="AO49" i="4"/>
  <c r="AO50" i="4"/>
  <c r="AO51" i="4"/>
  <c r="AO52" i="4"/>
  <c r="AO53" i="4"/>
  <c r="AO54" i="4"/>
  <c r="AO55" i="4"/>
  <c r="AO56" i="4"/>
  <c r="AO57" i="4"/>
  <c r="AO58" i="4"/>
  <c r="AO59" i="4"/>
  <c r="AO60" i="4"/>
  <c r="AO61" i="4"/>
  <c r="AO62" i="4"/>
  <c r="AO63" i="4"/>
  <c r="AO64" i="4"/>
  <c r="AO65" i="4"/>
  <c r="AO66" i="4"/>
  <c r="AO67" i="4"/>
  <c r="AO68" i="4"/>
  <c r="AO69" i="4"/>
  <c r="AO70" i="4"/>
  <c r="AO71" i="4"/>
  <c r="AO72" i="4"/>
  <c r="AO73" i="4"/>
  <c r="AO74" i="4"/>
  <c r="AO75" i="4"/>
  <c r="AO76" i="4"/>
  <c r="AO77" i="4"/>
  <c r="AO78" i="4"/>
  <c r="AO79" i="4"/>
  <c r="AO80" i="4"/>
  <c r="AO81" i="4"/>
  <c r="AO82" i="4"/>
  <c r="AO83" i="4"/>
  <c r="AO84" i="4"/>
  <c r="AO85" i="4"/>
  <c r="AO86" i="4"/>
  <c r="AO87" i="4"/>
  <c r="AO88" i="4"/>
  <c r="AO89" i="4"/>
  <c r="AO90" i="4"/>
  <c r="AO91" i="4"/>
  <c r="AO92" i="4"/>
  <c r="AO93" i="4"/>
  <c r="AO94" i="4"/>
  <c r="AO95" i="4"/>
  <c r="AO96" i="4"/>
  <c r="AO97" i="4"/>
  <c r="AO98" i="4"/>
  <c r="AO99" i="4"/>
  <c r="AO100" i="4"/>
  <c r="AO101" i="4"/>
  <c r="AO102" i="4"/>
  <c r="AO103" i="4"/>
  <c r="AO104" i="4"/>
  <c r="AO105" i="4"/>
  <c r="AO106" i="4"/>
  <c r="AO107" i="4"/>
  <c r="AO108" i="4"/>
  <c r="AO109" i="4"/>
  <c r="AO110" i="4"/>
  <c r="AO111" i="4"/>
  <c r="AO112" i="4"/>
  <c r="AO113" i="4"/>
  <c r="AO114" i="4"/>
  <c r="AO115" i="4"/>
  <c r="AO116" i="4"/>
  <c r="AO117" i="4"/>
  <c r="AO118" i="4"/>
  <c r="AO119" i="4"/>
  <c r="AO120" i="4"/>
  <c r="AO121" i="4"/>
  <c r="AO122" i="4"/>
  <c r="AO123" i="4"/>
  <c r="AO124" i="4"/>
  <c r="AO125" i="4"/>
  <c r="AO126" i="4"/>
  <c r="AO127" i="4"/>
  <c r="AO128" i="4"/>
  <c r="AO129" i="4"/>
  <c r="AO130" i="4"/>
  <c r="AO131" i="4"/>
  <c r="AO132" i="4"/>
  <c r="AO133" i="4"/>
  <c r="AO134" i="4"/>
  <c r="AO135" i="4"/>
  <c r="AO136" i="4"/>
  <c r="AO137" i="4"/>
  <c r="AO138" i="4"/>
  <c r="AO139" i="4"/>
  <c r="AO140" i="4"/>
  <c r="AN4" i="4"/>
  <c r="AN5" i="4"/>
  <c r="AN6" i="4"/>
  <c r="AN7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32" i="4"/>
  <c r="AN33" i="4"/>
  <c r="AN34" i="4"/>
  <c r="AN35" i="4"/>
  <c r="AN36" i="4"/>
  <c r="AN37" i="4"/>
  <c r="AN38" i="4"/>
  <c r="AN39" i="4"/>
  <c r="AN40" i="4"/>
  <c r="AN41" i="4"/>
  <c r="AN42" i="4"/>
  <c r="AN43" i="4"/>
  <c r="AN44" i="4"/>
  <c r="AN45" i="4"/>
  <c r="AN46" i="4"/>
  <c r="AN47" i="4"/>
  <c r="AN48" i="4"/>
  <c r="AN49" i="4"/>
  <c r="AN50" i="4"/>
  <c r="AN51" i="4"/>
  <c r="AN52" i="4"/>
  <c r="AN53" i="4"/>
  <c r="AN54" i="4"/>
  <c r="AN55" i="4"/>
  <c r="AN56" i="4"/>
  <c r="AN57" i="4"/>
  <c r="AN58" i="4"/>
  <c r="AN59" i="4"/>
  <c r="AN60" i="4"/>
  <c r="AN61" i="4"/>
  <c r="AN62" i="4"/>
  <c r="AN63" i="4"/>
  <c r="AN64" i="4"/>
  <c r="AN65" i="4"/>
  <c r="AN66" i="4"/>
  <c r="AN67" i="4"/>
  <c r="AN68" i="4"/>
  <c r="AN69" i="4"/>
  <c r="AN70" i="4"/>
  <c r="AN71" i="4"/>
  <c r="AN72" i="4"/>
  <c r="AN73" i="4"/>
  <c r="AN74" i="4"/>
  <c r="AN75" i="4"/>
  <c r="AN76" i="4"/>
  <c r="AN77" i="4"/>
  <c r="AN78" i="4"/>
  <c r="AN79" i="4"/>
  <c r="AN80" i="4"/>
  <c r="AN81" i="4"/>
  <c r="AN82" i="4"/>
  <c r="AN83" i="4"/>
  <c r="AN84" i="4"/>
  <c r="AN85" i="4"/>
  <c r="AN86" i="4"/>
  <c r="AN87" i="4"/>
  <c r="AN88" i="4"/>
  <c r="AN89" i="4"/>
  <c r="AN90" i="4"/>
  <c r="AN91" i="4"/>
  <c r="AN92" i="4"/>
  <c r="AN93" i="4"/>
  <c r="AN94" i="4"/>
  <c r="AN95" i="4"/>
  <c r="AN96" i="4"/>
  <c r="AN97" i="4"/>
  <c r="AN98" i="4"/>
  <c r="AN99" i="4"/>
  <c r="AN100" i="4"/>
  <c r="AN101" i="4"/>
  <c r="AN102" i="4"/>
  <c r="AN103" i="4"/>
  <c r="AN104" i="4"/>
  <c r="AN105" i="4"/>
  <c r="AN106" i="4"/>
  <c r="AN107" i="4"/>
  <c r="AN108" i="4"/>
  <c r="AN109" i="4"/>
  <c r="AN110" i="4"/>
  <c r="AN111" i="4"/>
  <c r="AN112" i="4"/>
  <c r="AN113" i="4"/>
  <c r="AN114" i="4"/>
  <c r="AN115" i="4"/>
  <c r="AN116" i="4"/>
  <c r="AN117" i="4"/>
  <c r="AN118" i="4"/>
  <c r="AN119" i="4"/>
  <c r="AN120" i="4"/>
  <c r="AN121" i="4"/>
  <c r="AN122" i="4"/>
  <c r="AN123" i="4"/>
  <c r="AN124" i="4"/>
  <c r="AN125" i="4"/>
  <c r="AN126" i="4"/>
  <c r="AN127" i="4"/>
  <c r="AN128" i="4"/>
  <c r="AN129" i="4"/>
  <c r="AN130" i="4"/>
  <c r="AN131" i="4"/>
  <c r="AN132" i="4"/>
  <c r="AN133" i="4"/>
  <c r="AN134" i="4"/>
  <c r="AN135" i="4"/>
  <c r="AN136" i="4"/>
  <c r="AN137" i="4"/>
  <c r="AN138" i="4"/>
  <c r="AN139" i="4"/>
  <c r="AN140" i="4"/>
  <c r="AM4" i="4"/>
  <c r="AM5" i="4"/>
  <c r="AM6" i="4"/>
  <c r="AM7" i="4"/>
  <c r="AM8" i="4"/>
  <c r="AM9" i="4"/>
  <c r="AM10" i="4"/>
  <c r="AM11" i="4"/>
  <c r="AM12" i="4"/>
  <c r="AM13" i="4"/>
  <c r="AM14" i="4"/>
  <c r="AM15" i="4"/>
  <c r="AM16" i="4"/>
  <c r="AM17" i="4"/>
  <c r="AM18" i="4"/>
  <c r="AM19" i="4"/>
  <c r="AM20" i="4"/>
  <c r="AM21" i="4"/>
  <c r="AM22" i="4"/>
  <c r="AM23" i="4"/>
  <c r="AM24" i="4"/>
  <c r="AM25" i="4"/>
  <c r="AM26" i="4"/>
  <c r="AM27" i="4"/>
  <c r="AM28" i="4"/>
  <c r="AM29" i="4"/>
  <c r="AM30" i="4"/>
  <c r="AM31" i="4"/>
  <c r="AM32" i="4"/>
  <c r="AM33" i="4"/>
  <c r="AM34" i="4"/>
  <c r="AM35" i="4"/>
  <c r="AM36" i="4"/>
  <c r="AM37" i="4"/>
  <c r="AM38" i="4"/>
  <c r="AM39" i="4"/>
  <c r="AM40" i="4"/>
  <c r="AM41" i="4"/>
  <c r="AM42" i="4"/>
  <c r="AM43" i="4"/>
  <c r="AM44" i="4"/>
  <c r="AM45" i="4"/>
  <c r="AM46" i="4"/>
  <c r="AM47" i="4"/>
  <c r="AM48" i="4"/>
  <c r="AM49" i="4"/>
  <c r="AM50" i="4"/>
  <c r="AM51" i="4"/>
  <c r="AM52" i="4"/>
  <c r="AM53" i="4"/>
  <c r="AM54" i="4"/>
  <c r="AM55" i="4"/>
  <c r="AM56" i="4"/>
  <c r="AM57" i="4"/>
  <c r="AM58" i="4"/>
  <c r="AM59" i="4"/>
  <c r="AM60" i="4"/>
  <c r="AM61" i="4"/>
  <c r="AM62" i="4"/>
  <c r="AM63" i="4"/>
  <c r="AM64" i="4"/>
  <c r="AM65" i="4"/>
  <c r="AM66" i="4"/>
  <c r="AM67" i="4"/>
  <c r="AM68" i="4"/>
  <c r="AM69" i="4"/>
  <c r="AM70" i="4"/>
  <c r="AM71" i="4"/>
  <c r="AM72" i="4"/>
  <c r="AM73" i="4"/>
  <c r="AM74" i="4"/>
  <c r="AM75" i="4"/>
  <c r="AM76" i="4"/>
  <c r="AM77" i="4"/>
  <c r="AM78" i="4"/>
  <c r="AM79" i="4"/>
  <c r="AM80" i="4"/>
  <c r="AM81" i="4"/>
  <c r="AM82" i="4"/>
  <c r="AM83" i="4"/>
  <c r="AM84" i="4"/>
  <c r="AM85" i="4"/>
  <c r="AM86" i="4"/>
  <c r="AM87" i="4"/>
  <c r="AM88" i="4"/>
  <c r="AM89" i="4"/>
  <c r="AM90" i="4"/>
  <c r="AM91" i="4"/>
  <c r="AM92" i="4"/>
  <c r="AM93" i="4"/>
  <c r="AM94" i="4"/>
  <c r="AM95" i="4"/>
  <c r="AM96" i="4"/>
  <c r="AM97" i="4"/>
  <c r="AM98" i="4"/>
  <c r="AM99" i="4"/>
  <c r="AM100" i="4"/>
  <c r="AM101" i="4"/>
  <c r="AM102" i="4"/>
  <c r="AM103" i="4"/>
  <c r="AM104" i="4"/>
  <c r="AM105" i="4"/>
  <c r="AM106" i="4"/>
  <c r="AM107" i="4"/>
  <c r="AM108" i="4"/>
  <c r="AM109" i="4"/>
  <c r="AM110" i="4"/>
  <c r="AM111" i="4"/>
  <c r="AM112" i="4"/>
  <c r="AM113" i="4"/>
  <c r="AM114" i="4"/>
  <c r="AM115" i="4"/>
  <c r="AM116" i="4"/>
  <c r="AM117" i="4"/>
  <c r="AM118" i="4"/>
  <c r="AM119" i="4"/>
  <c r="AM120" i="4"/>
  <c r="AM121" i="4"/>
  <c r="AM122" i="4"/>
  <c r="AM123" i="4"/>
  <c r="AM124" i="4"/>
  <c r="AM125" i="4"/>
  <c r="AM126" i="4"/>
  <c r="AM127" i="4"/>
  <c r="AM128" i="4"/>
  <c r="AM129" i="4"/>
  <c r="AM130" i="4"/>
  <c r="AM131" i="4"/>
  <c r="AM132" i="4"/>
  <c r="AM133" i="4"/>
  <c r="AM134" i="4"/>
  <c r="AM135" i="4"/>
  <c r="AM136" i="4"/>
  <c r="AM137" i="4"/>
  <c r="AM138" i="4"/>
  <c r="AM139" i="4"/>
  <c r="AM140" i="4"/>
  <c r="AL4" i="4"/>
  <c r="AL5" i="4"/>
  <c r="AL6" i="4"/>
  <c r="AL7" i="4"/>
  <c r="AL8" i="4"/>
  <c r="AL9" i="4"/>
  <c r="AL10" i="4"/>
  <c r="AL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41" i="4"/>
  <c r="AL42" i="4"/>
  <c r="AL43" i="4"/>
  <c r="AL44" i="4"/>
  <c r="AL45" i="4"/>
  <c r="AL46" i="4"/>
  <c r="AL47" i="4"/>
  <c r="AL48" i="4"/>
  <c r="AL49" i="4"/>
  <c r="AL50" i="4"/>
  <c r="AL51" i="4"/>
  <c r="AL52" i="4"/>
  <c r="AL53" i="4"/>
  <c r="AL54" i="4"/>
  <c r="AL55" i="4"/>
  <c r="AL56" i="4"/>
  <c r="AL57" i="4"/>
  <c r="AL58" i="4"/>
  <c r="AL59" i="4"/>
  <c r="AL60" i="4"/>
  <c r="AL61" i="4"/>
  <c r="AL62" i="4"/>
  <c r="AL63" i="4"/>
  <c r="AL64" i="4"/>
  <c r="AL65" i="4"/>
  <c r="AL66" i="4"/>
  <c r="AL67" i="4"/>
  <c r="AL68" i="4"/>
  <c r="AL69" i="4"/>
  <c r="AL70" i="4"/>
  <c r="AL71" i="4"/>
  <c r="AL72" i="4"/>
  <c r="AL73" i="4"/>
  <c r="AL74" i="4"/>
  <c r="AL75" i="4"/>
  <c r="AL76" i="4"/>
  <c r="AL77" i="4"/>
  <c r="AL78" i="4"/>
  <c r="AL79" i="4"/>
  <c r="AL80" i="4"/>
  <c r="AL81" i="4"/>
  <c r="AL82" i="4"/>
  <c r="AL83" i="4"/>
  <c r="AL84" i="4"/>
  <c r="AL85" i="4"/>
  <c r="AL86" i="4"/>
  <c r="AL87" i="4"/>
  <c r="AL88" i="4"/>
  <c r="AL89" i="4"/>
  <c r="AL90" i="4"/>
  <c r="AL91" i="4"/>
  <c r="AL92" i="4"/>
  <c r="AL93" i="4"/>
  <c r="AL94" i="4"/>
  <c r="AL95" i="4"/>
  <c r="AL96" i="4"/>
  <c r="AL97" i="4"/>
  <c r="AL98" i="4"/>
  <c r="AL99" i="4"/>
  <c r="AL100" i="4"/>
  <c r="AL101" i="4"/>
  <c r="AL102" i="4"/>
  <c r="AL103" i="4"/>
  <c r="AL104" i="4"/>
  <c r="AL105" i="4"/>
  <c r="AL106" i="4"/>
  <c r="AL107" i="4"/>
  <c r="AL108" i="4"/>
  <c r="AL109" i="4"/>
  <c r="AL110" i="4"/>
  <c r="AL111" i="4"/>
  <c r="AL112" i="4"/>
  <c r="AL113" i="4"/>
  <c r="AL114" i="4"/>
  <c r="AL115" i="4"/>
  <c r="AL116" i="4"/>
  <c r="AL117" i="4"/>
  <c r="AL118" i="4"/>
  <c r="AL119" i="4"/>
  <c r="AL120" i="4"/>
  <c r="AL121" i="4"/>
  <c r="AL122" i="4"/>
  <c r="AL123" i="4"/>
  <c r="AL124" i="4"/>
  <c r="AL125" i="4"/>
  <c r="AL126" i="4"/>
  <c r="AL127" i="4"/>
  <c r="AL128" i="4"/>
  <c r="AL129" i="4"/>
  <c r="AL130" i="4"/>
  <c r="AL131" i="4"/>
  <c r="AL132" i="4"/>
  <c r="AL133" i="4"/>
  <c r="AL134" i="4"/>
  <c r="AL135" i="4"/>
  <c r="AL136" i="4"/>
  <c r="AL137" i="4"/>
  <c r="AL138" i="4"/>
  <c r="AL139" i="4"/>
  <c r="AL140" i="4"/>
  <c r="AK4" i="4"/>
  <c r="AK5" i="4"/>
  <c r="AK6" i="4"/>
  <c r="AK7" i="4"/>
  <c r="AK8" i="4"/>
  <c r="AK9" i="4"/>
  <c r="AK10" i="4"/>
  <c r="AK11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41" i="4"/>
  <c r="AK42" i="4"/>
  <c r="AK43" i="4"/>
  <c r="AK44" i="4"/>
  <c r="AK45" i="4"/>
  <c r="AK46" i="4"/>
  <c r="AK47" i="4"/>
  <c r="AK48" i="4"/>
  <c r="AK49" i="4"/>
  <c r="AK50" i="4"/>
  <c r="AK51" i="4"/>
  <c r="AK52" i="4"/>
  <c r="AK53" i="4"/>
  <c r="AK54" i="4"/>
  <c r="AK55" i="4"/>
  <c r="AK56" i="4"/>
  <c r="AK57" i="4"/>
  <c r="AK58" i="4"/>
  <c r="AK59" i="4"/>
  <c r="AK60" i="4"/>
  <c r="AK61" i="4"/>
  <c r="AK62" i="4"/>
  <c r="AK63" i="4"/>
  <c r="AK64" i="4"/>
  <c r="AK65" i="4"/>
  <c r="AK66" i="4"/>
  <c r="AK67" i="4"/>
  <c r="AK68" i="4"/>
  <c r="AK69" i="4"/>
  <c r="AK70" i="4"/>
  <c r="AK71" i="4"/>
  <c r="AK72" i="4"/>
  <c r="AK73" i="4"/>
  <c r="AK74" i="4"/>
  <c r="AK75" i="4"/>
  <c r="AK76" i="4"/>
  <c r="AK77" i="4"/>
  <c r="AK78" i="4"/>
  <c r="AK79" i="4"/>
  <c r="AK80" i="4"/>
  <c r="AK81" i="4"/>
  <c r="AK82" i="4"/>
  <c r="AK83" i="4"/>
  <c r="AK84" i="4"/>
  <c r="AK85" i="4"/>
  <c r="AK86" i="4"/>
  <c r="AK87" i="4"/>
  <c r="AK88" i="4"/>
  <c r="AK89" i="4"/>
  <c r="AK90" i="4"/>
  <c r="AK91" i="4"/>
  <c r="AK92" i="4"/>
  <c r="AK93" i="4"/>
  <c r="AK94" i="4"/>
  <c r="AK95" i="4"/>
  <c r="AK96" i="4"/>
  <c r="AK97" i="4"/>
  <c r="AK98" i="4"/>
  <c r="AK99" i="4"/>
  <c r="AK100" i="4"/>
  <c r="AK101" i="4"/>
  <c r="AK102" i="4"/>
  <c r="AK103" i="4"/>
  <c r="AK104" i="4"/>
  <c r="AK105" i="4"/>
  <c r="AK106" i="4"/>
  <c r="AK107" i="4"/>
  <c r="AK108" i="4"/>
  <c r="AK109" i="4"/>
  <c r="AK110" i="4"/>
  <c r="AK111" i="4"/>
  <c r="AK112" i="4"/>
  <c r="AK113" i="4"/>
  <c r="AK114" i="4"/>
  <c r="AK115" i="4"/>
  <c r="AK116" i="4"/>
  <c r="AK117" i="4"/>
  <c r="AK118" i="4"/>
  <c r="AK119" i="4"/>
  <c r="AK120" i="4"/>
  <c r="AK121" i="4"/>
  <c r="AK122" i="4"/>
  <c r="AK123" i="4"/>
  <c r="AK124" i="4"/>
  <c r="AK125" i="4"/>
  <c r="AK126" i="4"/>
  <c r="AK127" i="4"/>
  <c r="AK128" i="4"/>
  <c r="AK129" i="4"/>
  <c r="AK130" i="4"/>
  <c r="AK131" i="4"/>
  <c r="AK132" i="4"/>
  <c r="AK133" i="4"/>
  <c r="AK134" i="4"/>
  <c r="AK135" i="4"/>
  <c r="AK136" i="4"/>
  <c r="AK137" i="4"/>
  <c r="AK138" i="4"/>
  <c r="AK139" i="4"/>
  <c r="AK140" i="4"/>
  <c r="AJ4" i="4"/>
  <c r="AJ5" i="4"/>
  <c r="AJ6" i="4"/>
  <c r="AJ7" i="4"/>
  <c r="AJ8" i="4"/>
  <c r="AJ9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J38" i="4"/>
  <c r="AJ39" i="4"/>
  <c r="AJ40" i="4"/>
  <c r="AJ41" i="4"/>
  <c r="AJ42" i="4"/>
  <c r="AJ43" i="4"/>
  <c r="AJ44" i="4"/>
  <c r="AJ45" i="4"/>
  <c r="AJ46" i="4"/>
  <c r="AJ47" i="4"/>
  <c r="AJ48" i="4"/>
  <c r="AJ49" i="4"/>
  <c r="AJ50" i="4"/>
  <c r="AJ51" i="4"/>
  <c r="AJ52" i="4"/>
  <c r="AJ53" i="4"/>
  <c r="AJ54" i="4"/>
  <c r="AJ55" i="4"/>
  <c r="AJ56" i="4"/>
  <c r="AJ57" i="4"/>
  <c r="AJ58" i="4"/>
  <c r="AJ59" i="4"/>
  <c r="AJ60" i="4"/>
  <c r="AJ61" i="4"/>
  <c r="AJ62" i="4"/>
  <c r="AJ63" i="4"/>
  <c r="AJ64" i="4"/>
  <c r="AJ65" i="4"/>
  <c r="AJ66" i="4"/>
  <c r="AJ67" i="4"/>
  <c r="AJ68" i="4"/>
  <c r="AJ69" i="4"/>
  <c r="AJ70" i="4"/>
  <c r="AJ71" i="4"/>
  <c r="AJ72" i="4"/>
  <c r="AJ73" i="4"/>
  <c r="AJ74" i="4"/>
  <c r="AJ75" i="4"/>
  <c r="AJ76" i="4"/>
  <c r="AJ77" i="4"/>
  <c r="AJ78" i="4"/>
  <c r="AJ79" i="4"/>
  <c r="AJ80" i="4"/>
  <c r="AJ81" i="4"/>
  <c r="AJ82" i="4"/>
  <c r="AJ83" i="4"/>
  <c r="AJ84" i="4"/>
  <c r="AJ85" i="4"/>
  <c r="AJ86" i="4"/>
  <c r="AJ87" i="4"/>
  <c r="AJ88" i="4"/>
  <c r="AJ89" i="4"/>
  <c r="AJ90" i="4"/>
  <c r="AJ91" i="4"/>
  <c r="AJ92" i="4"/>
  <c r="AJ93" i="4"/>
  <c r="AJ94" i="4"/>
  <c r="AJ95" i="4"/>
  <c r="AJ96" i="4"/>
  <c r="AJ97" i="4"/>
  <c r="AJ98" i="4"/>
  <c r="AJ99" i="4"/>
  <c r="AJ100" i="4"/>
  <c r="AJ101" i="4"/>
  <c r="AJ102" i="4"/>
  <c r="AJ103" i="4"/>
  <c r="AJ104" i="4"/>
  <c r="AJ105" i="4"/>
  <c r="AJ106" i="4"/>
  <c r="AJ107" i="4"/>
  <c r="AJ108" i="4"/>
  <c r="AJ109" i="4"/>
  <c r="AJ110" i="4"/>
  <c r="AJ111" i="4"/>
  <c r="AJ112" i="4"/>
  <c r="AJ113" i="4"/>
  <c r="AJ114" i="4"/>
  <c r="AJ115" i="4"/>
  <c r="AJ116" i="4"/>
  <c r="AJ117" i="4"/>
  <c r="AJ118" i="4"/>
  <c r="AJ119" i="4"/>
  <c r="AJ120" i="4"/>
  <c r="AJ121" i="4"/>
  <c r="AJ122" i="4"/>
  <c r="AJ123" i="4"/>
  <c r="AJ124" i="4"/>
  <c r="AJ125" i="4"/>
  <c r="AJ126" i="4"/>
  <c r="AJ127" i="4"/>
  <c r="AJ128" i="4"/>
  <c r="AJ129" i="4"/>
  <c r="AJ130" i="4"/>
  <c r="AJ131" i="4"/>
  <c r="AJ132" i="4"/>
  <c r="AJ133" i="4"/>
  <c r="AJ134" i="4"/>
  <c r="AJ135" i="4"/>
  <c r="AJ136" i="4"/>
  <c r="AJ137" i="4"/>
  <c r="AJ138" i="4"/>
  <c r="AJ139" i="4"/>
  <c r="AJ140" i="4"/>
  <c r="AI4" i="4"/>
  <c r="AI5" i="4"/>
  <c r="AI6" i="4"/>
  <c r="AI7" i="4"/>
  <c r="AI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41" i="4"/>
  <c r="AI42" i="4"/>
  <c r="AI43" i="4"/>
  <c r="AI44" i="4"/>
  <c r="AI45" i="4"/>
  <c r="AI46" i="4"/>
  <c r="AI47" i="4"/>
  <c r="AI48" i="4"/>
  <c r="AI49" i="4"/>
  <c r="AI50" i="4"/>
  <c r="AI51" i="4"/>
  <c r="AI52" i="4"/>
  <c r="AI53" i="4"/>
  <c r="AI54" i="4"/>
  <c r="AI55" i="4"/>
  <c r="AI56" i="4"/>
  <c r="AI57" i="4"/>
  <c r="AI58" i="4"/>
  <c r="AI59" i="4"/>
  <c r="AI60" i="4"/>
  <c r="AI61" i="4"/>
  <c r="AI62" i="4"/>
  <c r="AI63" i="4"/>
  <c r="AI64" i="4"/>
  <c r="AI65" i="4"/>
  <c r="AI66" i="4"/>
  <c r="AI67" i="4"/>
  <c r="AI68" i="4"/>
  <c r="AI69" i="4"/>
  <c r="AI70" i="4"/>
  <c r="AI71" i="4"/>
  <c r="AI72" i="4"/>
  <c r="AI73" i="4"/>
  <c r="AI74" i="4"/>
  <c r="AI75" i="4"/>
  <c r="AI76" i="4"/>
  <c r="AI77" i="4"/>
  <c r="AI78" i="4"/>
  <c r="AI79" i="4"/>
  <c r="AI80" i="4"/>
  <c r="AI81" i="4"/>
  <c r="AI82" i="4"/>
  <c r="AI83" i="4"/>
  <c r="AI84" i="4"/>
  <c r="AI85" i="4"/>
  <c r="AI86" i="4"/>
  <c r="AI87" i="4"/>
  <c r="AI88" i="4"/>
  <c r="AI89" i="4"/>
  <c r="AI90" i="4"/>
  <c r="AI91" i="4"/>
  <c r="AI92" i="4"/>
  <c r="AI93" i="4"/>
  <c r="AI94" i="4"/>
  <c r="AI95" i="4"/>
  <c r="AI96" i="4"/>
  <c r="AI97" i="4"/>
  <c r="AI98" i="4"/>
  <c r="AI99" i="4"/>
  <c r="AI100" i="4"/>
  <c r="AI101" i="4"/>
  <c r="AI102" i="4"/>
  <c r="AI103" i="4"/>
  <c r="AI104" i="4"/>
  <c r="AI105" i="4"/>
  <c r="AI106" i="4"/>
  <c r="AI107" i="4"/>
  <c r="AI108" i="4"/>
  <c r="AI109" i="4"/>
  <c r="AI110" i="4"/>
  <c r="AI111" i="4"/>
  <c r="AI112" i="4"/>
  <c r="AI113" i="4"/>
  <c r="AI114" i="4"/>
  <c r="AI115" i="4"/>
  <c r="AI116" i="4"/>
  <c r="AI117" i="4"/>
  <c r="AI118" i="4"/>
  <c r="AI119" i="4"/>
  <c r="AI120" i="4"/>
  <c r="AI121" i="4"/>
  <c r="AI122" i="4"/>
  <c r="AI123" i="4"/>
  <c r="AI124" i="4"/>
  <c r="AI125" i="4"/>
  <c r="AI126" i="4"/>
  <c r="AI127" i="4"/>
  <c r="AI128" i="4"/>
  <c r="AI129" i="4"/>
  <c r="AI130" i="4"/>
  <c r="AI131" i="4"/>
  <c r="AI132" i="4"/>
  <c r="AI133" i="4"/>
  <c r="AI134" i="4"/>
  <c r="AI135" i="4"/>
  <c r="AI136" i="4"/>
  <c r="AI137" i="4"/>
  <c r="AI138" i="4"/>
  <c r="AI139" i="4"/>
  <c r="AI140" i="4"/>
  <c r="AK3" i="4"/>
  <c r="AL3" i="4"/>
  <c r="AM3" i="4"/>
  <c r="AN3" i="4"/>
  <c r="AO3" i="4"/>
  <c r="AP3" i="4"/>
  <c r="AQ3" i="4"/>
  <c r="AR3" i="4"/>
  <c r="AS3" i="4"/>
  <c r="AT3" i="4"/>
  <c r="AV3" i="4"/>
  <c r="AW3" i="4"/>
  <c r="AZ3" i="4"/>
  <c r="BA3" i="4"/>
  <c r="BB3" i="4"/>
  <c r="BC3" i="4"/>
  <c r="AJ3" i="4"/>
  <c r="AI3" i="4"/>
  <c r="AF4" i="4"/>
  <c r="AF5" i="4"/>
  <c r="AF6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41" i="4"/>
  <c r="AF42" i="4"/>
  <c r="AF43" i="4"/>
  <c r="AF44" i="4"/>
  <c r="AF45" i="4"/>
  <c r="AF46" i="4"/>
  <c r="AF47" i="4"/>
  <c r="AF48" i="4"/>
  <c r="AF49" i="4"/>
  <c r="AF50" i="4"/>
  <c r="AF51" i="4"/>
  <c r="AF52" i="4"/>
  <c r="AF53" i="4"/>
  <c r="AF54" i="4"/>
  <c r="AF55" i="4"/>
  <c r="AF56" i="4"/>
  <c r="AF57" i="4"/>
  <c r="AF58" i="4"/>
  <c r="AF59" i="4"/>
  <c r="AF60" i="4"/>
  <c r="AF61" i="4"/>
  <c r="AF62" i="4"/>
  <c r="AF63" i="4"/>
  <c r="AF64" i="4"/>
  <c r="AF65" i="4"/>
  <c r="AF66" i="4"/>
  <c r="AF67" i="4"/>
  <c r="AF68" i="4"/>
  <c r="AF69" i="4"/>
  <c r="AF70" i="4"/>
  <c r="AF71" i="4"/>
  <c r="AF72" i="4"/>
  <c r="AF73" i="4"/>
  <c r="AF74" i="4"/>
  <c r="AF75" i="4"/>
  <c r="AF76" i="4"/>
  <c r="AF77" i="4"/>
  <c r="AF78" i="4"/>
  <c r="AF79" i="4"/>
  <c r="AF80" i="4"/>
  <c r="AF81" i="4"/>
  <c r="AF82" i="4"/>
  <c r="AF83" i="4"/>
  <c r="AF84" i="4"/>
  <c r="AF85" i="4"/>
  <c r="AF86" i="4"/>
  <c r="AF87" i="4"/>
  <c r="AF88" i="4"/>
  <c r="AF89" i="4"/>
  <c r="AF90" i="4"/>
  <c r="AF91" i="4"/>
  <c r="AF92" i="4"/>
  <c r="AF93" i="4"/>
  <c r="AF94" i="4"/>
  <c r="AF95" i="4"/>
  <c r="AF96" i="4"/>
  <c r="AF97" i="4"/>
  <c r="AF98" i="4"/>
  <c r="AF99" i="4"/>
  <c r="AF100" i="4"/>
  <c r="AF101" i="4"/>
  <c r="AF102" i="4"/>
  <c r="AF103" i="4"/>
  <c r="AF104" i="4"/>
  <c r="AF105" i="4"/>
  <c r="AF106" i="4"/>
  <c r="AF107" i="4"/>
  <c r="AF108" i="4"/>
  <c r="AF109" i="4"/>
  <c r="AF110" i="4"/>
  <c r="AF111" i="4"/>
  <c r="AF112" i="4"/>
  <c r="AF113" i="4"/>
  <c r="AF114" i="4"/>
  <c r="AF115" i="4"/>
  <c r="AF116" i="4"/>
  <c r="AF117" i="4"/>
  <c r="AF118" i="4"/>
  <c r="AF119" i="4"/>
  <c r="AF120" i="4"/>
  <c r="AF121" i="4"/>
  <c r="AF122" i="4"/>
  <c r="AF123" i="4"/>
  <c r="AF124" i="4"/>
  <c r="AF125" i="4"/>
  <c r="AF126" i="4"/>
  <c r="AF127" i="4"/>
  <c r="AF128" i="4"/>
  <c r="AF129" i="4"/>
  <c r="AF130" i="4"/>
  <c r="AF131" i="4"/>
  <c r="AF132" i="4"/>
  <c r="AF133" i="4"/>
  <c r="AF134" i="4"/>
  <c r="AF135" i="4"/>
  <c r="AF136" i="4"/>
  <c r="AF137" i="4"/>
  <c r="AF138" i="4"/>
  <c r="AF139" i="4"/>
  <c r="AF140" i="4"/>
  <c r="AE4" i="4"/>
  <c r="AE5" i="4"/>
  <c r="AE6" i="4"/>
  <c r="AE7" i="4"/>
  <c r="AE8" i="4"/>
  <c r="AE9" i="4"/>
  <c r="AE10" i="4"/>
  <c r="AE11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41" i="4"/>
  <c r="AE42" i="4"/>
  <c r="AE43" i="4"/>
  <c r="AE44" i="4"/>
  <c r="AE45" i="4"/>
  <c r="AE46" i="4"/>
  <c r="AE47" i="4"/>
  <c r="AE48" i="4"/>
  <c r="AE49" i="4"/>
  <c r="AE50" i="4"/>
  <c r="AE51" i="4"/>
  <c r="AE52" i="4"/>
  <c r="AE53" i="4"/>
  <c r="AE54" i="4"/>
  <c r="AE55" i="4"/>
  <c r="AE56" i="4"/>
  <c r="AE57" i="4"/>
  <c r="AE58" i="4"/>
  <c r="AE59" i="4"/>
  <c r="AE60" i="4"/>
  <c r="AE61" i="4"/>
  <c r="AE62" i="4"/>
  <c r="AE63" i="4"/>
  <c r="AE64" i="4"/>
  <c r="AE65" i="4"/>
  <c r="AE66" i="4"/>
  <c r="AE67" i="4"/>
  <c r="AE68" i="4"/>
  <c r="AE69" i="4"/>
  <c r="AE70" i="4"/>
  <c r="AE71" i="4"/>
  <c r="AE72" i="4"/>
  <c r="AE73" i="4"/>
  <c r="AE74" i="4"/>
  <c r="AE75" i="4"/>
  <c r="AE76" i="4"/>
  <c r="AE77" i="4"/>
  <c r="AE78" i="4"/>
  <c r="AE79" i="4"/>
  <c r="AE80" i="4"/>
  <c r="AE81" i="4"/>
  <c r="AE82" i="4"/>
  <c r="AE83" i="4"/>
  <c r="AE84" i="4"/>
  <c r="AE85" i="4"/>
  <c r="AE86" i="4"/>
  <c r="AE87" i="4"/>
  <c r="AE88" i="4"/>
  <c r="AE89" i="4"/>
  <c r="AE90" i="4"/>
  <c r="AE91" i="4"/>
  <c r="AE92" i="4"/>
  <c r="AE93" i="4"/>
  <c r="AE94" i="4"/>
  <c r="AE95" i="4"/>
  <c r="AE96" i="4"/>
  <c r="AE97" i="4"/>
  <c r="AE98" i="4"/>
  <c r="AE99" i="4"/>
  <c r="AE100" i="4"/>
  <c r="AE101" i="4"/>
  <c r="AE102" i="4"/>
  <c r="AE103" i="4"/>
  <c r="AE104" i="4"/>
  <c r="AE105" i="4"/>
  <c r="AE106" i="4"/>
  <c r="AE107" i="4"/>
  <c r="AE108" i="4"/>
  <c r="AE109" i="4"/>
  <c r="AE110" i="4"/>
  <c r="AE111" i="4"/>
  <c r="AE112" i="4"/>
  <c r="AE113" i="4"/>
  <c r="AE114" i="4"/>
  <c r="AE115" i="4"/>
  <c r="AE116" i="4"/>
  <c r="AE117" i="4"/>
  <c r="AE118" i="4"/>
  <c r="AE119" i="4"/>
  <c r="AE120" i="4"/>
  <c r="AE121" i="4"/>
  <c r="AE122" i="4"/>
  <c r="AE123" i="4"/>
  <c r="AE124" i="4"/>
  <c r="AE125" i="4"/>
  <c r="AE126" i="4"/>
  <c r="AE127" i="4"/>
  <c r="AE128" i="4"/>
  <c r="AE129" i="4"/>
  <c r="AE130" i="4"/>
  <c r="AE131" i="4"/>
  <c r="AE132" i="4"/>
  <c r="AE133" i="4"/>
  <c r="AE134" i="4"/>
  <c r="AE135" i="4"/>
  <c r="AE136" i="4"/>
  <c r="AE137" i="4"/>
  <c r="AE138" i="4"/>
  <c r="AE139" i="4"/>
  <c r="AE140" i="4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41" i="4"/>
  <c r="AB42" i="4"/>
  <c r="AB43" i="4"/>
  <c r="AB44" i="4"/>
  <c r="AB45" i="4"/>
  <c r="AB46" i="4"/>
  <c r="AB47" i="4"/>
  <c r="AB48" i="4"/>
  <c r="AB49" i="4"/>
  <c r="AB50" i="4"/>
  <c r="AB51" i="4"/>
  <c r="AB52" i="4"/>
  <c r="AB53" i="4"/>
  <c r="AB54" i="4"/>
  <c r="AB55" i="4"/>
  <c r="AB56" i="4"/>
  <c r="AB57" i="4"/>
  <c r="AB58" i="4"/>
  <c r="AB59" i="4"/>
  <c r="AB60" i="4"/>
  <c r="AB61" i="4"/>
  <c r="AB62" i="4"/>
  <c r="AB63" i="4"/>
  <c r="AB64" i="4"/>
  <c r="AB65" i="4"/>
  <c r="AB66" i="4"/>
  <c r="AB67" i="4"/>
  <c r="AB68" i="4"/>
  <c r="AB69" i="4"/>
  <c r="AB70" i="4"/>
  <c r="AB71" i="4"/>
  <c r="AB72" i="4"/>
  <c r="AB73" i="4"/>
  <c r="AB74" i="4"/>
  <c r="AB75" i="4"/>
  <c r="AB76" i="4"/>
  <c r="AB77" i="4"/>
  <c r="AB78" i="4"/>
  <c r="AB79" i="4"/>
  <c r="AB80" i="4"/>
  <c r="AB81" i="4"/>
  <c r="AB82" i="4"/>
  <c r="AB83" i="4"/>
  <c r="AB84" i="4"/>
  <c r="AB85" i="4"/>
  <c r="AB86" i="4"/>
  <c r="AB87" i="4"/>
  <c r="AB88" i="4"/>
  <c r="AB89" i="4"/>
  <c r="AB90" i="4"/>
  <c r="AB91" i="4"/>
  <c r="AB92" i="4"/>
  <c r="AB93" i="4"/>
  <c r="AB94" i="4"/>
  <c r="AB95" i="4"/>
  <c r="AB96" i="4"/>
  <c r="AB97" i="4"/>
  <c r="AB98" i="4"/>
  <c r="AB99" i="4"/>
  <c r="AB100" i="4"/>
  <c r="AB101" i="4"/>
  <c r="AB102" i="4"/>
  <c r="AB103" i="4"/>
  <c r="AB104" i="4"/>
  <c r="AB105" i="4"/>
  <c r="AB106" i="4"/>
  <c r="AB107" i="4"/>
  <c r="AB108" i="4"/>
  <c r="AB109" i="4"/>
  <c r="AB110" i="4"/>
  <c r="AB111" i="4"/>
  <c r="AB112" i="4"/>
  <c r="AB113" i="4"/>
  <c r="AB114" i="4"/>
  <c r="AB115" i="4"/>
  <c r="AB116" i="4"/>
  <c r="AB117" i="4"/>
  <c r="AB118" i="4"/>
  <c r="AB119" i="4"/>
  <c r="AB120" i="4"/>
  <c r="AB121" i="4"/>
  <c r="AB122" i="4"/>
  <c r="AB123" i="4"/>
  <c r="AB124" i="4"/>
  <c r="AB125" i="4"/>
  <c r="AB126" i="4"/>
  <c r="AB127" i="4"/>
  <c r="AB128" i="4"/>
  <c r="AB129" i="4"/>
  <c r="AB130" i="4"/>
  <c r="AB131" i="4"/>
  <c r="AB132" i="4"/>
  <c r="AB133" i="4"/>
  <c r="AB134" i="4"/>
  <c r="AB135" i="4"/>
  <c r="AB136" i="4"/>
  <c r="AB137" i="4"/>
  <c r="AB138" i="4"/>
  <c r="AB139" i="4"/>
  <c r="AB140" i="4"/>
  <c r="AD4" i="4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41" i="4"/>
  <c r="AD42" i="4"/>
  <c r="AD43" i="4"/>
  <c r="AD44" i="4"/>
  <c r="AD45" i="4"/>
  <c r="AD46" i="4"/>
  <c r="AD47" i="4"/>
  <c r="AD48" i="4"/>
  <c r="AD49" i="4"/>
  <c r="AD50" i="4"/>
  <c r="AD51" i="4"/>
  <c r="AD52" i="4"/>
  <c r="AD53" i="4"/>
  <c r="AD54" i="4"/>
  <c r="AD55" i="4"/>
  <c r="AD56" i="4"/>
  <c r="AD57" i="4"/>
  <c r="AD58" i="4"/>
  <c r="AD59" i="4"/>
  <c r="AD60" i="4"/>
  <c r="AD61" i="4"/>
  <c r="AD62" i="4"/>
  <c r="AD63" i="4"/>
  <c r="AD64" i="4"/>
  <c r="AD65" i="4"/>
  <c r="AD66" i="4"/>
  <c r="AD67" i="4"/>
  <c r="AD68" i="4"/>
  <c r="AD69" i="4"/>
  <c r="AD70" i="4"/>
  <c r="AD71" i="4"/>
  <c r="AD72" i="4"/>
  <c r="AD73" i="4"/>
  <c r="AD74" i="4"/>
  <c r="AD75" i="4"/>
  <c r="AD76" i="4"/>
  <c r="AD77" i="4"/>
  <c r="AD78" i="4"/>
  <c r="AD79" i="4"/>
  <c r="AD80" i="4"/>
  <c r="AD81" i="4"/>
  <c r="AD82" i="4"/>
  <c r="AD83" i="4"/>
  <c r="AD84" i="4"/>
  <c r="AD85" i="4"/>
  <c r="AD86" i="4"/>
  <c r="AD87" i="4"/>
  <c r="AD88" i="4"/>
  <c r="AD89" i="4"/>
  <c r="AD90" i="4"/>
  <c r="AD91" i="4"/>
  <c r="AD92" i="4"/>
  <c r="AD93" i="4"/>
  <c r="AD94" i="4"/>
  <c r="AD95" i="4"/>
  <c r="AD96" i="4"/>
  <c r="AD97" i="4"/>
  <c r="AD98" i="4"/>
  <c r="AD99" i="4"/>
  <c r="AD100" i="4"/>
  <c r="AD101" i="4"/>
  <c r="AD102" i="4"/>
  <c r="AD103" i="4"/>
  <c r="AD104" i="4"/>
  <c r="AD105" i="4"/>
  <c r="AD106" i="4"/>
  <c r="AD107" i="4"/>
  <c r="AD108" i="4"/>
  <c r="AD109" i="4"/>
  <c r="AD110" i="4"/>
  <c r="AD111" i="4"/>
  <c r="AD112" i="4"/>
  <c r="AD113" i="4"/>
  <c r="AD114" i="4"/>
  <c r="AD115" i="4"/>
  <c r="AD116" i="4"/>
  <c r="AD117" i="4"/>
  <c r="AD118" i="4"/>
  <c r="AD119" i="4"/>
  <c r="AD120" i="4"/>
  <c r="AD121" i="4"/>
  <c r="AD122" i="4"/>
  <c r="AD123" i="4"/>
  <c r="AD124" i="4"/>
  <c r="AD125" i="4"/>
  <c r="AD126" i="4"/>
  <c r="AD127" i="4"/>
  <c r="AD128" i="4"/>
  <c r="AD129" i="4"/>
  <c r="AD130" i="4"/>
  <c r="AD131" i="4"/>
  <c r="AD132" i="4"/>
  <c r="AD133" i="4"/>
  <c r="AD134" i="4"/>
  <c r="AD135" i="4"/>
  <c r="AD136" i="4"/>
  <c r="AD137" i="4"/>
  <c r="AD138" i="4"/>
  <c r="AD139" i="4"/>
  <c r="AD140" i="4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AC43" i="4"/>
  <c r="AC44" i="4"/>
  <c r="AC45" i="4"/>
  <c r="AC46" i="4"/>
  <c r="AC47" i="4"/>
  <c r="AC48" i="4"/>
  <c r="AC49" i="4"/>
  <c r="AC50" i="4"/>
  <c r="AC51" i="4"/>
  <c r="AC52" i="4"/>
  <c r="AC53" i="4"/>
  <c r="AC54" i="4"/>
  <c r="AC55" i="4"/>
  <c r="AC56" i="4"/>
  <c r="AC57" i="4"/>
  <c r="AC58" i="4"/>
  <c r="AC59" i="4"/>
  <c r="AC60" i="4"/>
  <c r="AC61" i="4"/>
  <c r="AC62" i="4"/>
  <c r="AC63" i="4"/>
  <c r="AC64" i="4"/>
  <c r="AC65" i="4"/>
  <c r="AC66" i="4"/>
  <c r="AC67" i="4"/>
  <c r="AC68" i="4"/>
  <c r="AC69" i="4"/>
  <c r="AC70" i="4"/>
  <c r="AC71" i="4"/>
  <c r="AC72" i="4"/>
  <c r="AC73" i="4"/>
  <c r="AC74" i="4"/>
  <c r="AC75" i="4"/>
  <c r="AC76" i="4"/>
  <c r="AC77" i="4"/>
  <c r="AC78" i="4"/>
  <c r="AC79" i="4"/>
  <c r="AC80" i="4"/>
  <c r="AC81" i="4"/>
  <c r="AC82" i="4"/>
  <c r="AC83" i="4"/>
  <c r="AC84" i="4"/>
  <c r="AC85" i="4"/>
  <c r="AC86" i="4"/>
  <c r="AC87" i="4"/>
  <c r="AC88" i="4"/>
  <c r="AC89" i="4"/>
  <c r="AC90" i="4"/>
  <c r="AC91" i="4"/>
  <c r="AC92" i="4"/>
  <c r="AC93" i="4"/>
  <c r="AC94" i="4"/>
  <c r="AC95" i="4"/>
  <c r="AC96" i="4"/>
  <c r="AC97" i="4"/>
  <c r="AC98" i="4"/>
  <c r="AC99" i="4"/>
  <c r="AC100" i="4"/>
  <c r="AC101" i="4"/>
  <c r="AC102" i="4"/>
  <c r="AC103" i="4"/>
  <c r="AC104" i="4"/>
  <c r="AC105" i="4"/>
  <c r="AC106" i="4"/>
  <c r="AC107" i="4"/>
  <c r="AC108" i="4"/>
  <c r="AC109" i="4"/>
  <c r="AC110" i="4"/>
  <c r="AC111" i="4"/>
  <c r="AC112" i="4"/>
  <c r="AC113" i="4"/>
  <c r="AC114" i="4"/>
  <c r="AC115" i="4"/>
  <c r="AC116" i="4"/>
  <c r="AC117" i="4"/>
  <c r="AC118" i="4"/>
  <c r="AC119" i="4"/>
  <c r="AC120" i="4"/>
  <c r="AC121" i="4"/>
  <c r="AC122" i="4"/>
  <c r="AC123" i="4"/>
  <c r="AC124" i="4"/>
  <c r="AC125" i="4"/>
  <c r="AC126" i="4"/>
  <c r="AC127" i="4"/>
  <c r="AC128" i="4"/>
  <c r="AC129" i="4"/>
  <c r="AC130" i="4"/>
  <c r="AC131" i="4"/>
  <c r="AC132" i="4"/>
  <c r="AC133" i="4"/>
  <c r="AC134" i="4"/>
  <c r="AC135" i="4"/>
  <c r="AC136" i="4"/>
  <c r="AC137" i="4"/>
  <c r="AC138" i="4"/>
  <c r="AC139" i="4"/>
  <c r="AC140" i="4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100" i="2"/>
  <c r="AC101" i="2"/>
  <c r="AC102" i="2"/>
  <c r="AC105" i="2"/>
  <c r="AC107" i="2"/>
  <c r="AC108" i="2"/>
  <c r="AC109" i="2"/>
  <c r="AC110" i="2"/>
  <c r="AC111" i="2"/>
  <c r="AC112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223" i="2"/>
  <c r="AC224" i="2"/>
  <c r="AC225" i="2"/>
  <c r="AC226" i="2"/>
  <c r="AC227" i="2"/>
  <c r="AC228" i="2"/>
  <c r="AC229" i="2"/>
  <c r="AC230" i="2"/>
  <c r="AC231" i="2"/>
  <c r="AC232" i="2"/>
  <c r="AC233" i="2"/>
  <c r="AC234" i="2"/>
  <c r="AC235" i="2"/>
  <c r="AC236" i="2"/>
  <c r="AC237" i="2"/>
  <c r="AC238" i="2"/>
  <c r="AC239" i="2"/>
  <c r="AC240" i="2"/>
  <c r="AC241" i="2"/>
  <c r="AC242" i="2"/>
  <c r="AC243" i="2"/>
  <c r="AC244" i="2"/>
  <c r="AC245" i="2"/>
  <c r="AC246" i="2"/>
  <c r="AC247" i="2"/>
  <c r="AC248" i="2"/>
  <c r="AC249" i="2"/>
  <c r="AC250" i="2"/>
  <c r="AC251" i="2"/>
  <c r="AC252" i="2"/>
  <c r="AC253" i="2"/>
  <c r="AC254" i="2"/>
  <c r="AC255" i="2"/>
  <c r="AC256" i="2"/>
  <c r="AC257" i="2"/>
  <c r="AC258" i="2"/>
  <c r="AC259" i="2"/>
  <c r="AC260" i="2"/>
  <c r="AC261" i="2"/>
  <c r="AC262" i="2"/>
  <c r="AC263" i="2"/>
  <c r="AC264" i="2"/>
  <c r="AC265" i="2"/>
  <c r="AC266" i="2"/>
  <c r="AC267" i="2"/>
  <c r="AC268" i="2"/>
  <c r="AC269" i="2"/>
  <c r="AC270" i="2"/>
  <c r="AC271" i="2"/>
  <c r="AC272" i="2"/>
  <c r="AC273" i="2"/>
  <c r="AC274" i="2"/>
  <c r="AC275" i="2"/>
  <c r="AC276" i="2"/>
  <c r="AC277" i="2"/>
  <c r="AC278" i="2"/>
  <c r="AC279" i="2"/>
  <c r="AC280" i="2"/>
  <c r="AC281" i="2"/>
  <c r="AC282" i="2"/>
  <c r="AC283" i="2"/>
  <c r="AC284" i="2"/>
  <c r="AC285" i="2"/>
  <c r="AC286" i="2"/>
  <c r="AC287" i="2"/>
  <c r="AC288" i="2"/>
  <c r="AC289" i="2"/>
  <c r="AC290" i="2"/>
  <c r="AC291" i="2"/>
  <c r="AC292" i="2"/>
  <c r="AC293" i="2"/>
  <c r="AC294" i="2"/>
  <c r="AC295" i="2"/>
  <c r="AC296" i="2"/>
  <c r="AC297" i="2"/>
  <c r="AC298" i="2"/>
  <c r="AD3" i="3"/>
  <c r="AC3" i="3"/>
  <c r="AD4" i="6"/>
  <c r="AE3" i="4"/>
  <c r="AF3" i="4"/>
  <c r="AD3" i="4"/>
  <c r="AC3" i="4"/>
  <c r="AB3" i="4"/>
  <c r="BE185" i="6" l="1"/>
  <c r="BE184" i="6"/>
  <c r="BG184" i="4"/>
  <c r="BG183" i="4"/>
  <c r="BF184" i="4"/>
  <c r="BF183" i="4"/>
  <c r="BE183" i="4"/>
  <c r="BE184" i="4"/>
  <c r="BI183" i="4"/>
  <c r="BI184" i="4"/>
  <c r="BH184" i="4"/>
  <c r="BH183" i="4"/>
  <c r="AH184" i="3"/>
  <c r="AH183" i="3"/>
  <c r="BF182" i="4"/>
  <c r="BF181" i="4"/>
  <c r="BG181" i="4"/>
  <c r="BG182" i="4"/>
  <c r="AH181" i="3"/>
  <c r="AH182" i="3"/>
  <c r="BH182" i="4"/>
  <c r="BH181" i="4"/>
  <c r="BE182" i="6"/>
  <c r="BE183" i="6"/>
  <c r="BE181" i="4"/>
  <c r="BE182" i="4"/>
  <c r="BI181" i="4"/>
  <c r="BI182" i="4"/>
  <c r="BG179" i="4"/>
  <c r="BG177" i="4"/>
  <c r="BG178" i="4"/>
  <c r="BG180" i="4"/>
  <c r="BF180" i="4"/>
  <c r="BF178" i="4"/>
  <c r="BF179" i="4"/>
  <c r="BF177" i="4"/>
  <c r="BI178" i="4"/>
  <c r="BI177" i="4"/>
  <c r="BI180" i="4"/>
  <c r="BI179" i="4"/>
  <c r="BH179" i="4"/>
  <c r="BH177" i="4"/>
  <c r="BH178" i="4"/>
  <c r="BH180" i="4"/>
  <c r="BE180" i="6"/>
  <c r="BE178" i="6"/>
  <c r="BE179" i="6"/>
  <c r="BE181" i="6"/>
  <c r="BE177" i="4"/>
  <c r="BE180" i="4"/>
  <c r="BE179" i="4"/>
  <c r="BE178" i="4"/>
  <c r="AH176" i="3"/>
  <c r="AH177" i="3"/>
  <c r="AH179" i="3"/>
  <c r="AH178" i="3"/>
  <c r="AH180" i="3"/>
  <c r="BE177" i="6"/>
  <c r="BG176" i="4"/>
  <c r="BH176" i="4"/>
  <c r="BF176" i="4"/>
  <c r="BI176" i="4"/>
  <c r="BE176" i="4"/>
  <c r="AH175" i="3"/>
  <c r="AH174" i="3"/>
  <c r="AH173" i="3"/>
  <c r="BE174" i="6"/>
  <c r="BE176" i="6"/>
  <c r="BE175" i="6"/>
  <c r="BI175" i="4"/>
  <c r="BI174" i="4"/>
  <c r="BI173" i="4"/>
  <c r="BG174" i="4"/>
  <c r="BG173" i="4"/>
  <c r="BG175" i="4"/>
  <c r="BF173" i="4"/>
  <c r="BF175" i="4"/>
  <c r="BF174" i="4"/>
  <c r="BE175" i="4"/>
  <c r="BE174" i="4"/>
  <c r="BE173" i="4"/>
  <c r="BH174" i="4"/>
  <c r="BH173" i="4"/>
  <c r="BH175" i="4"/>
  <c r="AH171" i="3"/>
  <c r="AH172" i="3"/>
  <c r="BE173" i="6"/>
  <c r="BE172" i="6"/>
  <c r="BH172" i="4"/>
  <c r="BH171" i="4"/>
  <c r="BG171" i="4"/>
  <c r="BG172" i="4"/>
  <c r="BI172" i="4"/>
  <c r="BI171" i="4"/>
  <c r="BF171" i="4"/>
  <c r="BF172" i="4"/>
  <c r="BE172" i="4"/>
  <c r="BE171" i="4"/>
  <c r="AH166" i="3"/>
  <c r="AH170" i="3"/>
  <c r="AH169" i="3"/>
  <c r="AH167" i="3"/>
  <c r="AH168" i="3"/>
  <c r="BE171" i="6"/>
  <c r="BE170" i="6"/>
  <c r="BE169" i="6"/>
  <c r="BE168" i="6"/>
  <c r="BI170" i="4"/>
  <c r="BI169" i="4"/>
  <c r="BI168" i="4"/>
  <c r="BI167" i="4"/>
  <c r="BG170" i="4"/>
  <c r="BG169" i="4"/>
  <c r="BG168" i="4"/>
  <c r="BG167" i="4"/>
  <c r="BH167" i="4"/>
  <c r="BH168" i="4"/>
  <c r="BH169" i="4"/>
  <c r="BH170" i="4"/>
  <c r="BF169" i="4"/>
  <c r="BF168" i="4"/>
  <c r="BF167" i="4"/>
  <c r="BF170" i="4"/>
  <c r="BE170" i="4"/>
  <c r="BE169" i="4"/>
  <c r="BE168" i="4"/>
  <c r="BE167" i="4"/>
  <c r="BE167" i="6"/>
  <c r="BI166" i="4"/>
  <c r="BG166" i="4"/>
  <c r="BF166" i="4"/>
  <c r="BH166" i="4"/>
  <c r="BE166" i="4"/>
  <c r="AH163" i="3"/>
  <c r="AH164" i="3"/>
  <c r="AH165" i="3"/>
  <c r="BE166" i="6"/>
  <c r="BE165" i="6"/>
  <c r="BE164" i="6"/>
  <c r="BF163" i="4"/>
  <c r="BF165" i="4"/>
  <c r="BF164" i="4"/>
  <c r="BG164" i="4"/>
  <c r="BG163" i="4"/>
  <c r="BG165" i="4"/>
  <c r="BI164" i="4"/>
  <c r="BI163" i="4"/>
  <c r="BI165" i="4"/>
  <c r="BH165" i="4"/>
  <c r="BH163" i="4"/>
  <c r="BH164" i="4"/>
  <c r="BE164" i="4"/>
  <c r="BE165" i="4"/>
  <c r="BE163" i="4"/>
  <c r="BE163" i="6"/>
  <c r="BE162" i="6"/>
  <c r="BI161" i="4"/>
  <c r="BI162" i="4"/>
  <c r="BH161" i="4"/>
  <c r="BH162" i="4"/>
  <c r="BG162" i="4"/>
  <c r="BG161" i="4"/>
  <c r="BF161" i="4"/>
  <c r="BF162" i="4"/>
  <c r="BE161" i="4"/>
  <c r="BE162" i="4"/>
  <c r="AH162" i="3"/>
  <c r="AH161" i="3"/>
  <c r="BG159" i="4"/>
  <c r="BG160" i="4"/>
  <c r="BI160" i="4"/>
  <c r="BI159" i="4"/>
  <c r="BE160" i="6"/>
  <c r="BE161" i="6"/>
  <c r="AH159" i="3"/>
  <c r="AH160" i="3"/>
  <c r="BH159" i="4"/>
  <c r="BH160" i="4"/>
  <c r="BE160" i="4"/>
  <c r="BE159" i="4"/>
  <c r="BF159" i="4"/>
  <c r="BF160" i="4"/>
  <c r="BI149" i="4"/>
  <c r="AH148" i="3"/>
  <c r="BH146" i="4"/>
  <c r="BE143" i="6"/>
  <c r="BG154" i="4"/>
  <c r="BF149" i="4"/>
  <c r="BH152" i="4"/>
  <c r="AH158" i="3"/>
  <c r="AH150" i="3"/>
  <c r="AH149" i="3"/>
  <c r="AH142" i="3"/>
  <c r="AH153" i="3"/>
  <c r="AH144" i="3"/>
  <c r="AH145" i="3"/>
  <c r="AH8" i="3"/>
  <c r="AH143" i="3"/>
  <c r="AH9" i="3"/>
  <c r="AH146" i="3"/>
  <c r="AH43" i="3"/>
  <c r="AH63" i="3"/>
  <c r="AH147" i="3"/>
  <c r="AH67" i="3"/>
  <c r="AH82" i="3"/>
  <c r="AH140" i="3"/>
  <c r="AH152" i="3"/>
  <c r="AH151" i="3"/>
  <c r="AH122" i="3"/>
  <c r="AH154" i="3"/>
  <c r="AH127" i="3"/>
  <c r="AH155" i="3"/>
  <c r="AH136" i="3"/>
  <c r="AH156" i="3"/>
  <c r="AH138" i="3"/>
  <c r="AH157" i="3"/>
  <c r="AH141" i="3"/>
  <c r="BE154" i="6"/>
  <c r="BE159" i="6"/>
  <c r="BE144" i="6"/>
  <c r="BE142" i="6"/>
  <c r="BE158" i="6"/>
  <c r="BE153" i="6"/>
  <c r="BE155" i="6"/>
  <c r="BE146" i="6"/>
  <c r="BE156" i="6"/>
  <c r="BE157" i="6"/>
  <c r="BE145" i="6"/>
  <c r="BE147" i="6"/>
  <c r="BE148" i="6"/>
  <c r="BE149" i="6"/>
  <c r="BE150" i="6"/>
  <c r="BE151" i="6"/>
  <c r="BE152" i="6"/>
  <c r="BE141" i="4"/>
  <c r="BE157" i="4"/>
  <c r="BF158" i="4"/>
  <c r="BI154" i="4"/>
  <c r="BE153" i="4"/>
  <c r="BE150" i="4"/>
  <c r="BG148" i="4"/>
  <c r="BH158" i="4"/>
  <c r="BE155" i="4"/>
  <c r="BG150" i="4"/>
  <c r="BH156" i="4"/>
  <c r="BG147" i="4"/>
  <c r="BE145" i="4"/>
  <c r="BE158" i="4"/>
  <c r="BF145" i="4"/>
  <c r="BI150" i="4"/>
  <c r="BH155" i="4"/>
  <c r="BF153" i="4"/>
  <c r="BE142" i="4"/>
  <c r="BF147" i="4"/>
  <c r="BG153" i="4"/>
  <c r="BE151" i="4"/>
  <c r="BI148" i="4"/>
  <c r="BF150" i="4"/>
  <c r="BF155" i="4"/>
  <c r="BG155" i="4"/>
  <c r="BE143" i="4"/>
  <c r="BI147" i="4"/>
  <c r="BG145" i="4"/>
  <c r="BG158" i="4"/>
  <c r="BI152" i="4"/>
  <c r="BH145" i="4"/>
  <c r="BF143" i="4"/>
  <c r="BH151" i="4"/>
  <c r="BH153" i="4"/>
  <c r="BG142" i="4"/>
  <c r="BI144" i="4"/>
  <c r="BH147" i="4"/>
  <c r="BI153" i="4"/>
  <c r="BG151" i="4"/>
  <c r="BH150" i="4"/>
  <c r="BI155" i="4"/>
  <c r="BF142" i="4"/>
  <c r="BF154" i="4"/>
  <c r="BI143" i="4"/>
  <c r="BI145" i="4"/>
  <c r="BI158" i="4"/>
  <c r="BE156" i="4"/>
  <c r="BH142" i="4"/>
  <c r="BH143" i="4"/>
  <c r="BH154" i="4"/>
  <c r="BE144" i="4"/>
  <c r="BF151" i="4"/>
  <c r="BI142" i="4"/>
  <c r="BI151" i="4"/>
  <c r="BE152" i="4"/>
  <c r="BE149" i="4"/>
  <c r="BG143" i="4"/>
  <c r="BF148" i="4"/>
  <c r="BE154" i="4"/>
  <c r="BF157" i="4"/>
  <c r="BG146" i="4"/>
  <c r="BE146" i="4"/>
  <c r="BF152" i="4"/>
  <c r="BG156" i="4"/>
  <c r="BF144" i="4"/>
  <c r="BF141" i="4"/>
  <c r="BI146" i="4"/>
  <c r="BF146" i="4"/>
  <c r="BG152" i="4"/>
  <c r="BG149" i="4"/>
  <c r="BG144" i="4"/>
  <c r="BH148" i="4"/>
  <c r="BH157" i="4"/>
  <c r="BE148" i="4"/>
  <c r="BI141" i="4"/>
  <c r="BI157" i="4"/>
  <c r="BG141" i="4"/>
  <c r="BG157" i="4"/>
  <c r="BH149" i="4"/>
  <c r="BI156" i="4"/>
  <c r="BH144" i="4"/>
  <c r="BH141" i="4"/>
  <c r="BF156" i="4"/>
  <c r="BE147" i="4"/>
  <c r="AH123" i="3"/>
  <c r="AH51" i="3"/>
  <c r="AH103" i="3"/>
  <c r="AH42" i="3"/>
  <c r="AH99" i="3"/>
  <c r="AH27" i="3"/>
  <c r="AH83" i="3"/>
  <c r="AH11" i="3"/>
  <c r="AH91" i="3"/>
  <c r="AH31" i="3"/>
  <c r="AH137" i="3"/>
  <c r="AH102" i="3"/>
  <c r="AH66" i="3"/>
  <c r="AH30" i="3"/>
  <c r="AH139" i="3"/>
  <c r="AH104" i="3"/>
  <c r="AH70" i="3"/>
  <c r="AH34" i="3"/>
  <c r="AH105" i="3"/>
  <c r="AH71" i="3"/>
  <c r="AH35" i="3"/>
  <c r="AH106" i="3"/>
  <c r="AH72" i="3"/>
  <c r="AH38" i="3"/>
  <c r="AH107" i="3"/>
  <c r="AH73" i="3"/>
  <c r="AH39" i="3"/>
  <c r="AH114" i="3"/>
  <c r="AH74" i="3"/>
  <c r="AH40" i="3"/>
  <c r="AH6" i="3"/>
  <c r="AH115" i="3"/>
  <c r="AH75" i="3"/>
  <c r="AH41" i="3"/>
  <c r="AH7" i="3"/>
  <c r="AH126" i="3"/>
  <c r="AH90" i="3"/>
  <c r="AH50" i="3"/>
  <c r="AH10" i="3"/>
  <c r="AH130" i="3"/>
  <c r="AH94" i="3"/>
  <c r="AH58" i="3"/>
  <c r="AH18" i="3"/>
  <c r="AH134" i="3"/>
  <c r="AH95" i="3"/>
  <c r="AH59" i="3"/>
  <c r="AH19" i="3"/>
  <c r="AH135" i="3"/>
  <c r="AH98" i="3"/>
  <c r="AH62" i="3"/>
  <c r="AH26" i="3"/>
  <c r="D307" i="2"/>
  <c r="BE3" i="4"/>
  <c r="AH131" i="3"/>
  <c r="AH84" i="3"/>
  <c r="D304" i="2"/>
  <c r="BE133" i="6"/>
  <c r="BE117" i="6"/>
  <c r="BE101" i="6"/>
  <c r="BE85" i="6"/>
  <c r="BE69" i="6"/>
  <c r="BE53" i="6"/>
  <c r="BE37" i="6"/>
  <c r="BE21" i="6"/>
  <c r="BE5" i="6"/>
  <c r="BE141" i="6"/>
  <c r="BE125" i="6"/>
  <c r="BE109" i="6"/>
  <c r="BE93" i="6"/>
  <c r="BE77" i="6"/>
  <c r="BE61" i="6"/>
  <c r="BE45" i="6"/>
  <c r="BE29" i="6"/>
  <c r="BE13" i="6"/>
  <c r="BI11" i="4"/>
  <c r="AH132" i="3"/>
  <c r="AH116" i="3"/>
  <c r="AH100" i="3"/>
  <c r="AH68" i="3"/>
  <c r="AH52" i="3"/>
  <c r="AH36" i="3"/>
  <c r="AH20" i="3"/>
  <c r="AH4" i="3"/>
  <c r="AH133" i="3"/>
  <c r="AH117" i="3"/>
  <c r="AH101" i="3"/>
  <c r="AH85" i="3"/>
  <c r="AH69" i="3"/>
  <c r="AH53" i="3"/>
  <c r="AH37" i="3"/>
  <c r="AH21" i="3"/>
  <c r="AH5" i="3"/>
  <c r="AH118" i="3"/>
  <c r="AH86" i="3"/>
  <c r="AH54" i="3"/>
  <c r="AH22" i="3"/>
  <c r="AH119" i="3"/>
  <c r="AH87" i="3"/>
  <c r="AH55" i="3"/>
  <c r="AH23" i="3"/>
  <c r="AH120" i="3"/>
  <c r="AH88" i="3"/>
  <c r="AH56" i="3"/>
  <c r="AH24" i="3"/>
  <c r="AH121" i="3"/>
  <c r="AH89" i="3"/>
  <c r="AH57" i="3"/>
  <c r="AH25" i="3"/>
  <c r="AH124" i="3"/>
  <c r="AH108" i="3"/>
  <c r="AH92" i="3"/>
  <c r="AH76" i="3"/>
  <c r="AH60" i="3"/>
  <c r="AH44" i="3"/>
  <c r="AH28" i="3"/>
  <c r="AH12" i="3"/>
  <c r="AH125" i="3"/>
  <c r="AH109" i="3"/>
  <c r="AH93" i="3"/>
  <c r="AH77" i="3"/>
  <c r="AH61" i="3"/>
  <c r="AH45" i="3"/>
  <c r="AH29" i="3"/>
  <c r="AH13" i="3"/>
  <c r="AH110" i="3"/>
  <c r="AH78" i="3"/>
  <c r="AH46" i="3"/>
  <c r="AH14" i="3"/>
  <c r="AH111" i="3"/>
  <c r="AH79" i="3"/>
  <c r="AH47" i="3"/>
  <c r="AH15" i="3"/>
  <c r="AH128" i="3"/>
  <c r="AH112" i="3"/>
  <c r="AH96" i="3"/>
  <c r="AH80" i="3"/>
  <c r="AH64" i="3"/>
  <c r="AH48" i="3"/>
  <c r="AH32" i="3"/>
  <c r="AH16" i="3"/>
  <c r="AH129" i="3"/>
  <c r="AH113" i="3"/>
  <c r="AH97" i="3"/>
  <c r="AH81" i="3"/>
  <c r="AH65" i="3"/>
  <c r="AH49" i="3"/>
  <c r="AH33" i="3"/>
  <c r="AH17" i="3"/>
  <c r="D302" i="2"/>
  <c r="D303" i="2"/>
  <c r="D306" i="2"/>
  <c r="D305" i="2"/>
  <c r="BH125" i="4"/>
  <c r="BG3" i="4"/>
  <c r="BI3" i="4"/>
  <c r="BH3" i="4"/>
  <c r="BH71" i="4"/>
  <c r="BF127" i="4"/>
  <c r="BF95" i="4"/>
  <c r="BF63" i="4"/>
  <c r="BF31" i="4"/>
  <c r="BG118" i="4"/>
  <c r="BG102" i="4"/>
  <c r="BG78" i="4"/>
  <c r="BG62" i="4"/>
  <c r="BG38" i="4"/>
  <c r="BE109" i="4"/>
  <c r="BE77" i="4"/>
  <c r="BE45" i="4"/>
  <c r="BE21" i="4"/>
  <c r="BH132" i="4"/>
  <c r="BH100" i="4"/>
  <c r="BH68" i="4"/>
  <c r="BH44" i="4"/>
  <c r="BH12" i="4"/>
  <c r="BI139" i="4"/>
  <c r="BI115" i="4"/>
  <c r="BI67" i="4"/>
  <c r="BI43" i="4"/>
  <c r="BI19" i="4"/>
  <c r="BF134" i="4"/>
  <c r="BF126" i="4"/>
  <c r="BF118" i="4"/>
  <c r="BF110" i="4"/>
  <c r="BF102" i="4"/>
  <c r="BG53" i="4"/>
  <c r="BF135" i="4"/>
  <c r="BF103" i="4"/>
  <c r="BF71" i="4"/>
  <c r="BF39" i="4"/>
  <c r="BF15" i="4"/>
  <c r="BG126" i="4"/>
  <c r="BG110" i="4"/>
  <c r="BG86" i="4"/>
  <c r="BG70" i="4"/>
  <c r="BG54" i="4"/>
  <c r="BG46" i="4"/>
  <c r="BG30" i="4"/>
  <c r="BG22" i="4"/>
  <c r="BG14" i="4"/>
  <c r="BG6" i="4"/>
  <c r="BE117" i="4"/>
  <c r="BE93" i="4"/>
  <c r="BE53" i="4"/>
  <c r="BE13" i="4"/>
  <c r="BH140" i="4"/>
  <c r="BH108" i="4"/>
  <c r="BH84" i="4"/>
  <c r="BH52" i="4"/>
  <c r="BH20" i="4"/>
  <c r="BI131" i="4"/>
  <c r="BI99" i="4"/>
  <c r="BI75" i="4"/>
  <c r="BI51" i="4"/>
  <c r="BI35" i="4"/>
  <c r="BE4" i="6"/>
  <c r="BE26" i="6"/>
  <c r="BE34" i="6"/>
  <c r="BE58" i="6"/>
  <c r="BE66" i="6"/>
  <c r="BE122" i="6"/>
  <c r="BE130" i="6"/>
  <c r="BE90" i="6"/>
  <c r="BE98" i="6"/>
  <c r="BF111" i="4"/>
  <c r="BF79" i="4"/>
  <c r="BF55" i="4"/>
  <c r="BF23" i="4"/>
  <c r="BE133" i="4"/>
  <c r="BE101" i="4"/>
  <c r="BE69" i="4"/>
  <c r="BE61" i="4"/>
  <c r="BE29" i="4"/>
  <c r="BH124" i="4"/>
  <c r="BH92" i="4"/>
  <c r="BH60" i="4"/>
  <c r="BH28" i="4"/>
  <c r="BH4" i="4"/>
  <c r="BI123" i="4"/>
  <c r="BI107" i="4"/>
  <c r="BI83" i="4"/>
  <c r="BI59" i="4"/>
  <c r="BI27" i="4"/>
  <c r="AH3" i="3"/>
  <c r="BF119" i="4"/>
  <c r="BF87" i="4"/>
  <c r="BF47" i="4"/>
  <c r="BF7" i="4"/>
  <c r="BG134" i="4"/>
  <c r="BG94" i="4"/>
  <c r="BE125" i="4"/>
  <c r="BE85" i="4"/>
  <c r="BE37" i="4"/>
  <c r="BE5" i="4"/>
  <c r="BH116" i="4"/>
  <c r="BH76" i="4"/>
  <c r="BH36" i="4"/>
  <c r="BI91" i="4"/>
  <c r="BF3" i="4"/>
  <c r="BE65" i="4"/>
  <c r="BF133" i="4"/>
  <c r="BF125" i="4"/>
  <c r="BF117" i="4"/>
  <c r="BF109" i="4"/>
  <c r="BF101" i="4"/>
  <c r="BF93" i="4"/>
  <c r="BF85" i="4"/>
  <c r="BF77" i="4"/>
  <c r="BF69" i="4"/>
  <c r="BF61" i="4"/>
  <c r="BF53" i="4"/>
  <c r="BF45" i="4"/>
  <c r="BF37" i="4"/>
  <c r="BF29" i="4"/>
  <c r="BF21" i="4"/>
  <c r="BF13" i="4"/>
  <c r="BF5" i="4"/>
  <c r="BG140" i="4"/>
  <c r="BG132" i="4"/>
  <c r="BG124" i="4"/>
  <c r="BG116" i="4"/>
  <c r="BG108" i="4"/>
  <c r="BG100" i="4"/>
  <c r="BG92" i="4"/>
  <c r="BG84" i="4"/>
  <c r="BG76" i="4"/>
  <c r="BG68" i="4"/>
  <c r="BG60" i="4"/>
  <c r="BG52" i="4"/>
  <c r="BG44" i="4"/>
  <c r="BG36" i="4"/>
  <c r="BG28" i="4"/>
  <c r="BG20" i="4"/>
  <c r="BG12" i="4"/>
  <c r="BG4" i="4"/>
  <c r="BE139" i="4"/>
  <c r="BE131" i="4"/>
  <c r="BE123" i="4"/>
  <c r="BE115" i="4"/>
  <c r="BE107" i="4"/>
  <c r="BE99" i="4"/>
  <c r="BE91" i="4"/>
  <c r="BE83" i="4"/>
  <c r="BE75" i="4"/>
  <c r="BE67" i="4"/>
  <c r="BE59" i="4"/>
  <c r="BE51" i="4"/>
  <c r="BE43" i="4"/>
  <c r="BE35" i="4"/>
  <c r="BE27" i="4"/>
  <c r="BE19" i="4"/>
  <c r="BE11" i="4"/>
  <c r="BH138" i="4"/>
  <c r="BH130" i="4"/>
  <c r="BH122" i="4"/>
  <c r="BH114" i="4"/>
  <c r="BH106" i="4"/>
  <c r="BH98" i="4"/>
  <c r="BH90" i="4"/>
  <c r="BH82" i="4"/>
  <c r="BH74" i="4"/>
  <c r="BH66" i="4"/>
  <c r="BH58" i="4"/>
  <c r="BH50" i="4"/>
  <c r="BH42" i="4"/>
  <c r="BH34" i="4"/>
  <c r="BH26" i="4"/>
  <c r="BH18" i="4"/>
  <c r="BH10" i="4"/>
  <c r="BI137" i="4"/>
  <c r="BI129" i="4"/>
  <c r="BI121" i="4"/>
  <c r="BI113" i="4"/>
  <c r="BI105" i="4"/>
  <c r="BI97" i="4"/>
  <c r="BI89" i="4"/>
  <c r="BI81" i="4"/>
  <c r="BI73" i="4"/>
  <c r="BI65" i="4"/>
  <c r="BI57" i="4"/>
  <c r="BI49" i="4"/>
  <c r="BI41" i="4"/>
  <c r="BI25" i="4"/>
  <c r="BF140" i="4"/>
  <c r="BF132" i="4"/>
  <c r="BF124" i="4"/>
  <c r="BF116" i="4"/>
  <c r="BF108" i="4"/>
  <c r="BF100" i="4"/>
  <c r="BF92" i="4"/>
  <c r="BF84" i="4"/>
  <c r="BF76" i="4"/>
  <c r="BF68" i="4"/>
  <c r="BF60" i="4"/>
  <c r="BF52" i="4"/>
  <c r="BF44" i="4"/>
  <c r="BF36" i="4"/>
  <c r="BF28" i="4"/>
  <c r="BF20" i="4"/>
  <c r="BF12" i="4"/>
  <c r="BF4" i="4"/>
  <c r="BG139" i="4"/>
  <c r="BG131" i="4"/>
  <c r="BG123" i="4"/>
  <c r="BG115" i="4"/>
  <c r="BG107" i="4"/>
  <c r="BG99" i="4"/>
  <c r="BG91" i="4"/>
  <c r="BG83" i="4"/>
  <c r="BG75" i="4"/>
  <c r="BG67" i="4"/>
  <c r="BG59" i="4"/>
  <c r="BG51" i="4"/>
  <c r="BG43" i="4"/>
  <c r="BG35" i="4"/>
  <c r="BG27" i="4"/>
  <c r="BG19" i="4"/>
  <c r="BG11" i="4"/>
  <c r="BE138" i="4"/>
  <c r="BE130" i="4"/>
  <c r="BE122" i="4"/>
  <c r="BE114" i="4"/>
  <c r="BE106" i="4"/>
  <c r="BE98" i="4"/>
  <c r="BE90" i="4"/>
  <c r="BE82" i="4"/>
  <c r="BE74" i="4"/>
  <c r="BE66" i="4"/>
  <c r="BE58" i="4"/>
  <c r="BE50" i="4"/>
  <c r="BE42" i="4"/>
  <c r="BE34" i="4"/>
  <c r="BE26" i="4"/>
  <c r="BE18" i="4"/>
  <c r="BE10" i="4"/>
  <c r="BH137" i="4"/>
  <c r="BF139" i="4"/>
  <c r="BF131" i="4"/>
  <c r="BF123" i="4"/>
  <c r="BF115" i="4"/>
  <c r="BF107" i="4"/>
  <c r="BF99" i="4"/>
  <c r="BF91" i="4"/>
  <c r="BF83" i="4"/>
  <c r="BF75" i="4"/>
  <c r="BF67" i="4"/>
  <c r="BF59" i="4"/>
  <c r="BF51" i="4"/>
  <c r="BF43" i="4"/>
  <c r="BF35" i="4"/>
  <c r="BF27" i="4"/>
  <c r="BF19" i="4"/>
  <c r="BF11" i="4"/>
  <c r="BG138" i="4"/>
  <c r="BG130" i="4"/>
  <c r="BG122" i="4"/>
  <c r="BG114" i="4"/>
  <c r="BG106" i="4"/>
  <c r="BG98" i="4"/>
  <c r="BG90" i="4"/>
  <c r="BG82" i="4"/>
  <c r="BG74" i="4"/>
  <c r="BG66" i="4"/>
  <c r="BG58" i="4"/>
  <c r="BG50" i="4"/>
  <c r="BG42" i="4"/>
  <c r="BG34" i="4"/>
  <c r="BG26" i="4"/>
  <c r="BG18" i="4"/>
  <c r="BG10" i="4"/>
  <c r="BE137" i="4"/>
  <c r="BE129" i="4"/>
  <c r="BE121" i="4"/>
  <c r="BE113" i="4"/>
  <c r="BE105" i="4"/>
  <c r="BE97" i="4"/>
  <c r="BE89" i="4"/>
  <c r="BE81" i="4"/>
  <c r="BE73" i="4"/>
  <c r="BE57" i="4"/>
  <c r="BE49" i="4"/>
  <c r="BE41" i="4"/>
  <c r="BE33" i="4"/>
  <c r="BE25" i="4"/>
  <c r="BE17" i="4"/>
  <c r="BE9" i="4"/>
  <c r="BH136" i="4"/>
  <c r="BH128" i="4"/>
  <c r="BH120" i="4"/>
  <c r="BH112" i="4"/>
  <c r="BH104" i="4"/>
  <c r="BH96" i="4"/>
  <c r="BH88" i="4"/>
  <c r="BH80" i="4"/>
  <c r="BH72" i="4"/>
  <c r="BH64" i="4"/>
  <c r="BH56" i="4"/>
  <c r="BH48" i="4"/>
  <c r="BH40" i="4"/>
  <c r="BH32" i="4"/>
  <c r="BH24" i="4"/>
  <c r="BH16" i="4"/>
  <c r="BH8" i="4"/>
  <c r="BF137" i="4"/>
  <c r="BF129" i="4"/>
  <c r="BF121" i="4"/>
  <c r="BF113" i="4"/>
  <c r="BF105" i="4"/>
  <c r="BF97" i="4"/>
  <c r="BF89" i="4"/>
  <c r="BF81" i="4"/>
  <c r="BF73" i="4"/>
  <c r="BF65" i="4"/>
  <c r="BF57" i="4"/>
  <c r="BF49" i="4"/>
  <c r="BF41" i="4"/>
  <c r="BF33" i="4"/>
  <c r="BF25" i="4"/>
  <c r="BF17" i="4"/>
  <c r="BF9" i="4"/>
  <c r="BG80" i="4"/>
  <c r="BF94" i="4"/>
  <c r="BF86" i="4"/>
  <c r="BF78" i="4"/>
  <c r="BF70" i="4"/>
  <c r="BF62" i="4"/>
  <c r="BF54" i="4"/>
  <c r="BF46" i="4"/>
  <c r="BF38" i="4"/>
  <c r="BF30" i="4"/>
  <c r="BF22" i="4"/>
  <c r="BF14" i="4"/>
  <c r="BF6" i="4"/>
  <c r="BG133" i="4"/>
  <c r="BG125" i="4"/>
  <c r="BG117" i="4"/>
  <c r="BG109" i="4"/>
  <c r="BG101" i="4"/>
  <c r="BG93" i="4"/>
  <c r="BG85" i="4"/>
  <c r="BG77" i="4"/>
  <c r="BG69" i="4"/>
  <c r="BG61" i="4"/>
  <c r="BG45" i="4"/>
  <c r="BG37" i="4"/>
  <c r="BG29" i="4"/>
  <c r="BG21" i="4"/>
  <c r="BG13" i="4"/>
  <c r="BG5" i="4"/>
  <c r="BE140" i="4"/>
  <c r="BE132" i="4"/>
  <c r="BE124" i="4"/>
  <c r="BE116" i="4"/>
  <c r="BE108" i="4"/>
  <c r="BE100" i="4"/>
  <c r="BE92" i="4"/>
  <c r="BE84" i="4"/>
  <c r="BE76" i="4"/>
  <c r="BE68" i="4"/>
  <c r="BE60" i="4"/>
  <c r="BE52" i="4"/>
  <c r="BE44" i="4"/>
  <c r="BE36" i="4"/>
  <c r="BE28" i="4"/>
  <c r="BE20" i="4"/>
  <c r="BE12" i="4"/>
  <c r="BE4" i="4"/>
  <c r="BH139" i="4"/>
  <c r="BH131" i="4"/>
  <c r="BH123" i="4"/>
  <c r="BH115" i="4"/>
  <c r="BH107" i="4"/>
  <c r="BH99" i="4"/>
  <c r="BH91" i="4"/>
  <c r="BH83" i="4"/>
  <c r="BH75" i="4"/>
  <c r="BH67" i="4"/>
  <c r="BH59" i="4"/>
  <c r="BH51" i="4"/>
  <c r="BH43" i="4"/>
  <c r="BH35" i="4"/>
  <c r="BH27" i="4"/>
  <c r="BH19" i="4"/>
  <c r="BH11" i="4"/>
  <c r="BI138" i="4"/>
  <c r="BI130" i="4"/>
  <c r="BI122" i="4"/>
  <c r="BI114" i="4"/>
  <c r="BI106" i="4"/>
  <c r="BI98" i="4"/>
  <c r="BI90" i="4"/>
  <c r="BI82" i="4"/>
  <c r="BI74" i="4"/>
  <c r="BI66" i="4"/>
  <c r="BI58" i="4"/>
  <c r="BI50" i="4"/>
  <c r="BI42" i="4"/>
  <c r="BI34" i="4"/>
  <c r="BI26" i="4"/>
  <c r="BI18" i="4"/>
  <c r="BI10" i="4"/>
  <c r="BF138" i="4"/>
  <c r="BF130" i="4"/>
  <c r="BF122" i="4"/>
  <c r="BF114" i="4"/>
  <c r="BF106" i="4"/>
  <c r="BF98" i="4"/>
  <c r="BF90" i="4"/>
  <c r="BF82" i="4"/>
  <c r="BF74" i="4"/>
  <c r="BF66" i="4"/>
  <c r="BF58" i="4"/>
  <c r="BF50" i="4"/>
  <c r="BF42" i="4"/>
  <c r="BF34" i="4"/>
  <c r="BF26" i="4"/>
  <c r="BF18" i="4"/>
  <c r="BF10" i="4"/>
  <c r="BG137" i="4"/>
  <c r="BG129" i="4"/>
  <c r="BG121" i="4"/>
  <c r="BG113" i="4"/>
  <c r="BG105" i="4"/>
  <c r="BG97" i="4"/>
  <c r="BG89" i="4"/>
  <c r="BG81" i="4"/>
  <c r="BG73" i="4"/>
  <c r="BG65" i="4"/>
  <c r="BG57" i="4"/>
  <c r="BG49" i="4"/>
  <c r="BG41" i="4"/>
  <c r="BG33" i="4"/>
  <c r="BG25" i="4"/>
  <c r="BG17" i="4"/>
  <c r="BG9" i="4"/>
  <c r="BE136" i="4"/>
  <c r="BE128" i="4"/>
  <c r="BE120" i="4"/>
  <c r="BE112" i="4"/>
  <c r="BE104" i="4"/>
  <c r="BE96" i="4"/>
  <c r="BE88" i="4"/>
  <c r="BE80" i="4"/>
  <c r="BE72" i="4"/>
  <c r="BE64" i="4"/>
  <c r="BE56" i="4"/>
  <c r="BE48" i="4"/>
  <c r="BE40" i="4"/>
  <c r="BE32" i="4"/>
  <c r="BE24" i="4"/>
  <c r="BE16" i="4"/>
  <c r="BE8" i="4"/>
  <c r="BG136" i="4"/>
  <c r="BG128" i="4"/>
  <c r="BG120" i="4"/>
  <c r="BG112" i="4"/>
  <c r="BG104" i="4"/>
  <c r="BG96" i="4"/>
  <c r="BG88" i="4"/>
  <c r="BG72" i="4"/>
  <c r="BG64" i="4"/>
  <c r="BG56" i="4"/>
  <c r="BG48" i="4"/>
  <c r="BG40" i="4"/>
  <c r="BG32" i="4"/>
  <c r="BG24" i="4"/>
  <c r="BG16" i="4"/>
  <c r="BG8" i="4"/>
  <c r="BE135" i="4"/>
  <c r="BE127" i="4"/>
  <c r="BE119" i="4"/>
  <c r="BE111" i="4"/>
  <c r="BE103" i="4"/>
  <c r="BE95" i="4"/>
  <c r="BE87" i="4"/>
  <c r="BE79" i="4"/>
  <c r="BE71" i="4"/>
  <c r="BE63" i="4"/>
  <c r="BE55" i="4"/>
  <c r="BE47" i="4"/>
  <c r="BE39" i="4"/>
  <c r="BE31" i="4"/>
  <c r="BE23" i="4"/>
  <c r="BE15" i="4"/>
  <c r="BE7" i="4"/>
  <c r="BH134" i="4"/>
  <c r="BH126" i="4"/>
  <c r="BH118" i="4"/>
  <c r="BH110" i="4"/>
  <c r="BH102" i="4"/>
  <c r="BH94" i="4"/>
  <c r="BH86" i="4"/>
  <c r="BH78" i="4"/>
  <c r="BH70" i="4"/>
  <c r="BH62" i="4"/>
  <c r="BH54" i="4"/>
  <c r="BH46" i="4"/>
  <c r="BH38" i="4"/>
  <c r="BH30" i="4"/>
  <c r="BH22" i="4"/>
  <c r="BH14" i="4"/>
  <c r="BH6" i="4"/>
  <c r="BI133" i="4"/>
  <c r="BI125" i="4"/>
  <c r="BI117" i="4"/>
  <c r="BI109" i="4"/>
  <c r="BI101" i="4"/>
  <c r="BI93" i="4"/>
  <c r="BI85" i="4"/>
  <c r="BI77" i="4"/>
  <c r="BI69" i="4"/>
  <c r="BI61" i="4"/>
  <c r="BI53" i="4"/>
  <c r="BI45" i="4"/>
  <c r="BI37" i="4"/>
  <c r="BF136" i="4"/>
  <c r="BF128" i="4"/>
  <c r="BF120" i="4"/>
  <c r="BF112" i="4"/>
  <c r="BF104" i="4"/>
  <c r="BF96" i="4"/>
  <c r="BF88" i="4"/>
  <c r="BF80" i="4"/>
  <c r="BF72" i="4"/>
  <c r="BF64" i="4"/>
  <c r="BF56" i="4"/>
  <c r="BF48" i="4"/>
  <c r="BF40" i="4"/>
  <c r="BF32" i="4"/>
  <c r="BF24" i="4"/>
  <c r="BF16" i="4"/>
  <c r="BF8" i="4"/>
  <c r="BG135" i="4"/>
  <c r="BG127" i="4"/>
  <c r="BG119" i="4"/>
  <c r="BG111" i="4"/>
  <c r="BG103" i="4"/>
  <c r="BG95" i="4"/>
  <c r="BG87" i="4"/>
  <c r="BG79" i="4"/>
  <c r="BG71" i="4"/>
  <c r="BG63" i="4"/>
  <c r="BG55" i="4"/>
  <c r="BG47" i="4"/>
  <c r="BG39" i="4"/>
  <c r="BG31" i="4"/>
  <c r="BG23" i="4"/>
  <c r="BG15" i="4"/>
  <c r="BG7" i="4"/>
  <c r="BE134" i="4"/>
  <c r="BE126" i="4"/>
  <c r="BE118" i="4"/>
  <c r="BE110" i="4"/>
  <c r="BE102" i="4"/>
  <c r="BE94" i="4"/>
  <c r="BE86" i="4"/>
  <c r="BE78" i="4"/>
  <c r="BE70" i="4"/>
  <c r="BE62" i="4"/>
  <c r="BE54" i="4"/>
  <c r="BE46" i="4"/>
  <c r="BE38" i="4"/>
  <c r="BE30" i="4"/>
  <c r="BE22" i="4"/>
  <c r="BE14" i="4"/>
  <c r="BE6" i="4"/>
  <c r="BH133" i="4"/>
  <c r="BH117" i="4"/>
  <c r="BH109" i="4"/>
  <c r="BH101" i="4"/>
  <c r="BH93" i="4"/>
  <c r="BH85" i="4"/>
  <c r="BH77" i="4"/>
  <c r="BH69" i="4"/>
  <c r="BH61" i="4"/>
  <c r="BH53" i="4"/>
  <c r="BH45" i="4"/>
  <c r="BH37" i="4"/>
  <c r="BH29" i="4"/>
  <c r="BH21" i="4"/>
  <c r="BH13" i="4"/>
  <c r="BH5" i="4"/>
  <c r="BI140" i="4"/>
  <c r="BI132" i="4"/>
  <c r="BI124" i="4"/>
  <c r="BI116" i="4"/>
  <c r="BI108" i="4"/>
  <c r="BI100" i="4"/>
  <c r="BI92" i="4"/>
  <c r="BI84" i="4"/>
  <c r="BI76" i="4"/>
  <c r="BI68" i="4"/>
  <c r="BI60" i="4"/>
  <c r="BI52" i="4"/>
  <c r="BI44" i="4"/>
  <c r="BI36" i="4"/>
  <c r="BI28" i="4"/>
  <c r="BI20" i="4"/>
  <c r="BI12" i="4"/>
  <c r="BI4" i="4"/>
  <c r="BH129" i="4"/>
  <c r="BH121" i="4"/>
  <c r="BH113" i="4"/>
  <c r="BH105" i="4"/>
  <c r="BH97" i="4"/>
  <c r="BH89" i="4"/>
  <c r="BH81" i="4"/>
  <c r="BH73" i="4"/>
  <c r="BH65" i="4"/>
  <c r="BH57" i="4"/>
  <c r="BH49" i="4"/>
  <c r="BH41" i="4"/>
  <c r="BH33" i="4"/>
  <c r="BH25" i="4"/>
  <c r="BH17" i="4"/>
  <c r="BH9" i="4"/>
  <c r="BI136" i="4"/>
  <c r="BI128" i="4"/>
  <c r="BI120" i="4"/>
  <c r="BI112" i="4"/>
  <c r="BI104" i="4"/>
  <c r="BI96" i="4"/>
  <c r="BI88" i="4"/>
  <c r="BI80" i="4"/>
  <c r="BI72" i="4"/>
  <c r="BI64" i="4"/>
  <c r="BI56" i="4"/>
  <c r="BI48" i="4"/>
  <c r="BI40" i="4"/>
  <c r="BI135" i="4"/>
  <c r="BI127" i="4"/>
  <c r="BI119" i="4"/>
  <c r="BI111" i="4"/>
  <c r="BI103" i="4"/>
  <c r="BI95" i="4"/>
  <c r="BI87" i="4"/>
  <c r="BI79" i="4"/>
  <c r="BI71" i="4"/>
  <c r="BI63" i="4"/>
  <c r="BI55" i="4"/>
  <c r="BI47" i="4"/>
  <c r="BI39" i="4"/>
  <c r="BI31" i="4"/>
  <c r="BI23" i="4"/>
  <c r="BI15" i="4"/>
  <c r="BI7" i="4"/>
  <c r="BH135" i="4"/>
  <c r="BH127" i="4"/>
  <c r="BH119" i="4"/>
  <c r="BH111" i="4"/>
  <c r="BH103" i="4"/>
  <c r="BH95" i="4"/>
  <c r="BH87" i="4"/>
  <c r="BH79" i="4"/>
  <c r="BH63" i="4"/>
  <c r="BH55" i="4"/>
  <c r="BH47" i="4"/>
  <c r="BH39" i="4"/>
  <c r="BH31" i="4"/>
  <c r="BH23" i="4"/>
  <c r="BH15" i="4"/>
  <c r="BH7" i="4"/>
  <c r="BI134" i="4"/>
  <c r="BI126" i="4"/>
  <c r="BI118" i="4"/>
  <c r="BI110" i="4"/>
  <c r="BI102" i="4"/>
  <c r="BI94" i="4"/>
  <c r="BI86" i="4"/>
  <c r="BI78" i="4"/>
  <c r="BI70" i="4"/>
  <c r="BI62" i="4"/>
  <c r="BI54" i="4"/>
  <c r="BI46" i="4"/>
  <c r="BI38" i="4"/>
  <c r="BI30" i="4"/>
  <c r="BI22" i="4"/>
  <c r="BI14" i="4"/>
  <c r="BI6" i="4"/>
  <c r="BE140" i="6"/>
  <c r="BE132" i="6"/>
  <c r="BE124" i="6"/>
  <c r="BE116" i="6"/>
  <c r="BE108" i="6"/>
  <c r="BE100" i="6"/>
  <c r="BE92" i="6"/>
  <c r="BE84" i="6"/>
  <c r="BE76" i="6"/>
  <c r="BE68" i="6"/>
  <c r="BE60" i="6"/>
  <c r="BE52" i="6"/>
  <c r="BE44" i="6"/>
  <c r="BE36" i="6"/>
  <c r="BE28" i="6"/>
  <c r="BE20" i="6"/>
  <c r="BE12" i="6"/>
  <c r="BI33" i="4"/>
  <c r="BI17" i="4"/>
  <c r="BI9" i="4"/>
  <c r="BI32" i="4"/>
  <c r="BI24" i="4"/>
  <c r="BI16" i="4"/>
  <c r="BI8" i="4"/>
  <c r="BE137" i="6"/>
  <c r="BE129" i="6"/>
  <c r="BE121" i="6"/>
  <c r="BE113" i="6"/>
  <c r="BE105" i="6"/>
  <c r="BE97" i="6"/>
  <c r="BE89" i="6"/>
  <c r="BE81" i="6"/>
  <c r="BE73" i="6"/>
  <c r="BE65" i="6"/>
  <c r="BE57" i="6"/>
  <c r="BE49" i="6"/>
  <c r="BE41" i="6"/>
  <c r="BE33" i="6"/>
  <c r="BE25" i="6"/>
  <c r="BE17" i="6"/>
  <c r="BE9" i="6"/>
  <c r="BI29" i="4"/>
  <c r="BI21" i="4"/>
  <c r="BI13" i="4"/>
  <c r="BI5" i="4"/>
  <c r="BE136" i="6"/>
  <c r="BE128" i="6"/>
  <c r="BE120" i="6"/>
  <c r="BE112" i="6"/>
  <c r="BE104" i="6"/>
  <c r="BE96" i="6"/>
  <c r="BE88" i="6"/>
  <c r="BE80" i="6"/>
  <c r="BE72" i="6"/>
  <c r="BE64" i="6"/>
  <c r="BE56" i="6"/>
  <c r="BE48" i="6"/>
  <c r="BE40" i="6"/>
  <c r="BE32" i="6"/>
  <c r="BE24" i="6"/>
  <c r="BE16" i="6"/>
  <c r="BE8" i="6"/>
  <c r="BE139" i="6"/>
  <c r="BE131" i="6"/>
  <c r="BE123" i="6"/>
  <c r="BE115" i="6"/>
  <c r="BE107" i="6"/>
  <c r="BE99" i="6"/>
  <c r="BE91" i="6"/>
  <c r="BE83" i="6"/>
  <c r="BE75" i="6"/>
  <c r="BE67" i="6"/>
  <c r="BE59" i="6"/>
  <c r="BE51" i="6"/>
  <c r="BE43" i="6"/>
  <c r="BE35" i="6"/>
  <c r="BE27" i="6"/>
  <c r="BE19" i="6"/>
  <c r="BE11" i="6"/>
  <c r="BE138" i="6"/>
  <c r="BE114" i="6"/>
  <c r="BE106" i="6"/>
  <c r="BE82" i="6"/>
  <c r="BE74" i="6"/>
  <c r="BE50" i="6"/>
  <c r="BE42" i="6"/>
  <c r="BE18" i="6"/>
  <c r="BE10" i="6"/>
  <c r="BE135" i="6"/>
  <c r="BE127" i="6"/>
  <c r="BE119" i="6"/>
  <c r="BE111" i="6"/>
  <c r="BE103" i="6"/>
  <c r="BE95" i="6"/>
  <c r="BE87" i="6"/>
  <c r="BE79" i="6"/>
  <c r="BE71" i="6"/>
  <c r="BE63" i="6"/>
  <c r="BE55" i="6"/>
  <c r="BE47" i="6"/>
  <c r="BE39" i="6"/>
  <c r="BE31" i="6"/>
  <c r="BE23" i="6"/>
  <c r="BE15" i="6"/>
  <c r="BE7" i="6"/>
  <c r="BE134" i="6"/>
  <c r="BE126" i="6"/>
  <c r="BE118" i="6"/>
  <c r="BE110" i="6"/>
  <c r="BE102" i="6"/>
  <c r="BE94" i="6"/>
  <c r="BE86" i="6"/>
  <c r="BE78" i="6"/>
  <c r="BE70" i="6"/>
  <c r="BE62" i="6"/>
  <c r="BE54" i="6"/>
  <c r="BE46" i="6"/>
  <c r="BE38" i="6"/>
  <c r="BE30" i="6"/>
  <c r="BE22" i="6"/>
  <c r="BE14" i="6"/>
  <c r="BE6" i="6"/>
  <c r="AE184" i="3" l="1"/>
  <c r="AE183" i="3"/>
  <c r="AA184" i="4"/>
  <c r="AA183" i="4"/>
  <c r="AE182" i="3"/>
  <c r="AE181" i="3"/>
  <c r="AA182" i="4"/>
  <c r="AA181" i="4"/>
  <c r="AA176" i="4"/>
  <c r="AA177" i="4"/>
  <c r="AA178" i="4"/>
  <c r="AA179" i="4"/>
  <c r="AA180" i="4"/>
  <c r="AE176" i="3"/>
  <c r="AE178" i="3"/>
  <c r="AE180" i="3"/>
  <c r="AE177" i="3"/>
  <c r="AE179" i="3"/>
  <c r="AA175" i="4"/>
  <c r="AA174" i="4"/>
  <c r="AA173" i="4"/>
  <c r="AE174" i="3"/>
  <c r="AE173" i="3"/>
  <c r="AE175" i="3"/>
  <c r="AE171" i="3"/>
  <c r="AE172" i="3"/>
  <c r="AA172" i="4"/>
  <c r="AA171" i="4"/>
  <c r="AE166" i="3"/>
  <c r="AE169" i="3"/>
  <c r="AE170" i="3"/>
  <c r="AE167" i="3"/>
  <c r="AE168" i="3"/>
  <c r="AA166" i="4"/>
  <c r="AA170" i="4"/>
  <c r="AA169" i="4"/>
  <c r="AA167" i="4"/>
  <c r="AA168" i="4"/>
  <c r="AE163" i="3"/>
  <c r="AE164" i="3"/>
  <c r="AE165" i="3"/>
  <c r="AA164" i="4"/>
  <c r="AA163" i="4"/>
  <c r="AA165" i="4"/>
  <c r="AA161" i="4"/>
  <c r="AA162" i="4"/>
  <c r="AE161" i="3"/>
  <c r="AE162" i="3"/>
  <c r="AE160" i="3"/>
  <c r="AE159" i="3"/>
  <c r="AA159" i="4"/>
  <c r="AA160" i="4"/>
  <c r="AE147" i="3"/>
  <c r="AE145" i="3"/>
  <c r="AE146" i="3"/>
  <c r="AE144" i="3"/>
  <c r="AE143" i="3"/>
  <c r="AE142" i="3"/>
  <c r="AE158" i="3"/>
  <c r="AE141" i="3"/>
  <c r="AE157" i="3"/>
  <c r="AE156" i="3"/>
  <c r="AE155" i="3"/>
  <c r="AE154" i="3"/>
  <c r="AE153" i="3"/>
  <c r="AE152" i="3"/>
  <c r="AE151" i="3"/>
  <c r="AE150" i="3"/>
  <c r="AE148" i="3"/>
  <c r="AE149" i="3"/>
  <c r="AA83" i="4"/>
  <c r="AA148" i="4"/>
  <c r="AA147" i="4"/>
  <c r="AA145" i="4"/>
  <c r="AA146" i="4"/>
  <c r="AA144" i="4"/>
  <c r="AA143" i="4"/>
  <c r="AA142" i="4"/>
  <c r="AA158" i="4"/>
  <c r="AA141" i="4"/>
  <c r="AA157" i="4"/>
  <c r="AA156" i="4"/>
  <c r="AA155" i="4"/>
  <c r="AA154" i="4"/>
  <c r="AA153" i="4"/>
  <c r="AA152" i="4"/>
  <c r="AA151" i="4"/>
  <c r="AA150" i="4"/>
  <c r="AA149" i="4"/>
  <c r="AA117" i="4"/>
  <c r="AA4" i="4"/>
  <c r="AA12" i="4"/>
  <c r="AA51" i="4"/>
  <c r="AA74" i="4"/>
  <c r="AA22" i="4"/>
  <c r="AA135" i="4"/>
  <c r="AA109" i="4"/>
  <c r="AA56" i="4"/>
  <c r="AA77" i="4"/>
  <c r="AA99" i="4"/>
  <c r="AA24" i="4"/>
  <c r="AA128" i="4"/>
  <c r="AA3" i="4"/>
  <c r="AA100" i="4"/>
  <c r="AA7" i="4"/>
  <c r="AA80" i="4"/>
  <c r="AA115" i="4"/>
  <c r="AA20" i="4"/>
  <c r="AA90" i="4"/>
  <c r="AA48" i="4"/>
  <c r="AA101" i="4"/>
  <c r="AA103" i="4"/>
  <c r="AA89" i="4"/>
  <c r="AA107" i="4"/>
  <c r="AA61" i="4"/>
  <c r="AA32" i="4"/>
  <c r="AA19" i="4"/>
  <c r="AA53" i="4"/>
  <c r="AA87" i="4"/>
  <c r="AA73" i="4"/>
  <c r="AA91" i="4"/>
  <c r="AA78" i="4"/>
  <c r="AA49" i="4"/>
  <c r="AA5" i="4"/>
  <c r="AA8" i="4"/>
  <c r="AA21" i="4"/>
  <c r="AA6" i="4"/>
  <c r="AA25" i="4"/>
  <c r="AA43" i="4"/>
  <c r="AA62" i="4"/>
  <c r="AA33" i="4"/>
  <c r="AA86" i="4"/>
  <c r="AA120" i="4"/>
  <c r="AA9" i="4"/>
  <c r="AA11" i="4"/>
  <c r="AA14" i="4"/>
  <c r="AA114" i="4"/>
  <c r="AA116" i="4"/>
  <c r="AA70" i="4"/>
  <c r="AA104" i="4"/>
  <c r="AA122" i="4"/>
  <c r="AA60" i="4"/>
  <c r="AA127" i="4"/>
  <c r="AA98" i="4"/>
  <c r="AE19" i="3"/>
  <c r="AE35" i="3"/>
  <c r="AE51" i="3"/>
  <c r="AE67" i="3"/>
  <c r="AE83" i="3"/>
  <c r="AE99" i="3"/>
  <c r="AE115" i="3"/>
  <c r="AE131" i="3"/>
  <c r="AE18" i="3"/>
  <c r="AE34" i="3"/>
  <c r="AE50" i="3"/>
  <c r="AE66" i="3"/>
  <c r="AE82" i="3"/>
  <c r="AE98" i="3"/>
  <c r="AE114" i="3"/>
  <c r="AE130" i="3"/>
  <c r="AE31" i="3"/>
  <c r="AE79" i="3"/>
  <c r="AE111" i="3"/>
  <c r="AE17" i="3"/>
  <c r="AE33" i="3"/>
  <c r="AE49" i="3"/>
  <c r="AE65" i="3"/>
  <c r="AE81" i="3"/>
  <c r="AE97" i="3"/>
  <c r="AE113" i="3"/>
  <c r="AE129" i="3"/>
  <c r="AE16" i="3"/>
  <c r="AE32" i="3"/>
  <c r="AE48" i="3"/>
  <c r="AE64" i="3"/>
  <c r="AE80" i="3"/>
  <c r="AE96" i="3"/>
  <c r="AE112" i="3"/>
  <c r="AE128" i="3"/>
  <c r="AE15" i="3"/>
  <c r="AE47" i="3"/>
  <c r="AE63" i="3"/>
  <c r="AE95" i="3"/>
  <c r="AE127" i="3"/>
  <c r="AE14" i="3"/>
  <c r="AE30" i="3"/>
  <c r="AE46" i="3"/>
  <c r="AE62" i="3"/>
  <c r="AE78" i="3"/>
  <c r="AE94" i="3"/>
  <c r="AE110" i="3"/>
  <c r="AE126" i="3"/>
  <c r="AE13" i="3"/>
  <c r="AE29" i="3"/>
  <c r="AE45" i="3"/>
  <c r="AE61" i="3"/>
  <c r="AE77" i="3"/>
  <c r="AE93" i="3"/>
  <c r="AE109" i="3"/>
  <c r="AE125" i="3"/>
  <c r="AE87" i="3"/>
  <c r="AE103" i="3"/>
  <c r="AE86" i="3"/>
  <c r="AE134" i="3"/>
  <c r="AE5" i="3"/>
  <c r="AE117" i="3"/>
  <c r="AE36" i="3"/>
  <c r="AE12" i="3"/>
  <c r="AE28" i="3"/>
  <c r="AE44" i="3"/>
  <c r="AE60" i="3"/>
  <c r="AE76" i="3"/>
  <c r="AE92" i="3"/>
  <c r="AE108" i="3"/>
  <c r="AE124" i="3"/>
  <c r="AE140" i="3"/>
  <c r="AE71" i="3"/>
  <c r="AE119" i="3"/>
  <c r="AE38" i="3"/>
  <c r="AE69" i="3"/>
  <c r="AE68" i="3"/>
  <c r="AE11" i="3"/>
  <c r="AE27" i="3"/>
  <c r="AE43" i="3"/>
  <c r="AE59" i="3"/>
  <c r="AE75" i="3"/>
  <c r="AE91" i="3"/>
  <c r="AE107" i="3"/>
  <c r="AE123" i="3"/>
  <c r="AE139" i="3"/>
  <c r="AE55" i="3"/>
  <c r="AE6" i="3"/>
  <c r="AE118" i="3"/>
  <c r="AE85" i="3"/>
  <c r="AE133" i="3"/>
  <c r="AE20" i="3"/>
  <c r="AE100" i="3"/>
  <c r="AE10" i="3"/>
  <c r="AE26" i="3"/>
  <c r="AE42" i="3"/>
  <c r="AE58" i="3"/>
  <c r="AE74" i="3"/>
  <c r="AE90" i="3"/>
  <c r="AE106" i="3"/>
  <c r="AE122" i="3"/>
  <c r="AE138" i="3"/>
  <c r="AE39" i="3"/>
  <c r="AE135" i="3"/>
  <c r="AE70" i="3"/>
  <c r="AE53" i="3"/>
  <c r="AE84" i="3"/>
  <c r="AE9" i="3"/>
  <c r="AE25" i="3"/>
  <c r="AE41" i="3"/>
  <c r="AE57" i="3"/>
  <c r="AE73" i="3"/>
  <c r="AE89" i="3"/>
  <c r="AE105" i="3"/>
  <c r="AE121" i="3"/>
  <c r="AE137" i="3"/>
  <c r="AE23" i="3"/>
  <c r="AE54" i="3"/>
  <c r="AE21" i="3"/>
  <c r="AE101" i="3"/>
  <c r="AE52" i="3"/>
  <c r="AE132" i="3"/>
  <c r="AE8" i="3"/>
  <c r="AE24" i="3"/>
  <c r="AE40" i="3"/>
  <c r="AE56" i="3"/>
  <c r="AE72" i="3"/>
  <c r="AE88" i="3"/>
  <c r="AE104" i="3"/>
  <c r="AE120" i="3"/>
  <c r="AE136" i="3"/>
  <c r="AE7" i="3"/>
  <c r="AE22" i="3"/>
  <c r="AE102" i="3"/>
  <c r="AE37" i="3"/>
  <c r="AE4" i="3"/>
  <c r="AE116" i="3"/>
  <c r="AA133" i="4"/>
  <c r="AA38" i="4"/>
  <c r="AA136" i="4"/>
  <c r="AA41" i="4"/>
  <c r="AA123" i="4"/>
  <c r="AA28" i="4"/>
  <c r="AA94" i="4"/>
  <c r="AA65" i="4"/>
  <c r="AA131" i="4"/>
  <c r="AA54" i="4"/>
  <c r="AA57" i="4"/>
  <c r="AA139" i="4"/>
  <c r="AA44" i="4"/>
  <c r="AA110" i="4"/>
  <c r="AA15" i="4"/>
  <c r="AA81" i="4"/>
  <c r="AA126" i="4"/>
  <c r="AA31" i="4"/>
  <c r="AA97" i="4"/>
  <c r="AA76" i="4"/>
  <c r="AA47" i="4"/>
  <c r="AA113" i="4"/>
  <c r="AA18" i="4"/>
  <c r="AA36" i="4"/>
  <c r="AA102" i="4"/>
  <c r="AA23" i="4"/>
  <c r="AA105" i="4"/>
  <c r="AA10" i="4"/>
  <c r="AA92" i="4"/>
  <c r="AA63" i="4"/>
  <c r="AA129" i="4"/>
  <c r="AA34" i="4"/>
  <c r="AA52" i="4"/>
  <c r="AA118" i="4"/>
  <c r="AA39" i="4"/>
  <c r="AA121" i="4"/>
  <c r="AA26" i="4"/>
  <c r="AA108" i="4"/>
  <c r="AA13" i="4"/>
  <c r="AA79" i="4"/>
  <c r="AA50" i="4"/>
  <c r="AA68" i="4"/>
  <c r="AA134" i="4"/>
  <c r="AA55" i="4"/>
  <c r="AA137" i="4"/>
  <c r="AA42" i="4"/>
  <c r="AA124" i="4"/>
  <c r="AA29" i="4"/>
  <c r="AA95" i="4"/>
  <c r="AA66" i="4"/>
  <c r="AA84" i="4"/>
  <c r="AA71" i="4"/>
  <c r="AA58" i="4"/>
  <c r="AA140" i="4"/>
  <c r="AA45" i="4"/>
  <c r="AA111" i="4"/>
  <c r="AA16" i="4"/>
  <c r="AA82" i="4"/>
  <c r="AA132" i="4"/>
  <c r="AA37" i="4"/>
  <c r="AA119" i="4"/>
  <c r="AA40" i="4"/>
  <c r="AA106" i="4"/>
  <c r="AA27" i="4"/>
  <c r="AA93" i="4"/>
  <c r="AA64" i="4"/>
  <c r="AA130" i="4"/>
  <c r="AA35" i="4"/>
  <c r="AA69" i="4"/>
  <c r="AA72" i="4"/>
  <c r="AA138" i="4"/>
  <c r="AA59" i="4"/>
  <c r="AA125" i="4"/>
  <c r="AA30" i="4"/>
  <c r="AA96" i="4"/>
  <c r="AA67" i="4"/>
  <c r="AA85" i="4"/>
  <c r="AA88" i="4"/>
  <c r="AA75" i="4"/>
  <c r="AA46" i="4"/>
  <c r="AA112" i="4"/>
  <c r="AA17" i="4"/>
  <c r="AE3" i="3"/>
  <c r="BD186" i="4" l="1"/>
  <c r="BD185" i="4"/>
  <c r="BD184" i="4"/>
  <c r="BD183" i="4"/>
  <c r="AI184" i="3"/>
  <c r="AI183" i="3"/>
  <c r="BD181" i="4"/>
  <c r="BD182" i="4"/>
  <c r="AI181" i="3"/>
  <c r="AI182" i="3"/>
  <c r="AI176" i="3"/>
  <c r="AI180" i="3"/>
  <c r="BD180" i="4"/>
  <c r="AI178" i="3"/>
  <c r="BD179" i="4"/>
  <c r="BD178" i="4"/>
  <c r="AI179" i="3"/>
  <c r="BD177" i="4"/>
  <c r="AI177" i="3"/>
  <c r="BD176" i="4"/>
  <c r="AI174" i="3"/>
  <c r="AI173" i="3"/>
  <c r="AI175" i="3"/>
  <c r="AI171" i="3"/>
  <c r="BD173" i="4"/>
  <c r="BD175" i="4"/>
  <c r="BD174" i="4"/>
  <c r="AI172" i="3"/>
  <c r="BD172" i="4"/>
  <c r="BD171" i="4"/>
  <c r="AI169" i="3"/>
  <c r="AI170" i="3"/>
  <c r="AI167" i="3"/>
  <c r="AI168" i="3"/>
  <c r="AI166" i="3"/>
  <c r="BD170" i="4"/>
  <c r="BD169" i="4"/>
  <c r="BD167" i="4"/>
  <c r="BD168" i="4"/>
  <c r="BD166" i="4"/>
  <c r="AI165" i="3"/>
  <c r="AI164" i="3"/>
  <c r="AI163" i="3"/>
  <c r="BD163" i="4"/>
  <c r="BD165" i="4"/>
  <c r="BD164" i="4"/>
  <c r="BD162" i="4"/>
  <c r="BD161" i="4"/>
  <c r="AI161" i="3"/>
  <c r="AI162" i="3"/>
  <c r="AI159" i="3"/>
  <c r="AI160" i="3"/>
  <c r="BD159" i="4"/>
  <c r="BD160" i="4"/>
  <c r="AI155" i="3"/>
  <c r="AI154" i="3"/>
  <c r="AI153" i="3"/>
  <c r="AI147" i="3"/>
  <c r="AI151" i="3"/>
  <c r="AI145" i="3"/>
  <c r="AI152" i="3"/>
  <c r="AI150" i="3"/>
  <c r="AI148" i="3"/>
  <c r="AI146" i="3"/>
  <c r="AI149" i="3"/>
  <c r="AI144" i="3"/>
  <c r="AI143" i="3"/>
  <c r="AI142" i="3"/>
  <c r="AI158" i="3"/>
  <c r="AI141" i="3"/>
  <c r="AI157" i="3"/>
  <c r="AI156" i="3"/>
  <c r="BD144" i="4"/>
  <c r="BD149" i="4"/>
  <c r="BD142" i="4"/>
  <c r="BD141" i="4"/>
  <c r="BD146" i="4"/>
  <c r="BD157" i="4"/>
  <c r="BD156" i="4"/>
  <c r="BD148" i="4"/>
  <c r="BD158" i="4"/>
  <c r="BD155" i="4"/>
  <c r="BD143" i="4"/>
  <c r="BD154" i="4"/>
  <c r="BD153" i="4"/>
  <c r="BD150" i="4"/>
  <c r="BD152" i="4"/>
  <c r="BD145" i="4"/>
  <c r="BD147" i="4"/>
  <c r="BD151" i="4"/>
  <c r="BD54" i="4"/>
  <c r="BD39" i="4"/>
  <c r="BD114" i="4"/>
  <c r="AI128" i="3"/>
  <c r="BD36" i="4"/>
  <c r="BD49" i="4"/>
  <c r="BD89" i="4"/>
  <c r="BD17" i="4"/>
  <c r="BD94" i="4"/>
  <c r="BD97" i="4"/>
  <c r="BD12" i="4"/>
  <c r="BD96" i="4"/>
  <c r="BD95" i="4"/>
  <c r="BD118" i="4"/>
  <c r="BD76" i="4"/>
  <c r="BD65" i="4"/>
  <c r="BD102" i="4"/>
  <c r="BD21" i="4"/>
  <c r="BD40" i="4"/>
  <c r="BD6" i="4"/>
  <c r="BD135" i="4"/>
  <c r="BD66" i="4"/>
  <c r="BD121" i="4"/>
  <c r="AI64" i="3"/>
  <c r="AI55" i="3"/>
  <c r="AI42" i="3"/>
  <c r="AI46" i="3"/>
  <c r="AI113" i="3"/>
  <c r="BD88" i="4"/>
  <c r="BD20" i="4"/>
  <c r="BD77" i="4"/>
  <c r="BD106" i="4"/>
  <c r="BD47" i="4"/>
  <c r="BD93" i="4"/>
  <c r="BD90" i="4"/>
  <c r="BD71" i="4"/>
  <c r="BD108" i="4"/>
  <c r="BD18" i="4"/>
  <c r="BD85" i="4"/>
  <c r="BD62" i="4"/>
  <c r="BD128" i="4"/>
  <c r="BD48" i="4"/>
  <c r="BD43" i="4"/>
  <c r="BD11" i="4"/>
  <c r="BD64" i="4"/>
  <c r="BD13" i="4"/>
  <c r="BD57" i="4"/>
  <c r="BD127" i="4"/>
  <c r="BD19" i="4"/>
  <c r="BD84" i="4"/>
  <c r="BD60" i="4"/>
  <c r="BD113" i="4"/>
  <c r="BD91" i="4"/>
  <c r="BD52" i="4"/>
  <c r="BD26" i="4"/>
  <c r="BD100" i="4"/>
  <c r="BD9" i="4"/>
  <c r="BD87" i="4"/>
  <c r="BD130" i="4"/>
  <c r="BD79" i="4"/>
  <c r="BD139" i="4"/>
  <c r="BD8" i="4"/>
  <c r="BD115" i="4"/>
  <c r="BD27" i="4"/>
  <c r="BD22" i="4"/>
  <c r="BD99" i="4"/>
  <c r="BD75" i="4"/>
  <c r="BD35" i="4"/>
  <c r="BD58" i="4"/>
  <c r="BD23" i="4"/>
  <c r="BD61" i="4"/>
  <c r="BD10" i="4"/>
  <c r="BD53" i="4"/>
  <c r="BD101" i="4"/>
  <c r="BD51" i="4"/>
  <c r="BD44" i="4"/>
  <c r="BD103" i="4"/>
  <c r="BD140" i="4"/>
  <c r="BD50" i="4"/>
  <c r="BD105" i="4"/>
  <c r="BD110" i="4"/>
  <c r="BD133" i="4"/>
  <c r="BD56" i="4"/>
  <c r="BD116" i="4"/>
  <c r="BD33" i="4"/>
  <c r="BD98" i="4"/>
  <c r="BD3" i="4"/>
  <c r="BD46" i="4"/>
  <c r="BD69" i="4"/>
  <c r="BD45" i="4"/>
  <c r="BD68" i="4"/>
  <c r="BD15" i="4"/>
  <c r="BD38" i="4"/>
  <c r="BD104" i="4"/>
  <c r="BD86" i="4"/>
  <c r="BD72" i="4"/>
  <c r="BD111" i="4"/>
  <c r="BD92" i="4"/>
  <c r="BD14" i="4"/>
  <c r="BD31" i="4"/>
  <c r="BD55" i="4"/>
  <c r="BD138" i="4"/>
  <c r="BD82" i="4"/>
  <c r="BD137" i="4"/>
  <c r="BD63" i="4"/>
  <c r="BD126" i="4"/>
  <c r="BD123" i="4"/>
  <c r="BD67" i="4"/>
  <c r="BD7" i="4"/>
  <c r="BD122" i="4"/>
  <c r="BD112" i="4"/>
  <c r="BD134" i="4"/>
  <c r="BD81" i="4"/>
  <c r="BD32" i="4"/>
  <c r="BD16" i="4"/>
  <c r="BD41" i="4"/>
  <c r="BD24" i="4"/>
  <c r="BD80" i="4"/>
  <c r="BD30" i="4"/>
  <c r="BD117" i="4"/>
  <c r="BD29" i="4"/>
  <c r="BD59" i="4"/>
  <c r="BD132" i="4"/>
  <c r="BD42" i="4"/>
  <c r="BD129" i="4"/>
  <c r="BD28" i="4"/>
  <c r="BD5" i="4"/>
  <c r="BD37" i="4"/>
  <c r="BD131" i="4"/>
  <c r="BD74" i="4"/>
  <c r="BD136" i="4"/>
  <c r="BD120" i="4"/>
  <c r="BD109" i="4"/>
  <c r="BD83" i="4"/>
  <c r="BD70" i="4"/>
  <c r="BD4" i="4"/>
  <c r="BD125" i="4"/>
  <c r="BD124" i="4"/>
  <c r="BD34" i="4"/>
  <c r="BD73" i="4"/>
  <c r="BD78" i="4"/>
  <c r="BD25" i="4"/>
  <c r="BD119" i="4"/>
  <c r="BD107" i="4"/>
  <c r="AI3" i="3"/>
  <c r="AI109" i="3"/>
  <c r="AI37" i="3"/>
  <c r="AI16" i="3"/>
  <c r="AI68" i="3"/>
  <c r="AI88" i="3"/>
  <c r="AI97" i="3"/>
  <c r="AI34" i="3"/>
  <c r="AI120" i="3"/>
  <c r="AI41" i="3"/>
  <c r="AI15" i="3"/>
  <c r="AI60" i="3"/>
  <c r="AI130" i="3"/>
  <c r="AI43" i="3"/>
  <c r="AI80" i="3"/>
  <c r="AI87" i="3"/>
  <c r="AI77" i="3"/>
  <c r="AI25" i="3"/>
  <c r="AI20" i="3"/>
  <c r="AI6" i="3"/>
  <c r="AI38" i="3"/>
  <c r="AI40" i="3"/>
  <c r="AI92" i="3"/>
  <c r="AI105" i="3"/>
  <c r="AI124" i="3"/>
  <c r="AI107" i="3"/>
  <c r="AI58" i="3"/>
  <c r="AI129" i="3"/>
  <c r="AI134" i="3"/>
  <c r="AI17" i="3"/>
  <c r="AI45" i="3"/>
  <c r="AI57" i="3"/>
  <c r="AI72" i="3"/>
  <c r="AI139" i="3"/>
  <c r="AI18" i="3"/>
  <c r="AI90" i="3"/>
  <c r="AI93" i="3"/>
  <c r="AI21" i="3"/>
  <c r="AI75" i="3"/>
  <c r="AI104" i="3"/>
  <c r="AI122" i="3"/>
  <c r="AI95" i="3"/>
  <c r="AI47" i="3"/>
  <c r="AI24" i="3"/>
  <c r="AI7" i="3"/>
  <c r="AI112" i="3"/>
  <c r="AI35" i="3"/>
  <c r="AI52" i="3"/>
  <c r="AI29" i="3"/>
  <c r="AI67" i="3"/>
  <c r="AI136" i="3"/>
  <c r="AI11" i="3"/>
  <c r="AI84" i="3"/>
  <c r="AI30" i="3"/>
  <c r="AI32" i="3"/>
  <c r="AI13" i="3"/>
  <c r="AI28" i="3"/>
  <c r="AI99" i="3"/>
  <c r="AI50" i="3"/>
  <c r="AI116" i="3"/>
  <c r="AI9" i="3"/>
  <c r="AI133" i="3"/>
  <c r="AI131" i="3"/>
  <c r="AI4" i="3"/>
  <c r="AI82" i="3"/>
  <c r="AI5" i="3"/>
  <c r="AI137" i="3"/>
  <c r="AI78" i="3"/>
  <c r="AI14" i="3"/>
  <c r="AI23" i="3"/>
  <c r="AI22" i="3"/>
  <c r="AI110" i="3"/>
  <c r="AI86" i="3"/>
  <c r="AI111" i="3"/>
  <c r="AI71" i="3"/>
  <c r="AI94" i="3"/>
  <c r="AI96" i="3"/>
  <c r="AI44" i="3"/>
  <c r="AI114" i="3"/>
  <c r="AI26" i="3"/>
  <c r="AI53" i="3"/>
  <c r="AI119" i="3"/>
  <c r="AI39" i="3"/>
  <c r="AI89" i="3"/>
  <c r="AI76" i="3"/>
  <c r="AI59" i="3"/>
  <c r="AI8" i="3"/>
  <c r="AI74" i="3"/>
  <c r="AI108" i="3"/>
  <c r="AI19" i="3"/>
  <c r="AI91" i="3"/>
  <c r="AI118" i="3"/>
  <c r="AI33" i="3"/>
  <c r="AI125" i="3"/>
  <c r="AI81" i="3"/>
  <c r="AI36" i="3"/>
  <c r="AI106" i="3"/>
  <c r="AI140" i="3"/>
  <c r="AI56" i="3"/>
  <c r="AI123" i="3"/>
  <c r="AI70" i="3"/>
  <c r="AI127" i="3"/>
  <c r="AI65" i="3"/>
  <c r="AI12" i="3"/>
  <c r="AI79" i="3"/>
  <c r="AI61" i="3"/>
  <c r="AI31" i="3"/>
  <c r="AI73" i="3"/>
  <c r="AI100" i="3"/>
  <c r="AI135" i="3"/>
  <c r="AI54" i="3"/>
  <c r="AI117" i="3"/>
  <c r="AI138" i="3"/>
  <c r="AI102" i="3"/>
  <c r="AI51" i="3"/>
  <c r="AI101" i="3"/>
  <c r="AI49" i="3"/>
  <c r="AI66" i="3"/>
  <c r="AI132" i="3"/>
  <c r="AI10" i="3"/>
  <c r="AI83" i="3"/>
  <c r="AI121" i="3"/>
  <c r="AI126" i="3"/>
  <c r="AI62" i="3"/>
  <c r="AI63" i="3"/>
  <c r="AI27" i="3"/>
  <c r="AI98" i="3"/>
  <c r="AI48" i="3"/>
  <c r="AI115" i="3"/>
  <c r="AI69" i="3"/>
  <c r="AI85" i="3"/>
  <c r="AI103" i="3"/>
</calcChain>
</file>

<file path=xl/sharedStrings.xml><?xml version="1.0" encoding="utf-8"?>
<sst xmlns="http://schemas.openxmlformats.org/spreadsheetml/2006/main" count="2411" uniqueCount="291">
  <si>
    <t>TOTAL_BASIC</t>
  </si>
  <si>
    <t>PER_GAME_BASIC</t>
  </si>
  <si>
    <t>ADVANCED</t>
  </si>
  <si>
    <t>SHOOTING</t>
  </si>
  <si>
    <t>Statistiques shooting classées par minutes jouées</t>
  </si>
  <si>
    <t>Player</t>
  </si>
  <si>
    <t>Team</t>
  </si>
  <si>
    <t>Pos</t>
  </si>
  <si>
    <t>G</t>
  </si>
  <si>
    <t>MP</t>
  </si>
  <si>
    <t>GS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</si>
  <si>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</si>
  <si>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</si>
  <si>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</si>
  <si>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</si>
  <si>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</si>
  <si>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</si>
  <si>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</si>
  <si>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</si>
  <si>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</si>
  <si>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FT</t>
  </si>
  <si>
    <t>FTA</t>
  </si>
  <si>
    <t>FT%</t>
  </si>
  <si>
    <t>ORB</t>
  </si>
  <si>
    <t>TRB</t>
  </si>
  <si>
    <t>AST</t>
  </si>
  <si>
    <t>STL</t>
  </si>
  <si>
    <t>BLK</t>
  </si>
  <si>
    <t>TOV</t>
  </si>
  <si>
    <t>PF</t>
  </si>
  <si>
    <t>PTS</t>
  </si>
  <si>
    <t>AST/TO</t>
  </si>
  <si>
    <t>PER</t>
  </si>
  <si>
    <t>TS%</t>
  </si>
  <si>
    <t>eFG%</t>
  </si>
  <si>
    <t>3PAr</t>
  </si>
  <si>
    <t>FTr</t>
  </si>
  <si>
    <t>ORB%</t>
  </si>
  <si>
    <t>TRB%</t>
  </si>
  <si>
    <t>AST%</t>
  </si>
  <si>
    <t>STL%</t>
  </si>
  <si>
    <t>BLK%</t>
  </si>
  <si>
    <t>TOV%</t>
  </si>
  <si>
    <t>USG%</t>
  </si>
  <si>
    <t>ORtg</t>
  </si>
  <si>
    <t>DRtg</t>
  </si>
  <si>
    <t>OWS</t>
  </si>
  <si>
    <t>DWS</t>
  </si>
  <si>
    <t>WS</t>
  </si>
  <si>
    <t>WS/40</t>
  </si>
  <si>
    <t>TS+</t>
  </si>
  <si>
    <t>PPP</t>
  </si>
  <si>
    <t>NRtg</t>
  </si>
  <si>
    <t>Stats</t>
  </si>
  <si>
    <t>% of FGA by Distance</t>
  </si>
  <si>
    <t>FG% by Distance</t>
  </si>
  <si>
    <t>% of FG Ast'd</t>
  </si>
  <si>
    <t>Corner 3s</t>
  </si>
  <si>
    <t>Dist.</t>
  </si>
  <si>
    <t>0-3</t>
  </si>
  <si>
    <t>3-10</t>
  </si>
  <si>
    <t>10-16</t>
  </si>
  <si>
    <t>16-3P</t>
  </si>
  <si>
    <t>%3PA</t>
  </si>
  <si>
    <t>PPSA</t>
  </si>
  <si>
    <t>%AST'd</t>
  </si>
  <si>
    <t>PPP
(100 poss)</t>
  </si>
  <si>
    <t>DATA</t>
  </si>
  <si>
    <t>CENTILE</t>
  </si>
  <si>
    <t>Statistiques de base au total classées par minutes jouées</t>
  </si>
  <si>
    <t>Statistiques de base par match classées par minutes jouées</t>
  </si>
  <si>
    <t>Statistiques avancées classées par minutes jouées</t>
  </si>
  <si>
    <t>BLK/PF</t>
  </si>
  <si>
    <t>PPP+</t>
  </si>
  <si>
    <t>MIN LIMIT</t>
  </si>
  <si>
    <t>SOMME</t>
  </si>
  <si>
    <t>TS Moy</t>
  </si>
  <si>
    <t>PPP Moy</t>
  </si>
  <si>
    <t>3P% Moy</t>
  </si>
  <si>
    <t>2P% Moy</t>
  </si>
  <si>
    <t>FG% Moy</t>
  </si>
  <si>
    <t>EFG% Moy</t>
  </si>
  <si>
    <t>FT% Moy</t>
  </si>
  <si>
    <t>Breanna Stewart</t>
  </si>
  <si>
    <t>NYL</t>
  </si>
  <si>
    <t>F</t>
  </si>
  <si>
    <t>Marine Johannes</t>
  </si>
  <si>
    <t>Jonquel Jones</t>
  </si>
  <si>
    <t>C</t>
  </si>
  <si>
    <t>Pauline Astier</t>
  </si>
  <si>
    <t>Veronica Burton</t>
  </si>
  <si>
    <t>GSV</t>
  </si>
  <si>
    <t>Kahleah Copper</t>
  </si>
  <si>
    <t>PHO</t>
  </si>
  <si>
    <t>G-F</t>
  </si>
  <si>
    <t>Kayla McBride</t>
  </si>
  <si>
    <t>MIN</t>
  </si>
  <si>
    <t>Alyssa Thomas</t>
  </si>
  <si>
    <t>Paige Bueckers</t>
  </si>
  <si>
    <t>DAL</t>
  </si>
  <si>
    <t>Betnijah Laney-Hamilton</t>
  </si>
  <si>
    <t>Arike Ogunbowale</t>
  </si>
  <si>
    <t>Jessica Shepard</t>
  </si>
  <si>
    <t>Courtney Williams</t>
  </si>
  <si>
    <t>Olivia Miles</t>
  </si>
  <si>
    <t>Kayla Thornton</t>
  </si>
  <si>
    <t>Kennedy Burke</t>
  </si>
  <si>
    <t>CON</t>
  </si>
  <si>
    <t>Rebekah Gardner</t>
  </si>
  <si>
    <t>Bridget Carleton</t>
  </si>
  <si>
    <t>Gabby Williams</t>
  </si>
  <si>
    <t>DeWanna Bonner</t>
  </si>
  <si>
    <t>F-G</t>
  </si>
  <si>
    <t>Flau'jae Johnson</t>
  </si>
  <si>
    <t>SEA</t>
  </si>
  <si>
    <t>Natasha Howard</t>
  </si>
  <si>
    <t>Jackie Young</t>
  </si>
  <si>
    <t>LVA</t>
  </si>
  <si>
    <t>Natasha Mack</t>
  </si>
  <si>
    <t>F-C</t>
  </si>
  <si>
    <t>Nia Coffey</t>
  </si>
  <si>
    <t>Chelsea Gray</t>
  </si>
  <si>
    <t>Dominique Malonga</t>
  </si>
  <si>
    <t>Aneesah Morrow</t>
  </si>
  <si>
    <t>Kaila Charles</t>
  </si>
  <si>
    <t>Jewell Loyd</t>
  </si>
  <si>
    <t>Diamond Miller</t>
  </si>
  <si>
    <t>Rhyne Howard</t>
  </si>
  <si>
    <t>ATL</t>
  </si>
  <si>
    <t>Saniya Rivers</t>
  </si>
  <si>
    <t>Rickea Jackson</t>
  </si>
  <si>
    <t>CHI</t>
  </si>
  <si>
    <t>A'ja Wilson</t>
  </si>
  <si>
    <t>Odyssey Sims</t>
  </si>
  <si>
    <t>Alanna Smith</t>
  </si>
  <si>
    <t>Luisa Geiselsöder</t>
  </si>
  <si>
    <t>Kelsey Plum</t>
  </si>
  <si>
    <t>LAS</t>
  </si>
  <si>
    <t>Natisha Hiedeman</t>
  </si>
  <si>
    <t>Sonia Citron</t>
  </si>
  <si>
    <t>WAS</t>
  </si>
  <si>
    <t>Stefanie Dolson</t>
  </si>
  <si>
    <t>Nyadiew Puoch</t>
  </si>
  <si>
    <t>Janelle Salaün</t>
  </si>
  <si>
    <t>Naz Hillmon</t>
  </si>
  <si>
    <t>Jade Melbourne</t>
  </si>
  <si>
    <t>Sarah Ashlee Barker</t>
  </si>
  <si>
    <t>Skylar Diggins</t>
  </si>
  <si>
    <t>Emily Engstler</t>
  </si>
  <si>
    <t>Allisha Gray</t>
  </si>
  <si>
    <t>Jovana Nogić</t>
  </si>
  <si>
    <t>Angel Reese</t>
  </si>
  <si>
    <t>Jacy Sheldon</t>
  </si>
  <si>
    <t>Kiah Stokes</t>
  </si>
  <si>
    <t>Nneka Ogwumike</t>
  </si>
  <si>
    <t>Chennedy Carter</t>
  </si>
  <si>
    <t>Caitlin Clark</t>
  </si>
  <si>
    <t>IND</t>
  </si>
  <si>
    <t>Shakira Austin</t>
  </si>
  <si>
    <t>Kelsey Mitchell</t>
  </si>
  <si>
    <t>Brittney Sykes</t>
  </si>
  <si>
    <t>TOR</t>
  </si>
  <si>
    <t>Han Xu</t>
  </si>
  <si>
    <t>Julie Allemand</t>
  </si>
  <si>
    <t>Lexie Brown</t>
  </si>
  <si>
    <t>Marina Mabrey</t>
  </si>
  <si>
    <t>Jordin Canada</t>
  </si>
  <si>
    <t>Gabriela Jaquez</t>
  </si>
  <si>
    <t>Rae Burrell</t>
  </si>
  <si>
    <t>Dearica Hamby</t>
  </si>
  <si>
    <t>Charlisse Leger-Walker</t>
  </si>
  <si>
    <t>Hailey Van Lith</t>
  </si>
  <si>
    <t>Brittney Griner</t>
  </si>
  <si>
    <t>Kiki Iriafen</t>
  </si>
  <si>
    <t>NaLyssa Smith</t>
  </si>
  <si>
    <t>Carla Leite</t>
  </si>
  <si>
    <t>Sophie Cunningham</t>
  </si>
  <si>
    <t>Kamilla Cardoso</t>
  </si>
  <si>
    <t>Laeticia Amihere</t>
  </si>
  <si>
    <t>Zia Cooke</t>
  </si>
  <si>
    <t>Nyara Sabally</t>
  </si>
  <si>
    <t>Stephanie Talbot</t>
  </si>
  <si>
    <t>Aliyah Boston</t>
  </si>
  <si>
    <t>C-F</t>
  </si>
  <si>
    <t>Olivia Nelson-Ododa</t>
  </si>
  <si>
    <t>Ariel Atkins</t>
  </si>
  <si>
    <t>Jordan Horston</t>
  </si>
  <si>
    <t>Brianna Turner</t>
  </si>
  <si>
    <t>Noémie Brochant</t>
  </si>
  <si>
    <t>Cassandre Prosper</t>
  </si>
  <si>
    <t>Kiana Williams</t>
  </si>
  <si>
    <t>Maria Conde</t>
  </si>
  <si>
    <t>Antonia Delaere</t>
  </si>
  <si>
    <t>Kaitlyn Chen</t>
  </si>
  <si>
    <t>Georgia Amoore</t>
  </si>
  <si>
    <t>Aziaha James</t>
  </si>
  <si>
    <t>Maddy Siegrist</t>
  </si>
  <si>
    <t>Mackenzie Holmes</t>
  </si>
  <si>
    <t>Erica Wheeler</t>
  </si>
  <si>
    <t>Kiki Rice</t>
  </si>
  <si>
    <t>Azzi Fudd</t>
  </si>
  <si>
    <t>Gianna Kneepkens</t>
  </si>
  <si>
    <t>Kierstan Bell</t>
  </si>
  <si>
    <t>Frieda Bühner</t>
  </si>
  <si>
    <t>Te-Hina PaoPao</t>
  </si>
  <si>
    <t>Cheyenne Parker-Tyus</t>
  </si>
  <si>
    <t>Myisha Hines-Allen</t>
  </si>
  <si>
    <t>Kyara Linskens</t>
  </si>
  <si>
    <t>Lauren Betts</t>
  </si>
  <si>
    <t>Elizabeth Williams</t>
  </si>
  <si>
    <t>Maya Caldwell</t>
  </si>
  <si>
    <t>Lexie Hull</t>
  </si>
  <si>
    <t>Makayla Timpson</t>
  </si>
  <si>
    <t>Rachel Banham</t>
  </si>
  <si>
    <t>Monique Billings</t>
  </si>
  <si>
    <t>Cameron Brink</t>
  </si>
  <si>
    <t>Raegan Beers</t>
  </si>
  <si>
    <t>Chance Gray</t>
  </si>
  <si>
    <t>Angela Dugalić</t>
  </si>
  <si>
    <t>Laura Juškaitė</t>
  </si>
  <si>
    <t>Awak Kuier</t>
  </si>
  <si>
    <t>Tyasha Harris</t>
  </si>
  <si>
    <t>Sug Sutton</t>
  </si>
  <si>
    <t>Madina Okot</t>
  </si>
  <si>
    <t>Natasha Cloud</t>
  </si>
  <si>
    <t>Valeriane Ayayi</t>
  </si>
  <si>
    <t>Raven Johnson</t>
  </si>
  <si>
    <t>Teonni Key</t>
  </si>
  <si>
    <t>Kia Nurse</t>
  </si>
  <si>
    <t>Aicha Coulibaly</t>
  </si>
  <si>
    <t>Cotie McMahon</t>
  </si>
  <si>
    <t>Aaliyah Edwards</t>
  </si>
  <si>
    <t>POR</t>
  </si>
  <si>
    <t>Nell Angloma</t>
  </si>
  <si>
    <t>Serah Williams</t>
  </si>
  <si>
    <t>Tiffany Hayes</t>
  </si>
  <si>
    <t>Sydney Taylor</t>
  </si>
  <si>
    <t>Lexi Held</t>
  </si>
  <si>
    <t>Teja Oblak</t>
  </si>
  <si>
    <t>Alysha Clark</t>
  </si>
  <si>
    <t>TOT</t>
  </si>
  <si>
    <t>Anastasiia Kosu</t>
  </si>
  <si>
    <t>Satou Sabally</t>
  </si>
  <si>
    <t>Isobel Borlase</t>
  </si>
  <si>
    <t>Michaela Onyenwere</t>
  </si>
  <si>
    <t>Awa Fam</t>
  </si>
  <si>
    <t>Li Yueru</t>
  </si>
  <si>
    <t>Cecilia Zandalasini</t>
  </si>
  <si>
    <t>Leonie Fiebich</t>
  </si>
  <si>
    <t>Katie Lou Samuelson</t>
  </si>
  <si>
    <t>Sabrina Ionescu</t>
  </si>
  <si>
    <t>Azura Stevens</t>
  </si>
  <si>
    <t>Monique Akoa Makani</t>
  </si>
  <si>
    <t>Alicia Flórez</t>
  </si>
  <si>
    <t>Karlie Samuelson</t>
  </si>
  <si>
    <t>Jihyun Park</t>
  </si>
  <si>
    <t>Leïla Lacan</t>
  </si>
  <si>
    <t>Isabelle Harrison</t>
  </si>
  <si>
    <t>Temi Fagbenle</t>
  </si>
  <si>
    <t>Lucy Olsen</t>
  </si>
  <si>
    <t>Tima Pouye</t>
  </si>
  <si>
    <t>Sika Koné</t>
  </si>
  <si>
    <t>Courtney Vandersloot</t>
  </si>
  <si>
    <t>Kate Martin</t>
  </si>
  <si>
    <t>Rebecca Allen</t>
  </si>
  <si>
    <t>Marta Suárez</t>
  </si>
  <si>
    <t>Dorka Juhász</t>
  </si>
  <si>
    <t>AST:USG</t>
  </si>
  <si>
    <t>AST:TO</t>
  </si>
  <si>
    <t>Holly Winterburn</t>
  </si>
  <si>
    <t>Marine Fauthoux</t>
  </si>
  <si>
    <t>Dana Evans</t>
  </si>
  <si>
    <t>Sami Whitcomb</t>
  </si>
  <si>
    <t>Napheesa Collier</t>
  </si>
  <si>
    <t>Brionna Jones</t>
  </si>
  <si>
    <t>Ezi Magbegor</t>
  </si>
  <si>
    <t>DiJonai Carrington</t>
  </si>
  <si>
    <t>Raquel Carrera Quintana</t>
  </si>
  <si>
    <t>Megan DiLeo</t>
  </si>
  <si>
    <t>Jordan Harrison</t>
  </si>
  <si>
    <t>Mai Yamamoto</t>
  </si>
  <si>
    <t>Ashlon Jackson</t>
  </si>
  <si>
    <t>Emma Cannon</t>
  </si>
  <si>
    <t>Ta'Niya Latson</t>
  </si>
  <si>
    <t>Ornella Bankole</t>
  </si>
  <si>
    <t>Tonie Morgan</t>
  </si>
  <si>
    <t>Justė Jocytė</t>
  </si>
  <si>
    <t>Eliška Joklová</t>
  </si>
  <si>
    <t>Taylor Thierry</t>
  </si>
  <si>
    <t>Maddy Westbeld</t>
  </si>
  <si>
    <t>Shay Ciezki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</si>
</sst>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</font>
    <font>
      <b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6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1" fontId="5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164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3BE7B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9"/>
  <sheetViews>
    <sheetView workbookViewId="0"/>
  </sheetViews>
  <sheetFormatPr baseColWidth="10" defaultColWidth="12.42578125" defaultRowHeight="15" customHeight="1" x14ac:dyDescent="0.25"/>
  <cols>
    <col min="1" max="1" width="17.42578125" bestFit="1" customWidth="1"/>
    <col min="2" max="2" width="64.140625" customWidth="1"/>
    <col min="3" max="26" width="10.42578125" customWidth="1"/>
  </cols>
  <sheetData>
    <row r="1" spans="1:2" x14ac:dyDescent="0.25">
      <c r="A1" s="1" t="s">
        <v>0</v>
      </c>
      <c r="B1" t="s">
        <v>69</v>
      </c>
    </row>
    <row r="2" spans="1:2" x14ac:dyDescent="0.25">
      <c r="A2" s="1" t="s">
        <v>1</v>
      </c>
      <c r="B2" t="s">
        <v>70</v>
      </c>
    </row>
    <row r="3" spans="1:2" x14ac:dyDescent="0.25">
      <c r="A3" s="1" t="s">
        <v>2</v>
      </c>
      <c r="B3" t="s">
        <v>71</v>
      </c>
    </row>
    <row r="4" spans="1:2" x14ac:dyDescent="0.25">
      <c r="A4" s="1" t="s">
        <v>3</v>
      </c>
      <c r="B4" s="1" t="s">
        <v>4</v>
      </c>
    </row>
    <row r="6" spans="1:2" ht="15" customHeight="1" x14ac:dyDescent="0.25">
      <c r="A6" t="s">
        <v>74</v>
      </c>
      <c r="B6" s="17">
        <v>100</v>
      </c>
    </row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138"/>
  <sheetViews>
    <sheetView workbookViewId="0">
      <pane xSplit="1" ySplit="2" topLeftCell="B289" activePane="bottomRight" state="frozen"/>
      <selection pane="topRight" activeCell="B1" sqref="B1"/>
      <selection pane="bottomLeft" activeCell="A3" sqref="A3"/>
      <selection pane="bottomRight" activeCell="D302" sqref="D302"/>
    </sheetView>
  </sheetViews>
  <sheetFormatPr baseColWidth="10" defaultColWidth="12.42578125" defaultRowHeight="15" customHeight="1" x14ac:dyDescent="0.25"/>
  <cols>
    <col min="1" max="1" width="25.5703125" customWidth="1"/>
    <col min="2" max="29" width="7.5703125" customWidth="1"/>
  </cols>
  <sheetData>
    <row r="1" spans="1:29" ht="26.25" x14ac:dyDescent="0.4">
      <c r="A1" s="23" t="s">
        <v>67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</row>
    <row r="2" spans="1:29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10</v>
      </c>
      <c r="H2" s="2" t="s">
        <v>9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</row>
    <row r="3" spans="1:29" x14ac:dyDescent="0.25">
      <c r="A3" s="1" t="s">
        <v>127</v>
      </c>
      <c r="B3" s="3" t="s">
        <v>128</v>
      </c>
      <c r="C3" s="4" t="s">
        <v>8</v>
      </c>
      <c r="D3" s="4">
        <v>42</v>
      </c>
      <c r="E3" s="4">
        <v>1438</v>
      </c>
      <c r="F3" s="4">
        <v>42</v>
      </c>
      <c r="G3" s="4">
        <v>42</v>
      </c>
      <c r="H3" s="4">
        <v>1438</v>
      </c>
      <c r="I3" s="4">
        <v>245</v>
      </c>
      <c r="J3" s="4">
        <v>603</v>
      </c>
      <c r="K3" s="4">
        <v>0.40600000000000003</v>
      </c>
      <c r="L3" s="4">
        <v>134</v>
      </c>
      <c r="M3" s="4">
        <v>372</v>
      </c>
      <c r="N3" s="4">
        <v>0.36</v>
      </c>
      <c r="O3" s="4">
        <v>111</v>
      </c>
      <c r="P3" s="4">
        <v>231</v>
      </c>
      <c r="Q3" s="4">
        <v>0.48099999999999998</v>
      </c>
      <c r="R3" s="4">
        <v>131</v>
      </c>
      <c r="S3" s="4">
        <v>152</v>
      </c>
      <c r="T3" s="4">
        <v>0.86199999999999999</v>
      </c>
      <c r="U3" s="4">
        <v>30</v>
      </c>
      <c r="V3" s="4">
        <v>161</v>
      </c>
      <c r="W3" s="4">
        <v>154</v>
      </c>
      <c r="X3" s="4">
        <v>97</v>
      </c>
      <c r="Y3" s="4">
        <v>39</v>
      </c>
      <c r="Z3" s="4">
        <v>58</v>
      </c>
      <c r="AA3" s="4">
        <v>122</v>
      </c>
      <c r="AB3" s="4">
        <v>755</v>
      </c>
      <c r="AC3" s="5">
        <f>W3/Z3</f>
        <v>2.6551724137931036</v>
      </c>
    </row>
    <row r="4" spans="1:29" x14ac:dyDescent="0.25">
      <c r="A4" s="1" t="s">
        <v>149</v>
      </c>
      <c r="B4" s="3" t="s">
        <v>128</v>
      </c>
      <c r="C4" s="4" t="s">
        <v>8</v>
      </c>
      <c r="D4" s="4">
        <v>43</v>
      </c>
      <c r="E4" s="4">
        <v>1401</v>
      </c>
      <c r="F4" s="4">
        <v>43</v>
      </c>
      <c r="G4" s="4">
        <v>43</v>
      </c>
      <c r="H4" s="4">
        <v>1401</v>
      </c>
      <c r="I4" s="4">
        <v>272</v>
      </c>
      <c r="J4" s="4">
        <v>589</v>
      </c>
      <c r="K4" s="4">
        <v>0.46200000000000002</v>
      </c>
      <c r="L4" s="4">
        <v>77</v>
      </c>
      <c r="M4" s="4">
        <v>233</v>
      </c>
      <c r="N4" s="4">
        <v>0.33</v>
      </c>
      <c r="O4" s="4">
        <v>195</v>
      </c>
      <c r="P4" s="4">
        <v>356</v>
      </c>
      <c r="Q4" s="4">
        <v>0.54800000000000004</v>
      </c>
      <c r="R4" s="4">
        <v>192</v>
      </c>
      <c r="S4" s="4">
        <v>238</v>
      </c>
      <c r="T4" s="4">
        <v>0.80700000000000005</v>
      </c>
      <c r="U4" s="4">
        <v>29</v>
      </c>
      <c r="V4" s="4">
        <v>148</v>
      </c>
      <c r="W4" s="4">
        <v>112</v>
      </c>
      <c r="X4" s="4">
        <v>57</v>
      </c>
      <c r="Y4" s="4">
        <v>15</v>
      </c>
      <c r="Z4" s="4">
        <v>65</v>
      </c>
      <c r="AA4" s="4">
        <v>121</v>
      </c>
      <c r="AB4" s="4">
        <v>813</v>
      </c>
      <c r="AC4" s="5">
        <f t="shared" ref="AC4:AC67" si="0">IF(Z4=0,"",W4/Z4)</f>
        <v>1.7230769230769232</v>
      </c>
    </row>
    <row r="5" spans="1:29" x14ac:dyDescent="0.25">
      <c r="A5" s="1" t="s">
        <v>83</v>
      </c>
      <c r="B5" s="3" t="s">
        <v>84</v>
      </c>
      <c r="C5" s="4" t="s">
        <v>85</v>
      </c>
      <c r="D5" s="4">
        <v>42</v>
      </c>
      <c r="E5" s="4">
        <v>1384</v>
      </c>
      <c r="F5" s="4">
        <v>42</v>
      </c>
      <c r="G5" s="4">
        <v>42</v>
      </c>
      <c r="H5" s="4">
        <v>1384</v>
      </c>
      <c r="I5" s="4">
        <v>300</v>
      </c>
      <c r="J5" s="4">
        <v>633</v>
      </c>
      <c r="K5" s="4">
        <v>0.47399999999999998</v>
      </c>
      <c r="L5" s="4">
        <v>31</v>
      </c>
      <c r="M5" s="4">
        <v>122</v>
      </c>
      <c r="N5" s="4">
        <v>0.254</v>
      </c>
      <c r="O5" s="4">
        <v>269</v>
      </c>
      <c r="P5" s="4">
        <v>511</v>
      </c>
      <c r="Q5" s="4">
        <v>0.52600000000000002</v>
      </c>
      <c r="R5" s="4">
        <v>244</v>
      </c>
      <c r="S5" s="4">
        <v>290</v>
      </c>
      <c r="T5" s="4">
        <v>0.84099999999999997</v>
      </c>
      <c r="U5" s="4">
        <v>64</v>
      </c>
      <c r="V5" s="4">
        <v>348</v>
      </c>
      <c r="W5" s="4">
        <v>137</v>
      </c>
      <c r="X5" s="4">
        <v>57</v>
      </c>
      <c r="Y5" s="4">
        <v>54</v>
      </c>
      <c r="Z5" s="4">
        <v>85</v>
      </c>
      <c r="AA5" s="4">
        <v>90</v>
      </c>
      <c r="AB5" s="4">
        <v>875</v>
      </c>
      <c r="AC5" s="5">
        <f t="shared" si="0"/>
        <v>1.611764705882353</v>
      </c>
    </row>
    <row r="6" spans="1:29" x14ac:dyDescent="0.25">
      <c r="A6" s="1" t="s">
        <v>159</v>
      </c>
      <c r="B6" s="3" t="s">
        <v>157</v>
      </c>
      <c r="C6" s="4" t="s">
        <v>8</v>
      </c>
      <c r="D6" s="4">
        <v>42</v>
      </c>
      <c r="E6" s="4">
        <v>1382</v>
      </c>
      <c r="F6" s="4">
        <v>42</v>
      </c>
      <c r="G6" s="4">
        <v>42</v>
      </c>
      <c r="H6" s="4">
        <v>1382</v>
      </c>
      <c r="I6" s="4">
        <v>372</v>
      </c>
      <c r="J6" s="4">
        <v>723</v>
      </c>
      <c r="K6" s="4">
        <v>0.51500000000000001</v>
      </c>
      <c r="L6" s="4">
        <v>131</v>
      </c>
      <c r="M6" s="4">
        <v>287</v>
      </c>
      <c r="N6" s="4">
        <v>0.45600000000000002</v>
      </c>
      <c r="O6" s="4">
        <v>241</v>
      </c>
      <c r="P6" s="4">
        <v>436</v>
      </c>
      <c r="Q6" s="4">
        <v>0.55300000000000005</v>
      </c>
      <c r="R6" s="4">
        <v>181</v>
      </c>
      <c r="S6" s="4">
        <v>214</v>
      </c>
      <c r="T6" s="4">
        <v>0.84599999999999997</v>
      </c>
      <c r="U6" s="4">
        <v>21</v>
      </c>
      <c r="V6" s="4">
        <v>70</v>
      </c>
      <c r="W6" s="4">
        <v>116</v>
      </c>
      <c r="X6" s="4">
        <v>45</v>
      </c>
      <c r="Y6" s="4">
        <v>5</v>
      </c>
      <c r="Z6" s="4">
        <v>72</v>
      </c>
      <c r="AA6" s="4">
        <v>101</v>
      </c>
      <c r="AB6" s="4">
        <v>1056</v>
      </c>
      <c r="AC6" s="5">
        <f t="shared" si="0"/>
        <v>1.6111111111111112</v>
      </c>
    </row>
    <row r="7" spans="1:29" x14ac:dyDescent="0.25">
      <c r="A7" s="1" t="s">
        <v>95</v>
      </c>
      <c r="B7" s="3" t="s">
        <v>96</v>
      </c>
      <c r="C7" s="4" t="s">
        <v>8</v>
      </c>
      <c r="D7" s="4">
        <v>42</v>
      </c>
      <c r="E7" s="4">
        <v>1370</v>
      </c>
      <c r="F7" s="4">
        <v>42</v>
      </c>
      <c r="G7" s="4">
        <v>42</v>
      </c>
      <c r="H7" s="4">
        <v>1370</v>
      </c>
      <c r="I7" s="4">
        <v>245</v>
      </c>
      <c r="J7" s="4">
        <v>537</v>
      </c>
      <c r="K7" s="4">
        <v>0.45600000000000002</v>
      </c>
      <c r="L7" s="4">
        <v>120</v>
      </c>
      <c r="M7" s="4">
        <v>293</v>
      </c>
      <c r="N7" s="4">
        <v>0.41</v>
      </c>
      <c r="O7" s="4">
        <v>125</v>
      </c>
      <c r="P7" s="4">
        <v>244</v>
      </c>
      <c r="Q7" s="4">
        <v>0.51200000000000001</v>
      </c>
      <c r="R7" s="4">
        <v>143</v>
      </c>
      <c r="S7" s="4">
        <v>155</v>
      </c>
      <c r="T7" s="4">
        <v>0.92300000000000004</v>
      </c>
      <c r="U7" s="4">
        <v>25</v>
      </c>
      <c r="V7" s="4">
        <v>130</v>
      </c>
      <c r="W7" s="4">
        <v>93</v>
      </c>
      <c r="X7" s="4">
        <v>71</v>
      </c>
      <c r="Y7" s="4">
        <v>10</v>
      </c>
      <c r="Z7" s="4">
        <v>54</v>
      </c>
      <c r="AA7" s="4">
        <v>81</v>
      </c>
      <c r="AB7" s="4">
        <v>753</v>
      </c>
      <c r="AC7" s="5">
        <f t="shared" si="0"/>
        <v>1.7222222222222223</v>
      </c>
    </row>
    <row r="8" spans="1:29" x14ac:dyDescent="0.25">
      <c r="A8" s="1" t="s">
        <v>97</v>
      </c>
      <c r="B8" s="3" t="s">
        <v>93</v>
      </c>
      <c r="C8" s="4" t="s">
        <v>85</v>
      </c>
      <c r="D8" s="4">
        <v>41</v>
      </c>
      <c r="E8" s="4">
        <v>1366</v>
      </c>
      <c r="F8" s="4">
        <v>41</v>
      </c>
      <c r="G8" s="4">
        <v>41</v>
      </c>
      <c r="H8" s="4">
        <v>1366</v>
      </c>
      <c r="I8" s="4">
        <v>228</v>
      </c>
      <c r="J8" s="4">
        <v>435</v>
      </c>
      <c r="K8" s="4">
        <v>0.52400000000000002</v>
      </c>
      <c r="L8" s="4">
        <v>1</v>
      </c>
      <c r="M8" s="4">
        <v>3</v>
      </c>
      <c r="N8" s="4">
        <v>0.33300000000000002</v>
      </c>
      <c r="O8" s="4">
        <v>227</v>
      </c>
      <c r="P8" s="4">
        <v>432</v>
      </c>
      <c r="Q8" s="4">
        <v>0.52500000000000002</v>
      </c>
      <c r="R8" s="4">
        <v>136</v>
      </c>
      <c r="S8" s="4">
        <v>198</v>
      </c>
      <c r="T8" s="4">
        <v>0.68700000000000006</v>
      </c>
      <c r="U8" s="4">
        <v>67</v>
      </c>
      <c r="V8" s="4">
        <v>321</v>
      </c>
      <c r="W8" s="4">
        <v>349</v>
      </c>
      <c r="X8" s="4">
        <v>55</v>
      </c>
      <c r="Y8" s="4">
        <v>20</v>
      </c>
      <c r="Z8" s="4">
        <v>144</v>
      </c>
      <c r="AA8" s="4">
        <v>105</v>
      </c>
      <c r="AB8" s="4">
        <v>593</v>
      </c>
      <c r="AC8" s="5">
        <f t="shared" si="0"/>
        <v>2.4236111111111112</v>
      </c>
    </row>
    <row r="9" spans="1:29" x14ac:dyDescent="0.25">
      <c r="A9" s="1" t="s">
        <v>98</v>
      </c>
      <c r="B9" s="3" t="s">
        <v>99</v>
      </c>
      <c r="C9" s="4" t="s">
        <v>8</v>
      </c>
      <c r="D9" s="4">
        <v>41</v>
      </c>
      <c r="E9" s="4">
        <v>1346</v>
      </c>
      <c r="F9" s="4">
        <v>41</v>
      </c>
      <c r="G9" s="4">
        <v>41</v>
      </c>
      <c r="H9" s="4">
        <v>1346</v>
      </c>
      <c r="I9" s="4">
        <v>326</v>
      </c>
      <c r="J9" s="4">
        <v>639</v>
      </c>
      <c r="K9" s="4">
        <v>0.51</v>
      </c>
      <c r="L9" s="4">
        <v>79</v>
      </c>
      <c r="M9" s="4">
        <v>193</v>
      </c>
      <c r="N9" s="4">
        <v>0.40899999999999997</v>
      </c>
      <c r="O9" s="4">
        <v>247</v>
      </c>
      <c r="P9" s="4">
        <v>446</v>
      </c>
      <c r="Q9" s="4">
        <v>0.55400000000000005</v>
      </c>
      <c r="R9" s="4">
        <v>122</v>
      </c>
      <c r="S9" s="4">
        <v>141</v>
      </c>
      <c r="T9" s="4">
        <v>0.86499999999999999</v>
      </c>
      <c r="U9" s="4">
        <v>26</v>
      </c>
      <c r="V9" s="4">
        <v>169</v>
      </c>
      <c r="W9" s="4">
        <v>240</v>
      </c>
      <c r="X9" s="4">
        <v>38</v>
      </c>
      <c r="Y9" s="4">
        <v>16</v>
      </c>
      <c r="Z9" s="4">
        <v>89</v>
      </c>
      <c r="AA9" s="4">
        <v>104</v>
      </c>
      <c r="AB9" s="4">
        <v>853</v>
      </c>
      <c r="AC9" s="5">
        <f t="shared" si="0"/>
        <v>2.696629213483146</v>
      </c>
    </row>
    <row r="10" spans="1:29" x14ac:dyDescent="0.25">
      <c r="A10" s="1" t="s">
        <v>121</v>
      </c>
      <c r="B10" s="3" t="s">
        <v>117</v>
      </c>
      <c r="C10" s="4" t="s">
        <v>8</v>
      </c>
      <c r="D10" s="4">
        <v>41</v>
      </c>
      <c r="E10" s="4">
        <v>1338</v>
      </c>
      <c r="F10" s="4">
        <v>41</v>
      </c>
      <c r="G10" s="4">
        <v>41</v>
      </c>
      <c r="H10" s="4">
        <v>1338</v>
      </c>
      <c r="I10" s="4">
        <v>177</v>
      </c>
      <c r="J10" s="4">
        <v>407</v>
      </c>
      <c r="K10" s="4">
        <v>0.435</v>
      </c>
      <c r="L10" s="4">
        <v>71</v>
      </c>
      <c r="M10" s="4">
        <v>194</v>
      </c>
      <c r="N10" s="4">
        <v>0.36599999999999999</v>
      </c>
      <c r="O10" s="4">
        <v>106</v>
      </c>
      <c r="P10" s="4">
        <v>213</v>
      </c>
      <c r="Q10" s="4">
        <v>0.498</v>
      </c>
      <c r="R10" s="4">
        <v>64</v>
      </c>
      <c r="S10" s="4">
        <v>69</v>
      </c>
      <c r="T10" s="4">
        <v>0.92800000000000005</v>
      </c>
      <c r="U10" s="4">
        <v>10</v>
      </c>
      <c r="V10" s="4">
        <v>135</v>
      </c>
      <c r="W10" s="4">
        <v>274</v>
      </c>
      <c r="X10" s="4">
        <v>55</v>
      </c>
      <c r="Y10" s="4">
        <v>14</v>
      </c>
      <c r="Z10" s="4">
        <v>110</v>
      </c>
      <c r="AA10" s="4">
        <v>84</v>
      </c>
      <c r="AB10" s="4">
        <v>489</v>
      </c>
      <c r="AC10" s="5">
        <f t="shared" si="0"/>
        <v>2.4909090909090907</v>
      </c>
    </row>
    <row r="11" spans="1:29" x14ac:dyDescent="0.25">
      <c r="A11" s="1" t="s">
        <v>116</v>
      </c>
      <c r="B11" s="3" t="s">
        <v>117</v>
      </c>
      <c r="C11" s="4" t="s">
        <v>8</v>
      </c>
      <c r="D11" s="4">
        <v>41</v>
      </c>
      <c r="E11" s="4">
        <v>1322</v>
      </c>
      <c r="F11" s="4">
        <v>41</v>
      </c>
      <c r="G11" s="4">
        <v>41</v>
      </c>
      <c r="H11" s="4">
        <v>1322</v>
      </c>
      <c r="I11" s="4">
        <v>285</v>
      </c>
      <c r="J11" s="4">
        <v>577</v>
      </c>
      <c r="K11" s="4">
        <v>0.49399999999999999</v>
      </c>
      <c r="L11" s="4">
        <v>98</v>
      </c>
      <c r="M11" s="4">
        <v>251</v>
      </c>
      <c r="N11" s="4">
        <v>0.39</v>
      </c>
      <c r="O11" s="4">
        <v>187</v>
      </c>
      <c r="P11" s="4">
        <v>326</v>
      </c>
      <c r="Q11" s="4">
        <v>0.57399999999999995</v>
      </c>
      <c r="R11" s="4">
        <v>127</v>
      </c>
      <c r="S11" s="4">
        <v>137</v>
      </c>
      <c r="T11" s="4">
        <v>0.92700000000000005</v>
      </c>
      <c r="U11" s="4">
        <v>30</v>
      </c>
      <c r="V11" s="4">
        <v>177</v>
      </c>
      <c r="W11" s="4">
        <v>271</v>
      </c>
      <c r="X11" s="4">
        <v>35</v>
      </c>
      <c r="Y11" s="4">
        <v>11</v>
      </c>
      <c r="Z11" s="4">
        <v>98</v>
      </c>
      <c r="AA11" s="4">
        <v>87</v>
      </c>
      <c r="AB11" s="4">
        <v>795</v>
      </c>
      <c r="AC11" s="5">
        <f t="shared" si="0"/>
        <v>2.7653061224489797</v>
      </c>
    </row>
    <row r="12" spans="1:29" x14ac:dyDescent="0.25">
      <c r="A12" s="1" t="s">
        <v>151</v>
      </c>
      <c r="B12" s="3" t="s">
        <v>128</v>
      </c>
      <c r="C12" s="4" t="s">
        <v>85</v>
      </c>
      <c r="D12" s="4">
        <v>42</v>
      </c>
      <c r="E12" s="4">
        <v>1318</v>
      </c>
      <c r="F12" s="4">
        <v>42</v>
      </c>
      <c r="G12" s="4">
        <v>42</v>
      </c>
      <c r="H12" s="4">
        <v>1318</v>
      </c>
      <c r="I12" s="4">
        <v>248</v>
      </c>
      <c r="J12" s="4">
        <v>547</v>
      </c>
      <c r="K12" s="4">
        <v>0.45300000000000001</v>
      </c>
      <c r="L12" s="4">
        <v>11</v>
      </c>
      <c r="M12" s="4">
        <v>56</v>
      </c>
      <c r="N12" s="4">
        <v>0.19600000000000001</v>
      </c>
      <c r="O12" s="4">
        <v>237</v>
      </c>
      <c r="P12" s="4">
        <v>491</v>
      </c>
      <c r="Q12" s="4">
        <v>0.48299999999999998</v>
      </c>
      <c r="R12" s="4">
        <v>192</v>
      </c>
      <c r="S12" s="4">
        <v>267</v>
      </c>
      <c r="T12" s="4">
        <v>0.71899999999999997</v>
      </c>
      <c r="U12" s="4">
        <v>202</v>
      </c>
      <c r="V12" s="4">
        <v>515</v>
      </c>
      <c r="W12" s="4">
        <v>117</v>
      </c>
      <c r="X12" s="4">
        <v>74</v>
      </c>
      <c r="Y12" s="4">
        <v>32</v>
      </c>
      <c r="Z12" s="4">
        <v>133</v>
      </c>
      <c r="AA12" s="4">
        <v>158</v>
      </c>
      <c r="AB12" s="4">
        <v>699</v>
      </c>
      <c r="AC12" s="5">
        <f t="shared" si="0"/>
        <v>0.87969924812030076</v>
      </c>
    </row>
    <row r="13" spans="1:29" x14ac:dyDescent="0.25">
      <c r="A13" s="1" t="s">
        <v>166</v>
      </c>
      <c r="B13" s="3" t="s">
        <v>128</v>
      </c>
      <c r="C13" s="4" t="s">
        <v>8</v>
      </c>
      <c r="D13" s="4">
        <v>42</v>
      </c>
      <c r="E13" s="4">
        <v>1312</v>
      </c>
      <c r="F13" s="4">
        <v>42</v>
      </c>
      <c r="G13" s="4">
        <v>42</v>
      </c>
      <c r="H13" s="4">
        <v>1312</v>
      </c>
      <c r="I13" s="4">
        <v>159</v>
      </c>
      <c r="J13" s="4">
        <v>367</v>
      </c>
      <c r="K13" s="4">
        <v>0.433</v>
      </c>
      <c r="L13" s="4">
        <v>38</v>
      </c>
      <c r="M13" s="4">
        <v>132</v>
      </c>
      <c r="N13" s="4">
        <v>0.28799999999999998</v>
      </c>
      <c r="O13" s="4">
        <v>121</v>
      </c>
      <c r="P13" s="4">
        <v>235</v>
      </c>
      <c r="Q13" s="4">
        <v>0.51500000000000001</v>
      </c>
      <c r="R13" s="4">
        <v>131</v>
      </c>
      <c r="S13" s="4">
        <v>168</v>
      </c>
      <c r="T13" s="4">
        <v>0.78</v>
      </c>
      <c r="U13" s="4">
        <v>29</v>
      </c>
      <c r="V13" s="4">
        <v>149</v>
      </c>
      <c r="W13" s="4">
        <v>308</v>
      </c>
      <c r="X13" s="4">
        <v>81</v>
      </c>
      <c r="Y13" s="4">
        <v>11</v>
      </c>
      <c r="Z13" s="4">
        <v>104</v>
      </c>
      <c r="AA13" s="4">
        <v>106</v>
      </c>
      <c r="AB13" s="4">
        <v>487</v>
      </c>
      <c r="AC13" s="5">
        <f t="shared" si="0"/>
        <v>2.9615384615384617</v>
      </c>
    </row>
    <row r="14" spans="1:29" x14ac:dyDescent="0.25">
      <c r="A14" s="1" t="s">
        <v>102</v>
      </c>
      <c r="B14" s="3" t="s">
        <v>99</v>
      </c>
      <c r="C14" s="4" t="s">
        <v>85</v>
      </c>
      <c r="D14" s="4">
        <v>41</v>
      </c>
      <c r="E14" s="4">
        <v>1301</v>
      </c>
      <c r="F14" s="4">
        <v>41</v>
      </c>
      <c r="G14" s="4">
        <v>41</v>
      </c>
      <c r="H14" s="4">
        <v>1301</v>
      </c>
      <c r="I14" s="4">
        <v>239</v>
      </c>
      <c r="J14" s="4">
        <v>419</v>
      </c>
      <c r="K14" s="4">
        <v>0.56999999999999995</v>
      </c>
      <c r="L14" s="4">
        <v>1</v>
      </c>
      <c r="M14" s="4">
        <v>11</v>
      </c>
      <c r="N14" s="4">
        <v>9.0999999999999998E-2</v>
      </c>
      <c r="O14" s="4">
        <v>238</v>
      </c>
      <c r="P14" s="4">
        <v>408</v>
      </c>
      <c r="Q14" s="4">
        <v>0.58299999999999996</v>
      </c>
      <c r="R14" s="4">
        <v>109</v>
      </c>
      <c r="S14" s="4">
        <v>160</v>
      </c>
      <c r="T14" s="4">
        <v>0.68100000000000005</v>
      </c>
      <c r="U14" s="4">
        <v>117</v>
      </c>
      <c r="V14" s="4">
        <v>456</v>
      </c>
      <c r="W14" s="4">
        <v>211</v>
      </c>
      <c r="X14" s="4">
        <v>29</v>
      </c>
      <c r="Y14" s="4">
        <v>3</v>
      </c>
      <c r="Z14" s="4">
        <v>79</v>
      </c>
      <c r="AA14" s="4">
        <v>84</v>
      </c>
      <c r="AB14" s="4">
        <v>588</v>
      </c>
      <c r="AC14" s="5">
        <f t="shared" si="0"/>
        <v>2.6708860759493671</v>
      </c>
    </row>
    <row r="15" spans="1:29" x14ac:dyDescent="0.25">
      <c r="A15" s="1" t="s">
        <v>101</v>
      </c>
      <c r="B15" s="3" t="s">
        <v>99</v>
      </c>
      <c r="C15" s="4" t="s">
        <v>8</v>
      </c>
      <c r="D15" s="4">
        <v>43</v>
      </c>
      <c r="E15" s="4">
        <v>1286</v>
      </c>
      <c r="F15" s="4">
        <v>43</v>
      </c>
      <c r="G15" s="4">
        <v>43</v>
      </c>
      <c r="H15" s="4">
        <v>1286</v>
      </c>
      <c r="I15" s="4">
        <v>212</v>
      </c>
      <c r="J15" s="4">
        <v>527</v>
      </c>
      <c r="K15" s="4">
        <v>0.40200000000000002</v>
      </c>
      <c r="L15" s="4">
        <v>74</v>
      </c>
      <c r="M15" s="4">
        <v>230</v>
      </c>
      <c r="N15" s="4">
        <v>0.32200000000000001</v>
      </c>
      <c r="O15" s="4">
        <v>138</v>
      </c>
      <c r="P15" s="4">
        <v>297</v>
      </c>
      <c r="Q15" s="4">
        <v>0.46500000000000002</v>
      </c>
      <c r="R15" s="4">
        <v>151</v>
      </c>
      <c r="S15" s="4">
        <v>170</v>
      </c>
      <c r="T15" s="4">
        <v>0.88800000000000001</v>
      </c>
      <c r="U15" s="4">
        <v>35</v>
      </c>
      <c r="V15" s="4">
        <v>130</v>
      </c>
      <c r="W15" s="4">
        <v>139</v>
      </c>
      <c r="X15" s="4">
        <v>42</v>
      </c>
      <c r="Y15" s="4">
        <v>3</v>
      </c>
      <c r="Z15" s="4">
        <v>68</v>
      </c>
      <c r="AA15" s="4">
        <v>101</v>
      </c>
      <c r="AB15" s="4">
        <v>649</v>
      </c>
      <c r="AC15" s="5">
        <f t="shared" si="0"/>
        <v>2.0441176470588234</v>
      </c>
    </row>
    <row r="16" spans="1:29" x14ac:dyDescent="0.25">
      <c r="A16" s="1" t="s">
        <v>92</v>
      </c>
      <c r="B16" s="3" t="s">
        <v>93</v>
      </c>
      <c r="C16" s="4" t="s">
        <v>94</v>
      </c>
      <c r="D16" s="4">
        <v>39</v>
      </c>
      <c r="E16" s="4">
        <v>1285</v>
      </c>
      <c r="F16" s="4">
        <v>39</v>
      </c>
      <c r="G16" s="4">
        <v>39</v>
      </c>
      <c r="H16" s="4">
        <v>1285</v>
      </c>
      <c r="I16" s="4">
        <v>282</v>
      </c>
      <c r="J16" s="4">
        <v>628</v>
      </c>
      <c r="K16" s="4">
        <v>0.44900000000000001</v>
      </c>
      <c r="L16" s="4">
        <v>66</v>
      </c>
      <c r="M16" s="4">
        <v>221</v>
      </c>
      <c r="N16" s="4">
        <v>0.29899999999999999</v>
      </c>
      <c r="O16" s="4">
        <v>216</v>
      </c>
      <c r="P16" s="4">
        <v>407</v>
      </c>
      <c r="Q16" s="4">
        <v>0.53100000000000003</v>
      </c>
      <c r="R16" s="4">
        <v>211</v>
      </c>
      <c r="S16" s="4">
        <v>268</v>
      </c>
      <c r="T16" s="4">
        <v>0.78700000000000003</v>
      </c>
      <c r="U16" s="4">
        <v>20</v>
      </c>
      <c r="V16" s="4">
        <v>141</v>
      </c>
      <c r="W16" s="4">
        <v>72</v>
      </c>
      <c r="X16" s="4">
        <v>30</v>
      </c>
      <c r="Y16" s="4">
        <v>4</v>
      </c>
      <c r="Z16" s="4">
        <v>91</v>
      </c>
      <c r="AA16" s="4">
        <v>106</v>
      </c>
      <c r="AB16" s="4">
        <v>841</v>
      </c>
      <c r="AC16" s="5">
        <f t="shared" si="0"/>
        <v>0.79120879120879117</v>
      </c>
    </row>
    <row r="17" spans="1:29" x14ac:dyDescent="0.25">
      <c r="A17" s="1" t="s">
        <v>154</v>
      </c>
      <c r="B17" s="3" t="s">
        <v>137</v>
      </c>
      <c r="C17" s="4" t="s">
        <v>85</v>
      </c>
      <c r="D17" s="4">
        <v>41</v>
      </c>
      <c r="E17" s="4">
        <v>1264</v>
      </c>
      <c r="F17" s="4">
        <v>41</v>
      </c>
      <c r="G17" s="4">
        <v>41</v>
      </c>
      <c r="H17" s="4">
        <v>1264</v>
      </c>
      <c r="I17" s="4">
        <v>280</v>
      </c>
      <c r="J17" s="4">
        <v>543</v>
      </c>
      <c r="K17" s="4">
        <v>0.51600000000000001</v>
      </c>
      <c r="L17" s="4">
        <v>57</v>
      </c>
      <c r="M17" s="4">
        <v>144</v>
      </c>
      <c r="N17" s="4">
        <v>0.39600000000000002</v>
      </c>
      <c r="O17" s="4">
        <v>223</v>
      </c>
      <c r="P17" s="4">
        <v>399</v>
      </c>
      <c r="Q17" s="4">
        <v>0.55900000000000005</v>
      </c>
      <c r="R17" s="4">
        <v>91</v>
      </c>
      <c r="S17" s="4">
        <v>106</v>
      </c>
      <c r="T17" s="4">
        <v>0.85799999999999998</v>
      </c>
      <c r="U17" s="4">
        <v>74</v>
      </c>
      <c r="V17" s="4">
        <v>365</v>
      </c>
      <c r="W17" s="4">
        <v>126</v>
      </c>
      <c r="X17" s="4">
        <v>48</v>
      </c>
      <c r="Y17" s="4">
        <v>13</v>
      </c>
      <c r="Z17" s="4">
        <v>75</v>
      </c>
      <c r="AA17" s="4">
        <v>68</v>
      </c>
      <c r="AB17" s="4">
        <v>708</v>
      </c>
      <c r="AC17" s="5">
        <f t="shared" si="0"/>
        <v>1.68</v>
      </c>
    </row>
    <row r="18" spans="1:29" x14ac:dyDescent="0.25">
      <c r="A18" s="1" t="s">
        <v>139</v>
      </c>
      <c r="B18" s="3" t="s">
        <v>140</v>
      </c>
      <c r="C18" s="4" t="s">
        <v>8</v>
      </c>
      <c r="D18" s="4">
        <v>38</v>
      </c>
      <c r="E18" s="4">
        <v>1261</v>
      </c>
      <c r="F18" s="4">
        <v>38</v>
      </c>
      <c r="G18" s="4">
        <v>38</v>
      </c>
      <c r="H18" s="4">
        <v>1261</v>
      </c>
      <c r="I18" s="4">
        <v>204</v>
      </c>
      <c r="J18" s="4">
        <v>427</v>
      </c>
      <c r="K18" s="4">
        <v>0.47799999999999998</v>
      </c>
      <c r="L18" s="4">
        <v>53</v>
      </c>
      <c r="M18" s="4">
        <v>155</v>
      </c>
      <c r="N18" s="4">
        <v>0.34200000000000003</v>
      </c>
      <c r="O18" s="4">
        <v>151</v>
      </c>
      <c r="P18" s="4">
        <v>272</v>
      </c>
      <c r="Q18" s="4">
        <v>0.55500000000000005</v>
      </c>
      <c r="R18" s="4">
        <v>177</v>
      </c>
      <c r="S18" s="4">
        <v>203</v>
      </c>
      <c r="T18" s="4">
        <v>0.872</v>
      </c>
      <c r="U18" s="4">
        <v>34</v>
      </c>
      <c r="V18" s="4">
        <v>141</v>
      </c>
      <c r="W18" s="4">
        <v>168</v>
      </c>
      <c r="X18" s="4">
        <v>45</v>
      </c>
      <c r="Y18" s="4">
        <v>24</v>
      </c>
      <c r="Z18" s="4">
        <v>95</v>
      </c>
      <c r="AA18" s="4">
        <v>80</v>
      </c>
      <c r="AB18" s="4">
        <v>638</v>
      </c>
      <c r="AC18" s="5">
        <f t="shared" si="0"/>
        <v>1.7684210526315789</v>
      </c>
    </row>
    <row r="19" spans="1:29" x14ac:dyDescent="0.25">
      <c r="A19" s="1" t="s">
        <v>103</v>
      </c>
      <c r="B19" s="3" t="s">
        <v>96</v>
      </c>
      <c r="C19" s="4" t="s">
        <v>8</v>
      </c>
      <c r="D19" s="4">
        <v>41</v>
      </c>
      <c r="E19" s="4">
        <v>1251</v>
      </c>
      <c r="F19" s="4">
        <v>41</v>
      </c>
      <c r="G19" s="4">
        <v>41</v>
      </c>
      <c r="H19" s="4">
        <v>1251</v>
      </c>
      <c r="I19" s="4">
        <v>245</v>
      </c>
      <c r="J19" s="4">
        <v>544</v>
      </c>
      <c r="K19" s="4">
        <v>0.45</v>
      </c>
      <c r="L19" s="4">
        <v>48</v>
      </c>
      <c r="M19" s="4">
        <v>130</v>
      </c>
      <c r="N19" s="4">
        <v>0.36899999999999999</v>
      </c>
      <c r="O19" s="4">
        <v>197</v>
      </c>
      <c r="P19" s="4">
        <v>414</v>
      </c>
      <c r="Q19" s="4">
        <v>0.47599999999999998</v>
      </c>
      <c r="R19" s="4">
        <v>43</v>
      </c>
      <c r="S19" s="4">
        <v>52</v>
      </c>
      <c r="T19" s="4">
        <v>0.82699999999999996</v>
      </c>
      <c r="U19" s="4">
        <v>35</v>
      </c>
      <c r="V19" s="4">
        <v>201</v>
      </c>
      <c r="W19" s="4">
        <v>174</v>
      </c>
      <c r="X19" s="4">
        <v>48</v>
      </c>
      <c r="Y19" s="4">
        <v>11</v>
      </c>
      <c r="Z19" s="4">
        <v>71</v>
      </c>
      <c r="AA19" s="4">
        <v>90</v>
      </c>
      <c r="AB19" s="4">
        <v>581</v>
      </c>
      <c r="AC19" s="5">
        <f t="shared" si="0"/>
        <v>2.4507042253521125</v>
      </c>
    </row>
    <row r="20" spans="1:29" x14ac:dyDescent="0.25">
      <c r="A20" s="1" t="s">
        <v>132</v>
      </c>
      <c r="B20" s="3" t="s">
        <v>117</v>
      </c>
      <c r="C20" s="4" t="s">
        <v>88</v>
      </c>
      <c r="D20" s="4">
        <v>39</v>
      </c>
      <c r="E20" s="4">
        <v>1244</v>
      </c>
      <c r="F20" s="4">
        <v>39</v>
      </c>
      <c r="G20" s="4">
        <v>39</v>
      </c>
      <c r="H20" s="4">
        <v>1244</v>
      </c>
      <c r="I20" s="4">
        <v>355</v>
      </c>
      <c r="J20" s="4">
        <v>674</v>
      </c>
      <c r="K20" s="4">
        <v>0.52700000000000002</v>
      </c>
      <c r="L20" s="4">
        <v>36</v>
      </c>
      <c r="M20" s="4">
        <v>90</v>
      </c>
      <c r="N20" s="4">
        <v>0.4</v>
      </c>
      <c r="O20" s="4">
        <v>319</v>
      </c>
      <c r="P20" s="4">
        <v>584</v>
      </c>
      <c r="Q20" s="4">
        <v>0.54600000000000004</v>
      </c>
      <c r="R20" s="4">
        <v>275</v>
      </c>
      <c r="S20" s="4">
        <v>318</v>
      </c>
      <c r="T20" s="4">
        <v>0.86499999999999999</v>
      </c>
      <c r="U20" s="4">
        <v>69</v>
      </c>
      <c r="V20" s="4">
        <v>364</v>
      </c>
      <c r="W20" s="4">
        <v>126</v>
      </c>
      <c r="X20" s="4">
        <v>57</v>
      </c>
      <c r="Y20" s="4">
        <v>77</v>
      </c>
      <c r="Z20" s="4">
        <v>93</v>
      </c>
      <c r="AA20" s="4">
        <v>73</v>
      </c>
      <c r="AB20" s="4">
        <v>1021</v>
      </c>
      <c r="AC20" s="5">
        <f t="shared" si="0"/>
        <v>1.3548387096774193</v>
      </c>
    </row>
    <row r="21" spans="1:29" ht="15.75" customHeight="1" x14ac:dyDescent="0.25">
      <c r="A21" s="1" t="s">
        <v>104</v>
      </c>
      <c r="B21" s="3" t="s">
        <v>96</v>
      </c>
      <c r="C21" s="4" t="s">
        <v>8</v>
      </c>
      <c r="D21" s="4">
        <v>40</v>
      </c>
      <c r="E21" s="4">
        <v>1239</v>
      </c>
      <c r="F21" s="4">
        <v>40</v>
      </c>
      <c r="G21" s="4">
        <v>40</v>
      </c>
      <c r="H21" s="4">
        <v>1239</v>
      </c>
      <c r="I21" s="4">
        <v>279</v>
      </c>
      <c r="J21" s="4">
        <v>567</v>
      </c>
      <c r="K21" s="4">
        <v>0.49199999999999999</v>
      </c>
      <c r="L21" s="4">
        <v>64</v>
      </c>
      <c r="M21" s="4">
        <v>165</v>
      </c>
      <c r="N21" s="4">
        <v>0.38800000000000001</v>
      </c>
      <c r="O21" s="4">
        <v>215</v>
      </c>
      <c r="P21" s="4">
        <v>402</v>
      </c>
      <c r="Q21" s="4">
        <v>0.53500000000000003</v>
      </c>
      <c r="R21" s="4">
        <v>168</v>
      </c>
      <c r="S21" s="4">
        <v>193</v>
      </c>
      <c r="T21" s="4">
        <v>0.87</v>
      </c>
      <c r="U21" s="4">
        <v>23</v>
      </c>
      <c r="V21" s="4">
        <v>186</v>
      </c>
      <c r="W21" s="4">
        <v>238</v>
      </c>
      <c r="X21" s="4">
        <v>52</v>
      </c>
      <c r="Y21" s="4">
        <v>25</v>
      </c>
      <c r="Z21" s="4">
        <v>123</v>
      </c>
      <c r="AA21" s="4">
        <v>119</v>
      </c>
      <c r="AB21" s="4">
        <v>790</v>
      </c>
      <c r="AC21" s="5">
        <f t="shared" si="0"/>
        <v>1.934959349593496</v>
      </c>
    </row>
    <row r="22" spans="1:29" ht="15.75" customHeight="1" x14ac:dyDescent="0.25">
      <c r="A22" s="1" t="s">
        <v>115</v>
      </c>
      <c r="B22" s="3" t="s">
        <v>96</v>
      </c>
      <c r="C22" s="4" t="s">
        <v>85</v>
      </c>
      <c r="D22" s="4">
        <v>42</v>
      </c>
      <c r="E22" s="4">
        <v>1217</v>
      </c>
      <c r="F22" s="4">
        <v>42</v>
      </c>
      <c r="G22" s="4">
        <v>42</v>
      </c>
      <c r="H22" s="4">
        <v>1217</v>
      </c>
      <c r="I22" s="4">
        <v>255</v>
      </c>
      <c r="J22" s="4">
        <v>429</v>
      </c>
      <c r="K22" s="4">
        <v>0.59399999999999997</v>
      </c>
      <c r="L22" s="4">
        <v>3</v>
      </c>
      <c r="M22" s="4">
        <v>16</v>
      </c>
      <c r="N22" s="4">
        <v>0.188</v>
      </c>
      <c r="O22" s="4">
        <v>252</v>
      </c>
      <c r="P22" s="4">
        <v>413</v>
      </c>
      <c r="Q22" s="4">
        <v>0.61</v>
      </c>
      <c r="R22" s="4">
        <v>111</v>
      </c>
      <c r="S22" s="4">
        <v>155</v>
      </c>
      <c r="T22" s="4">
        <v>0.71599999999999997</v>
      </c>
      <c r="U22" s="4">
        <v>143</v>
      </c>
      <c r="V22" s="4">
        <v>323</v>
      </c>
      <c r="W22" s="4">
        <v>139</v>
      </c>
      <c r="X22" s="4">
        <v>70</v>
      </c>
      <c r="Y22" s="4">
        <v>41</v>
      </c>
      <c r="Z22" s="4">
        <v>107</v>
      </c>
      <c r="AA22" s="4">
        <v>147</v>
      </c>
      <c r="AB22" s="4">
        <v>624</v>
      </c>
      <c r="AC22" s="5">
        <f t="shared" si="0"/>
        <v>1.2990654205607477</v>
      </c>
    </row>
    <row r="23" spans="1:29" ht="15.75" customHeight="1" x14ac:dyDescent="0.25">
      <c r="A23" s="1" t="s">
        <v>158</v>
      </c>
      <c r="B23" s="4" t="s">
        <v>140</v>
      </c>
      <c r="C23" s="4" t="s">
        <v>88</v>
      </c>
      <c r="D23" s="4">
        <v>41</v>
      </c>
      <c r="E23" s="4">
        <v>1208</v>
      </c>
      <c r="F23" s="4">
        <v>41</v>
      </c>
      <c r="G23" s="4">
        <v>41</v>
      </c>
      <c r="H23" s="4">
        <v>1208</v>
      </c>
      <c r="I23" s="4">
        <v>254</v>
      </c>
      <c r="J23" s="4">
        <v>517</v>
      </c>
      <c r="K23" s="4">
        <v>0.49099999999999999</v>
      </c>
      <c r="L23" s="4">
        <v>17</v>
      </c>
      <c r="M23" s="4">
        <v>52</v>
      </c>
      <c r="N23" s="4">
        <v>0.32700000000000001</v>
      </c>
      <c r="O23" s="4">
        <v>237</v>
      </c>
      <c r="P23" s="4">
        <v>465</v>
      </c>
      <c r="Q23" s="4">
        <v>0.51</v>
      </c>
      <c r="R23" s="4">
        <v>172</v>
      </c>
      <c r="S23" s="4">
        <v>239</v>
      </c>
      <c r="T23" s="4">
        <v>0.72</v>
      </c>
      <c r="U23" s="4">
        <v>77</v>
      </c>
      <c r="V23" s="4">
        <v>384</v>
      </c>
      <c r="W23" s="4">
        <v>105</v>
      </c>
      <c r="X23" s="4">
        <v>30</v>
      </c>
      <c r="Y23" s="4">
        <v>53</v>
      </c>
      <c r="Z23" s="4">
        <v>118</v>
      </c>
      <c r="AA23" s="4">
        <v>77</v>
      </c>
      <c r="AB23" s="4">
        <v>697</v>
      </c>
      <c r="AC23" s="5">
        <f t="shared" si="0"/>
        <v>0.88983050847457623</v>
      </c>
    </row>
    <row r="24" spans="1:29" ht="15.75" customHeight="1" x14ac:dyDescent="0.25">
      <c r="A24" s="1" t="s">
        <v>144</v>
      </c>
      <c r="B24" s="3" t="s">
        <v>128</v>
      </c>
      <c r="C24" s="4" t="s">
        <v>85</v>
      </c>
      <c r="D24" s="4">
        <v>42</v>
      </c>
      <c r="E24" s="4">
        <v>1203</v>
      </c>
      <c r="F24" s="4">
        <v>42</v>
      </c>
      <c r="G24" s="4">
        <v>40</v>
      </c>
      <c r="H24" s="4">
        <v>1203</v>
      </c>
      <c r="I24" s="4">
        <v>141</v>
      </c>
      <c r="J24" s="4">
        <v>306</v>
      </c>
      <c r="K24" s="4">
        <v>0.46100000000000002</v>
      </c>
      <c r="L24" s="4">
        <v>50</v>
      </c>
      <c r="M24" s="4">
        <v>162</v>
      </c>
      <c r="N24" s="4">
        <v>0.309</v>
      </c>
      <c r="O24" s="4">
        <v>91</v>
      </c>
      <c r="P24" s="4">
        <v>144</v>
      </c>
      <c r="Q24" s="4">
        <v>0.63200000000000001</v>
      </c>
      <c r="R24" s="4">
        <v>43</v>
      </c>
      <c r="S24" s="4">
        <v>52</v>
      </c>
      <c r="T24" s="4">
        <v>0.82699999999999996</v>
      </c>
      <c r="U24" s="4">
        <v>63</v>
      </c>
      <c r="V24" s="4">
        <v>192</v>
      </c>
      <c r="W24" s="4">
        <v>66</v>
      </c>
      <c r="X24" s="4">
        <v>25</v>
      </c>
      <c r="Y24" s="4">
        <v>16</v>
      </c>
      <c r="Z24" s="4">
        <v>56</v>
      </c>
      <c r="AA24" s="4">
        <v>88</v>
      </c>
      <c r="AB24" s="4">
        <v>375</v>
      </c>
      <c r="AC24" s="5">
        <f t="shared" si="0"/>
        <v>1.1785714285714286</v>
      </c>
    </row>
    <row r="25" spans="1:29" ht="15.75" customHeight="1" x14ac:dyDescent="0.25">
      <c r="A25" s="1" t="s">
        <v>109</v>
      </c>
      <c r="B25" s="3" t="s">
        <v>232</v>
      </c>
      <c r="C25" s="4" t="s">
        <v>85</v>
      </c>
      <c r="D25" s="4">
        <v>39</v>
      </c>
      <c r="E25" s="4">
        <v>1195</v>
      </c>
      <c r="F25" s="4">
        <v>39</v>
      </c>
      <c r="G25" s="4">
        <v>39</v>
      </c>
      <c r="H25" s="4">
        <v>1195</v>
      </c>
      <c r="I25" s="4">
        <v>186</v>
      </c>
      <c r="J25" s="4">
        <v>460</v>
      </c>
      <c r="K25" s="4">
        <v>0.40400000000000003</v>
      </c>
      <c r="L25" s="4">
        <v>106</v>
      </c>
      <c r="M25" s="4">
        <v>288</v>
      </c>
      <c r="N25" s="4">
        <v>0.36799999999999999</v>
      </c>
      <c r="O25" s="4">
        <v>80</v>
      </c>
      <c r="P25" s="4">
        <v>172</v>
      </c>
      <c r="Q25" s="4">
        <v>0.46500000000000002</v>
      </c>
      <c r="R25" s="4">
        <v>79</v>
      </c>
      <c r="S25" s="4">
        <v>90</v>
      </c>
      <c r="T25" s="4">
        <v>0.878</v>
      </c>
      <c r="U25" s="4">
        <v>28</v>
      </c>
      <c r="V25" s="4">
        <v>175</v>
      </c>
      <c r="W25" s="4">
        <v>84</v>
      </c>
      <c r="X25" s="4">
        <v>61</v>
      </c>
      <c r="Y25" s="4">
        <v>17</v>
      </c>
      <c r="Z25" s="4">
        <v>47</v>
      </c>
      <c r="AA25" s="4">
        <v>83</v>
      </c>
      <c r="AB25" s="4">
        <v>557</v>
      </c>
      <c r="AC25" s="5">
        <f t="shared" si="0"/>
        <v>1.7872340425531914</v>
      </c>
    </row>
    <row r="26" spans="1:29" ht="15.75" customHeight="1" x14ac:dyDescent="0.25">
      <c r="A26" s="1" t="s">
        <v>156</v>
      </c>
      <c r="B26" s="3" t="s">
        <v>157</v>
      </c>
      <c r="C26" s="4" t="s">
        <v>8</v>
      </c>
      <c r="D26" s="4">
        <v>38</v>
      </c>
      <c r="E26" s="4">
        <v>1194</v>
      </c>
      <c r="F26" s="4">
        <v>38</v>
      </c>
      <c r="G26" s="4">
        <v>38</v>
      </c>
      <c r="H26" s="4">
        <v>1194</v>
      </c>
      <c r="I26" s="4">
        <v>272</v>
      </c>
      <c r="J26" s="4">
        <v>603</v>
      </c>
      <c r="K26" s="4">
        <v>0.45100000000000001</v>
      </c>
      <c r="L26" s="4">
        <v>111</v>
      </c>
      <c r="M26" s="4">
        <v>302</v>
      </c>
      <c r="N26" s="4">
        <v>0.36799999999999999</v>
      </c>
      <c r="O26" s="4">
        <v>161</v>
      </c>
      <c r="P26" s="4">
        <v>301</v>
      </c>
      <c r="Q26" s="4">
        <v>0.53500000000000003</v>
      </c>
      <c r="R26" s="4">
        <v>207</v>
      </c>
      <c r="S26" s="4">
        <v>244</v>
      </c>
      <c r="T26" s="4">
        <v>0.84799999999999998</v>
      </c>
      <c r="U26" s="4">
        <v>8</v>
      </c>
      <c r="V26" s="4">
        <v>147</v>
      </c>
      <c r="W26" s="4">
        <v>321</v>
      </c>
      <c r="X26" s="4">
        <v>37</v>
      </c>
      <c r="Y26" s="4">
        <v>19</v>
      </c>
      <c r="Z26" s="4">
        <v>177</v>
      </c>
      <c r="AA26" s="4">
        <v>121</v>
      </c>
      <c r="AB26" s="4">
        <v>862</v>
      </c>
      <c r="AC26" s="5">
        <f t="shared" si="0"/>
        <v>1.8135593220338984</v>
      </c>
    </row>
    <row r="27" spans="1:29" ht="15.75" customHeight="1" x14ac:dyDescent="0.25">
      <c r="A27" s="1" t="s">
        <v>87</v>
      </c>
      <c r="B27" s="3" t="s">
        <v>84</v>
      </c>
      <c r="C27" s="4" t="s">
        <v>88</v>
      </c>
      <c r="D27" s="4">
        <v>42</v>
      </c>
      <c r="E27" s="4">
        <v>1194</v>
      </c>
      <c r="F27" s="4">
        <v>42</v>
      </c>
      <c r="G27" s="4">
        <v>42</v>
      </c>
      <c r="H27" s="4">
        <v>1194</v>
      </c>
      <c r="I27" s="4">
        <v>210</v>
      </c>
      <c r="J27" s="4">
        <v>423</v>
      </c>
      <c r="K27" s="4">
        <v>0.496</v>
      </c>
      <c r="L27" s="4">
        <v>77</v>
      </c>
      <c r="M27" s="4">
        <v>195</v>
      </c>
      <c r="N27" s="4">
        <v>0.39500000000000002</v>
      </c>
      <c r="O27" s="4">
        <v>133</v>
      </c>
      <c r="P27" s="4">
        <v>228</v>
      </c>
      <c r="Q27" s="4">
        <v>0.58299999999999996</v>
      </c>
      <c r="R27" s="4">
        <v>118</v>
      </c>
      <c r="S27" s="4">
        <v>145</v>
      </c>
      <c r="T27" s="4">
        <v>0.81399999999999995</v>
      </c>
      <c r="U27" s="4">
        <v>83</v>
      </c>
      <c r="V27" s="4">
        <v>376</v>
      </c>
      <c r="W27" s="4">
        <v>109</v>
      </c>
      <c r="X27" s="4">
        <v>25</v>
      </c>
      <c r="Y27" s="4">
        <v>47</v>
      </c>
      <c r="Z27" s="4">
        <v>91</v>
      </c>
      <c r="AA27" s="4">
        <v>124</v>
      </c>
      <c r="AB27" s="4">
        <v>615</v>
      </c>
      <c r="AC27" s="5">
        <f t="shared" si="0"/>
        <v>1.1978021978021978</v>
      </c>
    </row>
    <row r="28" spans="1:29" ht="15.75" customHeight="1" x14ac:dyDescent="0.25">
      <c r="A28" s="1" t="s">
        <v>90</v>
      </c>
      <c r="B28" s="3" t="s">
        <v>91</v>
      </c>
      <c r="C28" s="4" t="s">
        <v>8</v>
      </c>
      <c r="D28" s="4">
        <v>42</v>
      </c>
      <c r="E28" s="4">
        <v>1193</v>
      </c>
      <c r="F28" s="4">
        <v>42</v>
      </c>
      <c r="G28" s="4">
        <v>42</v>
      </c>
      <c r="H28" s="4">
        <v>1193</v>
      </c>
      <c r="I28" s="4">
        <v>164</v>
      </c>
      <c r="J28" s="4">
        <v>387</v>
      </c>
      <c r="K28" s="4">
        <v>0.42399999999999999</v>
      </c>
      <c r="L28" s="4">
        <v>58</v>
      </c>
      <c r="M28" s="4">
        <v>164</v>
      </c>
      <c r="N28" s="4">
        <v>0.35399999999999998</v>
      </c>
      <c r="O28" s="4">
        <v>106</v>
      </c>
      <c r="P28" s="4">
        <v>223</v>
      </c>
      <c r="Q28" s="4">
        <v>0.47499999999999998</v>
      </c>
      <c r="R28" s="4">
        <v>120</v>
      </c>
      <c r="S28" s="4">
        <v>145</v>
      </c>
      <c r="T28" s="4">
        <v>0.82799999999999996</v>
      </c>
      <c r="U28" s="4">
        <v>48</v>
      </c>
      <c r="V28" s="4">
        <v>150</v>
      </c>
      <c r="W28" s="4">
        <v>239</v>
      </c>
      <c r="X28" s="4">
        <v>67</v>
      </c>
      <c r="Y28" s="4">
        <v>18</v>
      </c>
      <c r="Z28" s="4">
        <v>60</v>
      </c>
      <c r="AA28" s="4">
        <v>106</v>
      </c>
      <c r="AB28" s="4">
        <v>506</v>
      </c>
      <c r="AC28" s="5">
        <f t="shared" si="0"/>
        <v>3.9833333333333334</v>
      </c>
    </row>
    <row r="29" spans="1:29" ht="15.75" customHeight="1" x14ac:dyDescent="0.25">
      <c r="A29" s="1" t="s">
        <v>168</v>
      </c>
      <c r="B29" s="3" t="s">
        <v>137</v>
      </c>
      <c r="C29" s="4" t="s">
        <v>94</v>
      </c>
      <c r="D29" s="4">
        <v>41</v>
      </c>
      <c r="E29" s="4">
        <v>1178</v>
      </c>
      <c r="F29" s="4">
        <v>41</v>
      </c>
      <c r="G29" s="4">
        <v>33</v>
      </c>
      <c r="H29" s="4">
        <v>1178</v>
      </c>
      <c r="I29" s="4">
        <v>206</v>
      </c>
      <c r="J29" s="4">
        <v>446</v>
      </c>
      <c r="K29" s="4">
        <v>0.46200000000000002</v>
      </c>
      <c r="L29" s="4">
        <v>65</v>
      </c>
      <c r="M29" s="4">
        <v>172</v>
      </c>
      <c r="N29" s="4">
        <v>0.378</v>
      </c>
      <c r="O29" s="4">
        <v>141</v>
      </c>
      <c r="P29" s="4">
        <v>274</v>
      </c>
      <c r="Q29" s="4">
        <v>0.51500000000000001</v>
      </c>
      <c r="R29" s="4">
        <v>123</v>
      </c>
      <c r="S29" s="4">
        <v>152</v>
      </c>
      <c r="T29" s="4">
        <v>0.80900000000000005</v>
      </c>
      <c r="U29" s="4">
        <v>23</v>
      </c>
      <c r="V29" s="4">
        <v>96</v>
      </c>
      <c r="W29" s="4">
        <v>106</v>
      </c>
      <c r="X29" s="4">
        <v>34</v>
      </c>
      <c r="Y29" s="4">
        <v>25</v>
      </c>
      <c r="Z29" s="4">
        <v>99</v>
      </c>
      <c r="AA29" s="4">
        <v>66</v>
      </c>
      <c r="AB29" s="4">
        <v>600</v>
      </c>
      <c r="AC29" s="5">
        <f t="shared" si="0"/>
        <v>1.0707070707070707</v>
      </c>
    </row>
    <row r="30" spans="1:29" ht="15.75" customHeight="1" x14ac:dyDescent="0.25">
      <c r="A30" s="1" t="s">
        <v>169</v>
      </c>
      <c r="B30" s="3" t="s">
        <v>137</v>
      </c>
      <c r="C30" s="4" t="s">
        <v>85</v>
      </c>
      <c r="D30" s="4">
        <v>41</v>
      </c>
      <c r="E30" s="4">
        <v>1174</v>
      </c>
      <c r="F30" s="4">
        <v>41</v>
      </c>
      <c r="G30" s="4">
        <v>41</v>
      </c>
      <c r="H30" s="4">
        <v>1174</v>
      </c>
      <c r="I30" s="4">
        <v>228</v>
      </c>
      <c r="J30" s="4">
        <v>413</v>
      </c>
      <c r="K30" s="4">
        <v>0.55200000000000005</v>
      </c>
      <c r="L30" s="4">
        <v>9</v>
      </c>
      <c r="M30" s="4">
        <v>38</v>
      </c>
      <c r="N30" s="4">
        <v>0.23699999999999999</v>
      </c>
      <c r="O30" s="4">
        <v>219</v>
      </c>
      <c r="P30" s="4">
        <v>375</v>
      </c>
      <c r="Q30" s="4">
        <v>0.58399999999999996</v>
      </c>
      <c r="R30" s="4">
        <v>127</v>
      </c>
      <c r="S30" s="4">
        <v>186</v>
      </c>
      <c r="T30" s="4">
        <v>0.68300000000000005</v>
      </c>
      <c r="U30" s="4">
        <v>78</v>
      </c>
      <c r="V30" s="4">
        <v>286</v>
      </c>
      <c r="W30" s="4">
        <v>99</v>
      </c>
      <c r="X30" s="4">
        <v>61</v>
      </c>
      <c r="Y30" s="4">
        <v>17</v>
      </c>
      <c r="Z30" s="4">
        <v>77</v>
      </c>
      <c r="AA30" s="4">
        <v>116</v>
      </c>
      <c r="AB30" s="4">
        <v>592</v>
      </c>
      <c r="AC30" s="5">
        <f t="shared" si="0"/>
        <v>1.2857142857142858</v>
      </c>
    </row>
    <row r="31" spans="1:29" ht="15.75" customHeight="1" x14ac:dyDescent="0.25">
      <c r="A31" s="1" t="s">
        <v>113</v>
      </c>
      <c r="B31" s="3" t="s">
        <v>114</v>
      </c>
      <c r="C31" s="4" t="s">
        <v>8</v>
      </c>
      <c r="D31" s="4">
        <v>41</v>
      </c>
      <c r="E31" s="4">
        <v>1169</v>
      </c>
      <c r="F31" s="4">
        <v>41</v>
      </c>
      <c r="G31" s="4">
        <v>41</v>
      </c>
      <c r="H31" s="4">
        <v>1169</v>
      </c>
      <c r="I31" s="4">
        <v>213</v>
      </c>
      <c r="J31" s="4">
        <v>532</v>
      </c>
      <c r="K31" s="4">
        <v>0.4</v>
      </c>
      <c r="L31" s="4">
        <v>60</v>
      </c>
      <c r="M31" s="4">
        <v>198</v>
      </c>
      <c r="N31" s="4">
        <v>0.30299999999999999</v>
      </c>
      <c r="O31" s="4">
        <v>153</v>
      </c>
      <c r="P31" s="4">
        <v>334</v>
      </c>
      <c r="Q31" s="4">
        <v>0.45800000000000002</v>
      </c>
      <c r="R31" s="4">
        <v>119</v>
      </c>
      <c r="S31" s="4">
        <v>149</v>
      </c>
      <c r="T31" s="4">
        <v>0.79900000000000004</v>
      </c>
      <c r="U31" s="4">
        <v>46</v>
      </c>
      <c r="V31" s="4">
        <v>196</v>
      </c>
      <c r="W31" s="4">
        <v>119</v>
      </c>
      <c r="X31" s="4">
        <v>57</v>
      </c>
      <c r="Y31" s="4">
        <v>29</v>
      </c>
      <c r="Z31" s="4">
        <v>105</v>
      </c>
      <c r="AA31" s="4">
        <v>114</v>
      </c>
      <c r="AB31" s="4">
        <v>605</v>
      </c>
      <c r="AC31" s="5">
        <f t="shared" si="0"/>
        <v>1.1333333333333333</v>
      </c>
    </row>
    <row r="32" spans="1:29" ht="15.75" customHeight="1" x14ac:dyDescent="0.25">
      <c r="A32" s="1" t="s">
        <v>138</v>
      </c>
      <c r="B32" s="3" t="s">
        <v>114</v>
      </c>
      <c r="C32" s="4" t="s">
        <v>8</v>
      </c>
      <c r="D32" s="4">
        <v>39</v>
      </c>
      <c r="E32" s="4">
        <v>1166</v>
      </c>
      <c r="F32" s="4">
        <v>39</v>
      </c>
      <c r="G32" s="4">
        <v>39</v>
      </c>
      <c r="H32" s="4">
        <v>1166</v>
      </c>
      <c r="I32" s="4">
        <v>205</v>
      </c>
      <c r="J32" s="4">
        <v>472</v>
      </c>
      <c r="K32" s="4">
        <v>0.434</v>
      </c>
      <c r="L32" s="4">
        <v>70</v>
      </c>
      <c r="M32" s="4">
        <v>215</v>
      </c>
      <c r="N32" s="4">
        <v>0.32600000000000001</v>
      </c>
      <c r="O32" s="4">
        <v>135</v>
      </c>
      <c r="P32" s="4">
        <v>257</v>
      </c>
      <c r="Q32" s="4">
        <v>0.52500000000000002</v>
      </c>
      <c r="R32" s="4">
        <v>96</v>
      </c>
      <c r="S32" s="4">
        <v>111</v>
      </c>
      <c r="T32" s="4">
        <v>0.86499999999999999</v>
      </c>
      <c r="U32" s="4">
        <v>10</v>
      </c>
      <c r="V32" s="4">
        <v>99</v>
      </c>
      <c r="W32" s="4">
        <v>185</v>
      </c>
      <c r="X32" s="4">
        <v>40</v>
      </c>
      <c r="Y32" s="4">
        <v>5</v>
      </c>
      <c r="Z32" s="4">
        <v>88</v>
      </c>
      <c r="AA32" s="4">
        <v>66</v>
      </c>
      <c r="AB32" s="4">
        <v>576</v>
      </c>
      <c r="AC32" s="5">
        <f t="shared" si="0"/>
        <v>2.1022727272727271</v>
      </c>
    </row>
    <row r="33" spans="1:29" ht="15.75" customHeight="1" x14ac:dyDescent="0.25">
      <c r="A33" s="1" t="s">
        <v>224</v>
      </c>
      <c r="B33" s="3" t="s">
        <v>131</v>
      </c>
      <c r="C33" s="4" t="s">
        <v>8</v>
      </c>
      <c r="D33" s="4">
        <v>40</v>
      </c>
      <c r="E33" s="4">
        <v>1127</v>
      </c>
      <c r="F33" s="4">
        <v>40</v>
      </c>
      <c r="G33" s="4">
        <v>27</v>
      </c>
      <c r="H33" s="4">
        <v>1127</v>
      </c>
      <c r="I33" s="4">
        <v>150</v>
      </c>
      <c r="J33" s="4">
        <v>306</v>
      </c>
      <c r="K33" s="4">
        <v>0.49</v>
      </c>
      <c r="L33" s="4">
        <v>45</v>
      </c>
      <c r="M33" s="4">
        <v>126</v>
      </c>
      <c r="N33" s="4">
        <v>0.35699999999999998</v>
      </c>
      <c r="O33" s="4">
        <v>105</v>
      </c>
      <c r="P33" s="4">
        <v>180</v>
      </c>
      <c r="Q33" s="4">
        <v>0.58299999999999996</v>
      </c>
      <c r="R33" s="4">
        <v>100</v>
      </c>
      <c r="S33" s="4">
        <v>117</v>
      </c>
      <c r="T33" s="4">
        <v>0.85499999999999998</v>
      </c>
      <c r="U33" s="4">
        <v>11</v>
      </c>
      <c r="V33" s="4">
        <v>135</v>
      </c>
      <c r="W33" s="4">
        <v>193</v>
      </c>
      <c r="X33" s="4">
        <v>42</v>
      </c>
      <c r="Y33" s="4">
        <v>13</v>
      </c>
      <c r="Z33" s="4">
        <v>86</v>
      </c>
      <c r="AA33" s="4">
        <v>117</v>
      </c>
      <c r="AB33" s="4">
        <v>445</v>
      </c>
      <c r="AC33" s="5">
        <f t="shared" si="0"/>
        <v>2.2441860465116279</v>
      </c>
    </row>
    <row r="34" spans="1:29" ht="15.75" customHeight="1" x14ac:dyDescent="0.25">
      <c r="A34" s="1" t="s">
        <v>173</v>
      </c>
      <c r="B34" s="3" t="s">
        <v>140</v>
      </c>
      <c r="C34" s="4" t="s">
        <v>85</v>
      </c>
      <c r="D34" s="4">
        <v>39</v>
      </c>
      <c r="E34" s="4">
        <v>1104</v>
      </c>
      <c r="F34" s="4">
        <v>39</v>
      </c>
      <c r="G34" s="4">
        <v>39</v>
      </c>
      <c r="H34" s="4">
        <v>1104</v>
      </c>
      <c r="I34" s="4">
        <v>234</v>
      </c>
      <c r="J34" s="4">
        <v>452</v>
      </c>
      <c r="K34" s="4">
        <v>0.51800000000000002</v>
      </c>
      <c r="L34" s="4">
        <v>15</v>
      </c>
      <c r="M34" s="4">
        <v>43</v>
      </c>
      <c r="N34" s="4">
        <v>0.34899999999999998</v>
      </c>
      <c r="O34" s="4">
        <v>219</v>
      </c>
      <c r="P34" s="4">
        <v>409</v>
      </c>
      <c r="Q34" s="4">
        <v>0.53500000000000003</v>
      </c>
      <c r="R34" s="4">
        <v>123</v>
      </c>
      <c r="S34" s="4">
        <v>189</v>
      </c>
      <c r="T34" s="4">
        <v>0.65100000000000002</v>
      </c>
      <c r="U34" s="4">
        <v>121</v>
      </c>
      <c r="V34" s="4">
        <v>374</v>
      </c>
      <c r="W34" s="4">
        <v>60</v>
      </c>
      <c r="X34" s="4">
        <v>27</v>
      </c>
      <c r="Y34" s="4">
        <v>16</v>
      </c>
      <c r="Z34" s="4">
        <v>67</v>
      </c>
      <c r="AA34" s="4">
        <v>127</v>
      </c>
      <c r="AB34" s="4">
        <v>606</v>
      </c>
      <c r="AC34" s="5">
        <f t="shared" si="0"/>
        <v>0.89552238805970152</v>
      </c>
    </row>
    <row r="35" spans="1:29" ht="15.75" customHeight="1" x14ac:dyDescent="0.25">
      <c r="A35" s="1" t="s">
        <v>111</v>
      </c>
      <c r="B35" s="3" t="s">
        <v>240</v>
      </c>
      <c r="C35" s="4" t="s">
        <v>112</v>
      </c>
      <c r="D35" s="4">
        <v>41</v>
      </c>
      <c r="E35" s="4">
        <v>1099</v>
      </c>
      <c r="F35" s="4">
        <v>41</v>
      </c>
      <c r="G35" s="4">
        <v>26</v>
      </c>
      <c r="H35" s="4">
        <v>1099</v>
      </c>
      <c r="I35" s="4">
        <v>142</v>
      </c>
      <c r="J35" s="4">
        <v>351</v>
      </c>
      <c r="K35" s="4">
        <v>0.40500000000000003</v>
      </c>
      <c r="L35" s="4">
        <v>49</v>
      </c>
      <c r="M35" s="4">
        <v>179</v>
      </c>
      <c r="N35" s="4">
        <v>0.27400000000000002</v>
      </c>
      <c r="O35" s="4">
        <v>93</v>
      </c>
      <c r="P35" s="4">
        <v>172</v>
      </c>
      <c r="Q35" s="4">
        <v>0.54100000000000004</v>
      </c>
      <c r="R35" s="4">
        <v>94</v>
      </c>
      <c r="S35" s="4">
        <v>111</v>
      </c>
      <c r="T35" s="4">
        <v>0.84699999999999998</v>
      </c>
      <c r="U35" s="4">
        <v>34</v>
      </c>
      <c r="V35" s="4">
        <v>244</v>
      </c>
      <c r="W35" s="4">
        <v>64</v>
      </c>
      <c r="X35" s="4">
        <v>45</v>
      </c>
      <c r="Y35" s="4">
        <v>29</v>
      </c>
      <c r="Z35" s="4">
        <v>31</v>
      </c>
      <c r="AA35" s="4">
        <v>67</v>
      </c>
      <c r="AB35" s="4">
        <v>427</v>
      </c>
      <c r="AC35" s="5">
        <f t="shared" si="0"/>
        <v>2.064516129032258</v>
      </c>
    </row>
    <row r="36" spans="1:29" ht="15.75" customHeight="1" x14ac:dyDescent="0.25">
      <c r="A36" s="1" t="s">
        <v>177</v>
      </c>
      <c r="B36" s="3" t="s">
        <v>131</v>
      </c>
      <c r="C36" s="4" t="s">
        <v>88</v>
      </c>
      <c r="D36" s="4">
        <v>41</v>
      </c>
      <c r="E36" s="4">
        <v>1082</v>
      </c>
      <c r="F36" s="4">
        <v>41</v>
      </c>
      <c r="G36" s="4">
        <v>41</v>
      </c>
      <c r="H36" s="4">
        <v>1082</v>
      </c>
      <c r="I36" s="4">
        <v>229</v>
      </c>
      <c r="J36" s="4">
        <v>418</v>
      </c>
      <c r="K36" s="4">
        <v>0.54800000000000004</v>
      </c>
      <c r="L36" s="4">
        <v>0</v>
      </c>
      <c r="M36" s="4">
        <v>0</v>
      </c>
      <c r="N36" s="4">
        <v>0</v>
      </c>
      <c r="O36" s="4">
        <v>229</v>
      </c>
      <c r="P36" s="4">
        <v>418</v>
      </c>
      <c r="Q36" s="4">
        <v>0.54800000000000004</v>
      </c>
      <c r="R36" s="4">
        <v>140</v>
      </c>
      <c r="S36" s="4">
        <v>187</v>
      </c>
      <c r="T36" s="4">
        <v>0.749</v>
      </c>
      <c r="U36" s="4">
        <v>113</v>
      </c>
      <c r="V36" s="4">
        <v>354</v>
      </c>
      <c r="W36" s="4">
        <v>100</v>
      </c>
      <c r="X36" s="4">
        <v>24</v>
      </c>
      <c r="Y36" s="4">
        <v>61</v>
      </c>
      <c r="Z36" s="4">
        <v>73</v>
      </c>
      <c r="AA36" s="4">
        <v>148</v>
      </c>
      <c r="AB36" s="4">
        <v>598</v>
      </c>
      <c r="AC36" s="5">
        <f t="shared" si="0"/>
        <v>1.3698630136986301</v>
      </c>
    </row>
    <row r="37" spans="1:29" ht="15.75" customHeight="1" x14ac:dyDescent="0.25">
      <c r="A37" s="1" t="s">
        <v>198</v>
      </c>
      <c r="B37" s="3" t="s">
        <v>137</v>
      </c>
      <c r="C37" s="4" t="s">
        <v>8</v>
      </c>
      <c r="D37" s="4">
        <v>41</v>
      </c>
      <c r="E37" s="4">
        <v>1081</v>
      </c>
      <c r="F37" s="4">
        <v>41</v>
      </c>
      <c r="G37" s="4">
        <v>39</v>
      </c>
      <c r="H37" s="4">
        <v>1081</v>
      </c>
      <c r="I37" s="4">
        <v>133</v>
      </c>
      <c r="J37" s="4">
        <v>331</v>
      </c>
      <c r="K37" s="4">
        <v>0.40200000000000002</v>
      </c>
      <c r="L37" s="4">
        <v>57</v>
      </c>
      <c r="M37" s="4">
        <v>176</v>
      </c>
      <c r="N37" s="4">
        <v>0.32400000000000001</v>
      </c>
      <c r="O37" s="4">
        <v>76</v>
      </c>
      <c r="P37" s="4">
        <v>155</v>
      </c>
      <c r="Q37" s="4">
        <v>0.49</v>
      </c>
      <c r="R37" s="4">
        <v>41</v>
      </c>
      <c r="S37" s="4">
        <v>47</v>
      </c>
      <c r="T37" s="4">
        <v>0.872</v>
      </c>
      <c r="U37" s="4">
        <v>9</v>
      </c>
      <c r="V37" s="4">
        <v>76</v>
      </c>
      <c r="W37" s="4">
        <v>207</v>
      </c>
      <c r="X37" s="4">
        <v>37</v>
      </c>
      <c r="Y37" s="4">
        <v>4</v>
      </c>
      <c r="Z37" s="4">
        <v>76</v>
      </c>
      <c r="AA37" s="4">
        <v>111</v>
      </c>
      <c r="AB37" s="4">
        <v>364</v>
      </c>
      <c r="AC37" s="5">
        <f t="shared" si="0"/>
        <v>2.7236842105263159</v>
      </c>
    </row>
    <row r="38" spans="1:29" ht="15.75" customHeight="1" x14ac:dyDescent="0.25">
      <c r="A38" s="1" t="s">
        <v>185</v>
      </c>
      <c r="B38" s="3" t="s">
        <v>137</v>
      </c>
      <c r="C38" s="4" t="s">
        <v>8</v>
      </c>
      <c r="D38" s="4">
        <v>40</v>
      </c>
      <c r="E38" s="4">
        <v>1076</v>
      </c>
      <c r="F38" s="4">
        <v>40</v>
      </c>
      <c r="G38" s="4">
        <v>40</v>
      </c>
      <c r="H38" s="4">
        <v>1076</v>
      </c>
      <c r="I38" s="4">
        <v>120</v>
      </c>
      <c r="J38" s="4">
        <v>316</v>
      </c>
      <c r="K38" s="4">
        <v>0.38</v>
      </c>
      <c r="L38" s="4">
        <v>46</v>
      </c>
      <c r="M38" s="4">
        <v>164</v>
      </c>
      <c r="N38" s="4">
        <v>0.28000000000000003</v>
      </c>
      <c r="O38" s="4">
        <v>74</v>
      </c>
      <c r="P38" s="4">
        <v>152</v>
      </c>
      <c r="Q38" s="4">
        <v>0.48699999999999999</v>
      </c>
      <c r="R38" s="4">
        <v>55</v>
      </c>
      <c r="S38" s="4">
        <v>59</v>
      </c>
      <c r="T38" s="4">
        <v>0.93200000000000005</v>
      </c>
      <c r="U38" s="4">
        <v>28</v>
      </c>
      <c r="V38" s="4">
        <v>117</v>
      </c>
      <c r="W38" s="4">
        <v>114</v>
      </c>
      <c r="X38" s="4">
        <v>66</v>
      </c>
      <c r="Y38" s="4">
        <v>15</v>
      </c>
      <c r="Z38" s="4">
        <v>59</v>
      </c>
      <c r="AA38" s="4">
        <v>122</v>
      </c>
      <c r="AB38" s="4">
        <v>341</v>
      </c>
      <c r="AC38" s="5">
        <f t="shared" si="0"/>
        <v>1.9322033898305084</v>
      </c>
    </row>
    <row r="39" spans="1:29" ht="15.75" customHeight="1" x14ac:dyDescent="0.25">
      <c r="A39" s="1" t="s">
        <v>219</v>
      </c>
      <c r="B39" s="3" t="s">
        <v>161</v>
      </c>
      <c r="C39" s="4" t="s">
        <v>85</v>
      </c>
      <c r="D39" s="4">
        <v>42</v>
      </c>
      <c r="E39" s="4">
        <v>1058</v>
      </c>
      <c r="F39" s="4">
        <v>42</v>
      </c>
      <c r="G39" s="4">
        <v>34</v>
      </c>
      <c r="H39" s="4">
        <v>1058</v>
      </c>
      <c r="I39" s="4">
        <v>163</v>
      </c>
      <c r="J39" s="4">
        <v>341</v>
      </c>
      <c r="K39" s="4">
        <v>0.47799999999999998</v>
      </c>
      <c r="L39" s="4">
        <v>41</v>
      </c>
      <c r="M39" s="4">
        <v>131</v>
      </c>
      <c r="N39" s="4">
        <v>0.313</v>
      </c>
      <c r="O39" s="4">
        <v>122</v>
      </c>
      <c r="P39" s="4">
        <v>210</v>
      </c>
      <c r="Q39" s="4">
        <v>0.58099999999999996</v>
      </c>
      <c r="R39" s="4">
        <v>93</v>
      </c>
      <c r="S39" s="4">
        <v>115</v>
      </c>
      <c r="T39" s="4">
        <v>0.80900000000000005</v>
      </c>
      <c r="U39" s="4">
        <v>46</v>
      </c>
      <c r="V39" s="4">
        <v>176</v>
      </c>
      <c r="W39" s="4">
        <v>70</v>
      </c>
      <c r="X39" s="4">
        <v>52</v>
      </c>
      <c r="Y39" s="4">
        <v>10</v>
      </c>
      <c r="Z39" s="4">
        <v>85</v>
      </c>
      <c r="AA39" s="4">
        <v>139</v>
      </c>
      <c r="AB39" s="4">
        <v>460</v>
      </c>
      <c r="AC39" s="5">
        <f t="shared" si="0"/>
        <v>0.82352941176470584</v>
      </c>
    </row>
    <row r="40" spans="1:29" ht="15.75" customHeight="1" x14ac:dyDescent="0.25">
      <c r="A40" s="1" t="s">
        <v>148</v>
      </c>
      <c r="B40" s="3" t="s">
        <v>232</v>
      </c>
      <c r="C40" s="4" t="s">
        <v>85</v>
      </c>
      <c r="D40" s="4">
        <v>43</v>
      </c>
      <c r="E40" s="4">
        <v>1051</v>
      </c>
      <c r="F40" s="4">
        <v>43</v>
      </c>
      <c r="G40" s="4">
        <v>43</v>
      </c>
      <c r="H40" s="4">
        <v>1051</v>
      </c>
      <c r="I40" s="4">
        <v>165</v>
      </c>
      <c r="J40" s="4">
        <v>351</v>
      </c>
      <c r="K40" s="4">
        <v>0.47</v>
      </c>
      <c r="L40" s="4">
        <v>55</v>
      </c>
      <c r="M40" s="4">
        <v>147</v>
      </c>
      <c r="N40" s="4">
        <v>0.374</v>
      </c>
      <c r="O40" s="4">
        <v>110</v>
      </c>
      <c r="P40" s="4">
        <v>204</v>
      </c>
      <c r="Q40" s="4">
        <v>0.53900000000000003</v>
      </c>
      <c r="R40" s="4">
        <v>50</v>
      </c>
      <c r="S40" s="4">
        <v>72</v>
      </c>
      <c r="T40" s="4">
        <v>0.69399999999999995</v>
      </c>
      <c r="U40" s="4">
        <v>54</v>
      </c>
      <c r="V40" s="4">
        <v>241</v>
      </c>
      <c r="W40" s="4">
        <v>92</v>
      </c>
      <c r="X40" s="4">
        <v>61</v>
      </c>
      <c r="Y40" s="4">
        <v>61</v>
      </c>
      <c r="Z40" s="4">
        <v>82</v>
      </c>
      <c r="AA40" s="4">
        <v>131</v>
      </c>
      <c r="AB40" s="4">
        <v>435</v>
      </c>
      <c r="AC40" s="5">
        <f t="shared" si="0"/>
        <v>1.1219512195121952</v>
      </c>
    </row>
    <row r="41" spans="1:29" ht="15.75" customHeight="1" x14ac:dyDescent="0.25">
      <c r="A41" s="1" t="s">
        <v>125</v>
      </c>
      <c r="B41" s="3" t="s">
        <v>117</v>
      </c>
      <c r="C41" s="4" t="s">
        <v>8</v>
      </c>
      <c r="D41" s="4">
        <v>40</v>
      </c>
      <c r="E41" s="4">
        <v>1043</v>
      </c>
      <c r="F41" s="4">
        <v>40</v>
      </c>
      <c r="G41" s="4">
        <v>3</v>
      </c>
      <c r="H41" s="4">
        <v>1043</v>
      </c>
      <c r="I41" s="4">
        <v>99</v>
      </c>
      <c r="J41" s="4">
        <v>282</v>
      </c>
      <c r="K41" s="4">
        <v>0.35099999999999998</v>
      </c>
      <c r="L41" s="4">
        <v>65</v>
      </c>
      <c r="M41" s="4">
        <v>202</v>
      </c>
      <c r="N41" s="4">
        <v>0.32200000000000001</v>
      </c>
      <c r="O41" s="4">
        <v>34</v>
      </c>
      <c r="P41" s="4">
        <v>80</v>
      </c>
      <c r="Q41" s="4">
        <v>0.42499999999999999</v>
      </c>
      <c r="R41" s="4">
        <v>41</v>
      </c>
      <c r="S41" s="4">
        <v>51</v>
      </c>
      <c r="T41" s="4">
        <v>0.80400000000000005</v>
      </c>
      <c r="U41" s="4">
        <v>19</v>
      </c>
      <c r="V41" s="4">
        <v>92</v>
      </c>
      <c r="W41" s="4">
        <v>57</v>
      </c>
      <c r="X41" s="4">
        <v>44</v>
      </c>
      <c r="Y41" s="4">
        <v>5</v>
      </c>
      <c r="Z41" s="4">
        <v>36</v>
      </c>
      <c r="AA41" s="4">
        <v>89</v>
      </c>
      <c r="AB41" s="4">
        <v>304</v>
      </c>
      <c r="AC41" s="5">
        <f t="shared" si="0"/>
        <v>1.5833333333333333</v>
      </c>
    </row>
    <row r="42" spans="1:29" ht="15.75" customHeight="1" x14ac:dyDescent="0.25">
      <c r="A42" s="1" t="s">
        <v>182</v>
      </c>
      <c r="B42" s="3" t="s">
        <v>157</v>
      </c>
      <c r="C42" s="4" t="s">
        <v>183</v>
      </c>
      <c r="D42" s="4">
        <v>38</v>
      </c>
      <c r="E42" s="4">
        <v>1040</v>
      </c>
      <c r="F42" s="4">
        <v>38</v>
      </c>
      <c r="G42" s="4">
        <v>38</v>
      </c>
      <c r="H42" s="4">
        <v>1040</v>
      </c>
      <c r="I42" s="4">
        <v>238</v>
      </c>
      <c r="J42" s="4">
        <v>454</v>
      </c>
      <c r="K42" s="4">
        <v>0.52400000000000002</v>
      </c>
      <c r="L42" s="4">
        <v>42</v>
      </c>
      <c r="M42" s="4">
        <v>102</v>
      </c>
      <c r="N42" s="4">
        <v>0.41199999999999998</v>
      </c>
      <c r="O42" s="4">
        <v>196</v>
      </c>
      <c r="P42" s="4">
        <v>352</v>
      </c>
      <c r="Q42" s="4">
        <v>0.55700000000000005</v>
      </c>
      <c r="R42" s="4">
        <v>106</v>
      </c>
      <c r="S42" s="4">
        <v>129</v>
      </c>
      <c r="T42" s="4">
        <v>0.82199999999999995</v>
      </c>
      <c r="U42" s="4">
        <v>67</v>
      </c>
      <c r="V42" s="4">
        <v>308</v>
      </c>
      <c r="W42" s="4">
        <v>116</v>
      </c>
      <c r="X42" s="4">
        <v>57</v>
      </c>
      <c r="Y42" s="4">
        <v>48</v>
      </c>
      <c r="Z42" s="4">
        <v>88</v>
      </c>
      <c r="AA42" s="4">
        <v>123</v>
      </c>
      <c r="AB42" s="4">
        <v>624</v>
      </c>
      <c r="AC42" s="5">
        <f t="shared" si="0"/>
        <v>1.3181818181818181</v>
      </c>
    </row>
    <row r="43" spans="1:29" ht="15.75" customHeight="1" x14ac:dyDescent="0.25">
      <c r="A43" s="1" t="s">
        <v>105</v>
      </c>
      <c r="B43" s="3" t="s">
        <v>91</v>
      </c>
      <c r="C43" s="4" t="s">
        <v>85</v>
      </c>
      <c r="D43" s="4">
        <v>42</v>
      </c>
      <c r="E43" s="4">
        <v>1018</v>
      </c>
      <c r="F43" s="4">
        <v>42</v>
      </c>
      <c r="G43" s="4">
        <v>42</v>
      </c>
      <c r="H43" s="4">
        <v>1018</v>
      </c>
      <c r="I43" s="4">
        <v>105</v>
      </c>
      <c r="J43" s="4">
        <v>291</v>
      </c>
      <c r="K43" s="4">
        <v>0.36099999999999999</v>
      </c>
      <c r="L43" s="4">
        <v>64</v>
      </c>
      <c r="M43" s="4">
        <v>183</v>
      </c>
      <c r="N43" s="4">
        <v>0.35</v>
      </c>
      <c r="O43" s="4">
        <v>41</v>
      </c>
      <c r="P43" s="4">
        <v>108</v>
      </c>
      <c r="Q43" s="4">
        <v>0.38</v>
      </c>
      <c r="R43" s="4">
        <v>52</v>
      </c>
      <c r="S43" s="4">
        <v>57</v>
      </c>
      <c r="T43" s="4">
        <v>0.91200000000000003</v>
      </c>
      <c r="U43" s="4">
        <v>54</v>
      </c>
      <c r="V43" s="4">
        <v>189</v>
      </c>
      <c r="W43" s="4">
        <v>29</v>
      </c>
      <c r="X43" s="4">
        <v>28</v>
      </c>
      <c r="Y43" s="4">
        <v>9</v>
      </c>
      <c r="Z43" s="4">
        <v>26</v>
      </c>
      <c r="AA43" s="4">
        <v>82</v>
      </c>
      <c r="AB43" s="4">
        <v>326</v>
      </c>
      <c r="AC43" s="5">
        <f t="shared" si="0"/>
        <v>1.1153846153846154</v>
      </c>
    </row>
    <row r="44" spans="1:29" ht="15.75" customHeight="1" x14ac:dyDescent="0.25">
      <c r="A44" s="1" t="s">
        <v>89</v>
      </c>
      <c r="B44" s="3" t="s">
        <v>84</v>
      </c>
      <c r="C44" s="4" t="s">
        <v>8</v>
      </c>
      <c r="D44" s="4">
        <v>43</v>
      </c>
      <c r="E44" s="4">
        <v>1011</v>
      </c>
      <c r="F44" s="4">
        <v>43</v>
      </c>
      <c r="G44" s="4">
        <v>38</v>
      </c>
      <c r="H44" s="4">
        <v>1011</v>
      </c>
      <c r="I44" s="4">
        <v>151</v>
      </c>
      <c r="J44" s="4">
        <v>273</v>
      </c>
      <c r="K44" s="4">
        <v>0.55300000000000005</v>
      </c>
      <c r="L44" s="4">
        <v>19</v>
      </c>
      <c r="M44" s="4">
        <v>55</v>
      </c>
      <c r="N44" s="4">
        <v>0.34499999999999997</v>
      </c>
      <c r="O44" s="4">
        <v>132</v>
      </c>
      <c r="P44" s="4">
        <v>218</v>
      </c>
      <c r="Q44" s="4">
        <v>0.60599999999999998</v>
      </c>
      <c r="R44" s="4">
        <v>84</v>
      </c>
      <c r="S44" s="4">
        <v>96</v>
      </c>
      <c r="T44" s="4">
        <v>0.875</v>
      </c>
      <c r="U44" s="4">
        <v>28</v>
      </c>
      <c r="V44" s="4">
        <v>116</v>
      </c>
      <c r="W44" s="4">
        <v>145</v>
      </c>
      <c r="X44" s="4">
        <v>36</v>
      </c>
      <c r="Y44" s="4">
        <v>6</v>
      </c>
      <c r="Z44" s="4">
        <v>71</v>
      </c>
      <c r="AA44" s="4">
        <v>132</v>
      </c>
      <c r="AB44" s="4">
        <v>405</v>
      </c>
      <c r="AC44" s="5">
        <f t="shared" si="0"/>
        <v>2.0422535211267605</v>
      </c>
    </row>
    <row r="45" spans="1:29" ht="15.75" customHeight="1" x14ac:dyDescent="0.25">
      <c r="A45" s="1" t="s">
        <v>145</v>
      </c>
      <c r="B45" s="3" t="s">
        <v>114</v>
      </c>
      <c r="C45" s="4" t="s">
        <v>8</v>
      </c>
      <c r="D45" s="4">
        <v>41</v>
      </c>
      <c r="E45" s="4">
        <v>1010</v>
      </c>
      <c r="F45" s="4">
        <v>41</v>
      </c>
      <c r="G45" s="4">
        <v>32</v>
      </c>
      <c r="H45" s="4">
        <v>1010</v>
      </c>
      <c r="I45" s="4">
        <v>124</v>
      </c>
      <c r="J45" s="4">
        <v>284</v>
      </c>
      <c r="K45" s="4">
        <v>0.437</v>
      </c>
      <c r="L45" s="4">
        <v>31</v>
      </c>
      <c r="M45" s="4">
        <v>103</v>
      </c>
      <c r="N45" s="4">
        <v>0.30099999999999999</v>
      </c>
      <c r="O45" s="4">
        <v>93</v>
      </c>
      <c r="P45" s="4">
        <v>181</v>
      </c>
      <c r="Q45" s="4">
        <v>0.51400000000000001</v>
      </c>
      <c r="R45" s="4">
        <v>97</v>
      </c>
      <c r="S45" s="4">
        <v>125</v>
      </c>
      <c r="T45" s="4">
        <v>0.77600000000000002</v>
      </c>
      <c r="U45" s="4">
        <v>16</v>
      </c>
      <c r="V45" s="4">
        <v>89</v>
      </c>
      <c r="W45" s="4">
        <v>156</v>
      </c>
      <c r="X45" s="4">
        <v>37</v>
      </c>
      <c r="Y45" s="4">
        <v>9</v>
      </c>
      <c r="Z45" s="4">
        <v>73</v>
      </c>
      <c r="AA45" s="4">
        <v>119</v>
      </c>
      <c r="AB45" s="4">
        <v>376</v>
      </c>
      <c r="AC45" s="5">
        <f t="shared" si="0"/>
        <v>2.1369863013698631</v>
      </c>
    </row>
    <row r="46" spans="1:29" ht="15.75" customHeight="1" x14ac:dyDescent="0.25">
      <c r="A46" s="1" t="s">
        <v>170</v>
      </c>
      <c r="B46" s="3" t="s">
        <v>107</v>
      </c>
      <c r="C46" s="4" t="s">
        <v>8</v>
      </c>
      <c r="D46" s="4">
        <v>42</v>
      </c>
      <c r="E46" s="4">
        <v>997</v>
      </c>
      <c r="F46" s="4">
        <v>42</v>
      </c>
      <c r="G46" s="4">
        <v>30</v>
      </c>
      <c r="H46" s="4">
        <v>997</v>
      </c>
      <c r="I46" s="4">
        <v>107</v>
      </c>
      <c r="J46" s="4">
        <v>286</v>
      </c>
      <c r="K46" s="4">
        <v>0.374</v>
      </c>
      <c r="L46" s="4">
        <v>42</v>
      </c>
      <c r="M46" s="4">
        <v>125</v>
      </c>
      <c r="N46" s="4">
        <v>0.33600000000000002</v>
      </c>
      <c r="O46" s="4">
        <v>65</v>
      </c>
      <c r="P46" s="4">
        <v>161</v>
      </c>
      <c r="Q46" s="4">
        <v>0.40400000000000003</v>
      </c>
      <c r="R46" s="4">
        <v>47</v>
      </c>
      <c r="S46" s="4">
        <v>60</v>
      </c>
      <c r="T46" s="4">
        <v>0.78300000000000003</v>
      </c>
      <c r="U46" s="4">
        <v>13</v>
      </c>
      <c r="V46" s="4">
        <v>102</v>
      </c>
      <c r="W46" s="4">
        <v>157</v>
      </c>
      <c r="X46" s="4">
        <v>34</v>
      </c>
      <c r="Y46" s="4">
        <v>11</v>
      </c>
      <c r="Z46" s="4">
        <v>77</v>
      </c>
      <c r="AA46" s="4">
        <v>95</v>
      </c>
      <c r="AB46" s="4">
        <v>303</v>
      </c>
      <c r="AC46" s="5">
        <f t="shared" si="0"/>
        <v>2.0389610389610389</v>
      </c>
    </row>
    <row r="47" spans="1:29" ht="15.75" customHeight="1" x14ac:dyDescent="0.25">
      <c r="A47" s="1" t="s">
        <v>245</v>
      </c>
      <c r="B47" s="3" t="s">
        <v>114</v>
      </c>
      <c r="C47" s="4" t="s">
        <v>88</v>
      </c>
      <c r="D47" s="4">
        <v>36</v>
      </c>
      <c r="E47" s="4">
        <v>989</v>
      </c>
      <c r="F47" s="4">
        <v>36</v>
      </c>
      <c r="G47" s="4">
        <v>25</v>
      </c>
      <c r="H47" s="4">
        <v>989</v>
      </c>
      <c r="I47" s="4">
        <v>138</v>
      </c>
      <c r="J47" s="4">
        <v>316</v>
      </c>
      <c r="K47" s="4">
        <v>0.437</v>
      </c>
      <c r="L47" s="4">
        <v>52</v>
      </c>
      <c r="M47" s="4">
        <v>152</v>
      </c>
      <c r="N47" s="4">
        <v>0.34200000000000003</v>
      </c>
      <c r="O47" s="4">
        <v>86</v>
      </c>
      <c r="P47" s="4">
        <v>164</v>
      </c>
      <c r="Q47" s="4">
        <v>0.52400000000000002</v>
      </c>
      <c r="R47" s="4">
        <v>30</v>
      </c>
      <c r="S47" s="4">
        <v>38</v>
      </c>
      <c r="T47" s="4">
        <v>0.78900000000000003</v>
      </c>
      <c r="U47" s="4">
        <v>70</v>
      </c>
      <c r="V47" s="4">
        <v>213</v>
      </c>
      <c r="W47" s="4">
        <v>66</v>
      </c>
      <c r="X47" s="4">
        <v>30</v>
      </c>
      <c r="Y47" s="4">
        <v>27</v>
      </c>
      <c r="Z47" s="4">
        <v>61</v>
      </c>
      <c r="AA47" s="4">
        <v>98</v>
      </c>
      <c r="AB47" s="4">
        <v>358</v>
      </c>
      <c r="AC47" s="5">
        <f t="shared" si="0"/>
        <v>1.0819672131147542</v>
      </c>
    </row>
    <row r="48" spans="1:29" ht="15.75" customHeight="1" x14ac:dyDescent="0.25">
      <c r="A48" s="1" t="s">
        <v>175</v>
      </c>
      <c r="B48" s="4" t="s">
        <v>232</v>
      </c>
      <c r="C48" s="4" t="s">
        <v>8</v>
      </c>
      <c r="D48" s="4">
        <v>38</v>
      </c>
      <c r="E48" s="4">
        <v>986</v>
      </c>
      <c r="F48" s="4">
        <v>38</v>
      </c>
      <c r="G48" s="4">
        <v>37</v>
      </c>
      <c r="H48" s="4">
        <v>986</v>
      </c>
      <c r="I48" s="4">
        <v>183</v>
      </c>
      <c r="J48" s="4">
        <v>395</v>
      </c>
      <c r="K48" s="4">
        <v>0.46300000000000002</v>
      </c>
      <c r="L48" s="4">
        <v>36</v>
      </c>
      <c r="M48" s="4">
        <v>90</v>
      </c>
      <c r="N48" s="4">
        <v>0.4</v>
      </c>
      <c r="O48" s="4">
        <v>147</v>
      </c>
      <c r="P48" s="4">
        <v>305</v>
      </c>
      <c r="Q48" s="4">
        <v>0.48199999999999998</v>
      </c>
      <c r="R48" s="4">
        <v>206</v>
      </c>
      <c r="S48" s="4">
        <v>240</v>
      </c>
      <c r="T48" s="4">
        <v>0.85799999999999998</v>
      </c>
      <c r="U48" s="4">
        <v>23</v>
      </c>
      <c r="V48" s="4">
        <v>81</v>
      </c>
      <c r="W48" s="4">
        <v>239</v>
      </c>
      <c r="X48" s="4">
        <v>25</v>
      </c>
      <c r="Y48" s="4">
        <v>2</v>
      </c>
      <c r="Z48" s="4">
        <v>127</v>
      </c>
      <c r="AA48" s="4">
        <v>98</v>
      </c>
      <c r="AB48" s="4">
        <v>608</v>
      </c>
      <c r="AC48" s="5">
        <f t="shared" si="0"/>
        <v>1.8818897637795275</v>
      </c>
    </row>
    <row r="49" spans="1:29" ht="15.75" customHeight="1" x14ac:dyDescent="0.25">
      <c r="A49" s="1" t="s">
        <v>188</v>
      </c>
      <c r="B49" s="3" t="s">
        <v>93</v>
      </c>
      <c r="C49" s="4" t="s">
        <v>112</v>
      </c>
      <c r="D49" s="4">
        <v>42</v>
      </c>
      <c r="E49" s="4">
        <v>984</v>
      </c>
      <c r="F49" s="4">
        <v>42</v>
      </c>
      <c r="G49" s="4">
        <v>32</v>
      </c>
      <c r="H49" s="4">
        <v>984</v>
      </c>
      <c r="I49" s="4">
        <v>104</v>
      </c>
      <c r="J49" s="4">
        <v>232</v>
      </c>
      <c r="K49" s="4">
        <v>0.44800000000000001</v>
      </c>
      <c r="L49" s="4">
        <v>43</v>
      </c>
      <c r="M49" s="4">
        <v>115</v>
      </c>
      <c r="N49" s="4">
        <v>0.374</v>
      </c>
      <c r="O49" s="4">
        <v>61</v>
      </c>
      <c r="P49" s="4">
        <v>117</v>
      </c>
      <c r="Q49" s="4">
        <v>0.52100000000000002</v>
      </c>
      <c r="R49" s="4">
        <v>13</v>
      </c>
      <c r="S49" s="4">
        <v>18</v>
      </c>
      <c r="T49" s="4">
        <v>0.72199999999999998</v>
      </c>
      <c r="U49" s="4">
        <v>16</v>
      </c>
      <c r="V49" s="4">
        <v>86</v>
      </c>
      <c r="W49" s="4">
        <v>77</v>
      </c>
      <c r="X49" s="4">
        <v>43</v>
      </c>
      <c r="Y49" s="4">
        <v>9</v>
      </c>
      <c r="Z49" s="4">
        <v>41</v>
      </c>
      <c r="AA49" s="4">
        <v>65</v>
      </c>
      <c r="AB49" s="4">
        <v>264</v>
      </c>
      <c r="AC49" s="5">
        <f t="shared" si="0"/>
        <v>1.8780487804878048</v>
      </c>
    </row>
    <row r="50" spans="1:29" ht="15.75" customHeight="1" x14ac:dyDescent="0.25">
      <c r="A50" s="1" t="s">
        <v>194</v>
      </c>
      <c r="B50" s="4" t="s">
        <v>140</v>
      </c>
      <c r="C50" s="4" t="s">
        <v>8</v>
      </c>
      <c r="D50" s="4">
        <v>42</v>
      </c>
      <c r="E50" s="4">
        <v>965</v>
      </c>
      <c r="F50" s="4">
        <v>42</v>
      </c>
      <c r="G50" s="4">
        <v>42</v>
      </c>
      <c r="H50" s="4">
        <v>965</v>
      </c>
      <c r="I50" s="4">
        <v>94</v>
      </c>
      <c r="J50" s="4">
        <v>255</v>
      </c>
      <c r="K50" s="4">
        <v>0.36899999999999999</v>
      </c>
      <c r="L50" s="4">
        <v>63</v>
      </c>
      <c r="M50" s="4">
        <v>183</v>
      </c>
      <c r="N50" s="4">
        <v>0.34399999999999997</v>
      </c>
      <c r="O50" s="4">
        <v>31</v>
      </c>
      <c r="P50" s="4">
        <v>72</v>
      </c>
      <c r="Q50" s="4">
        <v>0.43099999999999999</v>
      </c>
      <c r="R50" s="4">
        <v>35</v>
      </c>
      <c r="S50" s="4">
        <v>41</v>
      </c>
      <c r="T50" s="4">
        <v>0.85399999999999998</v>
      </c>
      <c r="U50" s="4">
        <v>11</v>
      </c>
      <c r="V50" s="4">
        <v>59</v>
      </c>
      <c r="W50" s="4">
        <v>147</v>
      </c>
      <c r="X50" s="4">
        <v>14</v>
      </c>
      <c r="Y50" s="4">
        <v>5</v>
      </c>
      <c r="Z50" s="4">
        <v>84</v>
      </c>
      <c r="AA50" s="4">
        <v>104</v>
      </c>
      <c r="AB50" s="4">
        <v>286</v>
      </c>
      <c r="AC50" s="5">
        <f t="shared" si="0"/>
        <v>1.75</v>
      </c>
    </row>
    <row r="51" spans="1:29" ht="15.75" customHeight="1" x14ac:dyDescent="0.25">
      <c r="A51" s="1" t="s">
        <v>278</v>
      </c>
      <c r="B51" s="3" t="s">
        <v>232</v>
      </c>
      <c r="C51" s="4" t="s">
        <v>88</v>
      </c>
      <c r="D51" s="4">
        <v>40</v>
      </c>
      <c r="E51" s="4">
        <v>961</v>
      </c>
      <c r="F51" s="4">
        <v>40</v>
      </c>
      <c r="G51" s="4">
        <v>31</v>
      </c>
      <c r="H51" s="4">
        <v>961</v>
      </c>
      <c r="I51" s="4">
        <v>203</v>
      </c>
      <c r="J51" s="4">
        <v>370</v>
      </c>
      <c r="K51" s="4">
        <v>0.54900000000000004</v>
      </c>
      <c r="L51" s="4">
        <v>52</v>
      </c>
      <c r="M51" s="4">
        <v>146</v>
      </c>
      <c r="N51" s="4">
        <v>0.35599999999999998</v>
      </c>
      <c r="O51" s="4">
        <v>151</v>
      </c>
      <c r="P51" s="4">
        <v>224</v>
      </c>
      <c r="Q51" s="4">
        <v>0.67400000000000004</v>
      </c>
      <c r="R51" s="4">
        <v>64</v>
      </c>
      <c r="S51" s="4">
        <v>79</v>
      </c>
      <c r="T51" s="4">
        <v>0.81</v>
      </c>
      <c r="U51" s="4">
        <v>56</v>
      </c>
      <c r="V51" s="4">
        <v>169</v>
      </c>
      <c r="W51" s="4">
        <v>37</v>
      </c>
      <c r="X51" s="4">
        <v>17</v>
      </c>
      <c r="Y51" s="4">
        <v>25</v>
      </c>
      <c r="Z51" s="4">
        <v>30</v>
      </c>
      <c r="AA51" s="4">
        <v>102</v>
      </c>
      <c r="AB51" s="4">
        <v>522</v>
      </c>
      <c r="AC51" s="5">
        <f t="shared" si="0"/>
        <v>1.2333333333333334</v>
      </c>
    </row>
    <row r="52" spans="1:29" ht="15.75" customHeight="1" x14ac:dyDescent="0.25">
      <c r="A52" s="1" t="s">
        <v>200</v>
      </c>
      <c r="B52" s="3" t="s">
        <v>99</v>
      </c>
      <c r="C52" s="4" t="s">
        <v>8</v>
      </c>
      <c r="D52" s="4">
        <v>30</v>
      </c>
      <c r="E52" s="4">
        <v>950</v>
      </c>
      <c r="F52" s="4">
        <v>30</v>
      </c>
      <c r="G52" s="4">
        <v>24</v>
      </c>
      <c r="H52" s="4">
        <v>950</v>
      </c>
      <c r="I52" s="4">
        <v>156</v>
      </c>
      <c r="J52" s="4">
        <v>342</v>
      </c>
      <c r="K52" s="4">
        <v>0.45600000000000002</v>
      </c>
      <c r="L52" s="4">
        <v>62</v>
      </c>
      <c r="M52" s="4">
        <v>156</v>
      </c>
      <c r="N52" s="4">
        <v>0.39700000000000002</v>
      </c>
      <c r="O52" s="4">
        <v>94</v>
      </c>
      <c r="P52" s="4">
        <v>186</v>
      </c>
      <c r="Q52" s="4">
        <v>0.505</v>
      </c>
      <c r="R52" s="4">
        <v>19</v>
      </c>
      <c r="S52" s="4">
        <v>23</v>
      </c>
      <c r="T52" s="4">
        <v>0.82599999999999996</v>
      </c>
      <c r="U52" s="4">
        <v>16</v>
      </c>
      <c r="V52" s="4">
        <v>52</v>
      </c>
      <c r="W52" s="4">
        <v>55</v>
      </c>
      <c r="X52" s="4">
        <v>52</v>
      </c>
      <c r="Y52" s="4">
        <v>25</v>
      </c>
      <c r="Z52" s="4">
        <v>33</v>
      </c>
      <c r="AA52" s="4">
        <v>68</v>
      </c>
      <c r="AB52" s="4">
        <v>393</v>
      </c>
      <c r="AC52" s="5">
        <f t="shared" si="0"/>
        <v>1.6666666666666667</v>
      </c>
    </row>
    <row r="53" spans="1:29" ht="15.75" customHeight="1" x14ac:dyDescent="0.25">
      <c r="A53" s="1" t="s">
        <v>244</v>
      </c>
      <c r="B53" s="3" t="s">
        <v>140</v>
      </c>
      <c r="C53" s="4" t="s">
        <v>85</v>
      </c>
      <c r="D53" s="4">
        <v>38</v>
      </c>
      <c r="E53" s="4">
        <v>950</v>
      </c>
      <c r="F53" s="4">
        <v>38</v>
      </c>
      <c r="G53" s="4">
        <v>38</v>
      </c>
      <c r="H53" s="4">
        <v>950</v>
      </c>
      <c r="I53" s="4">
        <v>112</v>
      </c>
      <c r="J53" s="4">
        <v>257</v>
      </c>
      <c r="K53" s="4">
        <v>0.436</v>
      </c>
      <c r="L53" s="4">
        <v>54</v>
      </c>
      <c r="M53" s="4">
        <v>136</v>
      </c>
      <c r="N53" s="4">
        <v>0.39700000000000002</v>
      </c>
      <c r="O53" s="4">
        <v>58</v>
      </c>
      <c r="P53" s="4">
        <v>121</v>
      </c>
      <c r="Q53" s="4">
        <v>0.47899999999999998</v>
      </c>
      <c r="R53" s="4">
        <v>60</v>
      </c>
      <c r="S53" s="4">
        <v>72</v>
      </c>
      <c r="T53" s="4">
        <v>0.83299999999999996</v>
      </c>
      <c r="U53" s="4">
        <v>53</v>
      </c>
      <c r="V53" s="4">
        <v>100</v>
      </c>
      <c r="W53" s="4">
        <v>65</v>
      </c>
      <c r="X53" s="4">
        <v>16</v>
      </c>
      <c r="Y53" s="4">
        <v>6</v>
      </c>
      <c r="Z53" s="4">
        <v>64</v>
      </c>
      <c r="AA53" s="4">
        <v>98</v>
      </c>
      <c r="AB53" s="4">
        <v>338</v>
      </c>
      <c r="AC53" s="5">
        <f t="shared" si="0"/>
        <v>1.015625</v>
      </c>
    </row>
    <row r="54" spans="1:29" ht="15.75" customHeight="1" x14ac:dyDescent="0.25">
      <c r="A54" s="1" t="s">
        <v>120</v>
      </c>
      <c r="B54" s="4" t="s">
        <v>96</v>
      </c>
      <c r="C54" s="4" t="s">
        <v>85</v>
      </c>
      <c r="D54" s="4">
        <v>42</v>
      </c>
      <c r="E54" s="4">
        <v>948</v>
      </c>
      <c r="F54" s="4">
        <v>42</v>
      </c>
      <c r="G54" s="4">
        <v>28</v>
      </c>
      <c r="H54" s="4">
        <v>948</v>
      </c>
      <c r="I54" s="4">
        <v>98</v>
      </c>
      <c r="J54" s="4">
        <v>224</v>
      </c>
      <c r="K54" s="4">
        <v>0.438</v>
      </c>
      <c r="L54" s="4">
        <v>51</v>
      </c>
      <c r="M54" s="4">
        <v>134</v>
      </c>
      <c r="N54" s="4">
        <v>0.38100000000000001</v>
      </c>
      <c r="O54" s="4">
        <v>47</v>
      </c>
      <c r="P54" s="4">
        <v>90</v>
      </c>
      <c r="Q54" s="4">
        <v>0.52200000000000002</v>
      </c>
      <c r="R54" s="4">
        <v>14</v>
      </c>
      <c r="S54" s="4">
        <v>24</v>
      </c>
      <c r="T54" s="4">
        <v>0.58299999999999996</v>
      </c>
      <c r="U54" s="4">
        <v>37</v>
      </c>
      <c r="V54" s="4">
        <v>181</v>
      </c>
      <c r="W54" s="4">
        <v>73</v>
      </c>
      <c r="X54" s="4">
        <v>41</v>
      </c>
      <c r="Y54" s="4">
        <v>44</v>
      </c>
      <c r="Z54" s="4">
        <v>29</v>
      </c>
      <c r="AA54" s="4">
        <v>86</v>
      </c>
      <c r="AB54" s="4">
        <v>261</v>
      </c>
      <c r="AC54" s="5">
        <f t="shared" si="0"/>
        <v>2.5172413793103448</v>
      </c>
    </row>
    <row r="55" spans="1:29" ht="15.75" customHeight="1" x14ac:dyDescent="0.25">
      <c r="A55" s="1" t="s">
        <v>165</v>
      </c>
      <c r="B55" s="3" t="s">
        <v>161</v>
      </c>
      <c r="C55" s="4" t="s">
        <v>8</v>
      </c>
      <c r="D55" s="4">
        <v>32</v>
      </c>
      <c r="E55" s="4">
        <v>944</v>
      </c>
      <c r="F55" s="4">
        <v>32</v>
      </c>
      <c r="G55" s="4">
        <v>32</v>
      </c>
      <c r="H55" s="4">
        <v>944</v>
      </c>
      <c r="I55" s="4">
        <v>218</v>
      </c>
      <c r="J55" s="4">
        <v>494</v>
      </c>
      <c r="K55" s="4">
        <v>0.441</v>
      </c>
      <c r="L55" s="4">
        <v>105</v>
      </c>
      <c r="M55" s="4">
        <v>273</v>
      </c>
      <c r="N55" s="4">
        <v>0.38500000000000001</v>
      </c>
      <c r="O55" s="4">
        <v>113</v>
      </c>
      <c r="P55" s="4">
        <v>221</v>
      </c>
      <c r="Q55" s="4">
        <v>0.51100000000000001</v>
      </c>
      <c r="R55" s="4">
        <v>126</v>
      </c>
      <c r="S55" s="4">
        <v>143</v>
      </c>
      <c r="T55" s="4">
        <v>0.88100000000000001</v>
      </c>
      <c r="U55" s="4">
        <v>17</v>
      </c>
      <c r="V55" s="4">
        <v>105</v>
      </c>
      <c r="W55" s="4">
        <v>118</v>
      </c>
      <c r="X55" s="4">
        <v>29</v>
      </c>
      <c r="Y55" s="4">
        <v>12</v>
      </c>
      <c r="Z55" s="4">
        <v>99</v>
      </c>
      <c r="AA55" s="4">
        <v>84</v>
      </c>
      <c r="AB55" s="4">
        <v>667</v>
      </c>
      <c r="AC55" s="5">
        <f t="shared" si="0"/>
        <v>1.1919191919191918</v>
      </c>
    </row>
    <row r="56" spans="1:29" ht="15.75" customHeight="1" x14ac:dyDescent="0.25">
      <c r="A56" s="1" t="s">
        <v>174</v>
      </c>
      <c r="B56" s="3" t="s">
        <v>117</v>
      </c>
      <c r="C56" s="4" t="s">
        <v>85</v>
      </c>
      <c r="D56" s="4">
        <v>38</v>
      </c>
      <c r="E56" s="4">
        <v>925</v>
      </c>
      <c r="F56" s="4">
        <v>38</v>
      </c>
      <c r="G56" s="4">
        <v>38</v>
      </c>
      <c r="H56" s="4">
        <v>925</v>
      </c>
      <c r="I56" s="4">
        <v>183</v>
      </c>
      <c r="J56" s="4">
        <v>287</v>
      </c>
      <c r="K56" s="4">
        <v>0.63800000000000001</v>
      </c>
      <c r="L56" s="4">
        <v>1</v>
      </c>
      <c r="M56" s="4">
        <v>8</v>
      </c>
      <c r="N56" s="4">
        <v>0.125</v>
      </c>
      <c r="O56" s="4">
        <v>182</v>
      </c>
      <c r="P56" s="4">
        <v>279</v>
      </c>
      <c r="Q56" s="4">
        <v>0.65200000000000002</v>
      </c>
      <c r="R56" s="4">
        <v>77</v>
      </c>
      <c r="S56" s="4">
        <v>134</v>
      </c>
      <c r="T56" s="4">
        <v>0.57499999999999996</v>
      </c>
      <c r="U56" s="4">
        <v>84</v>
      </c>
      <c r="V56" s="4">
        <v>244</v>
      </c>
      <c r="W56" s="4">
        <v>34</v>
      </c>
      <c r="X56" s="4">
        <v>24</v>
      </c>
      <c r="Y56" s="4">
        <v>25</v>
      </c>
      <c r="Z56" s="4">
        <v>33</v>
      </c>
      <c r="AA56" s="4">
        <v>121</v>
      </c>
      <c r="AB56" s="4">
        <v>444</v>
      </c>
      <c r="AC56" s="5">
        <f t="shared" si="0"/>
        <v>1.0303030303030303</v>
      </c>
    </row>
    <row r="57" spans="1:29" ht="15.75" customHeight="1" x14ac:dyDescent="0.25">
      <c r="A57" s="1" t="s">
        <v>126</v>
      </c>
      <c r="B57" s="3" t="s">
        <v>107</v>
      </c>
      <c r="C57" s="4" t="s">
        <v>85</v>
      </c>
      <c r="D57" s="4">
        <v>41</v>
      </c>
      <c r="E57" s="4">
        <v>924</v>
      </c>
      <c r="F57" s="4">
        <v>41</v>
      </c>
      <c r="G57" s="4">
        <v>41</v>
      </c>
      <c r="H57" s="4">
        <v>924</v>
      </c>
      <c r="I57" s="4">
        <v>130</v>
      </c>
      <c r="J57" s="4">
        <v>357</v>
      </c>
      <c r="K57" s="4">
        <v>0.36399999999999999</v>
      </c>
      <c r="L57" s="4">
        <v>49</v>
      </c>
      <c r="M57" s="4">
        <v>151</v>
      </c>
      <c r="N57" s="4">
        <v>0.32500000000000001</v>
      </c>
      <c r="O57" s="4">
        <v>81</v>
      </c>
      <c r="P57" s="4">
        <v>206</v>
      </c>
      <c r="Q57" s="4">
        <v>0.39300000000000002</v>
      </c>
      <c r="R57" s="4">
        <v>89</v>
      </c>
      <c r="S57" s="4">
        <v>111</v>
      </c>
      <c r="T57" s="4">
        <v>0.80200000000000005</v>
      </c>
      <c r="U57" s="4">
        <v>15</v>
      </c>
      <c r="V57" s="4">
        <v>108</v>
      </c>
      <c r="W57" s="4">
        <v>58</v>
      </c>
      <c r="X57" s="4">
        <v>28</v>
      </c>
      <c r="Y57" s="4">
        <v>8</v>
      </c>
      <c r="Z57" s="4">
        <v>60</v>
      </c>
      <c r="AA57" s="4">
        <v>132</v>
      </c>
      <c r="AB57" s="4">
        <v>401</v>
      </c>
      <c r="AC57" s="5">
        <f t="shared" si="0"/>
        <v>0.96666666666666667</v>
      </c>
    </row>
    <row r="58" spans="1:29" ht="15.75" customHeight="1" x14ac:dyDescent="0.25">
      <c r="A58" s="1" t="s">
        <v>110</v>
      </c>
      <c r="B58" s="3" t="s">
        <v>91</v>
      </c>
      <c r="C58" s="4" t="s">
        <v>85</v>
      </c>
      <c r="D58" s="4">
        <v>37</v>
      </c>
      <c r="E58" s="4">
        <v>917</v>
      </c>
      <c r="F58" s="4">
        <v>37</v>
      </c>
      <c r="G58" s="4">
        <v>37</v>
      </c>
      <c r="H58" s="4">
        <v>917</v>
      </c>
      <c r="I58" s="4">
        <v>190</v>
      </c>
      <c r="J58" s="4">
        <v>467</v>
      </c>
      <c r="K58" s="4">
        <v>0.40699999999999997</v>
      </c>
      <c r="L58" s="4">
        <v>64</v>
      </c>
      <c r="M58" s="4">
        <v>185</v>
      </c>
      <c r="N58" s="4">
        <v>0.34599999999999997</v>
      </c>
      <c r="O58" s="4">
        <v>126</v>
      </c>
      <c r="P58" s="4">
        <v>282</v>
      </c>
      <c r="Q58" s="4">
        <v>0.44700000000000001</v>
      </c>
      <c r="R58" s="4">
        <v>85</v>
      </c>
      <c r="S58" s="4">
        <v>117</v>
      </c>
      <c r="T58" s="4">
        <v>0.72599999999999998</v>
      </c>
      <c r="U58" s="4">
        <v>24</v>
      </c>
      <c r="V58" s="4">
        <v>122</v>
      </c>
      <c r="W58" s="4">
        <v>81</v>
      </c>
      <c r="X58" s="4">
        <v>61</v>
      </c>
      <c r="Y58" s="4">
        <v>6</v>
      </c>
      <c r="Z58" s="4">
        <v>58</v>
      </c>
      <c r="AA58" s="4">
        <v>48</v>
      </c>
      <c r="AB58" s="4">
        <v>529</v>
      </c>
      <c r="AC58" s="5">
        <f t="shared" si="0"/>
        <v>1.396551724137931</v>
      </c>
    </row>
    <row r="59" spans="1:29" ht="15.75" customHeight="1" x14ac:dyDescent="0.25">
      <c r="A59" s="1" t="s">
        <v>176</v>
      </c>
      <c r="B59" s="3" t="s">
        <v>157</v>
      </c>
      <c r="C59" s="4" t="s">
        <v>8</v>
      </c>
      <c r="D59" s="4">
        <v>41</v>
      </c>
      <c r="E59" s="4">
        <v>911</v>
      </c>
      <c r="F59" s="4">
        <v>41</v>
      </c>
      <c r="G59" s="4">
        <v>3</v>
      </c>
      <c r="H59" s="4">
        <v>911</v>
      </c>
      <c r="I59" s="4">
        <v>100</v>
      </c>
      <c r="J59" s="4">
        <v>215</v>
      </c>
      <c r="K59" s="4">
        <v>0.46500000000000002</v>
      </c>
      <c r="L59" s="4">
        <v>64</v>
      </c>
      <c r="M59" s="4">
        <v>150</v>
      </c>
      <c r="N59" s="4">
        <v>0.42699999999999999</v>
      </c>
      <c r="O59" s="4">
        <v>36</v>
      </c>
      <c r="P59" s="4">
        <v>65</v>
      </c>
      <c r="Q59" s="4">
        <v>0.55400000000000005</v>
      </c>
      <c r="R59" s="4">
        <v>63</v>
      </c>
      <c r="S59" s="4">
        <v>72</v>
      </c>
      <c r="T59" s="4">
        <v>0.875</v>
      </c>
      <c r="U59" s="4">
        <v>10</v>
      </c>
      <c r="V59" s="4">
        <v>93</v>
      </c>
      <c r="W59" s="4">
        <v>50</v>
      </c>
      <c r="X59" s="4">
        <v>23</v>
      </c>
      <c r="Y59" s="4">
        <v>5</v>
      </c>
      <c r="Z59" s="4">
        <v>28</v>
      </c>
      <c r="AA59" s="4">
        <v>77</v>
      </c>
      <c r="AB59" s="4">
        <v>327</v>
      </c>
      <c r="AC59" s="5">
        <f t="shared" si="0"/>
        <v>1.7857142857142858</v>
      </c>
    </row>
    <row r="60" spans="1:29" ht="15.75" customHeight="1" x14ac:dyDescent="0.25">
      <c r="A60" s="1" t="s">
        <v>191</v>
      </c>
      <c r="B60" s="3" t="s">
        <v>161</v>
      </c>
      <c r="C60" s="4" t="s">
        <v>85</v>
      </c>
      <c r="D60" s="4">
        <v>34</v>
      </c>
      <c r="E60" s="4">
        <v>910</v>
      </c>
      <c r="F60" s="4">
        <v>34</v>
      </c>
      <c r="G60" s="4">
        <v>19</v>
      </c>
      <c r="H60" s="4">
        <v>910</v>
      </c>
      <c r="I60" s="4">
        <v>102</v>
      </c>
      <c r="J60" s="4">
        <v>285</v>
      </c>
      <c r="K60" s="4">
        <v>0.35799999999999998</v>
      </c>
      <c r="L60" s="4">
        <v>53</v>
      </c>
      <c r="M60" s="4">
        <v>155</v>
      </c>
      <c r="N60" s="4">
        <v>0.34200000000000003</v>
      </c>
      <c r="O60" s="4">
        <v>49</v>
      </c>
      <c r="P60" s="4">
        <v>130</v>
      </c>
      <c r="Q60" s="4">
        <v>0.377</v>
      </c>
      <c r="R60" s="4">
        <v>36</v>
      </c>
      <c r="S60" s="4">
        <v>41</v>
      </c>
      <c r="T60" s="4">
        <v>0.878</v>
      </c>
      <c r="U60" s="4">
        <v>32</v>
      </c>
      <c r="V60" s="4">
        <v>155</v>
      </c>
      <c r="W60" s="4">
        <v>89</v>
      </c>
      <c r="X60" s="4">
        <v>17</v>
      </c>
      <c r="Y60" s="4">
        <v>6</v>
      </c>
      <c r="Z60" s="4">
        <v>56</v>
      </c>
      <c r="AA60" s="4">
        <v>66</v>
      </c>
      <c r="AB60" s="4">
        <v>293</v>
      </c>
      <c r="AC60" s="5">
        <f t="shared" si="0"/>
        <v>1.5892857142857142</v>
      </c>
    </row>
    <row r="61" spans="1:29" ht="15.75" customHeight="1" x14ac:dyDescent="0.25">
      <c r="A61" s="1" t="s">
        <v>153</v>
      </c>
      <c r="B61" s="3" t="s">
        <v>91</v>
      </c>
      <c r="C61" s="4" t="s">
        <v>88</v>
      </c>
      <c r="D61" s="4">
        <v>41</v>
      </c>
      <c r="E61" s="4">
        <v>909</v>
      </c>
      <c r="F61" s="4">
        <v>41</v>
      </c>
      <c r="G61" s="4">
        <v>41</v>
      </c>
      <c r="H61" s="4">
        <v>909</v>
      </c>
      <c r="I61" s="4">
        <v>59</v>
      </c>
      <c r="J61" s="4">
        <v>138</v>
      </c>
      <c r="K61" s="4">
        <v>0.42799999999999999</v>
      </c>
      <c r="L61" s="4">
        <v>19</v>
      </c>
      <c r="M61" s="4">
        <v>67</v>
      </c>
      <c r="N61" s="4">
        <v>0.28399999999999997</v>
      </c>
      <c r="O61" s="4">
        <v>40</v>
      </c>
      <c r="P61" s="4">
        <v>71</v>
      </c>
      <c r="Q61" s="4">
        <v>0.56299999999999994</v>
      </c>
      <c r="R61" s="4">
        <v>8</v>
      </c>
      <c r="S61" s="4">
        <v>17</v>
      </c>
      <c r="T61" s="4">
        <v>0.47099999999999997</v>
      </c>
      <c r="U61" s="4">
        <v>49</v>
      </c>
      <c r="V61" s="4">
        <v>229</v>
      </c>
      <c r="W61" s="4">
        <v>51</v>
      </c>
      <c r="X61" s="4">
        <v>24</v>
      </c>
      <c r="Y61" s="4">
        <v>72</v>
      </c>
      <c r="Z61" s="4">
        <v>20</v>
      </c>
      <c r="AA61" s="4">
        <v>93</v>
      </c>
      <c r="AB61" s="4">
        <v>145</v>
      </c>
      <c r="AC61" s="5">
        <f t="shared" si="0"/>
        <v>2.5499999999999998</v>
      </c>
    </row>
    <row r="62" spans="1:29" ht="15.75" customHeight="1" x14ac:dyDescent="0.25">
      <c r="A62" s="1" t="s">
        <v>250</v>
      </c>
      <c r="B62" s="3" t="s">
        <v>84</v>
      </c>
      <c r="C62" s="4" t="s">
        <v>8</v>
      </c>
      <c r="D62" s="4">
        <v>30</v>
      </c>
      <c r="E62" s="4">
        <v>901</v>
      </c>
      <c r="F62" s="4">
        <v>30</v>
      </c>
      <c r="G62" s="4">
        <v>29</v>
      </c>
      <c r="H62" s="4">
        <v>901</v>
      </c>
      <c r="I62" s="4">
        <v>147</v>
      </c>
      <c r="J62" s="4">
        <v>377</v>
      </c>
      <c r="K62" s="4">
        <v>0.39</v>
      </c>
      <c r="L62" s="4">
        <v>58</v>
      </c>
      <c r="M62" s="4">
        <v>196</v>
      </c>
      <c r="N62" s="4">
        <v>0.29599999999999999</v>
      </c>
      <c r="O62" s="4">
        <v>89</v>
      </c>
      <c r="P62" s="4">
        <v>181</v>
      </c>
      <c r="Q62" s="4">
        <v>0.49199999999999999</v>
      </c>
      <c r="R62" s="4">
        <v>93</v>
      </c>
      <c r="S62" s="4">
        <v>104</v>
      </c>
      <c r="T62" s="4">
        <v>0.89400000000000002</v>
      </c>
      <c r="U62" s="4">
        <v>21</v>
      </c>
      <c r="V62" s="4">
        <v>114</v>
      </c>
      <c r="W62" s="4">
        <v>145</v>
      </c>
      <c r="X62" s="4">
        <v>23</v>
      </c>
      <c r="Y62" s="4">
        <v>9</v>
      </c>
      <c r="Z62" s="4">
        <v>83</v>
      </c>
      <c r="AA62" s="4">
        <v>51</v>
      </c>
      <c r="AB62" s="4">
        <v>445</v>
      </c>
      <c r="AC62" s="5">
        <f t="shared" si="0"/>
        <v>1.7469879518072289</v>
      </c>
    </row>
    <row r="63" spans="1:29" ht="15.75" customHeight="1" x14ac:dyDescent="0.25">
      <c r="A63" s="1" t="s">
        <v>122</v>
      </c>
      <c r="B63" s="3" t="s">
        <v>114</v>
      </c>
      <c r="C63" s="4" t="s">
        <v>88</v>
      </c>
      <c r="D63" s="4">
        <v>34</v>
      </c>
      <c r="E63" s="4">
        <v>891</v>
      </c>
      <c r="F63" s="4">
        <v>34</v>
      </c>
      <c r="G63" s="4">
        <v>33</v>
      </c>
      <c r="H63" s="4">
        <v>891</v>
      </c>
      <c r="I63" s="4">
        <v>226</v>
      </c>
      <c r="J63" s="4">
        <v>468</v>
      </c>
      <c r="K63" s="4">
        <v>0.48299999999999998</v>
      </c>
      <c r="L63" s="4">
        <v>21</v>
      </c>
      <c r="M63" s="4">
        <v>76</v>
      </c>
      <c r="N63" s="4">
        <v>0.27600000000000002</v>
      </c>
      <c r="O63" s="4">
        <v>205</v>
      </c>
      <c r="P63" s="4">
        <v>392</v>
      </c>
      <c r="Q63" s="4">
        <v>0.52300000000000002</v>
      </c>
      <c r="R63" s="4">
        <v>98</v>
      </c>
      <c r="S63" s="4">
        <v>129</v>
      </c>
      <c r="T63" s="4">
        <v>0.76</v>
      </c>
      <c r="U63" s="4">
        <v>85</v>
      </c>
      <c r="V63" s="4">
        <v>299</v>
      </c>
      <c r="W63" s="4">
        <v>58</v>
      </c>
      <c r="X63" s="4">
        <v>35</v>
      </c>
      <c r="Y63" s="4">
        <v>47</v>
      </c>
      <c r="Z63" s="4">
        <v>91</v>
      </c>
      <c r="AA63" s="4">
        <v>96</v>
      </c>
      <c r="AB63" s="4">
        <v>571</v>
      </c>
      <c r="AC63" s="5">
        <f t="shared" si="0"/>
        <v>0.63736263736263732</v>
      </c>
    </row>
    <row r="64" spans="1:29" ht="15.75" customHeight="1" x14ac:dyDescent="0.25">
      <c r="A64" s="1" t="s">
        <v>163</v>
      </c>
      <c r="B64" s="3" t="s">
        <v>161</v>
      </c>
      <c r="C64" s="4" t="s">
        <v>8</v>
      </c>
      <c r="D64" s="4">
        <v>31</v>
      </c>
      <c r="E64" s="4">
        <v>886</v>
      </c>
      <c r="F64" s="4">
        <v>31</v>
      </c>
      <c r="G64" s="4">
        <v>29</v>
      </c>
      <c r="H64" s="4">
        <v>886</v>
      </c>
      <c r="I64" s="4">
        <v>73</v>
      </c>
      <c r="J64" s="4">
        <v>135</v>
      </c>
      <c r="K64" s="4">
        <v>0.54100000000000004</v>
      </c>
      <c r="L64" s="4">
        <v>37</v>
      </c>
      <c r="M64" s="4">
        <v>88</v>
      </c>
      <c r="N64" s="4">
        <v>0.42</v>
      </c>
      <c r="O64" s="4">
        <v>36</v>
      </c>
      <c r="P64" s="4">
        <v>47</v>
      </c>
      <c r="Q64" s="4">
        <v>0.76600000000000001</v>
      </c>
      <c r="R64" s="4">
        <v>10</v>
      </c>
      <c r="S64" s="4">
        <v>13</v>
      </c>
      <c r="T64" s="4">
        <v>0.76900000000000002</v>
      </c>
      <c r="U64" s="4">
        <v>9</v>
      </c>
      <c r="V64" s="4">
        <v>99</v>
      </c>
      <c r="W64" s="4">
        <v>170</v>
      </c>
      <c r="X64" s="4">
        <v>42</v>
      </c>
      <c r="Y64" s="4">
        <v>12</v>
      </c>
      <c r="Z64" s="4">
        <v>53</v>
      </c>
      <c r="AA64" s="4">
        <v>60</v>
      </c>
      <c r="AB64" s="4">
        <v>193</v>
      </c>
      <c r="AC64" s="5">
        <f t="shared" si="0"/>
        <v>3.2075471698113209</v>
      </c>
    </row>
    <row r="65" spans="1:29" ht="15.75" customHeight="1" x14ac:dyDescent="0.25">
      <c r="A65" s="1" t="s">
        <v>106</v>
      </c>
      <c r="B65" s="3" t="s">
        <v>107</v>
      </c>
      <c r="C65" s="4" t="s">
        <v>94</v>
      </c>
      <c r="D65" s="4">
        <v>37</v>
      </c>
      <c r="E65" s="4">
        <v>881</v>
      </c>
      <c r="F65" s="4">
        <v>37</v>
      </c>
      <c r="G65" s="4">
        <v>14</v>
      </c>
      <c r="H65" s="4">
        <v>881</v>
      </c>
      <c r="I65" s="4">
        <v>112</v>
      </c>
      <c r="J65" s="4">
        <v>279</v>
      </c>
      <c r="K65" s="4">
        <v>0.40100000000000002</v>
      </c>
      <c r="L65" s="4">
        <v>44</v>
      </c>
      <c r="M65" s="4">
        <v>136</v>
      </c>
      <c r="N65" s="4">
        <v>0.32400000000000001</v>
      </c>
      <c r="O65" s="4">
        <v>68</v>
      </c>
      <c r="P65" s="4">
        <v>143</v>
      </c>
      <c r="Q65" s="4">
        <v>0.47599999999999998</v>
      </c>
      <c r="R65" s="4">
        <v>57</v>
      </c>
      <c r="S65" s="4">
        <v>80</v>
      </c>
      <c r="T65" s="4">
        <v>0.71299999999999997</v>
      </c>
      <c r="U65" s="4">
        <v>38</v>
      </c>
      <c r="V65" s="4">
        <v>119</v>
      </c>
      <c r="W65" s="4">
        <v>53</v>
      </c>
      <c r="X65" s="4">
        <v>46</v>
      </c>
      <c r="Y65" s="4">
        <v>30</v>
      </c>
      <c r="Z65" s="4">
        <v>55</v>
      </c>
      <c r="AA65" s="4">
        <v>55</v>
      </c>
      <c r="AB65" s="4">
        <v>325</v>
      </c>
      <c r="AC65" s="5">
        <f t="shared" si="0"/>
        <v>0.96363636363636362</v>
      </c>
    </row>
    <row r="66" spans="1:29" ht="15.75" customHeight="1" x14ac:dyDescent="0.25">
      <c r="A66" s="1" t="s">
        <v>152</v>
      </c>
      <c r="B66" s="3" t="s">
        <v>131</v>
      </c>
      <c r="C66" s="4" t="s">
        <v>8</v>
      </c>
      <c r="D66" s="4">
        <v>42</v>
      </c>
      <c r="E66" s="4">
        <v>871</v>
      </c>
      <c r="F66" s="4">
        <v>42</v>
      </c>
      <c r="G66" s="4">
        <v>18</v>
      </c>
      <c r="H66" s="4">
        <v>871</v>
      </c>
      <c r="I66" s="4">
        <v>95</v>
      </c>
      <c r="J66" s="4">
        <v>224</v>
      </c>
      <c r="K66" s="4">
        <v>0.42399999999999999</v>
      </c>
      <c r="L66" s="4">
        <v>35</v>
      </c>
      <c r="M66" s="4">
        <v>113</v>
      </c>
      <c r="N66" s="4">
        <v>0.31</v>
      </c>
      <c r="O66" s="4">
        <v>60</v>
      </c>
      <c r="P66" s="4">
        <v>111</v>
      </c>
      <c r="Q66" s="4">
        <v>0.54100000000000004</v>
      </c>
      <c r="R66" s="4">
        <v>41</v>
      </c>
      <c r="S66" s="4">
        <v>48</v>
      </c>
      <c r="T66" s="4">
        <v>0.85399999999999998</v>
      </c>
      <c r="U66" s="4">
        <v>16</v>
      </c>
      <c r="V66" s="4">
        <v>57</v>
      </c>
      <c r="W66" s="4">
        <v>71</v>
      </c>
      <c r="X66" s="4">
        <v>35</v>
      </c>
      <c r="Y66" s="4">
        <v>11</v>
      </c>
      <c r="Z66" s="4">
        <v>40</v>
      </c>
      <c r="AA66" s="4">
        <v>102</v>
      </c>
      <c r="AB66" s="4">
        <v>266</v>
      </c>
      <c r="AC66" s="5">
        <f t="shared" si="0"/>
        <v>1.7749999999999999</v>
      </c>
    </row>
    <row r="67" spans="1:29" ht="15.75" customHeight="1" x14ac:dyDescent="0.25">
      <c r="A67" s="1" t="s">
        <v>129</v>
      </c>
      <c r="B67" s="3" t="s">
        <v>107</v>
      </c>
      <c r="C67" s="4" t="s">
        <v>8</v>
      </c>
      <c r="D67" s="4">
        <v>38</v>
      </c>
      <c r="E67" s="4">
        <v>856</v>
      </c>
      <c r="F67" s="4">
        <v>38</v>
      </c>
      <c r="G67" s="4">
        <v>18</v>
      </c>
      <c r="H67" s="4">
        <v>856</v>
      </c>
      <c r="I67" s="4">
        <v>103</v>
      </c>
      <c r="J67" s="4">
        <v>300</v>
      </c>
      <c r="K67" s="4">
        <v>0.34300000000000003</v>
      </c>
      <c r="L67" s="4">
        <v>13</v>
      </c>
      <c r="M67" s="4">
        <v>76</v>
      </c>
      <c r="N67" s="4">
        <v>0.17100000000000001</v>
      </c>
      <c r="O67" s="4">
        <v>90</v>
      </c>
      <c r="P67" s="4">
        <v>224</v>
      </c>
      <c r="Q67" s="4">
        <v>0.40200000000000002</v>
      </c>
      <c r="R67" s="4">
        <v>45</v>
      </c>
      <c r="S67" s="4">
        <v>75</v>
      </c>
      <c r="T67" s="4">
        <v>0.6</v>
      </c>
      <c r="U67" s="4">
        <v>17</v>
      </c>
      <c r="V67" s="4">
        <v>96</v>
      </c>
      <c r="W67" s="4">
        <v>116</v>
      </c>
      <c r="X67" s="4">
        <v>41</v>
      </c>
      <c r="Y67" s="4">
        <v>25</v>
      </c>
      <c r="Z67" s="4">
        <v>51</v>
      </c>
      <c r="AA67" s="4">
        <v>67</v>
      </c>
      <c r="AB67" s="4">
        <v>264</v>
      </c>
      <c r="AC67" s="5">
        <f t="shared" si="0"/>
        <v>2.2745098039215685</v>
      </c>
    </row>
    <row r="68" spans="1:29" ht="15.75" customHeight="1" x14ac:dyDescent="0.25">
      <c r="A68" s="1" t="s">
        <v>143</v>
      </c>
      <c r="B68" s="3" t="s">
        <v>91</v>
      </c>
      <c r="C68" s="4" t="s">
        <v>85</v>
      </c>
      <c r="D68" s="4">
        <v>38</v>
      </c>
      <c r="E68" s="4">
        <v>849</v>
      </c>
      <c r="F68" s="4">
        <v>38</v>
      </c>
      <c r="G68" s="4">
        <v>0</v>
      </c>
      <c r="H68" s="4">
        <v>849</v>
      </c>
      <c r="I68" s="4">
        <v>159</v>
      </c>
      <c r="J68" s="4">
        <v>374</v>
      </c>
      <c r="K68" s="4">
        <v>0.42499999999999999</v>
      </c>
      <c r="L68" s="4">
        <v>92</v>
      </c>
      <c r="M68" s="4">
        <v>232</v>
      </c>
      <c r="N68" s="4">
        <v>0.39700000000000002</v>
      </c>
      <c r="O68" s="4">
        <v>67</v>
      </c>
      <c r="P68" s="4">
        <v>142</v>
      </c>
      <c r="Q68" s="4">
        <v>0.47199999999999998</v>
      </c>
      <c r="R68" s="4">
        <v>82</v>
      </c>
      <c r="S68" s="4">
        <v>101</v>
      </c>
      <c r="T68" s="4">
        <v>0.81200000000000006</v>
      </c>
      <c r="U68" s="4">
        <v>40</v>
      </c>
      <c r="V68" s="4">
        <v>148</v>
      </c>
      <c r="W68" s="4">
        <v>46</v>
      </c>
      <c r="X68" s="4">
        <v>23</v>
      </c>
      <c r="Y68" s="4">
        <v>4</v>
      </c>
      <c r="Z68" s="4">
        <v>30</v>
      </c>
      <c r="AA68" s="4">
        <v>81</v>
      </c>
      <c r="AB68" s="4">
        <v>492</v>
      </c>
      <c r="AC68" s="5">
        <f t="shared" ref="AC68:AC131" si="1">IF(Z68=0,"",W68/Z68)</f>
        <v>1.5333333333333334</v>
      </c>
    </row>
    <row r="69" spans="1:29" ht="15.75" customHeight="1" x14ac:dyDescent="0.25">
      <c r="A69" s="1" t="s">
        <v>124</v>
      </c>
      <c r="B69" s="3" t="s">
        <v>91</v>
      </c>
      <c r="C69" s="4" t="s">
        <v>94</v>
      </c>
      <c r="D69" s="4">
        <v>42</v>
      </c>
      <c r="E69" s="4">
        <v>841</v>
      </c>
      <c r="F69" s="4">
        <v>42</v>
      </c>
      <c r="G69" s="4">
        <v>11</v>
      </c>
      <c r="H69" s="4">
        <v>841</v>
      </c>
      <c r="I69" s="4">
        <v>101</v>
      </c>
      <c r="J69" s="4">
        <v>247</v>
      </c>
      <c r="K69" s="4">
        <v>0.40899999999999997</v>
      </c>
      <c r="L69" s="4">
        <v>27</v>
      </c>
      <c r="M69" s="4">
        <v>96</v>
      </c>
      <c r="N69" s="4">
        <v>0.28100000000000003</v>
      </c>
      <c r="O69" s="4">
        <v>74</v>
      </c>
      <c r="P69" s="4">
        <v>151</v>
      </c>
      <c r="Q69" s="4">
        <v>0.49</v>
      </c>
      <c r="R69" s="4">
        <v>40</v>
      </c>
      <c r="S69" s="4">
        <v>52</v>
      </c>
      <c r="T69" s="4">
        <v>0.76900000000000002</v>
      </c>
      <c r="U69" s="4">
        <v>66</v>
      </c>
      <c r="V69" s="4">
        <v>195</v>
      </c>
      <c r="W69" s="4">
        <v>60</v>
      </c>
      <c r="X69" s="4">
        <v>35</v>
      </c>
      <c r="Y69" s="4">
        <v>10</v>
      </c>
      <c r="Z69" s="4">
        <v>43</v>
      </c>
      <c r="AA69" s="4">
        <v>99</v>
      </c>
      <c r="AB69" s="4">
        <v>269</v>
      </c>
      <c r="AC69" s="5">
        <f t="shared" si="1"/>
        <v>1.3953488372093024</v>
      </c>
    </row>
    <row r="70" spans="1:29" ht="15.75" customHeight="1" x14ac:dyDescent="0.25">
      <c r="A70" s="1" t="s">
        <v>86</v>
      </c>
      <c r="B70" s="3" t="s">
        <v>84</v>
      </c>
      <c r="C70" s="4" t="s">
        <v>8</v>
      </c>
      <c r="D70" s="4">
        <v>40</v>
      </c>
      <c r="E70" s="4">
        <v>809</v>
      </c>
      <c r="F70" s="4">
        <v>40</v>
      </c>
      <c r="G70" s="4">
        <v>18</v>
      </c>
      <c r="H70" s="4">
        <v>809</v>
      </c>
      <c r="I70" s="4">
        <v>115</v>
      </c>
      <c r="J70" s="4">
        <v>279</v>
      </c>
      <c r="K70" s="4">
        <v>0.41199999999999998</v>
      </c>
      <c r="L70" s="4">
        <v>86</v>
      </c>
      <c r="M70" s="4">
        <v>224</v>
      </c>
      <c r="N70" s="4">
        <v>0.38400000000000001</v>
      </c>
      <c r="O70" s="4">
        <v>29</v>
      </c>
      <c r="P70" s="4">
        <v>55</v>
      </c>
      <c r="Q70" s="4">
        <v>0.52700000000000002</v>
      </c>
      <c r="R70" s="4">
        <v>22</v>
      </c>
      <c r="S70" s="4">
        <v>26</v>
      </c>
      <c r="T70" s="4">
        <v>0.84599999999999997</v>
      </c>
      <c r="U70" s="4">
        <v>15</v>
      </c>
      <c r="V70" s="4">
        <v>80</v>
      </c>
      <c r="W70" s="4">
        <v>95</v>
      </c>
      <c r="X70" s="4">
        <v>31</v>
      </c>
      <c r="Y70" s="4">
        <v>5</v>
      </c>
      <c r="Z70" s="4">
        <v>64</v>
      </c>
      <c r="AA70" s="4">
        <v>62</v>
      </c>
      <c r="AB70" s="4">
        <v>338</v>
      </c>
      <c r="AC70" s="5">
        <f t="shared" si="1"/>
        <v>1.484375</v>
      </c>
    </row>
    <row r="71" spans="1:29" ht="15.75" customHeight="1" x14ac:dyDescent="0.25">
      <c r="A71" s="1" t="s">
        <v>256</v>
      </c>
      <c r="B71" s="3" t="s">
        <v>107</v>
      </c>
      <c r="C71" s="4" t="s">
        <v>8</v>
      </c>
      <c r="D71" s="4">
        <v>28</v>
      </c>
      <c r="E71" s="4">
        <v>794</v>
      </c>
      <c r="F71" s="4">
        <v>28</v>
      </c>
      <c r="G71" s="4">
        <v>28</v>
      </c>
      <c r="H71" s="4">
        <v>794</v>
      </c>
      <c r="I71" s="4">
        <v>125</v>
      </c>
      <c r="J71" s="4">
        <v>291</v>
      </c>
      <c r="K71" s="4">
        <v>0.43</v>
      </c>
      <c r="L71" s="4">
        <v>32</v>
      </c>
      <c r="M71" s="4">
        <v>96</v>
      </c>
      <c r="N71" s="4">
        <v>0.33300000000000002</v>
      </c>
      <c r="O71" s="4">
        <v>93</v>
      </c>
      <c r="P71" s="4">
        <v>195</v>
      </c>
      <c r="Q71" s="4">
        <v>0.47699999999999998</v>
      </c>
      <c r="R71" s="4">
        <v>47</v>
      </c>
      <c r="S71" s="4">
        <v>65</v>
      </c>
      <c r="T71" s="4">
        <v>0.72299999999999998</v>
      </c>
      <c r="U71" s="4">
        <v>15</v>
      </c>
      <c r="V71" s="4">
        <v>52</v>
      </c>
      <c r="W71" s="4">
        <v>129</v>
      </c>
      <c r="X71" s="4">
        <v>47</v>
      </c>
      <c r="Y71" s="4">
        <v>9</v>
      </c>
      <c r="Z71" s="4">
        <v>62</v>
      </c>
      <c r="AA71" s="4">
        <v>79</v>
      </c>
      <c r="AB71" s="4">
        <v>329</v>
      </c>
      <c r="AC71" s="5">
        <f t="shared" si="1"/>
        <v>2.0806451612903225</v>
      </c>
    </row>
    <row r="72" spans="1:29" ht="15.75" customHeight="1" x14ac:dyDescent="0.25">
      <c r="A72" s="1" t="s">
        <v>211</v>
      </c>
      <c r="B72" s="3" t="s">
        <v>157</v>
      </c>
      <c r="C72" s="4" t="s">
        <v>8</v>
      </c>
      <c r="D72" s="4">
        <v>42</v>
      </c>
      <c r="E72" s="4">
        <v>792</v>
      </c>
      <c r="F72" s="4">
        <v>42</v>
      </c>
      <c r="G72" s="4">
        <v>39</v>
      </c>
      <c r="H72" s="4">
        <v>792</v>
      </c>
      <c r="I72" s="4">
        <v>80</v>
      </c>
      <c r="J72" s="4">
        <v>185</v>
      </c>
      <c r="K72" s="4">
        <v>0.432</v>
      </c>
      <c r="L72" s="4">
        <v>33</v>
      </c>
      <c r="M72" s="4">
        <v>94</v>
      </c>
      <c r="N72" s="4">
        <v>0.35099999999999998</v>
      </c>
      <c r="O72" s="4">
        <v>47</v>
      </c>
      <c r="P72" s="4">
        <v>91</v>
      </c>
      <c r="Q72" s="4">
        <v>0.51600000000000001</v>
      </c>
      <c r="R72" s="4">
        <v>29</v>
      </c>
      <c r="S72" s="4">
        <v>35</v>
      </c>
      <c r="T72" s="4">
        <v>0.82899999999999996</v>
      </c>
      <c r="U72" s="4">
        <v>37</v>
      </c>
      <c r="V72" s="4">
        <v>128</v>
      </c>
      <c r="W72" s="4">
        <v>29</v>
      </c>
      <c r="X72" s="4">
        <v>23</v>
      </c>
      <c r="Y72" s="4">
        <v>7</v>
      </c>
      <c r="Z72" s="4">
        <v>30</v>
      </c>
      <c r="AA72" s="4">
        <v>109</v>
      </c>
      <c r="AB72" s="4">
        <v>222</v>
      </c>
      <c r="AC72" s="5">
        <f t="shared" si="1"/>
        <v>0.96666666666666667</v>
      </c>
    </row>
    <row r="73" spans="1:29" ht="15.75" customHeight="1" x14ac:dyDescent="0.25">
      <c r="A73" s="1" t="s">
        <v>118</v>
      </c>
      <c r="B73" s="3" t="s">
        <v>93</v>
      </c>
      <c r="C73" s="4" t="s">
        <v>119</v>
      </c>
      <c r="D73" s="4">
        <v>35</v>
      </c>
      <c r="E73" s="4">
        <v>788</v>
      </c>
      <c r="F73" s="4">
        <v>35</v>
      </c>
      <c r="G73" s="4">
        <v>26</v>
      </c>
      <c r="H73" s="4">
        <v>788</v>
      </c>
      <c r="I73" s="4">
        <v>129</v>
      </c>
      <c r="J73" s="4">
        <v>213</v>
      </c>
      <c r="K73" s="4">
        <v>0.60599999999999998</v>
      </c>
      <c r="L73" s="4">
        <v>2</v>
      </c>
      <c r="M73" s="4">
        <v>9</v>
      </c>
      <c r="N73" s="4">
        <v>0.222</v>
      </c>
      <c r="O73" s="4">
        <v>127</v>
      </c>
      <c r="P73" s="4">
        <v>204</v>
      </c>
      <c r="Q73" s="4">
        <v>0.623</v>
      </c>
      <c r="R73" s="4">
        <v>48</v>
      </c>
      <c r="S73" s="4">
        <v>59</v>
      </c>
      <c r="T73" s="4">
        <v>0.81399999999999995</v>
      </c>
      <c r="U73" s="4">
        <v>78</v>
      </c>
      <c r="V73" s="4">
        <v>234</v>
      </c>
      <c r="W73" s="4">
        <v>40</v>
      </c>
      <c r="X73" s="4">
        <v>29</v>
      </c>
      <c r="Y73" s="4">
        <v>44</v>
      </c>
      <c r="Z73" s="4">
        <v>31</v>
      </c>
      <c r="AA73" s="4">
        <v>87</v>
      </c>
      <c r="AB73" s="4">
        <v>308</v>
      </c>
      <c r="AC73" s="5">
        <f t="shared" si="1"/>
        <v>1.2903225806451613</v>
      </c>
    </row>
    <row r="74" spans="1:29" ht="15.75" customHeight="1" x14ac:dyDescent="0.25">
      <c r="A74" s="1" t="s">
        <v>212</v>
      </c>
      <c r="B74" s="3" t="s">
        <v>157</v>
      </c>
      <c r="C74" s="4" t="s">
        <v>119</v>
      </c>
      <c r="D74" s="4">
        <v>41</v>
      </c>
      <c r="E74" s="4">
        <v>788</v>
      </c>
      <c r="F74" s="4">
        <v>41</v>
      </c>
      <c r="G74" s="4">
        <v>12</v>
      </c>
      <c r="H74" s="4">
        <v>788</v>
      </c>
      <c r="I74" s="4">
        <v>97</v>
      </c>
      <c r="J74" s="4">
        <v>150</v>
      </c>
      <c r="K74" s="4">
        <v>0.64700000000000002</v>
      </c>
      <c r="L74" s="4">
        <v>0</v>
      </c>
      <c r="M74" s="4">
        <v>0</v>
      </c>
      <c r="N74" s="4">
        <v>0</v>
      </c>
      <c r="O74" s="4">
        <v>97</v>
      </c>
      <c r="P74" s="4">
        <v>150</v>
      </c>
      <c r="Q74" s="4">
        <v>0.64700000000000002</v>
      </c>
      <c r="R74" s="4">
        <v>39</v>
      </c>
      <c r="S74" s="4">
        <v>58</v>
      </c>
      <c r="T74" s="4">
        <v>0.67200000000000004</v>
      </c>
      <c r="U74" s="4">
        <v>64</v>
      </c>
      <c r="V74" s="4">
        <v>201</v>
      </c>
      <c r="W74" s="4">
        <v>22</v>
      </c>
      <c r="X74" s="4">
        <v>25</v>
      </c>
      <c r="Y74" s="4">
        <v>33</v>
      </c>
      <c r="Z74" s="4">
        <v>31</v>
      </c>
      <c r="AA74" s="4">
        <v>84</v>
      </c>
      <c r="AB74" s="4">
        <v>233</v>
      </c>
      <c r="AC74" s="5">
        <f t="shared" si="1"/>
        <v>0.70967741935483875</v>
      </c>
    </row>
    <row r="75" spans="1:29" ht="15.75" customHeight="1" x14ac:dyDescent="0.25">
      <c r="A75" s="1" t="s">
        <v>251</v>
      </c>
      <c r="B75" s="4" t="s">
        <v>131</v>
      </c>
      <c r="C75" s="4" t="s">
        <v>119</v>
      </c>
      <c r="D75" s="4">
        <v>32</v>
      </c>
      <c r="E75" s="4">
        <v>784</v>
      </c>
      <c r="F75" s="4">
        <v>32</v>
      </c>
      <c r="G75" s="4">
        <v>31</v>
      </c>
      <c r="H75" s="4">
        <v>784</v>
      </c>
      <c r="I75" s="4">
        <v>129</v>
      </c>
      <c r="J75" s="4">
        <v>303</v>
      </c>
      <c r="K75" s="4">
        <v>0.42599999999999999</v>
      </c>
      <c r="L75" s="4">
        <v>28</v>
      </c>
      <c r="M75" s="4">
        <v>110</v>
      </c>
      <c r="N75" s="4">
        <v>0.255</v>
      </c>
      <c r="O75" s="4">
        <v>101</v>
      </c>
      <c r="P75" s="4">
        <v>193</v>
      </c>
      <c r="Q75" s="4">
        <v>0.52300000000000002</v>
      </c>
      <c r="R75" s="4">
        <v>53</v>
      </c>
      <c r="S75" s="4">
        <v>68</v>
      </c>
      <c r="T75" s="4">
        <v>0.77900000000000003</v>
      </c>
      <c r="U75" s="4">
        <v>42</v>
      </c>
      <c r="V75" s="4">
        <v>205</v>
      </c>
      <c r="W75" s="4">
        <v>67</v>
      </c>
      <c r="X75" s="4">
        <v>27</v>
      </c>
      <c r="Y75" s="4">
        <v>24</v>
      </c>
      <c r="Z75" s="4">
        <v>52</v>
      </c>
      <c r="AA75" s="4">
        <v>95</v>
      </c>
      <c r="AB75" s="4">
        <v>339</v>
      </c>
      <c r="AC75" s="5">
        <f t="shared" si="1"/>
        <v>1.2884615384615385</v>
      </c>
    </row>
    <row r="76" spans="1:29" ht="15.75" customHeight="1" x14ac:dyDescent="0.25">
      <c r="A76" s="1" t="s">
        <v>230</v>
      </c>
      <c r="B76" s="3" t="s">
        <v>140</v>
      </c>
      <c r="C76" s="4" t="s">
        <v>8</v>
      </c>
      <c r="D76" s="4">
        <v>40</v>
      </c>
      <c r="E76" s="4">
        <v>777</v>
      </c>
      <c r="F76" s="4">
        <v>40</v>
      </c>
      <c r="G76" s="4">
        <v>6</v>
      </c>
      <c r="H76" s="4">
        <v>777</v>
      </c>
      <c r="I76" s="4">
        <v>86</v>
      </c>
      <c r="J76" s="4">
        <v>218</v>
      </c>
      <c r="K76" s="4">
        <v>0.39400000000000002</v>
      </c>
      <c r="L76" s="4">
        <v>22</v>
      </c>
      <c r="M76" s="4">
        <v>77</v>
      </c>
      <c r="N76" s="4">
        <v>0.28599999999999998</v>
      </c>
      <c r="O76" s="4">
        <v>64</v>
      </c>
      <c r="P76" s="4">
        <v>141</v>
      </c>
      <c r="Q76" s="4">
        <v>0.45400000000000001</v>
      </c>
      <c r="R76" s="4">
        <v>60</v>
      </c>
      <c r="S76" s="4">
        <v>98</v>
      </c>
      <c r="T76" s="4">
        <v>0.61199999999999999</v>
      </c>
      <c r="U76" s="4">
        <v>20</v>
      </c>
      <c r="V76" s="4">
        <v>116</v>
      </c>
      <c r="W76" s="4">
        <v>76</v>
      </c>
      <c r="X76" s="4">
        <v>21</v>
      </c>
      <c r="Y76" s="4">
        <v>6</v>
      </c>
      <c r="Z76" s="4">
        <v>42</v>
      </c>
      <c r="AA76" s="4">
        <v>77</v>
      </c>
      <c r="AB76" s="4">
        <v>254</v>
      </c>
      <c r="AC76" s="5">
        <f t="shared" si="1"/>
        <v>1.8095238095238095</v>
      </c>
    </row>
    <row r="77" spans="1:29" ht="15.75" customHeight="1" x14ac:dyDescent="0.25">
      <c r="A77" s="1" t="s">
        <v>142</v>
      </c>
      <c r="B77" s="3" t="s">
        <v>232</v>
      </c>
      <c r="C77" s="4" t="s">
        <v>85</v>
      </c>
      <c r="D77" s="4">
        <v>42</v>
      </c>
      <c r="E77" s="4">
        <v>775</v>
      </c>
      <c r="F77" s="4">
        <v>42</v>
      </c>
      <c r="G77" s="4">
        <v>28</v>
      </c>
      <c r="H77" s="4">
        <v>775</v>
      </c>
      <c r="I77" s="4">
        <v>68</v>
      </c>
      <c r="J77" s="4">
        <v>186</v>
      </c>
      <c r="K77" s="4">
        <v>0.36599999999999999</v>
      </c>
      <c r="L77" s="4">
        <v>22</v>
      </c>
      <c r="M77" s="4">
        <v>90</v>
      </c>
      <c r="N77" s="4">
        <v>0.24399999999999999</v>
      </c>
      <c r="O77" s="4">
        <v>46</v>
      </c>
      <c r="P77" s="4">
        <v>96</v>
      </c>
      <c r="Q77" s="4">
        <v>0.47899999999999998</v>
      </c>
      <c r="R77" s="4">
        <v>23</v>
      </c>
      <c r="S77" s="4">
        <v>36</v>
      </c>
      <c r="T77" s="4">
        <v>0.63900000000000001</v>
      </c>
      <c r="U77" s="4">
        <v>34</v>
      </c>
      <c r="V77" s="4">
        <v>91</v>
      </c>
      <c r="W77" s="4">
        <v>32</v>
      </c>
      <c r="X77" s="4">
        <v>30</v>
      </c>
      <c r="Y77" s="4">
        <v>6</v>
      </c>
      <c r="Z77" s="4">
        <v>27</v>
      </c>
      <c r="AA77" s="4">
        <v>95</v>
      </c>
      <c r="AB77" s="4">
        <v>181</v>
      </c>
      <c r="AC77" s="5">
        <f t="shared" si="1"/>
        <v>1.1851851851851851</v>
      </c>
    </row>
    <row r="78" spans="1:29" ht="15.75" customHeight="1" x14ac:dyDescent="0.25">
      <c r="A78" s="1" t="s">
        <v>214</v>
      </c>
      <c r="B78" s="3" t="s">
        <v>157</v>
      </c>
      <c r="C78" s="4" t="s">
        <v>85</v>
      </c>
      <c r="D78" s="4">
        <v>41</v>
      </c>
      <c r="E78" s="4">
        <v>773</v>
      </c>
      <c r="F78" s="4">
        <v>41</v>
      </c>
      <c r="G78" s="4">
        <v>31</v>
      </c>
      <c r="H78" s="4">
        <v>773</v>
      </c>
      <c r="I78" s="4">
        <v>92</v>
      </c>
      <c r="J78" s="4">
        <v>177</v>
      </c>
      <c r="K78" s="4">
        <v>0.52</v>
      </c>
      <c r="L78" s="4">
        <v>5</v>
      </c>
      <c r="M78" s="4">
        <v>18</v>
      </c>
      <c r="N78" s="4">
        <v>0.27800000000000002</v>
      </c>
      <c r="O78" s="4">
        <v>87</v>
      </c>
      <c r="P78" s="4">
        <v>159</v>
      </c>
      <c r="Q78" s="4">
        <v>0.54700000000000004</v>
      </c>
      <c r="R78" s="4">
        <v>77</v>
      </c>
      <c r="S78" s="4">
        <v>103</v>
      </c>
      <c r="T78" s="4">
        <v>0.748</v>
      </c>
      <c r="U78" s="4">
        <v>67</v>
      </c>
      <c r="V78" s="4">
        <v>189</v>
      </c>
      <c r="W78" s="4">
        <v>40</v>
      </c>
      <c r="X78" s="4">
        <v>35</v>
      </c>
      <c r="Y78" s="4">
        <v>19</v>
      </c>
      <c r="Z78" s="4">
        <v>32</v>
      </c>
      <c r="AA78" s="4">
        <v>87</v>
      </c>
      <c r="AB78" s="4">
        <v>266</v>
      </c>
      <c r="AC78" s="5">
        <f t="shared" si="1"/>
        <v>1.25</v>
      </c>
    </row>
    <row r="79" spans="1:29" ht="15.75" customHeight="1" x14ac:dyDescent="0.25">
      <c r="A79" s="1" t="s">
        <v>220</v>
      </c>
      <c r="B79" s="3" t="s">
        <v>99</v>
      </c>
      <c r="C79" s="4" t="s">
        <v>85</v>
      </c>
      <c r="D79" s="4">
        <v>40</v>
      </c>
      <c r="E79" s="4">
        <v>733</v>
      </c>
      <c r="F79" s="4">
        <v>40</v>
      </c>
      <c r="G79" s="4">
        <v>25</v>
      </c>
      <c r="H79" s="4">
        <v>733</v>
      </c>
      <c r="I79" s="4">
        <v>91</v>
      </c>
      <c r="J79" s="4">
        <v>181</v>
      </c>
      <c r="K79" s="4">
        <v>0.503</v>
      </c>
      <c r="L79" s="4">
        <v>28</v>
      </c>
      <c r="M79" s="4">
        <v>76</v>
      </c>
      <c r="N79" s="4">
        <v>0.36799999999999999</v>
      </c>
      <c r="O79" s="4">
        <v>63</v>
      </c>
      <c r="P79" s="4">
        <v>105</v>
      </c>
      <c r="Q79" s="4">
        <v>0.6</v>
      </c>
      <c r="R79" s="4">
        <v>35</v>
      </c>
      <c r="S79" s="4">
        <v>49</v>
      </c>
      <c r="T79" s="4">
        <v>0.71399999999999997</v>
      </c>
      <c r="U79" s="4">
        <v>29</v>
      </c>
      <c r="V79" s="4">
        <v>156</v>
      </c>
      <c r="W79" s="4">
        <v>41</v>
      </c>
      <c r="X79" s="4">
        <v>22</v>
      </c>
      <c r="Y79" s="4">
        <v>69</v>
      </c>
      <c r="Z79" s="4">
        <v>39</v>
      </c>
      <c r="AA79" s="4">
        <v>70</v>
      </c>
      <c r="AB79" s="4">
        <v>245</v>
      </c>
      <c r="AC79" s="5">
        <f t="shared" si="1"/>
        <v>1.0512820512820513</v>
      </c>
    </row>
    <row r="80" spans="1:29" ht="15.75" customHeight="1" x14ac:dyDescent="0.25">
      <c r="A80" s="1" t="s">
        <v>208</v>
      </c>
      <c r="B80" s="3" t="s">
        <v>140</v>
      </c>
      <c r="C80" s="4" t="s">
        <v>88</v>
      </c>
      <c r="D80" s="4">
        <v>42</v>
      </c>
      <c r="E80" s="4">
        <v>731</v>
      </c>
      <c r="F80" s="4">
        <v>42</v>
      </c>
      <c r="G80" s="4">
        <v>1</v>
      </c>
      <c r="H80" s="4">
        <v>731</v>
      </c>
      <c r="I80" s="4">
        <v>104</v>
      </c>
      <c r="J80" s="4">
        <v>190</v>
      </c>
      <c r="K80" s="4">
        <v>0.54700000000000004</v>
      </c>
      <c r="L80" s="4">
        <v>0</v>
      </c>
      <c r="M80" s="4">
        <v>0</v>
      </c>
      <c r="N80" s="4">
        <v>0</v>
      </c>
      <c r="O80" s="4">
        <v>104</v>
      </c>
      <c r="P80" s="4">
        <v>190</v>
      </c>
      <c r="Q80" s="4">
        <v>0.54700000000000004</v>
      </c>
      <c r="R80" s="4">
        <v>60</v>
      </c>
      <c r="S80" s="4">
        <v>83</v>
      </c>
      <c r="T80" s="4">
        <v>0.72299999999999998</v>
      </c>
      <c r="U80" s="4">
        <v>47</v>
      </c>
      <c r="V80" s="4">
        <v>188</v>
      </c>
      <c r="W80" s="4">
        <v>46</v>
      </c>
      <c r="X80" s="4">
        <v>24</v>
      </c>
      <c r="Y80" s="4">
        <v>33</v>
      </c>
      <c r="Z80" s="4">
        <v>38</v>
      </c>
      <c r="AA80" s="4">
        <v>56</v>
      </c>
      <c r="AB80" s="4">
        <v>268</v>
      </c>
      <c r="AC80" s="5">
        <f t="shared" si="1"/>
        <v>1.2105263157894737</v>
      </c>
    </row>
    <row r="81" spans="1:29" ht="15.75" customHeight="1" x14ac:dyDescent="0.25">
      <c r="A81" s="1" t="s">
        <v>167</v>
      </c>
      <c r="B81" s="3" t="s">
        <v>131</v>
      </c>
      <c r="C81" s="4" t="s">
        <v>8</v>
      </c>
      <c r="D81" s="4">
        <v>37</v>
      </c>
      <c r="E81" s="4">
        <v>718</v>
      </c>
      <c r="F81" s="4">
        <v>37</v>
      </c>
      <c r="G81" s="4">
        <v>16</v>
      </c>
      <c r="H81" s="4">
        <v>718</v>
      </c>
      <c r="I81" s="4">
        <v>92</v>
      </c>
      <c r="J81" s="4">
        <v>217</v>
      </c>
      <c r="K81" s="4">
        <v>0.42399999999999999</v>
      </c>
      <c r="L81" s="4">
        <v>16</v>
      </c>
      <c r="M81" s="4">
        <v>65</v>
      </c>
      <c r="N81" s="4">
        <v>0.246</v>
      </c>
      <c r="O81" s="4">
        <v>76</v>
      </c>
      <c r="P81" s="4">
        <v>152</v>
      </c>
      <c r="Q81" s="4">
        <v>0.5</v>
      </c>
      <c r="R81" s="4">
        <v>52</v>
      </c>
      <c r="S81" s="4">
        <v>63</v>
      </c>
      <c r="T81" s="4">
        <v>0.82499999999999996</v>
      </c>
      <c r="U81" s="4">
        <v>26</v>
      </c>
      <c r="V81" s="4">
        <v>109</v>
      </c>
      <c r="W81" s="4">
        <v>31</v>
      </c>
      <c r="X81" s="4">
        <v>26</v>
      </c>
      <c r="Y81" s="4">
        <v>2</v>
      </c>
      <c r="Z81" s="4">
        <v>43</v>
      </c>
      <c r="AA81" s="4">
        <v>54</v>
      </c>
      <c r="AB81" s="4">
        <v>252</v>
      </c>
      <c r="AC81" s="5">
        <f t="shared" si="1"/>
        <v>0.72093023255813948</v>
      </c>
    </row>
    <row r="82" spans="1:29" ht="15.75" customHeight="1" x14ac:dyDescent="0.25">
      <c r="A82" s="1" t="s">
        <v>236</v>
      </c>
      <c r="B82" s="3" t="s">
        <v>131</v>
      </c>
      <c r="C82" s="4" t="s">
        <v>8</v>
      </c>
      <c r="D82" s="4">
        <v>35</v>
      </c>
      <c r="E82" s="4">
        <v>713</v>
      </c>
      <c r="F82" s="4">
        <v>35</v>
      </c>
      <c r="G82" s="4">
        <v>24</v>
      </c>
      <c r="H82" s="4">
        <v>713</v>
      </c>
      <c r="I82" s="4">
        <v>166</v>
      </c>
      <c r="J82" s="4">
        <v>390</v>
      </c>
      <c r="K82" s="4">
        <v>0.42599999999999999</v>
      </c>
      <c r="L82" s="4">
        <v>68</v>
      </c>
      <c r="M82" s="4">
        <v>208</v>
      </c>
      <c r="N82" s="4">
        <v>0.32700000000000001</v>
      </c>
      <c r="O82" s="4">
        <v>98</v>
      </c>
      <c r="P82" s="4">
        <v>182</v>
      </c>
      <c r="Q82" s="4">
        <v>0.53800000000000003</v>
      </c>
      <c r="R82" s="4">
        <v>70</v>
      </c>
      <c r="S82" s="4">
        <v>90</v>
      </c>
      <c r="T82" s="4">
        <v>0.77800000000000002</v>
      </c>
      <c r="U82" s="4">
        <v>12</v>
      </c>
      <c r="V82" s="4">
        <v>55</v>
      </c>
      <c r="W82" s="4">
        <v>65</v>
      </c>
      <c r="X82" s="4">
        <v>24</v>
      </c>
      <c r="Y82" s="4">
        <v>8</v>
      </c>
      <c r="Z82" s="4">
        <v>54</v>
      </c>
      <c r="AA82" s="4">
        <v>90</v>
      </c>
      <c r="AB82" s="4">
        <v>470</v>
      </c>
      <c r="AC82" s="5">
        <f t="shared" si="1"/>
        <v>1.2037037037037037</v>
      </c>
    </row>
    <row r="83" spans="1:29" ht="15.75" customHeight="1" x14ac:dyDescent="0.25">
      <c r="A83" s="1" t="s">
        <v>181</v>
      </c>
      <c r="B83" s="3" t="s">
        <v>117</v>
      </c>
      <c r="C83" s="4" t="s">
        <v>85</v>
      </c>
      <c r="D83" s="4">
        <v>42</v>
      </c>
      <c r="E83" s="4">
        <v>708</v>
      </c>
      <c r="F83" s="4">
        <v>42</v>
      </c>
      <c r="G83" s="4">
        <v>41</v>
      </c>
      <c r="H83" s="4">
        <v>708</v>
      </c>
      <c r="I83" s="4">
        <v>58</v>
      </c>
      <c r="J83" s="4">
        <v>131</v>
      </c>
      <c r="K83" s="4">
        <v>0.443</v>
      </c>
      <c r="L83" s="4">
        <v>20</v>
      </c>
      <c r="M83" s="4">
        <v>73</v>
      </c>
      <c r="N83" s="4">
        <v>0.27400000000000002</v>
      </c>
      <c r="O83" s="4">
        <v>38</v>
      </c>
      <c r="P83" s="4">
        <v>58</v>
      </c>
      <c r="Q83" s="4">
        <v>0.65500000000000003</v>
      </c>
      <c r="R83" s="4">
        <v>12</v>
      </c>
      <c r="S83" s="4">
        <v>18</v>
      </c>
      <c r="T83" s="4">
        <v>0.66700000000000004</v>
      </c>
      <c r="U83" s="4">
        <v>32</v>
      </c>
      <c r="V83" s="4">
        <v>108</v>
      </c>
      <c r="W83" s="4">
        <v>46</v>
      </c>
      <c r="X83" s="4">
        <v>26</v>
      </c>
      <c r="Y83" s="4">
        <v>12</v>
      </c>
      <c r="Z83" s="4">
        <v>30</v>
      </c>
      <c r="AA83" s="4">
        <v>67</v>
      </c>
      <c r="AB83" s="4">
        <v>148</v>
      </c>
      <c r="AC83" s="5">
        <f t="shared" si="1"/>
        <v>1.5333333333333334</v>
      </c>
    </row>
    <row r="84" spans="1:29" ht="15.75" customHeight="1" x14ac:dyDescent="0.25">
      <c r="A84" s="1" t="s">
        <v>257</v>
      </c>
      <c r="B84" s="3" t="s">
        <v>161</v>
      </c>
      <c r="C84" s="4" t="s">
        <v>85</v>
      </c>
      <c r="D84" s="4">
        <v>30</v>
      </c>
      <c r="E84" s="4">
        <v>707</v>
      </c>
      <c r="F84" s="4">
        <v>30</v>
      </c>
      <c r="G84" s="4">
        <v>24</v>
      </c>
      <c r="H84" s="4">
        <v>707</v>
      </c>
      <c r="I84" s="4">
        <v>133</v>
      </c>
      <c r="J84" s="4">
        <v>312</v>
      </c>
      <c r="K84" s="4">
        <v>0.42599999999999999</v>
      </c>
      <c r="L84" s="4">
        <v>21</v>
      </c>
      <c r="M84" s="4">
        <v>74</v>
      </c>
      <c r="N84" s="4">
        <v>0.28399999999999997</v>
      </c>
      <c r="O84" s="4">
        <v>112</v>
      </c>
      <c r="P84" s="4">
        <v>238</v>
      </c>
      <c r="Q84" s="4">
        <v>0.47099999999999997</v>
      </c>
      <c r="R84" s="4">
        <v>81</v>
      </c>
      <c r="S84" s="4">
        <v>113</v>
      </c>
      <c r="T84" s="4">
        <v>0.71699999999999997</v>
      </c>
      <c r="U84" s="4">
        <v>54</v>
      </c>
      <c r="V84" s="4">
        <v>199</v>
      </c>
      <c r="W84" s="4">
        <v>47</v>
      </c>
      <c r="X84" s="4">
        <v>25</v>
      </c>
      <c r="Y84" s="4">
        <v>21</v>
      </c>
      <c r="Z84" s="4">
        <v>50</v>
      </c>
      <c r="AA84" s="4">
        <v>76</v>
      </c>
      <c r="AB84" s="4">
        <v>368</v>
      </c>
      <c r="AC84" s="5">
        <f t="shared" si="1"/>
        <v>0.94</v>
      </c>
    </row>
    <row r="85" spans="1:29" ht="15.75" customHeight="1" x14ac:dyDescent="0.25">
      <c r="A85" s="1" t="s">
        <v>184</v>
      </c>
      <c r="B85" s="3" t="s">
        <v>107</v>
      </c>
      <c r="C85" s="4" t="s">
        <v>88</v>
      </c>
      <c r="D85" s="4">
        <v>33</v>
      </c>
      <c r="E85" s="4">
        <v>700</v>
      </c>
      <c r="F85" s="4">
        <v>33</v>
      </c>
      <c r="G85" s="4">
        <v>23</v>
      </c>
      <c r="H85" s="4">
        <v>700</v>
      </c>
      <c r="I85" s="4">
        <v>125</v>
      </c>
      <c r="J85" s="4">
        <v>217</v>
      </c>
      <c r="K85" s="4">
        <v>0.57599999999999996</v>
      </c>
      <c r="L85" s="4">
        <v>0</v>
      </c>
      <c r="M85" s="4">
        <v>2</v>
      </c>
      <c r="N85" s="4">
        <v>0</v>
      </c>
      <c r="O85" s="4">
        <v>125</v>
      </c>
      <c r="P85" s="4">
        <v>215</v>
      </c>
      <c r="Q85" s="4">
        <v>0.58099999999999996</v>
      </c>
      <c r="R85" s="4">
        <v>84</v>
      </c>
      <c r="S85" s="4">
        <v>123</v>
      </c>
      <c r="T85" s="4">
        <v>0.68300000000000005</v>
      </c>
      <c r="U85" s="4">
        <v>53</v>
      </c>
      <c r="V85" s="4">
        <v>194</v>
      </c>
      <c r="W85" s="4">
        <v>54</v>
      </c>
      <c r="X85" s="4">
        <v>25</v>
      </c>
      <c r="Y85" s="4">
        <v>26</v>
      </c>
      <c r="Z85" s="4">
        <v>53</v>
      </c>
      <c r="AA85" s="4">
        <v>99</v>
      </c>
      <c r="AB85" s="4">
        <v>334</v>
      </c>
      <c r="AC85" s="5">
        <f t="shared" si="1"/>
        <v>1.0188679245283019</v>
      </c>
    </row>
    <row r="86" spans="1:29" ht="15.75" customHeight="1" x14ac:dyDescent="0.25">
      <c r="A86" s="1" t="s">
        <v>209</v>
      </c>
      <c r="B86" s="3" t="s">
        <v>131</v>
      </c>
      <c r="C86" s="4" t="s">
        <v>183</v>
      </c>
      <c r="D86" s="4">
        <v>42</v>
      </c>
      <c r="E86" s="4">
        <v>699</v>
      </c>
      <c r="F86" s="4">
        <v>42</v>
      </c>
      <c r="G86" s="4">
        <v>1</v>
      </c>
      <c r="H86" s="4">
        <v>699</v>
      </c>
      <c r="I86" s="4">
        <v>86</v>
      </c>
      <c r="J86" s="4">
        <v>186</v>
      </c>
      <c r="K86" s="4">
        <v>0.46200000000000002</v>
      </c>
      <c r="L86" s="4">
        <v>0</v>
      </c>
      <c r="M86" s="4">
        <v>0</v>
      </c>
      <c r="N86" s="4">
        <v>0</v>
      </c>
      <c r="O86" s="4">
        <v>86</v>
      </c>
      <c r="P86" s="4">
        <v>186</v>
      </c>
      <c r="Q86" s="4">
        <v>0.46200000000000002</v>
      </c>
      <c r="R86" s="4">
        <v>41</v>
      </c>
      <c r="S86" s="4">
        <v>91</v>
      </c>
      <c r="T86" s="4">
        <v>0.45100000000000001</v>
      </c>
      <c r="U86" s="4">
        <v>52</v>
      </c>
      <c r="V86" s="4">
        <v>145</v>
      </c>
      <c r="W86" s="4">
        <v>55</v>
      </c>
      <c r="X86" s="4">
        <v>25</v>
      </c>
      <c r="Y86" s="4">
        <v>37</v>
      </c>
      <c r="Z86" s="4">
        <v>33</v>
      </c>
      <c r="AA86" s="4">
        <v>54</v>
      </c>
      <c r="AB86" s="4">
        <v>213</v>
      </c>
      <c r="AC86" s="5">
        <f t="shared" si="1"/>
        <v>1.6666666666666667</v>
      </c>
    </row>
    <row r="87" spans="1:29" ht="15.75" customHeight="1" x14ac:dyDescent="0.25">
      <c r="A87" s="1" t="s">
        <v>199</v>
      </c>
      <c r="B87" s="3" t="s">
        <v>161</v>
      </c>
      <c r="C87" s="4" t="s">
        <v>8</v>
      </c>
      <c r="D87" s="4">
        <v>26</v>
      </c>
      <c r="E87" s="4">
        <v>697</v>
      </c>
      <c r="F87" s="4">
        <v>26</v>
      </c>
      <c r="G87" s="4">
        <v>18</v>
      </c>
      <c r="H87" s="4">
        <v>697</v>
      </c>
      <c r="I87" s="4">
        <v>115</v>
      </c>
      <c r="J87" s="4">
        <v>240</v>
      </c>
      <c r="K87" s="4">
        <v>0.47899999999999998</v>
      </c>
      <c r="L87" s="4">
        <v>23</v>
      </c>
      <c r="M87" s="4">
        <v>66</v>
      </c>
      <c r="N87" s="4">
        <v>0.34799999999999998</v>
      </c>
      <c r="O87" s="4">
        <v>92</v>
      </c>
      <c r="P87" s="4">
        <v>174</v>
      </c>
      <c r="Q87" s="4">
        <v>0.52900000000000003</v>
      </c>
      <c r="R87" s="4">
        <v>85</v>
      </c>
      <c r="S87" s="4">
        <v>99</v>
      </c>
      <c r="T87" s="4">
        <v>0.85899999999999999</v>
      </c>
      <c r="U87" s="4">
        <v>29</v>
      </c>
      <c r="V87" s="4">
        <v>92</v>
      </c>
      <c r="W87" s="4">
        <v>88</v>
      </c>
      <c r="X87" s="4">
        <v>19</v>
      </c>
      <c r="Y87" s="4">
        <v>5</v>
      </c>
      <c r="Z87" s="4">
        <v>46</v>
      </c>
      <c r="AA87" s="4">
        <v>78</v>
      </c>
      <c r="AB87" s="4">
        <v>338</v>
      </c>
      <c r="AC87" s="5">
        <f t="shared" si="1"/>
        <v>1.9130434782608696</v>
      </c>
    </row>
    <row r="88" spans="1:29" ht="15.75" customHeight="1" x14ac:dyDescent="0.25">
      <c r="A88" s="1" t="s">
        <v>235</v>
      </c>
      <c r="B88" s="3" t="s">
        <v>91</v>
      </c>
      <c r="C88" s="4" t="s">
        <v>8</v>
      </c>
      <c r="D88" s="4">
        <v>40</v>
      </c>
      <c r="E88" s="4">
        <v>674</v>
      </c>
      <c r="F88" s="4">
        <v>40</v>
      </c>
      <c r="G88" s="4">
        <v>4</v>
      </c>
      <c r="H88" s="4">
        <v>674</v>
      </c>
      <c r="I88" s="4">
        <v>121</v>
      </c>
      <c r="J88" s="4">
        <v>258</v>
      </c>
      <c r="K88" s="4">
        <v>0.46899999999999997</v>
      </c>
      <c r="L88" s="4">
        <v>25</v>
      </c>
      <c r="M88" s="4">
        <v>86</v>
      </c>
      <c r="N88" s="4">
        <v>0.29099999999999998</v>
      </c>
      <c r="O88" s="4">
        <v>96</v>
      </c>
      <c r="P88" s="4">
        <v>172</v>
      </c>
      <c r="Q88" s="4">
        <v>0.55800000000000005</v>
      </c>
      <c r="R88" s="4">
        <v>96</v>
      </c>
      <c r="S88" s="4">
        <v>122</v>
      </c>
      <c r="T88" s="4">
        <v>0.78700000000000003</v>
      </c>
      <c r="U88" s="4">
        <v>22</v>
      </c>
      <c r="V88" s="4">
        <v>84</v>
      </c>
      <c r="W88" s="4">
        <v>104</v>
      </c>
      <c r="X88" s="4">
        <v>32</v>
      </c>
      <c r="Y88" s="4">
        <v>8</v>
      </c>
      <c r="Z88" s="4">
        <v>48</v>
      </c>
      <c r="AA88" s="4">
        <v>80</v>
      </c>
      <c r="AB88" s="4">
        <v>363</v>
      </c>
      <c r="AC88" s="5">
        <f t="shared" si="1"/>
        <v>2.1666666666666665</v>
      </c>
    </row>
    <row r="89" spans="1:29" ht="15.75" customHeight="1" x14ac:dyDescent="0.25">
      <c r="A89" s="1" t="s">
        <v>247</v>
      </c>
      <c r="B89" s="3" t="s">
        <v>91</v>
      </c>
      <c r="C89" s="4" t="s">
        <v>85</v>
      </c>
      <c r="D89" s="4">
        <v>35</v>
      </c>
      <c r="E89" s="4">
        <v>670</v>
      </c>
      <c r="F89" s="4">
        <v>35</v>
      </c>
      <c r="G89" s="4">
        <v>32</v>
      </c>
      <c r="H89" s="4">
        <v>670</v>
      </c>
      <c r="I89" s="4">
        <v>114</v>
      </c>
      <c r="J89" s="4">
        <v>287</v>
      </c>
      <c r="K89" s="4">
        <v>0.39700000000000002</v>
      </c>
      <c r="L89" s="4">
        <v>47</v>
      </c>
      <c r="M89" s="4">
        <v>144</v>
      </c>
      <c r="N89" s="4">
        <v>0.32600000000000001</v>
      </c>
      <c r="O89" s="4">
        <v>67</v>
      </c>
      <c r="P89" s="4">
        <v>143</v>
      </c>
      <c r="Q89" s="4">
        <v>0.46899999999999997</v>
      </c>
      <c r="R89" s="4">
        <v>34</v>
      </c>
      <c r="S89" s="4">
        <v>41</v>
      </c>
      <c r="T89" s="4">
        <v>0.82899999999999996</v>
      </c>
      <c r="U89" s="4">
        <v>11</v>
      </c>
      <c r="V89" s="4">
        <v>76</v>
      </c>
      <c r="W89" s="4">
        <v>62</v>
      </c>
      <c r="X89" s="4">
        <v>30</v>
      </c>
      <c r="Y89" s="4">
        <v>6</v>
      </c>
      <c r="Z89" s="4">
        <v>48</v>
      </c>
      <c r="AA89" s="4">
        <v>69</v>
      </c>
      <c r="AB89" s="4">
        <v>309</v>
      </c>
      <c r="AC89" s="5">
        <f t="shared" si="1"/>
        <v>1.2916666666666667</v>
      </c>
    </row>
    <row r="90" spans="1:29" ht="15.75" customHeight="1" x14ac:dyDescent="0.25">
      <c r="A90" s="1" t="s">
        <v>141</v>
      </c>
      <c r="B90" s="3" t="s">
        <v>114</v>
      </c>
      <c r="C90" s="4" t="s">
        <v>88</v>
      </c>
      <c r="D90" s="4">
        <v>43</v>
      </c>
      <c r="E90" s="4">
        <v>654</v>
      </c>
      <c r="F90" s="4">
        <v>43</v>
      </c>
      <c r="G90" s="4">
        <v>12</v>
      </c>
      <c r="H90" s="4">
        <v>654</v>
      </c>
      <c r="I90" s="4">
        <v>46</v>
      </c>
      <c r="J90" s="4">
        <v>103</v>
      </c>
      <c r="K90" s="4">
        <v>0.44700000000000001</v>
      </c>
      <c r="L90" s="4">
        <v>23</v>
      </c>
      <c r="M90" s="4">
        <v>57</v>
      </c>
      <c r="N90" s="4">
        <v>0.40400000000000003</v>
      </c>
      <c r="O90" s="4">
        <v>23</v>
      </c>
      <c r="P90" s="4">
        <v>46</v>
      </c>
      <c r="Q90" s="4">
        <v>0.5</v>
      </c>
      <c r="R90" s="4">
        <v>29</v>
      </c>
      <c r="S90" s="4">
        <v>34</v>
      </c>
      <c r="T90" s="4">
        <v>0.85299999999999998</v>
      </c>
      <c r="U90" s="4">
        <v>26</v>
      </c>
      <c r="V90" s="4">
        <v>105</v>
      </c>
      <c r="W90" s="4">
        <v>51</v>
      </c>
      <c r="X90" s="4">
        <v>12</v>
      </c>
      <c r="Y90" s="4">
        <v>19</v>
      </c>
      <c r="Z90" s="4">
        <v>38</v>
      </c>
      <c r="AA90" s="4">
        <v>96</v>
      </c>
      <c r="AB90" s="4">
        <v>144</v>
      </c>
      <c r="AC90" s="5">
        <f t="shared" si="1"/>
        <v>1.3421052631578947</v>
      </c>
    </row>
    <row r="91" spans="1:29" ht="15.75" customHeight="1" x14ac:dyDescent="0.25">
      <c r="A91" s="1" t="s">
        <v>193</v>
      </c>
      <c r="B91" s="3" t="s">
        <v>91</v>
      </c>
      <c r="C91" s="4" t="s">
        <v>8</v>
      </c>
      <c r="D91" s="4">
        <v>42</v>
      </c>
      <c r="E91" s="4">
        <v>643</v>
      </c>
      <c r="F91" s="4">
        <v>42</v>
      </c>
      <c r="G91" s="4">
        <v>0</v>
      </c>
      <c r="H91" s="4">
        <v>643</v>
      </c>
      <c r="I91" s="4">
        <v>119</v>
      </c>
      <c r="J91" s="4">
        <v>227</v>
      </c>
      <c r="K91" s="4">
        <v>0.52400000000000002</v>
      </c>
      <c r="L91" s="4">
        <v>29</v>
      </c>
      <c r="M91" s="4">
        <v>68</v>
      </c>
      <c r="N91" s="4">
        <v>0.42599999999999999</v>
      </c>
      <c r="O91" s="4">
        <v>90</v>
      </c>
      <c r="P91" s="4">
        <v>159</v>
      </c>
      <c r="Q91" s="4">
        <v>0.56599999999999995</v>
      </c>
      <c r="R91" s="4">
        <v>30</v>
      </c>
      <c r="S91" s="4">
        <v>42</v>
      </c>
      <c r="T91" s="4">
        <v>0.71399999999999997</v>
      </c>
      <c r="U91" s="4">
        <v>13</v>
      </c>
      <c r="V91" s="4">
        <v>47</v>
      </c>
      <c r="W91" s="4">
        <v>82</v>
      </c>
      <c r="X91" s="4">
        <v>12</v>
      </c>
      <c r="Y91" s="4">
        <v>1</v>
      </c>
      <c r="Z91" s="4">
        <v>49</v>
      </c>
      <c r="AA91" s="4">
        <v>52</v>
      </c>
      <c r="AB91" s="4">
        <v>297</v>
      </c>
      <c r="AC91" s="5">
        <f t="shared" si="1"/>
        <v>1.6734693877551021</v>
      </c>
    </row>
    <row r="92" spans="1:29" ht="15.75" customHeight="1" x14ac:dyDescent="0.25">
      <c r="A92" s="1" t="s">
        <v>146</v>
      </c>
      <c r="B92" s="3" t="s">
        <v>232</v>
      </c>
      <c r="C92" s="4" t="s">
        <v>8</v>
      </c>
      <c r="D92" s="4">
        <v>26</v>
      </c>
      <c r="E92" s="4">
        <v>642</v>
      </c>
      <c r="F92" s="4">
        <v>26</v>
      </c>
      <c r="G92" s="4">
        <v>15</v>
      </c>
      <c r="H92" s="4">
        <v>642</v>
      </c>
      <c r="I92" s="4">
        <v>108</v>
      </c>
      <c r="J92" s="4">
        <v>215</v>
      </c>
      <c r="K92" s="4">
        <v>0.502</v>
      </c>
      <c r="L92" s="4">
        <v>36</v>
      </c>
      <c r="M92" s="4">
        <v>90</v>
      </c>
      <c r="N92" s="4">
        <v>0.4</v>
      </c>
      <c r="O92" s="4">
        <v>72</v>
      </c>
      <c r="P92" s="4">
        <v>125</v>
      </c>
      <c r="Q92" s="4">
        <v>0.57599999999999996</v>
      </c>
      <c r="R92" s="4">
        <v>26</v>
      </c>
      <c r="S92" s="4">
        <v>35</v>
      </c>
      <c r="T92" s="4">
        <v>0.74299999999999999</v>
      </c>
      <c r="U92" s="4">
        <v>21</v>
      </c>
      <c r="V92" s="4">
        <v>117</v>
      </c>
      <c r="W92" s="4">
        <v>62</v>
      </c>
      <c r="X92" s="4">
        <v>23</v>
      </c>
      <c r="Y92" s="4">
        <v>9</v>
      </c>
      <c r="Z92" s="4">
        <v>52</v>
      </c>
      <c r="AA92" s="4">
        <v>64</v>
      </c>
      <c r="AB92" s="4">
        <v>278</v>
      </c>
      <c r="AC92" s="5">
        <f t="shared" si="1"/>
        <v>1.1923076923076923</v>
      </c>
    </row>
    <row r="93" spans="1:29" ht="15.75" customHeight="1" x14ac:dyDescent="0.25">
      <c r="A93" s="1" t="s">
        <v>237</v>
      </c>
      <c r="B93" s="3" t="s">
        <v>240</v>
      </c>
      <c r="C93" s="4" t="s">
        <v>8</v>
      </c>
      <c r="D93" s="4">
        <v>41</v>
      </c>
      <c r="E93" s="4">
        <v>634</v>
      </c>
      <c r="F93" s="4">
        <v>41</v>
      </c>
      <c r="G93" s="4">
        <v>11</v>
      </c>
      <c r="H93" s="4">
        <v>634</v>
      </c>
      <c r="I93" s="4">
        <v>76</v>
      </c>
      <c r="J93" s="4">
        <v>196</v>
      </c>
      <c r="K93" s="4">
        <v>0.38800000000000001</v>
      </c>
      <c r="L93" s="4">
        <v>37</v>
      </c>
      <c r="M93" s="4">
        <v>99</v>
      </c>
      <c r="N93" s="4">
        <v>0.374</v>
      </c>
      <c r="O93" s="4">
        <v>39</v>
      </c>
      <c r="P93" s="4">
        <v>97</v>
      </c>
      <c r="Q93" s="4">
        <v>0.40200000000000002</v>
      </c>
      <c r="R93" s="4">
        <v>31</v>
      </c>
      <c r="S93" s="4">
        <v>35</v>
      </c>
      <c r="T93" s="4">
        <v>0.88600000000000001</v>
      </c>
      <c r="U93" s="4">
        <v>15</v>
      </c>
      <c r="V93" s="4">
        <v>45</v>
      </c>
      <c r="W93" s="4">
        <v>60</v>
      </c>
      <c r="X93" s="4">
        <v>21</v>
      </c>
      <c r="Y93" s="4">
        <v>6</v>
      </c>
      <c r="Z93" s="4">
        <v>36</v>
      </c>
      <c r="AA93" s="4">
        <v>56</v>
      </c>
      <c r="AB93" s="4">
        <v>220</v>
      </c>
      <c r="AC93" s="5">
        <f t="shared" si="1"/>
        <v>1.6666666666666667</v>
      </c>
    </row>
    <row r="94" spans="1:29" ht="15.75" customHeight="1" x14ac:dyDescent="0.25">
      <c r="A94" s="1" t="s">
        <v>186</v>
      </c>
      <c r="B94" s="3" t="s">
        <v>114</v>
      </c>
      <c r="C94" s="4" t="s">
        <v>85</v>
      </c>
      <c r="D94" s="4">
        <v>36</v>
      </c>
      <c r="E94" s="4">
        <v>628</v>
      </c>
      <c r="F94" s="4">
        <v>36</v>
      </c>
      <c r="G94" s="4">
        <v>22</v>
      </c>
      <c r="H94" s="4">
        <v>628</v>
      </c>
      <c r="I94" s="4">
        <v>64</v>
      </c>
      <c r="J94" s="4">
        <v>173</v>
      </c>
      <c r="K94" s="4">
        <v>0.37</v>
      </c>
      <c r="L94" s="4">
        <v>13</v>
      </c>
      <c r="M94" s="4">
        <v>59</v>
      </c>
      <c r="N94" s="4">
        <v>0.22</v>
      </c>
      <c r="O94" s="4">
        <v>51</v>
      </c>
      <c r="P94" s="4">
        <v>114</v>
      </c>
      <c r="Q94" s="4">
        <v>0.44700000000000001</v>
      </c>
      <c r="R94" s="4">
        <v>25</v>
      </c>
      <c r="S94" s="4">
        <v>37</v>
      </c>
      <c r="T94" s="4">
        <v>0.67600000000000005</v>
      </c>
      <c r="U94" s="4">
        <v>33</v>
      </c>
      <c r="V94" s="4">
        <v>127</v>
      </c>
      <c r="W94" s="4">
        <v>47</v>
      </c>
      <c r="X94" s="4">
        <v>37</v>
      </c>
      <c r="Y94" s="4">
        <v>18</v>
      </c>
      <c r="Z94" s="4">
        <v>44</v>
      </c>
      <c r="AA94" s="4">
        <v>63</v>
      </c>
      <c r="AB94" s="4">
        <v>166</v>
      </c>
      <c r="AC94" s="5">
        <f t="shared" si="1"/>
        <v>1.0681818181818181</v>
      </c>
    </row>
    <row r="95" spans="1:29" ht="15.75" customHeight="1" x14ac:dyDescent="0.25">
      <c r="A95" s="1" t="s">
        <v>179</v>
      </c>
      <c r="B95" s="3" t="s">
        <v>114</v>
      </c>
      <c r="C95" s="4" t="s">
        <v>8</v>
      </c>
      <c r="D95" s="4">
        <v>41</v>
      </c>
      <c r="E95" s="4">
        <v>616</v>
      </c>
      <c r="F95" s="4">
        <v>41</v>
      </c>
      <c r="G95" s="4">
        <v>1</v>
      </c>
      <c r="H95" s="4">
        <v>616</v>
      </c>
      <c r="I95" s="4">
        <v>99</v>
      </c>
      <c r="J95" s="4">
        <v>285</v>
      </c>
      <c r="K95" s="4">
        <v>0.34699999999999998</v>
      </c>
      <c r="L95" s="4">
        <v>32</v>
      </c>
      <c r="M95" s="4">
        <v>109</v>
      </c>
      <c r="N95" s="4">
        <v>0.29399999999999998</v>
      </c>
      <c r="O95" s="4">
        <v>67</v>
      </c>
      <c r="P95" s="4">
        <v>176</v>
      </c>
      <c r="Q95" s="4">
        <v>0.38100000000000001</v>
      </c>
      <c r="R95" s="4">
        <v>79</v>
      </c>
      <c r="S95" s="4">
        <v>98</v>
      </c>
      <c r="T95" s="4">
        <v>0.80600000000000005</v>
      </c>
      <c r="U95" s="4">
        <v>19</v>
      </c>
      <c r="V95" s="4">
        <v>68</v>
      </c>
      <c r="W95" s="4">
        <v>44</v>
      </c>
      <c r="X95" s="4">
        <v>16</v>
      </c>
      <c r="Y95" s="4">
        <v>1</v>
      </c>
      <c r="Z95" s="4">
        <v>44</v>
      </c>
      <c r="AA95" s="4">
        <v>56</v>
      </c>
      <c r="AB95" s="4">
        <v>309</v>
      </c>
      <c r="AC95" s="5">
        <f t="shared" si="1"/>
        <v>1</v>
      </c>
    </row>
    <row r="96" spans="1:29" ht="15.75" customHeight="1" x14ac:dyDescent="0.25">
      <c r="A96" s="1" t="s">
        <v>252</v>
      </c>
      <c r="B96" s="3" t="s">
        <v>240</v>
      </c>
      <c r="C96" s="4" t="s">
        <v>8</v>
      </c>
      <c r="D96" s="4">
        <v>28</v>
      </c>
      <c r="E96" s="4">
        <v>611</v>
      </c>
      <c r="F96" s="4">
        <v>28</v>
      </c>
      <c r="G96" s="4">
        <v>17</v>
      </c>
      <c r="H96" s="4">
        <v>611</v>
      </c>
      <c r="I96" s="4">
        <v>71</v>
      </c>
      <c r="J96" s="4">
        <v>171</v>
      </c>
      <c r="K96" s="4">
        <v>0.41499999999999998</v>
      </c>
      <c r="L96" s="4">
        <v>28</v>
      </c>
      <c r="M96" s="4">
        <v>72</v>
      </c>
      <c r="N96" s="4">
        <v>0.38900000000000001</v>
      </c>
      <c r="O96" s="4">
        <v>43</v>
      </c>
      <c r="P96" s="4">
        <v>99</v>
      </c>
      <c r="Q96" s="4">
        <v>0.434</v>
      </c>
      <c r="R96" s="4">
        <v>47</v>
      </c>
      <c r="S96" s="4">
        <v>56</v>
      </c>
      <c r="T96" s="4">
        <v>0.83899999999999997</v>
      </c>
      <c r="U96" s="4">
        <v>5</v>
      </c>
      <c r="V96" s="4">
        <v>50</v>
      </c>
      <c r="W96" s="4">
        <v>65</v>
      </c>
      <c r="X96" s="4">
        <v>27</v>
      </c>
      <c r="Y96" s="4">
        <v>8</v>
      </c>
      <c r="Z96" s="4">
        <v>56</v>
      </c>
      <c r="AA96" s="4">
        <v>81</v>
      </c>
      <c r="AB96" s="4">
        <v>217</v>
      </c>
      <c r="AC96" s="5">
        <f t="shared" si="1"/>
        <v>1.1607142857142858</v>
      </c>
    </row>
    <row r="97" spans="1:29" ht="15.75" customHeight="1" x14ac:dyDescent="0.25">
      <c r="A97" s="1" t="s">
        <v>108</v>
      </c>
      <c r="B97" s="3" t="s">
        <v>84</v>
      </c>
      <c r="C97" s="4" t="s">
        <v>8</v>
      </c>
      <c r="D97" s="4">
        <v>41</v>
      </c>
      <c r="E97" s="4">
        <v>610</v>
      </c>
      <c r="F97" s="4">
        <v>41</v>
      </c>
      <c r="G97" s="4">
        <v>2</v>
      </c>
      <c r="H97" s="4">
        <v>610</v>
      </c>
      <c r="I97" s="4">
        <v>79</v>
      </c>
      <c r="J97" s="4">
        <v>159</v>
      </c>
      <c r="K97" s="4">
        <v>0.497</v>
      </c>
      <c r="L97" s="4">
        <v>12</v>
      </c>
      <c r="M97" s="4">
        <v>45</v>
      </c>
      <c r="N97" s="4">
        <v>0.26700000000000002</v>
      </c>
      <c r="O97" s="4">
        <v>67</v>
      </c>
      <c r="P97" s="4">
        <v>114</v>
      </c>
      <c r="Q97" s="4">
        <v>0.58799999999999997</v>
      </c>
      <c r="R97" s="4">
        <v>40</v>
      </c>
      <c r="S97" s="4">
        <v>43</v>
      </c>
      <c r="T97" s="4">
        <v>0.93</v>
      </c>
      <c r="U97" s="4">
        <v>38</v>
      </c>
      <c r="V97" s="4">
        <v>100</v>
      </c>
      <c r="W97" s="4">
        <v>50</v>
      </c>
      <c r="X97" s="4">
        <v>21</v>
      </c>
      <c r="Y97" s="4">
        <v>8</v>
      </c>
      <c r="Z97" s="4">
        <v>26</v>
      </c>
      <c r="AA97" s="4">
        <v>68</v>
      </c>
      <c r="AB97" s="4">
        <v>210</v>
      </c>
      <c r="AC97" s="5">
        <f t="shared" si="1"/>
        <v>1.9230769230769231</v>
      </c>
    </row>
    <row r="98" spans="1:29" ht="15.75" customHeight="1" x14ac:dyDescent="0.25">
      <c r="A98" s="1" t="s">
        <v>123</v>
      </c>
      <c r="B98" s="3" t="s">
        <v>240</v>
      </c>
      <c r="C98" s="4" t="s">
        <v>85</v>
      </c>
      <c r="D98" s="4">
        <v>27</v>
      </c>
      <c r="E98" s="4">
        <v>599</v>
      </c>
      <c r="F98" s="4">
        <v>27</v>
      </c>
      <c r="G98" s="4">
        <v>10</v>
      </c>
      <c r="H98" s="4">
        <v>599</v>
      </c>
      <c r="I98" s="4">
        <v>114</v>
      </c>
      <c r="J98" s="4">
        <v>270</v>
      </c>
      <c r="K98" s="4">
        <v>0.42199999999999999</v>
      </c>
      <c r="L98" s="4">
        <v>23</v>
      </c>
      <c r="M98" s="4">
        <v>84</v>
      </c>
      <c r="N98" s="4">
        <v>0.27400000000000002</v>
      </c>
      <c r="O98" s="4">
        <v>91</v>
      </c>
      <c r="P98" s="4">
        <v>186</v>
      </c>
      <c r="Q98" s="4">
        <v>0.48899999999999999</v>
      </c>
      <c r="R98" s="4">
        <v>45</v>
      </c>
      <c r="S98" s="4">
        <v>70</v>
      </c>
      <c r="T98" s="4">
        <v>0.64300000000000002</v>
      </c>
      <c r="U98" s="4">
        <v>69</v>
      </c>
      <c r="V98" s="4">
        <v>224</v>
      </c>
      <c r="W98" s="4">
        <v>39</v>
      </c>
      <c r="X98" s="4">
        <v>24</v>
      </c>
      <c r="Y98" s="4">
        <v>13</v>
      </c>
      <c r="Z98" s="4">
        <v>42</v>
      </c>
      <c r="AA98" s="4">
        <v>59</v>
      </c>
      <c r="AB98" s="4">
        <v>296</v>
      </c>
      <c r="AC98" s="5">
        <f t="shared" si="1"/>
        <v>0.9285714285714286</v>
      </c>
    </row>
    <row r="99" spans="1:29" ht="15.75" customHeight="1" x14ac:dyDescent="0.25">
      <c r="A99" s="1" t="s">
        <v>215</v>
      </c>
      <c r="B99" s="3" t="s">
        <v>137</v>
      </c>
      <c r="C99" s="4" t="s">
        <v>85</v>
      </c>
      <c r="D99" s="4">
        <v>31</v>
      </c>
      <c r="E99" s="4">
        <v>595</v>
      </c>
      <c r="F99" s="4">
        <v>31</v>
      </c>
      <c r="G99" s="4">
        <v>1</v>
      </c>
      <c r="H99" s="4">
        <v>595</v>
      </c>
      <c r="I99" s="4">
        <v>102</v>
      </c>
      <c r="J99" s="4">
        <v>220</v>
      </c>
      <c r="K99" s="4">
        <v>0.46400000000000002</v>
      </c>
      <c r="L99" s="4">
        <v>28</v>
      </c>
      <c r="M99" s="4">
        <v>89</v>
      </c>
      <c r="N99" s="4">
        <v>0.315</v>
      </c>
      <c r="O99" s="4">
        <v>74</v>
      </c>
      <c r="P99" s="4">
        <v>131</v>
      </c>
      <c r="Q99" s="4">
        <v>0.56499999999999995</v>
      </c>
      <c r="R99" s="4">
        <v>64</v>
      </c>
      <c r="S99" s="4">
        <v>83</v>
      </c>
      <c r="T99" s="4">
        <v>0.77100000000000002</v>
      </c>
      <c r="U99" s="4">
        <v>45</v>
      </c>
      <c r="V99" s="4">
        <v>155</v>
      </c>
      <c r="W99" s="4">
        <v>46</v>
      </c>
      <c r="X99" s="4">
        <v>20</v>
      </c>
      <c r="Y99" s="4">
        <v>55</v>
      </c>
      <c r="Z99" s="4">
        <v>75</v>
      </c>
      <c r="AA99" s="4">
        <v>111</v>
      </c>
      <c r="AB99" s="4">
        <v>296</v>
      </c>
      <c r="AC99" s="5">
        <f t="shared" si="1"/>
        <v>0.61333333333333329</v>
      </c>
    </row>
    <row r="100" spans="1:29" ht="15.75" customHeight="1" x14ac:dyDescent="0.25">
      <c r="A100" s="1" t="s">
        <v>248</v>
      </c>
      <c r="B100" s="3" t="s">
        <v>84</v>
      </c>
      <c r="C100" s="4" t="s">
        <v>85</v>
      </c>
      <c r="D100" s="4">
        <v>20</v>
      </c>
      <c r="E100" s="4">
        <v>587</v>
      </c>
      <c r="F100" s="4">
        <v>20</v>
      </c>
      <c r="G100" s="4">
        <v>20</v>
      </c>
      <c r="H100" s="4">
        <v>587</v>
      </c>
      <c r="I100" s="4">
        <v>60</v>
      </c>
      <c r="J100" s="4">
        <v>138</v>
      </c>
      <c r="K100" s="4">
        <v>0.435</v>
      </c>
      <c r="L100" s="4">
        <v>35</v>
      </c>
      <c r="M100" s="4">
        <v>84</v>
      </c>
      <c r="N100" s="4">
        <v>0.41699999999999998</v>
      </c>
      <c r="O100" s="4">
        <v>25</v>
      </c>
      <c r="P100" s="4">
        <v>54</v>
      </c>
      <c r="Q100" s="4">
        <v>0.46300000000000002</v>
      </c>
      <c r="R100" s="4">
        <v>29</v>
      </c>
      <c r="S100" s="4">
        <v>34</v>
      </c>
      <c r="T100" s="4">
        <v>0.85299999999999998</v>
      </c>
      <c r="U100" s="4">
        <v>24</v>
      </c>
      <c r="V100" s="4">
        <v>62</v>
      </c>
      <c r="W100" s="4">
        <v>44</v>
      </c>
      <c r="X100" s="4">
        <v>23</v>
      </c>
      <c r="Y100" s="4">
        <v>2</v>
      </c>
      <c r="Z100" s="4">
        <v>34</v>
      </c>
      <c r="AA100" s="4">
        <v>49</v>
      </c>
      <c r="AB100" s="4">
        <v>184</v>
      </c>
      <c r="AC100" s="5">
        <f t="shared" si="1"/>
        <v>1.2941176470588236</v>
      </c>
    </row>
    <row r="101" spans="1:29" ht="15.75" customHeight="1" x14ac:dyDescent="0.25">
      <c r="A101" s="1" t="s">
        <v>203</v>
      </c>
      <c r="B101" s="3" t="s">
        <v>232</v>
      </c>
      <c r="C101" s="4" t="s">
        <v>119</v>
      </c>
      <c r="D101" s="4">
        <v>38</v>
      </c>
      <c r="E101" s="4">
        <v>586</v>
      </c>
      <c r="F101" s="4">
        <v>38</v>
      </c>
      <c r="G101" s="4">
        <v>0</v>
      </c>
      <c r="H101" s="4">
        <v>586</v>
      </c>
      <c r="I101" s="4">
        <v>82</v>
      </c>
      <c r="J101" s="4">
        <v>189</v>
      </c>
      <c r="K101" s="4">
        <v>0.434</v>
      </c>
      <c r="L101" s="4">
        <v>34</v>
      </c>
      <c r="M101" s="4">
        <v>95</v>
      </c>
      <c r="N101" s="4">
        <v>0.35799999999999998</v>
      </c>
      <c r="O101" s="4">
        <v>48</v>
      </c>
      <c r="P101" s="4">
        <v>94</v>
      </c>
      <c r="Q101" s="4">
        <v>0.51100000000000001</v>
      </c>
      <c r="R101" s="4">
        <v>42</v>
      </c>
      <c r="S101" s="4">
        <v>48</v>
      </c>
      <c r="T101" s="4">
        <v>0.875</v>
      </c>
      <c r="U101" s="4">
        <v>27</v>
      </c>
      <c r="V101" s="4">
        <v>80</v>
      </c>
      <c r="W101" s="4">
        <v>29</v>
      </c>
      <c r="X101" s="4">
        <v>13</v>
      </c>
      <c r="Y101" s="4">
        <v>2</v>
      </c>
      <c r="Z101" s="4">
        <v>34</v>
      </c>
      <c r="AA101" s="4">
        <v>63</v>
      </c>
      <c r="AB101" s="4">
        <v>240</v>
      </c>
      <c r="AC101" s="5">
        <f t="shared" si="1"/>
        <v>0.8529411764705882</v>
      </c>
    </row>
    <row r="102" spans="1:29" ht="15.75" customHeight="1" x14ac:dyDescent="0.25">
      <c r="A102" s="1" t="s">
        <v>210</v>
      </c>
      <c r="B102" s="3" t="s">
        <v>96</v>
      </c>
      <c r="C102" s="4" t="s">
        <v>8</v>
      </c>
      <c r="D102" s="4">
        <v>42</v>
      </c>
      <c r="E102" s="4">
        <v>584</v>
      </c>
      <c r="F102" s="4">
        <v>42</v>
      </c>
      <c r="G102" s="4">
        <v>3</v>
      </c>
      <c r="H102" s="4">
        <v>584</v>
      </c>
      <c r="I102" s="4">
        <v>58</v>
      </c>
      <c r="J102" s="4">
        <v>156</v>
      </c>
      <c r="K102" s="4">
        <v>0.372</v>
      </c>
      <c r="L102" s="4">
        <v>29</v>
      </c>
      <c r="M102" s="4">
        <v>78</v>
      </c>
      <c r="N102" s="4">
        <v>0.372</v>
      </c>
      <c r="O102" s="4">
        <v>29</v>
      </c>
      <c r="P102" s="4">
        <v>78</v>
      </c>
      <c r="Q102" s="4">
        <v>0.372</v>
      </c>
      <c r="R102" s="4">
        <v>22</v>
      </c>
      <c r="S102" s="4">
        <v>27</v>
      </c>
      <c r="T102" s="4">
        <v>0.81499999999999995</v>
      </c>
      <c r="U102" s="4">
        <v>36</v>
      </c>
      <c r="V102" s="4">
        <v>95</v>
      </c>
      <c r="W102" s="4">
        <v>44</v>
      </c>
      <c r="X102" s="4">
        <v>28</v>
      </c>
      <c r="Y102" s="4">
        <v>7</v>
      </c>
      <c r="Z102" s="4">
        <v>30</v>
      </c>
      <c r="AA102" s="4">
        <v>57</v>
      </c>
      <c r="AB102" s="4">
        <v>167</v>
      </c>
      <c r="AC102" s="5">
        <f t="shared" si="1"/>
        <v>1.4666666666666666</v>
      </c>
    </row>
    <row r="103" spans="1:29" ht="15.75" customHeight="1" x14ac:dyDescent="0.25">
      <c r="A103" s="1" t="s">
        <v>162</v>
      </c>
      <c r="B103" s="3" t="s">
        <v>84</v>
      </c>
      <c r="C103" s="4" t="s">
        <v>88</v>
      </c>
      <c r="D103" s="4">
        <v>43</v>
      </c>
      <c r="E103" s="4">
        <v>583</v>
      </c>
      <c r="F103" s="4">
        <v>43</v>
      </c>
      <c r="G103" s="4">
        <v>2</v>
      </c>
      <c r="H103" s="4">
        <v>583</v>
      </c>
      <c r="I103" s="4">
        <v>101</v>
      </c>
      <c r="J103" s="4">
        <v>199</v>
      </c>
      <c r="K103" s="4">
        <v>0.50800000000000001</v>
      </c>
      <c r="L103" s="4">
        <v>36</v>
      </c>
      <c r="M103" s="4">
        <v>88</v>
      </c>
      <c r="N103" s="4">
        <v>0.40899999999999997</v>
      </c>
      <c r="O103" s="4">
        <v>65</v>
      </c>
      <c r="P103" s="4">
        <v>111</v>
      </c>
      <c r="Q103" s="4">
        <v>0.58599999999999997</v>
      </c>
      <c r="R103" s="4">
        <v>28</v>
      </c>
      <c r="S103" s="4">
        <v>33</v>
      </c>
      <c r="T103" s="4">
        <v>0.84799999999999998</v>
      </c>
      <c r="U103" s="4">
        <v>34</v>
      </c>
      <c r="V103" s="4">
        <v>107</v>
      </c>
      <c r="W103" s="4">
        <v>31</v>
      </c>
      <c r="X103" s="4">
        <v>13</v>
      </c>
      <c r="Y103" s="4">
        <v>27</v>
      </c>
      <c r="Z103" s="4">
        <v>19</v>
      </c>
      <c r="AA103" s="4">
        <v>40</v>
      </c>
      <c r="AB103" s="4">
        <v>266</v>
      </c>
      <c r="AC103" s="5">
        <f t="shared" si="1"/>
        <v>1.631578947368421</v>
      </c>
    </row>
    <row r="104" spans="1:29" ht="15.75" customHeight="1" x14ac:dyDescent="0.25">
      <c r="A104" s="1" t="s">
        <v>196</v>
      </c>
      <c r="B104" s="3" t="s">
        <v>99</v>
      </c>
      <c r="C104" s="4" t="s">
        <v>85</v>
      </c>
      <c r="D104" s="4">
        <v>40</v>
      </c>
      <c r="E104" s="4">
        <v>581</v>
      </c>
      <c r="F104" s="4">
        <v>40</v>
      </c>
      <c r="G104" s="4">
        <v>9</v>
      </c>
      <c r="H104" s="4">
        <v>581</v>
      </c>
      <c r="I104" s="4">
        <v>100</v>
      </c>
      <c r="J104" s="4">
        <v>210</v>
      </c>
      <c r="K104" s="4">
        <v>0.47599999999999998</v>
      </c>
      <c r="L104" s="4">
        <v>33</v>
      </c>
      <c r="M104" s="4">
        <v>81</v>
      </c>
      <c r="N104" s="4">
        <v>0.40699999999999997</v>
      </c>
      <c r="O104" s="4">
        <v>67</v>
      </c>
      <c r="P104" s="4">
        <v>129</v>
      </c>
      <c r="Q104" s="4">
        <v>0.51900000000000002</v>
      </c>
      <c r="R104" s="4">
        <v>24</v>
      </c>
      <c r="S104" s="4">
        <v>29</v>
      </c>
      <c r="T104" s="4">
        <v>0.82799999999999996</v>
      </c>
      <c r="U104" s="4">
        <v>36</v>
      </c>
      <c r="V104" s="4">
        <v>106</v>
      </c>
      <c r="W104" s="4">
        <v>35</v>
      </c>
      <c r="X104" s="4">
        <v>16</v>
      </c>
      <c r="Y104" s="4">
        <v>15</v>
      </c>
      <c r="Z104" s="4">
        <v>12</v>
      </c>
      <c r="AA104" s="4">
        <v>68</v>
      </c>
      <c r="AB104" s="4">
        <v>257</v>
      </c>
      <c r="AC104" s="5">
        <f t="shared" si="1"/>
        <v>2.9166666666666665</v>
      </c>
    </row>
    <row r="105" spans="1:29" ht="15.75" customHeight="1" x14ac:dyDescent="0.25">
      <c r="A105" s="1" t="s">
        <v>231</v>
      </c>
      <c r="B105" s="3" t="s">
        <v>107</v>
      </c>
      <c r="C105" s="4" t="s">
        <v>85</v>
      </c>
      <c r="D105" s="4">
        <v>28</v>
      </c>
      <c r="E105" s="4">
        <v>575</v>
      </c>
      <c r="F105" s="4">
        <v>28</v>
      </c>
      <c r="G105" s="4">
        <v>19</v>
      </c>
      <c r="H105" s="4">
        <v>575</v>
      </c>
      <c r="I105" s="4">
        <v>119</v>
      </c>
      <c r="J105" s="4">
        <v>224</v>
      </c>
      <c r="K105" s="4">
        <v>0.53100000000000003</v>
      </c>
      <c r="L105" s="4">
        <v>7</v>
      </c>
      <c r="M105" s="4">
        <v>15</v>
      </c>
      <c r="N105" s="4">
        <v>0.46700000000000003</v>
      </c>
      <c r="O105" s="4">
        <v>112</v>
      </c>
      <c r="P105" s="4">
        <v>209</v>
      </c>
      <c r="Q105" s="4">
        <v>0.53600000000000003</v>
      </c>
      <c r="R105" s="4">
        <v>63</v>
      </c>
      <c r="S105" s="4">
        <v>88</v>
      </c>
      <c r="T105" s="4">
        <v>0.71599999999999997</v>
      </c>
      <c r="U105" s="4">
        <v>38</v>
      </c>
      <c r="V105" s="4">
        <v>123</v>
      </c>
      <c r="W105" s="4">
        <v>27</v>
      </c>
      <c r="X105" s="4">
        <v>22</v>
      </c>
      <c r="Y105" s="4">
        <v>9</v>
      </c>
      <c r="Z105" s="4">
        <v>46</v>
      </c>
      <c r="AA105" s="4">
        <v>66</v>
      </c>
      <c r="AB105" s="4">
        <v>308</v>
      </c>
      <c r="AC105" s="5">
        <f t="shared" si="1"/>
        <v>0.58695652173913049</v>
      </c>
    </row>
    <row r="106" spans="1:29" ht="15.75" customHeight="1" x14ac:dyDescent="0.25">
      <c r="A106" s="1" t="s">
        <v>180</v>
      </c>
      <c r="B106" s="3" t="s">
        <v>161</v>
      </c>
      <c r="C106" s="4" t="s">
        <v>85</v>
      </c>
      <c r="D106" s="4">
        <v>24</v>
      </c>
      <c r="E106" s="4">
        <v>573</v>
      </c>
      <c r="F106" s="4">
        <v>24</v>
      </c>
      <c r="G106" s="4">
        <v>20</v>
      </c>
      <c r="H106" s="4">
        <v>573</v>
      </c>
      <c r="I106" s="4">
        <v>108</v>
      </c>
      <c r="J106" s="4">
        <v>205</v>
      </c>
      <c r="K106" s="4">
        <v>0.52700000000000002</v>
      </c>
      <c r="L106" s="4">
        <v>20</v>
      </c>
      <c r="M106" s="4">
        <v>51</v>
      </c>
      <c r="N106" s="4">
        <v>0.39200000000000002</v>
      </c>
      <c r="O106" s="4">
        <v>88</v>
      </c>
      <c r="P106" s="4">
        <v>154</v>
      </c>
      <c r="Q106" s="4">
        <v>0.57099999999999995</v>
      </c>
      <c r="R106" s="4">
        <v>59</v>
      </c>
      <c r="S106" s="4">
        <v>82</v>
      </c>
      <c r="T106" s="4">
        <v>0.72</v>
      </c>
      <c r="U106" s="4">
        <v>43</v>
      </c>
      <c r="V106" s="4">
        <v>126</v>
      </c>
      <c r="W106" s="4">
        <v>41</v>
      </c>
      <c r="X106" s="4">
        <v>24</v>
      </c>
      <c r="Y106" s="4">
        <v>21</v>
      </c>
      <c r="Z106" s="4">
        <v>38</v>
      </c>
      <c r="AA106" s="4">
        <v>65</v>
      </c>
      <c r="AB106" s="4">
        <v>295</v>
      </c>
      <c r="AC106" s="5">
        <f t="shared" si="1"/>
        <v>1.0789473684210527</v>
      </c>
    </row>
    <row r="107" spans="1:29" ht="15.75" customHeight="1" x14ac:dyDescent="0.25">
      <c r="A107" s="1" t="s">
        <v>134</v>
      </c>
      <c r="B107" s="3" t="s">
        <v>99</v>
      </c>
      <c r="C107" s="4" t="s">
        <v>85</v>
      </c>
      <c r="D107" s="4">
        <v>32</v>
      </c>
      <c r="E107" s="4">
        <v>572</v>
      </c>
      <c r="F107" s="4">
        <v>32</v>
      </c>
      <c r="G107" s="4">
        <v>18</v>
      </c>
      <c r="H107" s="4">
        <v>572</v>
      </c>
      <c r="I107" s="4">
        <v>75</v>
      </c>
      <c r="J107" s="4">
        <v>164</v>
      </c>
      <c r="K107" s="4">
        <v>0.45700000000000002</v>
      </c>
      <c r="L107" s="4">
        <v>18</v>
      </c>
      <c r="M107" s="4">
        <v>69</v>
      </c>
      <c r="N107" s="4">
        <v>0.26100000000000001</v>
      </c>
      <c r="O107" s="4">
        <v>57</v>
      </c>
      <c r="P107" s="4">
        <v>95</v>
      </c>
      <c r="Q107" s="4">
        <v>0.6</v>
      </c>
      <c r="R107" s="4">
        <v>25</v>
      </c>
      <c r="S107" s="4">
        <v>37</v>
      </c>
      <c r="T107" s="4">
        <v>0.67600000000000005</v>
      </c>
      <c r="U107" s="4">
        <v>36</v>
      </c>
      <c r="V107" s="4">
        <v>126</v>
      </c>
      <c r="W107" s="4">
        <v>33</v>
      </c>
      <c r="X107" s="4">
        <v>23</v>
      </c>
      <c r="Y107" s="4">
        <v>15</v>
      </c>
      <c r="Z107" s="4">
        <v>38</v>
      </c>
      <c r="AA107" s="4">
        <v>76</v>
      </c>
      <c r="AB107" s="4">
        <v>193</v>
      </c>
      <c r="AC107" s="5">
        <f t="shared" si="1"/>
        <v>0.86842105263157898</v>
      </c>
    </row>
    <row r="108" spans="1:29" ht="15.75" customHeight="1" x14ac:dyDescent="0.25">
      <c r="A108" s="1" t="s">
        <v>243</v>
      </c>
      <c r="B108" s="3" t="s">
        <v>128</v>
      </c>
      <c r="C108" s="4" t="s">
        <v>8</v>
      </c>
      <c r="D108" s="4">
        <v>43</v>
      </c>
      <c r="E108" s="4">
        <v>560</v>
      </c>
      <c r="F108" s="4">
        <v>43</v>
      </c>
      <c r="G108" s="4">
        <v>1</v>
      </c>
      <c r="H108" s="4">
        <v>560</v>
      </c>
      <c r="I108" s="4">
        <v>75</v>
      </c>
      <c r="J108" s="4">
        <v>176</v>
      </c>
      <c r="K108" s="4">
        <v>0.42599999999999999</v>
      </c>
      <c r="L108" s="4">
        <v>22</v>
      </c>
      <c r="M108" s="4">
        <v>67</v>
      </c>
      <c r="N108" s="4">
        <v>0.32800000000000001</v>
      </c>
      <c r="O108" s="4">
        <v>53</v>
      </c>
      <c r="P108" s="4">
        <v>109</v>
      </c>
      <c r="Q108" s="4">
        <v>0.48599999999999999</v>
      </c>
      <c r="R108" s="4">
        <v>34</v>
      </c>
      <c r="S108" s="4">
        <v>38</v>
      </c>
      <c r="T108" s="4">
        <v>0.89500000000000002</v>
      </c>
      <c r="U108" s="4">
        <v>11</v>
      </c>
      <c r="V108" s="4">
        <v>61</v>
      </c>
      <c r="W108" s="4">
        <v>45</v>
      </c>
      <c r="X108" s="4">
        <v>13</v>
      </c>
      <c r="Y108" s="4">
        <v>4</v>
      </c>
      <c r="Z108" s="4">
        <v>32</v>
      </c>
      <c r="AA108" s="4">
        <v>53</v>
      </c>
      <c r="AB108" s="4">
        <v>206</v>
      </c>
      <c r="AC108" s="5">
        <f t="shared" si="1"/>
        <v>1.40625</v>
      </c>
    </row>
    <row r="109" spans="1:29" ht="15.75" customHeight="1" x14ac:dyDescent="0.25">
      <c r="A109" s="1" t="s">
        <v>228</v>
      </c>
      <c r="B109" s="3" t="s">
        <v>161</v>
      </c>
      <c r="C109" s="4" t="s">
        <v>8</v>
      </c>
      <c r="D109" s="4">
        <v>41</v>
      </c>
      <c r="E109" s="4">
        <v>559</v>
      </c>
      <c r="F109" s="4">
        <v>41</v>
      </c>
      <c r="G109" s="4">
        <v>3</v>
      </c>
      <c r="H109" s="4">
        <v>559</v>
      </c>
      <c r="I109" s="4">
        <v>64</v>
      </c>
      <c r="J109" s="4">
        <v>187</v>
      </c>
      <c r="K109" s="4">
        <v>0.34200000000000003</v>
      </c>
      <c r="L109" s="4">
        <v>44</v>
      </c>
      <c r="M109" s="4">
        <v>136</v>
      </c>
      <c r="N109" s="4">
        <v>0.32400000000000001</v>
      </c>
      <c r="O109" s="4">
        <v>20</v>
      </c>
      <c r="P109" s="4">
        <v>51</v>
      </c>
      <c r="Q109" s="4">
        <v>0.39200000000000002</v>
      </c>
      <c r="R109" s="4">
        <v>46</v>
      </c>
      <c r="S109" s="4">
        <v>52</v>
      </c>
      <c r="T109" s="4">
        <v>0.88500000000000001</v>
      </c>
      <c r="U109" s="4">
        <v>9</v>
      </c>
      <c r="V109" s="4">
        <v>46</v>
      </c>
      <c r="W109" s="4">
        <v>41</v>
      </c>
      <c r="X109" s="4">
        <v>14</v>
      </c>
      <c r="Y109" s="4">
        <v>0</v>
      </c>
      <c r="Z109" s="4">
        <v>20</v>
      </c>
      <c r="AA109" s="4">
        <v>53</v>
      </c>
      <c r="AB109" s="4">
        <v>218</v>
      </c>
      <c r="AC109" s="5">
        <f t="shared" si="1"/>
        <v>2.0499999999999998</v>
      </c>
    </row>
    <row r="110" spans="1:29" ht="15.75" customHeight="1" x14ac:dyDescent="0.25">
      <c r="A110" s="1" t="s">
        <v>225</v>
      </c>
      <c r="B110" s="4" t="s">
        <v>93</v>
      </c>
      <c r="C110" s="4" t="s">
        <v>85</v>
      </c>
      <c r="D110" s="4">
        <v>34</v>
      </c>
      <c r="E110" s="4">
        <v>557</v>
      </c>
      <c r="F110" s="4">
        <v>34</v>
      </c>
      <c r="G110" s="4">
        <v>5</v>
      </c>
      <c r="H110" s="4">
        <v>557</v>
      </c>
      <c r="I110" s="4">
        <v>51</v>
      </c>
      <c r="J110" s="4">
        <v>137</v>
      </c>
      <c r="K110" s="4">
        <v>0.372</v>
      </c>
      <c r="L110" s="4">
        <v>19</v>
      </c>
      <c r="M110" s="4">
        <v>68</v>
      </c>
      <c r="N110" s="4">
        <v>0.27900000000000003</v>
      </c>
      <c r="O110" s="4">
        <v>32</v>
      </c>
      <c r="P110" s="4">
        <v>69</v>
      </c>
      <c r="Q110" s="4">
        <v>0.46400000000000002</v>
      </c>
      <c r="R110" s="4">
        <v>96</v>
      </c>
      <c r="S110" s="4">
        <v>117</v>
      </c>
      <c r="T110" s="4">
        <v>0.82099999999999995</v>
      </c>
      <c r="U110" s="4">
        <v>23</v>
      </c>
      <c r="V110" s="4">
        <v>94</v>
      </c>
      <c r="W110" s="4">
        <v>42</v>
      </c>
      <c r="X110" s="4">
        <v>17</v>
      </c>
      <c r="Y110" s="4">
        <v>8</v>
      </c>
      <c r="Z110" s="4">
        <v>46</v>
      </c>
      <c r="AA110" s="4">
        <v>65</v>
      </c>
      <c r="AB110" s="4">
        <v>217</v>
      </c>
      <c r="AC110" s="5">
        <f t="shared" si="1"/>
        <v>0.91304347826086951</v>
      </c>
    </row>
    <row r="111" spans="1:29" ht="15.75" customHeight="1" x14ac:dyDescent="0.25">
      <c r="A111" s="1" t="s">
        <v>147</v>
      </c>
      <c r="B111" s="4" t="s">
        <v>131</v>
      </c>
      <c r="C111" s="4" t="s">
        <v>8</v>
      </c>
      <c r="D111" s="4">
        <v>19</v>
      </c>
      <c r="E111" s="4">
        <v>553</v>
      </c>
      <c r="F111" s="4">
        <v>19</v>
      </c>
      <c r="G111" s="4">
        <v>19</v>
      </c>
      <c r="H111" s="4">
        <v>553</v>
      </c>
      <c r="I111" s="4">
        <v>87</v>
      </c>
      <c r="J111" s="4">
        <v>222</v>
      </c>
      <c r="K111" s="4">
        <v>0.39200000000000002</v>
      </c>
      <c r="L111" s="4">
        <v>26</v>
      </c>
      <c r="M111" s="4">
        <v>68</v>
      </c>
      <c r="N111" s="4">
        <v>0.38200000000000001</v>
      </c>
      <c r="O111" s="4">
        <v>61</v>
      </c>
      <c r="P111" s="4">
        <v>154</v>
      </c>
      <c r="Q111" s="4">
        <v>0.39600000000000002</v>
      </c>
      <c r="R111" s="4">
        <v>69</v>
      </c>
      <c r="S111" s="4">
        <v>89</v>
      </c>
      <c r="T111" s="4">
        <v>0.77500000000000002</v>
      </c>
      <c r="U111" s="4">
        <v>13</v>
      </c>
      <c r="V111" s="4">
        <v>60</v>
      </c>
      <c r="W111" s="4">
        <v>93</v>
      </c>
      <c r="X111" s="4">
        <v>18</v>
      </c>
      <c r="Y111" s="4">
        <v>11</v>
      </c>
      <c r="Z111" s="4">
        <v>33</v>
      </c>
      <c r="AA111" s="4">
        <v>41</v>
      </c>
      <c r="AB111" s="4">
        <v>269</v>
      </c>
      <c r="AC111" s="5">
        <f t="shared" si="1"/>
        <v>2.8181818181818183</v>
      </c>
    </row>
    <row r="112" spans="1:29" ht="15.75" customHeight="1" x14ac:dyDescent="0.25">
      <c r="A112" s="1" t="s">
        <v>262</v>
      </c>
      <c r="B112" s="3" t="s">
        <v>131</v>
      </c>
      <c r="C112" s="4" t="s">
        <v>8</v>
      </c>
      <c r="D112" s="4">
        <v>25</v>
      </c>
      <c r="E112" s="4">
        <v>552</v>
      </c>
      <c r="F112" s="4">
        <v>25</v>
      </c>
      <c r="G112" s="4">
        <v>22</v>
      </c>
      <c r="H112" s="4">
        <v>552</v>
      </c>
      <c r="I112" s="4">
        <v>80</v>
      </c>
      <c r="J112" s="4">
        <v>181</v>
      </c>
      <c r="K112" s="4">
        <v>0.442</v>
      </c>
      <c r="L112" s="4">
        <v>22</v>
      </c>
      <c r="M112" s="4">
        <v>58</v>
      </c>
      <c r="N112" s="4">
        <v>0.379</v>
      </c>
      <c r="O112" s="4">
        <v>58</v>
      </c>
      <c r="P112" s="4">
        <v>123</v>
      </c>
      <c r="Q112" s="4">
        <v>0.47199999999999998</v>
      </c>
      <c r="R112" s="4">
        <v>50</v>
      </c>
      <c r="S112" s="4">
        <v>64</v>
      </c>
      <c r="T112" s="4">
        <v>0.78100000000000003</v>
      </c>
      <c r="U112" s="4">
        <v>10</v>
      </c>
      <c r="V112" s="4">
        <v>73</v>
      </c>
      <c r="W112" s="4">
        <v>131</v>
      </c>
      <c r="X112" s="4">
        <v>29</v>
      </c>
      <c r="Y112" s="4">
        <v>7</v>
      </c>
      <c r="Z112" s="4">
        <v>53</v>
      </c>
      <c r="AA112" s="4">
        <v>41</v>
      </c>
      <c r="AB112" s="4">
        <v>232</v>
      </c>
      <c r="AC112" s="5">
        <f t="shared" si="1"/>
        <v>2.4716981132075473</v>
      </c>
    </row>
    <row r="113" spans="1:29" ht="15.75" customHeight="1" x14ac:dyDescent="0.25">
      <c r="A113" s="1" t="s">
        <v>136</v>
      </c>
      <c r="B113" s="3" t="s">
        <v>240</v>
      </c>
      <c r="C113" s="4" t="s">
        <v>8</v>
      </c>
      <c r="D113" s="4">
        <v>17</v>
      </c>
      <c r="E113" s="4">
        <v>519</v>
      </c>
      <c r="F113" s="4">
        <v>17</v>
      </c>
      <c r="G113" s="4">
        <v>15</v>
      </c>
      <c r="H113" s="4">
        <v>519</v>
      </c>
      <c r="I113" s="4">
        <v>126</v>
      </c>
      <c r="J113" s="4">
        <v>243</v>
      </c>
      <c r="K113" s="4">
        <v>0.51900000000000002</v>
      </c>
      <c r="L113" s="4">
        <v>40</v>
      </c>
      <c r="M113" s="4">
        <v>106</v>
      </c>
      <c r="N113" s="4">
        <v>0.377</v>
      </c>
      <c r="O113" s="4">
        <v>86</v>
      </c>
      <c r="P113" s="4">
        <v>137</v>
      </c>
      <c r="Q113" s="4">
        <v>0.628</v>
      </c>
      <c r="R113" s="4">
        <v>74</v>
      </c>
      <c r="S113" s="4">
        <v>91</v>
      </c>
      <c r="T113" s="4">
        <v>0.81299999999999994</v>
      </c>
      <c r="U113" s="4">
        <v>3</v>
      </c>
      <c r="V113" s="4">
        <v>35</v>
      </c>
      <c r="W113" s="4">
        <v>91</v>
      </c>
      <c r="X113" s="4">
        <v>17</v>
      </c>
      <c r="Y113" s="4">
        <v>0</v>
      </c>
      <c r="Z113" s="4">
        <v>48</v>
      </c>
      <c r="AA113" s="4">
        <v>56</v>
      </c>
      <c r="AB113" s="4">
        <v>366</v>
      </c>
      <c r="AC113" s="5">
        <f t="shared" si="1"/>
        <v>1.8958333333333333</v>
      </c>
    </row>
    <row r="114" spans="1:29" ht="15.75" customHeight="1" x14ac:dyDescent="0.25">
      <c r="A114" s="1" t="s">
        <v>187</v>
      </c>
      <c r="B114" s="3" t="s">
        <v>117</v>
      </c>
      <c r="C114" s="4" t="s">
        <v>119</v>
      </c>
      <c r="D114" s="4">
        <v>39</v>
      </c>
      <c r="E114" s="4">
        <v>516</v>
      </c>
      <c r="F114" s="4">
        <v>39</v>
      </c>
      <c r="G114" s="4">
        <v>5</v>
      </c>
      <c r="H114" s="4">
        <v>516</v>
      </c>
      <c r="I114" s="4">
        <v>30</v>
      </c>
      <c r="J114" s="4">
        <v>53</v>
      </c>
      <c r="K114" s="4">
        <v>0.56599999999999995</v>
      </c>
      <c r="L114" s="4">
        <v>0</v>
      </c>
      <c r="M114" s="4">
        <v>0</v>
      </c>
      <c r="N114" s="4">
        <v>0</v>
      </c>
      <c r="O114" s="4">
        <v>30</v>
      </c>
      <c r="P114" s="4">
        <v>53</v>
      </c>
      <c r="Q114" s="4">
        <v>0.56599999999999995</v>
      </c>
      <c r="R114" s="4">
        <v>2</v>
      </c>
      <c r="S114" s="4">
        <v>2</v>
      </c>
      <c r="T114" s="4">
        <v>1</v>
      </c>
      <c r="U114" s="4">
        <v>21</v>
      </c>
      <c r="V114" s="4">
        <v>87</v>
      </c>
      <c r="W114" s="4">
        <v>8</v>
      </c>
      <c r="X114" s="4">
        <v>11</v>
      </c>
      <c r="Y114" s="4">
        <v>22</v>
      </c>
      <c r="Z114" s="4">
        <v>25</v>
      </c>
      <c r="AA114" s="4">
        <v>58</v>
      </c>
      <c r="AB114" s="4">
        <v>62</v>
      </c>
      <c r="AC114" s="5">
        <f t="shared" si="1"/>
        <v>0.32</v>
      </c>
    </row>
    <row r="115" spans="1:29" ht="15.75" customHeight="1" x14ac:dyDescent="0.25">
      <c r="A115" s="1" t="s">
        <v>213</v>
      </c>
      <c r="B115" s="3" t="s">
        <v>131</v>
      </c>
      <c r="C115" s="4" t="s">
        <v>8</v>
      </c>
      <c r="D115" s="4">
        <v>38</v>
      </c>
      <c r="E115" s="4">
        <v>514</v>
      </c>
      <c r="F115" s="4">
        <v>38</v>
      </c>
      <c r="G115" s="4">
        <v>2</v>
      </c>
      <c r="H115" s="4">
        <v>514</v>
      </c>
      <c r="I115" s="4">
        <v>64</v>
      </c>
      <c r="J115" s="4">
        <v>177</v>
      </c>
      <c r="K115" s="4">
        <v>0.36199999999999999</v>
      </c>
      <c r="L115" s="4">
        <v>42</v>
      </c>
      <c r="M115" s="4">
        <v>129</v>
      </c>
      <c r="N115" s="4">
        <v>0.32600000000000001</v>
      </c>
      <c r="O115" s="4">
        <v>22</v>
      </c>
      <c r="P115" s="4">
        <v>48</v>
      </c>
      <c r="Q115" s="4">
        <v>0.45800000000000002</v>
      </c>
      <c r="R115" s="4">
        <v>15</v>
      </c>
      <c r="S115" s="4">
        <v>19</v>
      </c>
      <c r="T115" s="4">
        <v>0.78900000000000003</v>
      </c>
      <c r="U115" s="4">
        <v>3</v>
      </c>
      <c r="V115" s="4">
        <v>46</v>
      </c>
      <c r="W115" s="4">
        <v>48</v>
      </c>
      <c r="X115" s="4">
        <v>11</v>
      </c>
      <c r="Y115" s="4">
        <v>8</v>
      </c>
      <c r="Z115" s="4">
        <v>29</v>
      </c>
      <c r="AA115" s="4">
        <v>50</v>
      </c>
      <c r="AB115" s="4">
        <v>185</v>
      </c>
      <c r="AC115" s="5">
        <f t="shared" si="1"/>
        <v>1.6551724137931034</v>
      </c>
    </row>
    <row r="116" spans="1:29" ht="15.75" customHeight="1" x14ac:dyDescent="0.25">
      <c r="A116" s="1" t="s">
        <v>221</v>
      </c>
      <c r="B116" s="3" t="s">
        <v>157</v>
      </c>
      <c r="C116" s="4" t="s">
        <v>8</v>
      </c>
      <c r="D116" s="4">
        <v>37</v>
      </c>
      <c r="E116" s="4">
        <v>507</v>
      </c>
      <c r="F116" s="4">
        <v>37</v>
      </c>
      <c r="G116" s="4">
        <v>4</v>
      </c>
      <c r="H116" s="4">
        <v>507</v>
      </c>
      <c r="I116" s="4">
        <v>53</v>
      </c>
      <c r="J116" s="4">
        <v>124</v>
      </c>
      <c r="K116" s="4">
        <v>0.42699999999999999</v>
      </c>
      <c r="L116" s="4">
        <v>24</v>
      </c>
      <c r="M116" s="4">
        <v>67</v>
      </c>
      <c r="N116" s="4">
        <v>0.35799999999999998</v>
      </c>
      <c r="O116" s="4">
        <v>29</v>
      </c>
      <c r="P116" s="4">
        <v>57</v>
      </c>
      <c r="Q116" s="4">
        <v>0.50900000000000001</v>
      </c>
      <c r="R116" s="4">
        <v>24</v>
      </c>
      <c r="S116" s="4">
        <v>27</v>
      </c>
      <c r="T116" s="4">
        <v>0.88900000000000001</v>
      </c>
      <c r="U116" s="4">
        <v>6</v>
      </c>
      <c r="V116" s="4">
        <v>39</v>
      </c>
      <c r="W116" s="4">
        <v>73</v>
      </c>
      <c r="X116" s="4">
        <v>10</v>
      </c>
      <c r="Y116" s="4">
        <v>5</v>
      </c>
      <c r="Z116" s="4">
        <v>19</v>
      </c>
      <c r="AA116" s="4">
        <v>40</v>
      </c>
      <c r="AB116" s="4">
        <v>154</v>
      </c>
      <c r="AC116" s="5">
        <f t="shared" si="1"/>
        <v>3.8421052631578947</v>
      </c>
    </row>
    <row r="117" spans="1:29" ht="15.75" customHeight="1" x14ac:dyDescent="0.25">
      <c r="A117" s="1" t="s">
        <v>264</v>
      </c>
      <c r="B117" s="3" t="s">
        <v>84</v>
      </c>
      <c r="C117" s="4" t="s">
        <v>112</v>
      </c>
      <c r="D117" s="4">
        <v>28</v>
      </c>
      <c r="E117" s="4">
        <v>504</v>
      </c>
      <c r="F117" s="4">
        <v>28</v>
      </c>
      <c r="G117" s="4">
        <v>12</v>
      </c>
      <c r="H117" s="4">
        <v>504</v>
      </c>
      <c r="I117" s="4">
        <v>56</v>
      </c>
      <c r="J117" s="4">
        <v>133</v>
      </c>
      <c r="K117" s="4">
        <v>0.42099999999999999</v>
      </c>
      <c r="L117" s="4">
        <v>37</v>
      </c>
      <c r="M117" s="4">
        <v>91</v>
      </c>
      <c r="N117" s="4">
        <v>0.40699999999999997</v>
      </c>
      <c r="O117" s="4">
        <v>19</v>
      </c>
      <c r="P117" s="4">
        <v>42</v>
      </c>
      <c r="Q117" s="4">
        <v>0.45200000000000001</v>
      </c>
      <c r="R117" s="4">
        <v>13</v>
      </c>
      <c r="S117" s="4">
        <v>15</v>
      </c>
      <c r="T117" s="4">
        <v>0.86699999999999999</v>
      </c>
      <c r="U117" s="4">
        <v>16</v>
      </c>
      <c r="V117" s="4">
        <v>69</v>
      </c>
      <c r="W117" s="4">
        <v>18</v>
      </c>
      <c r="X117" s="4">
        <v>15</v>
      </c>
      <c r="Y117" s="4">
        <v>12</v>
      </c>
      <c r="Z117" s="4">
        <v>17</v>
      </c>
      <c r="AA117" s="4">
        <v>61</v>
      </c>
      <c r="AB117" s="4">
        <v>162</v>
      </c>
      <c r="AC117" s="5">
        <f t="shared" si="1"/>
        <v>1.0588235294117647</v>
      </c>
    </row>
    <row r="118" spans="1:29" ht="15.75" customHeight="1" x14ac:dyDescent="0.25">
      <c r="A118" s="1" t="s">
        <v>234</v>
      </c>
      <c r="B118" s="3" t="s">
        <v>232</v>
      </c>
      <c r="C118" s="4" t="s">
        <v>85</v>
      </c>
      <c r="D118" s="4">
        <v>38</v>
      </c>
      <c r="E118" s="4">
        <v>504</v>
      </c>
      <c r="F118" s="4">
        <v>38</v>
      </c>
      <c r="G118" s="4">
        <v>3</v>
      </c>
      <c r="H118" s="4">
        <v>504</v>
      </c>
      <c r="I118" s="4">
        <v>67</v>
      </c>
      <c r="J118" s="4">
        <v>122</v>
      </c>
      <c r="K118" s="4">
        <v>0.54900000000000004</v>
      </c>
      <c r="L118" s="4">
        <v>1</v>
      </c>
      <c r="M118" s="4">
        <v>2</v>
      </c>
      <c r="N118" s="4">
        <v>0.5</v>
      </c>
      <c r="O118" s="4">
        <v>66</v>
      </c>
      <c r="P118" s="4">
        <v>120</v>
      </c>
      <c r="Q118" s="4">
        <v>0.55000000000000004</v>
      </c>
      <c r="R118" s="4">
        <v>32</v>
      </c>
      <c r="S118" s="4">
        <v>52</v>
      </c>
      <c r="T118" s="4">
        <v>0.61499999999999999</v>
      </c>
      <c r="U118" s="4">
        <v>35</v>
      </c>
      <c r="V118" s="4">
        <v>105</v>
      </c>
      <c r="W118" s="4">
        <v>18</v>
      </c>
      <c r="X118" s="4">
        <v>19</v>
      </c>
      <c r="Y118" s="4">
        <v>16</v>
      </c>
      <c r="Z118" s="4">
        <v>30</v>
      </c>
      <c r="AA118" s="4">
        <v>73</v>
      </c>
      <c r="AB118" s="4">
        <v>167</v>
      </c>
      <c r="AC118" s="5">
        <f t="shared" si="1"/>
        <v>0.6</v>
      </c>
    </row>
    <row r="119" spans="1:29" ht="15.75" customHeight="1" x14ac:dyDescent="0.25">
      <c r="A119" s="1" t="s">
        <v>160</v>
      </c>
      <c r="B119" s="3" t="s">
        <v>161</v>
      </c>
      <c r="C119" s="4" t="s">
        <v>8</v>
      </c>
      <c r="D119" s="4">
        <v>17</v>
      </c>
      <c r="E119" s="4">
        <v>500</v>
      </c>
      <c r="F119" s="4">
        <v>17</v>
      </c>
      <c r="G119" s="4">
        <v>17</v>
      </c>
      <c r="H119" s="4">
        <v>500</v>
      </c>
      <c r="I119" s="4">
        <v>102</v>
      </c>
      <c r="J119" s="4">
        <v>244</v>
      </c>
      <c r="K119" s="4">
        <v>0.41799999999999998</v>
      </c>
      <c r="L119" s="4">
        <v>16</v>
      </c>
      <c r="M119" s="4">
        <v>62</v>
      </c>
      <c r="N119" s="4">
        <v>0.25800000000000001</v>
      </c>
      <c r="O119" s="4">
        <v>86</v>
      </c>
      <c r="P119" s="4">
        <v>182</v>
      </c>
      <c r="Q119" s="4">
        <v>0.47299999999999998</v>
      </c>
      <c r="R119" s="4">
        <v>96</v>
      </c>
      <c r="S119" s="4">
        <v>107</v>
      </c>
      <c r="T119" s="4">
        <v>0.89700000000000002</v>
      </c>
      <c r="U119" s="4">
        <v>16</v>
      </c>
      <c r="V119" s="4">
        <v>59</v>
      </c>
      <c r="W119" s="4">
        <v>57</v>
      </c>
      <c r="X119" s="4">
        <v>20</v>
      </c>
      <c r="Y119" s="4">
        <v>8</v>
      </c>
      <c r="Z119" s="4">
        <v>36</v>
      </c>
      <c r="AA119" s="4">
        <v>41</v>
      </c>
      <c r="AB119" s="4">
        <v>316</v>
      </c>
      <c r="AC119" s="5">
        <f t="shared" si="1"/>
        <v>1.5833333333333333</v>
      </c>
    </row>
    <row r="120" spans="1:29" ht="15.75" customHeight="1" x14ac:dyDescent="0.25">
      <c r="A120" s="1" t="s">
        <v>206</v>
      </c>
      <c r="B120" s="3" t="s">
        <v>157</v>
      </c>
      <c r="C120" s="4" t="s">
        <v>85</v>
      </c>
      <c r="D120" s="4">
        <v>36</v>
      </c>
      <c r="E120" s="4">
        <v>496</v>
      </c>
      <c r="F120" s="4">
        <v>36</v>
      </c>
      <c r="G120" s="4">
        <v>3</v>
      </c>
      <c r="H120" s="4">
        <v>496</v>
      </c>
      <c r="I120" s="4">
        <v>54</v>
      </c>
      <c r="J120" s="4">
        <v>111</v>
      </c>
      <c r="K120" s="4">
        <v>0.48599999999999999</v>
      </c>
      <c r="L120" s="4">
        <v>8</v>
      </c>
      <c r="M120" s="4">
        <v>23</v>
      </c>
      <c r="N120" s="4">
        <v>0.34799999999999998</v>
      </c>
      <c r="O120" s="4">
        <v>46</v>
      </c>
      <c r="P120" s="4">
        <v>88</v>
      </c>
      <c r="Q120" s="4">
        <v>0.52300000000000002</v>
      </c>
      <c r="R120" s="4">
        <v>19</v>
      </c>
      <c r="S120" s="4">
        <v>31</v>
      </c>
      <c r="T120" s="4">
        <v>0.61299999999999999</v>
      </c>
      <c r="U120" s="4">
        <v>22</v>
      </c>
      <c r="V120" s="4">
        <v>119</v>
      </c>
      <c r="W120" s="4">
        <v>52</v>
      </c>
      <c r="X120" s="4">
        <v>17</v>
      </c>
      <c r="Y120" s="4">
        <v>14</v>
      </c>
      <c r="Z120" s="4">
        <v>39</v>
      </c>
      <c r="AA120" s="4">
        <v>74</v>
      </c>
      <c r="AB120" s="4">
        <v>135</v>
      </c>
      <c r="AC120" s="5">
        <f t="shared" si="1"/>
        <v>1.3333333333333333</v>
      </c>
    </row>
    <row r="121" spans="1:29" ht="15.75" customHeight="1" x14ac:dyDescent="0.25">
      <c r="A121" s="1" t="s">
        <v>254</v>
      </c>
      <c r="B121" s="3" t="s">
        <v>232</v>
      </c>
      <c r="C121" s="4" t="s">
        <v>8</v>
      </c>
      <c r="D121" s="4">
        <v>31</v>
      </c>
      <c r="E121" s="4">
        <v>494</v>
      </c>
      <c r="F121" s="4">
        <v>31</v>
      </c>
      <c r="G121" s="4">
        <v>3</v>
      </c>
      <c r="H121" s="4">
        <v>494</v>
      </c>
      <c r="I121" s="4">
        <v>44</v>
      </c>
      <c r="J121" s="4">
        <v>120</v>
      </c>
      <c r="K121" s="4">
        <v>0.36699999999999999</v>
      </c>
      <c r="L121" s="4">
        <v>31</v>
      </c>
      <c r="M121" s="4">
        <v>101</v>
      </c>
      <c r="N121" s="4">
        <v>0.307</v>
      </c>
      <c r="O121" s="4">
        <v>13</v>
      </c>
      <c r="P121" s="4">
        <v>19</v>
      </c>
      <c r="Q121" s="4">
        <v>0.68400000000000005</v>
      </c>
      <c r="R121" s="4">
        <v>33</v>
      </c>
      <c r="S121" s="4">
        <v>37</v>
      </c>
      <c r="T121" s="4">
        <v>0.89200000000000002</v>
      </c>
      <c r="U121" s="4">
        <v>15</v>
      </c>
      <c r="V121" s="4">
        <v>47</v>
      </c>
      <c r="W121" s="4">
        <v>25</v>
      </c>
      <c r="X121" s="4">
        <v>17</v>
      </c>
      <c r="Y121" s="4">
        <v>3</v>
      </c>
      <c r="Z121" s="4">
        <v>11</v>
      </c>
      <c r="AA121" s="4">
        <v>56</v>
      </c>
      <c r="AB121" s="4">
        <v>152</v>
      </c>
      <c r="AC121" s="5">
        <f t="shared" si="1"/>
        <v>2.2727272727272729</v>
      </c>
    </row>
    <row r="122" spans="1:29" ht="15.75" customHeight="1" x14ac:dyDescent="0.25">
      <c r="A122" s="1" t="s">
        <v>249</v>
      </c>
      <c r="B122" s="4" t="s">
        <v>114</v>
      </c>
      <c r="C122" s="4" t="s">
        <v>8</v>
      </c>
      <c r="D122" s="4">
        <v>32</v>
      </c>
      <c r="E122" s="4">
        <v>491</v>
      </c>
      <c r="F122" s="4">
        <v>32</v>
      </c>
      <c r="G122" s="4">
        <v>1</v>
      </c>
      <c r="H122" s="4">
        <v>491</v>
      </c>
      <c r="I122" s="4">
        <v>47</v>
      </c>
      <c r="J122" s="4">
        <v>116</v>
      </c>
      <c r="K122" s="4">
        <v>0.40500000000000003</v>
      </c>
      <c r="L122" s="4">
        <v>26</v>
      </c>
      <c r="M122" s="4">
        <v>81</v>
      </c>
      <c r="N122" s="4">
        <v>0.32100000000000001</v>
      </c>
      <c r="O122" s="4">
        <v>21</v>
      </c>
      <c r="P122" s="4">
        <v>35</v>
      </c>
      <c r="Q122" s="4">
        <v>0.6</v>
      </c>
      <c r="R122" s="4">
        <v>22</v>
      </c>
      <c r="S122" s="4">
        <v>28</v>
      </c>
      <c r="T122" s="4">
        <v>0.78600000000000003</v>
      </c>
      <c r="U122" s="4">
        <v>12</v>
      </c>
      <c r="V122" s="4">
        <v>67</v>
      </c>
      <c r="W122" s="4">
        <v>26</v>
      </c>
      <c r="X122" s="4">
        <v>26</v>
      </c>
      <c r="Y122" s="4">
        <v>3</v>
      </c>
      <c r="Z122" s="4">
        <v>15</v>
      </c>
      <c r="AA122" s="4">
        <v>30</v>
      </c>
      <c r="AB122" s="4">
        <v>142</v>
      </c>
      <c r="AC122" s="5">
        <f t="shared" si="1"/>
        <v>1.7333333333333334</v>
      </c>
    </row>
    <row r="123" spans="1:29" ht="15.75" customHeight="1" x14ac:dyDescent="0.25">
      <c r="A123" s="1" t="s">
        <v>133</v>
      </c>
      <c r="B123" s="3" t="s">
        <v>99</v>
      </c>
      <c r="C123" s="4" t="s">
        <v>8</v>
      </c>
      <c r="D123" s="4">
        <v>34</v>
      </c>
      <c r="E123" s="4">
        <v>491</v>
      </c>
      <c r="F123" s="4">
        <v>34</v>
      </c>
      <c r="G123" s="4">
        <v>11</v>
      </c>
      <c r="H123" s="4">
        <v>491</v>
      </c>
      <c r="I123" s="4">
        <v>55</v>
      </c>
      <c r="J123" s="4">
        <v>145</v>
      </c>
      <c r="K123" s="4">
        <v>0.379</v>
      </c>
      <c r="L123" s="4">
        <v>15</v>
      </c>
      <c r="M123" s="4">
        <v>49</v>
      </c>
      <c r="N123" s="4">
        <v>0.30599999999999999</v>
      </c>
      <c r="O123" s="4">
        <v>40</v>
      </c>
      <c r="P123" s="4">
        <v>96</v>
      </c>
      <c r="Q123" s="4">
        <v>0.41699999999999998</v>
      </c>
      <c r="R123" s="4">
        <v>32</v>
      </c>
      <c r="S123" s="4">
        <v>38</v>
      </c>
      <c r="T123" s="4">
        <v>0.84199999999999997</v>
      </c>
      <c r="U123" s="4">
        <v>5</v>
      </c>
      <c r="V123" s="4">
        <v>33</v>
      </c>
      <c r="W123" s="4">
        <v>70</v>
      </c>
      <c r="X123" s="4">
        <v>17</v>
      </c>
      <c r="Y123" s="4">
        <v>2</v>
      </c>
      <c r="Z123" s="4">
        <v>34</v>
      </c>
      <c r="AA123" s="4">
        <v>38</v>
      </c>
      <c r="AB123" s="4">
        <v>157</v>
      </c>
      <c r="AC123" s="5">
        <f t="shared" si="1"/>
        <v>2.0588235294117645</v>
      </c>
    </row>
    <row r="124" spans="1:29" ht="15.75" customHeight="1" x14ac:dyDescent="0.25">
      <c r="A124" s="1" t="s">
        <v>100</v>
      </c>
      <c r="B124" s="4" t="s">
        <v>240</v>
      </c>
      <c r="C124" s="4" t="s">
        <v>94</v>
      </c>
      <c r="D124" s="4">
        <v>28</v>
      </c>
      <c r="E124" s="4">
        <v>464</v>
      </c>
      <c r="F124" s="4">
        <v>28</v>
      </c>
      <c r="G124" s="4">
        <v>5</v>
      </c>
      <c r="H124" s="4">
        <v>464</v>
      </c>
      <c r="I124" s="4">
        <v>42</v>
      </c>
      <c r="J124" s="4">
        <v>112</v>
      </c>
      <c r="K124" s="4">
        <v>0.375</v>
      </c>
      <c r="L124" s="4">
        <v>15</v>
      </c>
      <c r="M124" s="4">
        <v>56</v>
      </c>
      <c r="N124" s="4">
        <v>0.26800000000000002</v>
      </c>
      <c r="O124" s="4">
        <v>27</v>
      </c>
      <c r="P124" s="4">
        <v>56</v>
      </c>
      <c r="Q124" s="4">
        <v>0.48199999999999998</v>
      </c>
      <c r="R124" s="4">
        <v>30</v>
      </c>
      <c r="S124" s="4">
        <v>37</v>
      </c>
      <c r="T124" s="4">
        <v>0.81100000000000005</v>
      </c>
      <c r="U124" s="4">
        <v>8</v>
      </c>
      <c r="V124" s="4">
        <v>56</v>
      </c>
      <c r="W124" s="4">
        <v>55</v>
      </c>
      <c r="X124" s="4">
        <v>10</v>
      </c>
      <c r="Y124" s="4">
        <v>4</v>
      </c>
      <c r="Z124" s="4">
        <v>35</v>
      </c>
      <c r="AA124" s="4">
        <v>39</v>
      </c>
      <c r="AB124" s="4">
        <v>129</v>
      </c>
      <c r="AC124" s="5">
        <f t="shared" si="1"/>
        <v>1.5714285714285714</v>
      </c>
    </row>
    <row r="125" spans="1:29" ht="15.75" customHeight="1" x14ac:dyDescent="0.25">
      <c r="A125" s="1" t="s">
        <v>233</v>
      </c>
      <c r="B125" s="3" t="s">
        <v>107</v>
      </c>
      <c r="C125" s="4" t="s">
        <v>85</v>
      </c>
      <c r="D125" s="4">
        <v>38</v>
      </c>
      <c r="E125" s="4">
        <v>462</v>
      </c>
      <c r="F125" s="4">
        <v>38</v>
      </c>
      <c r="G125" s="4">
        <v>1</v>
      </c>
      <c r="H125" s="4">
        <v>462</v>
      </c>
      <c r="I125" s="4">
        <v>55</v>
      </c>
      <c r="J125" s="4">
        <v>137</v>
      </c>
      <c r="K125" s="4">
        <v>0.40100000000000002</v>
      </c>
      <c r="L125" s="4">
        <v>6</v>
      </c>
      <c r="M125" s="4">
        <v>32</v>
      </c>
      <c r="N125" s="4">
        <v>0.188</v>
      </c>
      <c r="O125" s="4">
        <v>49</v>
      </c>
      <c r="P125" s="4">
        <v>105</v>
      </c>
      <c r="Q125" s="4">
        <v>0.46700000000000003</v>
      </c>
      <c r="R125" s="4">
        <v>43</v>
      </c>
      <c r="S125" s="4">
        <v>66</v>
      </c>
      <c r="T125" s="4">
        <v>0.65200000000000002</v>
      </c>
      <c r="U125" s="4">
        <v>30</v>
      </c>
      <c r="V125" s="4">
        <v>71</v>
      </c>
      <c r="W125" s="4">
        <v>31</v>
      </c>
      <c r="X125" s="4">
        <v>21</v>
      </c>
      <c r="Y125" s="4">
        <v>10</v>
      </c>
      <c r="Z125" s="4">
        <v>29</v>
      </c>
      <c r="AA125" s="4">
        <v>67</v>
      </c>
      <c r="AB125" s="4">
        <v>159</v>
      </c>
      <c r="AC125" s="5">
        <f t="shared" si="1"/>
        <v>1.0689655172413792</v>
      </c>
    </row>
    <row r="126" spans="1:29" ht="15.75" customHeight="1" x14ac:dyDescent="0.25">
      <c r="A126" s="1" t="s">
        <v>172</v>
      </c>
      <c r="B126" s="3" t="s">
        <v>107</v>
      </c>
      <c r="C126" s="4" t="s">
        <v>88</v>
      </c>
      <c r="D126" s="4">
        <v>18</v>
      </c>
      <c r="E126" s="4">
        <v>455</v>
      </c>
      <c r="F126" s="4">
        <v>18</v>
      </c>
      <c r="G126" s="4">
        <v>18</v>
      </c>
      <c r="H126" s="4">
        <v>455</v>
      </c>
      <c r="I126" s="4">
        <v>97</v>
      </c>
      <c r="J126" s="4">
        <v>184</v>
      </c>
      <c r="K126" s="4">
        <v>0.52700000000000002</v>
      </c>
      <c r="L126" s="4">
        <v>1</v>
      </c>
      <c r="M126" s="4">
        <v>4</v>
      </c>
      <c r="N126" s="4">
        <v>0.25</v>
      </c>
      <c r="O126" s="4">
        <v>96</v>
      </c>
      <c r="P126" s="4">
        <v>180</v>
      </c>
      <c r="Q126" s="4">
        <v>0.53300000000000003</v>
      </c>
      <c r="R126" s="4">
        <v>43</v>
      </c>
      <c r="S126" s="4">
        <v>64</v>
      </c>
      <c r="T126" s="4">
        <v>0.67200000000000004</v>
      </c>
      <c r="U126" s="4">
        <v>35</v>
      </c>
      <c r="V126" s="4">
        <v>105</v>
      </c>
      <c r="W126" s="4">
        <v>45</v>
      </c>
      <c r="X126" s="4">
        <v>8</v>
      </c>
      <c r="Y126" s="4">
        <v>32</v>
      </c>
      <c r="Z126" s="4">
        <v>32</v>
      </c>
      <c r="AA126" s="4">
        <v>48</v>
      </c>
      <c r="AB126" s="4">
        <v>238</v>
      </c>
      <c r="AC126" s="5">
        <f t="shared" si="1"/>
        <v>1.40625</v>
      </c>
    </row>
    <row r="127" spans="1:29" ht="15.75" customHeight="1" x14ac:dyDescent="0.25">
      <c r="A127" s="1" t="s">
        <v>195</v>
      </c>
      <c r="B127" s="3" t="s">
        <v>99</v>
      </c>
      <c r="C127" s="4" t="s">
        <v>8</v>
      </c>
      <c r="D127" s="4">
        <v>38</v>
      </c>
      <c r="E127" s="4">
        <v>448</v>
      </c>
      <c r="F127" s="4">
        <v>38</v>
      </c>
      <c r="G127" s="4">
        <v>2</v>
      </c>
      <c r="H127" s="4">
        <v>448</v>
      </c>
      <c r="I127" s="4">
        <v>84</v>
      </c>
      <c r="J127" s="4">
        <v>216</v>
      </c>
      <c r="K127" s="4">
        <v>0.38900000000000001</v>
      </c>
      <c r="L127" s="4">
        <v>15</v>
      </c>
      <c r="M127" s="4">
        <v>61</v>
      </c>
      <c r="N127" s="4">
        <v>0.246</v>
      </c>
      <c r="O127" s="4">
        <v>69</v>
      </c>
      <c r="P127" s="4">
        <v>155</v>
      </c>
      <c r="Q127" s="4">
        <v>0.44500000000000001</v>
      </c>
      <c r="R127" s="4">
        <v>50</v>
      </c>
      <c r="S127" s="4">
        <v>67</v>
      </c>
      <c r="T127" s="4">
        <v>0.746</v>
      </c>
      <c r="U127" s="4">
        <v>22</v>
      </c>
      <c r="V127" s="4">
        <v>90</v>
      </c>
      <c r="W127" s="4">
        <v>47</v>
      </c>
      <c r="X127" s="4">
        <v>35</v>
      </c>
      <c r="Y127" s="4">
        <v>9</v>
      </c>
      <c r="Z127" s="4">
        <v>28</v>
      </c>
      <c r="AA127" s="4">
        <v>58</v>
      </c>
      <c r="AB127" s="4">
        <v>233</v>
      </c>
      <c r="AC127" s="5">
        <f t="shared" si="1"/>
        <v>1.6785714285714286</v>
      </c>
    </row>
    <row r="128" spans="1:29" ht="15.75" customHeight="1" x14ac:dyDescent="0.25">
      <c r="A128" s="1" t="s">
        <v>178</v>
      </c>
      <c r="B128" s="3" t="s">
        <v>91</v>
      </c>
      <c r="C128" s="4" t="s">
        <v>85</v>
      </c>
      <c r="D128" s="4">
        <v>37</v>
      </c>
      <c r="E128" s="4">
        <v>445</v>
      </c>
      <c r="F128" s="4">
        <v>37</v>
      </c>
      <c r="G128" s="4">
        <v>1</v>
      </c>
      <c r="H128" s="4">
        <v>445</v>
      </c>
      <c r="I128" s="4">
        <v>54</v>
      </c>
      <c r="J128" s="4">
        <v>110</v>
      </c>
      <c r="K128" s="4">
        <v>0.49099999999999999</v>
      </c>
      <c r="L128" s="4">
        <v>7</v>
      </c>
      <c r="M128" s="4">
        <v>17</v>
      </c>
      <c r="N128" s="4">
        <v>0.41199999999999998</v>
      </c>
      <c r="O128" s="4">
        <v>47</v>
      </c>
      <c r="P128" s="4">
        <v>93</v>
      </c>
      <c r="Q128" s="4">
        <v>0.505</v>
      </c>
      <c r="R128" s="4">
        <v>32</v>
      </c>
      <c r="S128" s="4">
        <v>55</v>
      </c>
      <c r="T128" s="4">
        <v>0.58199999999999996</v>
      </c>
      <c r="U128" s="4">
        <v>46</v>
      </c>
      <c r="V128" s="4">
        <v>116</v>
      </c>
      <c r="W128" s="4">
        <v>38</v>
      </c>
      <c r="X128" s="4">
        <v>18</v>
      </c>
      <c r="Y128" s="4">
        <v>30</v>
      </c>
      <c r="Z128" s="4">
        <v>29</v>
      </c>
      <c r="AA128" s="4">
        <v>59</v>
      </c>
      <c r="AB128" s="4">
        <v>147</v>
      </c>
      <c r="AC128" s="5">
        <f t="shared" si="1"/>
        <v>1.3103448275862069</v>
      </c>
    </row>
    <row r="129" spans="1:29" ht="15.75" customHeight="1" x14ac:dyDescent="0.25">
      <c r="A129" s="1" t="s">
        <v>258</v>
      </c>
      <c r="B129" s="3" t="s">
        <v>161</v>
      </c>
      <c r="C129" s="4" t="s">
        <v>88</v>
      </c>
      <c r="D129" s="4">
        <v>25</v>
      </c>
      <c r="E129" s="4">
        <v>444</v>
      </c>
      <c r="F129" s="4">
        <v>25</v>
      </c>
      <c r="G129" s="4">
        <v>10</v>
      </c>
      <c r="H129" s="4">
        <v>444</v>
      </c>
      <c r="I129" s="4">
        <v>59</v>
      </c>
      <c r="J129" s="4">
        <v>118</v>
      </c>
      <c r="K129" s="4">
        <v>0.5</v>
      </c>
      <c r="L129" s="4">
        <v>11</v>
      </c>
      <c r="M129" s="4">
        <v>32</v>
      </c>
      <c r="N129" s="4">
        <v>0.34399999999999997</v>
      </c>
      <c r="O129" s="4">
        <v>48</v>
      </c>
      <c r="P129" s="4">
        <v>86</v>
      </c>
      <c r="Q129" s="4">
        <v>0.55800000000000005</v>
      </c>
      <c r="R129" s="4">
        <v>18</v>
      </c>
      <c r="S129" s="4">
        <v>32</v>
      </c>
      <c r="T129" s="4">
        <v>0.56299999999999994</v>
      </c>
      <c r="U129" s="4">
        <v>32</v>
      </c>
      <c r="V129" s="4">
        <v>85</v>
      </c>
      <c r="W129" s="4">
        <v>24</v>
      </c>
      <c r="X129" s="4">
        <v>13</v>
      </c>
      <c r="Y129" s="4">
        <v>8</v>
      </c>
      <c r="Z129" s="4">
        <v>32</v>
      </c>
      <c r="AA129" s="4">
        <v>58</v>
      </c>
      <c r="AB129" s="4">
        <v>147</v>
      </c>
      <c r="AC129" s="5">
        <f t="shared" si="1"/>
        <v>0.75</v>
      </c>
    </row>
    <row r="130" spans="1:29" ht="15.75" customHeight="1" x14ac:dyDescent="0.25">
      <c r="A130" s="1" t="s">
        <v>217</v>
      </c>
      <c r="B130" s="3" t="s">
        <v>137</v>
      </c>
      <c r="C130" s="4" t="s">
        <v>8</v>
      </c>
      <c r="D130" s="4">
        <v>38</v>
      </c>
      <c r="E130" s="4">
        <v>435</v>
      </c>
      <c r="F130" s="4">
        <v>38</v>
      </c>
      <c r="G130" s="4">
        <v>0</v>
      </c>
      <c r="H130" s="4">
        <v>435</v>
      </c>
      <c r="I130" s="4">
        <v>37</v>
      </c>
      <c r="J130" s="4">
        <v>97</v>
      </c>
      <c r="K130" s="4">
        <v>0.38100000000000001</v>
      </c>
      <c r="L130" s="4">
        <v>27</v>
      </c>
      <c r="M130" s="4">
        <v>74</v>
      </c>
      <c r="N130" s="4">
        <v>0.36499999999999999</v>
      </c>
      <c r="O130" s="4">
        <v>10</v>
      </c>
      <c r="P130" s="4">
        <v>23</v>
      </c>
      <c r="Q130" s="4">
        <v>0.435</v>
      </c>
      <c r="R130" s="4">
        <v>19</v>
      </c>
      <c r="S130" s="4">
        <v>22</v>
      </c>
      <c r="T130" s="4">
        <v>0.86399999999999999</v>
      </c>
      <c r="U130" s="4">
        <v>10</v>
      </c>
      <c r="V130" s="4">
        <v>42</v>
      </c>
      <c r="W130" s="4">
        <v>37</v>
      </c>
      <c r="X130" s="4">
        <v>6</v>
      </c>
      <c r="Y130" s="4">
        <v>1</v>
      </c>
      <c r="Z130" s="4">
        <v>23</v>
      </c>
      <c r="AA130" s="4">
        <v>29</v>
      </c>
      <c r="AB130" s="4">
        <v>120</v>
      </c>
      <c r="AC130" s="5">
        <f t="shared" si="1"/>
        <v>1.6086956521739131</v>
      </c>
    </row>
    <row r="131" spans="1:29" ht="15.75" customHeight="1" x14ac:dyDescent="0.25">
      <c r="A131" s="1" t="s">
        <v>273</v>
      </c>
      <c r="B131" s="3" t="s">
        <v>96</v>
      </c>
      <c r="C131" s="4" t="s">
        <v>85</v>
      </c>
      <c r="D131" s="4">
        <v>14</v>
      </c>
      <c r="E131" s="4">
        <v>431</v>
      </c>
      <c r="F131" s="4">
        <v>14</v>
      </c>
      <c r="G131" s="4">
        <v>14</v>
      </c>
      <c r="H131" s="4">
        <v>431</v>
      </c>
      <c r="I131" s="4">
        <v>95</v>
      </c>
      <c r="J131" s="4">
        <v>188</v>
      </c>
      <c r="K131" s="4">
        <v>0.505</v>
      </c>
      <c r="L131" s="4">
        <v>21</v>
      </c>
      <c r="M131" s="4">
        <v>49</v>
      </c>
      <c r="N131" s="4">
        <v>0.42899999999999999</v>
      </c>
      <c r="O131" s="4">
        <v>74</v>
      </c>
      <c r="P131" s="4">
        <v>139</v>
      </c>
      <c r="Q131" s="4">
        <v>0.53200000000000003</v>
      </c>
      <c r="R131" s="4">
        <v>42</v>
      </c>
      <c r="S131" s="4">
        <v>49</v>
      </c>
      <c r="T131" s="4">
        <v>0.85699999999999998</v>
      </c>
      <c r="U131" s="4">
        <v>16</v>
      </c>
      <c r="V131" s="4">
        <v>101</v>
      </c>
      <c r="W131" s="4">
        <v>38</v>
      </c>
      <c r="X131" s="4">
        <v>19</v>
      </c>
      <c r="Y131" s="4">
        <v>14</v>
      </c>
      <c r="Z131" s="4">
        <v>33</v>
      </c>
      <c r="AA131" s="4">
        <v>26</v>
      </c>
      <c r="AB131" s="4">
        <v>253</v>
      </c>
      <c r="AC131" s="5">
        <f t="shared" si="1"/>
        <v>1.1515151515151516</v>
      </c>
    </row>
    <row r="132" spans="1:29" ht="15.75" customHeight="1" x14ac:dyDescent="0.25">
      <c r="A132" s="1" t="s">
        <v>216</v>
      </c>
      <c r="B132" s="4" t="s">
        <v>107</v>
      </c>
      <c r="C132" s="4" t="s">
        <v>85</v>
      </c>
      <c r="D132" s="4">
        <v>36</v>
      </c>
      <c r="E132" s="4">
        <v>426</v>
      </c>
      <c r="F132" s="4">
        <v>36</v>
      </c>
      <c r="G132" s="4">
        <v>1</v>
      </c>
      <c r="H132" s="4">
        <v>426</v>
      </c>
      <c r="I132" s="4">
        <v>52</v>
      </c>
      <c r="J132" s="4">
        <v>106</v>
      </c>
      <c r="K132" s="4">
        <v>0.49099999999999999</v>
      </c>
      <c r="L132" s="4">
        <v>2</v>
      </c>
      <c r="M132" s="4">
        <v>6</v>
      </c>
      <c r="N132" s="4">
        <v>0.33300000000000002</v>
      </c>
      <c r="O132" s="4">
        <v>50</v>
      </c>
      <c r="P132" s="4">
        <v>100</v>
      </c>
      <c r="Q132" s="4">
        <v>0.5</v>
      </c>
      <c r="R132" s="4">
        <v>39</v>
      </c>
      <c r="S132" s="4">
        <v>58</v>
      </c>
      <c r="T132" s="4">
        <v>0.67200000000000004</v>
      </c>
      <c r="U132" s="4">
        <v>43</v>
      </c>
      <c r="V132" s="4">
        <v>110</v>
      </c>
      <c r="W132" s="4">
        <v>30</v>
      </c>
      <c r="X132" s="4">
        <v>16</v>
      </c>
      <c r="Y132" s="4">
        <v>9</v>
      </c>
      <c r="Z132" s="4">
        <v>34</v>
      </c>
      <c r="AA132" s="4">
        <v>98</v>
      </c>
      <c r="AB132" s="4">
        <v>145</v>
      </c>
      <c r="AC132" s="5">
        <f t="shared" ref="AC132:AC186" si="2">IF(Z132=0,"",W132/Z132)</f>
        <v>0.88235294117647056</v>
      </c>
    </row>
    <row r="133" spans="1:29" ht="15.75" customHeight="1" x14ac:dyDescent="0.25">
      <c r="A133" s="1" t="s">
        <v>192</v>
      </c>
      <c r="B133" s="3" t="s">
        <v>96</v>
      </c>
      <c r="C133" s="4" t="s">
        <v>8</v>
      </c>
      <c r="D133" s="4">
        <v>37</v>
      </c>
      <c r="E133" s="4">
        <v>423</v>
      </c>
      <c r="F133" s="4">
        <v>37</v>
      </c>
      <c r="G133" s="4">
        <v>0</v>
      </c>
      <c r="H133" s="4">
        <v>423</v>
      </c>
      <c r="I133" s="4">
        <v>38</v>
      </c>
      <c r="J133" s="4">
        <v>85</v>
      </c>
      <c r="K133" s="4">
        <v>0.44700000000000001</v>
      </c>
      <c r="L133" s="4">
        <v>25</v>
      </c>
      <c r="M133" s="4">
        <v>58</v>
      </c>
      <c r="N133" s="4">
        <v>0.43099999999999999</v>
      </c>
      <c r="O133" s="4">
        <v>13</v>
      </c>
      <c r="P133" s="4">
        <v>27</v>
      </c>
      <c r="Q133" s="4">
        <v>0.48099999999999998</v>
      </c>
      <c r="R133" s="4">
        <v>6</v>
      </c>
      <c r="S133" s="4">
        <v>6</v>
      </c>
      <c r="T133" s="4">
        <v>1</v>
      </c>
      <c r="U133" s="4">
        <v>7</v>
      </c>
      <c r="V133" s="4">
        <v>27</v>
      </c>
      <c r="W133" s="4">
        <v>40</v>
      </c>
      <c r="X133" s="4">
        <v>16</v>
      </c>
      <c r="Y133" s="4">
        <v>0</v>
      </c>
      <c r="Z133" s="4">
        <v>14</v>
      </c>
      <c r="AA133" s="4">
        <v>36</v>
      </c>
      <c r="AB133" s="4">
        <v>107</v>
      </c>
      <c r="AC133" s="5">
        <f t="shared" si="2"/>
        <v>2.8571428571428572</v>
      </c>
    </row>
    <row r="134" spans="1:29" ht="15.75" customHeight="1" x14ac:dyDescent="0.25">
      <c r="A134" s="1" t="s">
        <v>229</v>
      </c>
      <c r="B134" s="3" t="s">
        <v>131</v>
      </c>
      <c r="C134" s="4" t="s">
        <v>8</v>
      </c>
      <c r="D134" s="4">
        <v>30</v>
      </c>
      <c r="E134" s="4">
        <v>407</v>
      </c>
      <c r="F134" s="4">
        <v>30</v>
      </c>
      <c r="G134" s="4">
        <v>5</v>
      </c>
      <c r="H134" s="4">
        <v>407</v>
      </c>
      <c r="I134" s="4">
        <v>48</v>
      </c>
      <c r="J134" s="4">
        <v>110</v>
      </c>
      <c r="K134" s="4">
        <v>0.436</v>
      </c>
      <c r="L134" s="4">
        <v>1</v>
      </c>
      <c r="M134" s="4">
        <v>22</v>
      </c>
      <c r="N134" s="4">
        <v>4.4999999999999998E-2</v>
      </c>
      <c r="O134" s="4">
        <v>47</v>
      </c>
      <c r="P134" s="4">
        <v>88</v>
      </c>
      <c r="Q134" s="4">
        <v>0.53400000000000003</v>
      </c>
      <c r="R134" s="4">
        <v>58</v>
      </c>
      <c r="S134" s="4">
        <v>65</v>
      </c>
      <c r="T134" s="4">
        <v>0.89200000000000002</v>
      </c>
      <c r="U134" s="4">
        <v>16</v>
      </c>
      <c r="V134" s="4">
        <v>79</v>
      </c>
      <c r="W134" s="4">
        <v>18</v>
      </c>
      <c r="X134" s="4">
        <v>20</v>
      </c>
      <c r="Y134" s="4">
        <v>7</v>
      </c>
      <c r="Z134" s="4">
        <v>22</v>
      </c>
      <c r="AA134" s="4">
        <v>47</v>
      </c>
      <c r="AB134" s="4">
        <v>155</v>
      </c>
      <c r="AC134" s="5">
        <f t="shared" si="2"/>
        <v>0.81818181818181823</v>
      </c>
    </row>
    <row r="135" spans="1:29" ht="15.75" customHeight="1" x14ac:dyDescent="0.25">
      <c r="A135" s="1" t="s">
        <v>253</v>
      </c>
      <c r="B135" s="3" t="s">
        <v>140</v>
      </c>
      <c r="C135" s="4" t="s">
        <v>8</v>
      </c>
      <c r="D135" s="4">
        <v>33</v>
      </c>
      <c r="E135" s="4">
        <v>404</v>
      </c>
      <c r="F135" s="4">
        <v>33</v>
      </c>
      <c r="G135" s="4">
        <v>0</v>
      </c>
      <c r="H135" s="4">
        <v>404</v>
      </c>
      <c r="I135" s="4">
        <v>43</v>
      </c>
      <c r="J135" s="4">
        <v>120</v>
      </c>
      <c r="K135" s="4">
        <v>0.35799999999999998</v>
      </c>
      <c r="L135" s="4">
        <v>8</v>
      </c>
      <c r="M135" s="4">
        <v>44</v>
      </c>
      <c r="N135" s="4">
        <v>0.182</v>
      </c>
      <c r="O135" s="4">
        <v>35</v>
      </c>
      <c r="P135" s="4">
        <v>76</v>
      </c>
      <c r="Q135" s="4">
        <v>0.46100000000000002</v>
      </c>
      <c r="R135" s="4">
        <v>22</v>
      </c>
      <c r="S135" s="4">
        <v>40</v>
      </c>
      <c r="T135" s="4">
        <v>0.55000000000000004</v>
      </c>
      <c r="U135" s="4">
        <v>11</v>
      </c>
      <c r="V135" s="4">
        <v>46</v>
      </c>
      <c r="W135" s="4">
        <v>66</v>
      </c>
      <c r="X135" s="4">
        <v>21</v>
      </c>
      <c r="Y135" s="4">
        <v>5</v>
      </c>
      <c r="Z135" s="4">
        <v>39</v>
      </c>
      <c r="AA135" s="4">
        <v>51</v>
      </c>
      <c r="AB135" s="4">
        <v>116</v>
      </c>
      <c r="AC135" s="5">
        <f t="shared" si="2"/>
        <v>1.6923076923076923</v>
      </c>
    </row>
    <row r="136" spans="1:29" ht="15.75" customHeight="1" x14ac:dyDescent="0.25">
      <c r="A136" s="1" t="s">
        <v>226</v>
      </c>
      <c r="B136" s="3" t="s">
        <v>157</v>
      </c>
      <c r="C136" s="4" t="s">
        <v>8</v>
      </c>
      <c r="D136" s="4">
        <v>37</v>
      </c>
      <c r="E136" s="4">
        <v>394</v>
      </c>
      <c r="F136" s="4">
        <v>37</v>
      </c>
      <c r="G136" s="4">
        <v>0</v>
      </c>
      <c r="H136" s="4">
        <v>394</v>
      </c>
      <c r="I136" s="4">
        <v>47</v>
      </c>
      <c r="J136" s="4">
        <v>116</v>
      </c>
      <c r="K136" s="4">
        <v>0.40500000000000003</v>
      </c>
      <c r="L136" s="4">
        <v>11</v>
      </c>
      <c r="M136" s="4">
        <v>47</v>
      </c>
      <c r="N136" s="4">
        <v>0.23400000000000001</v>
      </c>
      <c r="O136" s="4">
        <v>36</v>
      </c>
      <c r="P136" s="4">
        <v>69</v>
      </c>
      <c r="Q136" s="4">
        <v>0.52200000000000002</v>
      </c>
      <c r="R136" s="4">
        <v>9</v>
      </c>
      <c r="S136" s="4">
        <v>12</v>
      </c>
      <c r="T136" s="4">
        <v>0.75</v>
      </c>
      <c r="U136" s="4">
        <v>18</v>
      </c>
      <c r="V136" s="4">
        <v>63</v>
      </c>
      <c r="W136" s="4">
        <v>42</v>
      </c>
      <c r="X136" s="4">
        <v>12</v>
      </c>
      <c r="Y136" s="4">
        <v>5</v>
      </c>
      <c r="Z136" s="4">
        <v>28</v>
      </c>
      <c r="AA136" s="4">
        <v>46</v>
      </c>
      <c r="AB136" s="4">
        <v>114</v>
      </c>
      <c r="AC136" s="5">
        <f t="shared" si="2"/>
        <v>1.5</v>
      </c>
    </row>
    <row r="137" spans="1:29" ht="15.75" customHeight="1" x14ac:dyDescent="0.25">
      <c r="A137" s="1" t="s">
        <v>204</v>
      </c>
      <c r="B137" s="3" t="s">
        <v>128</v>
      </c>
      <c r="C137" s="4" t="s">
        <v>8</v>
      </c>
      <c r="D137" s="4">
        <v>34</v>
      </c>
      <c r="E137" s="4">
        <v>392</v>
      </c>
      <c r="F137" s="4">
        <v>34</v>
      </c>
      <c r="G137" s="4">
        <v>1</v>
      </c>
      <c r="H137" s="4">
        <v>392</v>
      </c>
      <c r="I137" s="4">
        <v>45</v>
      </c>
      <c r="J137" s="4">
        <v>123</v>
      </c>
      <c r="K137" s="4">
        <v>0.36599999999999999</v>
      </c>
      <c r="L137" s="4">
        <v>30</v>
      </c>
      <c r="M137" s="4">
        <v>80</v>
      </c>
      <c r="N137" s="4">
        <v>0.375</v>
      </c>
      <c r="O137" s="4">
        <v>15</v>
      </c>
      <c r="P137" s="4">
        <v>43</v>
      </c>
      <c r="Q137" s="4">
        <v>0.34899999999999998</v>
      </c>
      <c r="R137" s="4">
        <v>9</v>
      </c>
      <c r="S137" s="4">
        <v>10</v>
      </c>
      <c r="T137" s="4">
        <v>0.9</v>
      </c>
      <c r="U137" s="4">
        <v>5</v>
      </c>
      <c r="V137" s="4">
        <v>27</v>
      </c>
      <c r="W137" s="4">
        <v>44</v>
      </c>
      <c r="X137" s="4">
        <v>6</v>
      </c>
      <c r="Y137" s="4">
        <v>3</v>
      </c>
      <c r="Z137" s="4">
        <v>17</v>
      </c>
      <c r="AA137" s="4">
        <v>39</v>
      </c>
      <c r="AB137" s="4">
        <v>129</v>
      </c>
      <c r="AC137" s="5">
        <f t="shared" si="2"/>
        <v>2.5882352941176472</v>
      </c>
    </row>
    <row r="138" spans="1:29" ht="15.75" customHeight="1" x14ac:dyDescent="0.25">
      <c r="A138" s="1" t="s">
        <v>227</v>
      </c>
      <c r="B138" s="3" t="s">
        <v>161</v>
      </c>
      <c r="C138" s="4" t="s">
        <v>85</v>
      </c>
      <c r="D138" s="4">
        <v>37</v>
      </c>
      <c r="E138" s="4">
        <v>391</v>
      </c>
      <c r="F138" s="4">
        <v>37</v>
      </c>
      <c r="G138" s="4">
        <v>1</v>
      </c>
      <c r="H138" s="4">
        <v>391</v>
      </c>
      <c r="I138" s="4">
        <v>31</v>
      </c>
      <c r="J138" s="4">
        <v>83</v>
      </c>
      <c r="K138" s="4">
        <v>0.373</v>
      </c>
      <c r="L138" s="4">
        <v>3</v>
      </c>
      <c r="M138" s="4">
        <v>20</v>
      </c>
      <c r="N138" s="4">
        <v>0.15</v>
      </c>
      <c r="O138" s="4">
        <v>28</v>
      </c>
      <c r="P138" s="4">
        <v>63</v>
      </c>
      <c r="Q138" s="4">
        <v>0.44400000000000001</v>
      </c>
      <c r="R138" s="4">
        <v>11</v>
      </c>
      <c r="S138" s="4">
        <v>22</v>
      </c>
      <c r="T138" s="4">
        <v>0.5</v>
      </c>
      <c r="U138" s="4">
        <v>31</v>
      </c>
      <c r="V138" s="4">
        <v>72</v>
      </c>
      <c r="W138" s="4">
        <v>18</v>
      </c>
      <c r="X138" s="4">
        <v>16</v>
      </c>
      <c r="Y138" s="4">
        <v>18</v>
      </c>
      <c r="Z138" s="4">
        <v>19</v>
      </c>
      <c r="AA138" s="4">
        <v>50</v>
      </c>
      <c r="AB138" s="4">
        <v>76</v>
      </c>
      <c r="AC138" s="5">
        <f t="shared" si="2"/>
        <v>0.94736842105263153</v>
      </c>
    </row>
    <row r="139" spans="1:29" ht="15.75" customHeight="1" x14ac:dyDescent="0.25">
      <c r="A139" s="1" t="s">
        <v>238</v>
      </c>
      <c r="B139" s="4" t="s">
        <v>232</v>
      </c>
      <c r="C139" s="4" t="s">
        <v>8</v>
      </c>
      <c r="D139" s="4">
        <v>29</v>
      </c>
      <c r="E139" s="4">
        <v>388</v>
      </c>
      <c r="F139" s="4">
        <v>29</v>
      </c>
      <c r="G139" s="4">
        <v>1</v>
      </c>
      <c r="H139" s="4">
        <v>388</v>
      </c>
      <c r="I139" s="4">
        <v>63</v>
      </c>
      <c r="J139" s="4">
        <v>151</v>
      </c>
      <c r="K139" s="4">
        <v>0.41699999999999998</v>
      </c>
      <c r="L139" s="4">
        <v>22</v>
      </c>
      <c r="M139" s="4">
        <v>60</v>
      </c>
      <c r="N139" s="4">
        <v>0.36699999999999999</v>
      </c>
      <c r="O139" s="4">
        <v>41</v>
      </c>
      <c r="P139" s="4">
        <v>91</v>
      </c>
      <c r="Q139" s="4">
        <v>0.45100000000000001</v>
      </c>
      <c r="R139" s="4">
        <v>13</v>
      </c>
      <c r="S139" s="4">
        <v>18</v>
      </c>
      <c r="T139" s="4">
        <v>0.72199999999999998</v>
      </c>
      <c r="U139" s="4">
        <v>15</v>
      </c>
      <c r="V139" s="4">
        <v>46</v>
      </c>
      <c r="W139" s="4">
        <v>92</v>
      </c>
      <c r="X139" s="4">
        <v>19</v>
      </c>
      <c r="Y139" s="4">
        <v>1</v>
      </c>
      <c r="Z139" s="4">
        <v>72</v>
      </c>
      <c r="AA139" s="4">
        <v>44</v>
      </c>
      <c r="AB139" s="4">
        <v>161</v>
      </c>
      <c r="AC139" s="5">
        <f t="shared" si="2"/>
        <v>1.2777777777777777</v>
      </c>
    </row>
    <row r="140" spans="1:29" ht="15.75" customHeight="1" x14ac:dyDescent="0.25">
      <c r="A140" s="1" t="s">
        <v>223</v>
      </c>
      <c r="B140" s="3" t="s">
        <v>128</v>
      </c>
      <c r="C140" s="4" t="s">
        <v>88</v>
      </c>
      <c r="D140" s="4">
        <v>41</v>
      </c>
      <c r="E140" s="4">
        <v>379</v>
      </c>
      <c r="F140" s="4">
        <v>41</v>
      </c>
      <c r="G140" s="4">
        <v>2</v>
      </c>
      <c r="H140" s="4">
        <v>379</v>
      </c>
      <c r="I140" s="4">
        <v>90</v>
      </c>
      <c r="J140" s="4">
        <v>156</v>
      </c>
      <c r="K140" s="4">
        <v>0.57699999999999996</v>
      </c>
      <c r="L140" s="4">
        <v>1</v>
      </c>
      <c r="M140" s="4">
        <v>9</v>
      </c>
      <c r="N140" s="4">
        <v>0.111</v>
      </c>
      <c r="O140" s="4">
        <v>89</v>
      </c>
      <c r="P140" s="4">
        <v>147</v>
      </c>
      <c r="Q140" s="4">
        <v>0.60499999999999998</v>
      </c>
      <c r="R140" s="4">
        <v>43</v>
      </c>
      <c r="S140" s="4">
        <v>56</v>
      </c>
      <c r="T140" s="4">
        <v>0.76800000000000002</v>
      </c>
      <c r="U140" s="4">
        <v>48</v>
      </c>
      <c r="V140" s="4">
        <v>138</v>
      </c>
      <c r="W140" s="4">
        <v>11</v>
      </c>
      <c r="X140" s="4">
        <v>14</v>
      </c>
      <c r="Y140" s="4">
        <v>12</v>
      </c>
      <c r="Z140" s="4">
        <v>50</v>
      </c>
      <c r="AA140" s="4">
        <v>66</v>
      </c>
      <c r="AB140" s="4">
        <v>224</v>
      </c>
      <c r="AC140" s="5">
        <f t="shared" si="2"/>
        <v>0.22</v>
      </c>
    </row>
    <row r="141" spans="1:29" ht="15.75" customHeight="1" x14ac:dyDescent="0.25">
      <c r="A141" s="1" t="s">
        <v>189</v>
      </c>
      <c r="B141" s="3" t="s">
        <v>140</v>
      </c>
      <c r="C141" s="4" t="s">
        <v>8</v>
      </c>
      <c r="D141" s="4">
        <v>37</v>
      </c>
      <c r="E141" s="4">
        <v>363</v>
      </c>
      <c r="F141" s="4">
        <v>37</v>
      </c>
      <c r="G141" s="4">
        <v>2</v>
      </c>
      <c r="H141" s="4">
        <v>363</v>
      </c>
      <c r="I141" s="4">
        <v>31</v>
      </c>
      <c r="J141" s="4">
        <v>101</v>
      </c>
      <c r="K141" s="4">
        <v>0.307</v>
      </c>
      <c r="L141" s="4">
        <v>8</v>
      </c>
      <c r="M141" s="4">
        <v>42</v>
      </c>
      <c r="N141" s="4">
        <v>0.19</v>
      </c>
      <c r="O141" s="4">
        <v>23</v>
      </c>
      <c r="P141" s="4">
        <v>59</v>
      </c>
      <c r="Q141" s="4">
        <v>0.39</v>
      </c>
      <c r="R141" s="4">
        <v>9</v>
      </c>
      <c r="S141" s="4">
        <v>18</v>
      </c>
      <c r="T141" s="4">
        <v>0.5</v>
      </c>
      <c r="U141" s="4">
        <v>24</v>
      </c>
      <c r="V141" s="4">
        <v>38</v>
      </c>
      <c r="W141" s="4">
        <v>17</v>
      </c>
      <c r="X141" s="4">
        <v>9</v>
      </c>
      <c r="Y141" s="4">
        <v>3</v>
      </c>
      <c r="Z141" s="4">
        <v>22</v>
      </c>
      <c r="AA141" s="4">
        <v>63</v>
      </c>
      <c r="AB141" s="4">
        <v>79</v>
      </c>
      <c r="AC141" s="5">
        <f t="shared" si="2"/>
        <v>0.77272727272727271</v>
      </c>
    </row>
    <row r="142" spans="1:29" ht="15.75" customHeight="1" x14ac:dyDescent="0.25">
      <c r="A142" s="1" t="s">
        <v>135</v>
      </c>
      <c r="B142" s="3" t="s">
        <v>232</v>
      </c>
      <c r="C142" s="4" t="s">
        <v>88</v>
      </c>
      <c r="D142" s="4">
        <v>21</v>
      </c>
      <c r="E142" s="4">
        <v>348</v>
      </c>
      <c r="F142" s="4">
        <v>21</v>
      </c>
      <c r="G142" s="4">
        <v>9</v>
      </c>
      <c r="H142" s="4">
        <v>348</v>
      </c>
      <c r="I142" s="4">
        <v>33</v>
      </c>
      <c r="J142" s="4">
        <v>100</v>
      </c>
      <c r="K142" s="4">
        <v>0.33</v>
      </c>
      <c r="L142" s="4">
        <v>16</v>
      </c>
      <c r="M142" s="4">
        <v>55</v>
      </c>
      <c r="N142" s="4">
        <v>0.29099999999999998</v>
      </c>
      <c r="O142" s="4">
        <v>17</v>
      </c>
      <c r="P142" s="4">
        <v>45</v>
      </c>
      <c r="Q142" s="4">
        <v>0.378</v>
      </c>
      <c r="R142" s="4">
        <v>12</v>
      </c>
      <c r="S142" s="4">
        <v>15</v>
      </c>
      <c r="T142" s="4">
        <v>0.8</v>
      </c>
      <c r="U142" s="4">
        <v>10</v>
      </c>
      <c r="V142" s="4">
        <v>55</v>
      </c>
      <c r="W142" s="4">
        <v>27</v>
      </c>
      <c r="X142" s="4">
        <v>7</v>
      </c>
      <c r="Y142" s="4">
        <v>8</v>
      </c>
      <c r="Z142" s="4">
        <v>19</v>
      </c>
      <c r="AA142" s="4">
        <v>53</v>
      </c>
      <c r="AB142" s="4">
        <v>94</v>
      </c>
      <c r="AC142" s="5">
        <f t="shared" si="2"/>
        <v>1.4210526315789473</v>
      </c>
    </row>
    <row r="143" spans="1:29" ht="15.75" customHeight="1" x14ac:dyDescent="0.25">
      <c r="A143" s="1" t="s">
        <v>272</v>
      </c>
      <c r="B143" s="3" t="s">
        <v>93</v>
      </c>
      <c r="C143" s="4" t="s">
        <v>8</v>
      </c>
      <c r="D143" s="4">
        <v>20</v>
      </c>
      <c r="E143" s="4">
        <v>347</v>
      </c>
      <c r="F143" s="4">
        <v>20</v>
      </c>
      <c r="G143" s="4">
        <v>8</v>
      </c>
      <c r="H143" s="4">
        <v>347</v>
      </c>
      <c r="I143" s="4">
        <v>34</v>
      </c>
      <c r="J143" s="4">
        <v>108</v>
      </c>
      <c r="K143" s="4">
        <v>0.315</v>
      </c>
      <c r="L143" s="4">
        <v>26</v>
      </c>
      <c r="M143" s="4">
        <v>82</v>
      </c>
      <c r="N143" s="4">
        <v>0.317</v>
      </c>
      <c r="O143" s="4">
        <v>8</v>
      </c>
      <c r="P143" s="4">
        <v>26</v>
      </c>
      <c r="Q143" s="4">
        <v>0.308</v>
      </c>
      <c r="R143" s="4">
        <v>15</v>
      </c>
      <c r="S143" s="4">
        <v>15</v>
      </c>
      <c r="T143" s="4">
        <v>1</v>
      </c>
      <c r="U143" s="4">
        <v>7</v>
      </c>
      <c r="V143" s="4">
        <v>34</v>
      </c>
      <c r="W143" s="4">
        <v>44</v>
      </c>
      <c r="X143" s="4">
        <v>12</v>
      </c>
      <c r="Y143" s="4">
        <v>2</v>
      </c>
      <c r="Z143" s="4">
        <v>23</v>
      </c>
      <c r="AA143" s="4">
        <v>37</v>
      </c>
      <c r="AB143" s="4">
        <v>109</v>
      </c>
      <c r="AC143" s="5">
        <f t="shared" si="2"/>
        <v>1.9130434782608696</v>
      </c>
    </row>
    <row r="144" spans="1:29" ht="15.75" customHeight="1" x14ac:dyDescent="0.25">
      <c r="A144" s="1" t="s">
        <v>239</v>
      </c>
      <c r="B144" s="3" t="s">
        <v>99</v>
      </c>
      <c r="C144" s="4" t="s">
        <v>85</v>
      </c>
      <c r="D144" s="4">
        <v>30</v>
      </c>
      <c r="E144" s="4">
        <v>342</v>
      </c>
      <c r="F144" s="4">
        <v>30</v>
      </c>
      <c r="G144" s="4">
        <v>1</v>
      </c>
      <c r="H144" s="4">
        <v>342</v>
      </c>
      <c r="I144" s="4">
        <v>24</v>
      </c>
      <c r="J144" s="4">
        <v>59</v>
      </c>
      <c r="K144" s="4">
        <v>0.40699999999999997</v>
      </c>
      <c r="L144" s="4">
        <v>14</v>
      </c>
      <c r="M144" s="4">
        <v>40</v>
      </c>
      <c r="N144" s="4">
        <v>0.35</v>
      </c>
      <c r="O144" s="4">
        <v>10</v>
      </c>
      <c r="P144" s="4">
        <v>19</v>
      </c>
      <c r="Q144" s="4">
        <v>0.52600000000000002</v>
      </c>
      <c r="R144" s="4">
        <v>17</v>
      </c>
      <c r="S144" s="4">
        <v>26</v>
      </c>
      <c r="T144" s="4">
        <v>0.65400000000000003</v>
      </c>
      <c r="U144" s="4">
        <v>11</v>
      </c>
      <c r="V144" s="4">
        <v>51</v>
      </c>
      <c r="W144" s="4">
        <v>20</v>
      </c>
      <c r="X144" s="4">
        <v>6</v>
      </c>
      <c r="Y144" s="4">
        <v>8</v>
      </c>
      <c r="Z144" s="4">
        <v>15</v>
      </c>
      <c r="AA144" s="4">
        <v>55</v>
      </c>
      <c r="AB144" s="4">
        <v>79</v>
      </c>
      <c r="AC144" s="5">
        <f t="shared" si="2"/>
        <v>1.3333333333333333</v>
      </c>
    </row>
    <row r="145" spans="1:29" ht="15.75" customHeight="1" x14ac:dyDescent="0.25">
      <c r="A145" s="1" t="s">
        <v>246</v>
      </c>
      <c r="B145" s="3" t="s">
        <v>99</v>
      </c>
      <c r="C145" s="4" t="s">
        <v>88</v>
      </c>
      <c r="D145" s="4">
        <v>32</v>
      </c>
      <c r="E145" s="4">
        <v>334</v>
      </c>
      <c r="F145" s="4">
        <v>32</v>
      </c>
      <c r="G145" s="4">
        <v>0</v>
      </c>
      <c r="H145" s="4">
        <v>334</v>
      </c>
      <c r="I145" s="4">
        <v>31</v>
      </c>
      <c r="J145" s="4">
        <v>80</v>
      </c>
      <c r="K145" s="4">
        <v>0.38800000000000001</v>
      </c>
      <c r="L145" s="4">
        <v>8</v>
      </c>
      <c r="M145" s="4">
        <v>35</v>
      </c>
      <c r="N145" s="4">
        <v>0.22900000000000001</v>
      </c>
      <c r="O145" s="4">
        <v>23</v>
      </c>
      <c r="P145" s="4">
        <v>45</v>
      </c>
      <c r="Q145" s="4">
        <v>0.51100000000000001</v>
      </c>
      <c r="R145" s="4">
        <v>40</v>
      </c>
      <c r="S145" s="4">
        <v>53</v>
      </c>
      <c r="T145" s="4">
        <v>0.755</v>
      </c>
      <c r="U145" s="4">
        <v>29</v>
      </c>
      <c r="V145" s="4">
        <v>91</v>
      </c>
      <c r="W145" s="4">
        <v>14</v>
      </c>
      <c r="X145" s="4">
        <v>4</v>
      </c>
      <c r="Y145" s="4">
        <v>11</v>
      </c>
      <c r="Z145" s="4">
        <v>19</v>
      </c>
      <c r="AA145" s="4">
        <v>46</v>
      </c>
      <c r="AB145" s="4">
        <v>110</v>
      </c>
      <c r="AC145" s="5">
        <f t="shared" si="2"/>
        <v>0.73684210526315785</v>
      </c>
    </row>
    <row r="146" spans="1:29" ht="15.75" customHeight="1" x14ac:dyDescent="0.25">
      <c r="A146" s="1" t="s">
        <v>218</v>
      </c>
      <c r="B146" s="4" t="s">
        <v>140</v>
      </c>
      <c r="C146" s="4" t="s">
        <v>85</v>
      </c>
      <c r="D146" s="4">
        <v>36</v>
      </c>
      <c r="E146" s="4">
        <v>326</v>
      </c>
      <c r="F146" s="4">
        <v>36</v>
      </c>
      <c r="G146" s="4">
        <v>3</v>
      </c>
      <c r="H146" s="4">
        <v>326</v>
      </c>
      <c r="I146" s="4">
        <v>40</v>
      </c>
      <c r="J146" s="4">
        <v>92</v>
      </c>
      <c r="K146" s="4">
        <v>0.435</v>
      </c>
      <c r="L146" s="4">
        <v>4</v>
      </c>
      <c r="M146" s="4">
        <v>32</v>
      </c>
      <c r="N146" s="4">
        <v>0.125</v>
      </c>
      <c r="O146" s="4">
        <v>36</v>
      </c>
      <c r="P146" s="4">
        <v>60</v>
      </c>
      <c r="Q146" s="4">
        <v>0.6</v>
      </c>
      <c r="R146" s="4">
        <v>17</v>
      </c>
      <c r="S146" s="4">
        <v>25</v>
      </c>
      <c r="T146" s="4">
        <v>0.68</v>
      </c>
      <c r="U146" s="4">
        <v>20</v>
      </c>
      <c r="V146" s="4">
        <v>84</v>
      </c>
      <c r="W146" s="4">
        <v>22</v>
      </c>
      <c r="X146" s="4">
        <v>12</v>
      </c>
      <c r="Y146" s="4">
        <v>7</v>
      </c>
      <c r="Z146" s="4">
        <v>23</v>
      </c>
      <c r="AA146" s="4">
        <v>34</v>
      </c>
      <c r="AB146" s="4">
        <v>101</v>
      </c>
      <c r="AC146" s="5">
        <f t="shared" si="2"/>
        <v>0.95652173913043481</v>
      </c>
    </row>
    <row r="147" spans="1:29" ht="15.75" customHeight="1" x14ac:dyDescent="0.25">
      <c r="A147" s="1" t="s">
        <v>269</v>
      </c>
      <c r="B147" s="3" t="s">
        <v>232</v>
      </c>
      <c r="C147" s="4" t="s">
        <v>8</v>
      </c>
      <c r="D147" s="4">
        <v>29</v>
      </c>
      <c r="E147" s="4">
        <v>325</v>
      </c>
      <c r="F147" s="4">
        <v>29</v>
      </c>
      <c r="G147" s="4">
        <v>1</v>
      </c>
      <c r="H147" s="4">
        <v>325</v>
      </c>
      <c r="I147" s="4">
        <v>42</v>
      </c>
      <c r="J147" s="4">
        <v>107</v>
      </c>
      <c r="K147" s="4">
        <v>0.39300000000000002</v>
      </c>
      <c r="L147" s="4">
        <v>10</v>
      </c>
      <c r="M147" s="4">
        <v>53</v>
      </c>
      <c r="N147" s="4">
        <v>0.189</v>
      </c>
      <c r="O147" s="4">
        <v>32</v>
      </c>
      <c r="P147" s="4">
        <v>54</v>
      </c>
      <c r="Q147" s="4">
        <v>0.59299999999999997</v>
      </c>
      <c r="R147" s="4">
        <v>22</v>
      </c>
      <c r="S147" s="4">
        <v>24</v>
      </c>
      <c r="T147" s="4">
        <v>0.91700000000000004</v>
      </c>
      <c r="U147" s="4">
        <v>10</v>
      </c>
      <c r="V147" s="4">
        <v>40</v>
      </c>
      <c r="W147" s="4">
        <v>51</v>
      </c>
      <c r="X147" s="4">
        <v>16</v>
      </c>
      <c r="Y147" s="4">
        <v>1</v>
      </c>
      <c r="Z147" s="4">
        <v>31</v>
      </c>
      <c r="AA147" s="4">
        <v>32</v>
      </c>
      <c r="AB147" s="4">
        <v>116</v>
      </c>
      <c r="AC147" s="5">
        <f t="shared" si="2"/>
        <v>1.6451612903225807</v>
      </c>
    </row>
    <row r="148" spans="1:29" ht="15.75" customHeight="1" x14ac:dyDescent="0.25">
      <c r="A148" s="1" t="s">
        <v>205</v>
      </c>
      <c r="B148" s="3" t="s">
        <v>117</v>
      </c>
      <c r="C148" s="4" t="s">
        <v>85</v>
      </c>
      <c r="D148" s="4">
        <v>29</v>
      </c>
      <c r="E148" s="4">
        <v>324</v>
      </c>
      <c r="F148" s="4">
        <v>29</v>
      </c>
      <c r="G148" s="4">
        <v>1</v>
      </c>
      <c r="H148" s="4">
        <v>324</v>
      </c>
      <c r="I148" s="4">
        <v>54</v>
      </c>
      <c r="J148" s="4">
        <v>103</v>
      </c>
      <c r="K148" s="4">
        <v>0.52400000000000002</v>
      </c>
      <c r="L148" s="4">
        <v>9</v>
      </c>
      <c r="M148" s="4">
        <v>17</v>
      </c>
      <c r="N148" s="4">
        <v>0.52900000000000003</v>
      </c>
      <c r="O148" s="4">
        <v>45</v>
      </c>
      <c r="P148" s="4">
        <v>86</v>
      </c>
      <c r="Q148" s="4">
        <v>0.52300000000000002</v>
      </c>
      <c r="R148" s="4">
        <v>44</v>
      </c>
      <c r="S148" s="4">
        <v>56</v>
      </c>
      <c r="T148" s="4">
        <v>0.78600000000000003</v>
      </c>
      <c r="U148" s="4">
        <v>30</v>
      </c>
      <c r="V148" s="4">
        <v>88</v>
      </c>
      <c r="W148" s="4">
        <v>19</v>
      </c>
      <c r="X148" s="4">
        <v>13</v>
      </c>
      <c r="Y148" s="4">
        <v>21</v>
      </c>
      <c r="Z148" s="4">
        <v>17</v>
      </c>
      <c r="AA148" s="4">
        <v>53</v>
      </c>
      <c r="AB148" s="4">
        <v>161</v>
      </c>
      <c r="AC148" s="5">
        <f t="shared" si="2"/>
        <v>1.1176470588235294</v>
      </c>
    </row>
    <row r="149" spans="1:29" ht="15.75" customHeight="1" x14ac:dyDescent="0.25">
      <c r="A149" s="1" t="s">
        <v>201</v>
      </c>
      <c r="B149" s="3" t="s">
        <v>107</v>
      </c>
      <c r="C149" s="4" t="s">
        <v>8</v>
      </c>
      <c r="D149" s="4">
        <v>34</v>
      </c>
      <c r="E149" s="4">
        <v>323</v>
      </c>
      <c r="F149" s="4">
        <v>34</v>
      </c>
      <c r="G149" s="4">
        <v>5</v>
      </c>
      <c r="H149" s="4">
        <v>323</v>
      </c>
      <c r="I149" s="4">
        <v>38</v>
      </c>
      <c r="J149" s="4">
        <v>105</v>
      </c>
      <c r="K149" s="4">
        <v>0.36199999999999999</v>
      </c>
      <c r="L149" s="4">
        <v>12</v>
      </c>
      <c r="M149" s="4">
        <v>55</v>
      </c>
      <c r="N149" s="4">
        <v>0.218</v>
      </c>
      <c r="O149" s="4">
        <v>26</v>
      </c>
      <c r="P149" s="4">
        <v>50</v>
      </c>
      <c r="Q149" s="4">
        <v>0.52</v>
      </c>
      <c r="R149" s="4">
        <v>22</v>
      </c>
      <c r="S149" s="4">
        <v>23</v>
      </c>
      <c r="T149" s="4">
        <v>0.95699999999999996</v>
      </c>
      <c r="U149" s="4">
        <v>14</v>
      </c>
      <c r="V149" s="4">
        <v>43</v>
      </c>
      <c r="W149" s="4">
        <v>15</v>
      </c>
      <c r="X149" s="4">
        <v>6</v>
      </c>
      <c r="Y149" s="4">
        <v>3</v>
      </c>
      <c r="Z149" s="4">
        <v>8</v>
      </c>
      <c r="AA149" s="4">
        <v>49</v>
      </c>
      <c r="AB149" s="4">
        <v>110</v>
      </c>
      <c r="AC149" s="5">
        <f t="shared" si="2"/>
        <v>1.875</v>
      </c>
    </row>
    <row r="150" spans="1:29" ht="15.75" customHeight="1" x14ac:dyDescent="0.25">
      <c r="A150" s="1" t="s">
        <v>150</v>
      </c>
      <c r="B150" s="3" t="s">
        <v>93</v>
      </c>
      <c r="C150" s="4" t="s">
        <v>8</v>
      </c>
      <c r="D150" s="4">
        <v>16</v>
      </c>
      <c r="E150" s="4">
        <v>323</v>
      </c>
      <c r="F150" s="4">
        <v>16</v>
      </c>
      <c r="G150" s="4">
        <v>7</v>
      </c>
      <c r="H150" s="4">
        <v>323</v>
      </c>
      <c r="I150" s="4">
        <v>50</v>
      </c>
      <c r="J150" s="4">
        <v>119</v>
      </c>
      <c r="K150" s="4">
        <v>0.42</v>
      </c>
      <c r="L150" s="4">
        <v>32</v>
      </c>
      <c r="M150" s="4">
        <v>76</v>
      </c>
      <c r="N150" s="4">
        <v>0.42099999999999999</v>
      </c>
      <c r="O150" s="4">
        <v>18</v>
      </c>
      <c r="P150" s="4">
        <v>43</v>
      </c>
      <c r="Q150" s="4">
        <v>0.41899999999999998</v>
      </c>
      <c r="R150" s="4">
        <v>34</v>
      </c>
      <c r="S150" s="4">
        <v>38</v>
      </c>
      <c r="T150" s="4">
        <v>0.89500000000000002</v>
      </c>
      <c r="U150" s="4">
        <v>7</v>
      </c>
      <c r="V150" s="4">
        <v>17</v>
      </c>
      <c r="W150" s="4">
        <v>26</v>
      </c>
      <c r="X150" s="4">
        <v>10</v>
      </c>
      <c r="Y150" s="4">
        <v>0</v>
      </c>
      <c r="Z150" s="4">
        <v>23</v>
      </c>
      <c r="AA150" s="4">
        <v>36</v>
      </c>
      <c r="AB150" s="4">
        <v>166</v>
      </c>
      <c r="AC150" s="5">
        <f t="shared" si="2"/>
        <v>1.1304347826086956</v>
      </c>
    </row>
    <row r="151" spans="1:29" ht="15.75" customHeight="1" x14ac:dyDescent="0.25">
      <c r="A151" s="1" t="s">
        <v>171</v>
      </c>
      <c r="B151" s="3" t="s">
        <v>107</v>
      </c>
      <c r="C151" s="4" t="s">
        <v>8</v>
      </c>
      <c r="D151" s="4">
        <v>21</v>
      </c>
      <c r="E151" s="4">
        <v>321</v>
      </c>
      <c r="F151" s="4">
        <v>21</v>
      </c>
      <c r="G151" s="4">
        <v>3</v>
      </c>
      <c r="H151" s="4">
        <v>321</v>
      </c>
      <c r="I151" s="4">
        <v>42</v>
      </c>
      <c r="J151" s="4">
        <v>104</v>
      </c>
      <c r="K151" s="4">
        <v>0.40400000000000003</v>
      </c>
      <c r="L151" s="4">
        <v>12</v>
      </c>
      <c r="M151" s="4">
        <v>35</v>
      </c>
      <c r="N151" s="4">
        <v>0.34300000000000003</v>
      </c>
      <c r="O151" s="4">
        <v>30</v>
      </c>
      <c r="P151" s="4">
        <v>69</v>
      </c>
      <c r="Q151" s="4">
        <v>0.435</v>
      </c>
      <c r="R151" s="4">
        <v>12</v>
      </c>
      <c r="S151" s="4">
        <v>14</v>
      </c>
      <c r="T151" s="4">
        <v>0.85699999999999998</v>
      </c>
      <c r="U151" s="4">
        <v>6</v>
      </c>
      <c r="V151" s="4">
        <v>27</v>
      </c>
      <c r="W151" s="4">
        <v>39</v>
      </c>
      <c r="X151" s="4">
        <v>15</v>
      </c>
      <c r="Y151" s="4">
        <v>4</v>
      </c>
      <c r="Z151" s="4">
        <v>23</v>
      </c>
      <c r="AA151" s="4">
        <v>27</v>
      </c>
      <c r="AB151" s="4">
        <v>108</v>
      </c>
      <c r="AC151" s="5">
        <f t="shared" si="2"/>
        <v>1.6956521739130435</v>
      </c>
    </row>
    <row r="152" spans="1:29" ht="15.75" customHeight="1" x14ac:dyDescent="0.25">
      <c r="A152" s="1" t="s">
        <v>255</v>
      </c>
      <c r="B152" s="3" t="s">
        <v>137</v>
      </c>
      <c r="C152" s="4" t="s">
        <v>8</v>
      </c>
      <c r="D152" s="4">
        <v>34</v>
      </c>
      <c r="E152" s="4">
        <v>311</v>
      </c>
      <c r="F152" s="4">
        <v>34</v>
      </c>
      <c r="G152" s="4">
        <v>0</v>
      </c>
      <c r="H152" s="4">
        <v>311</v>
      </c>
      <c r="I152" s="4">
        <v>27</v>
      </c>
      <c r="J152" s="4">
        <v>67</v>
      </c>
      <c r="K152" s="4">
        <v>0.40300000000000002</v>
      </c>
      <c r="L152" s="4">
        <v>9</v>
      </c>
      <c r="M152" s="4">
        <v>33</v>
      </c>
      <c r="N152" s="4">
        <v>0.27300000000000002</v>
      </c>
      <c r="O152" s="4">
        <v>18</v>
      </c>
      <c r="P152" s="4">
        <v>34</v>
      </c>
      <c r="Q152" s="4">
        <v>0.52900000000000003</v>
      </c>
      <c r="R152" s="4">
        <v>12</v>
      </c>
      <c r="S152" s="4">
        <v>21</v>
      </c>
      <c r="T152" s="4">
        <v>0.57099999999999995</v>
      </c>
      <c r="U152" s="4">
        <v>10</v>
      </c>
      <c r="V152" s="4">
        <v>34</v>
      </c>
      <c r="W152" s="4">
        <v>18</v>
      </c>
      <c r="X152" s="4">
        <v>14</v>
      </c>
      <c r="Y152" s="4">
        <v>1</v>
      </c>
      <c r="Z152" s="4">
        <v>10</v>
      </c>
      <c r="AA152" s="4">
        <v>38</v>
      </c>
      <c r="AB152" s="4">
        <v>75</v>
      </c>
      <c r="AC152" s="5">
        <f t="shared" si="2"/>
        <v>1.8</v>
      </c>
    </row>
    <row r="153" spans="1:29" ht="15.75" customHeight="1" x14ac:dyDescent="0.25">
      <c r="A153" s="1" t="s">
        <v>190</v>
      </c>
      <c r="B153" s="3" t="s">
        <v>240</v>
      </c>
      <c r="C153" s="4" t="s">
        <v>8</v>
      </c>
      <c r="D153" s="4">
        <v>24</v>
      </c>
      <c r="E153" s="4">
        <v>310</v>
      </c>
      <c r="F153" s="4">
        <v>24</v>
      </c>
      <c r="G153" s="4">
        <v>0</v>
      </c>
      <c r="H153" s="4">
        <v>310</v>
      </c>
      <c r="I153" s="4">
        <v>35</v>
      </c>
      <c r="J153" s="4">
        <v>100</v>
      </c>
      <c r="K153" s="4">
        <v>0.35</v>
      </c>
      <c r="L153" s="4">
        <v>19</v>
      </c>
      <c r="M153" s="4">
        <v>67</v>
      </c>
      <c r="N153" s="4">
        <v>0.28399999999999997</v>
      </c>
      <c r="O153" s="4">
        <v>16</v>
      </c>
      <c r="P153" s="4">
        <v>33</v>
      </c>
      <c r="Q153" s="4">
        <v>0.48499999999999999</v>
      </c>
      <c r="R153" s="4">
        <v>9</v>
      </c>
      <c r="S153" s="4">
        <v>12</v>
      </c>
      <c r="T153" s="4">
        <v>0.75</v>
      </c>
      <c r="U153" s="4">
        <v>1</v>
      </c>
      <c r="V153" s="4">
        <v>10</v>
      </c>
      <c r="W153" s="4">
        <v>29</v>
      </c>
      <c r="X153" s="4">
        <v>9</v>
      </c>
      <c r="Y153" s="4">
        <v>1</v>
      </c>
      <c r="Z153" s="4">
        <v>20</v>
      </c>
      <c r="AA153" s="4">
        <v>26</v>
      </c>
      <c r="AB153" s="4">
        <v>98</v>
      </c>
      <c r="AC153" s="5">
        <f t="shared" si="2"/>
        <v>1.45</v>
      </c>
    </row>
    <row r="154" spans="1:29" ht="15.75" customHeight="1" x14ac:dyDescent="0.25">
      <c r="A154" s="1" t="s">
        <v>241</v>
      </c>
      <c r="B154" s="3" t="s">
        <v>96</v>
      </c>
      <c r="C154" s="4" t="s">
        <v>85</v>
      </c>
      <c r="D154" s="4">
        <v>30</v>
      </c>
      <c r="E154" s="4">
        <v>307</v>
      </c>
      <c r="F154" s="4">
        <v>30</v>
      </c>
      <c r="G154" s="4">
        <v>0</v>
      </c>
      <c r="H154" s="4">
        <v>307</v>
      </c>
      <c r="I154" s="4">
        <v>39</v>
      </c>
      <c r="J154" s="4">
        <v>82</v>
      </c>
      <c r="K154" s="4">
        <v>0.47599999999999998</v>
      </c>
      <c r="L154" s="4">
        <v>2</v>
      </c>
      <c r="M154" s="4">
        <v>3</v>
      </c>
      <c r="N154" s="4">
        <v>0.66700000000000004</v>
      </c>
      <c r="O154" s="4">
        <v>37</v>
      </c>
      <c r="P154" s="4">
        <v>79</v>
      </c>
      <c r="Q154" s="4">
        <v>0.46800000000000003</v>
      </c>
      <c r="R154" s="4">
        <v>28</v>
      </c>
      <c r="S154" s="4">
        <v>33</v>
      </c>
      <c r="T154" s="4">
        <v>0.84799999999999998</v>
      </c>
      <c r="U154" s="4">
        <v>35</v>
      </c>
      <c r="V154" s="4">
        <v>59</v>
      </c>
      <c r="W154" s="4">
        <v>20</v>
      </c>
      <c r="X154" s="4">
        <v>17</v>
      </c>
      <c r="Y154" s="4">
        <v>12</v>
      </c>
      <c r="Z154" s="4">
        <v>19</v>
      </c>
      <c r="AA154" s="4">
        <v>37</v>
      </c>
      <c r="AB154" s="4">
        <v>108</v>
      </c>
      <c r="AC154" s="5">
        <f t="shared" si="2"/>
        <v>1.0526315789473684</v>
      </c>
    </row>
    <row r="155" spans="1:29" ht="15.75" customHeight="1" x14ac:dyDescent="0.25">
      <c r="A155" s="1" t="s">
        <v>275</v>
      </c>
      <c r="B155" s="3" t="s">
        <v>114</v>
      </c>
      <c r="C155" s="4" t="s">
        <v>119</v>
      </c>
      <c r="D155" s="4">
        <v>14</v>
      </c>
      <c r="E155" s="4">
        <v>286</v>
      </c>
      <c r="F155" s="4">
        <v>14</v>
      </c>
      <c r="G155" s="4">
        <v>9</v>
      </c>
      <c r="H155" s="4">
        <v>286</v>
      </c>
      <c r="I155" s="4">
        <v>37</v>
      </c>
      <c r="J155" s="4">
        <v>93</v>
      </c>
      <c r="K155" s="4">
        <v>0.39800000000000002</v>
      </c>
      <c r="L155" s="4">
        <v>8</v>
      </c>
      <c r="M155" s="4">
        <v>26</v>
      </c>
      <c r="N155" s="4">
        <v>0.308</v>
      </c>
      <c r="O155" s="4">
        <v>29</v>
      </c>
      <c r="P155" s="4">
        <v>67</v>
      </c>
      <c r="Q155" s="4">
        <v>0.433</v>
      </c>
      <c r="R155" s="4">
        <v>14</v>
      </c>
      <c r="S155" s="4">
        <v>16</v>
      </c>
      <c r="T155" s="4">
        <v>0.875</v>
      </c>
      <c r="U155" s="4">
        <v>7</v>
      </c>
      <c r="V155" s="4">
        <v>56</v>
      </c>
      <c r="W155" s="4">
        <v>25</v>
      </c>
      <c r="X155" s="4">
        <v>11</v>
      </c>
      <c r="Y155" s="4">
        <v>17</v>
      </c>
      <c r="Z155" s="4">
        <v>15</v>
      </c>
      <c r="AA155" s="4">
        <v>35</v>
      </c>
      <c r="AB155" s="4">
        <v>96</v>
      </c>
      <c r="AC155" s="5">
        <f t="shared" si="2"/>
        <v>1.6666666666666667</v>
      </c>
    </row>
    <row r="156" spans="1:29" ht="15.75" customHeight="1" x14ac:dyDescent="0.25">
      <c r="A156" s="1" t="s">
        <v>197</v>
      </c>
      <c r="B156" s="3" t="s">
        <v>114</v>
      </c>
      <c r="C156" s="4" t="s">
        <v>85</v>
      </c>
      <c r="D156" s="4">
        <v>28</v>
      </c>
      <c r="E156" s="4">
        <v>283</v>
      </c>
      <c r="F156" s="4">
        <v>28</v>
      </c>
      <c r="G156" s="4">
        <v>0</v>
      </c>
      <c r="H156" s="4">
        <v>283</v>
      </c>
      <c r="I156" s="4">
        <v>31</v>
      </c>
      <c r="J156" s="4">
        <v>56</v>
      </c>
      <c r="K156" s="4">
        <v>0.55400000000000005</v>
      </c>
      <c r="L156" s="4">
        <v>6</v>
      </c>
      <c r="M156" s="4">
        <v>13</v>
      </c>
      <c r="N156" s="4">
        <v>0.46200000000000002</v>
      </c>
      <c r="O156" s="4">
        <v>25</v>
      </c>
      <c r="P156" s="4">
        <v>43</v>
      </c>
      <c r="Q156" s="4">
        <v>0.58099999999999996</v>
      </c>
      <c r="R156" s="4">
        <v>12</v>
      </c>
      <c r="S156" s="4">
        <v>17</v>
      </c>
      <c r="T156" s="4">
        <v>0.70599999999999996</v>
      </c>
      <c r="U156" s="4">
        <v>28</v>
      </c>
      <c r="V156" s="4">
        <v>83</v>
      </c>
      <c r="W156" s="4">
        <v>15</v>
      </c>
      <c r="X156" s="4">
        <v>18</v>
      </c>
      <c r="Y156" s="4">
        <v>6</v>
      </c>
      <c r="Z156" s="4">
        <v>13</v>
      </c>
      <c r="AA156" s="4">
        <v>39</v>
      </c>
      <c r="AB156" s="4">
        <v>80</v>
      </c>
      <c r="AC156" s="5">
        <f t="shared" si="2"/>
        <v>1.1538461538461537</v>
      </c>
    </row>
    <row r="157" spans="1:29" ht="15.75" customHeight="1" x14ac:dyDescent="0.25">
      <c r="A157" s="1" t="s">
        <v>266</v>
      </c>
      <c r="B157" s="3" t="s">
        <v>96</v>
      </c>
      <c r="C157" s="4" t="s">
        <v>85</v>
      </c>
      <c r="D157" s="4">
        <v>19</v>
      </c>
      <c r="E157" s="4">
        <v>278</v>
      </c>
      <c r="F157" s="4">
        <v>19</v>
      </c>
      <c r="G157" s="4">
        <v>0</v>
      </c>
      <c r="H157" s="4">
        <v>278</v>
      </c>
      <c r="I157" s="4">
        <v>27</v>
      </c>
      <c r="J157" s="4">
        <v>68</v>
      </c>
      <c r="K157" s="4">
        <v>0.39700000000000002</v>
      </c>
      <c r="L157" s="4">
        <v>14</v>
      </c>
      <c r="M157" s="4">
        <v>46</v>
      </c>
      <c r="N157" s="4">
        <v>0.30399999999999999</v>
      </c>
      <c r="O157" s="4">
        <v>13</v>
      </c>
      <c r="P157" s="4">
        <v>22</v>
      </c>
      <c r="Q157" s="4">
        <v>0.59099999999999997</v>
      </c>
      <c r="R157" s="4">
        <v>1</v>
      </c>
      <c r="S157" s="4">
        <v>4</v>
      </c>
      <c r="T157" s="4">
        <v>0.25</v>
      </c>
      <c r="U157" s="4">
        <v>7</v>
      </c>
      <c r="V157" s="4">
        <v>52</v>
      </c>
      <c r="W157" s="4">
        <v>23</v>
      </c>
      <c r="X157" s="4">
        <v>5</v>
      </c>
      <c r="Y157" s="4">
        <v>12</v>
      </c>
      <c r="Z157" s="4">
        <v>10</v>
      </c>
      <c r="AA157" s="4">
        <v>17</v>
      </c>
      <c r="AB157" s="4">
        <v>69</v>
      </c>
      <c r="AC157" s="5">
        <f t="shared" si="2"/>
        <v>2.2999999999999998</v>
      </c>
    </row>
    <row r="158" spans="1:29" ht="15.75" customHeight="1" x14ac:dyDescent="0.25">
      <c r="A158" s="1" t="s">
        <v>202</v>
      </c>
      <c r="B158" s="3" t="s">
        <v>117</v>
      </c>
      <c r="C158" s="4" t="s">
        <v>85</v>
      </c>
      <c r="D158" s="4">
        <v>28</v>
      </c>
      <c r="E158" s="4">
        <v>270</v>
      </c>
      <c r="F158" s="4">
        <v>28</v>
      </c>
      <c r="G158" s="4">
        <v>0</v>
      </c>
      <c r="H158" s="4">
        <v>270</v>
      </c>
      <c r="I158" s="4">
        <v>19</v>
      </c>
      <c r="J158" s="4">
        <v>69</v>
      </c>
      <c r="K158" s="4">
        <v>0.27500000000000002</v>
      </c>
      <c r="L158" s="4">
        <v>12</v>
      </c>
      <c r="M158" s="4">
        <v>50</v>
      </c>
      <c r="N158" s="4">
        <v>0.24</v>
      </c>
      <c r="O158" s="4">
        <v>7</v>
      </c>
      <c r="P158" s="4">
        <v>19</v>
      </c>
      <c r="Q158" s="4">
        <v>0.36799999999999999</v>
      </c>
      <c r="R158" s="4">
        <v>3</v>
      </c>
      <c r="S158" s="4">
        <v>4</v>
      </c>
      <c r="T158" s="4">
        <v>0.75</v>
      </c>
      <c r="U158" s="4">
        <v>10</v>
      </c>
      <c r="V158" s="4">
        <v>40</v>
      </c>
      <c r="W158" s="4">
        <v>16</v>
      </c>
      <c r="X158" s="4">
        <v>6</v>
      </c>
      <c r="Y158" s="4">
        <v>10</v>
      </c>
      <c r="Z158" s="4">
        <v>14</v>
      </c>
      <c r="AA158" s="4">
        <v>28</v>
      </c>
      <c r="AB158" s="4">
        <v>53</v>
      </c>
      <c r="AC158" s="5">
        <f t="shared" si="2"/>
        <v>1.1428571428571428</v>
      </c>
    </row>
    <row r="159" spans="1:29" ht="15.75" customHeight="1" x14ac:dyDescent="0.25">
      <c r="A159" s="1" t="s">
        <v>222</v>
      </c>
      <c r="B159" s="3" t="s">
        <v>240</v>
      </c>
      <c r="C159" s="4" t="s">
        <v>8</v>
      </c>
      <c r="D159" s="4">
        <v>25</v>
      </c>
      <c r="E159" s="4">
        <v>257</v>
      </c>
      <c r="F159" s="4">
        <v>25</v>
      </c>
      <c r="G159" s="4">
        <v>2</v>
      </c>
      <c r="H159" s="4">
        <v>257</v>
      </c>
      <c r="I159" s="4">
        <v>34</v>
      </c>
      <c r="J159" s="4">
        <v>74</v>
      </c>
      <c r="K159" s="4">
        <v>0.45900000000000002</v>
      </c>
      <c r="L159" s="4">
        <v>7</v>
      </c>
      <c r="M159" s="4">
        <v>26</v>
      </c>
      <c r="N159" s="4">
        <v>0.26900000000000002</v>
      </c>
      <c r="O159" s="4">
        <v>27</v>
      </c>
      <c r="P159" s="4">
        <v>48</v>
      </c>
      <c r="Q159" s="4">
        <v>0.56299999999999994</v>
      </c>
      <c r="R159" s="4">
        <v>9</v>
      </c>
      <c r="S159" s="4">
        <v>14</v>
      </c>
      <c r="T159" s="4">
        <v>0.64300000000000002</v>
      </c>
      <c r="U159" s="4">
        <v>2</v>
      </c>
      <c r="V159" s="4">
        <v>21</v>
      </c>
      <c r="W159" s="4">
        <v>50</v>
      </c>
      <c r="X159" s="4">
        <v>9</v>
      </c>
      <c r="Y159" s="4">
        <v>2</v>
      </c>
      <c r="Z159" s="4">
        <v>21</v>
      </c>
      <c r="AA159" s="4">
        <v>21</v>
      </c>
      <c r="AB159" s="4">
        <v>84</v>
      </c>
      <c r="AC159" s="5">
        <f t="shared" si="2"/>
        <v>2.3809523809523809</v>
      </c>
    </row>
    <row r="160" spans="1:29" ht="15.75" customHeight="1" x14ac:dyDescent="0.25">
      <c r="A160" s="15" t="s">
        <v>270</v>
      </c>
      <c r="B160" s="9" t="s">
        <v>84</v>
      </c>
      <c r="C160" s="9" t="s">
        <v>8</v>
      </c>
      <c r="D160" s="9">
        <v>20</v>
      </c>
      <c r="E160" s="9">
        <v>243</v>
      </c>
      <c r="F160" s="9">
        <v>20</v>
      </c>
      <c r="G160" s="9">
        <v>0</v>
      </c>
      <c r="H160" s="9">
        <v>243</v>
      </c>
      <c r="I160" s="9">
        <v>25</v>
      </c>
      <c r="J160" s="9">
        <v>62</v>
      </c>
      <c r="K160" s="14">
        <v>0.40300000000000002</v>
      </c>
      <c r="L160" s="9">
        <v>12</v>
      </c>
      <c r="M160" s="9">
        <v>37</v>
      </c>
      <c r="N160" s="9">
        <v>0.32400000000000001</v>
      </c>
      <c r="O160" s="9">
        <v>13</v>
      </c>
      <c r="P160" s="9">
        <v>25</v>
      </c>
      <c r="Q160" s="9">
        <v>0.52</v>
      </c>
      <c r="R160" s="9">
        <v>16</v>
      </c>
      <c r="S160" s="9">
        <v>25</v>
      </c>
      <c r="T160" s="9">
        <v>0.64</v>
      </c>
      <c r="U160" s="9">
        <v>6</v>
      </c>
      <c r="V160" s="9">
        <v>39</v>
      </c>
      <c r="W160" s="9">
        <v>36</v>
      </c>
      <c r="X160" s="9">
        <v>3</v>
      </c>
      <c r="Y160" s="9">
        <v>0</v>
      </c>
      <c r="Z160" s="9">
        <v>22</v>
      </c>
      <c r="AA160" s="9">
        <v>16</v>
      </c>
      <c r="AB160" s="9">
        <v>78</v>
      </c>
      <c r="AC160" s="5">
        <f t="shared" si="2"/>
        <v>1.6363636363636365</v>
      </c>
    </row>
    <row r="161" spans="1:29" ht="15.75" customHeight="1" x14ac:dyDescent="0.25">
      <c r="A161" s="15" t="s">
        <v>155</v>
      </c>
      <c r="B161" s="9" t="s">
        <v>117</v>
      </c>
      <c r="C161" s="9" t="s">
        <v>8</v>
      </c>
      <c r="D161" s="9">
        <v>13</v>
      </c>
      <c r="E161" s="9">
        <v>220</v>
      </c>
      <c r="F161" s="9">
        <v>13</v>
      </c>
      <c r="G161" s="9">
        <v>0</v>
      </c>
      <c r="H161" s="9">
        <v>220</v>
      </c>
      <c r="I161" s="9">
        <v>60</v>
      </c>
      <c r="J161" s="9">
        <v>100</v>
      </c>
      <c r="K161" s="14">
        <v>0.6</v>
      </c>
      <c r="L161" s="9">
        <v>11</v>
      </c>
      <c r="M161" s="9">
        <v>21</v>
      </c>
      <c r="N161" s="9">
        <v>0.52400000000000002</v>
      </c>
      <c r="O161" s="9">
        <v>49</v>
      </c>
      <c r="P161" s="9">
        <v>79</v>
      </c>
      <c r="Q161" s="9">
        <v>0.62</v>
      </c>
      <c r="R161" s="9">
        <v>28</v>
      </c>
      <c r="S161" s="9">
        <v>37</v>
      </c>
      <c r="T161" s="9">
        <v>0.75700000000000001</v>
      </c>
      <c r="U161" s="9">
        <v>9</v>
      </c>
      <c r="V161" s="9">
        <v>23</v>
      </c>
      <c r="W161" s="9">
        <v>17</v>
      </c>
      <c r="X161" s="9">
        <v>11</v>
      </c>
      <c r="Y161" s="9">
        <v>4</v>
      </c>
      <c r="Z161" s="9">
        <v>17</v>
      </c>
      <c r="AA161" s="9">
        <v>32</v>
      </c>
      <c r="AB161" s="9">
        <v>159</v>
      </c>
      <c r="AC161" s="5">
        <f t="shared" si="2"/>
        <v>1</v>
      </c>
    </row>
    <row r="162" spans="1:29" ht="15.75" customHeight="1" x14ac:dyDescent="0.25">
      <c r="A162" s="15" t="s">
        <v>281</v>
      </c>
      <c r="B162" s="9" t="s">
        <v>107</v>
      </c>
      <c r="C162" s="9" t="s">
        <v>8</v>
      </c>
      <c r="D162" s="9">
        <v>17</v>
      </c>
      <c r="E162" s="9">
        <v>220</v>
      </c>
      <c r="F162" s="9">
        <v>17</v>
      </c>
      <c r="G162" s="9">
        <v>0</v>
      </c>
      <c r="H162" s="9">
        <v>220</v>
      </c>
      <c r="I162" s="9">
        <v>18</v>
      </c>
      <c r="J162" s="9">
        <v>55</v>
      </c>
      <c r="K162" s="14">
        <v>0.32700000000000001</v>
      </c>
      <c r="L162" s="9">
        <v>10</v>
      </c>
      <c r="M162" s="9">
        <v>40</v>
      </c>
      <c r="N162" s="9">
        <v>0.25</v>
      </c>
      <c r="O162" s="9">
        <v>8</v>
      </c>
      <c r="P162" s="9">
        <v>15</v>
      </c>
      <c r="Q162" s="9">
        <v>0.53300000000000003</v>
      </c>
      <c r="R162" s="9">
        <v>0</v>
      </c>
      <c r="S162" s="9">
        <v>2</v>
      </c>
      <c r="T162" s="9">
        <v>0</v>
      </c>
      <c r="U162" s="9">
        <v>2</v>
      </c>
      <c r="V162" s="9">
        <v>21</v>
      </c>
      <c r="W162" s="9">
        <v>12</v>
      </c>
      <c r="X162" s="9">
        <v>8</v>
      </c>
      <c r="Y162" s="9">
        <v>1</v>
      </c>
      <c r="Z162" s="9">
        <v>7</v>
      </c>
      <c r="AA162" s="9">
        <v>15</v>
      </c>
      <c r="AB162" s="9">
        <v>46</v>
      </c>
      <c r="AC162" s="5">
        <f t="shared" si="2"/>
        <v>1.7142857142857142</v>
      </c>
    </row>
    <row r="163" spans="1:29" ht="15.75" customHeight="1" x14ac:dyDescent="0.25">
      <c r="A163" s="15" t="s">
        <v>242</v>
      </c>
      <c r="B163" s="9" t="s">
        <v>84</v>
      </c>
      <c r="C163" s="9" t="s">
        <v>85</v>
      </c>
      <c r="D163" s="9">
        <v>13</v>
      </c>
      <c r="E163" s="9">
        <v>218</v>
      </c>
      <c r="F163" s="9">
        <v>13</v>
      </c>
      <c r="G163" s="9">
        <v>5</v>
      </c>
      <c r="H163" s="9">
        <v>218</v>
      </c>
      <c r="I163" s="9">
        <v>45</v>
      </c>
      <c r="J163" s="9">
        <v>98</v>
      </c>
      <c r="K163" s="14">
        <v>0.45900000000000002</v>
      </c>
      <c r="L163" s="9">
        <v>20</v>
      </c>
      <c r="M163" s="9">
        <v>52</v>
      </c>
      <c r="N163" s="9">
        <v>0.38500000000000001</v>
      </c>
      <c r="O163" s="9">
        <v>25</v>
      </c>
      <c r="P163" s="9">
        <v>46</v>
      </c>
      <c r="Q163" s="9">
        <v>0.54300000000000004</v>
      </c>
      <c r="R163" s="9">
        <v>25</v>
      </c>
      <c r="S163" s="9">
        <v>29</v>
      </c>
      <c r="T163" s="9">
        <v>0.86199999999999999</v>
      </c>
      <c r="U163" s="9">
        <v>5</v>
      </c>
      <c r="V163" s="9">
        <v>36</v>
      </c>
      <c r="W163" s="9">
        <v>25</v>
      </c>
      <c r="X163" s="9">
        <v>1</v>
      </c>
      <c r="Y163" s="9">
        <v>2</v>
      </c>
      <c r="Z163" s="9">
        <v>22</v>
      </c>
      <c r="AA163" s="9">
        <v>34</v>
      </c>
      <c r="AB163" s="9">
        <v>135</v>
      </c>
      <c r="AC163" s="5">
        <f t="shared" si="2"/>
        <v>1.1363636363636365</v>
      </c>
    </row>
    <row r="164" spans="1:29" ht="15.75" customHeight="1" x14ac:dyDescent="0.25">
      <c r="A164" s="15" t="s">
        <v>279</v>
      </c>
      <c r="B164" s="9" t="s">
        <v>232</v>
      </c>
      <c r="C164" s="9" t="s">
        <v>8</v>
      </c>
      <c r="D164" s="9">
        <v>15</v>
      </c>
      <c r="E164" s="9">
        <v>210</v>
      </c>
      <c r="F164" s="9">
        <v>15</v>
      </c>
      <c r="G164" s="9">
        <v>2</v>
      </c>
      <c r="H164" s="9">
        <v>210</v>
      </c>
      <c r="I164" s="9">
        <v>25</v>
      </c>
      <c r="J164" s="9">
        <v>58</v>
      </c>
      <c r="K164" s="14">
        <v>0.43099999999999999</v>
      </c>
      <c r="L164" s="9">
        <v>6</v>
      </c>
      <c r="M164" s="9">
        <v>21</v>
      </c>
      <c r="N164" s="9">
        <v>0.28599999999999998</v>
      </c>
      <c r="O164" s="9">
        <v>19</v>
      </c>
      <c r="P164" s="9">
        <v>37</v>
      </c>
      <c r="Q164" s="9">
        <v>0.51400000000000001</v>
      </c>
      <c r="R164" s="9">
        <v>19</v>
      </c>
      <c r="S164" s="9">
        <v>26</v>
      </c>
      <c r="T164" s="9">
        <v>0.73099999999999998</v>
      </c>
      <c r="U164" s="9">
        <v>7</v>
      </c>
      <c r="V164" s="9">
        <v>26</v>
      </c>
      <c r="W164" s="9">
        <v>57</v>
      </c>
      <c r="X164" s="9">
        <v>11</v>
      </c>
      <c r="Y164" s="9">
        <v>1</v>
      </c>
      <c r="Z164" s="9">
        <v>31</v>
      </c>
      <c r="AA164" s="9">
        <v>33</v>
      </c>
      <c r="AB164" s="9">
        <v>75</v>
      </c>
      <c r="AC164" s="5">
        <f t="shared" si="2"/>
        <v>1.8387096774193548</v>
      </c>
    </row>
    <row r="165" spans="1:29" ht="15.75" customHeight="1" x14ac:dyDescent="0.25">
      <c r="A165" s="15" t="s">
        <v>207</v>
      </c>
      <c r="B165" s="9" t="s">
        <v>93</v>
      </c>
      <c r="C165" s="9" t="s">
        <v>88</v>
      </c>
      <c r="D165" s="9">
        <v>19</v>
      </c>
      <c r="E165" s="9">
        <v>202</v>
      </c>
      <c r="F165" s="9">
        <v>19</v>
      </c>
      <c r="G165" s="9">
        <v>1</v>
      </c>
      <c r="H165" s="9">
        <v>202</v>
      </c>
      <c r="I165" s="9">
        <v>19</v>
      </c>
      <c r="J165" s="9">
        <v>58</v>
      </c>
      <c r="K165" s="14">
        <v>0.32800000000000001</v>
      </c>
      <c r="L165" s="9">
        <v>7</v>
      </c>
      <c r="M165" s="9">
        <v>26</v>
      </c>
      <c r="N165" s="9">
        <v>0.26900000000000002</v>
      </c>
      <c r="O165" s="9">
        <v>12</v>
      </c>
      <c r="P165" s="9">
        <v>32</v>
      </c>
      <c r="Q165" s="9">
        <v>0.375</v>
      </c>
      <c r="R165" s="9">
        <v>12</v>
      </c>
      <c r="S165" s="9">
        <v>17</v>
      </c>
      <c r="T165" s="9">
        <v>0.70599999999999996</v>
      </c>
      <c r="U165" s="9">
        <v>13</v>
      </c>
      <c r="V165" s="9">
        <v>45</v>
      </c>
      <c r="W165" s="9">
        <v>12</v>
      </c>
      <c r="X165" s="9">
        <v>10</v>
      </c>
      <c r="Y165" s="9">
        <v>14</v>
      </c>
      <c r="Z165" s="9">
        <v>11</v>
      </c>
      <c r="AA165" s="9">
        <v>30</v>
      </c>
      <c r="AB165" s="9">
        <v>57</v>
      </c>
      <c r="AC165" s="5">
        <f t="shared" si="2"/>
        <v>1.0909090909090908</v>
      </c>
    </row>
    <row r="166" spans="1:29" ht="15.75" customHeight="1" x14ac:dyDescent="0.25">
      <c r="A166" s="15" t="s">
        <v>271</v>
      </c>
      <c r="B166" s="9" t="s">
        <v>117</v>
      </c>
      <c r="C166" s="9" t="s">
        <v>8</v>
      </c>
      <c r="D166" s="9">
        <v>13</v>
      </c>
      <c r="E166" s="9">
        <v>200</v>
      </c>
      <c r="F166" s="9">
        <v>13</v>
      </c>
      <c r="G166" s="9">
        <v>1</v>
      </c>
      <c r="H166" s="9">
        <v>200</v>
      </c>
      <c r="I166" s="9">
        <v>17</v>
      </c>
      <c r="J166" s="9">
        <v>62</v>
      </c>
      <c r="K166" s="14">
        <v>0.27400000000000002</v>
      </c>
      <c r="L166" s="9">
        <v>11</v>
      </c>
      <c r="M166" s="9">
        <v>30</v>
      </c>
      <c r="N166" s="9">
        <v>0.36699999999999999</v>
      </c>
      <c r="O166" s="9">
        <v>6</v>
      </c>
      <c r="P166" s="9">
        <v>32</v>
      </c>
      <c r="Q166" s="9">
        <v>0.188</v>
      </c>
      <c r="R166" s="9">
        <v>3</v>
      </c>
      <c r="S166" s="9">
        <v>6</v>
      </c>
      <c r="T166" s="9">
        <v>0.5</v>
      </c>
      <c r="U166" s="9">
        <v>0</v>
      </c>
      <c r="V166" s="9">
        <v>19</v>
      </c>
      <c r="W166" s="9">
        <v>26</v>
      </c>
      <c r="X166" s="9">
        <v>3</v>
      </c>
      <c r="Y166" s="9">
        <v>2</v>
      </c>
      <c r="Z166" s="9">
        <v>15</v>
      </c>
      <c r="AA166" s="9">
        <v>12</v>
      </c>
      <c r="AB166" s="9">
        <v>48</v>
      </c>
      <c r="AC166" s="5">
        <f t="shared" si="2"/>
        <v>1.7333333333333334</v>
      </c>
    </row>
    <row r="167" spans="1:29" ht="15.75" customHeight="1" x14ac:dyDescent="0.25">
      <c r="A167" s="15" t="s">
        <v>280</v>
      </c>
      <c r="B167" s="9" t="s">
        <v>117</v>
      </c>
      <c r="C167" s="9" t="s">
        <v>8</v>
      </c>
      <c r="D167" s="9">
        <v>12</v>
      </c>
      <c r="E167" s="9">
        <v>188</v>
      </c>
      <c r="F167" s="9">
        <v>12</v>
      </c>
      <c r="G167" s="9">
        <v>0</v>
      </c>
      <c r="H167" s="9">
        <v>188</v>
      </c>
      <c r="I167" s="9">
        <v>21</v>
      </c>
      <c r="J167" s="9">
        <v>55</v>
      </c>
      <c r="K167" s="14">
        <v>0.38200000000000001</v>
      </c>
      <c r="L167" s="9">
        <v>15</v>
      </c>
      <c r="M167" s="9">
        <v>38</v>
      </c>
      <c r="N167" s="9">
        <v>0.39500000000000002</v>
      </c>
      <c r="O167" s="9">
        <v>6</v>
      </c>
      <c r="P167" s="9">
        <v>17</v>
      </c>
      <c r="Q167" s="9">
        <v>0.35299999999999998</v>
      </c>
      <c r="R167" s="9">
        <v>9</v>
      </c>
      <c r="S167" s="9">
        <v>9</v>
      </c>
      <c r="T167" s="9">
        <v>1</v>
      </c>
      <c r="U167" s="9">
        <v>3</v>
      </c>
      <c r="V167" s="9">
        <v>14</v>
      </c>
      <c r="W167" s="9">
        <v>19</v>
      </c>
      <c r="X167" s="9">
        <v>9</v>
      </c>
      <c r="Y167" s="9">
        <v>0</v>
      </c>
      <c r="Z167" s="9">
        <v>6</v>
      </c>
      <c r="AA167" s="9">
        <v>14</v>
      </c>
      <c r="AB167" s="9">
        <v>66</v>
      </c>
      <c r="AC167" s="5">
        <f t="shared" si="2"/>
        <v>3.1666666666666665</v>
      </c>
    </row>
    <row r="168" spans="1:29" ht="15.75" customHeight="1" x14ac:dyDescent="0.25">
      <c r="A168" s="15" t="s">
        <v>276</v>
      </c>
      <c r="B168" s="9" t="s">
        <v>131</v>
      </c>
      <c r="C168" s="9" t="s">
        <v>94</v>
      </c>
      <c r="D168" s="9">
        <v>11</v>
      </c>
      <c r="E168" s="9">
        <v>178</v>
      </c>
      <c r="F168" s="9">
        <v>11</v>
      </c>
      <c r="G168" s="9">
        <v>0</v>
      </c>
      <c r="H168" s="9">
        <v>178</v>
      </c>
      <c r="I168" s="9">
        <v>31</v>
      </c>
      <c r="J168" s="9">
        <v>94</v>
      </c>
      <c r="K168" s="14">
        <v>0.33</v>
      </c>
      <c r="L168" s="9">
        <v>7</v>
      </c>
      <c r="M168" s="9">
        <v>25</v>
      </c>
      <c r="N168" s="9">
        <v>0.28000000000000003</v>
      </c>
      <c r="O168" s="9">
        <v>24</v>
      </c>
      <c r="P168" s="9">
        <v>69</v>
      </c>
      <c r="Q168" s="9">
        <v>0.34799999999999998</v>
      </c>
      <c r="R168" s="9">
        <v>28</v>
      </c>
      <c r="S168" s="9">
        <v>38</v>
      </c>
      <c r="T168" s="9">
        <v>0.73699999999999999</v>
      </c>
      <c r="U168" s="9">
        <v>5</v>
      </c>
      <c r="V168" s="9">
        <v>34</v>
      </c>
      <c r="W168" s="9">
        <v>7</v>
      </c>
      <c r="X168" s="9">
        <v>7</v>
      </c>
      <c r="Y168" s="9">
        <v>2</v>
      </c>
      <c r="Z168" s="9">
        <v>9</v>
      </c>
      <c r="AA168" s="9">
        <v>22</v>
      </c>
      <c r="AB168" s="9">
        <v>97</v>
      </c>
      <c r="AC168" s="5">
        <f t="shared" si="2"/>
        <v>0.77777777777777779</v>
      </c>
    </row>
    <row r="169" spans="1:29" ht="15.75" customHeight="1" x14ac:dyDescent="0.25">
      <c r="A169" s="15" t="s">
        <v>260</v>
      </c>
      <c r="B169" s="9" t="s">
        <v>161</v>
      </c>
      <c r="C169" s="9" t="s">
        <v>8</v>
      </c>
      <c r="D169" s="9">
        <v>19</v>
      </c>
      <c r="E169" s="9">
        <v>178</v>
      </c>
      <c r="F169" s="9">
        <v>19</v>
      </c>
      <c r="G169" s="9">
        <v>1</v>
      </c>
      <c r="H169" s="9">
        <v>178</v>
      </c>
      <c r="I169" s="9">
        <v>19</v>
      </c>
      <c r="J169" s="9">
        <v>55</v>
      </c>
      <c r="K169" s="14">
        <v>0.34499999999999997</v>
      </c>
      <c r="L169" s="9">
        <v>8</v>
      </c>
      <c r="M169" s="9">
        <v>26</v>
      </c>
      <c r="N169" s="9">
        <v>0.308</v>
      </c>
      <c r="O169" s="9">
        <v>11</v>
      </c>
      <c r="P169" s="9">
        <v>29</v>
      </c>
      <c r="Q169" s="9">
        <v>0.379</v>
      </c>
      <c r="R169" s="9">
        <v>14</v>
      </c>
      <c r="S169" s="9">
        <v>18</v>
      </c>
      <c r="T169" s="9">
        <v>0.77800000000000002</v>
      </c>
      <c r="U169" s="9">
        <v>6</v>
      </c>
      <c r="V169" s="9">
        <v>16</v>
      </c>
      <c r="W169" s="9">
        <v>22</v>
      </c>
      <c r="X169" s="9">
        <v>4</v>
      </c>
      <c r="Y169" s="9">
        <v>0</v>
      </c>
      <c r="Z169" s="9">
        <v>14</v>
      </c>
      <c r="AA169" s="9">
        <v>32</v>
      </c>
      <c r="AB169" s="9">
        <v>60</v>
      </c>
      <c r="AC169" s="5">
        <f t="shared" si="2"/>
        <v>1.5714285714285714</v>
      </c>
    </row>
    <row r="170" spans="1:29" ht="15.75" customHeight="1" x14ac:dyDescent="0.25">
      <c r="A170" s="15" t="s">
        <v>261</v>
      </c>
      <c r="B170" s="9" t="s">
        <v>128</v>
      </c>
      <c r="C170" s="9" t="s">
        <v>85</v>
      </c>
      <c r="D170" s="9">
        <v>34</v>
      </c>
      <c r="E170" s="9">
        <v>173</v>
      </c>
      <c r="F170" s="9">
        <v>34</v>
      </c>
      <c r="G170" s="9">
        <v>1</v>
      </c>
      <c r="H170" s="9">
        <v>173</v>
      </c>
      <c r="I170" s="9">
        <v>21</v>
      </c>
      <c r="J170" s="9">
        <v>61</v>
      </c>
      <c r="K170" s="14">
        <v>0.34399999999999997</v>
      </c>
      <c r="L170" s="9">
        <v>6</v>
      </c>
      <c r="M170" s="9">
        <v>29</v>
      </c>
      <c r="N170" s="9">
        <v>0.20699999999999999</v>
      </c>
      <c r="O170" s="9">
        <v>15</v>
      </c>
      <c r="P170" s="9">
        <v>32</v>
      </c>
      <c r="Q170" s="9">
        <v>0.46899999999999997</v>
      </c>
      <c r="R170" s="9">
        <v>15</v>
      </c>
      <c r="S170" s="9">
        <v>21</v>
      </c>
      <c r="T170" s="9">
        <v>0.71399999999999997</v>
      </c>
      <c r="U170" s="9">
        <v>14</v>
      </c>
      <c r="V170" s="9">
        <v>36</v>
      </c>
      <c r="W170" s="9">
        <v>7</v>
      </c>
      <c r="X170" s="9">
        <v>2</v>
      </c>
      <c r="Y170" s="9">
        <v>0</v>
      </c>
      <c r="Z170" s="9">
        <v>9</v>
      </c>
      <c r="AA170" s="9">
        <v>34</v>
      </c>
      <c r="AB170" s="9">
        <v>63</v>
      </c>
      <c r="AC170" s="5">
        <f t="shared" si="2"/>
        <v>0.77777777777777779</v>
      </c>
    </row>
    <row r="171" spans="1:29" ht="15.75" customHeight="1" x14ac:dyDescent="0.25">
      <c r="A171" s="15" t="s">
        <v>284</v>
      </c>
      <c r="B171" s="9" t="s">
        <v>161</v>
      </c>
      <c r="C171" s="9" t="s">
        <v>85</v>
      </c>
      <c r="D171" s="9">
        <v>12</v>
      </c>
      <c r="E171" s="9">
        <v>168</v>
      </c>
      <c r="F171" s="9">
        <v>12</v>
      </c>
      <c r="G171" s="9">
        <v>0</v>
      </c>
      <c r="H171" s="9">
        <v>168</v>
      </c>
      <c r="I171" s="9">
        <v>14</v>
      </c>
      <c r="J171" s="9">
        <v>28</v>
      </c>
      <c r="K171" s="14">
        <v>0.5</v>
      </c>
      <c r="L171" s="9">
        <v>5</v>
      </c>
      <c r="M171" s="9">
        <v>11</v>
      </c>
      <c r="N171" s="9">
        <v>0.45500000000000002</v>
      </c>
      <c r="O171" s="9">
        <v>9</v>
      </c>
      <c r="P171" s="9">
        <v>17</v>
      </c>
      <c r="Q171" s="9">
        <v>0.52900000000000003</v>
      </c>
      <c r="R171" s="9">
        <v>6</v>
      </c>
      <c r="S171" s="9">
        <v>7</v>
      </c>
      <c r="T171" s="9">
        <v>0.85699999999999998</v>
      </c>
      <c r="U171" s="9">
        <v>10</v>
      </c>
      <c r="V171" s="9">
        <v>23</v>
      </c>
      <c r="W171" s="9">
        <v>13</v>
      </c>
      <c r="X171" s="9">
        <v>2</v>
      </c>
      <c r="Y171" s="9">
        <v>0</v>
      </c>
      <c r="Z171" s="9">
        <v>4</v>
      </c>
      <c r="AA171" s="9">
        <v>40</v>
      </c>
      <c r="AB171" s="9">
        <v>39</v>
      </c>
      <c r="AC171" s="5">
        <f t="shared" si="2"/>
        <v>3.25</v>
      </c>
    </row>
    <row r="172" spans="1:29" ht="15.75" customHeight="1" x14ac:dyDescent="0.25">
      <c r="A172" s="15" t="s">
        <v>265</v>
      </c>
      <c r="B172" s="9" t="s">
        <v>93</v>
      </c>
      <c r="C172" s="9" t="s">
        <v>85</v>
      </c>
      <c r="D172" s="9">
        <v>18</v>
      </c>
      <c r="E172" s="9">
        <v>163</v>
      </c>
      <c r="F172" s="9">
        <v>18</v>
      </c>
      <c r="G172" s="9">
        <v>0</v>
      </c>
      <c r="H172" s="9">
        <v>163</v>
      </c>
      <c r="I172" s="9">
        <v>22</v>
      </c>
      <c r="J172" s="9">
        <v>50</v>
      </c>
      <c r="K172" s="14">
        <v>0.44</v>
      </c>
      <c r="L172" s="9">
        <v>5</v>
      </c>
      <c r="M172" s="9">
        <v>17</v>
      </c>
      <c r="N172" s="9">
        <v>0.29399999999999998</v>
      </c>
      <c r="O172" s="9">
        <v>17</v>
      </c>
      <c r="P172" s="9">
        <v>33</v>
      </c>
      <c r="Q172" s="9">
        <v>0.51500000000000001</v>
      </c>
      <c r="R172" s="9">
        <v>11</v>
      </c>
      <c r="S172" s="9">
        <v>16</v>
      </c>
      <c r="T172" s="9">
        <v>0.68799999999999994</v>
      </c>
      <c r="U172" s="9">
        <v>9</v>
      </c>
      <c r="V172" s="9">
        <v>26</v>
      </c>
      <c r="W172" s="9">
        <v>7</v>
      </c>
      <c r="X172" s="9">
        <v>4</v>
      </c>
      <c r="Y172" s="9">
        <v>1</v>
      </c>
      <c r="Z172" s="9">
        <v>11</v>
      </c>
      <c r="AA172" s="9">
        <v>35</v>
      </c>
      <c r="AB172" s="9">
        <v>60</v>
      </c>
      <c r="AC172" s="5">
        <f t="shared" si="2"/>
        <v>0.63636363636363635</v>
      </c>
    </row>
    <row r="173" spans="1:29" ht="15.75" customHeight="1" x14ac:dyDescent="0.25">
      <c r="A173" s="15" t="s">
        <v>285</v>
      </c>
      <c r="B173" s="9" t="s">
        <v>137</v>
      </c>
      <c r="C173" s="9" t="s">
        <v>8</v>
      </c>
      <c r="D173" s="9">
        <v>10</v>
      </c>
      <c r="E173" s="9">
        <v>159</v>
      </c>
      <c r="F173" s="9">
        <v>10</v>
      </c>
      <c r="G173" s="9">
        <v>1</v>
      </c>
      <c r="H173" s="9">
        <v>159</v>
      </c>
      <c r="I173" s="9">
        <v>19</v>
      </c>
      <c r="J173" s="9">
        <v>37</v>
      </c>
      <c r="K173" s="14">
        <v>0.51400000000000001</v>
      </c>
      <c r="L173" s="9">
        <v>2</v>
      </c>
      <c r="M173" s="9">
        <v>8</v>
      </c>
      <c r="N173" s="9">
        <v>0.25</v>
      </c>
      <c r="O173" s="9">
        <v>17</v>
      </c>
      <c r="P173" s="9">
        <v>29</v>
      </c>
      <c r="Q173" s="9">
        <v>0.58599999999999997</v>
      </c>
      <c r="R173" s="9">
        <v>10</v>
      </c>
      <c r="S173" s="9">
        <v>14</v>
      </c>
      <c r="T173" s="9">
        <v>0.71399999999999997</v>
      </c>
      <c r="U173" s="9">
        <v>2</v>
      </c>
      <c r="V173" s="9">
        <v>12</v>
      </c>
      <c r="W173" s="9">
        <v>26</v>
      </c>
      <c r="X173" s="9">
        <v>10</v>
      </c>
      <c r="Y173" s="9">
        <v>1</v>
      </c>
      <c r="Z173" s="9">
        <v>17</v>
      </c>
      <c r="AA173" s="9">
        <v>17</v>
      </c>
      <c r="AB173" s="9">
        <v>50</v>
      </c>
      <c r="AC173" s="5">
        <f t="shared" si="2"/>
        <v>1.5294117647058822</v>
      </c>
    </row>
    <row r="174" spans="1:29" ht="15.75" customHeight="1" x14ac:dyDescent="0.25">
      <c r="A174" t="s">
        <v>288</v>
      </c>
      <c r="B174" s="9" t="s">
        <v>114</v>
      </c>
      <c r="C174" s="9" t="s">
        <v>94</v>
      </c>
      <c r="D174" s="9">
        <v>16</v>
      </c>
      <c r="E174" s="9">
        <v>153</v>
      </c>
      <c r="F174" s="9">
        <v>16</v>
      </c>
      <c r="G174" s="9">
        <v>0</v>
      </c>
      <c r="H174" s="9">
        <v>153</v>
      </c>
      <c r="I174" s="9">
        <v>10</v>
      </c>
      <c r="J174" s="9">
        <v>30</v>
      </c>
      <c r="K174" s="9">
        <v>0.33300000000000002</v>
      </c>
      <c r="L174" s="9">
        <v>5</v>
      </c>
      <c r="M174" s="9">
        <v>15</v>
      </c>
      <c r="N174" s="9">
        <v>0.33300000000000002</v>
      </c>
      <c r="O174" s="9">
        <v>5</v>
      </c>
      <c r="P174" s="9">
        <v>15</v>
      </c>
      <c r="Q174" s="9">
        <v>0.33300000000000002</v>
      </c>
      <c r="R174" s="9">
        <v>5</v>
      </c>
      <c r="S174" s="9">
        <v>6</v>
      </c>
      <c r="T174" s="9">
        <v>0.83299999999999996</v>
      </c>
      <c r="U174" s="9">
        <v>14</v>
      </c>
      <c r="V174" s="9">
        <v>28</v>
      </c>
      <c r="W174" s="9">
        <v>6</v>
      </c>
      <c r="X174" s="9">
        <v>3</v>
      </c>
      <c r="Y174" s="9">
        <v>0</v>
      </c>
      <c r="Z174" s="9">
        <v>3</v>
      </c>
      <c r="AA174" s="9">
        <v>14</v>
      </c>
      <c r="AB174" s="9">
        <v>30</v>
      </c>
      <c r="AC174" s="5">
        <f t="shared" si="2"/>
        <v>2</v>
      </c>
    </row>
    <row r="175" spans="1:29" ht="15.75" customHeight="1" x14ac:dyDescent="0.25">
      <c r="A175" t="s">
        <v>274</v>
      </c>
      <c r="B175" s="9" t="s">
        <v>128</v>
      </c>
      <c r="C175" s="9" t="s">
        <v>85</v>
      </c>
      <c r="D175" s="9">
        <v>9</v>
      </c>
      <c r="E175" s="9">
        <v>152</v>
      </c>
      <c r="F175" s="9">
        <v>9</v>
      </c>
      <c r="G175" s="9">
        <v>0</v>
      </c>
      <c r="H175" s="9">
        <v>152</v>
      </c>
      <c r="I175" s="9">
        <v>27</v>
      </c>
      <c r="J175" s="9">
        <v>52</v>
      </c>
      <c r="K175" s="9">
        <v>0.51900000000000002</v>
      </c>
      <c r="L175" s="9">
        <v>1</v>
      </c>
      <c r="M175" s="9">
        <v>6</v>
      </c>
      <c r="N175" s="9">
        <v>0.16700000000000001</v>
      </c>
      <c r="O175" s="9">
        <v>26</v>
      </c>
      <c r="P175" s="9">
        <v>46</v>
      </c>
      <c r="Q175" s="9">
        <v>0.56499999999999995</v>
      </c>
      <c r="R175" s="9">
        <v>19</v>
      </c>
      <c r="S175" s="9">
        <v>21</v>
      </c>
      <c r="T175" s="9">
        <v>0.90500000000000003</v>
      </c>
      <c r="U175" s="9">
        <v>18</v>
      </c>
      <c r="V175" s="9">
        <v>50</v>
      </c>
      <c r="W175" s="9">
        <v>18</v>
      </c>
      <c r="X175" s="9">
        <v>3</v>
      </c>
      <c r="Y175" s="9">
        <v>6</v>
      </c>
      <c r="Z175" s="9">
        <v>9</v>
      </c>
      <c r="AA175" s="9">
        <v>22</v>
      </c>
      <c r="AB175" s="9">
        <v>74</v>
      </c>
      <c r="AC175" s="5">
        <f t="shared" si="2"/>
        <v>2</v>
      </c>
    </row>
    <row r="176" spans="1:29" ht="15.75" customHeight="1" x14ac:dyDescent="0.25">
      <c r="A176" t="s">
        <v>164</v>
      </c>
      <c r="B176" s="9" t="s">
        <v>114</v>
      </c>
      <c r="C176" s="9" t="s">
        <v>8</v>
      </c>
      <c r="D176" s="9">
        <v>10</v>
      </c>
      <c r="E176" s="9">
        <v>148</v>
      </c>
      <c r="F176" s="9">
        <v>10</v>
      </c>
      <c r="G176" s="9">
        <v>0</v>
      </c>
      <c r="H176" s="9">
        <v>148</v>
      </c>
      <c r="I176" s="9">
        <v>12</v>
      </c>
      <c r="J176" s="9">
        <v>26</v>
      </c>
      <c r="K176" s="9">
        <v>0.46200000000000002</v>
      </c>
      <c r="L176" s="9">
        <v>9</v>
      </c>
      <c r="M176" s="9">
        <v>20</v>
      </c>
      <c r="N176" s="9">
        <v>0.45</v>
      </c>
      <c r="O176" s="9">
        <v>3</v>
      </c>
      <c r="P176" s="9">
        <v>6</v>
      </c>
      <c r="Q176" s="9">
        <v>0.5</v>
      </c>
      <c r="R176" s="9">
        <v>5</v>
      </c>
      <c r="S176" s="9">
        <v>6</v>
      </c>
      <c r="T176" s="9">
        <v>0.83299999999999996</v>
      </c>
      <c r="U176" s="9">
        <v>1</v>
      </c>
      <c r="V176" s="9">
        <v>13</v>
      </c>
      <c r="W176" s="9">
        <v>11</v>
      </c>
      <c r="X176" s="9">
        <v>5</v>
      </c>
      <c r="Y176" s="9">
        <v>1</v>
      </c>
      <c r="Z176" s="9">
        <v>10</v>
      </c>
      <c r="AA176" s="9">
        <v>13</v>
      </c>
      <c r="AB176" s="9">
        <v>38</v>
      </c>
      <c r="AC176" s="5">
        <f t="shared" si="2"/>
        <v>1.1000000000000001</v>
      </c>
    </row>
    <row r="177" spans="1:29" ht="15.75" customHeight="1" x14ac:dyDescent="0.25">
      <c r="A177" t="s">
        <v>259</v>
      </c>
      <c r="B177" s="9" t="s">
        <v>140</v>
      </c>
      <c r="C177" s="9" t="s">
        <v>8</v>
      </c>
      <c r="D177" s="9">
        <v>21</v>
      </c>
      <c r="E177" s="9">
        <v>143</v>
      </c>
      <c r="F177" s="9">
        <v>21</v>
      </c>
      <c r="G177" s="9">
        <v>0</v>
      </c>
      <c r="H177" s="9">
        <v>143</v>
      </c>
      <c r="I177" s="9">
        <v>19</v>
      </c>
      <c r="J177" s="9">
        <v>44</v>
      </c>
      <c r="K177" s="9">
        <v>0.432</v>
      </c>
      <c r="L177" s="9">
        <v>8</v>
      </c>
      <c r="M177" s="9">
        <v>21</v>
      </c>
      <c r="N177" s="9">
        <v>0.38100000000000001</v>
      </c>
      <c r="O177" s="9">
        <v>11</v>
      </c>
      <c r="P177" s="9">
        <v>23</v>
      </c>
      <c r="Q177" s="9">
        <v>0.47799999999999998</v>
      </c>
      <c r="R177" s="9">
        <v>9</v>
      </c>
      <c r="S177" s="9">
        <v>11</v>
      </c>
      <c r="T177" s="9">
        <v>0.81799999999999995</v>
      </c>
      <c r="U177" s="9">
        <v>1</v>
      </c>
      <c r="V177" s="9">
        <v>11</v>
      </c>
      <c r="W177" s="9">
        <v>18</v>
      </c>
      <c r="X177" s="9">
        <v>4</v>
      </c>
      <c r="Y177" s="9">
        <v>1</v>
      </c>
      <c r="Z177" s="9">
        <v>11</v>
      </c>
      <c r="AA177" s="9">
        <v>18</v>
      </c>
      <c r="AB177" s="9">
        <v>55</v>
      </c>
      <c r="AC177" s="5">
        <f t="shared" si="2"/>
        <v>1.6363636363636365</v>
      </c>
    </row>
    <row r="178" spans="1:29" ht="15.75" customHeight="1" x14ac:dyDescent="0.25">
      <c r="A178" t="s">
        <v>286</v>
      </c>
      <c r="B178" s="9" t="s">
        <v>91</v>
      </c>
      <c r="C178" s="9" t="s">
        <v>94</v>
      </c>
      <c r="D178" s="9">
        <v>16</v>
      </c>
      <c r="E178" s="9">
        <v>129</v>
      </c>
      <c r="F178" s="9">
        <v>16</v>
      </c>
      <c r="G178" s="9">
        <v>0</v>
      </c>
      <c r="H178" s="9">
        <v>129</v>
      </c>
      <c r="I178" s="9">
        <v>17</v>
      </c>
      <c r="J178" s="9">
        <v>46</v>
      </c>
      <c r="K178" s="9">
        <v>0.37</v>
      </c>
      <c r="L178" s="9">
        <v>11</v>
      </c>
      <c r="M178" s="9">
        <v>26</v>
      </c>
      <c r="N178" s="9">
        <v>0.42299999999999999</v>
      </c>
      <c r="O178" s="9">
        <v>6</v>
      </c>
      <c r="P178" s="9">
        <v>20</v>
      </c>
      <c r="Q178" s="9">
        <v>0.3</v>
      </c>
      <c r="R178" s="9">
        <v>5</v>
      </c>
      <c r="S178" s="9">
        <v>6</v>
      </c>
      <c r="T178" s="9">
        <v>0.83299999999999996</v>
      </c>
      <c r="U178" s="9">
        <v>4</v>
      </c>
      <c r="V178" s="9">
        <v>12</v>
      </c>
      <c r="W178" s="9">
        <v>17</v>
      </c>
      <c r="X178" s="9">
        <v>3</v>
      </c>
      <c r="Y178" s="9">
        <v>1</v>
      </c>
      <c r="Z178" s="9">
        <v>11</v>
      </c>
      <c r="AA178" s="9">
        <v>12</v>
      </c>
      <c r="AB178" s="9">
        <v>50</v>
      </c>
      <c r="AC178" s="5">
        <f t="shared" si="2"/>
        <v>1.5454545454545454</v>
      </c>
    </row>
    <row r="179" spans="1:29" ht="15.75" customHeight="1" x14ac:dyDescent="0.25">
      <c r="A179" t="s">
        <v>277</v>
      </c>
      <c r="B179" s="9" t="s">
        <v>84</v>
      </c>
      <c r="C179" s="9" t="s">
        <v>88</v>
      </c>
      <c r="D179" s="9">
        <v>23</v>
      </c>
      <c r="E179" s="9">
        <v>126</v>
      </c>
      <c r="F179" s="9">
        <v>23</v>
      </c>
      <c r="G179" s="9">
        <v>0</v>
      </c>
      <c r="H179" s="9">
        <v>126</v>
      </c>
      <c r="I179" s="9">
        <v>11</v>
      </c>
      <c r="J179" s="9">
        <v>20</v>
      </c>
      <c r="K179" s="9">
        <v>0.55000000000000004</v>
      </c>
      <c r="L179" s="9">
        <v>2</v>
      </c>
      <c r="M179" s="9">
        <v>8</v>
      </c>
      <c r="N179" s="9">
        <v>0.25</v>
      </c>
      <c r="O179" s="9">
        <v>9</v>
      </c>
      <c r="P179" s="9">
        <v>12</v>
      </c>
      <c r="Q179" s="9">
        <v>0.75</v>
      </c>
      <c r="R179" s="9">
        <v>7</v>
      </c>
      <c r="S179" s="9">
        <v>12</v>
      </c>
      <c r="T179" s="9">
        <v>0.58299999999999996</v>
      </c>
      <c r="U179" s="9">
        <v>8</v>
      </c>
      <c r="V179" s="9">
        <v>24</v>
      </c>
      <c r="W179" s="9">
        <v>7</v>
      </c>
      <c r="X179" s="9">
        <v>3</v>
      </c>
      <c r="Y179" s="9">
        <v>2</v>
      </c>
      <c r="Z179" s="9">
        <v>6</v>
      </c>
      <c r="AA179" s="9">
        <v>18</v>
      </c>
      <c r="AB179" s="9">
        <v>31</v>
      </c>
      <c r="AC179" s="5">
        <f t="shared" si="2"/>
        <v>1.1666666666666667</v>
      </c>
    </row>
    <row r="180" spans="1:29" ht="15.75" customHeight="1" x14ac:dyDescent="0.25">
      <c r="A180" t="s">
        <v>282</v>
      </c>
      <c r="B180" s="9" t="s">
        <v>137</v>
      </c>
      <c r="C180" s="9" t="s">
        <v>85</v>
      </c>
      <c r="D180" s="9">
        <v>17</v>
      </c>
      <c r="E180" s="9">
        <v>123</v>
      </c>
      <c r="F180" s="9">
        <v>17</v>
      </c>
      <c r="G180" s="9">
        <v>1</v>
      </c>
      <c r="H180" s="9">
        <v>123</v>
      </c>
      <c r="I180" s="9">
        <v>20</v>
      </c>
      <c r="J180" s="9">
        <v>40</v>
      </c>
      <c r="K180" s="9">
        <v>0.5</v>
      </c>
      <c r="L180" s="9">
        <v>12</v>
      </c>
      <c r="M180" s="9">
        <v>24</v>
      </c>
      <c r="N180" s="9">
        <v>0.5</v>
      </c>
      <c r="O180" s="9">
        <v>8</v>
      </c>
      <c r="P180" s="9">
        <v>16</v>
      </c>
      <c r="Q180" s="9">
        <v>0.5</v>
      </c>
      <c r="R180" s="9">
        <v>19</v>
      </c>
      <c r="S180" s="9">
        <v>23</v>
      </c>
      <c r="T180" s="9">
        <v>0.82599999999999996</v>
      </c>
      <c r="U180" s="9">
        <v>9</v>
      </c>
      <c r="V180" s="9">
        <v>24</v>
      </c>
      <c r="W180" s="9">
        <v>6</v>
      </c>
      <c r="X180" s="9">
        <v>1</v>
      </c>
      <c r="Y180" s="9">
        <v>2</v>
      </c>
      <c r="Z180" s="9">
        <v>14</v>
      </c>
      <c r="AA180" s="9">
        <v>28</v>
      </c>
      <c r="AB180" s="9">
        <v>71</v>
      </c>
      <c r="AC180" s="5">
        <f t="shared" si="2"/>
        <v>0.42857142857142855</v>
      </c>
    </row>
    <row r="181" spans="1:29" ht="15.75" customHeight="1" x14ac:dyDescent="0.25">
      <c r="A181" t="s">
        <v>263</v>
      </c>
      <c r="B181" s="9" t="s">
        <v>137</v>
      </c>
      <c r="C181" s="9" t="s">
        <v>8</v>
      </c>
      <c r="D181" s="9">
        <v>17</v>
      </c>
      <c r="E181" s="9">
        <v>120</v>
      </c>
      <c r="F181" s="9">
        <v>17</v>
      </c>
      <c r="G181" s="9">
        <v>0</v>
      </c>
      <c r="H181" s="9">
        <v>120</v>
      </c>
      <c r="I181" s="9">
        <v>13</v>
      </c>
      <c r="J181" s="9">
        <v>35</v>
      </c>
      <c r="K181" s="9">
        <v>0.371</v>
      </c>
      <c r="L181" s="9">
        <v>8</v>
      </c>
      <c r="M181" s="9">
        <v>26</v>
      </c>
      <c r="N181" s="9">
        <v>0.308</v>
      </c>
      <c r="O181" s="9">
        <v>5</v>
      </c>
      <c r="P181" s="9">
        <v>9</v>
      </c>
      <c r="Q181" s="9">
        <v>0.55600000000000005</v>
      </c>
      <c r="R181" s="9">
        <v>5</v>
      </c>
      <c r="S181" s="9">
        <v>8</v>
      </c>
      <c r="T181" s="9">
        <v>0.625</v>
      </c>
      <c r="U181" s="9">
        <v>5</v>
      </c>
      <c r="V181" s="9">
        <v>19</v>
      </c>
      <c r="W181" s="9">
        <v>6</v>
      </c>
      <c r="X181" s="9">
        <v>5</v>
      </c>
      <c r="Y181" s="9">
        <v>3</v>
      </c>
      <c r="Z181" s="9">
        <v>3</v>
      </c>
      <c r="AA181" s="9">
        <v>15</v>
      </c>
      <c r="AB181" s="9">
        <v>39</v>
      </c>
      <c r="AC181" s="5">
        <f t="shared" si="2"/>
        <v>2</v>
      </c>
    </row>
    <row r="182" spans="1:29" ht="15.75" customHeight="1" x14ac:dyDescent="0.25">
      <c r="A182" t="s">
        <v>130</v>
      </c>
      <c r="B182" s="9" t="s">
        <v>131</v>
      </c>
      <c r="C182" s="9" t="s">
        <v>85</v>
      </c>
      <c r="D182" s="9">
        <v>4</v>
      </c>
      <c r="E182" s="9">
        <v>118</v>
      </c>
      <c r="F182" s="9">
        <v>4</v>
      </c>
      <c r="G182" s="9">
        <v>4</v>
      </c>
      <c r="H182" s="9">
        <v>118</v>
      </c>
      <c r="I182" s="9">
        <v>24</v>
      </c>
      <c r="J182" s="9">
        <v>60</v>
      </c>
      <c r="K182" s="9">
        <v>0.4</v>
      </c>
      <c r="L182" s="9">
        <v>6</v>
      </c>
      <c r="M182" s="9">
        <v>21</v>
      </c>
      <c r="N182" s="9">
        <v>0.28599999999999998</v>
      </c>
      <c r="O182" s="9">
        <v>18</v>
      </c>
      <c r="P182" s="9">
        <v>39</v>
      </c>
      <c r="Q182" s="9">
        <v>0.46200000000000002</v>
      </c>
      <c r="R182" s="9">
        <v>18</v>
      </c>
      <c r="S182" s="9">
        <v>22</v>
      </c>
      <c r="T182" s="9">
        <v>0.81799999999999995</v>
      </c>
      <c r="U182" s="9">
        <v>4</v>
      </c>
      <c r="V182" s="9">
        <v>19</v>
      </c>
      <c r="W182" s="9">
        <v>8</v>
      </c>
      <c r="X182" s="9">
        <v>1</v>
      </c>
      <c r="Y182" s="9">
        <v>7</v>
      </c>
      <c r="Z182" s="9">
        <v>8</v>
      </c>
      <c r="AA182" s="9">
        <v>7</v>
      </c>
      <c r="AB182" s="9">
        <v>72</v>
      </c>
      <c r="AC182" s="5">
        <f t="shared" si="2"/>
        <v>1</v>
      </c>
    </row>
    <row r="183" spans="1:29" ht="15.75" customHeight="1" x14ac:dyDescent="0.25">
      <c r="A183" t="s">
        <v>287</v>
      </c>
      <c r="B183" s="9" t="s">
        <v>96</v>
      </c>
      <c r="C183" s="9" t="s">
        <v>8</v>
      </c>
      <c r="D183" s="9">
        <v>21</v>
      </c>
      <c r="E183" s="9">
        <v>112</v>
      </c>
      <c r="F183" s="9">
        <v>21</v>
      </c>
      <c r="G183" s="9">
        <v>0</v>
      </c>
      <c r="H183" s="9">
        <v>112</v>
      </c>
      <c r="I183" s="9">
        <v>10</v>
      </c>
      <c r="J183" s="9">
        <v>23</v>
      </c>
      <c r="K183" s="9">
        <v>0.435</v>
      </c>
      <c r="L183" s="9">
        <v>0</v>
      </c>
      <c r="M183" s="9">
        <v>6</v>
      </c>
      <c r="N183" s="9">
        <v>0</v>
      </c>
      <c r="O183" s="9">
        <v>10</v>
      </c>
      <c r="P183" s="9">
        <v>17</v>
      </c>
      <c r="Q183" s="9">
        <v>0.58799999999999997</v>
      </c>
      <c r="R183" s="9">
        <v>16</v>
      </c>
      <c r="S183" s="9">
        <v>21</v>
      </c>
      <c r="T183" s="9">
        <v>0.76200000000000001</v>
      </c>
      <c r="U183" s="9">
        <v>7</v>
      </c>
      <c r="V183" s="9">
        <v>22</v>
      </c>
      <c r="W183" s="9">
        <v>23</v>
      </c>
      <c r="X183" s="9">
        <v>3</v>
      </c>
      <c r="Y183" s="9">
        <v>3</v>
      </c>
      <c r="Z183" s="9">
        <v>11</v>
      </c>
      <c r="AA183" s="9">
        <v>17</v>
      </c>
      <c r="AB183" s="9">
        <v>36</v>
      </c>
      <c r="AC183" s="5">
        <f t="shared" si="2"/>
        <v>2.0909090909090908</v>
      </c>
    </row>
    <row r="184" spans="1:29" ht="15.75" customHeight="1" x14ac:dyDescent="0.25">
      <c r="A184" t="s">
        <v>289</v>
      </c>
      <c r="B184" s="9" t="s">
        <v>240</v>
      </c>
      <c r="C184" s="9" t="s">
        <v>85</v>
      </c>
      <c r="D184" s="9">
        <v>9</v>
      </c>
      <c r="E184" s="9">
        <v>107</v>
      </c>
      <c r="F184" s="9">
        <v>9</v>
      </c>
      <c r="G184" s="9">
        <v>0</v>
      </c>
      <c r="H184" s="9">
        <v>107</v>
      </c>
      <c r="I184" s="9">
        <v>5</v>
      </c>
      <c r="J184" s="9">
        <v>26</v>
      </c>
      <c r="K184" s="9">
        <v>0.192</v>
      </c>
      <c r="L184" s="9">
        <v>3</v>
      </c>
      <c r="M184" s="9">
        <v>12</v>
      </c>
      <c r="N184" s="9">
        <v>0.25</v>
      </c>
      <c r="O184" s="9">
        <v>2</v>
      </c>
      <c r="P184" s="9">
        <v>14</v>
      </c>
      <c r="Q184" s="9">
        <v>0.14299999999999999</v>
      </c>
      <c r="R184" s="9">
        <v>6</v>
      </c>
      <c r="S184" s="9">
        <v>6</v>
      </c>
      <c r="T184" s="9">
        <v>1</v>
      </c>
      <c r="U184" s="9">
        <v>4</v>
      </c>
      <c r="V184" s="9">
        <v>16</v>
      </c>
      <c r="W184" s="9">
        <v>5</v>
      </c>
      <c r="X184" s="9">
        <v>4</v>
      </c>
      <c r="Y184" s="9">
        <v>2</v>
      </c>
      <c r="Z184" s="9">
        <v>7</v>
      </c>
      <c r="AA184" s="9">
        <v>21</v>
      </c>
      <c r="AB184" s="9">
        <v>19</v>
      </c>
      <c r="AC184" s="5">
        <f t="shared" si="2"/>
        <v>0.7142857142857143</v>
      </c>
    </row>
    <row r="185" spans="1:29" ht="15.75" customHeight="1" x14ac:dyDescent="0.25">
      <c r="A185" t="s">
        <v>290</v>
      </c>
      <c r="B185" s="9" t="s">
        <v>93</v>
      </c>
      <c r="C185" s="9" t="s">
        <v>8</v>
      </c>
      <c r="D185" s="9">
        <v>7</v>
      </c>
      <c r="E185" s="9">
        <v>106</v>
      </c>
      <c r="F185" s="9">
        <v>7</v>
      </c>
      <c r="G185" s="9">
        <v>0</v>
      </c>
      <c r="H185" s="9">
        <v>106</v>
      </c>
      <c r="I185" s="9">
        <v>17</v>
      </c>
      <c r="J185" s="9">
        <v>35</v>
      </c>
      <c r="K185" s="9">
        <v>0.48599999999999999</v>
      </c>
      <c r="L185" s="9">
        <v>6</v>
      </c>
      <c r="M185" s="9">
        <v>15</v>
      </c>
      <c r="N185" s="9">
        <v>0.4</v>
      </c>
      <c r="O185" s="9">
        <v>11</v>
      </c>
      <c r="P185" s="9">
        <v>20</v>
      </c>
      <c r="Q185" s="9">
        <v>0.55000000000000004</v>
      </c>
      <c r="R185" s="9">
        <v>15</v>
      </c>
      <c r="S185" s="9">
        <v>17</v>
      </c>
      <c r="T185" s="9">
        <v>0.88200000000000001</v>
      </c>
      <c r="U185" s="9">
        <v>2</v>
      </c>
      <c r="V185" s="9">
        <v>12</v>
      </c>
      <c r="W185" s="9">
        <v>12</v>
      </c>
      <c r="X185" s="9">
        <v>3</v>
      </c>
      <c r="Y185" s="9">
        <v>2</v>
      </c>
      <c r="Z185" s="9">
        <v>6</v>
      </c>
      <c r="AA185" s="9">
        <v>17</v>
      </c>
      <c r="AB185" s="9">
        <v>55</v>
      </c>
      <c r="AC185" s="5">
        <f t="shared" si="2"/>
        <v>2</v>
      </c>
    </row>
    <row r="186" spans="1:29" ht="15.75" customHeight="1" x14ac:dyDescent="0.25">
      <c r="A186" t="s">
        <v>283</v>
      </c>
      <c r="B186" s="9" t="s">
        <v>240</v>
      </c>
      <c r="C186" s="9" t="s">
        <v>8</v>
      </c>
      <c r="D186" s="9">
        <v>18</v>
      </c>
      <c r="E186" s="9">
        <v>103</v>
      </c>
      <c r="F186" s="9">
        <v>18</v>
      </c>
      <c r="G186" s="9">
        <v>0</v>
      </c>
      <c r="H186" s="9">
        <v>103</v>
      </c>
      <c r="I186" s="9">
        <v>15</v>
      </c>
      <c r="J186" s="9">
        <v>34</v>
      </c>
      <c r="K186" s="9">
        <v>0.441</v>
      </c>
      <c r="L186" s="9">
        <v>4</v>
      </c>
      <c r="M186" s="9">
        <v>10</v>
      </c>
      <c r="N186" s="9">
        <v>0.4</v>
      </c>
      <c r="O186" s="9">
        <v>11</v>
      </c>
      <c r="P186" s="9">
        <v>24</v>
      </c>
      <c r="Q186" s="9">
        <v>0.45800000000000002</v>
      </c>
      <c r="R186" s="9">
        <v>22</v>
      </c>
      <c r="S186" s="9">
        <v>28</v>
      </c>
      <c r="T186" s="9">
        <v>0.78600000000000003</v>
      </c>
      <c r="U186" s="9">
        <v>4</v>
      </c>
      <c r="V186" s="9">
        <v>15</v>
      </c>
      <c r="W186" s="9">
        <v>7</v>
      </c>
      <c r="X186" s="9">
        <v>1</v>
      </c>
      <c r="Y186" s="9">
        <v>1</v>
      </c>
      <c r="Z186" s="9">
        <v>12</v>
      </c>
      <c r="AA186" s="9">
        <v>10</v>
      </c>
      <c r="AB186" s="9">
        <v>56</v>
      </c>
      <c r="AC186" s="5">
        <f t="shared" si="2"/>
        <v>0.58333333333333337</v>
      </c>
    </row>
    <row r="187" spans="1:29" ht="15.75" customHeight="1" x14ac:dyDescent="0.25"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5"/>
    </row>
    <row r="188" spans="1:29" ht="15.75" customHeight="1" x14ac:dyDescent="0.25"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5"/>
    </row>
    <row r="189" spans="1:29" ht="15.75" customHeight="1" x14ac:dyDescent="0.25"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5"/>
    </row>
    <row r="190" spans="1:29" ht="15.75" customHeight="1" x14ac:dyDescent="0.25"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5"/>
    </row>
    <row r="191" spans="1:29" ht="15.75" customHeight="1" x14ac:dyDescent="0.25"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5"/>
    </row>
    <row r="192" spans="1:29" ht="15.75" customHeight="1" x14ac:dyDescent="0.25"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5"/>
    </row>
    <row r="193" spans="2:29" ht="15.75" customHeight="1" x14ac:dyDescent="0.25"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5"/>
    </row>
    <row r="194" spans="2:29" ht="15.75" customHeight="1" x14ac:dyDescent="0.25"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5"/>
    </row>
    <row r="195" spans="2:29" ht="15.75" customHeight="1" x14ac:dyDescent="0.25"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5"/>
    </row>
    <row r="196" spans="2:29" ht="15.75" customHeight="1" x14ac:dyDescent="0.25"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5"/>
    </row>
    <row r="197" spans="2:29" ht="15.75" customHeight="1" x14ac:dyDescent="0.25"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5"/>
    </row>
    <row r="198" spans="2:29" ht="15.75" customHeight="1" x14ac:dyDescent="0.25"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5"/>
    </row>
    <row r="199" spans="2:29" ht="15.75" customHeight="1" x14ac:dyDescent="0.25"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5"/>
    </row>
    <row r="200" spans="2:29" ht="15.75" customHeight="1" x14ac:dyDescent="0.25"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5"/>
    </row>
    <row r="201" spans="2:29" ht="15.75" customHeight="1" x14ac:dyDescent="0.25"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5"/>
    </row>
    <row r="202" spans="2:29" ht="15.75" customHeight="1" x14ac:dyDescent="0.25"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5"/>
    </row>
    <row r="203" spans="2:29" ht="15.75" customHeight="1" x14ac:dyDescent="0.25"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5"/>
    </row>
    <row r="204" spans="2:29" ht="15.75" customHeight="1" x14ac:dyDescent="0.25"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5"/>
    </row>
    <row r="205" spans="2:29" ht="15.75" customHeight="1" x14ac:dyDescent="0.25"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5"/>
    </row>
    <row r="206" spans="2:29" ht="15.75" customHeight="1" x14ac:dyDescent="0.25"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5"/>
    </row>
    <row r="207" spans="2:29" ht="15.75" customHeight="1" x14ac:dyDescent="0.25"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5"/>
    </row>
    <row r="208" spans="2:29" ht="15.75" customHeight="1" x14ac:dyDescent="0.25"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5"/>
    </row>
    <row r="209" spans="2:29" ht="15.75" customHeight="1" x14ac:dyDescent="0.25"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5"/>
    </row>
    <row r="210" spans="2:29" ht="15.75" customHeight="1" x14ac:dyDescent="0.25"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5"/>
    </row>
    <row r="211" spans="2:29" ht="15.75" customHeight="1" x14ac:dyDescent="0.25"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5"/>
    </row>
    <row r="212" spans="2:29" ht="15.75" customHeight="1" x14ac:dyDescent="0.25"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5"/>
    </row>
    <row r="213" spans="2:29" ht="15.75" customHeight="1" x14ac:dyDescent="0.25"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5"/>
    </row>
    <row r="214" spans="2:29" ht="15.75" customHeight="1" x14ac:dyDescent="0.25"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5"/>
    </row>
    <row r="215" spans="2:29" ht="15.75" customHeight="1" x14ac:dyDescent="0.25"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5"/>
    </row>
    <row r="216" spans="2:29" ht="15.75" customHeight="1" x14ac:dyDescent="0.25"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5"/>
    </row>
    <row r="217" spans="2:29" ht="15.75" customHeight="1" x14ac:dyDescent="0.25"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5"/>
    </row>
    <row r="218" spans="2:29" ht="15.75" customHeight="1" x14ac:dyDescent="0.25"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5"/>
    </row>
    <row r="219" spans="2:29" ht="15.75" customHeight="1" x14ac:dyDescent="0.25"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5"/>
    </row>
    <row r="220" spans="2:29" ht="15.75" customHeight="1" x14ac:dyDescent="0.25"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5"/>
    </row>
    <row r="221" spans="2:29" ht="15.75" customHeight="1" x14ac:dyDescent="0.25"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5"/>
    </row>
    <row r="222" spans="2:29" ht="15.75" customHeight="1" x14ac:dyDescent="0.25"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5"/>
    </row>
    <row r="223" spans="2:29" ht="15.75" customHeight="1" x14ac:dyDescent="0.25"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5" t="str">
        <f t="shared" ref="AC223:AC259" si="3">IF(Z223=0,"",W223/Z223)</f>
        <v/>
      </c>
    </row>
    <row r="224" spans="2:29" ht="15.75" customHeight="1" x14ac:dyDescent="0.25"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5" t="str">
        <f t="shared" si="3"/>
        <v/>
      </c>
    </row>
    <row r="225" spans="2:29" ht="15.75" customHeight="1" x14ac:dyDescent="0.25"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5" t="str">
        <f t="shared" si="3"/>
        <v/>
      </c>
    </row>
    <row r="226" spans="2:29" ht="15.75" customHeight="1" x14ac:dyDescent="0.25"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5" t="str">
        <f t="shared" si="3"/>
        <v/>
      </c>
    </row>
    <row r="227" spans="2:29" ht="15.75" customHeight="1" x14ac:dyDescent="0.25"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5" t="str">
        <f t="shared" si="3"/>
        <v/>
      </c>
    </row>
    <row r="228" spans="2:29" ht="15.75" customHeight="1" x14ac:dyDescent="0.25"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5" t="str">
        <f t="shared" si="3"/>
        <v/>
      </c>
    </row>
    <row r="229" spans="2:29" ht="15.75" customHeight="1" x14ac:dyDescent="0.25"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5" t="str">
        <f t="shared" si="3"/>
        <v/>
      </c>
    </row>
    <row r="230" spans="2:29" ht="15.75" customHeight="1" x14ac:dyDescent="0.25"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5" t="str">
        <f t="shared" si="3"/>
        <v/>
      </c>
    </row>
    <row r="231" spans="2:29" ht="15.75" customHeight="1" x14ac:dyDescent="0.25"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5" t="str">
        <f t="shared" si="3"/>
        <v/>
      </c>
    </row>
    <row r="232" spans="2:29" ht="15.75" customHeight="1" x14ac:dyDescent="0.25"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5" t="str">
        <f t="shared" si="3"/>
        <v/>
      </c>
    </row>
    <row r="233" spans="2:29" ht="15.75" customHeight="1" x14ac:dyDescent="0.25"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5" t="str">
        <f t="shared" si="3"/>
        <v/>
      </c>
    </row>
    <row r="234" spans="2:29" ht="15.75" customHeight="1" x14ac:dyDescent="0.25"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5" t="str">
        <f t="shared" si="3"/>
        <v/>
      </c>
    </row>
    <row r="235" spans="2:29" ht="15.75" customHeight="1" x14ac:dyDescent="0.25"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5" t="str">
        <f t="shared" si="3"/>
        <v/>
      </c>
    </row>
    <row r="236" spans="2:29" ht="15.75" customHeight="1" x14ac:dyDescent="0.25"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5" t="str">
        <f t="shared" si="3"/>
        <v/>
      </c>
    </row>
    <row r="237" spans="2:29" ht="15.75" customHeight="1" x14ac:dyDescent="0.25"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5" t="str">
        <f t="shared" si="3"/>
        <v/>
      </c>
    </row>
    <row r="238" spans="2:29" ht="15.75" customHeight="1" x14ac:dyDescent="0.25"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5" t="str">
        <f t="shared" si="3"/>
        <v/>
      </c>
    </row>
    <row r="239" spans="2:29" ht="15.75" customHeight="1" x14ac:dyDescent="0.25"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5" t="str">
        <f t="shared" si="3"/>
        <v/>
      </c>
    </row>
    <row r="240" spans="2:29" ht="15.75" customHeight="1" x14ac:dyDescent="0.25"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5" t="str">
        <f t="shared" si="3"/>
        <v/>
      </c>
    </row>
    <row r="241" spans="2:29" ht="15.75" customHeight="1" x14ac:dyDescent="0.25"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5" t="str">
        <f t="shared" si="3"/>
        <v/>
      </c>
    </row>
    <row r="242" spans="2:29" ht="15.75" customHeight="1" x14ac:dyDescent="0.25"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5" t="str">
        <f t="shared" si="3"/>
        <v/>
      </c>
    </row>
    <row r="243" spans="2:29" ht="15.75" customHeight="1" x14ac:dyDescent="0.25"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5" t="str">
        <f t="shared" si="3"/>
        <v/>
      </c>
    </row>
    <row r="244" spans="2:29" ht="15.75" customHeight="1" x14ac:dyDescent="0.25"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5" t="str">
        <f t="shared" si="3"/>
        <v/>
      </c>
    </row>
    <row r="245" spans="2:29" ht="15.75" customHeight="1" x14ac:dyDescent="0.25"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5" t="str">
        <f t="shared" si="3"/>
        <v/>
      </c>
    </row>
    <row r="246" spans="2:29" ht="15.75" customHeight="1" x14ac:dyDescent="0.25"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5" t="str">
        <f t="shared" si="3"/>
        <v/>
      </c>
    </row>
    <row r="247" spans="2:29" ht="15.75" customHeight="1" x14ac:dyDescent="0.25"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5" t="str">
        <f t="shared" si="3"/>
        <v/>
      </c>
    </row>
    <row r="248" spans="2:29" ht="15.75" customHeight="1" x14ac:dyDescent="0.25"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5" t="str">
        <f t="shared" si="3"/>
        <v/>
      </c>
    </row>
    <row r="249" spans="2:29" ht="15.75" customHeight="1" x14ac:dyDescent="0.25"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5" t="str">
        <f t="shared" si="3"/>
        <v/>
      </c>
    </row>
    <row r="250" spans="2:29" ht="15.75" customHeight="1" x14ac:dyDescent="0.25"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5" t="str">
        <f t="shared" si="3"/>
        <v/>
      </c>
    </row>
    <row r="251" spans="2:29" ht="15.75" customHeight="1" x14ac:dyDescent="0.25"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5" t="str">
        <f t="shared" si="3"/>
        <v/>
      </c>
    </row>
    <row r="252" spans="2:29" ht="15.75" customHeight="1" x14ac:dyDescent="0.25"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5" t="str">
        <f t="shared" si="3"/>
        <v/>
      </c>
    </row>
    <row r="253" spans="2:29" ht="15.75" customHeight="1" x14ac:dyDescent="0.25"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5" t="str">
        <f t="shared" si="3"/>
        <v/>
      </c>
    </row>
    <row r="254" spans="2:29" ht="15.75" customHeight="1" x14ac:dyDescent="0.25"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5" t="str">
        <f t="shared" si="3"/>
        <v/>
      </c>
    </row>
    <row r="255" spans="2:29" ht="15.75" customHeight="1" x14ac:dyDescent="0.25"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5" t="str">
        <f t="shared" si="3"/>
        <v/>
      </c>
    </row>
    <row r="256" spans="2:29" ht="15.75" customHeight="1" x14ac:dyDescent="0.25"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5" t="str">
        <f t="shared" si="3"/>
        <v/>
      </c>
    </row>
    <row r="257" spans="2:29" ht="15.75" customHeight="1" x14ac:dyDescent="0.25"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5" t="str">
        <f t="shared" si="3"/>
        <v/>
      </c>
    </row>
    <row r="258" spans="2:29" ht="15.75" customHeight="1" x14ac:dyDescent="0.25"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5" t="str">
        <f t="shared" si="3"/>
        <v/>
      </c>
    </row>
    <row r="259" spans="2:29" ht="15.75" customHeight="1" x14ac:dyDescent="0.25"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5" t="str">
        <f t="shared" si="3"/>
        <v/>
      </c>
    </row>
    <row r="260" spans="2:29" ht="15.75" customHeight="1" x14ac:dyDescent="0.25"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5" t="str">
        <f t="shared" ref="AC260:AC298" si="4">IF(Z260=0,"",W260/Z260)</f>
        <v/>
      </c>
    </row>
    <row r="261" spans="2:29" ht="15.75" customHeight="1" x14ac:dyDescent="0.25"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5" t="str">
        <f t="shared" si="4"/>
        <v/>
      </c>
    </row>
    <row r="262" spans="2:29" ht="15.75" customHeight="1" x14ac:dyDescent="0.25"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5" t="str">
        <f t="shared" si="4"/>
        <v/>
      </c>
    </row>
    <row r="263" spans="2:29" ht="15.75" customHeight="1" x14ac:dyDescent="0.25"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5" t="str">
        <f t="shared" si="4"/>
        <v/>
      </c>
    </row>
    <row r="264" spans="2:29" ht="15.75" customHeight="1" x14ac:dyDescent="0.25"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5" t="str">
        <f t="shared" si="4"/>
        <v/>
      </c>
    </row>
    <row r="265" spans="2:29" ht="15.75" customHeight="1" x14ac:dyDescent="0.25"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5" t="str">
        <f t="shared" si="4"/>
        <v/>
      </c>
    </row>
    <row r="266" spans="2:29" ht="15.75" customHeight="1" x14ac:dyDescent="0.25"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5" t="str">
        <f t="shared" si="4"/>
        <v/>
      </c>
    </row>
    <row r="267" spans="2:29" ht="15.75" customHeight="1" x14ac:dyDescent="0.25"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5" t="str">
        <f t="shared" si="4"/>
        <v/>
      </c>
    </row>
    <row r="268" spans="2:29" ht="15.75" customHeight="1" x14ac:dyDescent="0.25"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5" t="str">
        <f t="shared" si="4"/>
        <v/>
      </c>
    </row>
    <row r="269" spans="2:29" ht="15.75" customHeight="1" x14ac:dyDescent="0.25"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5" t="str">
        <f t="shared" si="4"/>
        <v/>
      </c>
    </row>
    <row r="270" spans="2:29" ht="15.75" customHeight="1" x14ac:dyDescent="0.25"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5" t="str">
        <f t="shared" si="4"/>
        <v/>
      </c>
    </row>
    <row r="271" spans="2:29" ht="15.75" customHeight="1" x14ac:dyDescent="0.25"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5" t="str">
        <f t="shared" si="4"/>
        <v/>
      </c>
    </row>
    <row r="272" spans="2:29" ht="15.75" customHeight="1" x14ac:dyDescent="0.25"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5" t="str">
        <f t="shared" si="4"/>
        <v/>
      </c>
    </row>
    <row r="273" spans="2:29" ht="15.75" customHeight="1" x14ac:dyDescent="0.25"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5" t="str">
        <f t="shared" si="4"/>
        <v/>
      </c>
    </row>
    <row r="274" spans="2:29" ht="15.75" customHeight="1" x14ac:dyDescent="0.25"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5" t="str">
        <f t="shared" si="4"/>
        <v/>
      </c>
    </row>
    <row r="275" spans="2:29" ht="15.75" customHeight="1" x14ac:dyDescent="0.25"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5" t="str">
        <f t="shared" si="4"/>
        <v/>
      </c>
    </row>
    <row r="276" spans="2:29" ht="15.75" customHeight="1" x14ac:dyDescent="0.25"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5" t="str">
        <f t="shared" si="4"/>
        <v/>
      </c>
    </row>
    <row r="277" spans="2:29" ht="15.75" customHeight="1" x14ac:dyDescent="0.25"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5" t="str">
        <f t="shared" si="4"/>
        <v/>
      </c>
    </row>
    <row r="278" spans="2:29" ht="15.75" customHeight="1" x14ac:dyDescent="0.25"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5" t="str">
        <f t="shared" si="4"/>
        <v/>
      </c>
    </row>
    <row r="279" spans="2:29" ht="15.75" customHeight="1" x14ac:dyDescent="0.25"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5" t="str">
        <f t="shared" si="4"/>
        <v/>
      </c>
    </row>
    <row r="280" spans="2:29" ht="15.75" customHeight="1" x14ac:dyDescent="0.25"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5" t="str">
        <f t="shared" si="4"/>
        <v/>
      </c>
    </row>
    <row r="281" spans="2:29" ht="15.75" customHeight="1" x14ac:dyDescent="0.25"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5" t="str">
        <f t="shared" si="4"/>
        <v/>
      </c>
    </row>
    <row r="282" spans="2:29" ht="15.75" customHeight="1" x14ac:dyDescent="0.25"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5" t="str">
        <f t="shared" si="4"/>
        <v/>
      </c>
    </row>
    <row r="283" spans="2:29" ht="15.75" customHeight="1" x14ac:dyDescent="0.25"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5" t="str">
        <f t="shared" si="4"/>
        <v/>
      </c>
    </row>
    <row r="284" spans="2:29" ht="15.75" customHeight="1" x14ac:dyDescent="0.25"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5" t="str">
        <f t="shared" si="4"/>
        <v/>
      </c>
    </row>
    <row r="285" spans="2:29" ht="15.75" customHeight="1" x14ac:dyDescent="0.25"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5" t="str">
        <f t="shared" si="4"/>
        <v/>
      </c>
    </row>
    <row r="286" spans="2:29" ht="15.75" customHeight="1" x14ac:dyDescent="0.25"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5" t="str">
        <f t="shared" si="4"/>
        <v/>
      </c>
    </row>
    <row r="287" spans="2:29" ht="15.75" customHeight="1" x14ac:dyDescent="0.25"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5" t="str">
        <f t="shared" si="4"/>
        <v/>
      </c>
    </row>
    <row r="288" spans="2:29" ht="15.75" customHeight="1" x14ac:dyDescent="0.25"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5" t="str">
        <f t="shared" si="4"/>
        <v/>
      </c>
    </row>
    <row r="289" spans="1:29" ht="15.75" customHeight="1" x14ac:dyDescent="0.25"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5" t="str">
        <f t="shared" si="4"/>
        <v/>
      </c>
    </row>
    <row r="290" spans="1:29" ht="15.75" customHeight="1" x14ac:dyDescent="0.25"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5" t="str">
        <f t="shared" si="4"/>
        <v/>
      </c>
    </row>
    <row r="291" spans="1:29" ht="15.75" customHeight="1" x14ac:dyDescent="0.25"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5" t="str">
        <f t="shared" si="4"/>
        <v/>
      </c>
    </row>
    <row r="292" spans="1:29" ht="15.75" customHeight="1" x14ac:dyDescent="0.25"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5" t="str">
        <f t="shared" si="4"/>
        <v/>
      </c>
    </row>
    <row r="293" spans="1:29" ht="15.75" customHeight="1" x14ac:dyDescent="0.25"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5" t="str">
        <f t="shared" si="4"/>
        <v/>
      </c>
    </row>
    <row r="294" spans="1:29" ht="15.75" customHeight="1" x14ac:dyDescent="0.25"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5" t="str">
        <f t="shared" si="4"/>
        <v/>
      </c>
    </row>
    <row r="295" spans="1:29" ht="15.75" customHeight="1" x14ac:dyDescent="0.25"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5" t="str">
        <f t="shared" si="4"/>
        <v/>
      </c>
    </row>
    <row r="296" spans="1:29" ht="15.75" customHeight="1" x14ac:dyDescent="0.25"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5" t="str">
        <f t="shared" si="4"/>
        <v/>
      </c>
    </row>
    <row r="297" spans="1:29" ht="15.75" customHeight="1" x14ac:dyDescent="0.25"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5" t="str">
        <f t="shared" si="4"/>
        <v/>
      </c>
    </row>
    <row r="298" spans="1:29" ht="15.75" customHeight="1" x14ac:dyDescent="0.25"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5" t="str">
        <f t="shared" si="4"/>
        <v/>
      </c>
    </row>
    <row r="299" spans="1:29" ht="15.75" customHeight="1" x14ac:dyDescent="0.25"/>
    <row r="300" spans="1:29" ht="15.75" customHeight="1" x14ac:dyDescent="0.25">
      <c r="A300" t="s">
        <v>75</v>
      </c>
      <c r="D300" s="19">
        <f>SUM(D3:D298)</f>
        <v>6012</v>
      </c>
      <c r="E300" s="19">
        <f t="shared" ref="E300:AB300" si="5">SUM(E3:E298)</f>
        <v>125691</v>
      </c>
      <c r="F300" s="19">
        <f t="shared" si="5"/>
        <v>6012</v>
      </c>
      <c r="G300" s="19">
        <f t="shared" si="5"/>
        <v>3177</v>
      </c>
      <c r="H300" s="19">
        <f t="shared" si="5"/>
        <v>125691</v>
      </c>
      <c r="I300" s="19">
        <f t="shared" si="5"/>
        <v>19499</v>
      </c>
      <c r="J300" s="19">
        <f t="shared" si="5"/>
        <v>42997</v>
      </c>
      <c r="K300" s="19">
        <f t="shared" si="5"/>
        <v>81.197000000000017</v>
      </c>
      <c r="L300" s="19">
        <f t="shared" si="5"/>
        <v>5440</v>
      </c>
      <c r="M300" s="19">
        <f t="shared" si="5"/>
        <v>15935</v>
      </c>
      <c r="N300" s="19">
        <f t="shared" si="5"/>
        <v>57.933000000000007</v>
      </c>
      <c r="O300" s="19">
        <f t="shared" si="5"/>
        <v>14059</v>
      </c>
      <c r="P300" s="19">
        <f t="shared" si="5"/>
        <v>27062</v>
      </c>
      <c r="Q300" s="19">
        <f t="shared" si="5"/>
        <v>92.956999999999951</v>
      </c>
      <c r="R300" s="19">
        <f t="shared" si="5"/>
        <v>10296</v>
      </c>
      <c r="S300" s="19">
        <f t="shared" si="5"/>
        <v>13071</v>
      </c>
      <c r="T300" s="19">
        <f t="shared" si="5"/>
        <v>142.58499999999995</v>
      </c>
      <c r="U300" s="19">
        <f t="shared" si="5"/>
        <v>5315</v>
      </c>
      <c r="V300" s="19">
        <f t="shared" si="5"/>
        <v>20905</v>
      </c>
      <c r="W300" s="19">
        <f t="shared" si="5"/>
        <v>12949</v>
      </c>
      <c r="X300" s="19">
        <f t="shared" si="5"/>
        <v>4622</v>
      </c>
      <c r="Y300" s="19">
        <f t="shared" si="5"/>
        <v>2491</v>
      </c>
      <c r="Z300" s="19">
        <f t="shared" si="5"/>
        <v>8171</v>
      </c>
      <c r="AA300" s="19">
        <f t="shared" si="5"/>
        <v>12294</v>
      </c>
      <c r="AB300" s="19">
        <f t="shared" si="5"/>
        <v>54737</v>
      </c>
      <c r="AC300" s="6"/>
    </row>
    <row r="301" spans="1:29" ht="15.75" customHeight="1" x14ac:dyDescent="0.25">
      <c r="A301" t="s">
        <v>76</v>
      </c>
      <c r="D301" s="18">
        <f>AB300/(2*(J300+0.44*S300))</f>
        <v>0.56142539710151584</v>
      </c>
      <c r="E301" s="18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spans="1:29" ht="15.75" customHeight="1" x14ac:dyDescent="0.25">
      <c r="A302" t="s">
        <v>77</v>
      </c>
      <c r="D302" s="18">
        <f>AB300/((J300+0.44*S300+Z300))</f>
        <v>0.96166076707981352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spans="1:29" ht="15.75" customHeight="1" x14ac:dyDescent="0.25">
      <c r="A303" t="s">
        <v>78</v>
      </c>
      <c r="D303" s="10">
        <f>L300/M300</f>
        <v>0.34138688421713209</v>
      </c>
    </row>
    <row r="304" spans="1:29" ht="15.75" customHeight="1" x14ac:dyDescent="0.25">
      <c r="A304" t="s">
        <v>79</v>
      </c>
      <c r="D304" s="10">
        <f>O300/P300</f>
        <v>0.51951075308550732</v>
      </c>
    </row>
    <row r="305" spans="1:4" ht="15.75" customHeight="1" x14ac:dyDescent="0.25">
      <c r="A305" t="s">
        <v>80</v>
      </c>
      <c r="D305" s="10">
        <f>I300/J300</f>
        <v>0.45349675558759911</v>
      </c>
    </row>
    <row r="306" spans="1:4" ht="15.75" customHeight="1" x14ac:dyDescent="0.25">
      <c r="A306" t="s">
        <v>81</v>
      </c>
      <c r="D306" s="10">
        <f>(I300+0.5*L300)/(J300)</f>
        <v>0.5167569830453288</v>
      </c>
    </row>
    <row r="307" spans="1:4" ht="15.75" customHeight="1" x14ac:dyDescent="0.25">
      <c r="A307" t="s">
        <v>82</v>
      </c>
      <c r="D307" s="10">
        <f>R300/S300</f>
        <v>0.78769795731007575</v>
      </c>
    </row>
    <row r="308" spans="1:4" ht="15.75" customHeight="1" x14ac:dyDescent="0.25"/>
    <row r="309" spans="1:4" ht="15.75" customHeight="1" x14ac:dyDescent="0.25"/>
    <row r="310" spans="1:4" ht="15.75" customHeight="1" x14ac:dyDescent="0.25"/>
    <row r="311" spans="1:4" ht="15.75" customHeight="1" x14ac:dyDescent="0.25"/>
    <row r="312" spans="1:4" ht="15.75" customHeight="1" x14ac:dyDescent="0.25"/>
    <row r="313" spans="1:4" ht="15.75" customHeight="1" x14ac:dyDescent="0.25"/>
    <row r="314" spans="1:4" ht="15.75" customHeight="1" x14ac:dyDescent="0.25"/>
    <row r="315" spans="1:4" ht="15.75" customHeight="1" x14ac:dyDescent="0.25"/>
    <row r="316" spans="1:4" ht="15.75" customHeight="1" x14ac:dyDescent="0.25"/>
    <row r="317" spans="1:4" ht="15.75" customHeight="1" x14ac:dyDescent="0.25"/>
    <row r="318" spans="1:4" ht="15.75" customHeight="1" x14ac:dyDescent="0.25"/>
    <row r="319" spans="1:4" ht="15.75" customHeight="1" x14ac:dyDescent="0.25"/>
    <row r="320" spans="1:4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  <row r="1073" ht="15.75" customHeight="1" x14ac:dyDescent="0.25"/>
    <row r="1074" ht="15.75" customHeight="1" x14ac:dyDescent="0.25"/>
    <row r="1075" ht="15.75" customHeight="1" x14ac:dyDescent="0.25"/>
    <row r="1076" ht="15.75" customHeight="1" x14ac:dyDescent="0.25"/>
    <row r="1077" ht="15.75" customHeight="1" x14ac:dyDescent="0.25"/>
    <row r="1078" ht="15.75" customHeight="1" x14ac:dyDescent="0.25"/>
    <row r="1079" ht="15.75" customHeight="1" x14ac:dyDescent="0.25"/>
    <row r="1080" ht="15.75" customHeight="1" x14ac:dyDescent="0.25"/>
    <row r="1081" ht="15.75" customHeight="1" x14ac:dyDescent="0.25"/>
    <row r="1082" ht="15.75" customHeight="1" x14ac:dyDescent="0.25"/>
    <row r="1083" ht="15.75" customHeight="1" x14ac:dyDescent="0.25"/>
    <row r="1084" ht="15.75" customHeight="1" x14ac:dyDescent="0.25"/>
    <row r="1085" ht="15.75" customHeight="1" x14ac:dyDescent="0.25"/>
    <row r="1086" ht="15.75" customHeight="1" x14ac:dyDescent="0.25"/>
    <row r="1087" ht="15.75" customHeight="1" x14ac:dyDescent="0.25"/>
    <row r="1088" ht="15.75" customHeight="1" x14ac:dyDescent="0.25"/>
    <row r="1089" ht="15.75" customHeight="1" x14ac:dyDescent="0.25"/>
    <row r="1090" ht="15.75" customHeight="1" x14ac:dyDescent="0.25"/>
    <row r="1091" ht="15.75" customHeight="1" x14ac:dyDescent="0.25"/>
    <row r="1092" ht="15.75" customHeight="1" x14ac:dyDescent="0.25"/>
    <row r="1093" ht="15.75" customHeight="1" x14ac:dyDescent="0.25"/>
    <row r="1094" ht="15.75" customHeight="1" x14ac:dyDescent="0.25"/>
    <row r="1095" ht="15.75" customHeight="1" x14ac:dyDescent="0.25"/>
    <row r="1096" ht="15.75" customHeight="1" x14ac:dyDescent="0.25"/>
    <row r="1097" ht="15.75" customHeight="1" x14ac:dyDescent="0.25"/>
    <row r="1098" ht="15.75" customHeight="1" x14ac:dyDescent="0.25"/>
    <row r="1099" ht="15.75" customHeight="1" x14ac:dyDescent="0.25"/>
    <row r="1100" ht="15.75" customHeight="1" x14ac:dyDescent="0.25"/>
    <row r="1101" ht="15.75" customHeight="1" x14ac:dyDescent="0.25"/>
    <row r="1102" ht="15.75" customHeight="1" x14ac:dyDescent="0.25"/>
    <row r="1103" ht="15.75" customHeight="1" x14ac:dyDescent="0.25"/>
    <row r="1104" ht="15.75" customHeight="1" x14ac:dyDescent="0.25"/>
    <row r="1105" ht="15.75" customHeight="1" x14ac:dyDescent="0.25"/>
    <row r="1106" ht="15.75" customHeight="1" x14ac:dyDescent="0.25"/>
    <row r="1107" ht="15.75" customHeight="1" x14ac:dyDescent="0.25"/>
    <row r="1108" ht="15.75" customHeight="1" x14ac:dyDescent="0.25"/>
    <row r="1109" ht="15.75" customHeight="1" x14ac:dyDescent="0.25"/>
    <row r="1110" ht="15.75" customHeight="1" x14ac:dyDescent="0.25"/>
    <row r="1111" ht="15.75" customHeight="1" x14ac:dyDescent="0.25"/>
    <row r="1112" ht="15.75" customHeight="1" x14ac:dyDescent="0.25"/>
    <row r="1113" ht="15.75" customHeight="1" x14ac:dyDescent="0.25"/>
    <row r="1114" ht="15.75" customHeight="1" x14ac:dyDescent="0.25"/>
    <row r="1115" ht="15.75" customHeight="1" x14ac:dyDescent="0.25"/>
    <row r="1116" ht="15.75" customHeight="1" x14ac:dyDescent="0.25"/>
    <row r="1117" ht="15.75" customHeight="1" x14ac:dyDescent="0.25"/>
    <row r="1118" ht="15.75" customHeight="1" x14ac:dyDescent="0.25"/>
    <row r="1119" ht="15.75" customHeight="1" x14ac:dyDescent="0.25"/>
    <row r="1120" ht="15.75" customHeight="1" x14ac:dyDescent="0.25"/>
    <row r="1121" ht="15.75" customHeight="1" x14ac:dyDescent="0.25"/>
    <row r="1122" ht="15.75" customHeight="1" x14ac:dyDescent="0.25"/>
    <row r="1123" ht="15.75" customHeight="1" x14ac:dyDescent="0.25"/>
    <row r="1124" ht="15.75" customHeight="1" x14ac:dyDescent="0.25"/>
    <row r="1125" ht="15.75" customHeight="1" x14ac:dyDescent="0.25"/>
    <row r="1126" ht="15.75" customHeight="1" x14ac:dyDescent="0.25"/>
    <row r="1127" ht="15.75" customHeight="1" x14ac:dyDescent="0.25"/>
    <row r="1128" ht="15.75" customHeight="1" x14ac:dyDescent="0.25"/>
    <row r="1129" ht="15.75" customHeight="1" x14ac:dyDescent="0.25"/>
    <row r="1130" ht="15.75" customHeight="1" x14ac:dyDescent="0.25"/>
    <row r="1131" ht="15.75" customHeight="1" x14ac:dyDescent="0.25"/>
    <row r="1132" ht="15.75" customHeight="1" x14ac:dyDescent="0.25"/>
    <row r="1133" ht="15.75" customHeight="1" x14ac:dyDescent="0.25"/>
    <row r="1134" ht="15.75" customHeight="1" x14ac:dyDescent="0.25"/>
    <row r="1135" ht="15.75" customHeight="1" x14ac:dyDescent="0.25"/>
    <row r="1136" ht="15.75" customHeight="1" x14ac:dyDescent="0.25"/>
    <row r="1137" ht="15.75" customHeight="1" x14ac:dyDescent="0.25"/>
    <row r="1138" ht="15.75" customHeight="1" x14ac:dyDescent="0.25"/>
  </sheetData>
  <autoFilter ref="A2:AC2" xr:uid="{00000000-0009-0000-0000-000001000000}"/>
  <mergeCells count="1">
    <mergeCell ref="A1:AC1"/>
  </mergeCells>
  <conditionalFormatting sqref="D3:D29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:E29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:H298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:I298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3:J298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3:K298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3:L298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3:M298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:N298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3:O298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:P298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:Q298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3:R298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3:S298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:T298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3:U298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3:V298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3:W298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3:X298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3:Y298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3:Z298">
    <cfRule type="colorScale" priority="2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A3:AA298">
    <cfRule type="colorScale" priority="2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3:AB298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3:AC298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113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E1"/>
    </sheetView>
  </sheetViews>
  <sheetFormatPr baseColWidth="10" defaultColWidth="12.42578125" defaultRowHeight="15" customHeight="1" x14ac:dyDescent="0.25"/>
  <cols>
    <col min="1" max="1" width="25.5703125" customWidth="1"/>
    <col min="2" max="28" width="7.5703125" customWidth="1"/>
    <col min="29" max="29" width="10.42578125" customWidth="1"/>
    <col min="30" max="30" width="12.5703125" bestFit="1" customWidth="1"/>
    <col min="31" max="31" width="13.42578125" bestFit="1" customWidth="1"/>
  </cols>
  <sheetData>
    <row r="1" spans="1:38" ht="26.25" x14ac:dyDescent="0.4">
      <c r="A1" s="23" t="s">
        <v>67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H1" s="24" t="s">
        <v>68</v>
      </c>
      <c r="AI1" s="24"/>
      <c r="AJ1" s="24"/>
      <c r="AK1" s="24"/>
      <c r="AL1" s="24"/>
    </row>
    <row r="2" spans="1:38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10</v>
      </c>
      <c r="H2" s="2" t="s">
        <v>9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51</v>
      </c>
      <c r="AD2" s="2" t="s">
        <v>72</v>
      </c>
      <c r="AE2" s="2" t="s">
        <v>73</v>
      </c>
      <c r="AH2" s="2" t="s">
        <v>72</v>
      </c>
      <c r="AI2" s="2" t="s">
        <v>73</v>
      </c>
      <c r="AJ2" s="2" t="s">
        <v>30</v>
      </c>
      <c r="AK2" s="2" t="s">
        <v>9</v>
      </c>
      <c r="AL2" s="2" t="s">
        <v>22</v>
      </c>
    </row>
    <row r="3" spans="1:38" x14ac:dyDescent="0.25">
      <c r="A3" s="20" t="s">
        <v>127</v>
      </c>
      <c r="B3" s="7" t="s">
        <v>128</v>
      </c>
      <c r="C3" s="4" t="s">
        <v>8</v>
      </c>
      <c r="D3" s="4">
        <v>42</v>
      </c>
      <c r="E3" s="4">
        <v>1438</v>
      </c>
      <c r="F3" s="4">
        <v>42</v>
      </c>
      <c r="G3" s="4">
        <v>42</v>
      </c>
      <c r="H3" s="4">
        <v>34.200000000000003</v>
      </c>
      <c r="I3" s="4">
        <v>5.8</v>
      </c>
      <c r="J3" s="4">
        <v>14.4</v>
      </c>
      <c r="K3" s="4">
        <v>0.40600000000000003</v>
      </c>
      <c r="L3" s="4">
        <v>3.2</v>
      </c>
      <c r="M3" s="4">
        <v>8.9</v>
      </c>
      <c r="N3" s="4">
        <v>0.36</v>
      </c>
      <c r="O3" s="4">
        <v>2.6</v>
      </c>
      <c r="P3" s="4">
        <v>5.5</v>
      </c>
      <c r="Q3" s="4">
        <v>0.48099999999999998</v>
      </c>
      <c r="R3" s="4">
        <v>3.1</v>
      </c>
      <c r="S3" s="4">
        <v>3.6</v>
      </c>
      <c r="T3" s="4">
        <v>0.86199999999999999</v>
      </c>
      <c r="U3" s="4">
        <v>0.7</v>
      </c>
      <c r="V3" s="4">
        <v>3.8</v>
      </c>
      <c r="W3" s="4">
        <v>3.7</v>
      </c>
      <c r="X3" s="4">
        <v>2.2999999999999998</v>
      </c>
      <c r="Y3" s="4">
        <v>0.9</v>
      </c>
      <c r="Z3" s="4">
        <v>1.4</v>
      </c>
      <c r="AA3" s="4">
        <v>2.9</v>
      </c>
      <c r="AB3" s="4">
        <v>18</v>
      </c>
      <c r="AC3" s="10">
        <f>(AB3)/(J3+(0.44*S3)+Z3)</f>
        <v>1.0354348826507134</v>
      </c>
      <c r="AD3" s="10">
        <f>Y3/AA3</f>
        <v>0.31034482758620691</v>
      </c>
      <c r="AE3" s="12">
        <f>100*(AC3/TOTAL_BASIC!$D$302)</f>
        <v>107.67153221763668</v>
      </c>
      <c r="AF3" s="9"/>
      <c r="AG3" s="9"/>
      <c r="AH3" s="12">
        <f>(PERCENTRANK(AD$3:AD$298,AD3))*100</f>
        <v>80.800000000000011</v>
      </c>
      <c r="AI3" s="12">
        <f>(PERCENTRANK(AE$3:AE$298,AE3))*100</f>
        <v>81.399999999999991</v>
      </c>
      <c r="AJ3" s="12">
        <f>(PERCENTRANK(AB$3:AB$298,AB3))*100</f>
        <v>92.300000000000011</v>
      </c>
      <c r="AK3" s="12">
        <f>(PERCENTRANK(H$3:H$298,H3))*100</f>
        <v>100</v>
      </c>
      <c r="AL3" s="12">
        <f>(PERCENTRANK(T$3:T$298,T3))*100</f>
        <v>77</v>
      </c>
    </row>
    <row r="4" spans="1:38" x14ac:dyDescent="0.25">
      <c r="A4" s="1" t="s">
        <v>149</v>
      </c>
      <c r="B4" s="7" t="s">
        <v>128</v>
      </c>
      <c r="C4" s="4" t="s">
        <v>8</v>
      </c>
      <c r="D4" s="4">
        <v>43</v>
      </c>
      <c r="E4" s="4">
        <v>1401</v>
      </c>
      <c r="F4" s="4">
        <v>43</v>
      </c>
      <c r="G4" s="4">
        <v>43</v>
      </c>
      <c r="H4" s="4">
        <v>32.6</v>
      </c>
      <c r="I4" s="4">
        <v>6.3</v>
      </c>
      <c r="J4" s="4">
        <v>13.7</v>
      </c>
      <c r="K4" s="4">
        <v>0.46200000000000002</v>
      </c>
      <c r="L4" s="4">
        <v>1.8</v>
      </c>
      <c r="M4" s="4">
        <v>5.4</v>
      </c>
      <c r="N4" s="4">
        <v>0.33</v>
      </c>
      <c r="O4" s="4">
        <v>4.5</v>
      </c>
      <c r="P4" s="4">
        <v>8.3000000000000007</v>
      </c>
      <c r="Q4" s="4">
        <v>0.54800000000000004</v>
      </c>
      <c r="R4" s="4">
        <v>4.5</v>
      </c>
      <c r="S4" s="4">
        <v>5.5</v>
      </c>
      <c r="T4" s="4">
        <v>0.80700000000000005</v>
      </c>
      <c r="U4" s="4">
        <v>0.7</v>
      </c>
      <c r="V4" s="4">
        <v>3.4</v>
      </c>
      <c r="W4" s="4">
        <v>2.6</v>
      </c>
      <c r="X4" s="4">
        <v>1.3</v>
      </c>
      <c r="Y4" s="4">
        <v>0.3</v>
      </c>
      <c r="Z4" s="4">
        <v>1.5</v>
      </c>
      <c r="AA4" s="4">
        <v>2.8</v>
      </c>
      <c r="AB4" s="4">
        <v>18.899999999999999</v>
      </c>
      <c r="AC4" s="10">
        <f t="shared" ref="AC4:AC67" si="0">(AB4)/(J4+(0.44*S4)+Z4)</f>
        <v>1.0726447219069239</v>
      </c>
      <c r="AD4" s="10">
        <f t="shared" ref="AD4:AD67" si="1">Y4/AA4</f>
        <v>0.10714285714285715</v>
      </c>
      <c r="AE4" s="12">
        <f>100*(AC4/TOTAL_BASIC!$D$302)</f>
        <v>111.54086333002076</v>
      </c>
      <c r="AF4" s="9"/>
      <c r="AG4" s="9"/>
      <c r="AH4" s="12">
        <f t="shared" ref="AH4:AH67" si="2">(PERCENTRANK(AD$3:AD$298,AD4))*100</f>
        <v>38.700000000000003</v>
      </c>
      <c r="AI4" s="12">
        <f t="shared" ref="AI4:AI67" si="3">(PERCENTRANK(AE$3:AE$298,AE4))*100</f>
        <v>89.600000000000009</v>
      </c>
      <c r="AJ4" s="12">
        <f t="shared" ref="AJ4:AJ67" si="4">(PERCENTRANK(AB$3:AB$298,AB4))*100</f>
        <v>94.5</v>
      </c>
      <c r="AK4" s="12">
        <f t="shared" ref="AK4:AK67" si="5">(PERCENTRANK(H$3:H$298,H4))*100</f>
        <v>95</v>
      </c>
      <c r="AL4" s="12">
        <f t="shared" ref="AL4:AL67" si="6">(PERCENTRANK(T$3:T$298,T4))*100</f>
        <v>51.300000000000004</v>
      </c>
    </row>
    <row r="5" spans="1:38" x14ac:dyDescent="0.25">
      <c r="A5" s="1" t="s">
        <v>83</v>
      </c>
      <c r="B5" s="7" t="s">
        <v>84</v>
      </c>
      <c r="C5" s="4" t="s">
        <v>85</v>
      </c>
      <c r="D5" s="4">
        <v>42</v>
      </c>
      <c r="E5" s="4">
        <v>1384</v>
      </c>
      <c r="F5" s="4">
        <v>42</v>
      </c>
      <c r="G5" s="4">
        <v>42</v>
      </c>
      <c r="H5" s="4">
        <v>33</v>
      </c>
      <c r="I5" s="4">
        <v>7.1</v>
      </c>
      <c r="J5" s="4">
        <v>15.1</v>
      </c>
      <c r="K5" s="4">
        <v>0.47399999999999998</v>
      </c>
      <c r="L5" s="4">
        <v>0.7</v>
      </c>
      <c r="M5" s="4">
        <v>2.9</v>
      </c>
      <c r="N5" s="4">
        <v>0.254</v>
      </c>
      <c r="O5" s="4">
        <v>6.4</v>
      </c>
      <c r="P5" s="4">
        <v>12.2</v>
      </c>
      <c r="Q5" s="4">
        <v>0.52600000000000002</v>
      </c>
      <c r="R5" s="4">
        <v>5.8</v>
      </c>
      <c r="S5" s="4">
        <v>6.9</v>
      </c>
      <c r="T5" s="4">
        <v>0.84099999999999997</v>
      </c>
      <c r="U5" s="4">
        <v>1.5</v>
      </c>
      <c r="V5" s="4">
        <v>8.3000000000000007</v>
      </c>
      <c r="W5" s="4">
        <v>3.3</v>
      </c>
      <c r="X5" s="4">
        <v>1.4</v>
      </c>
      <c r="Y5" s="4">
        <v>1.3</v>
      </c>
      <c r="Z5" s="4">
        <v>2</v>
      </c>
      <c r="AA5" s="4">
        <v>2.1</v>
      </c>
      <c r="AB5" s="4">
        <v>20.8</v>
      </c>
      <c r="AC5" s="10">
        <f t="shared" si="0"/>
        <v>1.0329757647993645</v>
      </c>
      <c r="AD5" s="10">
        <f t="shared" si="1"/>
        <v>0.61904761904761907</v>
      </c>
      <c r="AE5" s="12">
        <f>100*(AC5/TOTAL_BASIC!$D$302)</f>
        <v>107.41581648756522</v>
      </c>
      <c r="AF5" s="9"/>
      <c r="AG5" s="9"/>
      <c r="AH5" s="12">
        <f t="shared" si="2"/>
        <v>95</v>
      </c>
      <c r="AI5" s="12">
        <f t="shared" si="3"/>
        <v>80.300000000000011</v>
      </c>
      <c r="AJ5" s="12">
        <f t="shared" si="4"/>
        <v>96.1</v>
      </c>
      <c r="AK5" s="12">
        <f t="shared" si="5"/>
        <v>98.3</v>
      </c>
      <c r="AL5" s="12">
        <f t="shared" si="6"/>
        <v>66.600000000000009</v>
      </c>
    </row>
    <row r="6" spans="1:38" x14ac:dyDescent="0.25">
      <c r="A6" s="1" t="s">
        <v>159</v>
      </c>
      <c r="B6" s="7" t="s">
        <v>157</v>
      </c>
      <c r="C6" s="4" t="s">
        <v>8</v>
      </c>
      <c r="D6" s="4">
        <v>42</v>
      </c>
      <c r="E6" s="4">
        <v>1382</v>
      </c>
      <c r="F6" s="4">
        <v>42</v>
      </c>
      <c r="G6" s="4">
        <v>42</v>
      </c>
      <c r="H6" s="4">
        <v>32.9</v>
      </c>
      <c r="I6" s="4">
        <v>8.9</v>
      </c>
      <c r="J6" s="4">
        <v>17.2</v>
      </c>
      <c r="K6" s="4">
        <v>0.51500000000000001</v>
      </c>
      <c r="L6" s="4">
        <v>3.1</v>
      </c>
      <c r="M6" s="4">
        <v>6.8</v>
      </c>
      <c r="N6" s="4">
        <v>0.45600000000000002</v>
      </c>
      <c r="O6" s="4">
        <v>5.7</v>
      </c>
      <c r="P6" s="4">
        <v>10.4</v>
      </c>
      <c r="Q6" s="4">
        <v>0.55300000000000005</v>
      </c>
      <c r="R6" s="4">
        <v>4.3</v>
      </c>
      <c r="S6" s="4">
        <v>5.0999999999999996</v>
      </c>
      <c r="T6" s="4">
        <v>0.84599999999999997</v>
      </c>
      <c r="U6" s="4">
        <v>0.5</v>
      </c>
      <c r="V6" s="4">
        <v>1.7</v>
      </c>
      <c r="W6" s="4">
        <v>2.8</v>
      </c>
      <c r="X6" s="4">
        <v>1.1000000000000001</v>
      </c>
      <c r="Y6" s="4">
        <v>0.1</v>
      </c>
      <c r="Z6" s="4">
        <v>1.7</v>
      </c>
      <c r="AA6" s="4">
        <v>2.4</v>
      </c>
      <c r="AB6" s="4">
        <v>25.1</v>
      </c>
      <c r="AC6" s="10">
        <f t="shared" si="0"/>
        <v>1.1870979947029892</v>
      </c>
      <c r="AD6" s="10">
        <f t="shared" si="1"/>
        <v>4.1666666666666671E-2</v>
      </c>
      <c r="AE6" s="12">
        <f>100*(AC6/TOTAL_BASIC!$D$302)</f>
        <v>123.44248984054327</v>
      </c>
      <c r="AF6" s="9"/>
      <c r="AG6" s="9"/>
      <c r="AH6" s="12">
        <f t="shared" si="2"/>
        <v>13.100000000000001</v>
      </c>
      <c r="AI6" s="12">
        <f t="shared" si="3"/>
        <v>98.3</v>
      </c>
      <c r="AJ6" s="12">
        <f t="shared" si="4"/>
        <v>99.4</v>
      </c>
      <c r="AK6" s="12">
        <f t="shared" si="5"/>
        <v>97.2</v>
      </c>
      <c r="AL6" s="12">
        <f t="shared" si="6"/>
        <v>67.7</v>
      </c>
    </row>
    <row r="7" spans="1:38" x14ac:dyDescent="0.25">
      <c r="A7" s="1" t="s">
        <v>95</v>
      </c>
      <c r="B7" s="7" t="s">
        <v>96</v>
      </c>
      <c r="C7" s="4" t="s">
        <v>8</v>
      </c>
      <c r="D7" s="4">
        <v>42</v>
      </c>
      <c r="E7" s="4">
        <v>1370</v>
      </c>
      <c r="F7" s="4">
        <v>42</v>
      </c>
      <c r="G7" s="4">
        <v>42</v>
      </c>
      <c r="H7" s="4">
        <v>32.6</v>
      </c>
      <c r="I7" s="4">
        <v>5.8</v>
      </c>
      <c r="J7" s="4">
        <v>12.8</v>
      </c>
      <c r="K7" s="4">
        <v>0.45600000000000002</v>
      </c>
      <c r="L7" s="4">
        <v>2.9</v>
      </c>
      <c r="M7" s="4">
        <v>7</v>
      </c>
      <c r="N7" s="4">
        <v>0.41</v>
      </c>
      <c r="O7" s="4">
        <v>3</v>
      </c>
      <c r="P7" s="4">
        <v>5.8</v>
      </c>
      <c r="Q7" s="4">
        <v>0.51200000000000001</v>
      </c>
      <c r="R7" s="4">
        <v>3.4</v>
      </c>
      <c r="S7" s="4">
        <v>3.7</v>
      </c>
      <c r="T7" s="4">
        <v>0.92300000000000004</v>
      </c>
      <c r="U7" s="4">
        <v>0.6</v>
      </c>
      <c r="V7" s="4">
        <v>3.1</v>
      </c>
      <c r="W7" s="4">
        <v>2.2000000000000002</v>
      </c>
      <c r="X7" s="4">
        <v>1.7</v>
      </c>
      <c r="Y7" s="4">
        <v>0.2</v>
      </c>
      <c r="Z7" s="4">
        <v>1.3</v>
      </c>
      <c r="AA7" s="4">
        <v>1.9</v>
      </c>
      <c r="AB7" s="4">
        <v>17.899999999999999</v>
      </c>
      <c r="AC7" s="10">
        <f t="shared" si="0"/>
        <v>1.1380976602238044</v>
      </c>
      <c r="AD7" s="10">
        <f t="shared" si="1"/>
        <v>0.10526315789473685</v>
      </c>
      <c r="AE7" s="12">
        <f>100*(AC7/TOTAL_BASIC!$D$302)</f>
        <v>118.34710317649338</v>
      </c>
      <c r="AF7" s="9"/>
      <c r="AG7" s="9"/>
      <c r="AH7" s="12">
        <f t="shared" si="2"/>
        <v>36.6</v>
      </c>
      <c r="AI7" s="12">
        <f t="shared" si="3"/>
        <v>96.1</v>
      </c>
      <c r="AJ7" s="12">
        <f t="shared" si="4"/>
        <v>91.8</v>
      </c>
      <c r="AK7" s="12">
        <f t="shared" si="5"/>
        <v>95</v>
      </c>
      <c r="AL7" s="12">
        <f t="shared" si="6"/>
        <v>94.5</v>
      </c>
    </row>
    <row r="8" spans="1:38" x14ac:dyDescent="0.25">
      <c r="A8" s="1" t="s">
        <v>97</v>
      </c>
      <c r="B8" s="7" t="s">
        <v>93</v>
      </c>
      <c r="C8" s="4" t="s">
        <v>85</v>
      </c>
      <c r="D8" s="4">
        <v>41</v>
      </c>
      <c r="E8" s="4">
        <v>1366</v>
      </c>
      <c r="F8" s="4">
        <v>41</v>
      </c>
      <c r="G8" s="4">
        <v>41</v>
      </c>
      <c r="H8" s="4">
        <v>33.299999999999997</v>
      </c>
      <c r="I8" s="4">
        <v>5.6</v>
      </c>
      <c r="J8" s="4">
        <v>10.6</v>
      </c>
      <c r="K8" s="4">
        <v>0.52400000000000002</v>
      </c>
      <c r="L8" s="4">
        <v>0</v>
      </c>
      <c r="M8" s="4">
        <v>0.1</v>
      </c>
      <c r="N8" s="4">
        <v>0.33300000000000002</v>
      </c>
      <c r="O8" s="4">
        <v>5.5</v>
      </c>
      <c r="P8" s="4">
        <v>10.5</v>
      </c>
      <c r="Q8" s="4">
        <v>0.52500000000000002</v>
      </c>
      <c r="R8" s="4">
        <v>3.3</v>
      </c>
      <c r="S8" s="4">
        <v>4.8</v>
      </c>
      <c r="T8" s="4">
        <v>0.68700000000000006</v>
      </c>
      <c r="U8" s="4">
        <v>1.6</v>
      </c>
      <c r="V8" s="4">
        <v>7.8</v>
      </c>
      <c r="W8" s="4">
        <v>8.5</v>
      </c>
      <c r="X8" s="4">
        <v>1.3</v>
      </c>
      <c r="Y8" s="4">
        <v>0.5</v>
      </c>
      <c r="Z8" s="4">
        <v>3.5</v>
      </c>
      <c r="AA8" s="4">
        <v>2.6</v>
      </c>
      <c r="AB8" s="4">
        <v>14.5</v>
      </c>
      <c r="AC8" s="10">
        <f t="shared" si="0"/>
        <v>0.8943992104613866</v>
      </c>
      <c r="AD8" s="10">
        <f t="shared" si="1"/>
        <v>0.19230769230769229</v>
      </c>
      <c r="AE8" s="12">
        <f>100*(AC8/TOTAL_BASIC!$D$302)</f>
        <v>93.00568777255269</v>
      </c>
      <c r="AF8" s="9"/>
      <c r="AG8" s="9"/>
      <c r="AH8" s="12">
        <f t="shared" si="2"/>
        <v>66.600000000000009</v>
      </c>
      <c r="AI8" s="12">
        <f t="shared" si="3"/>
        <v>39.800000000000004</v>
      </c>
      <c r="AJ8" s="12">
        <f t="shared" si="4"/>
        <v>82.5</v>
      </c>
      <c r="AK8" s="12">
        <f t="shared" si="5"/>
        <v>99.4</v>
      </c>
      <c r="AL8" s="12">
        <f t="shared" si="6"/>
        <v>19.600000000000001</v>
      </c>
    </row>
    <row r="9" spans="1:38" x14ac:dyDescent="0.25">
      <c r="A9" s="1" t="s">
        <v>98</v>
      </c>
      <c r="B9" s="7" t="s">
        <v>99</v>
      </c>
      <c r="C9" s="4" t="s">
        <v>8</v>
      </c>
      <c r="D9" s="4">
        <v>41</v>
      </c>
      <c r="E9" s="4">
        <v>1346</v>
      </c>
      <c r="F9" s="4">
        <v>41</v>
      </c>
      <c r="G9" s="4">
        <v>41</v>
      </c>
      <c r="H9" s="4">
        <v>32.799999999999997</v>
      </c>
      <c r="I9" s="4">
        <v>8</v>
      </c>
      <c r="J9" s="4">
        <v>15.6</v>
      </c>
      <c r="K9" s="4">
        <v>0.51</v>
      </c>
      <c r="L9" s="4">
        <v>1.9</v>
      </c>
      <c r="M9" s="4">
        <v>4.7</v>
      </c>
      <c r="N9" s="4">
        <v>0.40899999999999997</v>
      </c>
      <c r="O9" s="4">
        <v>6</v>
      </c>
      <c r="P9" s="4">
        <v>10.9</v>
      </c>
      <c r="Q9" s="4">
        <v>0.55400000000000005</v>
      </c>
      <c r="R9" s="4">
        <v>3</v>
      </c>
      <c r="S9" s="4">
        <v>3.4</v>
      </c>
      <c r="T9" s="4">
        <v>0.86499999999999999</v>
      </c>
      <c r="U9" s="4">
        <v>0.6</v>
      </c>
      <c r="V9" s="4">
        <v>4.0999999999999996</v>
      </c>
      <c r="W9" s="4">
        <v>5.9</v>
      </c>
      <c r="X9" s="4">
        <v>0.9</v>
      </c>
      <c r="Y9" s="4">
        <v>0.4</v>
      </c>
      <c r="Z9" s="4">
        <v>2.2000000000000002</v>
      </c>
      <c r="AA9" s="4">
        <v>2.5</v>
      </c>
      <c r="AB9" s="4">
        <v>20.8</v>
      </c>
      <c r="AC9" s="10">
        <f t="shared" si="0"/>
        <v>1.0779436152570481</v>
      </c>
      <c r="AD9" s="10">
        <f t="shared" si="1"/>
        <v>0.16</v>
      </c>
      <c r="AE9" s="12">
        <f>100*(AC9/TOTAL_BASIC!$D$302)</f>
        <v>112.09187815058111</v>
      </c>
      <c r="AF9" s="9"/>
      <c r="AG9" s="9"/>
      <c r="AH9" s="12">
        <f t="shared" si="2"/>
        <v>57.9</v>
      </c>
      <c r="AI9" s="12">
        <f t="shared" si="3"/>
        <v>90.100000000000009</v>
      </c>
      <c r="AJ9" s="12">
        <f t="shared" si="4"/>
        <v>96.1</v>
      </c>
      <c r="AK9" s="12">
        <f t="shared" si="5"/>
        <v>96.7</v>
      </c>
      <c r="AL9" s="12">
        <f t="shared" si="6"/>
        <v>78.600000000000009</v>
      </c>
    </row>
    <row r="10" spans="1:38" x14ac:dyDescent="0.25">
      <c r="A10" s="1" t="s">
        <v>121</v>
      </c>
      <c r="B10" s="7" t="s">
        <v>117</v>
      </c>
      <c r="C10" s="4" t="s">
        <v>8</v>
      </c>
      <c r="D10" s="4">
        <v>41</v>
      </c>
      <c r="E10" s="4">
        <v>1338</v>
      </c>
      <c r="F10" s="4">
        <v>41</v>
      </c>
      <c r="G10" s="4">
        <v>41</v>
      </c>
      <c r="H10" s="4">
        <v>32.6</v>
      </c>
      <c r="I10" s="4">
        <v>4.3</v>
      </c>
      <c r="J10" s="4">
        <v>9.9</v>
      </c>
      <c r="K10" s="4">
        <v>0.435</v>
      </c>
      <c r="L10" s="4">
        <v>1.7</v>
      </c>
      <c r="M10" s="4">
        <v>4.7</v>
      </c>
      <c r="N10" s="4">
        <v>0.36599999999999999</v>
      </c>
      <c r="O10" s="4">
        <v>2.6</v>
      </c>
      <c r="P10" s="4">
        <v>5.2</v>
      </c>
      <c r="Q10" s="4">
        <v>0.498</v>
      </c>
      <c r="R10" s="4">
        <v>1.6</v>
      </c>
      <c r="S10" s="4">
        <v>1.7</v>
      </c>
      <c r="T10" s="4">
        <v>0.92800000000000005</v>
      </c>
      <c r="U10" s="4">
        <v>0.2</v>
      </c>
      <c r="V10" s="4">
        <v>3.3</v>
      </c>
      <c r="W10" s="4">
        <v>6.7</v>
      </c>
      <c r="X10" s="4">
        <v>1.3</v>
      </c>
      <c r="Y10" s="4">
        <v>0.3</v>
      </c>
      <c r="Z10" s="4">
        <v>2.7</v>
      </c>
      <c r="AA10" s="4">
        <v>2</v>
      </c>
      <c r="AB10" s="4">
        <v>11.9</v>
      </c>
      <c r="AC10" s="10">
        <f t="shared" si="0"/>
        <v>0.89151932873838791</v>
      </c>
      <c r="AD10" s="10">
        <f t="shared" si="1"/>
        <v>0.15</v>
      </c>
      <c r="AE10" s="12">
        <f>100*(AC10/TOTAL_BASIC!$D$302)</f>
        <v>92.706218165224968</v>
      </c>
      <c r="AF10" s="9"/>
      <c r="AG10" s="9"/>
      <c r="AH10" s="12">
        <f t="shared" si="2"/>
        <v>54.6</v>
      </c>
      <c r="AI10" s="12">
        <f t="shared" si="3"/>
        <v>38.700000000000003</v>
      </c>
      <c r="AJ10" s="12">
        <f t="shared" si="4"/>
        <v>73.2</v>
      </c>
      <c r="AK10" s="12">
        <f t="shared" si="5"/>
        <v>95</v>
      </c>
      <c r="AL10" s="12">
        <f t="shared" si="6"/>
        <v>95.6</v>
      </c>
    </row>
    <row r="11" spans="1:38" x14ac:dyDescent="0.25">
      <c r="A11" s="1" t="s">
        <v>116</v>
      </c>
      <c r="B11" s="7" t="s">
        <v>117</v>
      </c>
      <c r="C11" s="4" t="s">
        <v>8</v>
      </c>
      <c r="D11" s="4">
        <v>41</v>
      </c>
      <c r="E11" s="4">
        <v>1322</v>
      </c>
      <c r="F11" s="4">
        <v>41</v>
      </c>
      <c r="G11" s="4">
        <v>41</v>
      </c>
      <c r="H11" s="4">
        <v>32.200000000000003</v>
      </c>
      <c r="I11" s="4">
        <v>7</v>
      </c>
      <c r="J11" s="4">
        <v>14.1</v>
      </c>
      <c r="K11" s="4">
        <v>0.49399999999999999</v>
      </c>
      <c r="L11" s="4">
        <v>2.4</v>
      </c>
      <c r="M11" s="4">
        <v>6.1</v>
      </c>
      <c r="N11" s="4">
        <v>0.39</v>
      </c>
      <c r="O11" s="4">
        <v>4.5999999999999996</v>
      </c>
      <c r="P11" s="4">
        <v>8</v>
      </c>
      <c r="Q11" s="4">
        <v>0.57399999999999995</v>
      </c>
      <c r="R11" s="4">
        <v>3.1</v>
      </c>
      <c r="S11" s="4">
        <v>3.3</v>
      </c>
      <c r="T11" s="4">
        <v>0.92700000000000005</v>
      </c>
      <c r="U11" s="4">
        <v>0.7</v>
      </c>
      <c r="V11" s="4">
        <v>4.3</v>
      </c>
      <c r="W11" s="4">
        <v>6.6</v>
      </c>
      <c r="X11" s="4">
        <v>0.9</v>
      </c>
      <c r="Y11" s="4">
        <v>0.3</v>
      </c>
      <c r="Z11" s="4">
        <v>2.4</v>
      </c>
      <c r="AA11" s="4">
        <v>2.1</v>
      </c>
      <c r="AB11" s="4">
        <v>19.399999999999999</v>
      </c>
      <c r="AC11" s="10">
        <f t="shared" si="0"/>
        <v>1.0806595365418896</v>
      </c>
      <c r="AD11" s="10">
        <f t="shared" si="1"/>
        <v>0.14285714285714285</v>
      </c>
      <c r="AE11" s="12">
        <f>100*(AC11/TOTAL_BASIC!$D$302)</f>
        <v>112.37429804102632</v>
      </c>
      <c r="AF11" s="9"/>
      <c r="AG11" s="9"/>
      <c r="AH11" s="12">
        <f t="shared" si="2"/>
        <v>52.400000000000006</v>
      </c>
      <c r="AI11" s="12">
        <f t="shared" si="3"/>
        <v>90.7</v>
      </c>
      <c r="AJ11" s="12">
        <f t="shared" si="4"/>
        <v>95</v>
      </c>
      <c r="AK11" s="12">
        <f t="shared" si="5"/>
        <v>94.5</v>
      </c>
      <c r="AL11" s="12">
        <f t="shared" si="6"/>
        <v>95</v>
      </c>
    </row>
    <row r="12" spans="1:38" x14ac:dyDescent="0.25">
      <c r="A12" s="1" t="s">
        <v>151</v>
      </c>
      <c r="B12" s="7" t="s">
        <v>128</v>
      </c>
      <c r="C12" s="4" t="s">
        <v>85</v>
      </c>
      <c r="D12" s="4">
        <v>42</v>
      </c>
      <c r="E12" s="4">
        <v>1318</v>
      </c>
      <c r="F12" s="4">
        <v>42</v>
      </c>
      <c r="G12" s="4">
        <v>42</v>
      </c>
      <c r="H12" s="4">
        <v>31.4</v>
      </c>
      <c r="I12" s="4">
        <v>5.9</v>
      </c>
      <c r="J12" s="4">
        <v>13</v>
      </c>
      <c r="K12" s="4">
        <v>0.45300000000000001</v>
      </c>
      <c r="L12" s="4">
        <v>0.3</v>
      </c>
      <c r="M12" s="4">
        <v>1.3</v>
      </c>
      <c r="N12" s="4">
        <v>0.19600000000000001</v>
      </c>
      <c r="O12" s="4">
        <v>5.6</v>
      </c>
      <c r="P12" s="4">
        <v>11.7</v>
      </c>
      <c r="Q12" s="4">
        <v>0.48299999999999998</v>
      </c>
      <c r="R12" s="4">
        <v>4.5999999999999996</v>
      </c>
      <c r="S12" s="4">
        <v>6.4</v>
      </c>
      <c r="T12" s="4">
        <v>0.71899999999999997</v>
      </c>
      <c r="U12" s="4">
        <v>4.8</v>
      </c>
      <c r="V12" s="4">
        <v>12.3</v>
      </c>
      <c r="W12" s="4">
        <v>2.8</v>
      </c>
      <c r="X12" s="4">
        <v>1.8</v>
      </c>
      <c r="Y12" s="4">
        <v>0.8</v>
      </c>
      <c r="Z12" s="4">
        <v>3.2</v>
      </c>
      <c r="AA12" s="4">
        <v>3.8</v>
      </c>
      <c r="AB12" s="4">
        <v>16.600000000000001</v>
      </c>
      <c r="AC12" s="10">
        <f t="shared" si="0"/>
        <v>0.87294909549852751</v>
      </c>
      <c r="AD12" s="10">
        <f t="shared" si="1"/>
        <v>0.2105263157894737</v>
      </c>
      <c r="AE12" s="12">
        <f>100*(AC12/TOTAL_BASIC!$D$302)</f>
        <v>90.775159534617543</v>
      </c>
      <c r="AF12" s="9"/>
      <c r="AG12" s="9"/>
      <c r="AH12" s="12">
        <f t="shared" si="2"/>
        <v>68.8</v>
      </c>
      <c r="AI12" s="12">
        <f t="shared" si="3"/>
        <v>31.6</v>
      </c>
      <c r="AJ12" s="12">
        <f t="shared" si="4"/>
        <v>89</v>
      </c>
      <c r="AK12" s="12">
        <f t="shared" si="5"/>
        <v>91.8</v>
      </c>
      <c r="AL12" s="12">
        <f t="shared" si="6"/>
        <v>26.700000000000003</v>
      </c>
    </row>
    <row r="13" spans="1:38" x14ac:dyDescent="0.25">
      <c r="A13" s="1" t="s">
        <v>166</v>
      </c>
      <c r="B13" s="7" t="s">
        <v>128</v>
      </c>
      <c r="C13" s="4" t="s">
        <v>8</v>
      </c>
      <c r="D13" s="4">
        <v>42</v>
      </c>
      <c r="E13" s="4">
        <v>1312</v>
      </c>
      <c r="F13" s="4">
        <v>42</v>
      </c>
      <c r="G13" s="4">
        <v>42</v>
      </c>
      <c r="H13" s="4">
        <v>31.2</v>
      </c>
      <c r="I13" s="4">
        <v>3.8</v>
      </c>
      <c r="J13" s="4">
        <v>8.6999999999999993</v>
      </c>
      <c r="K13" s="4">
        <v>0.433</v>
      </c>
      <c r="L13" s="4">
        <v>0.9</v>
      </c>
      <c r="M13" s="4">
        <v>3.1</v>
      </c>
      <c r="N13" s="4">
        <v>0.28799999999999998</v>
      </c>
      <c r="O13" s="4">
        <v>2.9</v>
      </c>
      <c r="P13" s="4">
        <v>5.6</v>
      </c>
      <c r="Q13" s="4">
        <v>0.51500000000000001</v>
      </c>
      <c r="R13" s="4">
        <v>3.1</v>
      </c>
      <c r="S13" s="4">
        <v>4</v>
      </c>
      <c r="T13" s="4">
        <v>0.78</v>
      </c>
      <c r="U13" s="4">
        <v>0.7</v>
      </c>
      <c r="V13" s="4">
        <v>3.5</v>
      </c>
      <c r="W13" s="4">
        <v>7.3</v>
      </c>
      <c r="X13" s="4">
        <v>1.9</v>
      </c>
      <c r="Y13" s="4">
        <v>0.3</v>
      </c>
      <c r="Z13" s="4">
        <v>2.5</v>
      </c>
      <c r="AA13" s="4">
        <v>2.5</v>
      </c>
      <c r="AB13" s="4">
        <v>11.6</v>
      </c>
      <c r="AC13" s="10">
        <f t="shared" si="0"/>
        <v>0.89506172839506182</v>
      </c>
      <c r="AD13" s="10">
        <f t="shared" si="1"/>
        <v>0.12</v>
      </c>
      <c r="AE13" s="12">
        <f>100*(AC13/TOTAL_BASIC!$D$302)</f>
        <v>93.074580874606454</v>
      </c>
      <c r="AF13" s="9"/>
      <c r="AG13" s="9"/>
      <c r="AH13" s="12">
        <f t="shared" si="2"/>
        <v>42</v>
      </c>
      <c r="AI13" s="12">
        <f t="shared" si="3"/>
        <v>40.400000000000006</v>
      </c>
      <c r="AJ13" s="12">
        <f t="shared" si="4"/>
        <v>71.5</v>
      </c>
      <c r="AK13" s="12">
        <f t="shared" si="5"/>
        <v>91.2</v>
      </c>
      <c r="AL13" s="12">
        <f t="shared" si="6"/>
        <v>43.1</v>
      </c>
    </row>
    <row r="14" spans="1:38" x14ac:dyDescent="0.25">
      <c r="A14" s="1" t="s">
        <v>102</v>
      </c>
      <c r="B14" s="7" t="s">
        <v>99</v>
      </c>
      <c r="C14" s="4" t="s">
        <v>85</v>
      </c>
      <c r="D14" s="4">
        <v>41</v>
      </c>
      <c r="E14" s="4">
        <v>1301</v>
      </c>
      <c r="F14" s="4">
        <v>41</v>
      </c>
      <c r="G14" s="4">
        <v>41</v>
      </c>
      <c r="H14" s="4">
        <v>31.7</v>
      </c>
      <c r="I14" s="4">
        <v>5.8</v>
      </c>
      <c r="J14" s="4">
        <v>10.199999999999999</v>
      </c>
      <c r="K14" s="4">
        <v>0.56999999999999995</v>
      </c>
      <c r="L14" s="4">
        <v>0</v>
      </c>
      <c r="M14" s="4">
        <v>0.3</v>
      </c>
      <c r="N14" s="4">
        <v>9.0999999999999998E-2</v>
      </c>
      <c r="O14" s="4">
        <v>5.8</v>
      </c>
      <c r="P14" s="4">
        <v>10</v>
      </c>
      <c r="Q14" s="4">
        <v>0.58299999999999996</v>
      </c>
      <c r="R14" s="4">
        <v>2.7</v>
      </c>
      <c r="S14" s="4">
        <v>3.9</v>
      </c>
      <c r="T14" s="4">
        <v>0.68100000000000005</v>
      </c>
      <c r="U14" s="4">
        <v>2.9</v>
      </c>
      <c r="V14" s="4">
        <v>11.1</v>
      </c>
      <c r="W14" s="4">
        <v>5.0999999999999996</v>
      </c>
      <c r="X14" s="4">
        <v>0.7</v>
      </c>
      <c r="Y14" s="4">
        <v>0.1</v>
      </c>
      <c r="Z14" s="4">
        <v>1.9</v>
      </c>
      <c r="AA14" s="4">
        <v>2</v>
      </c>
      <c r="AB14" s="4">
        <v>14.3</v>
      </c>
      <c r="AC14" s="10">
        <f t="shared" si="0"/>
        <v>1.0350318471337581</v>
      </c>
      <c r="AD14" s="10">
        <f t="shared" si="1"/>
        <v>0.05</v>
      </c>
      <c r="AE14" s="12">
        <f>100*(AC14/TOTAL_BASIC!$D$302)</f>
        <v>107.62962185477771</v>
      </c>
      <c r="AF14" s="9"/>
      <c r="AG14" s="9"/>
      <c r="AH14" s="12">
        <f t="shared" si="2"/>
        <v>16.3</v>
      </c>
      <c r="AI14" s="12">
        <f t="shared" si="3"/>
        <v>80.800000000000011</v>
      </c>
      <c r="AJ14" s="12">
        <f t="shared" si="4"/>
        <v>80.300000000000011</v>
      </c>
      <c r="AK14" s="12">
        <f t="shared" si="5"/>
        <v>92.800000000000011</v>
      </c>
      <c r="AL14" s="12">
        <f t="shared" si="6"/>
        <v>18</v>
      </c>
    </row>
    <row r="15" spans="1:38" x14ac:dyDescent="0.25">
      <c r="A15" s="1" t="s">
        <v>101</v>
      </c>
      <c r="B15" s="7" t="s">
        <v>99</v>
      </c>
      <c r="C15" s="4" t="s">
        <v>8</v>
      </c>
      <c r="D15" s="4">
        <v>43</v>
      </c>
      <c r="E15" s="4">
        <v>1286</v>
      </c>
      <c r="F15" s="4">
        <v>43</v>
      </c>
      <c r="G15" s="4">
        <v>43</v>
      </c>
      <c r="H15" s="4">
        <v>29.9</v>
      </c>
      <c r="I15" s="4">
        <v>4.9000000000000004</v>
      </c>
      <c r="J15" s="4">
        <v>12.3</v>
      </c>
      <c r="K15" s="4">
        <v>0.40200000000000002</v>
      </c>
      <c r="L15" s="4">
        <v>1.7</v>
      </c>
      <c r="M15" s="4">
        <v>5.3</v>
      </c>
      <c r="N15" s="4">
        <v>0.32200000000000001</v>
      </c>
      <c r="O15" s="4">
        <v>3.2</v>
      </c>
      <c r="P15" s="4">
        <v>6.9</v>
      </c>
      <c r="Q15" s="4">
        <v>0.46500000000000002</v>
      </c>
      <c r="R15" s="4">
        <v>3.5</v>
      </c>
      <c r="S15" s="4">
        <v>4</v>
      </c>
      <c r="T15" s="4">
        <v>0.88800000000000001</v>
      </c>
      <c r="U15" s="4">
        <v>0.8</v>
      </c>
      <c r="V15" s="4">
        <v>3</v>
      </c>
      <c r="W15" s="4">
        <v>3.2</v>
      </c>
      <c r="X15" s="4">
        <v>1</v>
      </c>
      <c r="Y15" s="4">
        <v>0.1</v>
      </c>
      <c r="Z15" s="4">
        <v>1.6</v>
      </c>
      <c r="AA15" s="4">
        <v>2.2999999999999998</v>
      </c>
      <c r="AB15" s="4">
        <v>15.1</v>
      </c>
      <c r="AC15" s="10">
        <f t="shared" si="0"/>
        <v>0.96424010217113665</v>
      </c>
      <c r="AD15" s="10">
        <f t="shared" si="1"/>
        <v>4.3478260869565223E-2</v>
      </c>
      <c r="AE15" s="12">
        <f>100*(AC15/TOTAL_BASIC!$D$302)</f>
        <v>100.26821673292918</v>
      </c>
      <c r="AF15" s="9"/>
      <c r="AG15" s="9"/>
      <c r="AH15" s="12">
        <f t="shared" si="2"/>
        <v>13.600000000000001</v>
      </c>
      <c r="AI15" s="12">
        <f t="shared" si="3"/>
        <v>57.3</v>
      </c>
      <c r="AJ15" s="12">
        <f t="shared" si="4"/>
        <v>86.8</v>
      </c>
      <c r="AK15" s="12">
        <f t="shared" si="5"/>
        <v>86.3</v>
      </c>
      <c r="AL15" s="12">
        <f t="shared" si="6"/>
        <v>87.9</v>
      </c>
    </row>
    <row r="16" spans="1:38" x14ac:dyDescent="0.25">
      <c r="A16" s="1" t="s">
        <v>92</v>
      </c>
      <c r="B16" s="7" t="s">
        <v>93</v>
      </c>
      <c r="C16" s="4" t="s">
        <v>94</v>
      </c>
      <c r="D16" s="4">
        <v>39</v>
      </c>
      <c r="E16" s="4">
        <v>1285</v>
      </c>
      <c r="F16" s="4">
        <v>39</v>
      </c>
      <c r="G16" s="4">
        <v>39</v>
      </c>
      <c r="H16" s="4">
        <v>32.9</v>
      </c>
      <c r="I16" s="4">
        <v>7.2</v>
      </c>
      <c r="J16" s="4">
        <v>16.100000000000001</v>
      </c>
      <c r="K16" s="4">
        <v>0.44900000000000001</v>
      </c>
      <c r="L16" s="4">
        <v>1.7</v>
      </c>
      <c r="M16" s="4">
        <v>5.7</v>
      </c>
      <c r="N16" s="4">
        <v>0.29899999999999999</v>
      </c>
      <c r="O16" s="4">
        <v>5.5</v>
      </c>
      <c r="P16" s="4">
        <v>10.4</v>
      </c>
      <c r="Q16" s="4">
        <v>0.53100000000000003</v>
      </c>
      <c r="R16" s="4">
        <v>5.4</v>
      </c>
      <c r="S16" s="4">
        <v>6.9</v>
      </c>
      <c r="T16" s="4">
        <v>0.78700000000000003</v>
      </c>
      <c r="U16" s="4">
        <v>0.5</v>
      </c>
      <c r="V16" s="4">
        <v>3.6</v>
      </c>
      <c r="W16" s="4">
        <v>1.8</v>
      </c>
      <c r="X16" s="4">
        <v>0.8</v>
      </c>
      <c r="Y16" s="4">
        <v>0.1</v>
      </c>
      <c r="Z16" s="4">
        <v>2.2999999999999998</v>
      </c>
      <c r="AA16" s="4">
        <v>2.7</v>
      </c>
      <c r="AB16" s="4">
        <v>21.6</v>
      </c>
      <c r="AC16" s="10">
        <f t="shared" si="0"/>
        <v>1.0076506810972194</v>
      </c>
      <c r="AD16" s="10">
        <f t="shared" si="1"/>
        <v>3.7037037037037035E-2</v>
      </c>
      <c r="AE16" s="12">
        <f>100*(AC16/TOTAL_BASIC!$D$302)</f>
        <v>104.7823427545099</v>
      </c>
      <c r="AF16" s="9"/>
      <c r="AG16" s="9"/>
      <c r="AH16" s="12">
        <f t="shared" si="2"/>
        <v>10.299999999999999</v>
      </c>
      <c r="AI16" s="12">
        <f t="shared" si="3"/>
        <v>71.5</v>
      </c>
      <c r="AJ16" s="12">
        <f t="shared" si="4"/>
        <v>98.3</v>
      </c>
      <c r="AK16" s="12">
        <f t="shared" si="5"/>
        <v>97.2</v>
      </c>
      <c r="AL16" s="12">
        <f t="shared" si="6"/>
        <v>46.400000000000006</v>
      </c>
    </row>
    <row r="17" spans="1:38" x14ac:dyDescent="0.25">
      <c r="A17" s="1" t="s">
        <v>154</v>
      </c>
      <c r="B17" s="7" t="s">
        <v>137</v>
      </c>
      <c r="C17" s="4" t="s">
        <v>85</v>
      </c>
      <c r="D17" s="4">
        <v>41</v>
      </c>
      <c r="E17" s="4">
        <v>1264</v>
      </c>
      <c r="F17" s="4">
        <v>41</v>
      </c>
      <c r="G17" s="4">
        <v>41</v>
      </c>
      <c r="H17" s="4">
        <v>30.8</v>
      </c>
      <c r="I17" s="4">
        <v>6.8</v>
      </c>
      <c r="J17" s="4">
        <v>13.2</v>
      </c>
      <c r="K17" s="4">
        <v>0.51600000000000001</v>
      </c>
      <c r="L17" s="4">
        <v>1.4</v>
      </c>
      <c r="M17" s="4">
        <v>3.5</v>
      </c>
      <c r="N17" s="4">
        <v>0.39600000000000002</v>
      </c>
      <c r="O17" s="4">
        <v>5.4</v>
      </c>
      <c r="P17" s="4">
        <v>9.6999999999999993</v>
      </c>
      <c r="Q17" s="4">
        <v>0.55900000000000005</v>
      </c>
      <c r="R17" s="4">
        <v>2.2000000000000002</v>
      </c>
      <c r="S17" s="4">
        <v>2.6</v>
      </c>
      <c r="T17" s="4">
        <v>0.85799999999999998</v>
      </c>
      <c r="U17" s="4">
        <v>1.8</v>
      </c>
      <c r="V17" s="4">
        <v>8.9</v>
      </c>
      <c r="W17" s="4">
        <v>3.1</v>
      </c>
      <c r="X17" s="4">
        <v>1.2</v>
      </c>
      <c r="Y17" s="4">
        <v>0.3</v>
      </c>
      <c r="Z17" s="4">
        <v>1.8</v>
      </c>
      <c r="AA17" s="4">
        <v>1.7</v>
      </c>
      <c r="AB17" s="4">
        <v>17.3</v>
      </c>
      <c r="AC17" s="10">
        <f t="shared" si="0"/>
        <v>1.0716055500495543</v>
      </c>
      <c r="AD17" s="10">
        <f t="shared" si="1"/>
        <v>0.17647058823529413</v>
      </c>
      <c r="AE17" s="12">
        <f>100*(AC17/TOTAL_BASIC!$D$302)</f>
        <v>111.43280320186086</v>
      </c>
      <c r="AF17" s="9"/>
      <c r="AG17" s="9"/>
      <c r="AH17" s="12">
        <f t="shared" si="2"/>
        <v>61.199999999999996</v>
      </c>
      <c r="AI17" s="12">
        <f t="shared" si="3"/>
        <v>89</v>
      </c>
      <c r="AJ17" s="12">
        <f t="shared" si="4"/>
        <v>91.2</v>
      </c>
      <c r="AK17" s="12">
        <f t="shared" si="5"/>
        <v>89.600000000000009</v>
      </c>
      <c r="AL17" s="12">
        <f t="shared" si="6"/>
        <v>75.400000000000006</v>
      </c>
    </row>
    <row r="18" spans="1:38" x14ac:dyDescent="0.25">
      <c r="A18" s="1" t="s">
        <v>139</v>
      </c>
      <c r="B18" s="7" t="s">
        <v>140</v>
      </c>
      <c r="C18" s="4" t="s">
        <v>8</v>
      </c>
      <c r="D18" s="4">
        <v>38</v>
      </c>
      <c r="E18" s="4">
        <v>1261</v>
      </c>
      <c r="F18" s="4">
        <v>38</v>
      </c>
      <c r="G18" s="4">
        <v>38</v>
      </c>
      <c r="H18" s="4">
        <v>33.200000000000003</v>
      </c>
      <c r="I18" s="4">
        <v>5.4</v>
      </c>
      <c r="J18" s="4">
        <v>11.2</v>
      </c>
      <c r="K18" s="4">
        <v>0.47799999999999998</v>
      </c>
      <c r="L18" s="4">
        <v>1.4</v>
      </c>
      <c r="M18" s="4">
        <v>4.0999999999999996</v>
      </c>
      <c r="N18" s="4">
        <v>0.34200000000000003</v>
      </c>
      <c r="O18" s="4">
        <v>4</v>
      </c>
      <c r="P18" s="4">
        <v>7.2</v>
      </c>
      <c r="Q18" s="4">
        <v>0.55500000000000005</v>
      </c>
      <c r="R18" s="4">
        <v>4.7</v>
      </c>
      <c r="S18" s="4">
        <v>5.3</v>
      </c>
      <c r="T18" s="4">
        <v>0.872</v>
      </c>
      <c r="U18" s="4">
        <v>0.9</v>
      </c>
      <c r="V18" s="4">
        <v>3.7</v>
      </c>
      <c r="W18" s="4">
        <v>4.4000000000000004</v>
      </c>
      <c r="X18" s="4">
        <v>1.2</v>
      </c>
      <c r="Y18" s="4">
        <v>0.6</v>
      </c>
      <c r="Z18" s="4">
        <v>2.5</v>
      </c>
      <c r="AA18" s="4">
        <v>2.1</v>
      </c>
      <c r="AB18" s="4">
        <v>16.8</v>
      </c>
      <c r="AC18" s="10">
        <f t="shared" si="0"/>
        <v>1.0479041916167664</v>
      </c>
      <c r="AD18" s="10">
        <f t="shared" si="1"/>
        <v>0.2857142857142857</v>
      </c>
      <c r="AE18" s="12">
        <f>100*(AC18/TOTAL_BASIC!$D$302)</f>
        <v>108.96817541999144</v>
      </c>
      <c r="AF18" s="9"/>
      <c r="AG18" s="9"/>
      <c r="AH18" s="12">
        <f t="shared" si="2"/>
        <v>78.600000000000009</v>
      </c>
      <c r="AI18" s="12">
        <f t="shared" si="3"/>
        <v>84.6</v>
      </c>
      <c r="AJ18" s="12">
        <f t="shared" si="4"/>
        <v>89.600000000000009</v>
      </c>
      <c r="AK18" s="12">
        <f t="shared" si="5"/>
        <v>98.9</v>
      </c>
      <c r="AL18" s="12">
        <f t="shared" si="6"/>
        <v>81.399999999999991</v>
      </c>
    </row>
    <row r="19" spans="1:38" x14ac:dyDescent="0.25">
      <c r="A19" s="1" t="s">
        <v>103</v>
      </c>
      <c r="B19" s="7" t="s">
        <v>96</v>
      </c>
      <c r="C19" s="4" t="s">
        <v>8</v>
      </c>
      <c r="D19" s="4">
        <v>41</v>
      </c>
      <c r="E19" s="4">
        <v>1251</v>
      </c>
      <c r="F19" s="4">
        <v>41</v>
      </c>
      <c r="G19" s="4">
        <v>41</v>
      </c>
      <c r="H19" s="4">
        <v>30.5</v>
      </c>
      <c r="I19" s="4">
        <v>6</v>
      </c>
      <c r="J19" s="4">
        <v>13.3</v>
      </c>
      <c r="K19" s="4">
        <v>0.45</v>
      </c>
      <c r="L19" s="4">
        <v>1.2</v>
      </c>
      <c r="M19" s="4">
        <v>3.2</v>
      </c>
      <c r="N19" s="4">
        <v>0.36899999999999999</v>
      </c>
      <c r="O19" s="4">
        <v>4.8</v>
      </c>
      <c r="P19" s="4">
        <v>10.1</v>
      </c>
      <c r="Q19" s="4">
        <v>0.47599999999999998</v>
      </c>
      <c r="R19" s="4">
        <v>1</v>
      </c>
      <c r="S19" s="4">
        <v>1.3</v>
      </c>
      <c r="T19" s="4">
        <v>0.82699999999999996</v>
      </c>
      <c r="U19" s="4">
        <v>0.9</v>
      </c>
      <c r="V19" s="4">
        <v>4.9000000000000004</v>
      </c>
      <c r="W19" s="4">
        <v>4.2</v>
      </c>
      <c r="X19" s="4">
        <v>1.2</v>
      </c>
      <c r="Y19" s="4">
        <v>0.3</v>
      </c>
      <c r="Z19" s="4">
        <v>1.7</v>
      </c>
      <c r="AA19" s="4">
        <v>2.2000000000000002</v>
      </c>
      <c r="AB19" s="4">
        <v>14.2</v>
      </c>
      <c r="AC19" s="10">
        <f t="shared" si="0"/>
        <v>0.91189314153609047</v>
      </c>
      <c r="AD19" s="10">
        <f t="shared" si="1"/>
        <v>0.13636363636363635</v>
      </c>
      <c r="AE19" s="12">
        <f>100*(AC19/TOTAL_BASIC!$D$302)</f>
        <v>94.824825214108728</v>
      </c>
      <c r="AF19" s="9"/>
      <c r="AG19" s="9"/>
      <c r="AH19" s="12">
        <f t="shared" si="2"/>
        <v>51.9</v>
      </c>
      <c r="AI19" s="12">
        <f t="shared" si="3"/>
        <v>44.2</v>
      </c>
      <c r="AJ19" s="12">
        <f t="shared" si="4"/>
        <v>79.2</v>
      </c>
      <c r="AK19" s="12">
        <f t="shared" si="5"/>
        <v>87.9</v>
      </c>
      <c r="AL19" s="12">
        <f t="shared" si="6"/>
        <v>60.6</v>
      </c>
    </row>
    <row r="20" spans="1:38" x14ac:dyDescent="0.25">
      <c r="A20" s="1" t="s">
        <v>132</v>
      </c>
      <c r="B20" s="7" t="s">
        <v>117</v>
      </c>
      <c r="C20" s="4" t="s">
        <v>88</v>
      </c>
      <c r="D20" s="4">
        <v>39</v>
      </c>
      <c r="E20" s="4">
        <v>1244</v>
      </c>
      <c r="F20" s="4">
        <v>39</v>
      </c>
      <c r="G20" s="4">
        <v>39</v>
      </c>
      <c r="H20" s="4">
        <v>31.9</v>
      </c>
      <c r="I20" s="4">
        <v>9.1</v>
      </c>
      <c r="J20" s="4">
        <v>17.3</v>
      </c>
      <c r="K20" s="4">
        <v>0.52700000000000002</v>
      </c>
      <c r="L20" s="4">
        <v>0.9</v>
      </c>
      <c r="M20" s="4">
        <v>2.2999999999999998</v>
      </c>
      <c r="N20" s="4">
        <v>0.4</v>
      </c>
      <c r="O20" s="4">
        <v>8.1999999999999993</v>
      </c>
      <c r="P20" s="4">
        <v>15</v>
      </c>
      <c r="Q20" s="4">
        <v>0.54600000000000004</v>
      </c>
      <c r="R20" s="4">
        <v>7.1</v>
      </c>
      <c r="S20" s="4">
        <v>8.1999999999999993</v>
      </c>
      <c r="T20" s="4">
        <v>0.86499999999999999</v>
      </c>
      <c r="U20" s="4">
        <v>1.8</v>
      </c>
      <c r="V20" s="4">
        <v>9.3000000000000007</v>
      </c>
      <c r="W20" s="4">
        <v>3.2</v>
      </c>
      <c r="X20" s="4">
        <v>1.5</v>
      </c>
      <c r="Y20" s="4">
        <v>2</v>
      </c>
      <c r="Z20" s="4">
        <v>2.4</v>
      </c>
      <c r="AA20" s="4">
        <v>1.9</v>
      </c>
      <c r="AB20" s="4">
        <v>26.2</v>
      </c>
      <c r="AC20" s="10">
        <f t="shared" si="0"/>
        <v>1.1240775699330701</v>
      </c>
      <c r="AD20" s="10">
        <f t="shared" si="1"/>
        <v>1.0526315789473684</v>
      </c>
      <c r="AE20" s="12">
        <f>100*(AC20/TOTAL_BASIC!$D$302)</f>
        <v>116.88919922837786</v>
      </c>
      <c r="AF20" s="9"/>
      <c r="AG20" s="9"/>
      <c r="AH20" s="12">
        <f t="shared" si="2"/>
        <v>100</v>
      </c>
      <c r="AI20" s="12">
        <f t="shared" si="3"/>
        <v>94.5</v>
      </c>
      <c r="AJ20" s="12">
        <f t="shared" si="4"/>
        <v>100</v>
      </c>
      <c r="AK20" s="12">
        <f t="shared" si="5"/>
        <v>93.899999999999991</v>
      </c>
      <c r="AL20" s="12">
        <f t="shared" si="6"/>
        <v>78.600000000000009</v>
      </c>
    </row>
    <row r="21" spans="1:38" ht="15.75" customHeight="1" x14ac:dyDescent="0.25">
      <c r="A21" s="1" t="s">
        <v>104</v>
      </c>
      <c r="B21" s="7" t="s">
        <v>96</v>
      </c>
      <c r="C21" s="4" t="s">
        <v>8</v>
      </c>
      <c r="D21" s="4">
        <v>40</v>
      </c>
      <c r="E21" s="4">
        <v>1239</v>
      </c>
      <c r="F21" s="4">
        <v>40</v>
      </c>
      <c r="G21" s="4">
        <v>40</v>
      </c>
      <c r="H21" s="4">
        <v>31</v>
      </c>
      <c r="I21" s="4">
        <v>7</v>
      </c>
      <c r="J21" s="4">
        <v>14.2</v>
      </c>
      <c r="K21" s="4">
        <v>0.49199999999999999</v>
      </c>
      <c r="L21" s="4">
        <v>1.6</v>
      </c>
      <c r="M21" s="4">
        <v>4.0999999999999996</v>
      </c>
      <c r="N21" s="4">
        <v>0.38800000000000001</v>
      </c>
      <c r="O21" s="4">
        <v>5.4</v>
      </c>
      <c r="P21" s="4">
        <v>10.1</v>
      </c>
      <c r="Q21" s="4">
        <v>0.53500000000000003</v>
      </c>
      <c r="R21" s="4">
        <v>4.2</v>
      </c>
      <c r="S21" s="4">
        <v>4.8</v>
      </c>
      <c r="T21" s="4">
        <v>0.87</v>
      </c>
      <c r="U21" s="4">
        <v>0.6</v>
      </c>
      <c r="V21" s="4">
        <v>4.7</v>
      </c>
      <c r="W21" s="4">
        <v>6</v>
      </c>
      <c r="X21" s="4">
        <v>1.3</v>
      </c>
      <c r="Y21" s="4">
        <v>0.6</v>
      </c>
      <c r="Z21" s="4">
        <v>3.1</v>
      </c>
      <c r="AA21" s="4">
        <v>3</v>
      </c>
      <c r="AB21" s="4">
        <v>19.8</v>
      </c>
      <c r="AC21" s="10">
        <f t="shared" si="0"/>
        <v>1.019987636513497</v>
      </c>
      <c r="AD21" s="10">
        <f t="shared" si="1"/>
        <v>0.19999999999999998</v>
      </c>
      <c r="AE21" s="12">
        <f>100*(AC21/TOTAL_BASIC!$D$302)</f>
        <v>106.0652229383132</v>
      </c>
      <c r="AF21" s="9"/>
      <c r="AG21" s="9"/>
      <c r="AH21" s="12">
        <f t="shared" si="2"/>
        <v>67.2</v>
      </c>
      <c r="AI21" s="12">
        <f t="shared" si="3"/>
        <v>75.900000000000006</v>
      </c>
      <c r="AJ21" s="12">
        <f t="shared" si="4"/>
        <v>95.6</v>
      </c>
      <c r="AK21" s="12">
        <f t="shared" si="5"/>
        <v>90.7</v>
      </c>
      <c r="AL21" s="12">
        <f t="shared" si="6"/>
        <v>80.800000000000011</v>
      </c>
    </row>
    <row r="22" spans="1:38" ht="15.75" customHeight="1" x14ac:dyDescent="0.25">
      <c r="A22" s="1" t="s">
        <v>115</v>
      </c>
      <c r="B22" s="7" t="s">
        <v>96</v>
      </c>
      <c r="C22" s="4" t="s">
        <v>85</v>
      </c>
      <c r="D22" s="4">
        <v>42</v>
      </c>
      <c r="E22" s="4">
        <v>1217</v>
      </c>
      <c r="F22" s="4">
        <v>42</v>
      </c>
      <c r="G22" s="4">
        <v>42</v>
      </c>
      <c r="H22" s="4">
        <v>29</v>
      </c>
      <c r="I22" s="4">
        <v>6.1</v>
      </c>
      <c r="J22" s="4">
        <v>10.199999999999999</v>
      </c>
      <c r="K22" s="4">
        <v>0.59399999999999997</v>
      </c>
      <c r="L22" s="4">
        <v>0.1</v>
      </c>
      <c r="M22" s="4">
        <v>0.4</v>
      </c>
      <c r="N22" s="4">
        <v>0.188</v>
      </c>
      <c r="O22" s="4">
        <v>6</v>
      </c>
      <c r="P22" s="4">
        <v>9.8000000000000007</v>
      </c>
      <c r="Q22" s="4">
        <v>0.61</v>
      </c>
      <c r="R22" s="4">
        <v>2.6</v>
      </c>
      <c r="S22" s="4">
        <v>3.7</v>
      </c>
      <c r="T22" s="4">
        <v>0.71599999999999997</v>
      </c>
      <c r="U22" s="4">
        <v>3.4</v>
      </c>
      <c r="V22" s="4">
        <v>7.7</v>
      </c>
      <c r="W22" s="4">
        <v>3.3</v>
      </c>
      <c r="X22" s="4">
        <v>1.7</v>
      </c>
      <c r="Y22" s="4">
        <v>1</v>
      </c>
      <c r="Z22" s="4">
        <v>2.5</v>
      </c>
      <c r="AA22" s="4">
        <v>3.5</v>
      </c>
      <c r="AB22" s="4">
        <v>14.9</v>
      </c>
      <c r="AC22" s="10">
        <f t="shared" si="0"/>
        <v>1.0399218313791179</v>
      </c>
      <c r="AD22" s="10">
        <f t="shared" si="1"/>
        <v>0.2857142857142857</v>
      </c>
      <c r="AE22" s="12">
        <f>100*(AC22/TOTAL_BASIC!$D$302)</f>
        <v>108.13811553703626</v>
      </c>
      <c r="AF22" s="9"/>
      <c r="AG22" s="9"/>
      <c r="AH22" s="12">
        <f t="shared" si="2"/>
        <v>78.600000000000009</v>
      </c>
      <c r="AI22" s="12">
        <f t="shared" si="3"/>
        <v>81.899999999999991</v>
      </c>
      <c r="AJ22" s="12">
        <f t="shared" si="4"/>
        <v>86.3</v>
      </c>
      <c r="AK22" s="12">
        <f t="shared" si="5"/>
        <v>82.5</v>
      </c>
      <c r="AL22" s="12">
        <f t="shared" si="6"/>
        <v>25.1</v>
      </c>
    </row>
    <row r="23" spans="1:38" ht="15.75" customHeight="1" x14ac:dyDescent="0.25">
      <c r="A23" s="1" t="s">
        <v>158</v>
      </c>
      <c r="B23" s="7" t="s">
        <v>140</v>
      </c>
      <c r="C23" s="4" t="s">
        <v>88</v>
      </c>
      <c r="D23" s="4">
        <v>41</v>
      </c>
      <c r="E23" s="4">
        <v>1208</v>
      </c>
      <c r="F23" s="4">
        <v>41</v>
      </c>
      <c r="G23" s="4">
        <v>41</v>
      </c>
      <c r="H23" s="4">
        <v>29.5</v>
      </c>
      <c r="I23" s="4">
        <v>6.2</v>
      </c>
      <c r="J23" s="4">
        <v>12.6</v>
      </c>
      <c r="K23" s="4">
        <v>0.49099999999999999</v>
      </c>
      <c r="L23" s="4">
        <v>0.4</v>
      </c>
      <c r="M23" s="4">
        <v>1.3</v>
      </c>
      <c r="N23" s="4">
        <v>0.32700000000000001</v>
      </c>
      <c r="O23" s="4">
        <v>5.8</v>
      </c>
      <c r="P23" s="4">
        <v>11.3</v>
      </c>
      <c r="Q23" s="4">
        <v>0.51</v>
      </c>
      <c r="R23" s="4">
        <v>4.2</v>
      </c>
      <c r="S23" s="4">
        <v>5.8</v>
      </c>
      <c r="T23" s="4">
        <v>0.72</v>
      </c>
      <c r="U23" s="4">
        <v>1.9</v>
      </c>
      <c r="V23" s="4">
        <v>9.4</v>
      </c>
      <c r="W23" s="4">
        <v>2.6</v>
      </c>
      <c r="X23" s="4">
        <v>0.7</v>
      </c>
      <c r="Y23" s="4">
        <v>1.3</v>
      </c>
      <c r="Z23" s="4">
        <v>2.9</v>
      </c>
      <c r="AA23" s="4">
        <v>1.9</v>
      </c>
      <c r="AB23" s="4">
        <v>17</v>
      </c>
      <c r="AC23" s="10">
        <f t="shared" si="0"/>
        <v>0.94172390870817635</v>
      </c>
      <c r="AD23" s="10">
        <f t="shared" si="1"/>
        <v>0.68421052631578949</v>
      </c>
      <c r="AE23" s="12">
        <f>100*(AC23/TOTAL_BASIC!$D$302)</f>
        <v>97.926830431881129</v>
      </c>
      <c r="AF23" s="9"/>
      <c r="AG23" s="9"/>
      <c r="AH23" s="12">
        <f t="shared" si="2"/>
        <v>97.2</v>
      </c>
      <c r="AI23" s="12">
        <f t="shared" si="3"/>
        <v>53</v>
      </c>
      <c r="AJ23" s="12">
        <f t="shared" si="4"/>
        <v>90.7</v>
      </c>
      <c r="AK23" s="12">
        <f t="shared" si="5"/>
        <v>84.6</v>
      </c>
      <c r="AL23" s="12">
        <f t="shared" si="6"/>
        <v>27.3</v>
      </c>
    </row>
    <row r="24" spans="1:38" ht="15.75" customHeight="1" x14ac:dyDescent="0.25">
      <c r="A24" s="1" t="s">
        <v>144</v>
      </c>
      <c r="B24" s="7" t="s">
        <v>128</v>
      </c>
      <c r="C24" s="4" t="s">
        <v>85</v>
      </c>
      <c r="D24" s="4">
        <v>42</v>
      </c>
      <c r="E24" s="4">
        <v>1203</v>
      </c>
      <c r="F24" s="4">
        <v>42</v>
      </c>
      <c r="G24" s="4">
        <v>40</v>
      </c>
      <c r="H24" s="4">
        <v>28.6</v>
      </c>
      <c r="I24" s="4">
        <v>3.4</v>
      </c>
      <c r="J24" s="4">
        <v>7.3</v>
      </c>
      <c r="K24" s="4">
        <v>0.46100000000000002</v>
      </c>
      <c r="L24" s="4">
        <v>1.2</v>
      </c>
      <c r="M24" s="4">
        <v>3.9</v>
      </c>
      <c r="N24" s="4">
        <v>0.309</v>
      </c>
      <c r="O24" s="4">
        <v>2.2000000000000002</v>
      </c>
      <c r="P24" s="4">
        <v>3.4</v>
      </c>
      <c r="Q24" s="4">
        <v>0.63200000000000001</v>
      </c>
      <c r="R24" s="4">
        <v>1</v>
      </c>
      <c r="S24" s="4">
        <v>1.2</v>
      </c>
      <c r="T24" s="4">
        <v>0.82699999999999996</v>
      </c>
      <c r="U24" s="4">
        <v>1.5</v>
      </c>
      <c r="V24" s="4">
        <v>4.5999999999999996</v>
      </c>
      <c r="W24" s="4">
        <v>1.6</v>
      </c>
      <c r="X24" s="4">
        <v>0.6</v>
      </c>
      <c r="Y24" s="4">
        <v>0.4</v>
      </c>
      <c r="Z24" s="4">
        <v>1.3</v>
      </c>
      <c r="AA24" s="4">
        <v>2.1</v>
      </c>
      <c r="AB24" s="4">
        <v>8.9</v>
      </c>
      <c r="AC24" s="10">
        <f t="shared" si="0"/>
        <v>0.97502191060473276</v>
      </c>
      <c r="AD24" s="10">
        <f t="shared" si="1"/>
        <v>0.19047619047619047</v>
      </c>
      <c r="AE24" s="12">
        <f>100*(AC24/TOTAL_BASIC!$D$302)</f>
        <v>101.38938220028378</v>
      </c>
      <c r="AF24" s="9"/>
      <c r="AG24" s="9"/>
      <c r="AH24" s="12">
        <f t="shared" si="2"/>
        <v>65</v>
      </c>
      <c r="AI24" s="12">
        <f t="shared" si="3"/>
        <v>62.8</v>
      </c>
      <c r="AJ24" s="12">
        <f t="shared" si="4"/>
        <v>59.5</v>
      </c>
      <c r="AK24" s="12">
        <f t="shared" si="5"/>
        <v>80.300000000000011</v>
      </c>
      <c r="AL24" s="12">
        <f t="shared" si="6"/>
        <v>60.6</v>
      </c>
    </row>
    <row r="25" spans="1:38" ht="15.75" customHeight="1" x14ac:dyDescent="0.25">
      <c r="A25" s="1" t="s">
        <v>109</v>
      </c>
      <c r="B25" s="7" t="s">
        <v>232</v>
      </c>
      <c r="C25" s="4" t="s">
        <v>85</v>
      </c>
      <c r="D25" s="4">
        <v>39</v>
      </c>
      <c r="E25" s="4">
        <v>1195</v>
      </c>
      <c r="F25" s="4">
        <v>39</v>
      </c>
      <c r="G25" s="4">
        <v>39</v>
      </c>
      <c r="H25" s="4">
        <v>30.6</v>
      </c>
      <c r="I25" s="4">
        <v>4.8</v>
      </c>
      <c r="J25" s="4">
        <v>11.8</v>
      </c>
      <c r="K25" s="4">
        <v>0.40400000000000003</v>
      </c>
      <c r="L25" s="4">
        <v>2.7</v>
      </c>
      <c r="M25" s="4">
        <v>7.4</v>
      </c>
      <c r="N25" s="4">
        <v>0.36799999999999999</v>
      </c>
      <c r="O25" s="4">
        <v>2.1</v>
      </c>
      <c r="P25" s="4">
        <v>4.4000000000000004</v>
      </c>
      <c r="Q25" s="4">
        <v>0.46500000000000002</v>
      </c>
      <c r="R25" s="4">
        <v>2</v>
      </c>
      <c r="S25" s="4">
        <v>2.2999999999999998</v>
      </c>
      <c r="T25" s="4">
        <v>0.878</v>
      </c>
      <c r="U25" s="4">
        <v>0.7</v>
      </c>
      <c r="V25" s="4">
        <v>4.5</v>
      </c>
      <c r="W25" s="4">
        <v>2.2000000000000002</v>
      </c>
      <c r="X25" s="4">
        <v>1.6</v>
      </c>
      <c r="Y25" s="4">
        <v>0.4</v>
      </c>
      <c r="Z25" s="4">
        <v>1.2</v>
      </c>
      <c r="AA25" s="4">
        <v>2.1</v>
      </c>
      <c r="AB25" s="4">
        <v>14.3</v>
      </c>
      <c r="AC25" s="10">
        <f t="shared" si="0"/>
        <v>1.0205538110191266</v>
      </c>
      <c r="AD25" s="10">
        <f t="shared" si="1"/>
        <v>0.19047619047619047</v>
      </c>
      <c r="AE25" s="12">
        <f>100*(AC25/TOTAL_BASIC!$D$302)</f>
        <v>106.12409759817363</v>
      </c>
      <c r="AF25" s="9"/>
      <c r="AG25" s="9"/>
      <c r="AH25" s="12">
        <f t="shared" si="2"/>
        <v>65</v>
      </c>
      <c r="AI25" s="12">
        <f t="shared" si="3"/>
        <v>76.5</v>
      </c>
      <c r="AJ25" s="12">
        <f t="shared" si="4"/>
        <v>80.300000000000011</v>
      </c>
      <c r="AK25" s="12">
        <f t="shared" si="5"/>
        <v>89</v>
      </c>
      <c r="AL25" s="12">
        <f t="shared" si="6"/>
        <v>84.6</v>
      </c>
    </row>
    <row r="26" spans="1:38" ht="15.75" customHeight="1" x14ac:dyDescent="0.25">
      <c r="A26" s="1" t="s">
        <v>156</v>
      </c>
      <c r="B26" s="7" t="s">
        <v>157</v>
      </c>
      <c r="C26" s="4" t="s">
        <v>8</v>
      </c>
      <c r="D26" s="4">
        <v>38</v>
      </c>
      <c r="E26" s="4">
        <v>1194</v>
      </c>
      <c r="F26" s="4">
        <v>38</v>
      </c>
      <c r="G26" s="4">
        <v>38</v>
      </c>
      <c r="H26" s="4">
        <v>31.4</v>
      </c>
      <c r="I26" s="4">
        <v>7.2</v>
      </c>
      <c r="J26" s="4">
        <v>15.9</v>
      </c>
      <c r="K26" s="4">
        <v>0.45100000000000001</v>
      </c>
      <c r="L26" s="4">
        <v>2.9</v>
      </c>
      <c r="M26" s="4">
        <v>7.9</v>
      </c>
      <c r="N26" s="4">
        <v>0.36799999999999999</v>
      </c>
      <c r="O26" s="4">
        <v>4.2</v>
      </c>
      <c r="P26" s="4">
        <v>7.9</v>
      </c>
      <c r="Q26" s="4">
        <v>0.53500000000000003</v>
      </c>
      <c r="R26" s="4">
        <v>5.4</v>
      </c>
      <c r="S26" s="4">
        <v>6.4</v>
      </c>
      <c r="T26" s="4">
        <v>0.84799999999999998</v>
      </c>
      <c r="U26" s="4">
        <v>0.2</v>
      </c>
      <c r="V26" s="4">
        <v>3.9</v>
      </c>
      <c r="W26" s="4">
        <v>8.4</v>
      </c>
      <c r="X26" s="4">
        <v>1</v>
      </c>
      <c r="Y26" s="4">
        <v>0.5</v>
      </c>
      <c r="Z26" s="4">
        <v>4.7</v>
      </c>
      <c r="AA26" s="4">
        <v>3.2</v>
      </c>
      <c r="AB26" s="4">
        <v>22.7</v>
      </c>
      <c r="AC26" s="10">
        <f t="shared" si="0"/>
        <v>0.96942261701400745</v>
      </c>
      <c r="AD26" s="10">
        <f t="shared" si="1"/>
        <v>0.15625</v>
      </c>
      <c r="AE26" s="12">
        <f>100*(AC26/TOTAL_BASIC!$D$302)</f>
        <v>100.80712972806029</v>
      </c>
      <c r="AF26" s="9"/>
      <c r="AG26" s="9"/>
      <c r="AH26" s="12">
        <f t="shared" si="2"/>
        <v>57.3</v>
      </c>
      <c r="AI26" s="12">
        <f t="shared" si="3"/>
        <v>59</v>
      </c>
      <c r="AJ26" s="12">
        <f t="shared" si="4"/>
        <v>98.9</v>
      </c>
      <c r="AK26" s="12">
        <f t="shared" si="5"/>
        <v>91.8</v>
      </c>
      <c r="AL26" s="12">
        <f t="shared" si="6"/>
        <v>69.3</v>
      </c>
    </row>
    <row r="27" spans="1:38" ht="15.75" customHeight="1" x14ac:dyDescent="0.25">
      <c r="A27" s="1" t="s">
        <v>87</v>
      </c>
      <c r="B27" s="7" t="s">
        <v>84</v>
      </c>
      <c r="C27" s="4" t="s">
        <v>88</v>
      </c>
      <c r="D27" s="4">
        <v>42</v>
      </c>
      <c r="E27" s="4">
        <v>1194</v>
      </c>
      <c r="F27" s="4">
        <v>42</v>
      </c>
      <c r="G27" s="4">
        <v>42</v>
      </c>
      <c r="H27" s="4">
        <v>28.4</v>
      </c>
      <c r="I27" s="4">
        <v>5</v>
      </c>
      <c r="J27" s="4">
        <v>10.1</v>
      </c>
      <c r="K27" s="4">
        <v>0.496</v>
      </c>
      <c r="L27" s="4">
        <v>1.8</v>
      </c>
      <c r="M27" s="4">
        <v>4.5999999999999996</v>
      </c>
      <c r="N27" s="4">
        <v>0.39500000000000002</v>
      </c>
      <c r="O27" s="4">
        <v>3.2</v>
      </c>
      <c r="P27" s="4">
        <v>5.4</v>
      </c>
      <c r="Q27" s="4">
        <v>0.58299999999999996</v>
      </c>
      <c r="R27" s="4">
        <v>2.8</v>
      </c>
      <c r="S27" s="4">
        <v>3.5</v>
      </c>
      <c r="T27" s="4">
        <v>0.81399999999999995</v>
      </c>
      <c r="U27" s="4">
        <v>2</v>
      </c>
      <c r="V27" s="4">
        <v>9</v>
      </c>
      <c r="W27" s="4">
        <v>2.6</v>
      </c>
      <c r="X27" s="4">
        <v>0.6</v>
      </c>
      <c r="Y27" s="4">
        <v>1.1000000000000001</v>
      </c>
      <c r="Z27" s="4">
        <v>2.2000000000000002</v>
      </c>
      <c r="AA27" s="4">
        <v>3</v>
      </c>
      <c r="AB27" s="4">
        <v>14.6</v>
      </c>
      <c r="AC27" s="10">
        <f t="shared" si="0"/>
        <v>1.0549132947976878</v>
      </c>
      <c r="AD27" s="10">
        <f t="shared" si="1"/>
        <v>0.3666666666666667</v>
      </c>
      <c r="AE27" s="12">
        <f>100*(AC27/TOTAL_BASIC!$D$302)</f>
        <v>109.69702944220607</v>
      </c>
      <c r="AF27" s="9"/>
      <c r="AG27" s="9"/>
      <c r="AH27" s="12">
        <f t="shared" si="2"/>
        <v>83.6</v>
      </c>
      <c r="AI27" s="12">
        <f t="shared" si="3"/>
        <v>87.4</v>
      </c>
      <c r="AJ27" s="12">
        <f t="shared" si="4"/>
        <v>83</v>
      </c>
      <c r="AK27" s="12">
        <f t="shared" si="5"/>
        <v>78.100000000000009</v>
      </c>
      <c r="AL27" s="12">
        <f t="shared" si="6"/>
        <v>55.1</v>
      </c>
    </row>
    <row r="28" spans="1:38" ht="15.75" customHeight="1" x14ac:dyDescent="0.25">
      <c r="A28" s="1" t="s">
        <v>90</v>
      </c>
      <c r="B28" s="4" t="s">
        <v>91</v>
      </c>
      <c r="C28" s="4" t="s">
        <v>8</v>
      </c>
      <c r="D28" s="4">
        <v>42</v>
      </c>
      <c r="E28" s="4">
        <v>1193</v>
      </c>
      <c r="F28" s="4">
        <v>42</v>
      </c>
      <c r="G28" s="4">
        <v>42</v>
      </c>
      <c r="H28" s="4">
        <v>28.4</v>
      </c>
      <c r="I28" s="4">
        <v>3.9</v>
      </c>
      <c r="J28" s="4">
        <v>9.1999999999999993</v>
      </c>
      <c r="K28" s="4">
        <v>0.42399999999999999</v>
      </c>
      <c r="L28" s="4">
        <v>1.4</v>
      </c>
      <c r="M28" s="4">
        <v>3.9</v>
      </c>
      <c r="N28" s="4">
        <v>0.35399999999999998</v>
      </c>
      <c r="O28" s="4">
        <v>2.5</v>
      </c>
      <c r="P28" s="4">
        <v>5.3</v>
      </c>
      <c r="Q28" s="4">
        <v>0.47499999999999998</v>
      </c>
      <c r="R28" s="4">
        <v>2.9</v>
      </c>
      <c r="S28" s="4">
        <v>3.5</v>
      </c>
      <c r="T28" s="4">
        <v>0.82799999999999996</v>
      </c>
      <c r="U28" s="4">
        <v>1.1000000000000001</v>
      </c>
      <c r="V28" s="4">
        <v>3.6</v>
      </c>
      <c r="W28" s="4">
        <v>5.7</v>
      </c>
      <c r="X28" s="4">
        <v>1.6</v>
      </c>
      <c r="Y28" s="4">
        <v>0.4</v>
      </c>
      <c r="Z28" s="4">
        <v>1.4</v>
      </c>
      <c r="AA28" s="4">
        <v>2.5</v>
      </c>
      <c r="AB28" s="4">
        <v>12</v>
      </c>
      <c r="AC28" s="10">
        <f t="shared" si="0"/>
        <v>0.98846787479406928</v>
      </c>
      <c r="AD28" s="10">
        <f t="shared" si="1"/>
        <v>0.16</v>
      </c>
      <c r="AE28" s="12">
        <f>100*(AC28/TOTAL_BASIC!$D$302)</f>
        <v>102.78758462775377</v>
      </c>
      <c r="AF28" s="9"/>
      <c r="AG28" s="9"/>
      <c r="AH28" s="12">
        <f t="shared" si="2"/>
        <v>57.9</v>
      </c>
      <c r="AI28" s="12">
        <f t="shared" si="3"/>
        <v>67.7</v>
      </c>
      <c r="AJ28" s="12">
        <f t="shared" si="4"/>
        <v>73.7</v>
      </c>
      <c r="AK28" s="12">
        <f t="shared" si="5"/>
        <v>78.100000000000009</v>
      </c>
      <c r="AL28" s="12">
        <f t="shared" si="6"/>
        <v>61.7</v>
      </c>
    </row>
    <row r="29" spans="1:38" ht="15.75" customHeight="1" x14ac:dyDescent="0.25">
      <c r="A29" s="1" t="s">
        <v>168</v>
      </c>
      <c r="B29" s="7" t="s">
        <v>137</v>
      </c>
      <c r="C29" s="4" t="s">
        <v>94</v>
      </c>
      <c r="D29" s="4">
        <v>41</v>
      </c>
      <c r="E29" s="4">
        <v>1178</v>
      </c>
      <c r="F29" s="4">
        <v>41</v>
      </c>
      <c r="G29" s="4">
        <v>33</v>
      </c>
      <c r="H29" s="4">
        <v>28.7</v>
      </c>
      <c r="I29" s="4">
        <v>5</v>
      </c>
      <c r="J29" s="4">
        <v>10.9</v>
      </c>
      <c r="K29" s="4">
        <v>0.46200000000000002</v>
      </c>
      <c r="L29" s="4">
        <v>1.6</v>
      </c>
      <c r="M29" s="4">
        <v>4.2</v>
      </c>
      <c r="N29" s="4">
        <v>0.378</v>
      </c>
      <c r="O29" s="4">
        <v>3.4</v>
      </c>
      <c r="P29" s="4">
        <v>6.7</v>
      </c>
      <c r="Q29" s="4">
        <v>0.51500000000000001</v>
      </c>
      <c r="R29" s="4">
        <v>3</v>
      </c>
      <c r="S29" s="4">
        <v>3.7</v>
      </c>
      <c r="T29" s="4">
        <v>0.80900000000000005</v>
      </c>
      <c r="U29" s="4">
        <v>0.6</v>
      </c>
      <c r="V29" s="4">
        <v>2.2999999999999998</v>
      </c>
      <c r="W29" s="4">
        <v>2.6</v>
      </c>
      <c r="X29" s="4">
        <v>0.8</v>
      </c>
      <c r="Y29" s="4">
        <v>0.6</v>
      </c>
      <c r="Z29" s="4">
        <v>2.4</v>
      </c>
      <c r="AA29" s="4">
        <v>1.6</v>
      </c>
      <c r="AB29" s="4">
        <v>14.6</v>
      </c>
      <c r="AC29" s="10">
        <f t="shared" si="0"/>
        <v>0.97802786709539113</v>
      </c>
      <c r="AD29" s="10">
        <f t="shared" si="1"/>
        <v>0.37499999999999994</v>
      </c>
      <c r="AE29" s="12">
        <f>100*(AC29/TOTAL_BASIC!$D$302)</f>
        <v>101.70196191587164</v>
      </c>
      <c r="AF29" s="9"/>
      <c r="AG29" s="9"/>
      <c r="AH29" s="12">
        <f t="shared" si="2"/>
        <v>84.1</v>
      </c>
      <c r="AI29" s="12">
        <f t="shared" si="3"/>
        <v>63.3</v>
      </c>
      <c r="AJ29" s="12">
        <f t="shared" si="4"/>
        <v>83</v>
      </c>
      <c r="AK29" s="12">
        <f t="shared" si="5"/>
        <v>81.899999999999991</v>
      </c>
      <c r="AL29" s="12">
        <f t="shared" si="6"/>
        <v>51.9</v>
      </c>
    </row>
    <row r="30" spans="1:38" ht="15.75" customHeight="1" x14ac:dyDescent="0.25">
      <c r="A30" s="1" t="s">
        <v>169</v>
      </c>
      <c r="B30" s="7" t="s">
        <v>137</v>
      </c>
      <c r="C30" s="4" t="s">
        <v>85</v>
      </c>
      <c r="D30" s="4">
        <v>41</v>
      </c>
      <c r="E30" s="4">
        <v>1174</v>
      </c>
      <c r="F30" s="4">
        <v>41</v>
      </c>
      <c r="G30" s="4">
        <v>41</v>
      </c>
      <c r="H30" s="4">
        <v>28.6</v>
      </c>
      <c r="I30" s="4">
        <v>5.6</v>
      </c>
      <c r="J30" s="4">
        <v>10.1</v>
      </c>
      <c r="K30" s="4">
        <v>0.55200000000000005</v>
      </c>
      <c r="L30" s="4">
        <v>0.2</v>
      </c>
      <c r="M30" s="4">
        <v>0.9</v>
      </c>
      <c r="N30" s="4">
        <v>0.23699999999999999</v>
      </c>
      <c r="O30" s="4">
        <v>5.3</v>
      </c>
      <c r="P30" s="4">
        <v>9.1</v>
      </c>
      <c r="Q30" s="4">
        <v>0.58399999999999996</v>
      </c>
      <c r="R30" s="4">
        <v>3.1</v>
      </c>
      <c r="S30" s="4">
        <v>4.5</v>
      </c>
      <c r="T30" s="4">
        <v>0.68300000000000005</v>
      </c>
      <c r="U30" s="4">
        <v>1.9</v>
      </c>
      <c r="V30" s="4">
        <v>7</v>
      </c>
      <c r="W30" s="4">
        <v>2.4</v>
      </c>
      <c r="X30" s="4">
        <v>1.5</v>
      </c>
      <c r="Y30" s="4">
        <v>0.4</v>
      </c>
      <c r="Z30" s="4">
        <v>1.9</v>
      </c>
      <c r="AA30" s="4">
        <v>2.8</v>
      </c>
      <c r="AB30" s="4">
        <v>14.4</v>
      </c>
      <c r="AC30" s="10">
        <f t="shared" si="0"/>
        <v>1.0300429184549356</v>
      </c>
      <c r="AD30" s="10">
        <f t="shared" si="1"/>
        <v>0.14285714285714288</v>
      </c>
      <c r="AE30" s="12">
        <f>100*(AC30/TOTAL_BASIC!$D$302)</f>
        <v>107.11083926016572</v>
      </c>
      <c r="AF30" s="9"/>
      <c r="AG30" s="9"/>
      <c r="AH30" s="12">
        <f t="shared" si="2"/>
        <v>53</v>
      </c>
      <c r="AI30" s="12">
        <f t="shared" si="3"/>
        <v>78.600000000000009</v>
      </c>
      <c r="AJ30" s="12">
        <f t="shared" si="4"/>
        <v>81.899999999999991</v>
      </c>
      <c r="AK30" s="12">
        <f t="shared" si="5"/>
        <v>80.300000000000011</v>
      </c>
      <c r="AL30" s="12">
        <f t="shared" si="6"/>
        <v>18.5</v>
      </c>
    </row>
    <row r="31" spans="1:38" ht="15.75" customHeight="1" x14ac:dyDescent="0.25">
      <c r="A31" s="1" t="s">
        <v>113</v>
      </c>
      <c r="B31" s="7" t="s">
        <v>114</v>
      </c>
      <c r="C31" s="4" t="s">
        <v>8</v>
      </c>
      <c r="D31" s="4">
        <v>41</v>
      </c>
      <c r="E31" s="4">
        <v>1169</v>
      </c>
      <c r="F31" s="4">
        <v>41</v>
      </c>
      <c r="G31" s="4">
        <v>41</v>
      </c>
      <c r="H31" s="4">
        <v>28.5</v>
      </c>
      <c r="I31" s="4">
        <v>5.2</v>
      </c>
      <c r="J31" s="4">
        <v>13</v>
      </c>
      <c r="K31" s="4">
        <v>0.4</v>
      </c>
      <c r="L31" s="4">
        <v>1.5</v>
      </c>
      <c r="M31" s="4">
        <v>4.8</v>
      </c>
      <c r="N31" s="4">
        <v>0.30299999999999999</v>
      </c>
      <c r="O31" s="4">
        <v>3.7</v>
      </c>
      <c r="P31" s="4">
        <v>8.1</v>
      </c>
      <c r="Q31" s="4">
        <v>0.45800000000000002</v>
      </c>
      <c r="R31" s="4">
        <v>2.9</v>
      </c>
      <c r="S31" s="4">
        <v>3.6</v>
      </c>
      <c r="T31" s="4">
        <v>0.79900000000000004</v>
      </c>
      <c r="U31" s="4">
        <v>1.1000000000000001</v>
      </c>
      <c r="V31" s="4">
        <v>4.8</v>
      </c>
      <c r="W31" s="4">
        <v>2.9</v>
      </c>
      <c r="X31" s="4">
        <v>1.4</v>
      </c>
      <c r="Y31" s="4">
        <v>0.7</v>
      </c>
      <c r="Z31" s="4">
        <v>2.6</v>
      </c>
      <c r="AA31" s="4">
        <v>2.8</v>
      </c>
      <c r="AB31" s="4">
        <v>14.8</v>
      </c>
      <c r="AC31" s="10">
        <f t="shared" si="0"/>
        <v>0.86126629422718803</v>
      </c>
      <c r="AD31" s="10">
        <f t="shared" si="1"/>
        <v>0.25</v>
      </c>
      <c r="AE31" s="12">
        <f>100*(AC31/TOTAL_BASIC!$D$302)</f>
        <v>89.56030272946623</v>
      </c>
      <c r="AF31" s="9"/>
      <c r="AG31" s="9"/>
      <c r="AH31" s="12">
        <f t="shared" si="2"/>
        <v>75.400000000000006</v>
      </c>
      <c r="AI31" s="12">
        <f t="shared" si="3"/>
        <v>27.3</v>
      </c>
      <c r="AJ31" s="12">
        <f t="shared" si="4"/>
        <v>84.6</v>
      </c>
      <c r="AK31" s="12">
        <f t="shared" si="5"/>
        <v>79.7</v>
      </c>
      <c r="AL31" s="12">
        <f t="shared" si="6"/>
        <v>48.6</v>
      </c>
    </row>
    <row r="32" spans="1:38" ht="15.75" customHeight="1" x14ac:dyDescent="0.25">
      <c r="A32" s="1" t="s">
        <v>138</v>
      </c>
      <c r="B32" s="7" t="s">
        <v>114</v>
      </c>
      <c r="C32" s="4" t="s">
        <v>8</v>
      </c>
      <c r="D32" s="4">
        <v>39</v>
      </c>
      <c r="E32" s="4">
        <v>1166</v>
      </c>
      <c r="F32" s="4">
        <v>39</v>
      </c>
      <c r="G32" s="4">
        <v>39</v>
      </c>
      <c r="H32" s="4">
        <v>29.9</v>
      </c>
      <c r="I32" s="4">
        <v>5.3</v>
      </c>
      <c r="J32" s="4">
        <v>12.1</v>
      </c>
      <c r="K32" s="4">
        <v>0.434</v>
      </c>
      <c r="L32" s="4">
        <v>1.8</v>
      </c>
      <c r="M32" s="4">
        <v>5.5</v>
      </c>
      <c r="N32" s="4">
        <v>0.32600000000000001</v>
      </c>
      <c r="O32" s="4">
        <v>3.5</v>
      </c>
      <c r="P32" s="4">
        <v>6.6</v>
      </c>
      <c r="Q32" s="4">
        <v>0.52500000000000002</v>
      </c>
      <c r="R32" s="4">
        <v>2.5</v>
      </c>
      <c r="S32" s="4">
        <v>2.8</v>
      </c>
      <c r="T32" s="4">
        <v>0.86499999999999999</v>
      </c>
      <c r="U32" s="4">
        <v>0.3</v>
      </c>
      <c r="V32" s="4">
        <v>2.5</v>
      </c>
      <c r="W32" s="4">
        <v>4.7</v>
      </c>
      <c r="X32" s="4">
        <v>1</v>
      </c>
      <c r="Y32" s="4">
        <v>0.1</v>
      </c>
      <c r="Z32" s="4">
        <v>2.2999999999999998</v>
      </c>
      <c r="AA32" s="4">
        <v>1.7</v>
      </c>
      <c r="AB32" s="4">
        <v>14.8</v>
      </c>
      <c r="AC32" s="10">
        <f t="shared" si="0"/>
        <v>0.94677584442169926</v>
      </c>
      <c r="AD32" s="10">
        <f t="shared" si="1"/>
        <v>5.8823529411764712E-2</v>
      </c>
      <c r="AE32" s="12">
        <f>100*(AC32/TOTAL_BASIC!$D$302)</f>
        <v>98.452164924715191</v>
      </c>
      <c r="AF32" s="9"/>
      <c r="AG32" s="9"/>
      <c r="AH32" s="12">
        <f t="shared" si="2"/>
        <v>19.100000000000001</v>
      </c>
      <c r="AI32" s="12">
        <f t="shared" si="3"/>
        <v>54</v>
      </c>
      <c r="AJ32" s="12">
        <f t="shared" si="4"/>
        <v>84.6</v>
      </c>
      <c r="AK32" s="12">
        <f t="shared" si="5"/>
        <v>86.3</v>
      </c>
      <c r="AL32" s="12">
        <f t="shared" si="6"/>
        <v>78.600000000000009</v>
      </c>
    </row>
    <row r="33" spans="1:38" ht="15.75" customHeight="1" x14ac:dyDescent="0.25">
      <c r="A33" s="1" t="s">
        <v>224</v>
      </c>
      <c r="B33" s="7" t="s">
        <v>131</v>
      </c>
      <c r="C33" s="4" t="s">
        <v>8</v>
      </c>
      <c r="D33" s="4">
        <v>40</v>
      </c>
      <c r="E33" s="4">
        <v>1127</v>
      </c>
      <c r="F33" s="4">
        <v>40</v>
      </c>
      <c r="G33" s="4">
        <v>27</v>
      </c>
      <c r="H33" s="4">
        <v>28.2</v>
      </c>
      <c r="I33" s="4">
        <v>3.8</v>
      </c>
      <c r="J33" s="4">
        <v>7.7</v>
      </c>
      <c r="K33" s="4">
        <v>0.49</v>
      </c>
      <c r="L33" s="4">
        <v>1.1000000000000001</v>
      </c>
      <c r="M33" s="4">
        <v>3.2</v>
      </c>
      <c r="N33" s="4">
        <v>0.35699999999999998</v>
      </c>
      <c r="O33" s="4">
        <v>2.6</v>
      </c>
      <c r="P33" s="4">
        <v>4.5</v>
      </c>
      <c r="Q33" s="4">
        <v>0.58299999999999996</v>
      </c>
      <c r="R33" s="4">
        <v>2.5</v>
      </c>
      <c r="S33" s="4">
        <v>2.9</v>
      </c>
      <c r="T33" s="4">
        <v>0.85499999999999998</v>
      </c>
      <c r="U33" s="4">
        <v>0.3</v>
      </c>
      <c r="V33" s="4">
        <v>3.4</v>
      </c>
      <c r="W33" s="4">
        <v>4.8</v>
      </c>
      <c r="X33" s="4">
        <v>1.1000000000000001</v>
      </c>
      <c r="Y33" s="4">
        <v>0.3</v>
      </c>
      <c r="Z33" s="4">
        <v>2.2000000000000002</v>
      </c>
      <c r="AA33" s="4">
        <v>2.9</v>
      </c>
      <c r="AB33" s="4">
        <v>11.1</v>
      </c>
      <c r="AC33" s="10">
        <f t="shared" si="0"/>
        <v>0.99319971367215443</v>
      </c>
      <c r="AD33" s="10">
        <f t="shared" si="1"/>
        <v>0.10344827586206896</v>
      </c>
      <c r="AE33" s="12">
        <f>100*(AC33/TOTAL_BASIC!$D$302)</f>
        <v>103.27963328358629</v>
      </c>
      <c r="AF33" s="9"/>
      <c r="AG33" s="9"/>
      <c r="AH33" s="12">
        <f t="shared" si="2"/>
        <v>35.5</v>
      </c>
      <c r="AI33" s="12">
        <f t="shared" si="3"/>
        <v>68.8</v>
      </c>
      <c r="AJ33" s="12">
        <f t="shared" si="4"/>
        <v>71</v>
      </c>
      <c r="AK33" s="12">
        <f t="shared" si="5"/>
        <v>77</v>
      </c>
      <c r="AL33" s="12">
        <f t="shared" si="6"/>
        <v>73.2</v>
      </c>
    </row>
    <row r="34" spans="1:38" ht="15.75" customHeight="1" x14ac:dyDescent="0.25">
      <c r="A34" s="1" t="s">
        <v>173</v>
      </c>
      <c r="B34" s="7" t="s">
        <v>140</v>
      </c>
      <c r="C34" s="4" t="s">
        <v>85</v>
      </c>
      <c r="D34" s="4">
        <v>39</v>
      </c>
      <c r="E34" s="4">
        <v>1104</v>
      </c>
      <c r="F34" s="4">
        <v>39</v>
      </c>
      <c r="G34" s="4">
        <v>39</v>
      </c>
      <c r="H34" s="4">
        <v>28.3</v>
      </c>
      <c r="I34" s="4">
        <v>6</v>
      </c>
      <c r="J34" s="4">
        <v>11.6</v>
      </c>
      <c r="K34" s="4">
        <v>0.51800000000000002</v>
      </c>
      <c r="L34" s="4">
        <v>0.4</v>
      </c>
      <c r="M34" s="4">
        <v>1.1000000000000001</v>
      </c>
      <c r="N34" s="4">
        <v>0.34899999999999998</v>
      </c>
      <c r="O34" s="4">
        <v>5.6</v>
      </c>
      <c r="P34" s="4">
        <v>10.5</v>
      </c>
      <c r="Q34" s="4">
        <v>0.53500000000000003</v>
      </c>
      <c r="R34" s="4">
        <v>3.2</v>
      </c>
      <c r="S34" s="4">
        <v>4.8</v>
      </c>
      <c r="T34" s="4">
        <v>0.65100000000000002</v>
      </c>
      <c r="U34" s="4">
        <v>3.1</v>
      </c>
      <c r="V34" s="4">
        <v>9.6</v>
      </c>
      <c r="W34" s="4">
        <v>1.5</v>
      </c>
      <c r="X34" s="4">
        <v>0.7</v>
      </c>
      <c r="Y34" s="4">
        <v>0.4</v>
      </c>
      <c r="Z34" s="4">
        <v>1.7</v>
      </c>
      <c r="AA34" s="4">
        <v>3.3</v>
      </c>
      <c r="AB34" s="4">
        <v>15.5</v>
      </c>
      <c r="AC34" s="10">
        <f t="shared" si="0"/>
        <v>1.0057098364910459</v>
      </c>
      <c r="AD34" s="10">
        <f t="shared" si="1"/>
        <v>0.12121212121212123</v>
      </c>
      <c r="AE34" s="12">
        <f>100*(AC34/TOTAL_BASIC!$D$302)</f>
        <v>104.58052058679613</v>
      </c>
      <c r="AF34" s="9"/>
      <c r="AG34" s="9"/>
      <c r="AH34" s="12">
        <f t="shared" si="2"/>
        <v>43.7</v>
      </c>
      <c r="AI34" s="12">
        <f t="shared" si="3"/>
        <v>71</v>
      </c>
      <c r="AJ34" s="12">
        <f t="shared" si="4"/>
        <v>87.4</v>
      </c>
      <c r="AK34" s="12">
        <f t="shared" si="5"/>
        <v>77.5</v>
      </c>
      <c r="AL34" s="12">
        <f t="shared" si="6"/>
        <v>12.5</v>
      </c>
    </row>
    <row r="35" spans="1:38" ht="15.75" customHeight="1" x14ac:dyDescent="0.25">
      <c r="A35" s="1" t="s">
        <v>111</v>
      </c>
      <c r="B35" s="4" t="s">
        <v>240</v>
      </c>
      <c r="C35" s="4" t="s">
        <v>112</v>
      </c>
      <c r="D35" s="4">
        <v>41</v>
      </c>
      <c r="E35" s="4">
        <v>1099</v>
      </c>
      <c r="F35" s="4">
        <v>41</v>
      </c>
      <c r="G35" s="4">
        <v>26</v>
      </c>
      <c r="H35" s="4">
        <v>26.8</v>
      </c>
      <c r="I35" s="4">
        <v>3.5</v>
      </c>
      <c r="J35" s="4">
        <v>8.6</v>
      </c>
      <c r="K35" s="4">
        <v>0.40500000000000003</v>
      </c>
      <c r="L35" s="4">
        <v>1.2</v>
      </c>
      <c r="M35" s="4">
        <v>4.4000000000000004</v>
      </c>
      <c r="N35" s="4">
        <v>0.27400000000000002</v>
      </c>
      <c r="O35" s="4">
        <v>2.2999999999999998</v>
      </c>
      <c r="P35" s="4">
        <v>4.2</v>
      </c>
      <c r="Q35" s="4">
        <v>0.54100000000000004</v>
      </c>
      <c r="R35" s="4">
        <v>2.2999999999999998</v>
      </c>
      <c r="S35" s="4">
        <v>2.7</v>
      </c>
      <c r="T35" s="4">
        <v>0.84699999999999998</v>
      </c>
      <c r="U35" s="4">
        <v>0.8</v>
      </c>
      <c r="V35" s="4">
        <v>6</v>
      </c>
      <c r="W35" s="4">
        <v>1.6</v>
      </c>
      <c r="X35" s="4">
        <v>1.1000000000000001</v>
      </c>
      <c r="Y35" s="4">
        <v>0.7</v>
      </c>
      <c r="Z35" s="4">
        <v>0.8</v>
      </c>
      <c r="AA35" s="4">
        <v>1.6</v>
      </c>
      <c r="AB35" s="4">
        <v>10.4</v>
      </c>
      <c r="AC35" s="10">
        <f t="shared" si="0"/>
        <v>0.9822440498677748</v>
      </c>
      <c r="AD35" s="10">
        <f t="shared" si="1"/>
        <v>0.43749999999999994</v>
      </c>
      <c r="AE35" s="12">
        <f>100*(AC35/TOTAL_BASIC!$D$302)</f>
        <v>102.14038915723521</v>
      </c>
      <c r="AF35" s="9"/>
      <c r="AG35" s="9"/>
      <c r="AH35" s="12">
        <f t="shared" si="2"/>
        <v>88.5</v>
      </c>
      <c r="AI35" s="12">
        <f t="shared" si="3"/>
        <v>65</v>
      </c>
      <c r="AJ35" s="12">
        <f t="shared" si="4"/>
        <v>66.600000000000009</v>
      </c>
      <c r="AK35" s="12">
        <f t="shared" si="5"/>
        <v>73.7</v>
      </c>
      <c r="AL35" s="12">
        <f t="shared" si="6"/>
        <v>68.8</v>
      </c>
    </row>
    <row r="36" spans="1:38" ht="15.75" customHeight="1" x14ac:dyDescent="0.25">
      <c r="A36" s="1" t="s">
        <v>177</v>
      </c>
      <c r="B36" s="7" t="s">
        <v>131</v>
      </c>
      <c r="C36" s="4" t="s">
        <v>88</v>
      </c>
      <c r="D36" s="4">
        <v>41</v>
      </c>
      <c r="E36" s="4">
        <v>1082</v>
      </c>
      <c r="F36" s="4">
        <v>41</v>
      </c>
      <c r="G36" s="4">
        <v>41</v>
      </c>
      <c r="H36" s="4">
        <v>26.4</v>
      </c>
      <c r="I36" s="4">
        <v>5.6</v>
      </c>
      <c r="J36" s="4">
        <v>10.199999999999999</v>
      </c>
      <c r="K36" s="4">
        <v>0.54800000000000004</v>
      </c>
      <c r="L36" s="4">
        <v>0</v>
      </c>
      <c r="M36" s="4">
        <v>0</v>
      </c>
      <c r="N36" s="4">
        <v>0</v>
      </c>
      <c r="O36" s="4">
        <v>5.6</v>
      </c>
      <c r="P36" s="4">
        <v>10.199999999999999</v>
      </c>
      <c r="Q36" s="4">
        <v>0.54800000000000004</v>
      </c>
      <c r="R36" s="4">
        <v>3.4</v>
      </c>
      <c r="S36" s="4">
        <v>4.5999999999999996</v>
      </c>
      <c r="T36" s="4">
        <v>0.749</v>
      </c>
      <c r="U36" s="4">
        <v>2.8</v>
      </c>
      <c r="V36" s="4">
        <v>8.6</v>
      </c>
      <c r="W36" s="4">
        <v>2.4</v>
      </c>
      <c r="X36" s="4">
        <v>0.6</v>
      </c>
      <c r="Y36" s="4">
        <v>1.5</v>
      </c>
      <c r="Z36" s="4">
        <v>1.8</v>
      </c>
      <c r="AA36" s="4">
        <v>3.6</v>
      </c>
      <c r="AB36" s="4">
        <v>14.6</v>
      </c>
      <c r="AC36" s="10">
        <f t="shared" si="0"/>
        <v>1.0410724472333142</v>
      </c>
      <c r="AD36" s="10">
        <f t="shared" si="1"/>
        <v>0.41666666666666663</v>
      </c>
      <c r="AE36" s="12">
        <f>100*(AC36/TOTAL_BASIC!$D$302)</f>
        <v>108.25776436680918</v>
      </c>
      <c r="AF36" s="9"/>
      <c r="AG36" s="9"/>
      <c r="AH36" s="12">
        <f t="shared" si="2"/>
        <v>87.9</v>
      </c>
      <c r="AI36" s="12">
        <f t="shared" si="3"/>
        <v>83</v>
      </c>
      <c r="AJ36" s="12">
        <f t="shared" si="4"/>
        <v>83</v>
      </c>
      <c r="AK36" s="12">
        <f t="shared" si="5"/>
        <v>72.599999999999994</v>
      </c>
      <c r="AL36" s="12">
        <f t="shared" si="6"/>
        <v>33.800000000000004</v>
      </c>
    </row>
    <row r="37" spans="1:38" ht="15.75" customHeight="1" x14ac:dyDescent="0.25">
      <c r="A37" s="1" t="s">
        <v>198</v>
      </c>
      <c r="B37" s="7" t="s">
        <v>137</v>
      </c>
      <c r="C37" s="4" t="s">
        <v>8</v>
      </c>
      <c r="D37" s="4">
        <v>41</v>
      </c>
      <c r="E37" s="4">
        <v>1081</v>
      </c>
      <c r="F37" s="4">
        <v>41</v>
      </c>
      <c r="G37" s="4">
        <v>39</v>
      </c>
      <c r="H37" s="4">
        <v>26.4</v>
      </c>
      <c r="I37" s="4">
        <v>3.2</v>
      </c>
      <c r="J37" s="4">
        <v>8.1</v>
      </c>
      <c r="K37" s="4">
        <v>0.40200000000000002</v>
      </c>
      <c r="L37" s="4">
        <v>1.4</v>
      </c>
      <c r="M37" s="4">
        <v>4.3</v>
      </c>
      <c r="N37" s="4">
        <v>0.32400000000000001</v>
      </c>
      <c r="O37" s="4">
        <v>1.9</v>
      </c>
      <c r="P37" s="4">
        <v>3.8</v>
      </c>
      <c r="Q37" s="4">
        <v>0.49</v>
      </c>
      <c r="R37" s="4">
        <v>1</v>
      </c>
      <c r="S37" s="4">
        <v>1.1000000000000001</v>
      </c>
      <c r="T37" s="4">
        <v>0.872</v>
      </c>
      <c r="U37" s="4">
        <v>0.2</v>
      </c>
      <c r="V37" s="4">
        <v>1.9</v>
      </c>
      <c r="W37" s="4">
        <v>5</v>
      </c>
      <c r="X37" s="4">
        <v>0.9</v>
      </c>
      <c r="Y37" s="4">
        <v>0.1</v>
      </c>
      <c r="Z37" s="4">
        <v>1.9</v>
      </c>
      <c r="AA37" s="4">
        <v>2.7</v>
      </c>
      <c r="AB37" s="4">
        <v>8.9</v>
      </c>
      <c r="AC37" s="10">
        <f t="shared" si="0"/>
        <v>0.84891262876764595</v>
      </c>
      <c r="AD37" s="10">
        <f t="shared" si="1"/>
        <v>3.7037037037037035E-2</v>
      </c>
      <c r="AE37" s="12">
        <f>100*(AC37/TOTAL_BASIC!$D$302)</f>
        <v>88.275684922185249</v>
      </c>
      <c r="AF37" s="9"/>
      <c r="AG37" s="9"/>
      <c r="AH37" s="12">
        <f t="shared" si="2"/>
        <v>10.299999999999999</v>
      </c>
      <c r="AI37" s="12">
        <f t="shared" si="3"/>
        <v>23.400000000000002</v>
      </c>
      <c r="AJ37" s="12">
        <f t="shared" si="4"/>
        <v>59.5</v>
      </c>
      <c r="AK37" s="12">
        <f t="shared" si="5"/>
        <v>72.599999999999994</v>
      </c>
      <c r="AL37" s="12">
        <f t="shared" si="6"/>
        <v>81.399999999999991</v>
      </c>
    </row>
    <row r="38" spans="1:38" ht="15.75" customHeight="1" x14ac:dyDescent="0.25">
      <c r="A38" s="1" t="s">
        <v>185</v>
      </c>
      <c r="B38" s="7" t="s">
        <v>137</v>
      </c>
      <c r="C38" s="4" t="s">
        <v>8</v>
      </c>
      <c r="D38" s="4">
        <v>40</v>
      </c>
      <c r="E38" s="4">
        <v>1076</v>
      </c>
      <c r="F38" s="4">
        <v>40</v>
      </c>
      <c r="G38" s="4">
        <v>40</v>
      </c>
      <c r="H38" s="4">
        <v>26.9</v>
      </c>
      <c r="I38" s="4">
        <v>3</v>
      </c>
      <c r="J38" s="4">
        <v>7.9</v>
      </c>
      <c r="K38" s="4">
        <v>0.38</v>
      </c>
      <c r="L38" s="4">
        <v>1.2</v>
      </c>
      <c r="M38" s="4">
        <v>4.0999999999999996</v>
      </c>
      <c r="N38" s="4">
        <v>0.28000000000000003</v>
      </c>
      <c r="O38" s="4">
        <v>1.9</v>
      </c>
      <c r="P38" s="4">
        <v>3.8</v>
      </c>
      <c r="Q38" s="4">
        <v>0.48699999999999999</v>
      </c>
      <c r="R38" s="4">
        <v>1.4</v>
      </c>
      <c r="S38" s="4">
        <v>1.5</v>
      </c>
      <c r="T38" s="4">
        <v>0.93200000000000005</v>
      </c>
      <c r="U38" s="4">
        <v>0.7</v>
      </c>
      <c r="V38" s="4">
        <v>2.9</v>
      </c>
      <c r="W38" s="4">
        <v>2.9</v>
      </c>
      <c r="X38" s="4">
        <v>1.7</v>
      </c>
      <c r="Y38" s="4">
        <v>0.4</v>
      </c>
      <c r="Z38" s="4">
        <v>1.5</v>
      </c>
      <c r="AA38" s="4">
        <v>3.1</v>
      </c>
      <c r="AB38" s="4">
        <v>8.5</v>
      </c>
      <c r="AC38" s="10">
        <f t="shared" si="0"/>
        <v>0.84493041749502973</v>
      </c>
      <c r="AD38" s="10">
        <f t="shared" si="1"/>
        <v>0.12903225806451613</v>
      </c>
      <c r="AE38" s="12">
        <f>100*(AC38/TOTAL_BASIC!$D$302)</f>
        <v>87.861587622083405</v>
      </c>
      <c r="AF38" s="9"/>
      <c r="AG38" s="9"/>
      <c r="AH38" s="12">
        <f t="shared" si="2"/>
        <v>48.6</v>
      </c>
      <c r="AI38" s="12">
        <f t="shared" si="3"/>
        <v>22.400000000000002</v>
      </c>
      <c r="AJ38" s="12">
        <f t="shared" si="4"/>
        <v>55.7</v>
      </c>
      <c r="AK38" s="12">
        <f t="shared" si="5"/>
        <v>75.400000000000006</v>
      </c>
      <c r="AL38" s="12">
        <f t="shared" si="6"/>
        <v>96.7</v>
      </c>
    </row>
    <row r="39" spans="1:38" ht="15.75" customHeight="1" x14ac:dyDescent="0.25">
      <c r="A39" s="1" t="s">
        <v>219</v>
      </c>
      <c r="B39" s="7" t="s">
        <v>161</v>
      </c>
      <c r="C39" s="4" t="s">
        <v>85</v>
      </c>
      <c r="D39" s="4">
        <v>42</v>
      </c>
      <c r="E39" s="4">
        <v>1058</v>
      </c>
      <c r="F39" s="4">
        <v>42</v>
      </c>
      <c r="G39" s="4">
        <v>34</v>
      </c>
      <c r="H39" s="4">
        <v>25.2</v>
      </c>
      <c r="I39" s="4">
        <v>3.9</v>
      </c>
      <c r="J39" s="4">
        <v>8.1</v>
      </c>
      <c r="K39" s="4">
        <v>0.47799999999999998</v>
      </c>
      <c r="L39" s="4">
        <v>1</v>
      </c>
      <c r="M39" s="4">
        <v>3.1</v>
      </c>
      <c r="N39" s="4">
        <v>0.313</v>
      </c>
      <c r="O39" s="4">
        <v>2.9</v>
      </c>
      <c r="P39" s="4">
        <v>5</v>
      </c>
      <c r="Q39" s="4">
        <v>0.58099999999999996</v>
      </c>
      <c r="R39" s="4">
        <v>2.2000000000000002</v>
      </c>
      <c r="S39" s="4">
        <v>2.7</v>
      </c>
      <c r="T39" s="4">
        <v>0.80900000000000005</v>
      </c>
      <c r="U39" s="4">
        <v>1.1000000000000001</v>
      </c>
      <c r="V39" s="4">
        <v>4.2</v>
      </c>
      <c r="W39" s="4">
        <v>1.7</v>
      </c>
      <c r="X39" s="4">
        <v>1.2</v>
      </c>
      <c r="Y39" s="4">
        <v>0.2</v>
      </c>
      <c r="Z39" s="4">
        <v>2</v>
      </c>
      <c r="AA39" s="4">
        <v>3.3</v>
      </c>
      <c r="AB39" s="4">
        <v>11</v>
      </c>
      <c r="AC39" s="10">
        <f t="shared" si="0"/>
        <v>0.97448618001417431</v>
      </c>
      <c r="AD39" s="10">
        <f t="shared" si="1"/>
        <v>6.0606060606060615E-2</v>
      </c>
      <c r="AE39" s="12">
        <f>100*(AC39/TOTAL_BASIC!$D$302)</f>
        <v>101.33367330491257</v>
      </c>
      <c r="AF39" s="9"/>
      <c r="AG39" s="9"/>
      <c r="AH39" s="12">
        <f t="shared" si="2"/>
        <v>21.3</v>
      </c>
      <c r="AI39" s="12">
        <f t="shared" si="3"/>
        <v>61.7</v>
      </c>
      <c r="AJ39" s="12">
        <f t="shared" si="4"/>
        <v>69.3</v>
      </c>
      <c r="AK39" s="12">
        <f t="shared" si="5"/>
        <v>69.899999999999991</v>
      </c>
      <c r="AL39" s="12">
        <f t="shared" si="6"/>
        <v>51.9</v>
      </c>
    </row>
    <row r="40" spans="1:38" ht="15.75" customHeight="1" x14ac:dyDescent="0.25">
      <c r="A40" s="1" t="s">
        <v>148</v>
      </c>
      <c r="B40" s="7" t="s">
        <v>232</v>
      </c>
      <c r="C40" s="4" t="s">
        <v>85</v>
      </c>
      <c r="D40" s="4">
        <v>43</v>
      </c>
      <c r="E40" s="4">
        <v>1051</v>
      </c>
      <c r="F40" s="4">
        <v>43</v>
      </c>
      <c r="G40" s="4">
        <v>43</v>
      </c>
      <c r="H40" s="4">
        <v>24.4</v>
      </c>
      <c r="I40" s="4">
        <v>3.8</v>
      </c>
      <c r="J40" s="4">
        <v>8.1999999999999993</v>
      </c>
      <c r="K40" s="4">
        <v>0.47</v>
      </c>
      <c r="L40" s="4">
        <v>1.3</v>
      </c>
      <c r="M40" s="4">
        <v>3.4</v>
      </c>
      <c r="N40" s="4">
        <v>0.374</v>
      </c>
      <c r="O40" s="4">
        <v>2.6</v>
      </c>
      <c r="P40" s="4">
        <v>4.7</v>
      </c>
      <c r="Q40" s="4">
        <v>0.53900000000000003</v>
      </c>
      <c r="R40" s="4">
        <v>1.2</v>
      </c>
      <c r="S40" s="4">
        <v>1.7</v>
      </c>
      <c r="T40" s="4">
        <v>0.69399999999999995</v>
      </c>
      <c r="U40" s="4">
        <v>1.3</v>
      </c>
      <c r="V40" s="4">
        <v>5.6</v>
      </c>
      <c r="W40" s="4">
        <v>2.1</v>
      </c>
      <c r="X40" s="4">
        <v>1.4</v>
      </c>
      <c r="Y40" s="4">
        <v>1.4</v>
      </c>
      <c r="Z40" s="4">
        <v>1.9</v>
      </c>
      <c r="AA40" s="4">
        <v>3</v>
      </c>
      <c r="AB40" s="4">
        <v>10.1</v>
      </c>
      <c r="AC40" s="10">
        <f t="shared" si="0"/>
        <v>0.93104719764011801</v>
      </c>
      <c r="AD40" s="10">
        <f t="shared" si="1"/>
        <v>0.46666666666666662</v>
      </c>
      <c r="AE40" s="12">
        <f>100*(AC40/TOTAL_BASIC!$D$302)</f>
        <v>96.81659370043171</v>
      </c>
      <c r="AF40" s="9"/>
      <c r="AG40" s="9"/>
      <c r="AH40" s="12">
        <f t="shared" si="2"/>
        <v>89.600000000000009</v>
      </c>
      <c r="AI40" s="12">
        <f t="shared" si="3"/>
        <v>51.300000000000004</v>
      </c>
      <c r="AJ40" s="12">
        <f t="shared" si="4"/>
        <v>65.5</v>
      </c>
      <c r="AK40" s="12">
        <f t="shared" si="5"/>
        <v>66.600000000000009</v>
      </c>
      <c r="AL40" s="12">
        <f t="shared" si="6"/>
        <v>20.7</v>
      </c>
    </row>
    <row r="41" spans="1:38" ht="15.75" customHeight="1" x14ac:dyDescent="0.25">
      <c r="A41" s="1" t="s">
        <v>125</v>
      </c>
      <c r="B41" s="7" t="s">
        <v>117</v>
      </c>
      <c r="C41" s="4" t="s">
        <v>8</v>
      </c>
      <c r="D41" s="4">
        <v>40</v>
      </c>
      <c r="E41" s="4">
        <v>1043</v>
      </c>
      <c r="F41" s="4">
        <v>40</v>
      </c>
      <c r="G41" s="4">
        <v>3</v>
      </c>
      <c r="H41" s="4">
        <v>26.1</v>
      </c>
      <c r="I41" s="4">
        <v>2.5</v>
      </c>
      <c r="J41" s="4">
        <v>7.1</v>
      </c>
      <c r="K41" s="4">
        <v>0.35099999999999998</v>
      </c>
      <c r="L41" s="4">
        <v>1.6</v>
      </c>
      <c r="M41" s="4">
        <v>5.0999999999999996</v>
      </c>
      <c r="N41" s="4">
        <v>0.32200000000000001</v>
      </c>
      <c r="O41" s="4">
        <v>0.9</v>
      </c>
      <c r="P41" s="4">
        <v>2</v>
      </c>
      <c r="Q41" s="4">
        <v>0.42499999999999999</v>
      </c>
      <c r="R41" s="4">
        <v>1</v>
      </c>
      <c r="S41" s="4">
        <v>1.3</v>
      </c>
      <c r="T41" s="4">
        <v>0.80400000000000005</v>
      </c>
      <c r="U41" s="4">
        <v>0.5</v>
      </c>
      <c r="V41" s="4">
        <v>2.2999999999999998</v>
      </c>
      <c r="W41" s="4">
        <v>1.4</v>
      </c>
      <c r="X41" s="4">
        <v>1.1000000000000001</v>
      </c>
      <c r="Y41" s="4">
        <v>0.1</v>
      </c>
      <c r="Z41" s="4">
        <v>0.9</v>
      </c>
      <c r="AA41" s="4">
        <v>2.2000000000000002</v>
      </c>
      <c r="AB41" s="4">
        <v>7.6</v>
      </c>
      <c r="AC41" s="10">
        <f t="shared" si="0"/>
        <v>0.88660755949603365</v>
      </c>
      <c r="AD41" s="10">
        <f t="shared" si="1"/>
        <v>4.5454545454545456E-2</v>
      </c>
      <c r="AE41" s="12">
        <f>100*(AC41/TOTAL_BASIC!$D$302)</f>
        <v>92.195459131426659</v>
      </c>
      <c r="AF41" s="9"/>
      <c r="AG41" s="9"/>
      <c r="AH41" s="12">
        <f t="shared" si="2"/>
        <v>14.7</v>
      </c>
      <c r="AI41" s="12">
        <f t="shared" si="3"/>
        <v>36</v>
      </c>
      <c r="AJ41" s="12">
        <f t="shared" si="4"/>
        <v>52.400000000000006</v>
      </c>
      <c r="AK41" s="12">
        <f t="shared" si="5"/>
        <v>71.5</v>
      </c>
      <c r="AL41" s="12">
        <f t="shared" si="6"/>
        <v>50.2</v>
      </c>
    </row>
    <row r="42" spans="1:38" ht="15.75" customHeight="1" x14ac:dyDescent="0.25">
      <c r="A42" s="1" t="s">
        <v>182</v>
      </c>
      <c r="B42" s="7" t="s">
        <v>157</v>
      </c>
      <c r="C42" s="4" t="s">
        <v>183</v>
      </c>
      <c r="D42" s="4">
        <v>38</v>
      </c>
      <c r="E42" s="4">
        <v>1040</v>
      </c>
      <c r="F42" s="4">
        <v>38</v>
      </c>
      <c r="G42" s="4">
        <v>38</v>
      </c>
      <c r="H42" s="4">
        <v>27.4</v>
      </c>
      <c r="I42" s="4">
        <v>6.3</v>
      </c>
      <c r="J42" s="4">
        <v>11.9</v>
      </c>
      <c r="K42" s="4">
        <v>0.52400000000000002</v>
      </c>
      <c r="L42" s="4">
        <v>1.1000000000000001</v>
      </c>
      <c r="M42" s="4">
        <v>2.7</v>
      </c>
      <c r="N42" s="4">
        <v>0.41199999999999998</v>
      </c>
      <c r="O42" s="4">
        <v>5.2</v>
      </c>
      <c r="P42" s="4">
        <v>9.3000000000000007</v>
      </c>
      <c r="Q42" s="4">
        <v>0.55700000000000005</v>
      </c>
      <c r="R42" s="4">
        <v>2.8</v>
      </c>
      <c r="S42" s="4">
        <v>3.4</v>
      </c>
      <c r="T42" s="4">
        <v>0.82199999999999995</v>
      </c>
      <c r="U42" s="4">
        <v>1.8</v>
      </c>
      <c r="V42" s="4">
        <v>8.1</v>
      </c>
      <c r="W42" s="4">
        <v>3.1</v>
      </c>
      <c r="X42" s="4">
        <v>1.5</v>
      </c>
      <c r="Y42" s="4">
        <v>1.3</v>
      </c>
      <c r="Z42" s="4">
        <v>2.2999999999999998</v>
      </c>
      <c r="AA42" s="4">
        <v>3.2</v>
      </c>
      <c r="AB42" s="4">
        <v>16.399999999999999</v>
      </c>
      <c r="AC42" s="10">
        <f t="shared" si="0"/>
        <v>1.0448521916411824</v>
      </c>
      <c r="AD42" s="10">
        <f t="shared" si="1"/>
        <v>0.40625</v>
      </c>
      <c r="AE42" s="12">
        <f>100*(AC42/TOTAL_BASIC!$D$302)</f>
        <v>108.65080779098315</v>
      </c>
      <c r="AF42" s="9"/>
      <c r="AG42" s="9"/>
      <c r="AH42" s="12">
        <f t="shared" si="2"/>
        <v>87.4</v>
      </c>
      <c r="AI42" s="12">
        <f t="shared" si="3"/>
        <v>84.1</v>
      </c>
      <c r="AJ42" s="12">
        <f t="shared" si="4"/>
        <v>88.5</v>
      </c>
      <c r="AK42" s="12">
        <f t="shared" si="5"/>
        <v>75.900000000000006</v>
      </c>
      <c r="AL42" s="12">
        <f t="shared" si="6"/>
        <v>58.4</v>
      </c>
    </row>
    <row r="43" spans="1:38" ht="15.75" customHeight="1" x14ac:dyDescent="0.25">
      <c r="A43" s="1" t="s">
        <v>105</v>
      </c>
      <c r="B43" s="7" t="s">
        <v>91</v>
      </c>
      <c r="C43" s="4" t="s">
        <v>85</v>
      </c>
      <c r="D43" s="4">
        <v>42</v>
      </c>
      <c r="E43" s="4">
        <v>1018</v>
      </c>
      <c r="F43" s="4">
        <v>42</v>
      </c>
      <c r="G43" s="4">
        <v>42</v>
      </c>
      <c r="H43" s="4">
        <v>24.2</v>
      </c>
      <c r="I43" s="4">
        <v>2.5</v>
      </c>
      <c r="J43" s="4">
        <v>6.9</v>
      </c>
      <c r="K43" s="4">
        <v>0.36099999999999999</v>
      </c>
      <c r="L43" s="4">
        <v>1.5</v>
      </c>
      <c r="M43" s="4">
        <v>4.4000000000000004</v>
      </c>
      <c r="N43" s="4">
        <v>0.35</v>
      </c>
      <c r="O43" s="4">
        <v>1</v>
      </c>
      <c r="P43" s="4">
        <v>2.6</v>
      </c>
      <c r="Q43" s="4">
        <v>0.38</v>
      </c>
      <c r="R43" s="4">
        <v>1.2</v>
      </c>
      <c r="S43" s="4">
        <v>1.4</v>
      </c>
      <c r="T43" s="4">
        <v>0.91200000000000003</v>
      </c>
      <c r="U43" s="4">
        <v>1.3</v>
      </c>
      <c r="V43" s="4">
        <v>4.5</v>
      </c>
      <c r="W43" s="4">
        <v>0.7</v>
      </c>
      <c r="X43" s="4">
        <v>0.7</v>
      </c>
      <c r="Y43" s="4">
        <v>0.2</v>
      </c>
      <c r="Z43" s="4">
        <v>0.6</v>
      </c>
      <c r="AA43" s="4">
        <v>2</v>
      </c>
      <c r="AB43" s="4">
        <v>7.8</v>
      </c>
      <c r="AC43" s="10">
        <f t="shared" si="0"/>
        <v>0.96106456382454408</v>
      </c>
      <c r="AD43" s="10">
        <f t="shared" si="1"/>
        <v>0.1</v>
      </c>
      <c r="AE43" s="12">
        <f>100*(AC43/TOTAL_BASIC!$D$302)</f>
        <v>99.938002747363825</v>
      </c>
      <c r="AF43" s="9"/>
      <c r="AG43" s="9"/>
      <c r="AH43" s="12">
        <f t="shared" si="2"/>
        <v>33.300000000000004</v>
      </c>
      <c r="AI43" s="12">
        <f t="shared" si="3"/>
        <v>56.8</v>
      </c>
      <c r="AJ43" s="12">
        <f t="shared" si="4"/>
        <v>53</v>
      </c>
      <c r="AK43" s="12">
        <f t="shared" si="5"/>
        <v>65.5</v>
      </c>
      <c r="AL43" s="12">
        <f t="shared" si="6"/>
        <v>93.4</v>
      </c>
    </row>
    <row r="44" spans="1:38" ht="15.75" customHeight="1" x14ac:dyDescent="0.25">
      <c r="A44" s="1" t="s">
        <v>89</v>
      </c>
      <c r="B44" s="7" t="s">
        <v>84</v>
      </c>
      <c r="C44" s="4" t="s">
        <v>8</v>
      </c>
      <c r="D44" s="4">
        <v>43</v>
      </c>
      <c r="E44" s="4">
        <v>1011</v>
      </c>
      <c r="F44" s="4">
        <v>43</v>
      </c>
      <c r="G44" s="4">
        <v>38</v>
      </c>
      <c r="H44" s="4">
        <v>23.5</v>
      </c>
      <c r="I44" s="4">
        <v>3.5</v>
      </c>
      <c r="J44" s="4">
        <v>6.3</v>
      </c>
      <c r="K44" s="4">
        <v>0.55300000000000005</v>
      </c>
      <c r="L44" s="4">
        <v>0.4</v>
      </c>
      <c r="M44" s="4">
        <v>1.3</v>
      </c>
      <c r="N44" s="4">
        <v>0.34499999999999997</v>
      </c>
      <c r="O44" s="4">
        <v>3.1</v>
      </c>
      <c r="P44" s="4">
        <v>5.0999999999999996</v>
      </c>
      <c r="Q44" s="4">
        <v>0.60599999999999998</v>
      </c>
      <c r="R44" s="4">
        <v>2</v>
      </c>
      <c r="S44" s="4">
        <v>2.2000000000000002</v>
      </c>
      <c r="T44" s="4">
        <v>0.875</v>
      </c>
      <c r="U44" s="4">
        <v>0.7</v>
      </c>
      <c r="V44" s="4">
        <v>2.7</v>
      </c>
      <c r="W44" s="4">
        <v>3.4</v>
      </c>
      <c r="X44" s="4">
        <v>0.8</v>
      </c>
      <c r="Y44" s="4">
        <v>0.1</v>
      </c>
      <c r="Z44" s="4">
        <v>1.7</v>
      </c>
      <c r="AA44" s="4">
        <v>3.1</v>
      </c>
      <c r="AB44" s="4">
        <v>9.4</v>
      </c>
      <c r="AC44" s="10">
        <f t="shared" si="0"/>
        <v>1.0481712756467441</v>
      </c>
      <c r="AD44" s="10">
        <f t="shared" si="1"/>
        <v>3.2258064516129031E-2</v>
      </c>
      <c r="AE44" s="12">
        <f>100*(AC44/TOTAL_BASIC!$D$302)</f>
        <v>108.99594862641936</v>
      </c>
      <c r="AF44" s="9"/>
      <c r="AG44" s="9"/>
      <c r="AH44" s="12">
        <f t="shared" si="2"/>
        <v>9.8000000000000007</v>
      </c>
      <c r="AI44" s="12">
        <f t="shared" si="3"/>
        <v>85.2</v>
      </c>
      <c r="AJ44" s="12">
        <f t="shared" si="4"/>
        <v>63.3</v>
      </c>
      <c r="AK44" s="12">
        <f t="shared" si="5"/>
        <v>62.2</v>
      </c>
      <c r="AL44" s="12">
        <f t="shared" si="6"/>
        <v>82.5</v>
      </c>
    </row>
    <row r="45" spans="1:38" ht="15.75" customHeight="1" x14ac:dyDescent="0.25">
      <c r="A45" s="1" t="s">
        <v>145</v>
      </c>
      <c r="B45" s="7" t="s">
        <v>114</v>
      </c>
      <c r="C45" s="4" t="s">
        <v>8</v>
      </c>
      <c r="D45" s="4">
        <v>41</v>
      </c>
      <c r="E45" s="4">
        <v>1010</v>
      </c>
      <c r="F45" s="4">
        <v>41</v>
      </c>
      <c r="G45" s="4">
        <v>32</v>
      </c>
      <c r="H45" s="4">
        <v>24.6</v>
      </c>
      <c r="I45" s="4">
        <v>3</v>
      </c>
      <c r="J45" s="4">
        <v>6.9</v>
      </c>
      <c r="K45" s="4">
        <v>0.437</v>
      </c>
      <c r="L45" s="4">
        <v>0.8</v>
      </c>
      <c r="M45" s="4">
        <v>2.5</v>
      </c>
      <c r="N45" s="4">
        <v>0.30099999999999999</v>
      </c>
      <c r="O45" s="4">
        <v>2.2999999999999998</v>
      </c>
      <c r="P45" s="4">
        <v>4.4000000000000004</v>
      </c>
      <c r="Q45" s="4">
        <v>0.51400000000000001</v>
      </c>
      <c r="R45" s="4">
        <v>2.4</v>
      </c>
      <c r="S45" s="4">
        <v>3</v>
      </c>
      <c r="T45" s="4">
        <v>0.77600000000000002</v>
      </c>
      <c r="U45" s="4">
        <v>0.4</v>
      </c>
      <c r="V45" s="4">
        <v>2.2000000000000002</v>
      </c>
      <c r="W45" s="4">
        <v>3.8</v>
      </c>
      <c r="X45" s="4">
        <v>0.9</v>
      </c>
      <c r="Y45" s="4">
        <v>0.2</v>
      </c>
      <c r="Z45" s="4">
        <v>1.8</v>
      </c>
      <c r="AA45" s="4">
        <v>2.9</v>
      </c>
      <c r="AB45" s="4">
        <v>9.1999999999999993</v>
      </c>
      <c r="AC45" s="10">
        <f t="shared" si="0"/>
        <v>0.91816367265469045</v>
      </c>
      <c r="AD45" s="10">
        <f t="shared" si="1"/>
        <v>6.8965517241379309E-2</v>
      </c>
      <c r="AE45" s="12">
        <f>100*(AC45/TOTAL_BASIC!$D$302)</f>
        <v>95.476877510849619</v>
      </c>
      <c r="AF45" s="9"/>
      <c r="AG45" s="9"/>
      <c r="AH45" s="12">
        <f t="shared" si="2"/>
        <v>24.5</v>
      </c>
      <c r="AI45" s="12">
        <f t="shared" si="3"/>
        <v>46.9</v>
      </c>
      <c r="AJ45" s="12">
        <f t="shared" si="4"/>
        <v>61.7</v>
      </c>
      <c r="AK45" s="12">
        <f t="shared" si="5"/>
        <v>67.7</v>
      </c>
      <c r="AL45" s="12">
        <f t="shared" si="6"/>
        <v>40.9</v>
      </c>
    </row>
    <row r="46" spans="1:38" ht="15.75" customHeight="1" x14ac:dyDescent="0.25">
      <c r="A46" s="1" t="s">
        <v>170</v>
      </c>
      <c r="B46" s="7" t="s">
        <v>107</v>
      </c>
      <c r="C46" s="4" t="s">
        <v>8</v>
      </c>
      <c r="D46" s="4">
        <v>42</v>
      </c>
      <c r="E46" s="4">
        <v>997</v>
      </c>
      <c r="F46" s="4">
        <v>42</v>
      </c>
      <c r="G46" s="4">
        <v>30</v>
      </c>
      <c r="H46" s="4">
        <v>23.7</v>
      </c>
      <c r="I46" s="4">
        <v>2.5</v>
      </c>
      <c r="J46" s="4">
        <v>6.8</v>
      </c>
      <c r="K46" s="4">
        <v>0.374</v>
      </c>
      <c r="L46" s="4">
        <v>1</v>
      </c>
      <c r="M46" s="4">
        <v>3</v>
      </c>
      <c r="N46" s="4">
        <v>0.33600000000000002</v>
      </c>
      <c r="O46" s="4">
        <v>1.5</v>
      </c>
      <c r="P46" s="4">
        <v>3.8</v>
      </c>
      <c r="Q46" s="4">
        <v>0.40400000000000003</v>
      </c>
      <c r="R46" s="4">
        <v>1.1000000000000001</v>
      </c>
      <c r="S46" s="4">
        <v>1.4</v>
      </c>
      <c r="T46" s="4">
        <v>0.78300000000000003</v>
      </c>
      <c r="U46" s="4">
        <v>0.3</v>
      </c>
      <c r="V46" s="4">
        <v>2.4</v>
      </c>
      <c r="W46" s="4">
        <v>3.7</v>
      </c>
      <c r="X46" s="4">
        <v>0.8</v>
      </c>
      <c r="Y46" s="4">
        <v>0.3</v>
      </c>
      <c r="Z46" s="4">
        <v>1.8</v>
      </c>
      <c r="AA46" s="4">
        <v>2.2999999999999998</v>
      </c>
      <c r="AB46" s="4">
        <v>7.2</v>
      </c>
      <c r="AC46" s="10">
        <f t="shared" si="0"/>
        <v>0.78125000000000011</v>
      </c>
      <c r="AD46" s="10">
        <f t="shared" si="1"/>
        <v>0.13043478260869565</v>
      </c>
      <c r="AE46" s="12">
        <f>100*(AC46/TOTAL_BASIC!$D$302)</f>
        <v>81.239666496154342</v>
      </c>
      <c r="AF46" s="9"/>
      <c r="AG46" s="9"/>
      <c r="AH46" s="12">
        <f t="shared" si="2"/>
        <v>49.1</v>
      </c>
      <c r="AI46" s="12">
        <f t="shared" si="3"/>
        <v>8.1</v>
      </c>
      <c r="AJ46" s="12">
        <f t="shared" si="4"/>
        <v>51.300000000000004</v>
      </c>
      <c r="AK46" s="12">
        <f t="shared" si="5"/>
        <v>63.3</v>
      </c>
      <c r="AL46" s="12">
        <f t="shared" si="6"/>
        <v>44.2</v>
      </c>
    </row>
    <row r="47" spans="1:38" ht="15.75" customHeight="1" x14ac:dyDescent="0.25">
      <c r="A47" s="1" t="s">
        <v>245</v>
      </c>
      <c r="B47" s="7" t="s">
        <v>114</v>
      </c>
      <c r="C47" s="4" t="s">
        <v>88</v>
      </c>
      <c r="D47" s="4">
        <v>36</v>
      </c>
      <c r="E47" s="4">
        <v>989</v>
      </c>
      <c r="F47" s="4">
        <v>36</v>
      </c>
      <c r="G47" s="4">
        <v>25</v>
      </c>
      <c r="H47" s="4">
        <v>27.5</v>
      </c>
      <c r="I47" s="4">
        <v>3.8</v>
      </c>
      <c r="J47" s="4">
        <v>8.8000000000000007</v>
      </c>
      <c r="K47" s="4">
        <v>0.437</v>
      </c>
      <c r="L47" s="4">
        <v>1.4</v>
      </c>
      <c r="M47" s="4">
        <v>4.2</v>
      </c>
      <c r="N47" s="4">
        <v>0.34200000000000003</v>
      </c>
      <c r="O47" s="4">
        <v>2.4</v>
      </c>
      <c r="P47" s="4">
        <v>4.5999999999999996</v>
      </c>
      <c r="Q47" s="4">
        <v>0.52400000000000002</v>
      </c>
      <c r="R47" s="4">
        <v>0.8</v>
      </c>
      <c r="S47" s="4">
        <v>1.1000000000000001</v>
      </c>
      <c r="T47" s="4">
        <v>0.78900000000000003</v>
      </c>
      <c r="U47" s="4">
        <v>1.9</v>
      </c>
      <c r="V47" s="4">
        <v>5.9</v>
      </c>
      <c r="W47" s="4">
        <v>1.8</v>
      </c>
      <c r="X47" s="4">
        <v>0.8</v>
      </c>
      <c r="Y47" s="4">
        <v>0.8</v>
      </c>
      <c r="Z47" s="4">
        <v>1.7</v>
      </c>
      <c r="AA47" s="4">
        <v>2.7</v>
      </c>
      <c r="AB47" s="4">
        <v>9.9</v>
      </c>
      <c r="AC47" s="10">
        <f t="shared" si="0"/>
        <v>0.90131099781500368</v>
      </c>
      <c r="AD47" s="10">
        <f t="shared" si="1"/>
        <v>0.29629629629629628</v>
      </c>
      <c r="AE47" s="12">
        <f>100*(AC47/TOTAL_BASIC!$D$302)</f>
        <v>93.72442223591294</v>
      </c>
      <c r="AF47" s="9"/>
      <c r="AG47" s="9"/>
      <c r="AH47" s="12">
        <f t="shared" si="2"/>
        <v>80.300000000000011</v>
      </c>
      <c r="AI47" s="12">
        <f t="shared" si="3"/>
        <v>43.1</v>
      </c>
      <c r="AJ47" s="12">
        <f t="shared" si="4"/>
        <v>65</v>
      </c>
      <c r="AK47" s="12">
        <f t="shared" si="5"/>
        <v>76.5</v>
      </c>
      <c r="AL47" s="12">
        <f t="shared" si="6"/>
        <v>47.5</v>
      </c>
    </row>
    <row r="48" spans="1:38" ht="15.75" customHeight="1" x14ac:dyDescent="0.25">
      <c r="A48" s="1" t="s">
        <v>175</v>
      </c>
      <c r="B48" s="7" t="s">
        <v>232</v>
      </c>
      <c r="C48" s="4" t="s">
        <v>8</v>
      </c>
      <c r="D48" s="4">
        <v>38</v>
      </c>
      <c r="E48" s="4">
        <v>986</v>
      </c>
      <c r="F48" s="4">
        <v>38</v>
      </c>
      <c r="G48" s="4">
        <v>37</v>
      </c>
      <c r="H48" s="4">
        <v>25.9</v>
      </c>
      <c r="I48" s="4">
        <v>4.8</v>
      </c>
      <c r="J48" s="4">
        <v>10.4</v>
      </c>
      <c r="K48" s="4">
        <v>0.46300000000000002</v>
      </c>
      <c r="L48" s="4">
        <v>0.9</v>
      </c>
      <c r="M48" s="4">
        <v>2.4</v>
      </c>
      <c r="N48" s="4">
        <v>0.4</v>
      </c>
      <c r="O48" s="4">
        <v>3.9</v>
      </c>
      <c r="P48" s="4">
        <v>8</v>
      </c>
      <c r="Q48" s="4">
        <v>0.48199999999999998</v>
      </c>
      <c r="R48" s="4">
        <v>5.4</v>
      </c>
      <c r="S48" s="4">
        <v>6.3</v>
      </c>
      <c r="T48" s="4">
        <v>0.85799999999999998</v>
      </c>
      <c r="U48" s="4">
        <v>0.6</v>
      </c>
      <c r="V48" s="4">
        <v>2.1</v>
      </c>
      <c r="W48" s="4">
        <v>6.3</v>
      </c>
      <c r="X48" s="4">
        <v>0.7</v>
      </c>
      <c r="Y48" s="4">
        <v>0.1</v>
      </c>
      <c r="Z48" s="4">
        <v>3.3</v>
      </c>
      <c r="AA48" s="4">
        <v>2.6</v>
      </c>
      <c r="AB48" s="4">
        <v>16</v>
      </c>
      <c r="AC48" s="10">
        <f t="shared" si="0"/>
        <v>0.97134531325886342</v>
      </c>
      <c r="AD48" s="10">
        <f t="shared" si="1"/>
        <v>3.8461538461538464E-2</v>
      </c>
      <c r="AE48" s="12">
        <f>100*(AC48/TOTAL_BASIC!$D$302)</f>
        <v>101.00706470624334</v>
      </c>
      <c r="AF48" s="9"/>
      <c r="AG48" s="9"/>
      <c r="AH48" s="12">
        <f t="shared" si="2"/>
        <v>11.4</v>
      </c>
      <c r="AI48" s="12">
        <f t="shared" si="3"/>
        <v>59.5</v>
      </c>
      <c r="AJ48" s="12">
        <f t="shared" si="4"/>
        <v>87.9</v>
      </c>
      <c r="AK48" s="12">
        <f t="shared" si="5"/>
        <v>71</v>
      </c>
      <c r="AL48" s="12">
        <f t="shared" si="6"/>
        <v>75.400000000000006</v>
      </c>
    </row>
    <row r="49" spans="1:38" ht="15.75" customHeight="1" x14ac:dyDescent="0.25">
      <c r="A49" s="1" t="s">
        <v>188</v>
      </c>
      <c r="B49" s="7" t="s">
        <v>93</v>
      </c>
      <c r="C49" s="4" t="s">
        <v>112</v>
      </c>
      <c r="D49" s="4">
        <v>42</v>
      </c>
      <c r="E49" s="4">
        <v>984</v>
      </c>
      <c r="F49" s="4">
        <v>42</v>
      </c>
      <c r="G49" s="4">
        <v>32</v>
      </c>
      <c r="H49" s="4">
        <v>23.4</v>
      </c>
      <c r="I49" s="4">
        <v>2.5</v>
      </c>
      <c r="J49" s="4">
        <v>5.5</v>
      </c>
      <c r="K49" s="4">
        <v>0.44800000000000001</v>
      </c>
      <c r="L49" s="4">
        <v>1</v>
      </c>
      <c r="M49" s="4">
        <v>2.7</v>
      </c>
      <c r="N49" s="4">
        <v>0.374</v>
      </c>
      <c r="O49" s="4">
        <v>1.5</v>
      </c>
      <c r="P49" s="4">
        <v>2.8</v>
      </c>
      <c r="Q49" s="4">
        <v>0.52100000000000002</v>
      </c>
      <c r="R49" s="4">
        <v>0.3</v>
      </c>
      <c r="S49" s="4">
        <v>0.4</v>
      </c>
      <c r="T49" s="4">
        <v>0.72199999999999998</v>
      </c>
      <c r="U49" s="4">
        <v>0.4</v>
      </c>
      <c r="V49" s="4">
        <v>2</v>
      </c>
      <c r="W49" s="4">
        <v>1.8</v>
      </c>
      <c r="X49" s="4">
        <v>1</v>
      </c>
      <c r="Y49" s="4">
        <v>0.2</v>
      </c>
      <c r="Z49" s="4">
        <v>1</v>
      </c>
      <c r="AA49" s="4">
        <v>1.5</v>
      </c>
      <c r="AB49" s="4">
        <v>6.3</v>
      </c>
      <c r="AC49" s="10">
        <f t="shared" si="0"/>
        <v>0.94367884961054516</v>
      </c>
      <c r="AD49" s="10">
        <f t="shared" si="1"/>
        <v>0.13333333333333333</v>
      </c>
      <c r="AE49" s="12">
        <f>100*(AC49/TOTAL_BASIC!$D$302)</f>
        <v>98.130118427949142</v>
      </c>
      <c r="AF49" s="9"/>
      <c r="AG49" s="9"/>
      <c r="AH49" s="12">
        <f t="shared" si="2"/>
        <v>50.2</v>
      </c>
      <c r="AI49" s="12">
        <f t="shared" si="3"/>
        <v>53.5</v>
      </c>
      <c r="AJ49" s="12">
        <f t="shared" si="4"/>
        <v>43.7</v>
      </c>
      <c r="AK49" s="12">
        <f t="shared" si="5"/>
        <v>61.7</v>
      </c>
      <c r="AL49" s="12">
        <f t="shared" si="6"/>
        <v>28.4</v>
      </c>
    </row>
    <row r="50" spans="1:38" ht="15.75" customHeight="1" x14ac:dyDescent="0.25">
      <c r="A50" s="1" t="s">
        <v>194</v>
      </c>
      <c r="B50" s="7" t="s">
        <v>140</v>
      </c>
      <c r="C50" s="4" t="s">
        <v>8</v>
      </c>
      <c r="D50" s="4">
        <v>42</v>
      </c>
      <c r="E50" s="4">
        <v>965</v>
      </c>
      <c r="F50" s="4">
        <v>42</v>
      </c>
      <c r="G50" s="4">
        <v>42</v>
      </c>
      <c r="H50" s="4">
        <v>23</v>
      </c>
      <c r="I50" s="4">
        <v>2.2000000000000002</v>
      </c>
      <c r="J50" s="4">
        <v>6.1</v>
      </c>
      <c r="K50" s="4">
        <v>0.36899999999999999</v>
      </c>
      <c r="L50" s="4">
        <v>1.5</v>
      </c>
      <c r="M50" s="4">
        <v>4.4000000000000004</v>
      </c>
      <c r="N50" s="4">
        <v>0.34399999999999997</v>
      </c>
      <c r="O50" s="4">
        <v>0.7</v>
      </c>
      <c r="P50" s="4">
        <v>1.7</v>
      </c>
      <c r="Q50" s="4">
        <v>0.43099999999999999</v>
      </c>
      <c r="R50" s="4">
        <v>0.8</v>
      </c>
      <c r="S50" s="4">
        <v>1</v>
      </c>
      <c r="T50" s="4">
        <v>0.85399999999999998</v>
      </c>
      <c r="U50" s="4">
        <v>0.3</v>
      </c>
      <c r="V50" s="4">
        <v>1.4</v>
      </c>
      <c r="W50" s="4">
        <v>3.5</v>
      </c>
      <c r="X50" s="4">
        <v>0.3</v>
      </c>
      <c r="Y50" s="4">
        <v>0.1</v>
      </c>
      <c r="Z50" s="4">
        <v>2</v>
      </c>
      <c r="AA50" s="4">
        <v>2.5</v>
      </c>
      <c r="AB50" s="4">
        <v>6.8</v>
      </c>
      <c r="AC50" s="10">
        <f t="shared" si="0"/>
        <v>0.79625292740046849</v>
      </c>
      <c r="AD50" s="10">
        <f t="shared" si="1"/>
        <v>0.04</v>
      </c>
      <c r="AE50" s="12">
        <f>100*(AC50/TOTAL_BASIC!$D$302)</f>
        <v>82.799772503808839</v>
      </c>
      <c r="AF50" s="9"/>
      <c r="AG50" s="9"/>
      <c r="AH50" s="12">
        <f t="shared" si="2"/>
        <v>12</v>
      </c>
      <c r="AI50" s="12">
        <f t="shared" si="3"/>
        <v>12</v>
      </c>
      <c r="AJ50" s="12">
        <f t="shared" si="4"/>
        <v>48.6</v>
      </c>
      <c r="AK50" s="12">
        <f t="shared" si="5"/>
        <v>61.199999999999996</v>
      </c>
      <c r="AL50" s="12">
        <f t="shared" si="6"/>
        <v>72.099999999999994</v>
      </c>
    </row>
    <row r="51" spans="1:38" ht="15.75" customHeight="1" x14ac:dyDescent="0.25">
      <c r="A51" s="1" t="s">
        <v>278</v>
      </c>
      <c r="B51" s="7" t="s">
        <v>232</v>
      </c>
      <c r="C51" s="4" t="s">
        <v>88</v>
      </c>
      <c r="D51" s="4">
        <v>40</v>
      </c>
      <c r="E51" s="4">
        <v>961</v>
      </c>
      <c r="F51" s="4">
        <v>40</v>
      </c>
      <c r="G51" s="4">
        <v>31</v>
      </c>
      <c r="H51" s="4">
        <v>24</v>
      </c>
      <c r="I51" s="4">
        <v>5.0999999999999996</v>
      </c>
      <c r="J51" s="4">
        <v>9.3000000000000007</v>
      </c>
      <c r="K51" s="4">
        <v>0.54900000000000004</v>
      </c>
      <c r="L51" s="4">
        <v>1.3</v>
      </c>
      <c r="M51" s="4">
        <v>3.7</v>
      </c>
      <c r="N51" s="4">
        <v>0.35599999999999998</v>
      </c>
      <c r="O51" s="4">
        <v>3.8</v>
      </c>
      <c r="P51" s="4">
        <v>5.6</v>
      </c>
      <c r="Q51" s="4">
        <v>0.67400000000000004</v>
      </c>
      <c r="R51" s="4">
        <v>1.6</v>
      </c>
      <c r="S51" s="4">
        <v>2</v>
      </c>
      <c r="T51" s="4">
        <v>0.81</v>
      </c>
      <c r="U51" s="4">
        <v>1.4</v>
      </c>
      <c r="V51" s="4">
        <v>4.2</v>
      </c>
      <c r="W51" s="4">
        <v>0.9</v>
      </c>
      <c r="X51" s="4">
        <v>0.4</v>
      </c>
      <c r="Y51" s="4">
        <v>0.6</v>
      </c>
      <c r="Z51" s="4">
        <v>0.8</v>
      </c>
      <c r="AA51" s="4">
        <v>2.6</v>
      </c>
      <c r="AB51" s="4">
        <v>13.1</v>
      </c>
      <c r="AC51" s="10">
        <f t="shared" si="0"/>
        <v>1.1930783242258649</v>
      </c>
      <c r="AD51" s="10">
        <f t="shared" si="1"/>
        <v>0.23076923076923075</v>
      </c>
      <c r="AE51" s="12">
        <f>100*(AC51/TOTAL_BASIC!$D$302)</f>
        <v>124.06436500979194</v>
      </c>
      <c r="AF51" s="9"/>
      <c r="AG51" s="9"/>
      <c r="AH51" s="12">
        <f t="shared" si="2"/>
        <v>73.7</v>
      </c>
      <c r="AI51" s="12">
        <f t="shared" si="3"/>
        <v>99.4</v>
      </c>
      <c r="AJ51" s="12">
        <f t="shared" si="4"/>
        <v>77</v>
      </c>
      <c r="AK51" s="12">
        <f t="shared" si="5"/>
        <v>65</v>
      </c>
      <c r="AL51" s="12">
        <f t="shared" si="6"/>
        <v>53</v>
      </c>
    </row>
    <row r="52" spans="1:38" ht="15.75" customHeight="1" x14ac:dyDescent="0.25">
      <c r="A52" s="1" t="s">
        <v>200</v>
      </c>
      <c r="B52" s="7" t="s">
        <v>99</v>
      </c>
      <c r="C52" s="4" t="s">
        <v>8</v>
      </c>
      <c r="D52" s="4">
        <v>30</v>
      </c>
      <c r="E52" s="4">
        <v>950</v>
      </c>
      <c r="F52" s="4">
        <v>30</v>
      </c>
      <c r="G52" s="4">
        <v>24</v>
      </c>
      <c r="H52" s="4">
        <v>31.7</v>
      </c>
      <c r="I52" s="4">
        <v>5.2</v>
      </c>
      <c r="J52" s="4">
        <v>11.4</v>
      </c>
      <c r="K52" s="4">
        <v>0.45600000000000002</v>
      </c>
      <c r="L52" s="4">
        <v>2.1</v>
      </c>
      <c r="M52" s="4">
        <v>5.2</v>
      </c>
      <c r="N52" s="4">
        <v>0.39700000000000002</v>
      </c>
      <c r="O52" s="4">
        <v>3.1</v>
      </c>
      <c r="P52" s="4">
        <v>6.2</v>
      </c>
      <c r="Q52" s="4">
        <v>0.505</v>
      </c>
      <c r="R52" s="4">
        <v>0.6</v>
      </c>
      <c r="S52" s="4">
        <v>0.8</v>
      </c>
      <c r="T52" s="4">
        <v>0.82599999999999996</v>
      </c>
      <c r="U52" s="4">
        <v>0.5</v>
      </c>
      <c r="V52" s="4">
        <v>1.7</v>
      </c>
      <c r="W52" s="4">
        <v>1.8</v>
      </c>
      <c r="X52" s="4">
        <v>1.7</v>
      </c>
      <c r="Y52" s="4">
        <v>0.8</v>
      </c>
      <c r="Z52" s="4">
        <v>1.1000000000000001</v>
      </c>
      <c r="AA52" s="4">
        <v>2.2999999999999998</v>
      </c>
      <c r="AB52" s="4">
        <v>13.1</v>
      </c>
      <c r="AC52" s="10">
        <f t="shared" si="0"/>
        <v>1.0192966075319017</v>
      </c>
      <c r="AD52" s="10">
        <f t="shared" si="1"/>
        <v>0.34782608695652178</v>
      </c>
      <c r="AE52" s="12">
        <f>100*(AC52/TOTAL_BASIC!$D$302)</f>
        <v>105.9933650643881</v>
      </c>
      <c r="AF52" s="9"/>
      <c r="AG52" s="9"/>
      <c r="AH52" s="12">
        <f t="shared" si="2"/>
        <v>82.5</v>
      </c>
      <c r="AI52" s="12">
        <f t="shared" si="3"/>
        <v>75.400000000000006</v>
      </c>
      <c r="AJ52" s="12">
        <f t="shared" si="4"/>
        <v>77</v>
      </c>
      <c r="AK52" s="12">
        <f t="shared" si="5"/>
        <v>92.800000000000011</v>
      </c>
      <c r="AL52" s="12">
        <f t="shared" si="6"/>
        <v>59.5</v>
      </c>
    </row>
    <row r="53" spans="1:38" ht="15.75" customHeight="1" x14ac:dyDescent="0.25">
      <c r="A53" s="1" t="s">
        <v>244</v>
      </c>
      <c r="B53" s="7" t="s">
        <v>140</v>
      </c>
      <c r="C53" s="4" t="s">
        <v>85</v>
      </c>
      <c r="D53" s="4">
        <v>38</v>
      </c>
      <c r="E53" s="4">
        <v>950</v>
      </c>
      <c r="F53" s="4">
        <v>38</v>
      </c>
      <c r="G53" s="4">
        <v>38</v>
      </c>
      <c r="H53" s="4">
        <v>25</v>
      </c>
      <c r="I53" s="4">
        <v>2.9</v>
      </c>
      <c r="J53" s="4">
        <v>6.8</v>
      </c>
      <c r="K53" s="4">
        <v>0.436</v>
      </c>
      <c r="L53" s="4">
        <v>1.4</v>
      </c>
      <c r="M53" s="4">
        <v>3.6</v>
      </c>
      <c r="N53" s="4">
        <v>0.39700000000000002</v>
      </c>
      <c r="O53" s="4">
        <v>1.5</v>
      </c>
      <c r="P53" s="4">
        <v>3.2</v>
      </c>
      <c r="Q53" s="4">
        <v>0.47899999999999998</v>
      </c>
      <c r="R53" s="4">
        <v>1.6</v>
      </c>
      <c r="S53" s="4">
        <v>1.9</v>
      </c>
      <c r="T53" s="4">
        <v>0.83299999999999996</v>
      </c>
      <c r="U53" s="4">
        <v>1.4</v>
      </c>
      <c r="V53" s="4">
        <v>2.6</v>
      </c>
      <c r="W53" s="4">
        <v>1.7</v>
      </c>
      <c r="X53" s="4">
        <v>0.4</v>
      </c>
      <c r="Y53" s="4">
        <v>0.2</v>
      </c>
      <c r="Z53" s="4">
        <v>1.7</v>
      </c>
      <c r="AA53" s="4">
        <v>2.6</v>
      </c>
      <c r="AB53" s="4">
        <v>8.9</v>
      </c>
      <c r="AC53" s="10">
        <f t="shared" si="0"/>
        <v>0.95329905741216792</v>
      </c>
      <c r="AD53" s="10">
        <f t="shared" si="1"/>
        <v>7.6923076923076927E-2</v>
      </c>
      <c r="AE53" s="12">
        <f>100*(AC53/TOTAL_BASIC!$D$302)</f>
        <v>99.130492793936384</v>
      </c>
      <c r="AF53" s="9"/>
      <c r="AG53" s="9"/>
      <c r="AH53" s="12">
        <f t="shared" si="2"/>
        <v>26.700000000000003</v>
      </c>
      <c r="AI53" s="12">
        <f t="shared" si="3"/>
        <v>55.7</v>
      </c>
      <c r="AJ53" s="12">
        <f t="shared" si="4"/>
        <v>59.5</v>
      </c>
      <c r="AK53" s="12">
        <f t="shared" si="5"/>
        <v>69.3</v>
      </c>
      <c r="AL53" s="12">
        <f t="shared" si="6"/>
        <v>63.9</v>
      </c>
    </row>
    <row r="54" spans="1:38" ht="15.75" customHeight="1" x14ac:dyDescent="0.25">
      <c r="A54" s="1" t="s">
        <v>120</v>
      </c>
      <c r="B54" s="7" t="s">
        <v>96</v>
      </c>
      <c r="C54" s="4" t="s">
        <v>85</v>
      </c>
      <c r="D54" s="4">
        <v>42</v>
      </c>
      <c r="E54" s="4">
        <v>948</v>
      </c>
      <c r="F54" s="4">
        <v>42</v>
      </c>
      <c r="G54" s="4">
        <v>28</v>
      </c>
      <c r="H54" s="4">
        <v>22.6</v>
      </c>
      <c r="I54" s="4">
        <v>2.2999999999999998</v>
      </c>
      <c r="J54" s="4">
        <v>5.3</v>
      </c>
      <c r="K54" s="4">
        <v>0.438</v>
      </c>
      <c r="L54" s="4">
        <v>1.2</v>
      </c>
      <c r="M54" s="4">
        <v>3.2</v>
      </c>
      <c r="N54" s="4">
        <v>0.38100000000000001</v>
      </c>
      <c r="O54" s="4">
        <v>1.1000000000000001</v>
      </c>
      <c r="P54" s="4">
        <v>2.1</v>
      </c>
      <c r="Q54" s="4">
        <v>0.52200000000000002</v>
      </c>
      <c r="R54" s="4">
        <v>0.3</v>
      </c>
      <c r="S54" s="4">
        <v>0.6</v>
      </c>
      <c r="T54" s="4">
        <v>0.58299999999999996</v>
      </c>
      <c r="U54" s="4">
        <v>0.9</v>
      </c>
      <c r="V54" s="4">
        <v>4.3</v>
      </c>
      <c r="W54" s="4">
        <v>1.7</v>
      </c>
      <c r="X54" s="4">
        <v>1</v>
      </c>
      <c r="Y54" s="4">
        <v>1</v>
      </c>
      <c r="Z54" s="4">
        <v>0.7</v>
      </c>
      <c r="AA54" s="4">
        <v>2</v>
      </c>
      <c r="AB54" s="4">
        <v>6.2</v>
      </c>
      <c r="AC54" s="10">
        <f t="shared" si="0"/>
        <v>0.98978288633461042</v>
      </c>
      <c r="AD54" s="10">
        <f t="shared" si="1"/>
        <v>0.5</v>
      </c>
      <c r="AE54" s="12">
        <f>100*(AC54/TOTAL_BASIC!$D$302)</f>
        <v>102.92432843446373</v>
      </c>
      <c r="AF54" s="9"/>
      <c r="AG54" s="9"/>
      <c r="AH54" s="12">
        <f t="shared" si="2"/>
        <v>90.7</v>
      </c>
      <c r="AI54" s="12">
        <f t="shared" si="3"/>
        <v>68.300000000000011</v>
      </c>
      <c r="AJ54" s="12">
        <f t="shared" si="4"/>
        <v>42</v>
      </c>
      <c r="AK54" s="12">
        <f t="shared" si="5"/>
        <v>60.6</v>
      </c>
      <c r="AL54" s="12">
        <f t="shared" si="6"/>
        <v>6.5</v>
      </c>
    </row>
    <row r="55" spans="1:38" ht="15.75" customHeight="1" x14ac:dyDescent="0.25">
      <c r="A55" s="1" t="s">
        <v>165</v>
      </c>
      <c r="B55" s="7" t="s">
        <v>161</v>
      </c>
      <c r="C55" s="4" t="s">
        <v>8</v>
      </c>
      <c r="D55" s="4">
        <v>32</v>
      </c>
      <c r="E55" s="4">
        <v>944</v>
      </c>
      <c r="F55" s="4">
        <v>32</v>
      </c>
      <c r="G55" s="4">
        <v>32</v>
      </c>
      <c r="H55" s="4">
        <v>29.5</v>
      </c>
      <c r="I55" s="4">
        <v>6.8</v>
      </c>
      <c r="J55" s="4">
        <v>15.4</v>
      </c>
      <c r="K55" s="4">
        <v>0.441</v>
      </c>
      <c r="L55" s="4">
        <v>3.3</v>
      </c>
      <c r="M55" s="4">
        <v>8.5</v>
      </c>
      <c r="N55" s="4">
        <v>0.38500000000000001</v>
      </c>
      <c r="O55" s="4">
        <v>3.5</v>
      </c>
      <c r="P55" s="4">
        <v>6.9</v>
      </c>
      <c r="Q55" s="4">
        <v>0.51100000000000001</v>
      </c>
      <c r="R55" s="4">
        <v>3.9</v>
      </c>
      <c r="S55" s="4">
        <v>4.5</v>
      </c>
      <c r="T55" s="4">
        <v>0.88100000000000001</v>
      </c>
      <c r="U55" s="4">
        <v>0.5</v>
      </c>
      <c r="V55" s="4">
        <v>3.3</v>
      </c>
      <c r="W55" s="4">
        <v>3.7</v>
      </c>
      <c r="X55" s="4">
        <v>0.9</v>
      </c>
      <c r="Y55" s="4">
        <v>0.4</v>
      </c>
      <c r="Z55" s="4">
        <v>3.1</v>
      </c>
      <c r="AA55" s="4">
        <v>2.6</v>
      </c>
      <c r="AB55" s="4">
        <v>20.8</v>
      </c>
      <c r="AC55" s="10">
        <f t="shared" si="0"/>
        <v>1.015625</v>
      </c>
      <c r="AD55" s="10">
        <f t="shared" si="1"/>
        <v>0.15384615384615385</v>
      </c>
      <c r="AE55" s="12">
        <f>100*(AC55/TOTAL_BASIC!$D$302)</f>
        <v>105.61156644500062</v>
      </c>
      <c r="AF55" s="9"/>
      <c r="AG55" s="9"/>
      <c r="AH55" s="12">
        <f t="shared" si="2"/>
        <v>55.1</v>
      </c>
      <c r="AI55" s="12">
        <f t="shared" si="3"/>
        <v>74.3</v>
      </c>
      <c r="AJ55" s="12">
        <f t="shared" si="4"/>
        <v>96.1</v>
      </c>
      <c r="AK55" s="12">
        <f t="shared" si="5"/>
        <v>84.6</v>
      </c>
      <c r="AL55" s="12">
        <f t="shared" si="6"/>
        <v>85.7</v>
      </c>
    </row>
    <row r="56" spans="1:38" ht="15.75" customHeight="1" x14ac:dyDescent="0.25">
      <c r="A56" s="1" t="s">
        <v>174</v>
      </c>
      <c r="B56" s="7" t="s">
        <v>117</v>
      </c>
      <c r="C56" s="4" t="s">
        <v>85</v>
      </c>
      <c r="D56" s="4">
        <v>38</v>
      </c>
      <c r="E56" s="4">
        <v>925</v>
      </c>
      <c r="F56" s="4">
        <v>38</v>
      </c>
      <c r="G56" s="4">
        <v>38</v>
      </c>
      <c r="H56" s="4">
        <v>24.3</v>
      </c>
      <c r="I56" s="4">
        <v>4.8</v>
      </c>
      <c r="J56" s="4">
        <v>7.6</v>
      </c>
      <c r="K56" s="4">
        <v>0.63800000000000001</v>
      </c>
      <c r="L56" s="4">
        <v>0</v>
      </c>
      <c r="M56" s="4">
        <v>0.2</v>
      </c>
      <c r="N56" s="4">
        <v>0.125</v>
      </c>
      <c r="O56" s="4">
        <v>4.8</v>
      </c>
      <c r="P56" s="4">
        <v>7.3</v>
      </c>
      <c r="Q56" s="4">
        <v>0.65200000000000002</v>
      </c>
      <c r="R56" s="4">
        <v>2</v>
      </c>
      <c r="S56" s="4">
        <v>3.5</v>
      </c>
      <c r="T56" s="4">
        <v>0.57499999999999996</v>
      </c>
      <c r="U56" s="4">
        <v>2.2000000000000002</v>
      </c>
      <c r="V56" s="4">
        <v>6.4</v>
      </c>
      <c r="W56" s="4">
        <v>0.9</v>
      </c>
      <c r="X56" s="4">
        <v>0.6</v>
      </c>
      <c r="Y56" s="4">
        <v>0.7</v>
      </c>
      <c r="Z56" s="4">
        <v>0.9</v>
      </c>
      <c r="AA56" s="4">
        <v>3.2</v>
      </c>
      <c r="AB56" s="4">
        <v>11.7</v>
      </c>
      <c r="AC56" s="10">
        <f t="shared" si="0"/>
        <v>1.1653386454183265</v>
      </c>
      <c r="AD56" s="10">
        <f t="shared" si="1"/>
        <v>0.21874999999999997</v>
      </c>
      <c r="AE56" s="12">
        <f>100*(AC56/TOTAL_BASIC!$D$302)</f>
        <v>121.17980532334731</v>
      </c>
      <c r="AF56" s="9"/>
      <c r="AG56" s="9"/>
      <c r="AH56" s="12">
        <f t="shared" si="2"/>
        <v>71</v>
      </c>
      <c r="AI56" s="12">
        <f t="shared" si="3"/>
        <v>97.8</v>
      </c>
      <c r="AJ56" s="12">
        <f t="shared" si="4"/>
        <v>72.099999999999994</v>
      </c>
      <c r="AK56" s="12">
        <f t="shared" si="5"/>
        <v>66.100000000000009</v>
      </c>
      <c r="AL56" s="12">
        <f t="shared" si="6"/>
        <v>5.4</v>
      </c>
    </row>
    <row r="57" spans="1:38" ht="15.75" customHeight="1" x14ac:dyDescent="0.25">
      <c r="A57" s="1" t="s">
        <v>126</v>
      </c>
      <c r="B57" s="7" t="s">
        <v>107</v>
      </c>
      <c r="C57" s="4" t="s">
        <v>85</v>
      </c>
      <c r="D57" s="4">
        <v>41</v>
      </c>
      <c r="E57" s="4">
        <v>924</v>
      </c>
      <c r="F57" s="4">
        <v>41</v>
      </c>
      <c r="G57" s="4">
        <v>41</v>
      </c>
      <c r="H57" s="4">
        <v>22.5</v>
      </c>
      <c r="I57" s="4">
        <v>3.2</v>
      </c>
      <c r="J57" s="4">
        <v>8.6999999999999993</v>
      </c>
      <c r="K57" s="4">
        <v>0.36399999999999999</v>
      </c>
      <c r="L57" s="4">
        <v>1.2</v>
      </c>
      <c r="M57" s="4">
        <v>3.7</v>
      </c>
      <c r="N57" s="4">
        <v>0.32500000000000001</v>
      </c>
      <c r="O57" s="4">
        <v>2</v>
      </c>
      <c r="P57" s="4">
        <v>5</v>
      </c>
      <c r="Q57" s="4">
        <v>0.39300000000000002</v>
      </c>
      <c r="R57" s="4">
        <v>2.2000000000000002</v>
      </c>
      <c r="S57" s="4">
        <v>2.7</v>
      </c>
      <c r="T57" s="4">
        <v>0.80200000000000005</v>
      </c>
      <c r="U57" s="4">
        <v>0.4</v>
      </c>
      <c r="V57" s="4">
        <v>2.6</v>
      </c>
      <c r="W57" s="4">
        <v>1.4</v>
      </c>
      <c r="X57" s="4">
        <v>0.7</v>
      </c>
      <c r="Y57" s="4">
        <v>0.2</v>
      </c>
      <c r="Z57" s="4">
        <v>1.5</v>
      </c>
      <c r="AA57" s="4">
        <v>3.2</v>
      </c>
      <c r="AB57" s="4">
        <v>9.8000000000000007</v>
      </c>
      <c r="AC57" s="10">
        <f t="shared" si="0"/>
        <v>0.86055497014401128</v>
      </c>
      <c r="AD57" s="10">
        <f t="shared" si="1"/>
        <v>6.25E-2</v>
      </c>
      <c r="AE57" s="12">
        <f>100*(AC57/TOTAL_BASIC!$D$302)</f>
        <v>89.486334433417625</v>
      </c>
      <c r="AF57" s="9"/>
      <c r="AG57" s="9"/>
      <c r="AH57" s="12">
        <f t="shared" si="2"/>
        <v>21.8</v>
      </c>
      <c r="AI57" s="12">
        <f t="shared" si="3"/>
        <v>26.700000000000003</v>
      </c>
      <c r="AJ57" s="12">
        <f t="shared" si="4"/>
        <v>64.400000000000006</v>
      </c>
      <c r="AK57" s="12">
        <f t="shared" si="5"/>
        <v>59</v>
      </c>
      <c r="AL57" s="12">
        <f t="shared" si="6"/>
        <v>49.7</v>
      </c>
    </row>
    <row r="58" spans="1:38" ht="15.75" customHeight="1" x14ac:dyDescent="0.25">
      <c r="A58" s="1" t="s">
        <v>110</v>
      </c>
      <c r="B58" s="7" t="s">
        <v>91</v>
      </c>
      <c r="C58" s="4" t="s">
        <v>85</v>
      </c>
      <c r="D58" s="4">
        <v>37</v>
      </c>
      <c r="E58" s="4">
        <v>917</v>
      </c>
      <c r="F58" s="4">
        <v>37</v>
      </c>
      <c r="G58" s="4">
        <v>37</v>
      </c>
      <c r="H58" s="4">
        <v>24.8</v>
      </c>
      <c r="I58" s="4">
        <v>5.0999999999999996</v>
      </c>
      <c r="J58" s="4">
        <v>12.6</v>
      </c>
      <c r="K58" s="4">
        <v>0.40699999999999997</v>
      </c>
      <c r="L58" s="4">
        <v>1.7</v>
      </c>
      <c r="M58" s="4">
        <v>5</v>
      </c>
      <c r="N58" s="4">
        <v>0.34599999999999997</v>
      </c>
      <c r="O58" s="4">
        <v>3.4</v>
      </c>
      <c r="P58" s="4">
        <v>7.6</v>
      </c>
      <c r="Q58" s="4">
        <v>0.44700000000000001</v>
      </c>
      <c r="R58" s="4">
        <v>2.2999999999999998</v>
      </c>
      <c r="S58" s="4">
        <v>3.2</v>
      </c>
      <c r="T58" s="4">
        <v>0.72599999999999998</v>
      </c>
      <c r="U58" s="4">
        <v>0.6</v>
      </c>
      <c r="V58" s="4">
        <v>3.3</v>
      </c>
      <c r="W58" s="4">
        <v>2.2000000000000002</v>
      </c>
      <c r="X58" s="4">
        <v>1.6</v>
      </c>
      <c r="Y58" s="4">
        <v>0.2</v>
      </c>
      <c r="Z58" s="4">
        <v>1.6</v>
      </c>
      <c r="AA58" s="4">
        <v>1.3</v>
      </c>
      <c r="AB58" s="4">
        <v>14.3</v>
      </c>
      <c r="AC58" s="10">
        <f t="shared" si="0"/>
        <v>0.9161968221424911</v>
      </c>
      <c r="AD58" s="10">
        <f t="shared" si="1"/>
        <v>0.15384615384615385</v>
      </c>
      <c r="AE58" s="12">
        <f>100*(AC58/TOTAL_BASIC!$D$302)</f>
        <v>95.272351072886281</v>
      </c>
      <c r="AF58" s="9"/>
      <c r="AG58" s="9"/>
      <c r="AH58" s="12">
        <f t="shared" si="2"/>
        <v>55.1</v>
      </c>
      <c r="AI58" s="12">
        <f t="shared" si="3"/>
        <v>45.9</v>
      </c>
      <c r="AJ58" s="12">
        <f t="shared" si="4"/>
        <v>80.300000000000011</v>
      </c>
      <c r="AK58" s="12">
        <f t="shared" si="5"/>
        <v>68.8</v>
      </c>
      <c r="AL58" s="12">
        <f t="shared" si="6"/>
        <v>30.599999999999998</v>
      </c>
    </row>
    <row r="59" spans="1:38" ht="15.75" customHeight="1" x14ac:dyDescent="0.25">
      <c r="A59" s="1" t="s">
        <v>176</v>
      </c>
      <c r="B59" s="7" t="s">
        <v>157</v>
      </c>
      <c r="C59" s="4" t="s">
        <v>8</v>
      </c>
      <c r="D59" s="4">
        <v>41</v>
      </c>
      <c r="E59" s="4">
        <v>911</v>
      </c>
      <c r="F59" s="4">
        <v>41</v>
      </c>
      <c r="G59" s="4">
        <v>3</v>
      </c>
      <c r="H59" s="4">
        <v>22.2</v>
      </c>
      <c r="I59" s="4">
        <v>2.4</v>
      </c>
      <c r="J59" s="4">
        <v>5.2</v>
      </c>
      <c r="K59" s="4">
        <v>0.46500000000000002</v>
      </c>
      <c r="L59" s="4">
        <v>1.6</v>
      </c>
      <c r="M59" s="4">
        <v>3.7</v>
      </c>
      <c r="N59" s="4">
        <v>0.42699999999999999</v>
      </c>
      <c r="O59" s="4">
        <v>0.9</v>
      </c>
      <c r="P59" s="4">
        <v>1.6</v>
      </c>
      <c r="Q59" s="4">
        <v>0.55400000000000005</v>
      </c>
      <c r="R59" s="4">
        <v>1.5</v>
      </c>
      <c r="S59" s="4">
        <v>1.8</v>
      </c>
      <c r="T59" s="4">
        <v>0.875</v>
      </c>
      <c r="U59" s="4">
        <v>0.2</v>
      </c>
      <c r="V59" s="4">
        <v>2.2999999999999998</v>
      </c>
      <c r="W59" s="4">
        <v>1.2</v>
      </c>
      <c r="X59" s="4">
        <v>0.6</v>
      </c>
      <c r="Y59" s="4">
        <v>0.1</v>
      </c>
      <c r="Z59" s="4">
        <v>0.7</v>
      </c>
      <c r="AA59" s="4">
        <v>1.9</v>
      </c>
      <c r="AB59" s="4">
        <v>8</v>
      </c>
      <c r="AC59" s="10">
        <f t="shared" si="0"/>
        <v>1.195457262402869</v>
      </c>
      <c r="AD59" s="10">
        <f t="shared" si="1"/>
        <v>5.2631578947368425E-2</v>
      </c>
      <c r="AE59" s="12">
        <f>100*(AC59/TOTAL_BASIC!$D$302)</f>
        <v>124.31174311425886</v>
      </c>
      <c r="AF59" s="9"/>
      <c r="AG59" s="9"/>
      <c r="AH59" s="12">
        <f t="shared" si="2"/>
        <v>16.900000000000002</v>
      </c>
      <c r="AI59" s="12">
        <f t="shared" si="3"/>
        <v>100</v>
      </c>
      <c r="AJ59" s="12">
        <f t="shared" si="4"/>
        <v>54.6</v>
      </c>
      <c r="AK59" s="12">
        <f t="shared" si="5"/>
        <v>56.8</v>
      </c>
      <c r="AL59" s="12">
        <f t="shared" si="6"/>
        <v>82.5</v>
      </c>
    </row>
    <row r="60" spans="1:38" ht="15.75" customHeight="1" x14ac:dyDescent="0.25">
      <c r="A60" s="1" t="s">
        <v>191</v>
      </c>
      <c r="B60" s="7" t="s">
        <v>161</v>
      </c>
      <c r="C60" s="4" t="s">
        <v>85</v>
      </c>
      <c r="D60" s="4">
        <v>34</v>
      </c>
      <c r="E60" s="4">
        <v>910</v>
      </c>
      <c r="F60" s="4">
        <v>34</v>
      </c>
      <c r="G60" s="4">
        <v>19</v>
      </c>
      <c r="H60" s="4">
        <v>26.8</v>
      </c>
      <c r="I60" s="4">
        <v>3</v>
      </c>
      <c r="J60" s="4">
        <v>8.4</v>
      </c>
      <c r="K60" s="4">
        <v>0.35799999999999998</v>
      </c>
      <c r="L60" s="4">
        <v>1.6</v>
      </c>
      <c r="M60" s="4">
        <v>4.5999999999999996</v>
      </c>
      <c r="N60" s="4">
        <v>0.34200000000000003</v>
      </c>
      <c r="O60" s="4">
        <v>1.4</v>
      </c>
      <c r="P60" s="4">
        <v>3.8</v>
      </c>
      <c r="Q60" s="4">
        <v>0.377</v>
      </c>
      <c r="R60" s="4">
        <v>1.1000000000000001</v>
      </c>
      <c r="S60" s="4">
        <v>1.2</v>
      </c>
      <c r="T60" s="4">
        <v>0.878</v>
      </c>
      <c r="U60" s="4">
        <v>0.9</v>
      </c>
      <c r="V60" s="4">
        <v>4.5999999999999996</v>
      </c>
      <c r="W60" s="4">
        <v>2.6</v>
      </c>
      <c r="X60" s="4">
        <v>0.5</v>
      </c>
      <c r="Y60" s="4">
        <v>0.2</v>
      </c>
      <c r="Z60" s="4">
        <v>1.6</v>
      </c>
      <c r="AA60" s="4">
        <v>1.9</v>
      </c>
      <c r="AB60" s="4">
        <v>8.6</v>
      </c>
      <c r="AC60" s="10">
        <f t="shared" si="0"/>
        <v>0.81686930091185406</v>
      </c>
      <c r="AD60" s="10">
        <f t="shared" si="1"/>
        <v>0.10526315789473685</v>
      </c>
      <c r="AE60" s="12">
        <f>100*(AC60/TOTAL_BASIC!$D$302)</f>
        <v>84.94360265859298</v>
      </c>
      <c r="AF60" s="9"/>
      <c r="AG60" s="9"/>
      <c r="AH60" s="12">
        <f t="shared" si="2"/>
        <v>36.6</v>
      </c>
      <c r="AI60" s="12">
        <f t="shared" si="3"/>
        <v>15.8</v>
      </c>
      <c r="AJ60" s="12">
        <f t="shared" si="4"/>
        <v>56.8</v>
      </c>
      <c r="AK60" s="12">
        <f t="shared" si="5"/>
        <v>73.7</v>
      </c>
      <c r="AL60" s="12">
        <f t="shared" si="6"/>
        <v>84.6</v>
      </c>
    </row>
    <row r="61" spans="1:38" ht="15.75" customHeight="1" x14ac:dyDescent="0.25">
      <c r="A61" s="1" t="s">
        <v>153</v>
      </c>
      <c r="B61" s="7" t="s">
        <v>91</v>
      </c>
      <c r="C61" s="4" t="s">
        <v>88</v>
      </c>
      <c r="D61" s="4">
        <v>41</v>
      </c>
      <c r="E61" s="4">
        <v>909</v>
      </c>
      <c r="F61" s="4">
        <v>41</v>
      </c>
      <c r="G61" s="4">
        <v>41</v>
      </c>
      <c r="H61" s="4">
        <v>22.2</v>
      </c>
      <c r="I61" s="4">
        <v>1.4</v>
      </c>
      <c r="J61" s="4">
        <v>3.4</v>
      </c>
      <c r="K61" s="4">
        <v>0.42799999999999999</v>
      </c>
      <c r="L61" s="4">
        <v>0.5</v>
      </c>
      <c r="M61" s="4">
        <v>1.6</v>
      </c>
      <c r="N61" s="4">
        <v>0.28399999999999997</v>
      </c>
      <c r="O61" s="4">
        <v>1</v>
      </c>
      <c r="P61" s="4">
        <v>1.7</v>
      </c>
      <c r="Q61" s="4">
        <v>0.56299999999999994</v>
      </c>
      <c r="R61" s="4">
        <v>0.2</v>
      </c>
      <c r="S61" s="4">
        <v>0.4</v>
      </c>
      <c r="T61" s="4">
        <v>0.47099999999999997</v>
      </c>
      <c r="U61" s="4">
        <v>1.2</v>
      </c>
      <c r="V61" s="4">
        <v>5.6</v>
      </c>
      <c r="W61" s="4">
        <v>1.2</v>
      </c>
      <c r="X61" s="4">
        <v>0.6</v>
      </c>
      <c r="Y61" s="4">
        <v>1.8</v>
      </c>
      <c r="Z61" s="4">
        <v>0.5</v>
      </c>
      <c r="AA61" s="4">
        <v>2.2999999999999998</v>
      </c>
      <c r="AB61" s="4">
        <v>3.5</v>
      </c>
      <c r="AC61" s="10">
        <f t="shared" si="0"/>
        <v>0.85868498527968584</v>
      </c>
      <c r="AD61" s="10">
        <f t="shared" si="1"/>
        <v>0.78260869565217395</v>
      </c>
      <c r="AE61" s="12">
        <f>100*(AC61/TOTAL_BASIC!$D$302)</f>
        <v>89.291880741602398</v>
      </c>
      <c r="AF61" s="9"/>
      <c r="AG61" s="9"/>
      <c r="AH61" s="12">
        <f t="shared" si="2"/>
        <v>98.3</v>
      </c>
      <c r="AI61" s="12">
        <f t="shared" si="3"/>
        <v>25.6</v>
      </c>
      <c r="AJ61" s="12">
        <f t="shared" si="4"/>
        <v>15.8</v>
      </c>
      <c r="AK61" s="12">
        <f t="shared" si="5"/>
        <v>56.8</v>
      </c>
      <c r="AL61" s="12">
        <f t="shared" si="6"/>
        <v>1.6</v>
      </c>
    </row>
    <row r="62" spans="1:38" ht="15.75" customHeight="1" x14ac:dyDescent="0.25">
      <c r="A62" s="1" t="s">
        <v>250</v>
      </c>
      <c r="B62" s="7" t="s">
        <v>84</v>
      </c>
      <c r="C62" s="4" t="s">
        <v>8</v>
      </c>
      <c r="D62" s="4">
        <v>30</v>
      </c>
      <c r="E62" s="4">
        <v>901</v>
      </c>
      <c r="F62" s="4">
        <v>30</v>
      </c>
      <c r="G62" s="4">
        <v>29</v>
      </c>
      <c r="H62" s="4">
        <v>30</v>
      </c>
      <c r="I62" s="4">
        <v>4.9000000000000004</v>
      </c>
      <c r="J62" s="4">
        <v>12.6</v>
      </c>
      <c r="K62" s="4">
        <v>0.39</v>
      </c>
      <c r="L62" s="4">
        <v>1.9</v>
      </c>
      <c r="M62" s="4">
        <v>6.5</v>
      </c>
      <c r="N62" s="4">
        <v>0.29599999999999999</v>
      </c>
      <c r="O62" s="4">
        <v>3</v>
      </c>
      <c r="P62" s="4">
        <v>6</v>
      </c>
      <c r="Q62" s="4">
        <v>0.49199999999999999</v>
      </c>
      <c r="R62" s="4">
        <v>3.1</v>
      </c>
      <c r="S62" s="4">
        <v>3.5</v>
      </c>
      <c r="T62" s="4">
        <v>0.89400000000000002</v>
      </c>
      <c r="U62" s="4">
        <v>0.7</v>
      </c>
      <c r="V62" s="4">
        <v>3.8</v>
      </c>
      <c r="W62" s="4">
        <v>4.8</v>
      </c>
      <c r="X62" s="4">
        <v>0.8</v>
      </c>
      <c r="Y62" s="4">
        <v>0.3</v>
      </c>
      <c r="Z62" s="4">
        <v>2.8</v>
      </c>
      <c r="AA62" s="4">
        <v>1.7</v>
      </c>
      <c r="AB62" s="4">
        <v>14.8</v>
      </c>
      <c r="AC62" s="10">
        <f t="shared" si="0"/>
        <v>0.87367178276269186</v>
      </c>
      <c r="AD62" s="10">
        <f t="shared" si="1"/>
        <v>0.17647058823529413</v>
      </c>
      <c r="AE62" s="12">
        <f>100*(AC62/TOTAL_BASIC!$D$302)</f>
        <v>90.850309451189361</v>
      </c>
      <c r="AF62" s="9"/>
      <c r="AG62" s="9"/>
      <c r="AH62" s="12">
        <f t="shared" si="2"/>
        <v>61.199999999999996</v>
      </c>
      <c r="AI62" s="12">
        <f t="shared" si="3"/>
        <v>32.200000000000003</v>
      </c>
      <c r="AJ62" s="12">
        <f t="shared" si="4"/>
        <v>84.6</v>
      </c>
      <c r="AK62" s="12">
        <f t="shared" si="5"/>
        <v>87.4</v>
      </c>
      <c r="AL62" s="12">
        <f t="shared" si="6"/>
        <v>90.100000000000009</v>
      </c>
    </row>
    <row r="63" spans="1:38" ht="15.75" customHeight="1" x14ac:dyDescent="0.25">
      <c r="A63" s="1" t="s">
        <v>122</v>
      </c>
      <c r="B63" s="4" t="s">
        <v>114</v>
      </c>
      <c r="C63" s="4" t="s">
        <v>88</v>
      </c>
      <c r="D63" s="4">
        <v>34</v>
      </c>
      <c r="E63" s="4">
        <v>891</v>
      </c>
      <c r="F63" s="4">
        <v>34</v>
      </c>
      <c r="G63" s="4">
        <v>33</v>
      </c>
      <c r="H63" s="4">
        <v>26.2</v>
      </c>
      <c r="I63" s="4">
        <v>6.6</v>
      </c>
      <c r="J63" s="4">
        <v>13.8</v>
      </c>
      <c r="K63" s="4">
        <v>0.48299999999999998</v>
      </c>
      <c r="L63" s="4">
        <v>0.6</v>
      </c>
      <c r="M63" s="4">
        <v>2.2000000000000002</v>
      </c>
      <c r="N63" s="4">
        <v>0.27600000000000002</v>
      </c>
      <c r="O63" s="4">
        <v>6</v>
      </c>
      <c r="P63" s="4">
        <v>11.5</v>
      </c>
      <c r="Q63" s="4">
        <v>0.52300000000000002</v>
      </c>
      <c r="R63" s="4">
        <v>2.9</v>
      </c>
      <c r="S63" s="4">
        <v>3.8</v>
      </c>
      <c r="T63" s="4">
        <v>0.76</v>
      </c>
      <c r="U63" s="4">
        <v>2.5</v>
      </c>
      <c r="V63" s="4">
        <v>8.8000000000000007</v>
      </c>
      <c r="W63" s="4">
        <v>1.7</v>
      </c>
      <c r="X63" s="4">
        <v>1</v>
      </c>
      <c r="Y63" s="4">
        <v>1.4</v>
      </c>
      <c r="Z63" s="4">
        <v>2.7</v>
      </c>
      <c r="AA63" s="4">
        <v>2.8</v>
      </c>
      <c r="AB63" s="4">
        <v>16.8</v>
      </c>
      <c r="AC63" s="10">
        <f t="shared" si="0"/>
        <v>0.92449922958397535</v>
      </c>
      <c r="AD63" s="10">
        <f t="shared" si="1"/>
        <v>0.5</v>
      </c>
      <c r="AE63" s="12">
        <f>100*(AC63/TOTAL_BASIC!$D$302)</f>
        <v>96.135691631812819</v>
      </c>
      <c r="AF63" s="9"/>
      <c r="AG63" s="9"/>
      <c r="AH63" s="12">
        <f t="shared" si="2"/>
        <v>90.7</v>
      </c>
      <c r="AI63" s="12">
        <f t="shared" si="3"/>
        <v>49.1</v>
      </c>
      <c r="AJ63" s="12">
        <f t="shared" si="4"/>
        <v>89.600000000000009</v>
      </c>
      <c r="AK63" s="12">
        <f t="shared" si="5"/>
        <v>72.099999999999994</v>
      </c>
      <c r="AL63" s="12">
        <f t="shared" si="6"/>
        <v>37.1</v>
      </c>
    </row>
    <row r="64" spans="1:38" ht="15.75" customHeight="1" x14ac:dyDescent="0.25">
      <c r="A64" s="1" t="s">
        <v>163</v>
      </c>
      <c r="B64" s="7" t="s">
        <v>161</v>
      </c>
      <c r="C64" s="4" t="s">
        <v>8</v>
      </c>
      <c r="D64" s="4">
        <v>31</v>
      </c>
      <c r="E64" s="4">
        <v>886</v>
      </c>
      <c r="F64" s="4">
        <v>31</v>
      </c>
      <c r="G64" s="4">
        <v>29</v>
      </c>
      <c r="H64" s="4">
        <v>28.6</v>
      </c>
      <c r="I64" s="4">
        <v>2.4</v>
      </c>
      <c r="J64" s="4">
        <v>4.4000000000000004</v>
      </c>
      <c r="K64" s="4">
        <v>0.54100000000000004</v>
      </c>
      <c r="L64" s="4">
        <v>1.2</v>
      </c>
      <c r="M64" s="4">
        <v>2.8</v>
      </c>
      <c r="N64" s="4">
        <v>0.42</v>
      </c>
      <c r="O64" s="4">
        <v>1.2</v>
      </c>
      <c r="P64" s="4">
        <v>1.5</v>
      </c>
      <c r="Q64" s="4">
        <v>0.76600000000000001</v>
      </c>
      <c r="R64" s="4">
        <v>0.3</v>
      </c>
      <c r="S64" s="4">
        <v>0.4</v>
      </c>
      <c r="T64" s="4">
        <v>0.76900000000000002</v>
      </c>
      <c r="U64" s="4">
        <v>0.3</v>
      </c>
      <c r="V64" s="4">
        <v>3.2</v>
      </c>
      <c r="W64" s="4">
        <v>5.5</v>
      </c>
      <c r="X64" s="4">
        <v>1.4</v>
      </c>
      <c r="Y64" s="4">
        <v>0.4</v>
      </c>
      <c r="Z64" s="4">
        <v>1.7</v>
      </c>
      <c r="AA64" s="4">
        <v>1.9</v>
      </c>
      <c r="AB64" s="4">
        <v>6.2</v>
      </c>
      <c r="AC64" s="10">
        <f t="shared" si="0"/>
        <v>0.98789037603569141</v>
      </c>
      <c r="AD64" s="10">
        <f t="shared" si="1"/>
        <v>0.2105263157894737</v>
      </c>
      <c r="AE64" s="12">
        <f>100*(AC64/TOTAL_BASIC!$D$302)</f>
        <v>102.72753239539207</v>
      </c>
      <c r="AF64" s="9"/>
      <c r="AG64" s="9"/>
      <c r="AH64" s="12">
        <f t="shared" si="2"/>
        <v>68.8</v>
      </c>
      <c r="AI64" s="12">
        <f t="shared" si="3"/>
        <v>67.2</v>
      </c>
      <c r="AJ64" s="12">
        <f t="shared" si="4"/>
        <v>42</v>
      </c>
      <c r="AK64" s="12">
        <f t="shared" si="5"/>
        <v>80.300000000000011</v>
      </c>
      <c r="AL64" s="12">
        <f t="shared" si="6"/>
        <v>38.700000000000003</v>
      </c>
    </row>
    <row r="65" spans="1:38" ht="15.75" customHeight="1" x14ac:dyDescent="0.25">
      <c r="A65" s="1" t="s">
        <v>106</v>
      </c>
      <c r="B65" s="7" t="s">
        <v>107</v>
      </c>
      <c r="C65" s="4" t="s">
        <v>94</v>
      </c>
      <c r="D65" s="4">
        <v>37</v>
      </c>
      <c r="E65" s="4">
        <v>881</v>
      </c>
      <c r="F65" s="4">
        <v>37</v>
      </c>
      <c r="G65" s="4">
        <v>14</v>
      </c>
      <c r="H65" s="4">
        <v>23.8</v>
      </c>
      <c r="I65" s="4">
        <v>3</v>
      </c>
      <c r="J65" s="4">
        <v>7.5</v>
      </c>
      <c r="K65" s="4">
        <v>0.40100000000000002</v>
      </c>
      <c r="L65" s="4">
        <v>1.2</v>
      </c>
      <c r="M65" s="4">
        <v>3.7</v>
      </c>
      <c r="N65" s="4">
        <v>0.32400000000000001</v>
      </c>
      <c r="O65" s="4">
        <v>1.8</v>
      </c>
      <c r="P65" s="4">
        <v>3.9</v>
      </c>
      <c r="Q65" s="4">
        <v>0.47599999999999998</v>
      </c>
      <c r="R65" s="4">
        <v>1.5</v>
      </c>
      <c r="S65" s="4">
        <v>2.2000000000000002</v>
      </c>
      <c r="T65" s="4">
        <v>0.71299999999999997</v>
      </c>
      <c r="U65" s="4">
        <v>1</v>
      </c>
      <c r="V65" s="4">
        <v>3.2</v>
      </c>
      <c r="W65" s="4">
        <v>1.4</v>
      </c>
      <c r="X65" s="4">
        <v>1.2</v>
      </c>
      <c r="Y65" s="4">
        <v>0.8</v>
      </c>
      <c r="Z65" s="4">
        <v>1.5</v>
      </c>
      <c r="AA65" s="4">
        <v>1.5</v>
      </c>
      <c r="AB65" s="4">
        <v>8.8000000000000007</v>
      </c>
      <c r="AC65" s="10">
        <f t="shared" si="0"/>
        <v>0.88282504012841101</v>
      </c>
      <c r="AD65" s="10">
        <f t="shared" si="1"/>
        <v>0.53333333333333333</v>
      </c>
      <c r="AE65" s="12">
        <f>100*(AC65/TOTAL_BASIC!$D$302)</f>
        <v>91.802127148142304</v>
      </c>
      <c r="AF65" s="9"/>
      <c r="AG65" s="9"/>
      <c r="AH65" s="12">
        <f t="shared" si="2"/>
        <v>93.899999999999991</v>
      </c>
      <c r="AI65" s="12">
        <f t="shared" si="3"/>
        <v>34.4</v>
      </c>
      <c r="AJ65" s="12">
        <f t="shared" si="4"/>
        <v>57.3</v>
      </c>
      <c r="AK65" s="12">
        <f t="shared" si="5"/>
        <v>63.9</v>
      </c>
      <c r="AL65" s="12">
        <f t="shared" si="6"/>
        <v>22.400000000000002</v>
      </c>
    </row>
    <row r="66" spans="1:38" ht="15.75" customHeight="1" x14ac:dyDescent="0.25">
      <c r="A66" s="1" t="s">
        <v>152</v>
      </c>
      <c r="B66" s="7" t="s">
        <v>131</v>
      </c>
      <c r="C66" s="4" t="s">
        <v>8</v>
      </c>
      <c r="D66" s="4">
        <v>42</v>
      </c>
      <c r="E66" s="4">
        <v>871</v>
      </c>
      <c r="F66" s="4">
        <v>42</v>
      </c>
      <c r="G66" s="4">
        <v>18</v>
      </c>
      <c r="H66" s="4">
        <v>20.7</v>
      </c>
      <c r="I66" s="4">
        <v>2.2999999999999998</v>
      </c>
      <c r="J66" s="4">
        <v>5.3</v>
      </c>
      <c r="K66" s="4">
        <v>0.42399999999999999</v>
      </c>
      <c r="L66" s="4">
        <v>0.8</v>
      </c>
      <c r="M66" s="4">
        <v>2.7</v>
      </c>
      <c r="N66" s="4">
        <v>0.31</v>
      </c>
      <c r="O66" s="4">
        <v>1.4</v>
      </c>
      <c r="P66" s="4">
        <v>2.6</v>
      </c>
      <c r="Q66" s="4">
        <v>0.54100000000000004</v>
      </c>
      <c r="R66" s="4">
        <v>1</v>
      </c>
      <c r="S66" s="4">
        <v>1.1000000000000001</v>
      </c>
      <c r="T66" s="4">
        <v>0.85399999999999998</v>
      </c>
      <c r="U66" s="4">
        <v>0.4</v>
      </c>
      <c r="V66" s="4">
        <v>1.4</v>
      </c>
      <c r="W66" s="4">
        <v>1.7</v>
      </c>
      <c r="X66" s="4">
        <v>0.8</v>
      </c>
      <c r="Y66" s="4">
        <v>0.3</v>
      </c>
      <c r="Z66" s="4">
        <v>1</v>
      </c>
      <c r="AA66" s="4">
        <v>2.4</v>
      </c>
      <c r="AB66" s="4">
        <v>6.3</v>
      </c>
      <c r="AC66" s="10">
        <f t="shared" si="0"/>
        <v>0.92865566037735847</v>
      </c>
      <c r="AD66" s="10">
        <f t="shared" si="1"/>
        <v>0.125</v>
      </c>
      <c r="AE66" s="12">
        <f>100*(AC66/TOTAL_BASIC!$D$302)</f>
        <v>96.567905457692888</v>
      </c>
      <c r="AF66" s="9"/>
      <c r="AG66" s="9"/>
      <c r="AH66" s="12">
        <f t="shared" si="2"/>
        <v>44.2</v>
      </c>
      <c r="AI66" s="12">
        <f t="shared" si="3"/>
        <v>50.8</v>
      </c>
      <c r="AJ66" s="12">
        <f t="shared" si="4"/>
        <v>43.7</v>
      </c>
      <c r="AK66" s="12">
        <f t="shared" si="5"/>
        <v>54.6</v>
      </c>
      <c r="AL66" s="12">
        <f t="shared" si="6"/>
        <v>72.099999999999994</v>
      </c>
    </row>
    <row r="67" spans="1:38" ht="15.75" customHeight="1" x14ac:dyDescent="0.25">
      <c r="A67" s="1" t="s">
        <v>129</v>
      </c>
      <c r="B67" s="7" t="s">
        <v>107</v>
      </c>
      <c r="C67" s="4" t="s">
        <v>8</v>
      </c>
      <c r="D67" s="4">
        <v>38</v>
      </c>
      <c r="E67" s="4">
        <v>856</v>
      </c>
      <c r="F67" s="4">
        <v>38</v>
      </c>
      <c r="G67" s="4">
        <v>18</v>
      </c>
      <c r="H67" s="4">
        <v>22.5</v>
      </c>
      <c r="I67" s="4">
        <v>2.7</v>
      </c>
      <c r="J67" s="4">
        <v>7.9</v>
      </c>
      <c r="K67" s="4">
        <v>0.34300000000000003</v>
      </c>
      <c r="L67" s="4">
        <v>0.3</v>
      </c>
      <c r="M67" s="4">
        <v>2</v>
      </c>
      <c r="N67" s="4">
        <v>0.17100000000000001</v>
      </c>
      <c r="O67" s="4">
        <v>2.4</v>
      </c>
      <c r="P67" s="4">
        <v>5.9</v>
      </c>
      <c r="Q67" s="4">
        <v>0.40200000000000002</v>
      </c>
      <c r="R67" s="4">
        <v>1.2</v>
      </c>
      <c r="S67" s="4">
        <v>2</v>
      </c>
      <c r="T67" s="4">
        <v>0.6</v>
      </c>
      <c r="U67" s="4">
        <v>0.4</v>
      </c>
      <c r="V67" s="4">
        <v>2.5</v>
      </c>
      <c r="W67" s="4">
        <v>3.1</v>
      </c>
      <c r="X67" s="4">
        <v>1.1000000000000001</v>
      </c>
      <c r="Y67" s="4">
        <v>0.7</v>
      </c>
      <c r="Z67" s="4">
        <v>1.3</v>
      </c>
      <c r="AA67" s="4">
        <v>1.8</v>
      </c>
      <c r="AB67" s="4">
        <v>6.9</v>
      </c>
      <c r="AC67" s="10">
        <f t="shared" si="0"/>
        <v>0.68452380952380942</v>
      </c>
      <c r="AD67" s="10">
        <f t="shared" si="1"/>
        <v>0.38888888888888884</v>
      </c>
      <c r="AE67" s="12">
        <f>100*(AC67/TOTAL_BASIC!$D$302)</f>
        <v>71.181422072820936</v>
      </c>
      <c r="AF67" s="9"/>
      <c r="AG67" s="9"/>
      <c r="AH67" s="12">
        <f t="shared" si="2"/>
        <v>84.6</v>
      </c>
      <c r="AI67" s="12">
        <f t="shared" si="3"/>
        <v>2.7</v>
      </c>
      <c r="AJ67" s="12">
        <f t="shared" si="4"/>
        <v>49.7</v>
      </c>
      <c r="AK67" s="12">
        <f t="shared" si="5"/>
        <v>59</v>
      </c>
      <c r="AL67" s="12">
        <f t="shared" si="6"/>
        <v>7.6</v>
      </c>
    </row>
    <row r="68" spans="1:38" ht="15.75" customHeight="1" x14ac:dyDescent="0.25">
      <c r="A68" s="1" t="s">
        <v>143</v>
      </c>
      <c r="B68" s="7" t="s">
        <v>91</v>
      </c>
      <c r="C68" s="4" t="s">
        <v>85</v>
      </c>
      <c r="D68" s="4">
        <v>38</v>
      </c>
      <c r="E68" s="4">
        <v>849</v>
      </c>
      <c r="F68" s="4">
        <v>38</v>
      </c>
      <c r="G68" s="4">
        <v>0</v>
      </c>
      <c r="H68" s="4">
        <v>22.3</v>
      </c>
      <c r="I68" s="4">
        <v>4.2</v>
      </c>
      <c r="J68" s="4">
        <v>9.8000000000000007</v>
      </c>
      <c r="K68" s="4">
        <v>0.42499999999999999</v>
      </c>
      <c r="L68" s="4">
        <v>2.4</v>
      </c>
      <c r="M68" s="4">
        <v>6.1</v>
      </c>
      <c r="N68" s="4">
        <v>0.39700000000000002</v>
      </c>
      <c r="O68" s="4">
        <v>1.8</v>
      </c>
      <c r="P68" s="4">
        <v>3.7</v>
      </c>
      <c r="Q68" s="4">
        <v>0.47199999999999998</v>
      </c>
      <c r="R68" s="4">
        <v>2.2000000000000002</v>
      </c>
      <c r="S68" s="4">
        <v>2.7</v>
      </c>
      <c r="T68" s="4">
        <v>0.81200000000000006</v>
      </c>
      <c r="U68" s="4">
        <v>1.1000000000000001</v>
      </c>
      <c r="V68" s="4">
        <v>3.9</v>
      </c>
      <c r="W68" s="4">
        <v>1.2</v>
      </c>
      <c r="X68" s="4">
        <v>0.6</v>
      </c>
      <c r="Y68" s="4">
        <v>0.1</v>
      </c>
      <c r="Z68" s="4">
        <v>0.8</v>
      </c>
      <c r="AA68" s="4">
        <v>2.1</v>
      </c>
      <c r="AB68" s="4">
        <v>12.9</v>
      </c>
      <c r="AC68" s="10">
        <f t="shared" ref="AC68:AC131" si="7">(AB68)/(J68+(0.44*S68)+Z68)</f>
        <v>1.0943332202239564</v>
      </c>
      <c r="AD68" s="10">
        <f t="shared" ref="AD68:AD131" si="8">Y68/AA68</f>
        <v>4.7619047619047616E-2</v>
      </c>
      <c r="AE68" s="12">
        <f>100*(AC68/TOTAL_BASIC!$D$302)</f>
        <v>113.79618028372074</v>
      </c>
      <c r="AF68" s="9"/>
      <c r="AG68" s="9"/>
      <c r="AH68" s="12">
        <f t="shared" ref="AH68:AH131" si="9">(PERCENTRANK(AD$3:AD$298,AD68))*100</f>
        <v>15.8</v>
      </c>
      <c r="AI68" s="12">
        <f t="shared" ref="AI68:AI131" si="10">(PERCENTRANK(AE$3:AE$298,AE68))*100</f>
        <v>91.8</v>
      </c>
      <c r="AJ68" s="12">
        <f t="shared" ref="AJ68:AJ131" si="11">(PERCENTRANK(AB$3:AB$298,AB68))*100</f>
        <v>75.900000000000006</v>
      </c>
      <c r="AK68" s="12">
        <f t="shared" ref="AK68:AK131" si="12">(PERCENTRANK(H$3:H$298,H68))*100</f>
        <v>58.4</v>
      </c>
      <c r="AL68" s="12">
        <f t="shared" ref="AL68:AL131" si="13">(PERCENTRANK(T$3:T$298,T68))*100</f>
        <v>54</v>
      </c>
    </row>
    <row r="69" spans="1:38" ht="15.75" customHeight="1" x14ac:dyDescent="0.25">
      <c r="A69" s="1" t="s">
        <v>124</v>
      </c>
      <c r="B69" s="7" t="s">
        <v>91</v>
      </c>
      <c r="C69" s="4" t="s">
        <v>94</v>
      </c>
      <c r="D69" s="4">
        <v>42</v>
      </c>
      <c r="E69" s="4">
        <v>841</v>
      </c>
      <c r="F69" s="4">
        <v>42</v>
      </c>
      <c r="G69" s="4">
        <v>11</v>
      </c>
      <c r="H69" s="4">
        <v>20</v>
      </c>
      <c r="I69" s="4">
        <v>2.4</v>
      </c>
      <c r="J69" s="4">
        <v>5.9</v>
      </c>
      <c r="K69" s="4">
        <v>0.40899999999999997</v>
      </c>
      <c r="L69" s="4">
        <v>0.6</v>
      </c>
      <c r="M69" s="4">
        <v>2.2999999999999998</v>
      </c>
      <c r="N69" s="4">
        <v>0.28100000000000003</v>
      </c>
      <c r="O69" s="4">
        <v>1.8</v>
      </c>
      <c r="P69" s="4">
        <v>3.6</v>
      </c>
      <c r="Q69" s="4">
        <v>0.49</v>
      </c>
      <c r="R69" s="4">
        <v>1</v>
      </c>
      <c r="S69" s="4">
        <v>1.2</v>
      </c>
      <c r="T69" s="4">
        <v>0.76900000000000002</v>
      </c>
      <c r="U69" s="4">
        <v>1.6</v>
      </c>
      <c r="V69" s="4">
        <v>4.5999999999999996</v>
      </c>
      <c r="W69" s="4">
        <v>1.4</v>
      </c>
      <c r="X69" s="4">
        <v>0.8</v>
      </c>
      <c r="Y69" s="4">
        <v>0.2</v>
      </c>
      <c r="Z69" s="4">
        <v>1</v>
      </c>
      <c r="AA69" s="4">
        <v>2.4</v>
      </c>
      <c r="AB69" s="4">
        <v>6.4</v>
      </c>
      <c r="AC69" s="10">
        <f t="shared" si="7"/>
        <v>0.86160473882606348</v>
      </c>
      <c r="AD69" s="10">
        <f t="shared" si="8"/>
        <v>8.3333333333333343E-2</v>
      </c>
      <c r="AE69" s="12">
        <f>100*(AC69/TOTAL_BASIC!$D$302)</f>
        <v>89.595496491181507</v>
      </c>
      <c r="AF69" s="9"/>
      <c r="AG69" s="9"/>
      <c r="AH69" s="12">
        <f t="shared" si="9"/>
        <v>29.5</v>
      </c>
      <c r="AI69" s="12">
        <f t="shared" si="10"/>
        <v>27.800000000000004</v>
      </c>
      <c r="AJ69" s="12">
        <f t="shared" si="11"/>
        <v>45.300000000000004</v>
      </c>
      <c r="AK69" s="12">
        <f t="shared" si="12"/>
        <v>51.300000000000004</v>
      </c>
      <c r="AL69" s="12">
        <f t="shared" si="13"/>
        <v>38.700000000000003</v>
      </c>
    </row>
    <row r="70" spans="1:38" ht="15.75" customHeight="1" x14ac:dyDescent="0.25">
      <c r="A70" s="1" t="s">
        <v>86</v>
      </c>
      <c r="B70" s="4" t="s">
        <v>84</v>
      </c>
      <c r="C70" s="4" t="s">
        <v>8</v>
      </c>
      <c r="D70" s="4">
        <v>40</v>
      </c>
      <c r="E70" s="4">
        <v>809</v>
      </c>
      <c r="F70" s="4">
        <v>40</v>
      </c>
      <c r="G70" s="4">
        <v>18</v>
      </c>
      <c r="H70" s="4">
        <v>20.2</v>
      </c>
      <c r="I70" s="4">
        <v>2.9</v>
      </c>
      <c r="J70" s="4">
        <v>7</v>
      </c>
      <c r="K70" s="4">
        <v>0.41199999999999998</v>
      </c>
      <c r="L70" s="4">
        <v>2.2000000000000002</v>
      </c>
      <c r="M70" s="4">
        <v>5.6</v>
      </c>
      <c r="N70" s="4">
        <v>0.38400000000000001</v>
      </c>
      <c r="O70" s="4">
        <v>0.7</v>
      </c>
      <c r="P70" s="4">
        <v>1.4</v>
      </c>
      <c r="Q70" s="4">
        <v>0.52700000000000002</v>
      </c>
      <c r="R70" s="4">
        <v>0.6</v>
      </c>
      <c r="S70" s="4">
        <v>0.7</v>
      </c>
      <c r="T70" s="4">
        <v>0.84599999999999997</v>
      </c>
      <c r="U70" s="4">
        <v>0.4</v>
      </c>
      <c r="V70" s="4">
        <v>2</v>
      </c>
      <c r="W70" s="4">
        <v>2.4</v>
      </c>
      <c r="X70" s="4">
        <v>0.8</v>
      </c>
      <c r="Y70" s="4">
        <v>0.1</v>
      </c>
      <c r="Z70" s="4">
        <v>1.6</v>
      </c>
      <c r="AA70" s="4">
        <v>1.6</v>
      </c>
      <c r="AB70" s="4">
        <v>8.5</v>
      </c>
      <c r="AC70" s="10">
        <f t="shared" si="7"/>
        <v>0.95419847328244278</v>
      </c>
      <c r="AD70" s="10">
        <f t="shared" si="8"/>
        <v>6.25E-2</v>
      </c>
      <c r="AE70" s="12">
        <f>100*(AC70/TOTAL_BASIC!$D$302)</f>
        <v>99.224020147974755</v>
      </c>
      <c r="AF70" s="9"/>
      <c r="AG70" s="9"/>
      <c r="AH70" s="12">
        <f t="shared" si="9"/>
        <v>21.8</v>
      </c>
      <c r="AI70" s="12">
        <f t="shared" si="10"/>
        <v>56.2</v>
      </c>
      <c r="AJ70" s="12">
        <f t="shared" si="11"/>
        <v>55.7</v>
      </c>
      <c r="AK70" s="12">
        <f t="shared" si="12"/>
        <v>51.9</v>
      </c>
      <c r="AL70" s="12">
        <f t="shared" si="13"/>
        <v>67.7</v>
      </c>
    </row>
    <row r="71" spans="1:38" ht="15.75" customHeight="1" x14ac:dyDescent="0.25">
      <c r="A71" s="1" t="s">
        <v>256</v>
      </c>
      <c r="B71" s="7" t="s">
        <v>107</v>
      </c>
      <c r="C71" s="4" t="s">
        <v>8</v>
      </c>
      <c r="D71" s="4">
        <v>28</v>
      </c>
      <c r="E71" s="4">
        <v>794</v>
      </c>
      <c r="F71" s="4">
        <v>28</v>
      </c>
      <c r="G71" s="4">
        <v>28</v>
      </c>
      <c r="H71" s="4">
        <v>28.4</v>
      </c>
      <c r="I71" s="4">
        <v>4.5</v>
      </c>
      <c r="J71" s="4">
        <v>10.4</v>
      </c>
      <c r="K71" s="4">
        <v>0.43</v>
      </c>
      <c r="L71" s="4">
        <v>1.1000000000000001</v>
      </c>
      <c r="M71" s="4">
        <v>3.4</v>
      </c>
      <c r="N71" s="4">
        <v>0.33300000000000002</v>
      </c>
      <c r="O71" s="4">
        <v>3.3</v>
      </c>
      <c r="P71" s="4">
        <v>7</v>
      </c>
      <c r="Q71" s="4">
        <v>0.47699999999999998</v>
      </c>
      <c r="R71" s="4">
        <v>1.7</v>
      </c>
      <c r="S71" s="4">
        <v>2.2999999999999998</v>
      </c>
      <c r="T71" s="4">
        <v>0.72299999999999998</v>
      </c>
      <c r="U71" s="4">
        <v>0.5</v>
      </c>
      <c r="V71" s="4">
        <v>1.9</v>
      </c>
      <c r="W71" s="4">
        <v>4.5999999999999996</v>
      </c>
      <c r="X71" s="4">
        <v>1.7</v>
      </c>
      <c r="Y71" s="4">
        <v>0.3</v>
      </c>
      <c r="Z71" s="4">
        <v>2.2000000000000002</v>
      </c>
      <c r="AA71" s="4">
        <v>2.8</v>
      </c>
      <c r="AB71" s="4">
        <v>11.8</v>
      </c>
      <c r="AC71" s="10">
        <f t="shared" si="7"/>
        <v>0.8668821627975315</v>
      </c>
      <c r="AD71" s="10">
        <f t="shared" si="8"/>
        <v>0.10714285714285715</v>
      </c>
      <c r="AE71" s="12">
        <f>100*(AC71/TOTAL_BASIC!$D$302)</f>
        <v>90.144278780334616</v>
      </c>
      <c r="AF71" s="9"/>
      <c r="AG71" s="9"/>
      <c r="AH71" s="12">
        <f t="shared" si="9"/>
        <v>38.700000000000003</v>
      </c>
      <c r="AI71" s="12">
        <f t="shared" si="10"/>
        <v>29.5</v>
      </c>
      <c r="AJ71" s="12">
        <f t="shared" si="11"/>
        <v>72.599999999999994</v>
      </c>
      <c r="AK71" s="12">
        <f t="shared" si="12"/>
        <v>78.100000000000009</v>
      </c>
      <c r="AL71" s="12">
        <f t="shared" si="13"/>
        <v>29.5</v>
      </c>
    </row>
    <row r="72" spans="1:38" ht="15.75" customHeight="1" x14ac:dyDescent="0.25">
      <c r="A72" s="1" t="s">
        <v>211</v>
      </c>
      <c r="B72" s="7" t="s">
        <v>157</v>
      </c>
      <c r="C72" s="4" t="s">
        <v>8</v>
      </c>
      <c r="D72" s="4">
        <v>42</v>
      </c>
      <c r="E72" s="4">
        <v>792</v>
      </c>
      <c r="F72" s="4">
        <v>42</v>
      </c>
      <c r="G72" s="4">
        <v>39</v>
      </c>
      <c r="H72" s="4">
        <v>18.899999999999999</v>
      </c>
      <c r="I72" s="4">
        <v>1.9</v>
      </c>
      <c r="J72" s="4">
        <v>4.4000000000000004</v>
      </c>
      <c r="K72" s="4">
        <v>0.432</v>
      </c>
      <c r="L72" s="4">
        <v>0.8</v>
      </c>
      <c r="M72" s="4">
        <v>2.2000000000000002</v>
      </c>
      <c r="N72" s="4">
        <v>0.35099999999999998</v>
      </c>
      <c r="O72" s="4">
        <v>1.1000000000000001</v>
      </c>
      <c r="P72" s="4">
        <v>2.2000000000000002</v>
      </c>
      <c r="Q72" s="4">
        <v>0.51600000000000001</v>
      </c>
      <c r="R72" s="4">
        <v>0.7</v>
      </c>
      <c r="S72" s="4">
        <v>0.8</v>
      </c>
      <c r="T72" s="4">
        <v>0.82899999999999996</v>
      </c>
      <c r="U72" s="4">
        <v>0.9</v>
      </c>
      <c r="V72" s="4">
        <v>3</v>
      </c>
      <c r="W72" s="4">
        <v>0.7</v>
      </c>
      <c r="X72" s="4">
        <v>0.5</v>
      </c>
      <c r="Y72" s="4">
        <v>0.2</v>
      </c>
      <c r="Z72" s="4">
        <v>0.7</v>
      </c>
      <c r="AA72" s="4">
        <v>2.6</v>
      </c>
      <c r="AB72" s="4">
        <v>5.3</v>
      </c>
      <c r="AC72" s="10">
        <f t="shared" si="7"/>
        <v>0.97212032281731453</v>
      </c>
      <c r="AD72" s="10">
        <f t="shared" si="8"/>
        <v>7.6923076923076927E-2</v>
      </c>
      <c r="AE72" s="12">
        <f>100*(AC72/TOTAL_BASIC!$D$302)</f>
        <v>101.08765544936003</v>
      </c>
      <c r="AF72" s="9"/>
      <c r="AG72" s="9"/>
      <c r="AH72" s="12">
        <f t="shared" si="9"/>
        <v>26.700000000000003</v>
      </c>
      <c r="AI72" s="12">
        <f t="shared" si="10"/>
        <v>60.6</v>
      </c>
      <c r="AJ72" s="12">
        <f t="shared" si="11"/>
        <v>34.4</v>
      </c>
      <c r="AK72" s="12">
        <f t="shared" si="12"/>
        <v>47.5</v>
      </c>
      <c r="AL72" s="12">
        <f t="shared" si="13"/>
        <v>62.8</v>
      </c>
    </row>
    <row r="73" spans="1:38" ht="15.75" customHeight="1" x14ac:dyDescent="0.25">
      <c r="A73" s="1" t="s">
        <v>118</v>
      </c>
      <c r="B73" s="7" t="s">
        <v>93</v>
      </c>
      <c r="C73" s="4" t="s">
        <v>119</v>
      </c>
      <c r="D73" s="4">
        <v>35</v>
      </c>
      <c r="E73" s="4">
        <v>788</v>
      </c>
      <c r="F73" s="4">
        <v>35</v>
      </c>
      <c r="G73" s="4">
        <v>26</v>
      </c>
      <c r="H73" s="4">
        <v>22.5</v>
      </c>
      <c r="I73" s="4">
        <v>3.7</v>
      </c>
      <c r="J73" s="4">
        <v>6.1</v>
      </c>
      <c r="K73" s="4">
        <v>0.60599999999999998</v>
      </c>
      <c r="L73" s="4">
        <v>0.1</v>
      </c>
      <c r="M73" s="4">
        <v>0.3</v>
      </c>
      <c r="N73" s="4">
        <v>0.222</v>
      </c>
      <c r="O73" s="4">
        <v>3.6</v>
      </c>
      <c r="P73" s="4">
        <v>5.8</v>
      </c>
      <c r="Q73" s="4">
        <v>0.623</v>
      </c>
      <c r="R73" s="4">
        <v>1.4</v>
      </c>
      <c r="S73" s="4">
        <v>1.7</v>
      </c>
      <c r="T73" s="4">
        <v>0.81399999999999995</v>
      </c>
      <c r="U73" s="4">
        <v>2.2000000000000002</v>
      </c>
      <c r="V73" s="4">
        <v>6.7</v>
      </c>
      <c r="W73" s="4">
        <v>1.1000000000000001</v>
      </c>
      <c r="X73" s="4">
        <v>0.8</v>
      </c>
      <c r="Y73" s="4">
        <v>1.3</v>
      </c>
      <c r="Z73" s="4">
        <v>0.9</v>
      </c>
      <c r="AA73" s="4">
        <v>2.5</v>
      </c>
      <c r="AB73" s="4">
        <v>8.8000000000000007</v>
      </c>
      <c r="AC73" s="10">
        <f t="shared" si="7"/>
        <v>1.1357769747031492</v>
      </c>
      <c r="AD73" s="10">
        <f t="shared" si="8"/>
        <v>0.52</v>
      </c>
      <c r="AE73" s="12">
        <f>100*(AC73/TOTAL_BASIC!$D$302)</f>
        <v>118.10578257778555</v>
      </c>
      <c r="AF73" s="9"/>
      <c r="AG73" s="9"/>
      <c r="AH73" s="12">
        <f t="shared" si="9"/>
        <v>92.800000000000011</v>
      </c>
      <c r="AI73" s="12">
        <f t="shared" si="10"/>
        <v>95.6</v>
      </c>
      <c r="AJ73" s="12">
        <f t="shared" si="11"/>
        <v>57.3</v>
      </c>
      <c r="AK73" s="12">
        <f t="shared" si="12"/>
        <v>59</v>
      </c>
      <c r="AL73" s="12">
        <f t="shared" si="13"/>
        <v>55.1</v>
      </c>
    </row>
    <row r="74" spans="1:38" ht="15.75" customHeight="1" x14ac:dyDescent="0.25">
      <c r="A74" s="1" t="s">
        <v>212</v>
      </c>
      <c r="B74" s="7" t="s">
        <v>157</v>
      </c>
      <c r="C74" s="4" t="s">
        <v>119</v>
      </c>
      <c r="D74" s="4">
        <v>41</v>
      </c>
      <c r="E74" s="4">
        <v>788</v>
      </c>
      <c r="F74" s="4">
        <v>41</v>
      </c>
      <c r="G74" s="4">
        <v>12</v>
      </c>
      <c r="H74" s="4">
        <v>19.2</v>
      </c>
      <c r="I74" s="4">
        <v>2.4</v>
      </c>
      <c r="J74" s="4">
        <v>3.7</v>
      </c>
      <c r="K74" s="4">
        <v>0.64700000000000002</v>
      </c>
      <c r="L74" s="4">
        <v>0</v>
      </c>
      <c r="M74" s="4">
        <v>0</v>
      </c>
      <c r="N74" s="4">
        <v>0</v>
      </c>
      <c r="O74" s="4">
        <v>2.4</v>
      </c>
      <c r="P74" s="4">
        <v>3.7</v>
      </c>
      <c r="Q74" s="4">
        <v>0.64700000000000002</v>
      </c>
      <c r="R74" s="4">
        <v>1</v>
      </c>
      <c r="S74" s="4">
        <v>1.4</v>
      </c>
      <c r="T74" s="4">
        <v>0.67200000000000004</v>
      </c>
      <c r="U74" s="4">
        <v>1.6</v>
      </c>
      <c r="V74" s="4">
        <v>4.9000000000000004</v>
      </c>
      <c r="W74" s="4">
        <v>0.5</v>
      </c>
      <c r="X74" s="4">
        <v>0.6</v>
      </c>
      <c r="Y74" s="4">
        <v>0.8</v>
      </c>
      <c r="Z74" s="4">
        <v>0.8</v>
      </c>
      <c r="AA74" s="4">
        <v>2</v>
      </c>
      <c r="AB74" s="4">
        <v>5.7</v>
      </c>
      <c r="AC74" s="10">
        <f t="shared" si="7"/>
        <v>1.1141516810007819</v>
      </c>
      <c r="AD74" s="10">
        <f t="shared" si="8"/>
        <v>0.4</v>
      </c>
      <c r="AE74" s="12">
        <f>100*(AC74/TOTAL_BASIC!$D$302)</f>
        <v>115.85703806801055</v>
      </c>
      <c r="AF74" s="9"/>
      <c r="AG74" s="9"/>
      <c r="AH74" s="12">
        <f t="shared" si="9"/>
        <v>86.3</v>
      </c>
      <c r="AI74" s="12">
        <f t="shared" si="10"/>
        <v>93.899999999999991</v>
      </c>
      <c r="AJ74" s="12">
        <f t="shared" si="11"/>
        <v>38.700000000000003</v>
      </c>
      <c r="AK74" s="12">
        <f t="shared" si="12"/>
        <v>49.1</v>
      </c>
      <c r="AL74" s="12">
        <f t="shared" si="13"/>
        <v>14.7</v>
      </c>
    </row>
    <row r="75" spans="1:38" ht="15.75" customHeight="1" x14ac:dyDescent="0.25">
      <c r="A75" s="1" t="s">
        <v>251</v>
      </c>
      <c r="B75" s="7" t="s">
        <v>131</v>
      </c>
      <c r="C75" s="4" t="s">
        <v>119</v>
      </c>
      <c r="D75" s="4">
        <v>32</v>
      </c>
      <c r="E75" s="4">
        <v>784</v>
      </c>
      <c r="F75" s="4">
        <v>32</v>
      </c>
      <c r="G75" s="4">
        <v>31</v>
      </c>
      <c r="H75" s="4">
        <v>24.5</v>
      </c>
      <c r="I75" s="4">
        <v>4</v>
      </c>
      <c r="J75" s="4">
        <v>9.5</v>
      </c>
      <c r="K75" s="4">
        <v>0.42599999999999999</v>
      </c>
      <c r="L75" s="4">
        <v>0.9</v>
      </c>
      <c r="M75" s="4">
        <v>3.4</v>
      </c>
      <c r="N75" s="4">
        <v>0.255</v>
      </c>
      <c r="O75" s="4">
        <v>3.2</v>
      </c>
      <c r="P75" s="4">
        <v>6</v>
      </c>
      <c r="Q75" s="4">
        <v>0.52300000000000002</v>
      </c>
      <c r="R75" s="4">
        <v>1.7</v>
      </c>
      <c r="S75" s="4">
        <v>2.1</v>
      </c>
      <c r="T75" s="4">
        <v>0.77900000000000003</v>
      </c>
      <c r="U75" s="4">
        <v>1.3</v>
      </c>
      <c r="V75" s="4">
        <v>6.4</v>
      </c>
      <c r="W75" s="4">
        <v>2.1</v>
      </c>
      <c r="X75" s="4">
        <v>0.8</v>
      </c>
      <c r="Y75" s="4">
        <v>0.8</v>
      </c>
      <c r="Z75" s="4">
        <v>1.6</v>
      </c>
      <c r="AA75" s="4">
        <v>3</v>
      </c>
      <c r="AB75" s="4">
        <v>10.6</v>
      </c>
      <c r="AC75" s="10">
        <f t="shared" si="7"/>
        <v>0.88157019294743844</v>
      </c>
      <c r="AD75" s="10">
        <f t="shared" si="8"/>
        <v>0.26666666666666666</v>
      </c>
      <c r="AE75" s="12">
        <f>100*(AC75/TOTAL_BASIC!$D$302)</f>
        <v>91.671639639040421</v>
      </c>
      <c r="AF75" s="9"/>
      <c r="AG75" s="9"/>
      <c r="AH75" s="12">
        <f t="shared" si="9"/>
        <v>75.900000000000006</v>
      </c>
      <c r="AI75" s="12">
        <f t="shared" si="10"/>
        <v>33.800000000000004</v>
      </c>
      <c r="AJ75" s="12">
        <f t="shared" si="11"/>
        <v>68.300000000000011</v>
      </c>
      <c r="AK75" s="12">
        <f t="shared" si="12"/>
        <v>67.2</v>
      </c>
      <c r="AL75" s="12">
        <f t="shared" si="13"/>
        <v>42.6</v>
      </c>
    </row>
    <row r="76" spans="1:38" ht="15.75" customHeight="1" x14ac:dyDescent="0.25">
      <c r="A76" s="1" t="s">
        <v>230</v>
      </c>
      <c r="B76" s="7" t="s">
        <v>140</v>
      </c>
      <c r="C76" s="4" t="s">
        <v>8</v>
      </c>
      <c r="D76" s="4">
        <v>40</v>
      </c>
      <c r="E76" s="4">
        <v>777</v>
      </c>
      <c r="F76" s="4">
        <v>40</v>
      </c>
      <c r="G76" s="4">
        <v>6</v>
      </c>
      <c r="H76" s="4">
        <v>19.399999999999999</v>
      </c>
      <c r="I76" s="4">
        <v>2.2000000000000002</v>
      </c>
      <c r="J76" s="4">
        <v>5.5</v>
      </c>
      <c r="K76" s="4">
        <v>0.39400000000000002</v>
      </c>
      <c r="L76" s="4">
        <v>0.6</v>
      </c>
      <c r="M76" s="4">
        <v>1.9</v>
      </c>
      <c r="N76" s="4">
        <v>0.28599999999999998</v>
      </c>
      <c r="O76" s="4">
        <v>1.6</v>
      </c>
      <c r="P76" s="4">
        <v>3.5</v>
      </c>
      <c r="Q76" s="4">
        <v>0.45400000000000001</v>
      </c>
      <c r="R76" s="4">
        <v>1.5</v>
      </c>
      <c r="S76" s="4">
        <v>2.5</v>
      </c>
      <c r="T76" s="4">
        <v>0.61199999999999999</v>
      </c>
      <c r="U76" s="4">
        <v>0.5</v>
      </c>
      <c r="V76" s="4">
        <v>2.9</v>
      </c>
      <c r="W76" s="4">
        <v>1.9</v>
      </c>
      <c r="X76" s="4">
        <v>0.5</v>
      </c>
      <c r="Y76" s="4">
        <v>0.2</v>
      </c>
      <c r="Z76" s="4">
        <v>1.1000000000000001</v>
      </c>
      <c r="AA76" s="4">
        <v>1.9</v>
      </c>
      <c r="AB76" s="4">
        <v>6.4</v>
      </c>
      <c r="AC76" s="10">
        <f t="shared" si="7"/>
        <v>0.83116883116883133</v>
      </c>
      <c r="AD76" s="10">
        <f t="shared" si="8"/>
        <v>0.10526315789473685</v>
      </c>
      <c r="AE76" s="12">
        <f>100*(AC76/TOTAL_BASIC!$D$302)</f>
        <v>86.430564667077462</v>
      </c>
      <c r="AF76" s="9"/>
      <c r="AG76" s="9"/>
      <c r="AH76" s="12">
        <f t="shared" si="9"/>
        <v>36.6</v>
      </c>
      <c r="AI76" s="12">
        <f t="shared" si="10"/>
        <v>19.600000000000001</v>
      </c>
      <c r="AJ76" s="12">
        <f t="shared" si="11"/>
        <v>45.300000000000004</v>
      </c>
      <c r="AK76" s="12">
        <f t="shared" si="12"/>
        <v>50.2</v>
      </c>
      <c r="AL76" s="12">
        <f t="shared" si="13"/>
        <v>8.1</v>
      </c>
    </row>
    <row r="77" spans="1:38" ht="15.75" customHeight="1" x14ac:dyDescent="0.25">
      <c r="A77" s="1" t="s">
        <v>142</v>
      </c>
      <c r="B77" s="7" t="s">
        <v>232</v>
      </c>
      <c r="C77" s="4" t="s">
        <v>85</v>
      </c>
      <c r="D77" s="4">
        <v>42</v>
      </c>
      <c r="E77" s="4">
        <v>775</v>
      </c>
      <c r="F77" s="4">
        <v>42</v>
      </c>
      <c r="G77" s="4">
        <v>28</v>
      </c>
      <c r="H77" s="4">
        <v>18.5</v>
      </c>
      <c r="I77" s="4">
        <v>1.6</v>
      </c>
      <c r="J77" s="4">
        <v>4.4000000000000004</v>
      </c>
      <c r="K77" s="4">
        <v>0.36599999999999999</v>
      </c>
      <c r="L77" s="4">
        <v>0.5</v>
      </c>
      <c r="M77" s="4">
        <v>2.1</v>
      </c>
      <c r="N77" s="4">
        <v>0.24399999999999999</v>
      </c>
      <c r="O77" s="4">
        <v>1.1000000000000001</v>
      </c>
      <c r="P77" s="4">
        <v>2.2999999999999998</v>
      </c>
      <c r="Q77" s="4">
        <v>0.47899999999999998</v>
      </c>
      <c r="R77" s="4">
        <v>0.5</v>
      </c>
      <c r="S77" s="4">
        <v>0.9</v>
      </c>
      <c r="T77" s="4">
        <v>0.63900000000000001</v>
      </c>
      <c r="U77" s="4">
        <v>0.8</v>
      </c>
      <c r="V77" s="4">
        <v>2.2000000000000002</v>
      </c>
      <c r="W77" s="4">
        <v>0.8</v>
      </c>
      <c r="X77" s="4">
        <v>0.7</v>
      </c>
      <c r="Y77" s="4">
        <v>0.1</v>
      </c>
      <c r="Z77" s="4">
        <v>0.6</v>
      </c>
      <c r="AA77" s="4">
        <v>2.2999999999999998</v>
      </c>
      <c r="AB77" s="4">
        <v>4.3</v>
      </c>
      <c r="AC77" s="10">
        <f t="shared" si="7"/>
        <v>0.79688658265381762</v>
      </c>
      <c r="AD77" s="10">
        <f t="shared" si="8"/>
        <v>4.3478260869565223E-2</v>
      </c>
      <c r="AE77" s="12">
        <f>100*(AC77/TOTAL_BASIC!$D$302)</f>
        <v>82.865664268872024</v>
      </c>
      <c r="AF77" s="9"/>
      <c r="AG77" s="9"/>
      <c r="AH77" s="12">
        <f t="shared" si="9"/>
        <v>13.600000000000001</v>
      </c>
      <c r="AI77" s="12">
        <f t="shared" si="10"/>
        <v>12.5</v>
      </c>
      <c r="AJ77" s="12">
        <f t="shared" si="11"/>
        <v>25.6</v>
      </c>
      <c r="AK77" s="12">
        <f t="shared" si="12"/>
        <v>46.9</v>
      </c>
      <c r="AL77" s="12">
        <f t="shared" si="13"/>
        <v>10.299999999999999</v>
      </c>
    </row>
    <row r="78" spans="1:38" ht="15.75" customHeight="1" x14ac:dyDescent="0.25">
      <c r="A78" s="1" t="s">
        <v>214</v>
      </c>
      <c r="B78" s="7" t="s">
        <v>157</v>
      </c>
      <c r="C78" s="4" t="s">
        <v>85</v>
      </c>
      <c r="D78" s="4">
        <v>41</v>
      </c>
      <c r="E78" s="4">
        <v>773</v>
      </c>
      <c r="F78" s="4">
        <v>41</v>
      </c>
      <c r="G78" s="4">
        <v>31</v>
      </c>
      <c r="H78" s="4">
        <v>18.899999999999999</v>
      </c>
      <c r="I78" s="4">
        <v>2.2000000000000002</v>
      </c>
      <c r="J78" s="4">
        <v>4.3</v>
      </c>
      <c r="K78" s="4">
        <v>0.52</v>
      </c>
      <c r="L78" s="4">
        <v>0.1</v>
      </c>
      <c r="M78" s="4">
        <v>0.4</v>
      </c>
      <c r="N78" s="4">
        <v>0.27800000000000002</v>
      </c>
      <c r="O78" s="4">
        <v>2.1</v>
      </c>
      <c r="P78" s="4">
        <v>3.9</v>
      </c>
      <c r="Q78" s="4">
        <v>0.54700000000000004</v>
      </c>
      <c r="R78" s="4">
        <v>1.9</v>
      </c>
      <c r="S78" s="4">
        <v>2.5</v>
      </c>
      <c r="T78" s="4">
        <v>0.748</v>
      </c>
      <c r="U78" s="4">
        <v>1.6</v>
      </c>
      <c r="V78" s="4">
        <v>4.5999999999999996</v>
      </c>
      <c r="W78" s="4">
        <v>1</v>
      </c>
      <c r="X78" s="4">
        <v>0.9</v>
      </c>
      <c r="Y78" s="4">
        <v>0.5</v>
      </c>
      <c r="Z78" s="4">
        <v>0.8</v>
      </c>
      <c r="AA78" s="4">
        <v>2.1</v>
      </c>
      <c r="AB78" s="4">
        <v>6.5</v>
      </c>
      <c r="AC78" s="10">
        <f t="shared" si="7"/>
        <v>1.0483870967741935</v>
      </c>
      <c r="AD78" s="10">
        <f t="shared" si="8"/>
        <v>0.23809523809523808</v>
      </c>
      <c r="AE78" s="12">
        <f>100*(AC78/TOTAL_BASIC!$D$302)</f>
        <v>109.01839116903291</v>
      </c>
      <c r="AF78" s="9"/>
      <c r="AG78" s="9"/>
      <c r="AH78" s="12">
        <f t="shared" si="9"/>
        <v>74.8</v>
      </c>
      <c r="AI78" s="12">
        <f t="shared" si="10"/>
        <v>85.7</v>
      </c>
      <c r="AJ78" s="12">
        <f t="shared" si="11"/>
        <v>48</v>
      </c>
      <c r="AK78" s="12">
        <f t="shared" si="12"/>
        <v>47.5</v>
      </c>
      <c r="AL78" s="12">
        <f t="shared" si="13"/>
        <v>33.300000000000004</v>
      </c>
    </row>
    <row r="79" spans="1:38" ht="15.75" customHeight="1" x14ac:dyDescent="0.25">
      <c r="A79" s="1" t="s">
        <v>220</v>
      </c>
      <c r="B79" s="7" t="s">
        <v>99</v>
      </c>
      <c r="C79" s="4" t="s">
        <v>85</v>
      </c>
      <c r="D79" s="4">
        <v>40</v>
      </c>
      <c r="E79" s="4">
        <v>733</v>
      </c>
      <c r="F79" s="4">
        <v>40</v>
      </c>
      <c r="G79" s="4">
        <v>25</v>
      </c>
      <c r="H79" s="4">
        <v>18.3</v>
      </c>
      <c r="I79" s="4">
        <v>2.2999999999999998</v>
      </c>
      <c r="J79" s="4">
        <v>4.5</v>
      </c>
      <c r="K79" s="4">
        <v>0.503</v>
      </c>
      <c r="L79" s="4">
        <v>0.7</v>
      </c>
      <c r="M79" s="4">
        <v>1.9</v>
      </c>
      <c r="N79" s="4">
        <v>0.36799999999999999</v>
      </c>
      <c r="O79" s="4">
        <v>1.6</v>
      </c>
      <c r="P79" s="4">
        <v>2.6</v>
      </c>
      <c r="Q79" s="4">
        <v>0.6</v>
      </c>
      <c r="R79" s="4">
        <v>0.9</v>
      </c>
      <c r="S79" s="4">
        <v>1.2</v>
      </c>
      <c r="T79" s="4">
        <v>0.71399999999999997</v>
      </c>
      <c r="U79" s="4">
        <v>0.7</v>
      </c>
      <c r="V79" s="4">
        <v>3.9</v>
      </c>
      <c r="W79" s="4">
        <v>1</v>
      </c>
      <c r="X79" s="4">
        <v>0.6</v>
      </c>
      <c r="Y79" s="4">
        <v>1.7</v>
      </c>
      <c r="Z79" s="4">
        <v>1</v>
      </c>
      <c r="AA79" s="4">
        <v>1.8</v>
      </c>
      <c r="AB79" s="4">
        <v>6.1</v>
      </c>
      <c r="AC79" s="10">
        <f t="shared" si="7"/>
        <v>1.0119442601194424</v>
      </c>
      <c r="AD79" s="10">
        <f t="shared" si="8"/>
        <v>0.94444444444444442</v>
      </c>
      <c r="AE79" s="12">
        <f>100*(AC79/TOTAL_BASIC!$D$302)</f>
        <v>105.22881818214546</v>
      </c>
      <c r="AF79" s="9"/>
      <c r="AG79" s="9"/>
      <c r="AH79" s="12">
        <f t="shared" si="9"/>
        <v>98.9</v>
      </c>
      <c r="AI79" s="12">
        <f t="shared" si="10"/>
        <v>73.2</v>
      </c>
      <c r="AJ79" s="12">
        <f t="shared" si="11"/>
        <v>40.9</v>
      </c>
      <c r="AK79" s="12">
        <f t="shared" si="12"/>
        <v>46.400000000000006</v>
      </c>
      <c r="AL79" s="12">
        <f t="shared" si="13"/>
        <v>22.900000000000002</v>
      </c>
    </row>
    <row r="80" spans="1:38" ht="15.75" customHeight="1" x14ac:dyDescent="0.25">
      <c r="A80" s="1" t="s">
        <v>208</v>
      </c>
      <c r="B80" s="7" t="s">
        <v>140</v>
      </c>
      <c r="C80" s="4" t="s">
        <v>88</v>
      </c>
      <c r="D80" s="4">
        <v>42</v>
      </c>
      <c r="E80" s="4">
        <v>731</v>
      </c>
      <c r="F80" s="4">
        <v>42</v>
      </c>
      <c r="G80" s="4">
        <v>1</v>
      </c>
      <c r="H80" s="4">
        <v>17.399999999999999</v>
      </c>
      <c r="I80" s="4">
        <v>2.5</v>
      </c>
      <c r="J80" s="4">
        <v>4.5</v>
      </c>
      <c r="K80" s="4">
        <v>0.54700000000000004</v>
      </c>
      <c r="L80" s="4">
        <v>0</v>
      </c>
      <c r="M80" s="4">
        <v>0</v>
      </c>
      <c r="N80" s="4">
        <v>0</v>
      </c>
      <c r="O80" s="4">
        <v>2.5</v>
      </c>
      <c r="P80" s="4">
        <v>4.5</v>
      </c>
      <c r="Q80" s="4">
        <v>0.54700000000000004</v>
      </c>
      <c r="R80" s="4">
        <v>1.4</v>
      </c>
      <c r="S80" s="4">
        <v>2</v>
      </c>
      <c r="T80" s="4">
        <v>0.72299999999999998</v>
      </c>
      <c r="U80" s="4">
        <v>1.1000000000000001</v>
      </c>
      <c r="V80" s="4">
        <v>4.5</v>
      </c>
      <c r="W80" s="4">
        <v>1.1000000000000001</v>
      </c>
      <c r="X80" s="4">
        <v>0.6</v>
      </c>
      <c r="Y80" s="4">
        <v>0.8</v>
      </c>
      <c r="Z80" s="4">
        <v>0.9</v>
      </c>
      <c r="AA80" s="4">
        <v>1.3</v>
      </c>
      <c r="AB80" s="4">
        <v>6.4</v>
      </c>
      <c r="AC80" s="10">
        <f t="shared" si="7"/>
        <v>1.0191082802547771</v>
      </c>
      <c r="AD80" s="10">
        <f t="shared" si="8"/>
        <v>0.61538461538461542</v>
      </c>
      <c r="AE80" s="12">
        <f>100*(AC80/TOTAL_BASIC!$D$302)</f>
        <v>105.97378151855037</v>
      </c>
      <c r="AF80" s="9"/>
      <c r="AG80" s="9"/>
      <c r="AH80" s="12">
        <f t="shared" si="9"/>
        <v>94.5</v>
      </c>
      <c r="AI80" s="12">
        <f t="shared" si="10"/>
        <v>74.8</v>
      </c>
      <c r="AJ80" s="12">
        <f t="shared" si="11"/>
        <v>45.300000000000004</v>
      </c>
      <c r="AK80" s="12">
        <f t="shared" si="12"/>
        <v>43.1</v>
      </c>
      <c r="AL80" s="12">
        <f t="shared" si="13"/>
        <v>29.5</v>
      </c>
    </row>
    <row r="81" spans="1:38" ht="15.75" customHeight="1" x14ac:dyDescent="0.25">
      <c r="A81" s="1" t="s">
        <v>167</v>
      </c>
      <c r="B81" s="7" t="s">
        <v>131</v>
      </c>
      <c r="C81" s="4" t="s">
        <v>8</v>
      </c>
      <c r="D81" s="4">
        <v>37</v>
      </c>
      <c r="E81" s="4">
        <v>718</v>
      </c>
      <c r="F81" s="4">
        <v>37</v>
      </c>
      <c r="G81" s="4">
        <v>16</v>
      </c>
      <c r="H81" s="4">
        <v>19.399999999999999</v>
      </c>
      <c r="I81" s="4">
        <v>2.5</v>
      </c>
      <c r="J81" s="4">
        <v>5.9</v>
      </c>
      <c r="K81" s="4">
        <v>0.42399999999999999</v>
      </c>
      <c r="L81" s="4">
        <v>0.4</v>
      </c>
      <c r="M81" s="4">
        <v>1.8</v>
      </c>
      <c r="N81" s="4">
        <v>0.246</v>
      </c>
      <c r="O81" s="4">
        <v>2.1</v>
      </c>
      <c r="P81" s="4">
        <v>4.0999999999999996</v>
      </c>
      <c r="Q81" s="4">
        <v>0.5</v>
      </c>
      <c r="R81" s="4">
        <v>1.4</v>
      </c>
      <c r="S81" s="4">
        <v>1.7</v>
      </c>
      <c r="T81" s="4">
        <v>0.82499999999999996</v>
      </c>
      <c r="U81" s="4">
        <v>0.7</v>
      </c>
      <c r="V81" s="4">
        <v>2.9</v>
      </c>
      <c r="W81" s="4">
        <v>0.8</v>
      </c>
      <c r="X81" s="4">
        <v>0.7</v>
      </c>
      <c r="Y81" s="4">
        <v>0.1</v>
      </c>
      <c r="Z81" s="4">
        <v>1.2</v>
      </c>
      <c r="AA81" s="4">
        <v>1.5</v>
      </c>
      <c r="AB81" s="4">
        <v>6.8</v>
      </c>
      <c r="AC81" s="10">
        <f t="shared" si="7"/>
        <v>0.86646279306829754</v>
      </c>
      <c r="AD81" s="10">
        <f t="shared" si="8"/>
        <v>6.6666666666666666E-2</v>
      </c>
      <c r="AE81" s="12">
        <f>100*(AC81/TOTAL_BASIC!$D$302)</f>
        <v>90.100669875449441</v>
      </c>
      <c r="AF81" s="9"/>
      <c r="AG81" s="9"/>
      <c r="AH81" s="12">
        <f t="shared" si="9"/>
        <v>23.400000000000002</v>
      </c>
      <c r="AI81" s="12">
        <f t="shared" si="10"/>
        <v>28.9</v>
      </c>
      <c r="AJ81" s="12">
        <f t="shared" si="11"/>
        <v>48.6</v>
      </c>
      <c r="AK81" s="12">
        <f t="shared" si="12"/>
        <v>50.2</v>
      </c>
      <c r="AL81" s="12">
        <f t="shared" si="13"/>
        <v>59</v>
      </c>
    </row>
    <row r="82" spans="1:38" ht="15.75" customHeight="1" x14ac:dyDescent="0.25">
      <c r="A82" s="1" t="s">
        <v>236</v>
      </c>
      <c r="B82" s="7" t="s">
        <v>131</v>
      </c>
      <c r="C82" s="4" t="s">
        <v>8</v>
      </c>
      <c r="D82" s="4">
        <v>35</v>
      </c>
      <c r="E82" s="4">
        <v>713</v>
      </c>
      <c r="F82" s="4">
        <v>35</v>
      </c>
      <c r="G82" s="4">
        <v>24</v>
      </c>
      <c r="H82" s="4">
        <v>20.399999999999999</v>
      </c>
      <c r="I82" s="4">
        <v>4.7</v>
      </c>
      <c r="J82" s="4">
        <v>11.1</v>
      </c>
      <c r="K82" s="4">
        <v>0.42599999999999999</v>
      </c>
      <c r="L82" s="4">
        <v>1.9</v>
      </c>
      <c r="M82" s="4">
        <v>5.9</v>
      </c>
      <c r="N82" s="4">
        <v>0.32700000000000001</v>
      </c>
      <c r="O82" s="4">
        <v>2.8</v>
      </c>
      <c r="P82" s="4">
        <v>5.2</v>
      </c>
      <c r="Q82" s="4">
        <v>0.53800000000000003</v>
      </c>
      <c r="R82" s="4">
        <v>2</v>
      </c>
      <c r="S82" s="4">
        <v>2.6</v>
      </c>
      <c r="T82" s="4">
        <v>0.77800000000000002</v>
      </c>
      <c r="U82" s="4">
        <v>0.3</v>
      </c>
      <c r="V82" s="4">
        <v>1.6</v>
      </c>
      <c r="W82" s="4">
        <v>1.9</v>
      </c>
      <c r="X82" s="4">
        <v>0.7</v>
      </c>
      <c r="Y82" s="4">
        <v>0.2</v>
      </c>
      <c r="Z82" s="4">
        <v>1.5</v>
      </c>
      <c r="AA82" s="4">
        <v>2.6</v>
      </c>
      <c r="AB82" s="4">
        <v>13.4</v>
      </c>
      <c r="AC82" s="10">
        <f t="shared" si="7"/>
        <v>0.97497089639115253</v>
      </c>
      <c r="AD82" s="10">
        <f t="shared" si="8"/>
        <v>7.6923076923076927E-2</v>
      </c>
      <c r="AE82" s="12">
        <f>100*(AC82/TOTAL_BASIC!$D$302)</f>
        <v>101.38407739683055</v>
      </c>
      <c r="AF82" s="9"/>
      <c r="AG82" s="9"/>
      <c r="AH82" s="12">
        <f t="shared" si="9"/>
        <v>26.700000000000003</v>
      </c>
      <c r="AI82" s="12">
        <f t="shared" si="10"/>
        <v>62.2</v>
      </c>
      <c r="AJ82" s="12">
        <f t="shared" si="11"/>
        <v>78.600000000000009</v>
      </c>
      <c r="AK82" s="12">
        <f t="shared" si="12"/>
        <v>53</v>
      </c>
      <c r="AL82" s="12">
        <f t="shared" si="13"/>
        <v>41.5</v>
      </c>
    </row>
    <row r="83" spans="1:38" ht="15.75" customHeight="1" x14ac:dyDescent="0.25">
      <c r="A83" s="1" t="s">
        <v>181</v>
      </c>
      <c r="B83" s="7" t="s">
        <v>117</v>
      </c>
      <c r="C83" s="4" t="s">
        <v>85</v>
      </c>
      <c r="D83" s="4">
        <v>42</v>
      </c>
      <c r="E83" s="4">
        <v>708</v>
      </c>
      <c r="F83" s="4">
        <v>42</v>
      </c>
      <c r="G83" s="4">
        <v>41</v>
      </c>
      <c r="H83" s="4">
        <v>16.899999999999999</v>
      </c>
      <c r="I83" s="4">
        <v>1.4</v>
      </c>
      <c r="J83" s="4">
        <v>3.1</v>
      </c>
      <c r="K83" s="4">
        <v>0.443</v>
      </c>
      <c r="L83" s="4">
        <v>0.5</v>
      </c>
      <c r="M83" s="4">
        <v>1.7</v>
      </c>
      <c r="N83" s="4">
        <v>0.27400000000000002</v>
      </c>
      <c r="O83" s="4">
        <v>0.9</v>
      </c>
      <c r="P83" s="4">
        <v>1.4</v>
      </c>
      <c r="Q83" s="4">
        <v>0.65500000000000003</v>
      </c>
      <c r="R83" s="4">
        <v>0.3</v>
      </c>
      <c r="S83" s="4">
        <v>0.4</v>
      </c>
      <c r="T83" s="4">
        <v>0.66700000000000004</v>
      </c>
      <c r="U83" s="4">
        <v>0.8</v>
      </c>
      <c r="V83" s="4">
        <v>2.6</v>
      </c>
      <c r="W83" s="4">
        <v>1.1000000000000001</v>
      </c>
      <c r="X83" s="4">
        <v>0.6</v>
      </c>
      <c r="Y83" s="4">
        <v>0.3</v>
      </c>
      <c r="Z83" s="4">
        <v>0.7</v>
      </c>
      <c r="AA83" s="4">
        <v>1.6</v>
      </c>
      <c r="AB83" s="4">
        <v>3.5</v>
      </c>
      <c r="AC83" s="10">
        <f t="shared" si="7"/>
        <v>0.88028169014084512</v>
      </c>
      <c r="AD83" s="10">
        <f t="shared" si="8"/>
        <v>0.18749999999999997</v>
      </c>
      <c r="AE83" s="12">
        <f>100*(AC83/TOTAL_BASIC!$D$302)</f>
        <v>91.53765239003306</v>
      </c>
      <c r="AF83" s="9"/>
      <c r="AG83" s="9"/>
      <c r="AH83" s="12">
        <f t="shared" si="9"/>
        <v>63.3</v>
      </c>
      <c r="AI83" s="12">
        <f t="shared" si="10"/>
        <v>33.300000000000004</v>
      </c>
      <c r="AJ83" s="12">
        <f t="shared" si="11"/>
        <v>15.8</v>
      </c>
      <c r="AK83" s="12">
        <f t="shared" si="12"/>
        <v>40.9</v>
      </c>
      <c r="AL83" s="12">
        <f t="shared" si="13"/>
        <v>14.2</v>
      </c>
    </row>
    <row r="84" spans="1:38" ht="15.75" customHeight="1" x14ac:dyDescent="0.25">
      <c r="A84" s="1" t="s">
        <v>257</v>
      </c>
      <c r="B84" s="4" t="s">
        <v>161</v>
      </c>
      <c r="C84" s="4" t="s">
        <v>85</v>
      </c>
      <c r="D84" s="4">
        <v>30</v>
      </c>
      <c r="E84" s="4">
        <v>707</v>
      </c>
      <c r="F84" s="4">
        <v>30</v>
      </c>
      <c r="G84" s="4">
        <v>24</v>
      </c>
      <c r="H84" s="4">
        <v>23.6</v>
      </c>
      <c r="I84" s="4">
        <v>4.4000000000000004</v>
      </c>
      <c r="J84" s="4">
        <v>10.4</v>
      </c>
      <c r="K84" s="4">
        <v>0.42599999999999999</v>
      </c>
      <c r="L84" s="4">
        <v>0.7</v>
      </c>
      <c r="M84" s="4">
        <v>2.5</v>
      </c>
      <c r="N84" s="4">
        <v>0.28399999999999997</v>
      </c>
      <c r="O84" s="4">
        <v>3.7</v>
      </c>
      <c r="P84" s="4">
        <v>7.9</v>
      </c>
      <c r="Q84" s="4">
        <v>0.47099999999999997</v>
      </c>
      <c r="R84" s="4">
        <v>2.7</v>
      </c>
      <c r="S84" s="4">
        <v>3.8</v>
      </c>
      <c r="T84" s="4">
        <v>0.71699999999999997</v>
      </c>
      <c r="U84" s="4">
        <v>1.8</v>
      </c>
      <c r="V84" s="4">
        <v>6.6</v>
      </c>
      <c r="W84" s="4">
        <v>1.6</v>
      </c>
      <c r="X84" s="4">
        <v>0.8</v>
      </c>
      <c r="Y84" s="4">
        <v>0.7</v>
      </c>
      <c r="Z84" s="4">
        <v>1.7</v>
      </c>
      <c r="AA84" s="4">
        <v>2.5</v>
      </c>
      <c r="AB84" s="4">
        <v>12.3</v>
      </c>
      <c r="AC84" s="10">
        <f t="shared" si="7"/>
        <v>0.89311646819634039</v>
      </c>
      <c r="AD84" s="10">
        <f t="shared" si="8"/>
        <v>0.27999999999999997</v>
      </c>
      <c r="AE84" s="12">
        <f>100*(AC84/TOTAL_BASIC!$D$302)</f>
        <v>92.872299543672227</v>
      </c>
      <c r="AF84" s="9"/>
      <c r="AG84" s="9"/>
      <c r="AH84" s="12">
        <f t="shared" si="9"/>
        <v>78.100000000000009</v>
      </c>
      <c r="AI84" s="12">
        <f t="shared" si="10"/>
        <v>39.300000000000004</v>
      </c>
      <c r="AJ84" s="12">
        <f t="shared" si="11"/>
        <v>74.8</v>
      </c>
      <c r="AK84" s="12">
        <f t="shared" si="12"/>
        <v>62.8</v>
      </c>
      <c r="AL84" s="12">
        <f t="shared" si="13"/>
        <v>26.200000000000003</v>
      </c>
    </row>
    <row r="85" spans="1:38" ht="15.75" customHeight="1" x14ac:dyDescent="0.25">
      <c r="A85" s="1" t="s">
        <v>184</v>
      </c>
      <c r="B85" s="7" t="s">
        <v>107</v>
      </c>
      <c r="C85" s="4" t="s">
        <v>88</v>
      </c>
      <c r="D85" s="4">
        <v>33</v>
      </c>
      <c r="E85" s="4">
        <v>700</v>
      </c>
      <c r="F85" s="4">
        <v>33</v>
      </c>
      <c r="G85" s="4">
        <v>23</v>
      </c>
      <c r="H85" s="4">
        <v>21.2</v>
      </c>
      <c r="I85" s="4">
        <v>3.8</v>
      </c>
      <c r="J85" s="4">
        <v>6.6</v>
      </c>
      <c r="K85" s="4">
        <v>0.57599999999999996</v>
      </c>
      <c r="L85" s="4">
        <v>0</v>
      </c>
      <c r="M85" s="4">
        <v>0.1</v>
      </c>
      <c r="N85" s="4">
        <v>0</v>
      </c>
      <c r="O85" s="4">
        <v>3.8</v>
      </c>
      <c r="P85" s="4">
        <v>6.5</v>
      </c>
      <c r="Q85" s="4">
        <v>0.58099999999999996</v>
      </c>
      <c r="R85" s="4">
        <v>2.5</v>
      </c>
      <c r="S85" s="4">
        <v>3.7</v>
      </c>
      <c r="T85" s="4">
        <v>0.68300000000000005</v>
      </c>
      <c r="U85" s="4">
        <v>1.6</v>
      </c>
      <c r="V85" s="4">
        <v>5.9</v>
      </c>
      <c r="W85" s="4">
        <v>1.6</v>
      </c>
      <c r="X85" s="4">
        <v>0.8</v>
      </c>
      <c r="Y85" s="4">
        <v>0.8</v>
      </c>
      <c r="Z85" s="4">
        <v>1.6</v>
      </c>
      <c r="AA85" s="4">
        <v>3</v>
      </c>
      <c r="AB85" s="4">
        <v>10.1</v>
      </c>
      <c r="AC85" s="10">
        <f t="shared" si="7"/>
        <v>1.0276760276760277</v>
      </c>
      <c r="AD85" s="10">
        <f t="shared" si="8"/>
        <v>0.26666666666666666</v>
      </c>
      <c r="AE85" s="12">
        <f>100*(AC85/TOTAL_BASIC!$D$302)</f>
        <v>106.86471392575126</v>
      </c>
      <c r="AF85" s="9"/>
      <c r="AG85" s="9"/>
      <c r="AH85" s="12">
        <f t="shared" si="9"/>
        <v>75.900000000000006</v>
      </c>
      <c r="AI85" s="12">
        <f t="shared" si="10"/>
        <v>78.100000000000009</v>
      </c>
      <c r="AJ85" s="12">
        <f t="shared" si="11"/>
        <v>65.5</v>
      </c>
      <c r="AK85" s="12">
        <f t="shared" si="12"/>
        <v>55.1</v>
      </c>
      <c r="AL85" s="12">
        <f t="shared" si="13"/>
        <v>18.5</v>
      </c>
    </row>
    <row r="86" spans="1:38" ht="15.75" customHeight="1" x14ac:dyDescent="0.25">
      <c r="A86" s="1" t="s">
        <v>209</v>
      </c>
      <c r="B86" s="7" t="s">
        <v>131</v>
      </c>
      <c r="C86" s="4" t="s">
        <v>183</v>
      </c>
      <c r="D86" s="4">
        <v>42</v>
      </c>
      <c r="E86" s="4">
        <v>699</v>
      </c>
      <c r="F86" s="4">
        <v>42</v>
      </c>
      <c r="G86" s="4">
        <v>1</v>
      </c>
      <c r="H86" s="4">
        <v>16.600000000000001</v>
      </c>
      <c r="I86" s="4">
        <v>2</v>
      </c>
      <c r="J86" s="4">
        <v>4.4000000000000004</v>
      </c>
      <c r="K86" s="4">
        <v>0.46200000000000002</v>
      </c>
      <c r="L86" s="4">
        <v>0</v>
      </c>
      <c r="M86" s="4">
        <v>0</v>
      </c>
      <c r="N86" s="4">
        <v>0</v>
      </c>
      <c r="O86" s="4">
        <v>2</v>
      </c>
      <c r="P86" s="4">
        <v>4.4000000000000004</v>
      </c>
      <c r="Q86" s="4">
        <v>0.46200000000000002</v>
      </c>
      <c r="R86" s="4">
        <v>1</v>
      </c>
      <c r="S86" s="4">
        <v>2.2000000000000002</v>
      </c>
      <c r="T86" s="4">
        <v>0.45100000000000001</v>
      </c>
      <c r="U86" s="4">
        <v>1.2</v>
      </c>
      <c r="V86" s="4">
        <v>3.5</v>
      </c>
      <c r="W86" s="4">
        <v>1.3</v>
      </c>
      <c r="X86" s="4">
        <v>0.6</v>
      </c>
      <c r="Y86" s="4">
        <v>0.9</v>
      </c>
      <c r="Z86" s="4">
        <v>0.8</v>
      </c>
      <c r="AA86" s="4">
        <v>1.3</v>
      </c>
      <c r="AB86" s="4">
        <v>5.0999999999999996</v>
      </c>
      <c r="AC86" s="10">
        <f t="shared" si="7"/>
        <v>0.8268482490272373</v>
      </c>
      <c r="AD86" s="10">
        <f t="shared" si="8"/>
        <v>0.69230769230769229</v>
      </c>
      <c r="AE86" s="12">
        <f>100*(AC86/TOTAL_BASIC!$D$302)</f>
        <v>85.981281272194465</v>
      </c>
      <c r="AF86" s="9"/>
      <c r="AG86" s="9"/>
      <c r="AH86" s="12">
        <f t="shared" si="9"/>
        <v>97.8</v>
      </c>
      <c r="AI86" s="12">
        <f t="shared" si="10"/>
        <v>18.5</v>
      </c>
      <c r="AJ86" s="12">
        <f t="shared" si="11"/>
        <v>32.200000000000003</v>
      </c>
      <c r="AK86" s="12">
        <f t="shared" si="12"/>
        <v>38.700000000000003</v>
      </c>
      <c r="AL86" s="12">
        <f t="shared" si="13"/>
        <v>1</v>
      </c>
    </row>
    <row r="87" spans="1:38" ht="15.75" customHeight="1" x14ac:dyDescent="0.25">
      <c r="A87" s="1" t="s">
        <v>199</v>
      </c>
      <c r="B87" s="7" t="s">
        <v>161</v>
      </c>
      <c r="C87" s="4" t="s">
        <v>8</v>
      </c>
      <c r="D87" s="4">
        <v>26</v>
      </c>
      <c r="E87" s="4">
        <v>697</v>
      </c>
      <c r="F87" s="4">
        <v>26</v>
      </c>
      <c r="G87" s="4">
        <v>18</v>
      </c>
      <c r="H87" s="4">
        <v>26.8</v>
      </c>
      <c r="I87" s="4">
        <v>4.4000000000000004</v>
      </c>
      <c r="J87" s="4">
        <v>9.1999999999999993</v>
      </c>
      <c r="K87" s="4">
        <v>0.47899999999999998</v>
      </c>
      <c r="L87" s="4">
        <v>0.9</v>
      </c>
      <c r="M87" s="4">
        <v>2.5</v>
      </c>
      <c r="N87" s="4">
        <v>0.34799999999999998</v>
      </c>
      <c r="O87" s="4">
        <v>3.5</v>
      </c>
      <c r="P87" s="4">
        <v>6.7</v>
      </c>
      <c r="Q87" s="4">
        <v>0.52900000000000003</v>
      </c>
      <c r="R87" s="4">
        <v>3.3</v>
      </c>
      <c r="S87" s="4">
        <v>3.8</v>
      </c>
      <c r="T87" s="4">
        <v>0.85899999999999999</v>
      </c>
      <c r="U87" s="4">
        <v>1.1000000000000001</v>
      </c>
      <c r="V87" s="4">
        <v>3.5</v>
      </c>
      <c r="W87" s="4">
        <v>3.4</v>
      </c>
      <c r="X87" s="4">
        <v>0.7</v>
      </c>
      <c r="Y87" s="4">
        <v>0.2</v>
      </c>
      <c r="Z87" s="4">
        <v>1.8</v>
      </c>
      <c r="AA87" s="4">
        <v>3</v>
      </c>
      <c r="AB87" s="4">
        <v>13</v>
      </c>
      <c r="AC87" s="10">
        <f t="shared" si="7"/>
        <v>1.0258838383838382</v>
      </c>
      <c r="AD87" s="10">
        <f t="shared" si="8"/>
        <v>6.6666666666666666E-2</v>
      </c>
      <c r="AE87" s="12">
        <f>100*(AC87/TOTAL_BASIC!$D$302)</f>
        <v>106.67834994444507</v>
      </c>
      <c r="AF87" s="9"/>
      <c r="AG87" s="9"/>
      <c r="AH87" s="12">
        <f t="shared" si="9"/>
        <v>23.400000000000002</v>
      </c>
      <c r="AI87" s="12">
        <f t="shared" si="10"/>
        <v>77.5</v>
      </c>
      <c r="AJ87" s="12">
        <f t="shared" si="11"/>
        <v>76.5</v>
      </c>
      <c r="AK87" s="12">
        <f t="shared" si="12"/>
        <v>73.7</v>
      </c>
      <c r="AL87" s="12">
        <f t="shared" si="13"/>
        <v>76.5</v>
      </c>
    </row>
    <row r="88" spans="1:38" ht="15.75" customHeight="1" x14ac:dyDescent="0.25">
      <c r="A88" s="1" t="s">
        <v>235</v>
      </c>
      <c r="B88" s="7" t="s">
        <v>91</v>
      </c>
      <c r="C88" s="4" t="s">
        <v>8</v>
      </c>
      <c r="D88" s="4">
        <v>40</v>
      </c>
      <c r="E88" s="4">
        <v>674</v>
      </c>
      <c r="F88" s="4">
        <v>40</v>
      </c>
      <c r="G88" s="4">
        <v>4</v>
      </c>
      <c r="H88" s="4">
        <v>16.899999999999999</v>
      </c>
      <c r="I88" s="4">
        <v>3</v>
      </c>
      <c r="J88" s="4">
        <v>6.5</v>
      </c>
      <c r="K88" s="4">
        <v>0.46899999999999997</v>
      </c>
      <c r="L88" s="4">
        <v>0.6</v>
      </c>
      <c r="M88" s="4">
        <v>2.2000000000000002</v>
      </c>
      <c r="N88" s="4">
        <v>0.29099999999999998</v>
      </c>
      <c r="O88" s="4">
        <v>2.4</v>
      </c>
      <c r="P88" s="4">
        <v>4.3</v>
      </c>
      <c r="Q88" s="4">
        <v>0.55800000000000005</v>
      </c>
      <c r="R88" s="4">
        <v>2.4</v>
      </c>
      <c r="S88" s="4">
        <v>3.1</v>
      </c>
      <c r="T88" s="4">
        <v>0.78700000000000003</v>
      </c>
      <c r="U88" s="4">
        <v>0.6</v>
      </c>
      <c r="V88" s="4">
        <v>2.1</v>
      </c>
      <c r="W88" s="4">
        <v>2.6</v>
      </c>
      <c r="X88" s="4">
        <v>0.8</v>
      </c>
      <c r="Y88" s="4">
        <v>0.2</v>
      </c>
      <c r="Z88" s="4">
        <v>1.2</v>
      </c>
      <c r="AA88" s="4">
        <v>2</v>
      </c>
      <c r="AB88" s="4">
        <v>9.1</v>
      </c>
      <c r="AC88" s="10">
        <f t="shared" si="7"/>
        <v>1.0039717563989408</v>
      </c>
      <c r="AD88" s="10">
        <f t="shared" si="8"/>
        <v>0.1</v>
      </c>
      <c r="AE88" s="12">
        <f>100*(AC88/TOTAL_BASIC!$D$302)</f>
        <v>104.39978324660255</v>
      </c>
      <c r="AF88" s="9"/>
      <c r="AG88" s="9"/>
      <c r="AH88" s="12">
        <f t="shared" si="9"/>
        <v>33.300000000000004</v>
      </c>
      <c r="AI88" s="12">
        <f t="shared" si="10"/>
        <v>70.399999999999991</v>
      </c>
      <c r="AJ88" s="12">
        <f t="shared" si="11"/>
        <v>61.199999999999996</v>
      </c>
      <c r="AK88" s="12">
        <f t="shared" si="12"/>
        <v>40.9</v>
      </c>
      <c r="AL88" s="12">
        <f t="shared" si="13"/>
        <v>46.400000000000006</v>
      </c>
    </row>
    <row r="89" spans="1:38" ht="15.75" customHeight="1" x14ac:dyDescent="0.25">
      <c r="A89" s="1" t="s">
        <v>247</v>
      </c>
      <c r="B89" s="7" t="s">
        <v>91</v>
      </c>
      <c r="C89" s="4" t="s">
        <v>85</v>
      </c>
      <c r="D89" s="4">
        <v>35</v>
      </c>
      <c r="E89" s="4">
        <v>670</v>
      </c>
      <c r="F89" s="4">
        <v>35</v>
      </c>
      <c r="G89" s="4">
        <v>32</v>
      </c>
      <c r="H89" s="4">
        <v>19.100000000000001</v>
      </c>
      <c r="I89" s="4">
        <v>3.3</v>
      </c>
      <c r="J89" s="4">
        <v>8.1999999999999993</v>
      </c>
      <c r="K89" s="4">
        <v>0.39700000000000002</v>
      </c>
      <c r="L89" s="4">
        <v>1.3</v>
      </c>
      <c r="M89" s="4">
        <v>4.0999999999999996</v>
      </c>
      <c r="N89" s="4">
        <v>0.32600000000000001</v>
      </c>
      <c r="O89" s="4">
        <v>1.9</v>
      </c>
      <c r="P89" s="4">
        <v>4.0999999999999996</v>
      </c>
      <c r="Q89" s="4">
        <v>0.46899999999999997</v>
      </c>
      <c r="R89" s="4">
        <v>1</v>
      </c>
      <c r="S89" s="4">
        <v>1.2</v>
      </c>
      <c r="T89" s="4">
        <v>0.82899999999999996</v>
      </c>
      <c r="U89" s="4">
        <v>0.3</v>
      </c>
      <c r="V89" s="4">
        <v>2.2000000000000002</v>
      </c>
      <c r="W89" s="4">
        <v>1.8</v>
      </c>
      <c r="X89" s="4">
        <v>0.9</v>
      </c>
      <c r="Y89" s="4">
        <v>0.2</v>
      </c>
      <c r="Z89" s="4">
        <v>1.4</v>
      </c>
      <c r="AA89" s="4">
        <v>2</v>
      </c>
      <c r="AB89" s="4">
        <v>8.8000000000000007</v>
      </c>
      <c r="AC89" s="10">
        <f t="shared" si="7"/>
        <v>0.86887835703001581</v>
      </c>
      <c r="AD89" s="10">
        <f t="shared" si="8"/>
        <v>0.1</v>
      </c>
      <c r="AE89" s="12">
        <f>100*(AC89/TOTAL_BASIC!$D$302)</f>
        <v>90.351856577081591</v>
      </c>
      <c r="AF89" s="9"/>
      <c r="AG89" s="9"/>
      <c r="AH89" s="12">
        <f t="shared" si="9"/>
        <v>33.300000000000004</v>
      </c>
      <c r="AI89" s="12">
        <f t="shared" si="10"/>
        <v>30.599999999999998</v>
      </c>
      <c r="AJ89" s="12">
        <f t="shared" si="11"/>
        <v>57.3</v>
      </c>
      <c r="AK89" s="12">
        <f t="shared" si="12"/>
        <v>48.6</v>
      </c>
      <c r="AL89" s="12">
        <f t="shared" si="13"/>
        <v>62.8</v>
      </c>
    </row>
    <row r="90" spans="1:38" ht="15.75" customHeight="1" x14ac:dyDescent="0.25">
      <c r="A90" s="1" t="s">
        <v>141</v>
      </c>
      <c r="B90" s="7" t="s">
        <v>114</v>
      </c>
      <c r="C90" s="4" t="s">
        <v>88</v>
      </c>
      <c r="D90" s="4">
        <v>43</v>
      </c>
      <c r="E90" s="4">
        <v>654</v>
      </c>
      <c r="F90" s="4">
        <v>43</v>
      </c>
      <c r="G90" s="4">
        <v>12</v>
      </c>
      <c r="H90" s="4">
        <v>15.2</v>
      </c>
      <c r="I90" s="4">
        <v>1.1000000000000001</v>
      </c>
      <c r="J90" s="4">
        <v>2.4</v>
      </c>
      <c r="K90" s="4">
        <v>0.44700000000000001</v>
      </c>
      <c r="L90" s="4">
        <v>0.5</v>
      </c>
      <c r="M90" s="4">
        <v>1.3</v>
      </c>
      <c r="N90" s="4">
        <v>0.40400000000000003</v>
      </c>
      <c r="O90" s="4">
        <v>0.5</v>
      </c>
      <c r="P90" s="4">
        <v>1.1000000000000001</v>
      </c>
      <c r="Q90" s="4">
        <v>0.5</v>
      </c>
      <c r="R90" s="4">
        <v>0.7</v>
      </c>
      <c r="S90" s="4">
        <v>0.8</v>
      </c>
      <c r="T90" s="4">
        <v>0.85299999999999998</v>
      </c>
      <c r="U90" s="4">
        <v>0.6</v>
      </c>
      <c r="V90" s="4">
        <v>2.4</v>
      </c>
      <c r="W90" s="4">
        <v>1.2</v>
      </c>
      <c r="X90" s="4">
        <v>0.3</v>
      </c>
      <c r="Y90" s="4">
        <v>0.4</v>
      </c>
      <c r="Z90" s="4">
        <v>0.9</v>
      </c>
      <c r="AA90" s="4">
        <v>2.2000000000000002</v>
      </c>
      <c r="AB90" s="4">
        <v>3.3</v>
      </c>
      <c r="AC90" s="10">
        <f t="shared" si="7"/>
        <v>0.90361445783132532</v>
      </c>
      <c r="AD90" s="10">
        <f t="shared" si="8"/>
        <v>0.18181818181818182</v>
      </c>
      <c r="AE90" s="12">
        <f>100*(AC90/TOTAL_BASIC!$D$302)</f>
        <v>93.963951610009829</v>
      </c>
      <c r="AF90" s="9"/>
      <c r="AG90" s="9"/>
      <c r="AH90" s="12">
        <f t="shared" si="9"/>
        <v>62.2</v>
      </c>
      <c r="AI90" s="12">
        <f t="shared" si="10"/>
        <v>43.7</v>
      </c>
      <c r="AJ90" s="12">
        <f t="shared" si="11"/>
        <v>13.100000000000001</v>
      </c>
      <c r="AK90" s="12">
        <f t="shared" si="12"/>
        <v>32.200000000000003</v>
      </c>
      <c r="AL90" s="12">
        <f t="shared" si="13"/>
        <v>71</v>
      </c>
    </row>
    <row r="91" spans="1:38" ht="15.75" customHeight="1" x14ac:dyDescent="0.25">
      <c r="A91" s="1" t="s">
        <v>193</v>
      </c>
      <c r="B91" s="7" t="s">
        <v>91</v>
      </c>
      <c r="C91" s="4" t="s">
        <v>8</v>
      </c>
      <c r="D91" s="4">
        <v>42</v>
      </c>
      <c r="E91" s="4">
        <v>643</v>
      </c>
      <c r="F91" s="4">
        <v>42</v>
      </c>
      <c r="G91" s="4">
        <v>0</v>
      </c>
      <c r="H91" s="4">
        <v>15.3</v>
      </c>
      <c r="I91" s="4">
        <v>2.8</v>
      </c>
      <c r="J91" s="4">
        <v>5.4</v>
      </c>
      <c r="K91" s="4">
        <v>0.52400000000000002</v>
      </c>
      <c r="L91" s="4">
        <v>0.7</v>
      </c>
      <c r="M91" s="4">
        <v>1.6</v>
      </c>
      <c r="N91" s="4">
        <v>0.42599999999999999</v>
      </c>
      <c r="O91" s="4">
        <v>2.1</v>
      </c>
      <c r="P91" s="4">
        <v>3.8</v>
      </c>
      <c r="Q91" s="4">
        <v>0.56599999999999995</v>
      </c>
      <c r="R91" s="4">
        <v>0.7</v>
      </c>
      <c r="S91" s="4">
        <v>1</v>
      </c>
      <c r="T91" s="4">
        <v>0.71399999999999997</v>
      </c>
      <c r="U91" s="4">
        <v>0.3</v>
      </c>
      <c r="V91" s="4">
        <v>1.1000000000000001</v>
      </c>
      <c r="W91" s="4">
        <v>2</v>
      </c>
      <c r="X91" s="4">
        <v>0.3</v>
      </c>
      <c r="Y91" s="4">
        <v>0</v>
      </c>
      <c r="Z91" s="4">
        <v>1.2</v>
      </c>
      <c r="AA91" s="4">
        <v>1.2</v>
      </c>
      <c r="AB91" s="4">
        <v>7.1</v>
      </c>
      <c r="AC91" s="10">
        <f t="shared" si="7"/>
        <v>1.0085227272727271</v>
      </c>
      <c r="AD91" s="10">
        <f t="shared" si="8"/>
        <v>0</v>
      </c>
      <c r="AE91" s="12">
        <f>100*(AC91/TOTAL_BASIC!$D$302)</f>
        <v>104.87302402230829</v>
      </c>
      <c r="AF91" s="9"/>
      <c r="AG91" s="9"/>
      <c r="AH91" s="12">
        <f t="shared" si="9"/>
        <v>0</v>
      </c>
      <c r="AI91" s="12">
        <f t="shared" si="10"/>
        <v>72.099999999999994</v>
      </c>
      <c r="AJ91" s="12">
        <f t="shared" si="11"/>
        <v>50.8</v>
      </c>
      <c r="AK91" s="12">
        <f t="shared" si="12"/>
        <v>32.700000000000003</v>
      </c>
      <c r="AL91" s="12">
        <f t="shared" si="13"/>
        <v>22.900000000000002</v>
      </c>
    </row>
    <row r="92" spans="1:38" ht="15.75" customHeight="1" x14ac:dyDescent="0.25">
      <c r="A92" s="1" t="s">
        <v>146</v>
      </c>
      <c r="B92" s="7" t="s">
        <v>232</v>
      </c>
      <c r="C92" s="4" t="s">
        <v>8</v>
      </c>
      <c r="D92" s="4">
        <v>26</v>
      </c>
      <c r="E92" s="4">
        <v>642</v>
      </c>
      <c r="F92" s="4">
        <v>26</v>
      </c>
      <c r="G92" s="4">
        <v>15</v>
      </c>
      <c r="H92" s="4">
        <v>24.7</v>
      </c>
      <c r="I92" s="4">
        <v>4.2</v>
      </c>
      <c r="J92" s="4">
        <v>8.3000000000000007</v>
      </c>
      <c r="K92" s="4">
        <v>0.502</v>
      </c>
      <c r="L92" s="4">
        <v>1.4</v>
      </c>
      <c r="M92" s="4">
        <v>3.5</v>
      </c>
      <c r="N92" s="4">
        <v>0.4</v>
      </c>
      <c r="O92" s="4">
        <v>2.8</v>
      </c>
      <c r="P92" s="4">
        <v>4.8</v>
      </c>
      <c r="Q92" s="4">
        <v>0.57599999999999996</v>
      </c>
      <c r="R92" s="4">
        <v>1</v>
      </c>
      <c r="S92" s="4">
        <v>1.3</v>
      </c>
      <c r="T92" s="4">
        <v>0.74299999999999999</v>
      </c>
      <c r="U92" s="4">
        <v>0.8</v>
      </c>
      <c r="V92" s="4">
        <v>4.5</v>
      </c>
      <c r="W92" s="4">
        <v>2.4</v>
      </c>
      <c r="X92" s="4">
        <v>0.9</v>
      </c>
      <c r="Y92" s="4">
        <v>0.3</v>
      </c>
      <c r="Z92" s="4">
        <v>2</v>
      </c>
      <c r="AA92" s="4">
        <v>2.5</v>
      </c>
      <c r="AB92" s="4">
        <v>10.7</v>
      </c>
      <c r="AC92" s="10">
        <f t="shared" si="7"/>
        <v>0.98417954378219275</v>
      </c>
      <c r="AD92" s="10">
        <f t="shared" si="8"/>
        <v>0.12</v>
      </c>
      <c r="AE92" s="12">
        <f>100*(AC92/TOTAL_BASIC!$D$302)</f>
        <v>102.3416549237794</v>
      </c>
      <c r="AF92" s="9"/>
      <c r="AG92" s="9"/>
      <c r="AH92" s="12">
        <f t="shared" si="9"/>
        <v>42</v>
      </c>
      <c r="AI92" s="12">
        <f t="shared" si="10"/>
        <v>66.600000000000009</v>
      </c>
      <c r="AJ92" s="12">
        <f t="shared" si="11"/>
        <v>68.8</v>
      </c>
      <c r="AK92" s="12">
        <f t="shared" si="12"/>
        <v>68.300000000000011</v>
      </c>
      <c r="AL92" s="12">
        <f t="shared" si="13"/>
        <v>32.200000000000003</v>
      </c>
    </row>
    <row r="93" spans="1:38" ht="15.75" customHeight="1" x14ac:dyDescent="0.25">
      <c r="A93" s="1" t="s">
        <v>237</v>
      </c>
      <c r="B93" s="7" t="s">
        <v>240</v>
      </c>
      <c r="C93" s="4" t="s">
        <v>8</v>
      </c>
      <c r="D93" s="4">
        <v>41</v>
      </c>
      <c r="E93" s="4">
        <v>634</v>
      </c>
      <c r="F93" s="4">
        <v>41</v>
      </c>
      <c r="G93" s="4">
        <v>11</v>
      </c>
      <c r="H93" s="4">
        <v>15.5</v>
      </c>
      <c r="I93" s="4">
        <v>1.9</v>
      </c>
      <c r="J93" s="4">
        <v>4.8</v>
      </c>
      <c r="K93" s="4">
        <v>0.38800000000000001</v>
      </c>
      <c r="L93" s="4">
        <v>0.9</v>
      </c>
      <c r="M93" s="4">
        <v>2.4</v>
      </c>
      <c r="N93" s="4">
        <v>0.374</v>
      </c>
      <c r="O93" s="4">
        <v>1</v>
      </c>
      <c r="P93" s="4">
        <v>2.4</v>
      </c>
      <c r="Q93" s="4">
        <v>0.40200000000000002</v>
      </c>
      <c r="R93" s="4">
        <v>0.8</v>
      </c>
      <c r="S93" s="4">
        <v>0.9</v>
      </c>
      <c r="T93" s="4">
        <v>0.88600000000000001</v>
      </c>
      <c r="U93" s="4">
        <v>0.4</v>
      </c>
      <c r="V93" s="4">
        <v>1.1000000000000001</v>
      </c>
      <c r="W93" s="4">
        <v>1.5</v>
      </c>
      <c r="X93" s="4">
        <v>0.5</v>
      </c>
      <c r="Y93" s="4">
        <v>0.1</v>
      </c>
      <c r="Z93" s="4">
        <v>0.9</v>
      </c>
      <c r="AA93" s="4">
        <v>1.4</v>
      </c>
      <c r="AB93" s="4">
        <v>5.4</v>
      </c>
      <c r="AC93" s="10">
        <f t="shared" si="7"/>
        <v>0.8858267716535434</v>
      </c>
      <c r="AD93" s="10">
        <f t="shared" si="8"/>
        <v>7.1428571428571438E-2</v>
      </c>
      <c r="AE93" s="12">
        <f>100*(AC93/TOTAL_BASIC!$D$302)</f>
        <v>92.11426752319862</v>
      </c>
      <c r="AF93" s="9"/>
      <c r="AG93" s="9"/>
      <c r="AH93" s="12">
        <f t="shared" si="9"/>
        <v>25.1</v>
      </c>
      <c r="AI93" s="12">
        <f t="shared" si="10"/>
        <v>35.5</v>
      </c>
      <c r="AJ93" s="12">
        <f t="shared" si="11"/>
        <v>35.5</v>
      </c>
      <c r="AK93" s="12">
        <f t="shared" si="12"/>
        <v>35.5</v>
      </c>
      <c r="AL93" s="12">
        <f t="shared" si="13"/>
        <v>87.4</v>
      </c>
    </row>
    <row r="94" spans="1:38" ht="15.75" customHeight="1" x14ac:dyDescent="0.25">
      <c r="A94" s="1" t="s">
        <v>186</v>
      </c>
      <c r="B94" s="7" t="s">
        <v>114</v>
      </c>
      <c r="C94" s="4" t="s">
        <v>85</v>
      </c>
      <c r="D94" s="4">
        <v>36</v>
      </c>
      <c r="E94" s="4">
        <v>628</v>
      </c>
      <c r="F94" s="4">
        <v>36</v>
      </c>
      <c r="G94" s="4">
        <v>22</v>
      </c>
      <c r="H94" s="4">
        <v>17.399999999999999</v>
      </c>
      <c r="I94" s="4">
        <v>1.8</v>
      </c>
      <c r="J94" s="4">
        <v>4.8</v>
      </c>
      <c r="K94" s="4">
        <v>0.37</v>
      </c>
      <c r="L94" s="4">
        <v>0.4</v>
      </c>
      <c r="M94" s="4">
        <v>1.6</v>
      </c>
      <c r="N94" s="4">
        <v>0.22</v>
      </c>
      <c r="O94" s="4">
        <v>1.4</v>
      </c>
      <c r="P94" s="4">
        <v>3.2</v>
      </c>
      <c r="Q94" s="4">
        <v>0.44700000000000001</v>
      </c>
      <c r="R94" s="4">
        <v>0.7</v>
      </c>
      <c r="S94" s="4">
        <v>1</v>
      </c>
      <c r="T94" s="4">
        <v>0.67600000000000005</v>
      </c>
      <c r="U94" s="4">
        <v>0.9</v>
      </c>
      <c r="V94" s="4">
        <v>3.5</v>
      </c>
      <c r="W94" s="4">
        <v>1.3</v>
      </c>
      <c r="X94" s="4">
        <v>1</v>
      </c>
      <c r="Y94" s="4">
        <v>0.5</v>
      </c>
      <c r="Z94" s="4">
        <v>1.2</v>
      </c>
      <c r="AA94" s="4">
        <v>1.8</v>
      </c>
      <c r="AB94" s="4">
        <v>4.5999999999999996</v>
      </c>
      <c r="AC94" s="10">
        <f t="shared" si="7"/>
        <v>0.71428571428571419</v>
      </c>
      <c r="AD94" s="10">
        <f t="shared" si="8"/>
        <v>0.27777777777777779</v>
      </c>
      <c r="AE94" s="12">
        <f>100*(AC94/TOTAL_BASIC!$D$302)</f>
        <v>74.276266510769659</v>
      </c>
      <c r="AF94" s="9"/>
      <c r="AG94" s="9"/>
      <c r="AH94" s="12">
        <f t="shared" si="9"/>
        <v>77.5</v>
      </c>
      <c r="AI94" s="12">
        <f t="shared" si="10"/>
        <v>4.3</v>
      </c>
      <c r="AJ94" s="12">
        <f t="shared" si="11"/>
        <v>27.800000000000004</v>
      </c>
      <c r="AK94" s="12">
        <f t="shared" si="12"/>
        <v>43.1</v>
      </c>
      <c r="AL94" s="12">
        <f t="shared" si="13"/>
        <v>16.3</v>
      </c>
    </row>
    <row r="95" spans="1:38" ht="15.75" customHeight="1" x14ac:dyDescent="0.25">
      <c r="A95" s="1" t="s">
        <v>179</v>
      </c>
      <c r="B95" s="7" t="s">
        <v>114</v>
      </c>
      <c r="C95" s="4" t="s">
        <v>8</v>
      </c>
      <c r="D95" s="4">
        <v>41</v>
      </c>
      <c r="E95" s="4">
        <v>616</v>
      </c>
      <c r="F95" s="4">
        <v>41</v>
      </c>
      <c r="G95" s="4">
        <v>1</v>
      </c>
      <c r="H95" s="4">
        <v>15</v>
      </c>
      <c r="I95" s="4">
        <v>2.4</v>
      </c>
      <c r="J95" s="4">
        <v>7</v>
      </c>
      <c r="K95" s="4">
        <v>0.34699999999999998</v>
      </c>
      <c r="L95" s="4">
        <v>0.8</v>
      </c>
      <c r="M95" s="4">
        <v>2.7</v>
      </c>
      <c r="N95" s="4">
        <v>0.29399999999999998</v>
      </c>
      <c r="O95" s="4">
        <v>1.6</v>
      </c>
      <c r="P95" s="4">
        <v>4.3</v>
      </c>
      <c r="Q95" s="4">
        <v>0.38100000000000001</v>
      </c>
      <c r="R95" s="4">
        <v>1.9</v>
      </c>
      <c r="S95" s="4">
        <v>2.4</v>
      </c>
      <c r="T95" s="4">
        <v>0.80600000000000005</v>
      </c>
      <c r="U95" s="4">
        <v>0.5</v>
      </c>
      <c r="V95" s="4">
        <v>1.7</v>
      </c>
      <c r="W95" s="4">
        <v>1.1000000000000001</v>
      </c>
      <c r="X95" s="4">
        <v>0.4</v>
      </c>
      <c r="Y95" s="4">
        <v>0</v>
      </c>
      <c r="Z95" s="4">
        <v>1.1000000000000001</v>
      </c>
      <c r="AA95" s="4">
        <v>1.4</v>
      </c>
      <c r="AB95" s="4">
        <v>7.5</v>
      </c>
      <c r="AC95" s="10">
        <f t="shared" si="7"/>
        <v>0.81913499344691998</v>
      </c>
      <c r="AD95" s="10">
        <f t="shared" si="8"/>
        <v>0</v>
      </c>
      <c r="AE95" s="12">
        <f>100*(AC95/TOTAL_BASIC!$D$302)</f>
        <v>85.179204714185403</v>
      </c>
      <c r="AF95" s="9"/>
      <c r="AG95" s="9"/>
      <c r="AH95" s="12">
        <f t="shared" si="9"/>
        <v>0</v>
      </c>
      <c r="AI95" s="12">
        <f t="shared" si="10"/>
        <v>16.900000000000002</v>
      </c>
      <c r="AJ95" s="12">
        <f t="shared" si="11"/>
        <v>51.9</v>
      </c>
      <c r="AK95" s="12">
        <f t="shared" si="12"/>
        <v>31.1</v>
      </c>
      <c r="AL95" s="12">
        <f t="shared" si="13"/>
        <v>50.8</v>
      </c>
    </row>
    <row r="96" spans="1:38" ht="15.75" customHeight="1" x14ac:dyDescent="0.25">
      <c r="A96" s="1" t="s">
        <v>252</v>
      </c>
      <c r="B96" s="7" t="s">
        <v>240</v>
      </c>
      <c r="C96" s="4" t="s">
        <v>8</v>
      </c>
      <c r="D96" s="4">
        <v>28</v>
      </c>
      <c r="E96" s="4">
        <v>611</v>
      </c>
      <c r="F96" s="4">
        <v>28</v>
      </c>
      <c r="G96" s="4">
        <v>17</v>
      </c>
      <c r="H96" s="4">
        <v>21.8</v>
      </c>
      <c r="I96" s="4">
        <v>2.5</v>
      </c>
      <c r="J96" s="4">
        <v>6.1</v>
      </c>
      <c r="K96" s="4">
        <v>0.41499999999999998</v>
      </c>
      <c r="L96" s="4">
        <v>1</v>
      </c>
      <c r="M96" s="4">
        <v>2.6</v>
      </c>
      <c r="N96" s="4">
        <v>0.38900000000000001</v>
      </c>
      <c r="O96" s="4">
        <v>1.5</v>
      </c>
      <c r="P96" s="4">
        <v>3.5</v>
      </c>
      <c r="Q96" s="4">
        <v>0.434</v>
      </c>
      <c r="R96" s="4">
        <v>1.7</v>
      </c>
      <c r="S96" s="4">
        <v>2</v>
      </c>
      <c r="T96" s="4">
        <v>0.83899999999999997</v>
      </c>
      <c r="U96" s="4">
        <v>0.2</v>
      </c>
      <c r="V96" s="4">
        <v>1.8</v>
      </c>
      <c r="W96" s="4">
        <v>2.2999999999999998</v>
      </c>
      <c r="X96" s="4">
        <v>1</v>
      </c>
      <c r="Y96" s="4">
        <v>0.3</v>
      </c>
      <c r="Z96" s="4">
        <v>2</v>
      </c>
      <c r="AA96" s="4">
        <v>2.9</v>
      </c>
      <c r="AB96" s="4">
        <v>7.8</v>
      </c>
      <c r="AC96" s="10">
        <f t="shared" si="7"/>
        <v>0.8685968819599108</v>
      </c>
      <c r="AD96" s="10">
        <f t="shared" si="8"/>
        <v>0.10344827586206896</v>
      </c>
      <c r="AE96" s="12">
        <f>100*(AC96/TOTAL_BASIC!$D$302)</f>
        <v>90.322586892829037</v>
      </c>
      <c r="AF96" s="9"/>
      <c r="AG96" s="9"/>
      <c r="AH96" s="12">
        <f t="shared" si="9"/>
        <v>35.5</v>
      </c>
      <c r="AI96" s="12">
        <f t="shared" si="10"/>
        <v>30</v>
      </c>
      <c r="AJ96" s="12">
        <f t="shared" si="11"/>
        <v>53</v>
      </c>
      <c r="AK96" s="12">
        <f t="shared" si="12"/>
        <v>55.7</v>
      </c>
      <c r="AL96" s="12">
        <f t="shared" si="13"/>
        <v>66.100000000000009</v>
      </c>
    </row>
    <row r="97" spans="1:38" ht="15.75" customHeight="1" x14ac:dyDescent="0.25">
      <c r="A97" s="1" t="s">
        <v>108</v>
      </c>
      <c r="B97" s="7" t="s">
        <v>84</v>
      </c>
      <c r="C97" s="4" t="s">
        <v>8</v>
      </c>
      <c r="D97" s="4">
        <v>41</v>
      </c>
      <c r="E97" s="4">
        <v>610</v>
      </c>
      <c r="F97" s="4">
        <v>41</v>
      </c>
      <c r="G97" s="4">
        <v>2</v>
      </c>
      <c r="H97" s="4">
        <v>14.9</v>
      </c>
      <c r="I97" s="4">
        <v>1.9</v>
      </c>
      <c r="J97" s="4">
        <v>3.9</v>
      </c>
      <c r="K97" s="4">
        <v>0.497</v>
      </c>
      <c r="L97" s="4">
        <v>0.3</v>
      </c>
      <c r="M97" s="4">
        <v>1.1000000000000001</v>
      </c>
      <c r="N97" s="4">
        <v>0.26700000000000002</v>
      </c>
      <c r="O97" s="4">
        <v>1.6</v>
      </c>
      <c r="P97" s="4">
        <v>2.8</v>
      </c>
      <c r="Q97" s="4">
        <v>0.58799999999999997</v>
      </c>
      <c r="R97" s="4">
        <v>1</v>
      </c>
      <c r="S97" s="4">
        <v>1</v>
      </c>
      <c r="T97" s="4">
        <v>0.93</v>
      </c>
      <c r="U97" s="4">
        <v>0.9</v>
      </c>
      <c r="V97" s="4">
        <v>2.4</v>
      </c>
      <c r="W97" s="4">
        <v>1.2</v>
      </c>
      <c r="X97" s="4">
        <v>0.5</v>
      </c>
      <c r="Y97" s="4">
        <v>0.2</v>
      </c>
      <c r="Z97" s="4">
        <v>0.6</v>
      </c>
      <c r="AA97" s="4">
        <v>1.7</v>
      </c>
      <c r="AB97" s="4">
        <v>5.0999999999999996</v>
      </c>
      <c r="AC97" s="10">
        <f t="shared" si="7"/>
        <v>1.0323886639676114</v>
      </c>
      <c r="AD97" s="10">
        <f t="shared" si="8"/>
        <v>0.11764705882352942</v>
      </c>
      <c r="AE97" s="12">
        <f>100*(AC97/TOTAL_BASIC!$D$302)</f>
        <v>107.35476576657803</v>
      </c>
      <c r="AF97" s="9"/>
      <c r="AG97" s="9"/>
      <c r="AH97" s="12">
        <f t="shared" si="9"/>
        <v>41.5</v>
      </c>
      <c r="AI97" s="12">
        <f t="shared" si="10"/>
        <v>79.7</v>
      </c>
      <c r="AJ97" s="12">
        <f t="shared" si="11"/>
        <v>32.200000000000003</v>
      </c>
      <c r="AK97" s="12">
        <f t="shared" si="12"/>
        <v>30.599999999999998</v>
      </c>
      <c r="AL97" s="12">
        <f t="shared" si="13"/>
        <v>96.1</v>
      </c>
    </row>
    <row r="98" spans="1:38" ht="15.75" customHeight="1" x14ac:dyDescent="0.25">
      <c r="A98" s="1" t="s">
        <v>123</v>
      </c>
      <c r="B98" s="7" t="s">
        <v>240</v>
      </c>
      <c r="C98" s="4" t="s">
        <v>85</v>
      </c>
      <c r="D98" s="4">
        <v>27</v>
      </c>
      <c r="E98" s="4">
        <v>599</v>
      </c>
      <c r="F98" s="4">
        <v>27</v>
      </c>
      <c r="G98" s="4">
        <v>10</v>
      </c>
      <c r="H98" s="4">
        <v>22.2</v>
      </c>
      <c r="I98" s="4">
        <v>4.2</v>
      </c>
      <c r="J98" s="4">
        <v>10</v>
      </c>
      <c r="K98" s="4">
        <v>0.42199999999999999</v>
      </c>
      <c r="L98" s="4">
        <v>0.9</v>
      </c>
      <c r="M98" s="4">
        <v>3.1</v>
      </c>
      <c r="N98" s="4">
        <v>0.27400000000000002</v>
      </c>
      <c r="O98" s="4">
        <v>3.4</v>
      </c>
      <c r="P98" s="4">
        <v>6.9</v>
      </c>
      <c r="Q98" s="4">
        <v>0.48899999999999999</v>
      </c>
      <c r="R98" s="4">
        <v>1.7</v>
      </c>
      <c r="S98" s="4">
        <v>2.6</v>
      </c>
      <c r="T98" s="4">
        <v>0.64300000000000002</v>
      </c>
      <c r="U98" s="4">
        <v>2.6</v>
      </c>
      <c r="V98" s="4">
        <v>8.3000000000000007</v>
      </c>
      <c r="W98" s="4">
        <v>1.4</v>
      </c>
      <c r="X98" s="4">
        <v>0.9</v>
      </c>
      <c r="Y98" s="4">
        <v>0.5</v>
      </c>
      <c r="Z98" s="4">
        <v>1.6</v>
      </c>
      <c r="AA98" s="4">
        <v>2.2000000000000002</v>
      </c>
      <c r="AB98" s="4">
        <v>11</v>
      </c>
      <c r="AC98" s="10">
        <f t="shared" si="7"/>
        <v>0.86315128688010045</v>
      </c>
      <c r="AD98" s="10">
        <f t="shared" si="8"/>
        <v>0.22727272727272727</v>
      </c>
      <c r="AE98" s="12">
        <f>100*(AC98/TOTAL_BASIC!$D$302)</f>
        <v>89.756317032788218</v>
      </c>
      <c r="AF98" s="9"/>
      <c r="AG98" s="9"/>
      <c r="AH98" s="12">
        <f t="shared" si="9"/>
        <v>73.2</v>
      </c>
      <c r="AI98" s="12">
        <f t="shared" si="10"/>
        <v>28.4</v>
      </c>
      <c r="AJ98" s="12">
        <f t="shared" si="11"/>
        <v>69.3</v>
      </c>
      <c r="AK98" s="12">
        <f t="shared" si="12"/>
        <v>56.8</v>
      </c>
      <c r="AL98" s="12">
        <f t="shared" si="13"/>
        <v>11.4</v>
      </c>
    </row>
    <row r="99" spans="1:38" ht="15.75" customHeight="1" x14ac:dyDescent="0.25">
      <c r="A99" s="1" t="s">
        <v>215</v>
      </c>
      <c r="B99" s="7" t="s">
        <v>137</v>
      </c>
      <c r="C99" s="4" t="s">
        <v>85</v>
      </c>
      <c r="D99" s="4">
        <v>31</v>
      </c>
      <c r="E99" s="4">
        <v>595</v>
      </c>
      <c r="F99" s="4">
        <v>31</v>
      </c>
      <c r="G99" s="4">
        <v>1</v>
      </c>
      <c r="H99" s="4">
        <v>19.2</v>
      </c>
      <c r="I99" s="4">
        <v>3.3</v>
      </c>
      <c r="J99" s="4">
        <v>7.1</v>
      </c>
      <c r="K99" s="4">
        <v>0.46400000000000002</v>
      </c>
      <c r="L99" s="4">
        <v>0.9</v>
      </c>
      <c r="M99" s="4">
        <v>2.9</v>
      </c>
      <c r="N99" s="4">
        <v>0.315</v>
      </c>
      <c r="O99" s="4">
        <v>2.4</v>
      </c>
      <c r="P99" s="4">
        <v>4.2</v>
      </c>
      <c r="Q99" s="4">
        <v>0.56499999999999995</v>
      </c>
      <c r="R99" s="4">
        <v>2.1</v>
      </c>
      <c r="S99" s="4">
        <v>2.7</v>
      </c>
      <c r="T99" s="4">
        <v>0.77100000000000002</v>
      </c>
      <c r="U99" s="4">
        <v>1.5</v>
      </c>
      <c r="V99" s="4">
        <v>5</v>
      </c>
      <c r="W99" s="4">
        <v>1.5</v>
      </c>
      <c r="X99" s="4">
        <v>0.6</v>
      </c>
      <c r="Y99" s="4">
        <v>1.8</v>
      </c>
      <c r="Z99" s="4">
        <v>2.4</v>
      </c>
      <c r="AA99" s="4">
        <v>3.6</v>
      </c>
      <c r="AB99" s="4">
        <v>9.5</v>
      </c>
      <c r="AC99" s="10">
        <f t="shared" si="7"/>
        <v>0.88884730538922152</v>
      </c>
      <c r="AD99" s="10">
        <f t="shared" si="8"/>
        <v>0.5</v>
      </c>
      <c r="AE99" s="12">
        <f>100*(AC99/TOTAL_BASIC!$D$302)</f>
        <v>92.428363079457014</v>
      </c>
      <c r="AF99" s="9"/>
      <c r="AG99" s="9"/>
      <c r="AH99" s="12">
        <f t="shared" si="9"/>
        <v>90.7</v>
      </c>
      <c r="AI99" s="12">
        <f t="shared" si="10"/>
        <v>37.700000000000003</v>
      </c>
      <c r="AJ99" s="12">
        <f t="shared" si="11"/>
        <v>63.9</v>
      </c>
      <c r="AK99" s="12">
        <f t="shared" si="12"/>
        <v>49.1</v>
      </c>
      <c r="AL99" s="12">
        <f t="shared" si="13"/>
        <v>39.800000000000004</v>
      </c>
    </row>
    <row r="100" spans="1:38" ht="15.75" customHeight="1" x14ac:dyDescent="0.25">
      <c r="A100" s="1" t="s">
        <v>248</v>
      </c>
      <c r="B100" s="7" t="s">
        <v>84</v>
      </c>
      <c r="C100" s="4" t="s">
        <v>85</v>
      </c>
      <c r="D100" s="4">
        <v>20</v>
      </c>
      <c r="E100" s="4">
        <v>587</v>
      </c>
      <c r="F100" s="4">
        <v>20</v>
      </c>
      <c r="G100" s="4">
        <v>20</v>
      </c>
      <c r="H100" s="4">
        <v>29.4</v>
      </c>
      <c r="I100" s="4">
        <v>3</v>
      </c>
      <c r="J100" s="4">
        <v>6.9</v>
      </c>
      <c r="K100" s="4">
        <v>0.435</v>
      </c>
      <c r="L100" s="4">
        <v>1.8</v>
      </c>
      <c r="M100" s="4">
        <v>4.2</v>
      </c>
      <c r="N100" s="4">
        <v>0.41699999999999998</v>
      </c>
      <c r="O100" s="4">
        <v>1.3</v>
      </c>
      <c r="P100" s="4">
        <v>2.7</v>
      </c>
      <c r="Q100" s="4">
        <v>0.46300000000000002</v>
      </c>
      <c r="R100" s="4">
        <v>1.5</v>
      </c>
      <c r="S100" s="4">
        <v>1.7</v>
      </c>
      <c r="T100" s="4">
        <v>0.85299999999999998</v>
      </c>
      <c r="U100" s="4">
        <v>1.2</v>
      </c>
      <c r="V100" s="4">
        <v>3.1</v>
      </c>
      <c r="W100" s="4">
        <v>2.2000000000000002</v>
      </c>
      <c r="X100" s="4">
        <v>1.2</v>
      </c>
      <c r="Y100" s="4">
        <v>0.1</v>
      </c>
      <c r="Z100" s="4">
        <v>1.7</v>
      </c>
      <c r="AA100" s="4">
        <v>2.5</v>
      </c>
      <c r="AB100" s="4">
        <v>9.1999999999999993</v>
      </c>
      <c r="AC100" s="10">
        <f t="shared" si="7"/>
        <v>0.98416773641420607</v>
      </c>
      <c r="AD100" s="10">
        <f t="shared" si="8"/>
        <v>0.04</v>
      </c>
      <c r="AE100" s="12">
        <f>100*(AC100/TOTAL_BASIC!$D$302)</f>
        <v>102.34042711368349</v>
      </c>
      <c r="AF100" s="9"/>
      <c r="AG100" s="9"/>
      <c r="AH100" s="12">
        <f t="shared" si="9"/>
        <v>12</v>
      </c>
      <c r="AI100" s="12">
        <f t="shared" si="10"/>
        <v>66.100000000000009</v>
      </c>
      <c r="AJ100" s="12">
        <f t="shared" si="11"/>
        <v>61.7</v>
      </c>
      <c r="AK100" s="12">
        <f t="shared" si="12"/>
        <v>83.6</v>
      </c>
      <c r="AL100" s="12">
        <f t="shared" si="13"/>
        <v>71</v>
      </c>
    </row>
    <row r="101" spans="1:38" ht="15.75" customHeight="1" x14ac:dyDescent="0.25">
      <c r="A101" s="1" t="s">
        <v>203</v>
      </c>
      <c r="B101" s="7" t="s">
        <v>232</v>
      </c>
      <c r="C101" s="4" t="s">
        <v>119</v>
      </c>
      <c r="D101" s="4">
        <v>38</v>
      </c>
      <c r="E101" s="4">
        <v>586</v>
      </c>
      <c r="F101" s="4">
        <v>38</v>
      </c>
      <c r="G101" s="4">
        <v>0</v>
      </c>
      <c r="H101" s="4">
        <v>15.4</v>
      </c>
      <c r="I101" s="4">
        <v>2.2000000000000002</v>
      </c>
      <c r="J101" s="4">
        <v>5</v>
      </c>
      <c r="K101" s="4">
        <v>0.434</v>
      </c>
      <c r="L101" s="4">
        <v>0.9</v>
      </c>
      <c r="M101" s="4">
        <v>2.5</v>
      </c>
      <c r="N101" s="4">
        <v>0.35799999999999998</v>
      </c>
      <c r="O101" s="4">
        <v>1.3</v>
      </c>
      <c r="P101" s="4">
        <v>2.5</v>
      </c>
      <c r="Q101" s="4">
        <v>0.51100000000000001</v>
      </c>
      <c r="R101" s="4">
        <v>1.1000000000000001</v>
      </c>
      <c r="S101" s="4">
        <v>1.3</v>
      </c>
      <c r="T101" s="4">
        <v>0.875</v>
      </c>
      <c r="U101" s="4">
        <v>0.7</v>
      </c>
      <c r="V101" s="4">
        <v>2.1</v>
      </c>
      <c r="W101" s="4">
        <v>0.8</v>
      </c>
      <c r="X101" s="4">
        <v>0.3</v>
      </c>
      <c r="Y101" s="4">
        <v>0.1</v>
      </c>
      <c r="Z101" s="4">
        <v>0.9</v>
      </c>
      <c r="AA101" s="4">
        <v>1.7</v>
      </c>
      <c r="AB101" s="4">
        <v>6.3</v>
      </c>
      <c r="AC101" s="10">
        <f t="shared" si="7"/>
        <v>0.97342398022249677</v>
      </c>
      <c r="AD101" s="10">
        <f t="shared" si="8"/>
        <v>5.8823529411764712E-2</v>
      </c>
      <c r="AE101" s="12">
        <f>100*(AC101/TOTAL_BASIC!$D$302)</f>
        <v>101.22321857617248</v>
      </c>
      <c r="AF101" s="9"/>
      <c r="AG101" s="9"/>
      <c r="AH101" s="12">
        <f t="shared" si="9"/>
        <v>19.100000000000001</v>
      </c>
      <c r="AI101" s="12">
        <f t="shared" si="10"/>
        <v>61.199999999999996</v>
      </c>
      <c r="AJ101" s="12">
        <f t="shared" si="11"/>
        <v>43.7</v>
      </c>
      <c r="AK101" s="12">
        <f t="shared" si="12"/>
        <v>34.4</v>
      </c>
      <c r="AL101" s="12">
        <f t="shared" si="13"/>
        <v>82.5</v>
      </c>
    </row>
    <row r="102" spans="1:38" ht="15.75" customHeight="1" x14ac:dyDescent="0.25">
      <c r="A102" s="1" t="s">
        <v>210</v>
      </c>
      <c r="B102" s="7" t="s">
        <v>96</v>
      </c>
      <c r="C102" s="4" t="s">
        <v>8</v>
      </c>
      <c r="D102" s="4">
        <v>42</v>
      </c>
      <c r="E102" s="4">
        <v>584</v>
      </c>
      <c r="F102" s="4">
        <v>42</v>
      </c>
      <c r="G102" s="4">
        <v>3</v>
      </c>
      <c r="H102" s="4">
        <v>13.9</v>
      </c>
      <c r="I102" s="4">
        <v>1.4</v>
      </c>
      <c r="J102" s="4">
        <v>3.7</v>
      </c>
      <c r="K102" s="4">
        <v>0.372</v>
      </c>
      <c r="L102" s="4">
        <v>0.7</v>
      </c>
      <c r="M102" s="4">
        <v>1.9</v>
      </c>
      <c r="N102" s="4">
        <v>0.372</v>
      </c>
      <c r="O102" s="4">
        <v>0.7</v>
      </c>
      <c r="P102" s="4">
        <v>1.9</v>
      </c>
      <c r="Q102" s="4">
        <v>0.372</v>
      </c>
      <c r="R102" s="4">
        <v>0.5</v>
      </c>
      <c r="S102" s="4">
        <v>0.6</v>
      </c>
      <c r="T102" s="4">
        <v>0.81499999999999995</v>
      </c>
      <c r="U102" s="4">
        <v>0.9</v>
      </c>
      <c r="V102" s="4">
        <v>2.2999999999999998</v>
      </c>
      <c r="W102" s="4">
        <v>1</v>
      </c>
      <c r="X102" s="4">
        <v>0.7</v>
      </c>
      <c r="Y102" s="4">
        <v>0.2</v>
      </c>
      <c r="Z102" s="4">
        <v>0.7</v>
      </c>
      <c r="AA102" s="4">
        <v>1.4</v>
      </c>
      <c r="AB102" s="4">
        <v>4</v>
      </c>
      <c r="AC102" s="10">
        <f t="shared" si="7"/>
        <v>0.85763293310463107</v>
      </c>
      <c r="AD102" s="10">
        <f t="shared" si="8"/>
        <v>0.14285714285714288</v>
      </c>
      <c r="AE102" s="12">
        <f>100*(AC102/TOTAL_BASIC!$D$302)</f>
        <v>89.182481230769753</v>
      </c>
      <c r="AF102" s="9"/>
      <c r="AG102" s="9"/>
      <c r="AH102" s="12">
        <f t="shared" si="9"/>
        <v>53</v>
      </c>
      <c r="AI102" s="12">
        <f t="shared" si="10"/>
        <v>24.5</v>
      </c>
      <c r="AJ102" s="12">
        <f t="shared" si="11"/>
        <v>21.3</v>
      </c>
      <c r="AK102" s="12">
        <f t="shared" si="12"/>
        <v>26.700000000000003</v>
      </c>
      <c r="AL102" s="12">
        <f t="shared" si="13"/>
        <v>56.2</v>
      </c>
    </row>
    <row r="103" spans="1:38" ht="15.75" customHeight="1" x14ac:dyDescent="0.25">
      <c r="A103" s="1" t="s">
        <v>162</v>
      </c>
      <c r="B103" s="7" t="s">
        <v>84</v>
      </c>
      <c r="C103" s="4" t="s">
        <v>88</v>
      </c>
      <c r="D103" s="4">
        <v>43</v>
      </c>
      <c r="E103" s="4">
        <v>583</v>
      </c>
      <c r="F103" s="4">
        <v>43</v>
      </c>
      <c r="G103" s="4">
        <v>2</v>
      </c>
      <c r="H103" s="4">
        <v>13.6</v>
      </c>
      <c r="I103" s="4">
        <v>2.2999999999999998</v>
      </c>
      <c r="J103" s="4">
        <v>4.5999999999999996</v>
      </c>
      <c r="K103" s="4">
        <v>0.50800000000000001</v>
      </c>
      <c r="L103" s="4">
        <v>0.8</v>
      </c>
      <c r="M103" s="4">
        <v>2</v>
      </c>
      <c r="N103" s="4">
        <v>0.40899999999999997</v>
      </c>
      <c r="O103" s="4">
        <v>1.5</v>
      </c>
      <c r="P103" s="4">
        <v>2.6</v>
      </c>
      <c r="Q103" s="4">
        <v>0.58599999999999997</v>
      </c>
      <c r="R103" s="4">
        <v>0.7</v>
      </c>
      <c r="S103" s="4">
        <v>0.8</v>
      </c>
      <c r="T103" s="4">
        <v>0.84799999999999998</v>
      </c>
      <c r="U103" s="4">
        <v>0.8</v>
      </c>
      <c r="V103" s="4">
        <v>2.5</v>
      </c>
      <c r="W103" s="4">
        <v>0.7</v>
      </c>
      <c r="X103" s="4">
        <v>0.3</v>
      </c>
      <c r="Y103" s="4">
        <v>0.6</v>
      </c>
      <c r="Z103" s="4">
        <v>0.4</v>
      </c>
      <c r="AA103" s="4">
        <v>0.9</v>
      </c>
      <c r="AB103" s="4">
        <v>6.2</v>
      </c>
      <c r="AC103" s="10">
        <f t="shared" si="7"/>
        <v>1.1584454409566516</v>
      </c>
      <c r="AD103" s="10">
        <f t="shared" si="8"/>
        <v>0.66666666666666663</v>
      </c>
      <c r="AE103" s="12">
        <f>100*(AC103/TOTAL_BASIC!$D$302)</f>
        <v>120.46300323495529</v>
      </c>
      <c r="AF103" s="9"/>
      <c r="AG103" s="9"/>
      <c r="AH103" s="12">
        <f t="shared" si="9"/>
        <v>95.6</v>
      </c>
      <c r="AI103" s="12">
        <f t="shared" si="10"/>
        <v>97.2</v>
      </c>
      <c r="AJ103" s="12">
        <f t="shared" si="11"/>
        <v>42</v>
      </c>
      <c r="AK103" s="12">
        <f t="shared" si="12"/>
        <v>24</v>
      </c>
      <c r="AL103" s="12">
        <f t="shared" si="13"/>
        <v>69.3</v>
      </c>
    </row>
    <row r="104" spans="1:38" ht="15.75" customHeight="1" x14ac:dyDescent="0.25">
      <c r="A104" s="1" t="s">
        <v>196</v>
      </c>
      <c r="B104" s="4" t="s">
        <v>99</v>
      </c>
      <c r="C104" s="4" t="s">
        <v>85</v>
      </c>
      <c r="D104" s="4">
        <v>40</v>
      </c>
      <c r="E104" s="4">
        <v>581</v>
      </c>
      <c r="F104" s="4">
        <v>40</v>
      </c>
      <c r="G104" s="4">
        <v>9</v>
      </c>
      <c r="H104" s="4">
        <v>14.5</v>
      </c>
      <c r="I104" s="4">
        <v>2.5</v>
      </c>
      <c r="J104" s="4">
        <v>5.3</v>
      </c>
      <c r="K104" s="4">
        <v>0.47599999999999998</v>
      </c>
      <c r="L104" s="4">
        <v>0.8</v>
      </c>
      <c r="M104" s="4">
        <v>2</v>
      </c>
      <c r="N104" s="4">
        <v>0.40699999999999997</v>
      </c>
      <c r="O104" s="4">
        <v>1.7</v>
      </c>
      <c r="P104" s="4">
        <v>3.2</v>
      </c>
      <c r="Q104" s="4">
        <v>0.51900000000000002</v>
      </c>
      <c r="R104" s="4">
        <v>0.6</v>
      </c>
      <c r="S104" s="4">
        <v>0.7</v>
      </c>
      <c r="T104" s="4">
        <v>0.82799999999999996</v>
      </c>
      <c r="U104" s="4">
        <v>0.9</v>
      </c>
      <c r="V104" s="4">
        <v>2.7</v>
      </c>
      <c r="W104" s="4">
        <v>0.9</v>
      </c>
      <c r="X104" s="4">
        <v>0.4</v>
      </c>
      <c r="Y104" s="4">
        <v>0.4</v>
      </c>
      <c r="Z104" s="4">
        <v>0.3</v>
      </c>
      <c r="AA104" s="4">
        <v>1.7</v>
      </c>
      <c r="AB104" s="4">
        <v>6.4</v>
      </c>
      <c r="AC104" s="10">
        <f t="shared" si="7"/>
        <v>1.0832769126607991</v>
      </c>
      <c r="AD104" s="10">
        <f t="shared" si="8"/>
        <v>0.23529411764705885</v>
      </c>
      <c r="AE104" s="12">
        <f>100*(AC104/TOTAL_BASIC!$D$302)</f>
        <v>112.64647053766019</v>
      </c>
      <c r="AF104" s="9"/>
      <c r="AG104" s="9"/>
      <c r="AH104" s="12">
        <f t="shared" si="9"/>
        <v>74.3</v>
      </c>
      <c r="AI104" s="12">
        <f t="shared" si="10"/>
        <v>91.2</v>
      </c>
      <c r="AJ104" s="12">
        <f t="shared" si="11"/>
        <v>45.300000000000004</v>
      </c>
      <c r="AK104" s="12">
        <f t="shared" si="12"/>
        <v>28.9</v>
      </c>
      <c r="AL104" s="12">
        <f t="shared" si="13"/>
        <v>61.7</v>
      </c>
    </row>
    <row r="105" spans="1:38" ht="15.75" customHeight="1" x14ac:dyDescent="0.25">
      <c r="A105" s="1" t="s">
        <v>231</v>
      </c>
      <c r="B105" s="7" t="s">
        <v>107</v>
      </c>
      <c r="C105" s="4" t="s">
        <v>85</v>
      </c>
      <c r="D105" s="4">
        <v>28</v>
      </c>
      <c r="E105" s="4">
        <v>575</v>
      </c>
      <c r="F105" s="4">
        <v>28</v>
      </c>
      <c r="G105" s="4">
        <v>19</v>
      </c>
      <c r="H105" s="4">
        <v>20.5</v>
      </c>
      <c r="I105" s="4">
        <v>4.3</v>
      </c>
      <c r="J105" s="4">
        <v>8</v>
      </c>
      <c r="K105" s="4">
        <v>0.53100000000000003</v>
      </c>
      <c r="L105" s="4">
        <v>0.3</v>
      </c>
      <c r="M105" s="4">
        <v>0.5</v>
      </c>
      <c r="N105" s="4">
        <v>0.46700000000000003</v>
      </c>
      <c r="O105" s="4">
        <v>4</v>
      </c>
      <c r="P105" s="4">
        <v>7.5</v>
      </c>
      <c r="Q105" s="4">
        <v>0.53600000000000003</v>
      </c>
      <c r="R105" s="4">
        <v>2.2999999999999998</v>
      </c>
      <c r="S105" s="4">
        <v>3.1</v>
      </c>
      <c r="T105" s="4">
        <v>0.71599999999999997</v>
      </c>
      <c r="U105" s="4">
        <v>1.4</v>
      </c>
      <c r="V105" s="4">
        <v>4.4000000000000004</v>
      </c>
      <c r="W105" s="4">
        <v>1</v>
      </c>
      <c r="X105" s="4">
        <v>0.8</v>
      </c>
      <c r="Y105" s="4">
        <v>0.3</v>
      </c>
      <c r="Z105" s="4">
        <v>1.6</v>
      </c>
      <c r="AA105" s="4">
        <v>2.4</v>
      </c>
      <c r="AB105" s="4">
        <v>11</v>
      </c>
      <c r="AC105" s="10">
        <f t="shared" si="7"/>
        <v>1.0032834731849689</v>
      </c>
      <c r="AD105" s="10">
        <f t="shared" si="8"/>
        <v>0.125</v>
      </c>
      <c r="AE105" s="12">
        <f>100*(AC105/TOTAL_BASIC!$D$302)</f>
        <v>104.32821089619236</v>
      </c>
      <c r="AF105" s="9"/>
      <c r="AG105" s="9"/>
      <c r="AH105" s="12">
        <f t="shared" si="9"/>
        <v>44.2</v>
      </c>
      <c r="AI105" s="12">
        <f t="shared" si="10"/>
        <v>69.899999999999991</v>
      </c>
      <c r="AJ105" s="12">
        <f t="shared" si="11"/>
        <v>69.3</v>
      </c>
      <c r="AK105" s="12">
        <f t="shared" si="12"/>
        <v>54</v>
      </c>
      <c r="AL105" s="12">
        <f t="shared" si="13"/>
        <v>25.1</v>
      </c>
    </row>
    <row r="106" spans="1:38" ht="15.75" customHeight="1" x14ac:dyDescent="0.25">
      <c r="A106" s="1" t="s">
        <v>180</v>
      </c>
      <c r="B106" s="7" t="s">
        <v>161</v>
      </c>
      <c r="C106" s="4" t="s">
        <v>85</v>
      </c>
      <c r="D106" s="4">
        <v>24</v>
      </c>
      <c r="E106" s="4">
        <v>573</v>
      </c>
      <c r="F106" s="4">
        <v>24</v>
      </c>
      <c r="G106" s="4">
        <v>20</v>
      </c>
      <c r="H106" s="4">
        <v>23.9</v>
      </c>
      <c r="I106" s="4">
        <v>4.5</v>
      </c>
      <c r="J106" s="4">
        <v>8.5</v>
      </c>
      <c r="K106" s="4">
        <v>0.52700000000000002</v>
      </c>
      <c r="L106" s="4">
        <v>0.8</v>
      </c>
      <c r="M106" s="4">
        <v>2.1</v>
      </c>
      <c r="N106" s="4">
        <v>0.39200000000000002</v>
      </c>
      <c r="O106" s="4">
        <v>3.7</v>
      </c>
      <c r="P106" s="4">
        <v>6.4</v>
      </c>
      <c r="Q106" s="4">
        <v>0.57099999999999995</v>
      </c>
      <c r="R106" s="4">
        <v>2.5</v>
      </c>
      <c r="S106" s="4">
        <v>3.4</v>
      </c>
      <c r="T106" s="4">
        <v>0.72</v>
      </c>
      <c r="U106" s="4">
        <v>1.8</v>
      </c>
      <c r="V106" s="4">
        <v>5.3</v>
      </c>
      <c r="W106" s="4">
        <v>1.7</v>
      </c>
      <c r="X106" s="4">
        <v>1</v>
      </c>
      <c r="Y106" s="4">
        <v>0.9</v>
      </c>
      <c r="Z106" s="4">
        <v>1.6</v>
      </c>
      <c r="AA106" s="4">
        <v>2.7</v>
      </c>
      <c r="AB106" s="4">
        <v>12.3</v>
      </c>
      <c r="AC106" s="10">
        <f t="shared" si="7"/>
        <v>1.060710589858572</v>
      </c>
      <c r="AD106" s="10">
        <f t="shared" si="8"/>
        <v>0.33333333333333331</v>
      </c>
      <c r="AE106" s="12">
        <f>100*(AC106/TOTAL_BASIC!$D$302)</f>
        <v>110.2998714483834</v>
      </c>
      <c r="AF106" s="9"/>
      <c r="AG106" s="9"/>
      <c r="AH106" s="12">
        <f t="shared" si="9"/>
        <v>81.399999999999991</v>
      </c>
      <c r="AI106" s="12">
        <f t="shared" si="10"/>
        <v>88.5</v>
      </c>
      <c r="AJ106" s="12">
        <f t="shared" si="11"/>
        <v>74.8</v>
      </c>
      <c r="AK106" s="12">
        <f t="shared" si="12"/>
        <v>64.400000000000006</v>
      </c>
      <c r="AL106" s="12">
        <f t="shared" si="13"/>
        <v>27.3</v>
      </c>
    </row>
    <row r="107" spans="1:38" ht="15.75" customHeight="1" x14ac:dyDescent="0.25">
      <c r="A107" s="1" t="s">
        <v>134</v>
      </c>
      <c r="B107" s="7" t="s">
        <v>99</v>
      </c>
      <c r="C107" s="4" t="s">
        <v>85</v>
      </c>
      <c r="D107" s="4">
        <v>32</v>
      </c>
      <c r="E107" s="4">
        <v>572</v>
      </c>
      <c r="F107" s="4">
        <v>32</v>
      </c>
      <c r="G107" s="4">
        <v>18</v>
      </c>
      <c r="H107" s="4">
        <v>17.899999999999999</v>
      </c>
      <c r="I107" s="4">
        <v>2.2999999999999998</v>
      </c>
      <c r="J107" s="4">
        <v>5.0999999999999996</v>
      </c>
      <c r="K107" s="4">
        <v>0.45700000000000002</v>
      </c>
      <c r="L107" s="4">
        <v>0.6</v>
      </c>
      <c r="M107" s="4">
        <v>2.2000000000000002</v>
      </c>
      <c r="N107" s="4">
        <v>0.26100000000000001</v>
      </c>
      <c r="O107" s="4">
        <v>1.8</v>
      </c>
      <c r="P107" s="4">
        <v>3</v>
      </c>
      <c r="Q107" s="4">
        <v>0.6</v>
      </c>
      <c r="R107" s="4">
        <v>0.8</v>
      </c>
      <c r="S107" s="4">
        <v>1.2</v>
      </c>
      <c r="T107" s="4">
        <v>0.67600000000000005</v>
      </c>
      <c r="U107" s="4">
        <v>1.1000000000000001</v>
      </c>
      <c r="V107" s="4">
        <v>3.9</v>
      </c>
      <c r="W107" s="4">
        <v>1</v>
      </c>
      <c r="X107" s="4">
        <v>0.7</v>
      </c>
      <c r="Y107" s="4">
        <v>0.5</v>
      </c>
      <c r="Z107" s="4">
        <v>1.2</v>
      </c>
      <c r="AA107" s="4">
        <v>2.4</v>
      </c>
      <c r="AB107" s="4">
        <v>6</v>
      </c>
      <c r="AC107" s="10">
        <f t="shared" si="7"/>
        <v>0.87873462214411246</v>
      </c>
      <c r="AD107" s="10">
        <f t="shared" si="8"/>
        <v>0.20833333333333334</v>
      </c>
      <c r="AE107" s="12">
        <f>100*(AC107/TOTAL_BASIC!$D$302)</f>
        <v>91.376777781263215</v>
      </c>
      <c r="AF107" s="9"/>
      <c r="AG107" s="9"/>
      <c r="AH107" s="12">
        <f t="shared" si="9"/>
        <v>67.7</v>
      </c>
      <c r="AI107" s="12">
        <f t="shared" si="10"/>
        <v>32.700000000000003</v>
      </c>
      <c r="AJ107" s="12">
        <f t="shared" si="11"/>
        <v>40.400000000000006</v>
      </c>
      <c r="AK107" s="12">
        <f t="shared" si="12"/>
        <v>45.300000000000004</v>
      </c>
      <c r="AL107" s="12">
        <f t="shared" si="13"/>
        <v>16.3</v>
      </c>
    </row>
    <row r="108" spans="1:38" ht="15.75" customHeight="1" x14ac:dyDescent="0.25">
      <c r="A108" s="1" t="s">
        <v>243</v>
      </c>
      <c r="B108" s="7" t="s">
        <v>128</v>
      </c>
      <c r="C108" s="4" t="s">
        <v>8</v>
      </c>
      <c r="D108" s="4">
        <v>43</v>
      </c>
      <c r="E108" s="4">
        <v>560</v>
      </c>
      <c r="F108" s="4">
        <v>43</v>
      </c>
      <c r="G108" s="4">
        <v>1</v>
      </c>
      <c r="H108" s="4">
        <v>13</v>
      </c>
      <c r="I108" s="4">
        <v>1.7</v>
      </c>
      <c r="J108" s="4">
        <v>4.0999999999999996</v>
      </c>
      <c r="K108" s="4">
        <v>0.42599999999999999</v>
      </c>
      <c r="L108" s="4">
        <v>0.5</v>
      </c>
      <c r="M108" s="4">
        <v>1.6</v>
      </c>
      <c r="N108" s="4">
        <v>0.32800000000000001</v>
      </c>
      <c r="O108" s="4">
        <v>1.2</v>
      </c>
      <c r="P108" s="4">
        <v>2.5</v>
      </c>
      <c r="Q108" s="4">
        <v>0.48599999999999999</v>
      </c>
      <c r="R108" s="4">
        <v>0.8</v>
      </c>
      <c r="S108" s="4">
        <v>0.9</v>
      </c>
      <c r="T108" s="4">
        <v>0.89500000000000002</v>
      </c>
      <c r="U108" s="4">
        <v>0.3</v>
      </c>
      <c r="V108" s="4">
        <v>1.4</v>
      </c>
      <c r="W108" s="4">
        <v>1</v>
      </c>
      <c r="X108" s="4">
        <v>0.3</v>
      </c>
      <c r="Y108" s="4">
        <v>0.1</v>
      </c>
      <c r="Z108" s="4">
        <v>0.7</v>
      </c>
      <c r="AA108" s="4">
        <v>1.2</v>
      </c>
      <c r="AB108" s="4">
        <v>4.8</v>
      </c>
      <c r="AC108" s="10">
        <f t="shared" si="7"/>
        <v>0.92378752886836024</v>
      </c>
      <c r="AD108" s="10">
        <f t="shared" si="8"/>
        <v>8.3333333333333343E-2</v>
      </c>
      <c r="AE108" s="12">
        <f>100*(AC108/TOTAL_BASIC!$D$302)</f>
        <v>96.061684170972327</v>
      </c>
      <c r="AF108" s="9"/>
      <c r="AG108" s="9"/>
      <c r="AH108" s="12">
        <f t="shared" si="9"/>
        <v>29.5</v>
      </c>
      <c r="AI108" s="12">
        <f t="shared" si="10"/>
        <v>48</v>
      </c>
      <c r="AJ108" s="12">
        <f t="shared" si="11"/>
        <v>29.5</v>
      </c>
      <c r="AK108" s="12">
        <f t="shared" si="12"/>
        <v>21.3</v>
      </c>
      <c r="AL108" s="12">
        <f t="shared" si="13"/>
        <v>90.7</v>
      </c>
    </row>
    <row r="109" spans="1:38" ht="15.75" customHeight="1" x14ac:dyDescent="0.25">
      <c r="A109" s="1" t="s">
        <v>228</v>
      </c>
      <c r="B109" s="7" t="s">
        <v>161</v>
      </c>
      <c r="C109" s="4" t="s">
        <v>8</v>
      </c>
      <c r="D109" s="4">
        <v>41</v>
      </c>
      <c r="E109" s="4">
        <v>559</v>
      </c>
      <c r="F109" s="4">
        <v>41</v>
      </c>
      <c r="G109" s="4">
        <v>3</v>
      </c>
      <c r="H109" s="4">
        <v>13.6</v>
      </c>
      <c r="I109" s="4">
        <v>1.6</v>
      </c>
      <c r="J109" s="4">
        <v>4.5999999999999996</v>
      </c>
      <c r="K109" s="4">
        <v>0.34200000000000003</v>
      </c>
      <c r="L109" s="4">
        <v>1.1000000000000001</v>
      </c>
      <c r="M109" s="4">
        <v>3.3</v>
      </c>
      <c r="N109" s="4">
        <v>0.32400000000000001</v>
      </c>
      <c r="O109" s="4">
        <v>0.5</v>
      </c>
      <c r="P109" s="4">
        <v>1.2</v>
      </c>
      <c r="Q109" s="4">
        <v>0.39200000000000002</v>
      </c>
      <c r="R109" s="4">
        <v>1.1000000000000001</v>
      </c>
      <c r="S109" s="4">
        <v>1.3</v>
      </c>
      <c r="T109" s="4">
        <v>0.88500000000000001</v>
      </c>
      <c r="U109" s="4">
        <v>0.2</v>
      </c>
      <c r="V109" s="4">
        <v>1.1000000000000001</v>
      </c>
      <c r="W109" s="4">
        <v>1</v>
      </c>
      <c r="X109" s="4">
        <v>0.3</v>
      </c>
      <c r="Y109" s="4">
        <v>0</v>
      </c>
      <c r="Z109" s="4">
        <v>0.5</v>
      </c>
      <c r="AA109" s="4">
        <v>1.3</v>
      </c>
      <c r="AB109" s="4">
        <v>5.3</v>
      </c>
      <c r="AC109" s="10">
        <f t="shared" si="7"/>
        <v>0.93441466854724964</v>
      </c>
      <c r="AD109" s="10">
        <f t="shared" si="8"/>
        <v>0</v>
      </c>
      <c r="AE109" s="12">
        <f>100*(AC109/TOTAL_BASIC!$D$302)</f>
        <v>97.166766133623227</v>
      </c>
      <c r="AF109" s="9"/>
      <c r="AG109" s="9"/>
      <c r="AH109" s="12">
        <f t="shared" si="9"/>
        <v>0</v>
      </c>
      <c r="AI109" s="12">
        <f t="shared" si="10"/>
        <v>51.9</v>
      </c>
      <c r="AJ109" s="12">
        <f t="shared" si="11"/>
        <v>34.4</v>
      </c>
      <c r="AK109" s="12">
        <f t="shared" si="12"/>
        <v>24</v>
      </c>
      <c r="AL109" s="12">
        <f t="shared" si="13"/>
        <v>86.8</v>
      </c>
    </row>
    <row r="110" spans="1:38" ht="15.75" customHeight="1" x14ac:dyDescent="0.25">
      <c r="A110" s="1" t="s">
        <v>225</v>
      </c>
      <c r="B110" s="7" t="s">
        <v>93</v>
      </c>
      <c r="C110" s="4" t="s">
        <v>85</v>
      </c>
      <c r="D110" s="4">
        <v>34</v>
      </c>
      <c r="E110" s="4">
        <v>557</v>
      </c>
      <c r="F110" s="4">
        <v>34</v>
      </c>
      <c r="G110" s="4">
        <v>5</v>
      </c>
      <c r="H110" s="4">
        <v>16.399999999999999</v>
      </c>
      <c r="I110" s="4">
        <v>1.5</v>
      </c>
      <c r="J110" s="4">
        <v>4</v>
      </c>
      <c r="K110" s="4">
        <v>0.372</v>
      </c>
      <c r="L110" s="4">
        <v>0.6</v>
      </c>
      <c r="M110" s="4">
        <v>2</v>
      </c>
      <c r="N110" s="4">
        <v>0.27900000000000003</v>
      </c>
      <c r="O110" s="4">
        <v>0.9</v>
      </c>
      <c r="P110" s="4">
        <v>2</v>
      </c>
      <c r="Q110" s="4">
        <v>0.46400000000000002</v>
      </c>
      <c r="R110" s="4">
        <v>2.8</v>
      </c>
      <c r="S110" s="4">
        <v>3.4</v>
      </c>
      <c r="T110" s="4">
        <v>0.82099999999999995</v>
      </c>
      <c r="U110" s="4">
        <v>0.7</v>
      </c>
      <c r="V110" s="4">
        <v>2.8</v>
      </c>
      <c r="W110" s="4">
        <v>1.2</v>
      </c>
      <c r="X110" s="4">
        <v>0.5</v>
      </c>
      <c r="Y110" s="4">
        <v>0.2</v>
      </c>
      <c r="Z110" s="4">
        <v>1.4</v>
      </c>
      <c r="AA110" s="4">
        <v>1.9</v>
      </c>
      <c r="AB110" s="4">
        <v>6.4</v>
      </c>
      <c r="AC110" s="10">
        <f t="shared" si="7"/>
        <v>0.92807424593967514</v>
      </c>
      <c r="AD110" s="10">
        <f t="shared" si="8"/>
        <v>0.10526315789473685</v>
      </c>
      <c r="AE110" s="12">
        <f>100*(AC110/TOTAL_BASIC!$D$302)</f>
        <v>96.507446046475678</v>
      </c>
      <c r="AF110" s="9"/>
      <c r="AG110" s="9"/>
      <c r="AH110" s="12">
        <f t="shared" si="9"/>
        <v>36.6</v>
      </c>
      <c r="AI110" s="12">
        <f t="shared" si="10"/>
        <v>50.2</v>
      </c>
      <c r="AJ110" s="12">
        <f t="shared" si="11"/>
        <v>45.300000000000004</v>
      </c>
      <c r="AK110" s="12">
        <f t="shared" si="12"/>
        <v>38.200000000000003</v>
      </c>
      <c r="AL110" s="12">
        <f t="shared" si="13"/>
        <v>57.9</v>
      </c>
    </row>
    <row r="111" spans="1:38" ht="15.75" customHeight="1" x14ac:dyDescent="0.25">
      <c r="A111" s="1" t="s">
        <v>147</v>
      </c>
      <c r="B111" s="7" t="s">
        <v>131</v>
      </c>
      <c r="C111" s="4" t="s">
        <v>8</v>
      </c>
      <c r="D111" s="4">
        <v>19</v>
      </c>
      <c r="E111" s="4">
        <v>553</v>
      </c>
      <c r="F111" s="4">
        <v>19</v>
      </c>
      <c r="G111" s="4">
        <v>19</v>
      </c>
      <c r="H111" s="4">
        <v>29.1</v>
      </c>
      <c r="I111" s="4">
        <v>4.5999999999999996</v>
      </c>
      <c r="J111" s="4">
        <v>11.7</v>
      </c>
      <c r="K111" s="4">
        <v>0.39200000000000002</v>
      </c>
      <c r="L111" s="4">
        <v>1.4</v>
      </c>
      <c r="M111" s="4">
        <v>3.6</v>
      </c>
      <c r="N111" s="4">
        <v>0.38200000000000001</v>
      </c>
      <c r="O111" s="4">
        <v>3.2</v>
      </c>
      <c r="P111" s="4">
        <v>8.1</v>
      </c>
      <c r="Q111" s="4">
        <v>0.39600000000000002</v>
      </c>
      <c r="R111" s="4">
        <v>3.6</v>
      </c>
      <c r="S111" s="4">
        <v>4.7</v>
      </c>
      <c r="T111" s="4">
        <v>0.77500000000000002</v>
      </c>
      <c r="U111" s="4">
        <v>0.7</v>
      </c>
      <c r="V111" s="4">
        <v>3.2</v>
      </c>
      <c r="W111" s="4">
        <v>4.9000000000000004</v>
      </c>
      <c r="X111" s="4">
        <v>0.9</v>
      </c>
      <c r="Y111" s="4">
        <v>0.6</v>
      </c>
      <c r="Z111" s="4">
        <v>1.7</v>
      </c>
      <c r="AA111" s="4">
        <v>2.2000000000000002</v>
      </c>
      <c r="AB111" s="4">
        <v>14.2</v>
      </c>
      <c r="AC111" s="10">
        <f t="shared" si="7"/>
        <v>0.91802430824928893</v>
      </c>
      <c r="AD111" s="10">
        <f t="shared" si="8"/>
        <v>0.27272727272727271</v>
      </c>
      <c r="AE111" s="12">
        <f>100*(AC111/TOTAL_BASIC!$D$302)</f>
        <v>95.462385456044814</v>
      </c>
      <c r="AF111" s="9"/>
      <c r="AG111" s="9"/>
      <c r="AH111" s="12">
        <f t="shared" si="9"/>
        <v>77</v>
      </c>
      <c r="AI111" s="12">
        <f t="shared" si="10"/>
        <v>46.400000000000006</v>
      </c>
      <c r="AJ111" s="12">
        <f t="shared" si="11"/>
        <v>79.2</v>
      </c>
      <c r="AK111" s="12">
        <f t="shared" si="12"/>
        <v>83</v>
      </c>
      <c r="AL111" s="12">
        <f t="shared" si="13"/>
        <v>40.400000000000006</v>
      </c>
    </row>
    <row r="112" spans="1:38" ht="15.75" customHeight="1" x14ac:dyDescent="0.25">
      <c r="A112" s="1" t="s">
        <v>262</v>
      </c>
      <c r="B112" s="7" t="s">
        <v>131</v>
      </c>
      <c r="C112" s="4" t="s">
        <v>8</v>
      </c>
      <c r="D112" s="4">
        <v>25</v>
      </c>
      <c r="E112" s="4">
        <v>552</v>
      </c>
      <c r="F112" s="4">
        <v>25</v>
      </c>
      <c r="G112" s="4">
        <v>22</v>
      </c>
      <c r="H112" s="4">
        <v>22.1</v>
      </c>
      <c r="I112" s="4">
        <v>3.2</v>
      </c>
      <c r="J112" s="4">
        <v>7.2</v>
      </c>
      <c r="K112" s="4">
        <v>0.442</v>
      </c>
      <c r="L112" s="4">
        <v>0.9</v>
      </c>
      <c r="M112" s="4">
        <v>2.2999999999999998</v>
      </c>
      <c r="N112" s="4">
        <v>0.379</v>
      </c>
      <c r="O112" s="4">
        <v>2.2999999999999998</v>
      </c>
      <c r="P112" s="4">
        <v>4.9000000000000004</v>
      </c>
      <c r="Q112" s="4">
        <v>0.47199999999999998</v>
      </c>
      <c r="R112" s="4">
        <v>2</v>
      </c>
      <c r="S112" s="4">
        <v>2.6</v>
      </c>
      <c r="T112" s="4">
        <v>0.78100000000000003</v>
      </c>
      <c r="U112" s="4">
        <v>0.4</v>
      </c>
      <c r="V112" s="4">
        <v>2.9</v>
      </c>
      <c r="W112" s="4">
        <v>5.2</v>
      </c>
      <c r="X112" s="4">
        <v>1.2</v>
      </c>
      <c r="Y112" s="4">
        <v>0.3</v>
      </c>
      <c r="Z112" s="4">
        <v>2.1</v>
      </c>
      <c r="AA112" s="4">
        <v>1.6</v>
      </c>
      <c r="AB112" s="4">
        <v>9.3000000000000007</v>
      </c>
      <c r="AC112" s="10">
        <f t="shared" si="7"/>
        <v>0.89046342397548828</v>
      </c>
      <c r="AD112" s="10">
        <f t="shared" si="8"/>
        <v>0.18749999999999997</v>
      </c>
      <c r="AE112" s="12">
        <f>100*(AC112/TOTAL_BASIC!$D$302)</f>
        <v>92.596418036214203</v>
      </c>
      <c r="AF112" s="9"/>
      <c r="AG112" s="9"/>
      <c r="AH112" s="12">
        <f t="shared" si="9"/>
        <v>63.3</v>
      </c>
      <c r="AI112" s="12">
        <f t="shared" si="10"/>
        <v>38.200000000000003</v>
      </c>
      <c r="AJ112" s="12">
        <f t="shared" si="11"/>
        <v>62.8</v>
      </c>
      <c r="AK112" s="12">
        <f t="shared" si="12"/>
        <v>56.2</v>
      </c>
      <c r="AL112" s="12">
        <f t="shared" si="13"/>
        <v>43.7</v>
      </c>
    </row>
    <row r="113" spans="1:38" ht="15.75" customHeight="1" x14ac:dyDescent="0.25">
      <c r="A113" s="1" t="s">
        <v>136</v>
      </c>
      <c r="B113" s="7" t="s">
        <v>240</v>
      </c>
      <c r="C113" s="4" t="s">
        <v>8</v>
      </c>
      <c r="D113" s="4">
        <v>17</v>
      </c>
      <c r="E113" s="4">
        <v>519</v>
      </c>
      <c r="F113" s="4">
        <v>17</v>
      </c>
      <c r="G113" s="4">
        <v>15</v>
      </c>
      <c r="H113" s="4">
        <v>30.5</v>
      </c>
      <c r="I113" s="4">
        <v>7.4</v>
      </c>
      <c r="J113" s="4">
        <v>14.3</v>
      </c>
      <c r="K113" s="4">
        <v>0.51900000000000002</v>
      </c>
      <c r="L113" s="4">
        <v>2.4</v>
      </c>
      <c r="M113" s="4">
        <v>6.2</v>
      </c>
      <c r="N113" s="4">
        <v>0.377</v>
      </c>
      <c r="O113" s="4">
        <v>5.0999999999999996</v>
      </c>
      <c r="P113" s="4">
        <v>8.1</v>
      </c>
      <c r="Q113" s="4">
        <v>0.628</v>
      </c>
      <c r="R113" s="4">
        <v>4.4000000000000004</v>
      </c>
      <c r="S113" s="4">
        <v>5.4</v>
      </c>
      <c r="T113" s="4">
        <v>0.81299999999999994</v>
      </c>
      <c r="U113" s="4">
        <v>0.2</v>
      </c>
      <c r="V113" s="4">
        <v>2.1</v>
      </c>
      <c r="W113" s="4">
        <v>5.4</v>
      </c>
      <c r="X113" s="4">
        <v>1</v>
      </c>
      <c r="Y113" s="4">
        <v>0</v>
      </c>
      <c r="Z113" s="4">
        <v>2.8</v>
      </c>
      <c r="AA113" s="4">
        <v>3.3</v>
      </c>
      <c r="AB113" s="4">
        <v>21.5</v>
      </c>
      <c r="AC113" s="10">
        <f t="shared" si="7"/>
        <v>1.1039227767508728</v>
      </c>
      <c r="AD113" s="10">
        <f t="shared" si="8"/>
        <v>0</v>
      </c>
      <c r="AE113" s="12">
        <f>100*(AC113/TOTAL_BASIC!$D$302)</f>
        <v>114.7933673225594</v>
      </c>
      <c r="AF113" s="9"/>
      <c r="AG113" s="9"/>
      <c r="AH113" s="12">
        <f t="shared" si="9"/>
        <v>0</v>
      </c>
      <c r="AI113" s="12">
        <f t="shared" si="10"/>
        <v>92.800000000000011</v>
      </c>
      <c r="AJ113" s="12">
        <f t="shared" si="11"/>
        <v>97.8</v>
      </c>
      <c r="AK113" s="12">
        <f t="shared" si="12"/>
        <v>87.9</v>
      </c>
      <c r="AL113" s="12">
        <f t="shared" si="13"/>
        <v>54.6</v>
      </c>
    </row>
    <row r="114" spans="1:38" ht="15.75" customHeight="1" x14ac:dyDescent="0.25">
      <c r="A114" s="1" t="s">
        <v>187</v>
      </c>
      <c r="B114" s="7" t="s">
        <v>117</v>
      </c>
      <c r="C114" s="4" t="s">
        <v>119</v>
      </c>
      <c r="D114" s="4">
        <v>39</v>
      </c>
      <c r="E114" s="4">
        <v>516</v>
      </c>
      <c r="F114" s="4">
        <v>39</v>
      </c>
      <c r="G114" s="4">
        <v>5</v>
      </c>
      <c r="H114" s="4">
        <v>13.2</v>
      </c>
      <c r="I114" s="4">
        <v>0.8</v>
      </c>
      <c r="J114" s="4">
        <v>1.4</v>
      </c>
      <c r="K114" s="4">
        <v>0.56599999999999995</v>
      </c>
      <c r="L114" s="4">
        <v>0</v>
      </c>
      <c r="M114" s="4">
        <v>0</v>
      </c>
      <c r="N114" s="4">
        <v>0</v>
      </c>
      <c r="O114" s="4">
        <v>0.8</v>
      </c>
      <c r="P114" s="4">
        <v>1.4</v>
      </c>
      <c r="Q114" s="4">
        <v>0.56599999999999995</v>
      </c>
      <c r="R114" s="4">
        <v>0.1</v>
      </c>
      <c r="S114" s="4">
        <v>0.1</v>
      </c>
      <c r="T114" s="4">
        <v>1</v>
      </c>
      <c r="U114" s="4">
        <v>0.5</v>
      </c>
      <c r="V114" s="4">
        <v>2.2000000000000002</v>
      </c>
      <c r="W114" s="4">
        <v>0.2</v>
      </c>
      <c r="X114" s="4">
        <v>0.3</v>
      </c>
      <c r="Y114" s="4">
        <v>0.6</v>
      </c>
      <c r="Z114" s="4">
        <v>0.6</v>
      </c>
      <c r="AA114" s="4">
        <v>1.5</v>
      </c>
      <c r="AB114" s="4">
        <v>1.6</v>
      </c>
      <c r="AC114" s="10">
        <f t="shared" si="7"/>
        <v>0.78277886497064586</v>
      </c>
      <c r="AD114" s="10">
        <f t="shared" si="8"/>
        <v>0.39999999999999997</v>
      </c>
      <c r="AE114" s="12">
        <f>100*(AC114/TOTAL_BASIC!$D$302)</f>
        <v>81.39864823098047</v>
      </c>
      <c r="AF114" s="9"/>
      <c r="AG114" s="9"/>
      <c r="AH114" s="12">
        <f t="shared" si="9"/>
        <v>85.7</v>
      </c>
      <c r="AI114" s="12">
        <f t="shared" si="10"/>
        <v>8.6999999999999993</v>
      </c>
      <c r="AJ114" s="12">
        <f t="shared" si="11"/>
        <v>0.5</v>
      </c>
      <c r="AK114" s="12">
        <f t="shared" si="12"/>
        <v>21.8</v>
      </c>
      <c r="AL114" s="12">
        <f t="shared" si="13"/>
        <v>97.8</v>
      </c>
    </row>
    <row r="115" spans="1:38" ht="15.75" customHeight="1" x14ac:dyDescent="0.25">
      <c r="A115" s="1" t="s">
        <v>213</v>
      </c>
      <c r="B115" s="7" t="s">
        <v>131</v>
      </c>
      <c r="C115" s="4" t="s">
        <v>8</v>
      </c>
      <c r="D115" s="4">
        <v>38</v>
      </c>
      <c r="E115" s="4">
        <v>514</v>
      </c>
      <c r="F115" s="4">
        <v>38</v>
      </c>
      <c r="G115" s="4">
        <v>2</v>
      </c>
      <c r="H115" s="4">
        <v>13.5</v>
      </c>
      <c r="I115" s="4">
        <v>1.7</v>
      </c>
      <c r="J115" s="4">
        <v>4.7</v>
      </c>
      <c r="K115" s="4">
        <v>0.36199999999999999</v>
      </c>
      <c r="L115" s="4">
        <v>1.1000000000000001</v>
      </c>
      <c r="M115" s="4">
        <v>3.4</v>
      </c>
      <c r="N115" s="4">
        <v>0.32600000000000001</v>
      </c>
      <c r="O115" s="4">
        <v>0.6</v>
      </c>
      <c r="P115" s="4">
        <v>1.3</v>
      </c>
      <c r="Q115" s="4">
        <v>0.45800000000000002</v>
      </c>
      <c r="R115" s="4">
        <v>0.4</v>
      </c>
      <c r="S115" s="4">
        <v>0.5</v>
      </c>
      <c r="T115" s="4">
        <v>0.78900000000000003</v>
      </c>
      <c r="U115" s="4">
        <v>0.1</v>
      </c>
      <c r="V115" s="4">
        <v>1.2</v>
      </c>
      <c r="W115" s="4">
        <v>1.3</v>
      </c>
      <c r="X115" s="4">
        <v>0.3</v>
      </c>
      <c r="Y115" s="4">
        <v>0.2</v>
      </c>
      <c r="Z115" s="4">
        <v>0.8</v>
      </c>
      <c r="AA115" s="4">
        <v>1.3</v>
      </c>
      <c r="AB115" s="4">
        <v>4.9000000000000004</v>
      </c>
      <c r="AC115" s="10">
        <f t="shared" si="7"/>
        <v>0.85664335664335678</v>
      </c>
      <c r="AD115" s="10">
        <f t="shared" si="8"/>
        <v>0.15384615384615385</v>
      </c>
      <c r="AE115" s="12">
        <f>100*(AC115/TOTAL_BASIC!$D$302)</f>
        <v>89.079578367811195</v>
      </c>
      <c r="AF115" s="9"/>
      <c r="AG115" s="9"/>
      <c r="AH115" s="12">
        <f t="shared" si="9"/>
        <v>55.1</v>
      </c>
      <c r="AI115" s="12">
        <f t="shared" si="10"/>
        <v>24</v>
      </c>
      <c r="AJ115" s="12">
        <f t="shared" si="11"/>
        <v>30</v>
      </c>
      <c r="AK115" s="12">
        <f t="shared" si="12"/>
        <v>23.400000000000002</v>
      </c>
      <c r="AL115" s="12">
        <f t="shared" si="13"/>
        <v>47.5</v>
      </c>
    </row>
    <row r="116" spans="1:38" ht="15.75" customHeight="1" x14ac:dyDescent="0.25">
      <c r="A116" s="1" t="s">
        <v>221</v>
      </c>
      <c r="B116" s="7" t="s">
        <v>157</v>
      </c>
      <c r="C116" s="4" t="s">
        <v>8</v>
      </c>
      <c r="D116" s="4">
        <v>37</v>
      </c>
      <c r="E116" s="4">
        <v>507</v>
      </c>
      <c r="F116" s="4">
        <v>37</v>
      </c>
      <c r="G116" s="4">
        <v>4</v>
      </c>
      <c r="H116" s="4">
        <v>13.7</v>
      </c>
      <c r="I116" s="4">
        <v>1.4</v>
      </c>
      <c r="J116" s="4">
        <v>3.4</v>
      </c>
      <c r="K116" s="4">
        <v>0.42699999999999999</v>
      </c>
      <c r="L116" s="4">
        <v>0.6</v>
      </c>
      <c r="M116" s="4">
        <v>1.8</v>
      </c>
      <c r="N116" s="4">
        <v>0.35799999999999998</v>
      </c>
      <c r="O116" s="4">
        <v>0.8</v>
      </c>
      <c r="P116" s="4">
        <v>1.5</v>
      </c>
      <c r="Q116" s="4">
        <v>0.50900000000000001</v>
      </c>
      <c r="R116" s="4">
        <v>0.6</v>
      </c>
      <c r="S116" s="4">
        <v>0.7</v>
      </c>
      <c r="T116" s="4">
        <v>0.88900000000000001</v>
      </c>
      <c r="U116" s="4">
        <v>0.2</v>
      </c>
      <c r="V116" s="4">
        <v>1.1000000000000001</v>
      </c>
      <c r="W116" s="4">
        <v>2</v>
      </c>
      <c r="X116" s="4">
        <v>0.3</v>
      </c>
      <c r="Y116" s="4">
        <v>0.1</v>
      </c>
      <c r="Z116" s="4">
        <v>0.5</v>
      </c>
      <c r="AA116" s="4">
        <v>1.1000000000000001</v>
      </c>
      <c r="AB116" s="4">
        <v>4.2</v>
      </c>
      <c r="AC116" s="10">
        <f t="shared" si="7"/>
        <v>0.99809885931558939</v>
      </c>
      <c r="AD116" s="10">
        <f t="shared" si="8"/>
        <v>9.0909090909090912E-2</v>
      </c>
      <c r="AE116" s="12">
        <f>100*(AC116/TOTAL_BASIC!$D$302)</f>
        <v>103.78907963006789</v>
      </c>
      <c r="AF116" s="9"/>
      <c r="AG116" s="9"/>
      <c r="AH116" s="12">
        <f t="shared" si="9"/>
        <v>31.6</v>
      </c>
      <c r="AI116" s="12">
        <f t="shared" si="10"/>
        <v>69.3</v>
      </c>
      <c r="AJ116" s="12">
        <f t="shared" si="11"/>
        <v>24</v>
      </c>
      <c r="AK116" s="12">
        <f t="shared" si="12"/>
        <v>25.6</v>
      </c>
      <c r="AL116" s="12">
        <f t="shared" si="13"/>
        <v>88.5</v>
      </c>
    </row>
    <row r="117" spans="1:38" ht="15.75" customHeight="1" x14ac:dyDescent="0.25">
      <c r="A117" s="1" t="s">
        <v>264</v>
      </c>
      <c r="B117" s="4" t="s">
        <v>84</v>
      </c>
      <c r="C117" s="4" t="s">
        <v>112</v>
      </c>
      <c r="D117" s="4">
        <v>28</v>
      </c>
      <c r="E117" s="4">
        <v>504</v>
      </c>
      <c r="F117" s="4">
        <v>28</v>
      </c>
      <c r="G117" s="4">
        <v>12</v>
      </c>
      <c r="H117" s="4">
        <v>18</v>
      </c>
      <c r="I117" s="4">
        <v>2</v>
      </c>
      <c r="J117" s="4">
        <v>4.8</v>
      </c>
      <c r="K117" s="4">
        <v>0.42099999999999999</v>
      </c>
      <c r="L117" s="4">
        <v>1.3</v>
      </c>
      <c r="M117" s="4">
        <v>3.3</v>
      </c>
      <c r="N117" s="4">
        <v>0.40699999999999997</v>
      </c>
      <c r="O117" s="4">
        <v>0.7</v>
      </c>
      <c r="P117" s="4">
        <v>1.5</v>
      </c>
      <c r="Q117" s="4">
        <v>0.45200000000000001</v>
      </c>
      <c r="R117" s="4">
        <v>0.5</v>
      </c>
      <c r="S117" s="4">
        <v>0.5</v>
      </c>
      <c r="T117" s="4">
        <v>0.86699999999999999</v>
      </c>
      <c r="U117" s="4">
        <v>0.6</v>
      </c>
      <c r="V117" s="4">
        <v>2.5</v>
      </c>
      <c r="W117" s="4">
        <v>0.6</v>
      </c>
      <c r="X117" s="4">
        <v>0.5</v>
      </c>
      <c r="Y117" s="4">
        <v>0.4</v>
      </c>
      <c r="Z117" s="4">
        <v>0.6</v>
      </c>
      <c r="AA117" s="4">
        <v>2.2000000000000002</v>
      </c>
      <c r="AB117" s="4">
        <v>5.8</v>
      </c>
      <c r="AC117" s="10">
        <f t="shared" si="7"/>
        <v>1.0320284697508897</v>
      </c>
      <c r="AD117" s="10">
        <f t="shared" si="8"/>
        <v>0.18181818181818182</v>
      </c>
      <c r="AE117" s="12">
        <f>100*(AC117/TOTAL_BASIC!$D$302)</f>
        <v>107.31731033228644</v>
      </c>
      <c r="AF117" s="9"/>
      <c r="AG117" s="9"/>
      <c r="AH117" s="12">
        <f t="shared" si="9"/>
        <v>62.2</v>
      </c>
      <c r="AI117" s="12">
        <f t="shared" si="10"/>
        <v>79.2</v>
      </c>
      <c r="AJ117" s="12">
        <f t="shared" si="11"/>
        <v>39.300000000000004</v>
      </c>
      <c r="AK117" s="12">
        <f t="shared" si="12"/>
        <v>45.9</v>
      </c>
      <c r="AL117" s="12">
        <f t="shared" si="13"/>
        <v>80.300000000000011</v>
      </c>
    </row>
    <row r="118" spans="1:38" ht="15.75" customHeight="1" x14ac:dyDescent="0.25">
      <c r="A118" s="1" t="s">
        <v>234</v>
      </c>
      <c r="B118" s="7" t="s">
        <v>232</v>
      </c>
      <c r="C118" s="4" t="s">
        <v>85</v>
      </c>
      <c r="D118" s="4">
        <v>38</v>
      </c>
      <c r="E118" s="4">
        <v>504</v>
      </c>
      <c r="F118" s="4">
        <v>38</v>
      </c>
      <c r="G118" s="4">
        <v>3</v>
      </c>
      <c r="H118" s="4">
        <v>13.3</v>
      </c>
      <c r="I118" s="4">
        <v>1.8</v>
      </c>
      <c r="J118" s="4">
        <v>3.2</v>
      </c>
      <c r="K118" s="4">
        <v>0.54900000000000004</v>
      </c>
      <c r="L118" s="4">
        <v>0</v>
      </c>
      <c r="M118" s="4">
        <v>0.1</v>
      </c>
      <c r="N118" s="4">
        <v>0.5</v>
      </c>
      <c r="O118" s="4">
        <v>1.7</v>
      </c>
      <c r="P118" s="4">
        <v>3.2</v>
      </c>
      <c r="Q118" s="4">
        <v>0.55000000000000004</v>
      </c>
      <c r="R118" s="4">
        <v>0.8</v>
      </c>
      <c r="S118" s="4">
        <v>1.4</v>
      </c>
      <c r="T118" s="4">
        <v>0.61499999999999999</v>
      </c>
      <c r="U118" s="4">
        <v>0.9</v>
      </c>
      <c r="V118" s="4">
        <v>2.8</v>
      </c>
      <c r="W118" s="4">
        <v>0.5</v>
      </c>
      <c r="X118" s="4">
        <v>0.5</v>
      </c>
      <c r="Y118" s="4">
        <v>0.4</v>
      </c>
      <c r="Z118" s="4">
        <v>0.8</v>
      </c>
      <c r="AA118" s="4">
        <v>1.9</v>
      </c>
      <c r="AB118" s="4">
        <v>4.4000000000000004</v>
      </c>
      <c r="AC118" s="10">
        <f t="shared" si="7"/>
        <v>0.95320623916811087</v>
      </c>
      <c r="AD118" s="10">
        <f t="shared" si="8"/>
        <v>0.2105263157894737</v>
      </c>
      <c r="AE118" s="12">
        <f>100*(AC118/TOTAL_BASIC!$D$302)</f>
        <v>99.120840924250686</v>
      </c>
      <c r="AF118" s="9"/>
      <c r="AG118" s="9"/>
      <c r="AH118" s="12">
        <f t="shared" si="9"/>
        <v>68.8</v>
      </c>
      <c r="AI118" s="12">
        <f t="shared" si="10"/>
        <v>55.1</v>
      </c>
      <c r="AJ118" s="12">
        <f t="shared" si="11"/>
        <v>26.200000000000003</v>
      </c>
      <c r="AK118" s="12">
        <f t="shared" si="12"/>
        <v>22.400000000000002</v>
      </c>
      <c r="AL118" s="12">
        <f t="shared" si="13"/>
        <v>9.1999999999999993</v>
      </c>
    </row>
    <row r="119" spans="1:38" ht="15.75" customHeight="1" x14ac:dyDescent="0.25">
      <c r="A119" s="1" t="s">
        <v>160</v>
      </c>
      <c r="B119" s="7" t="s">
        <v>161</v>
      </c>
      <c r="C119" s="4" t="s">
        <v>8</v>
      </c>
      <c r="D119" s="4">
        <v>17</v>
      </c>
      <c r="E119" s="4">
        <v>500</v>
      </c>
      <c r="F119" s="4">
        <v>17</v>
      </c>
      <c r="G119" s="4">
        <v>17</v>
      </c>
      <c r="H119" s="4">
        <v>29.4</v>
      </c>
      <c r="I119" s="4">
        <v>6</v>
      </c>
      <c r="J119" s="4">
        <v>14.4</v>
      </c>
      <c r="K119" s="4">
        <v>0.41799999999999998</v>
      </c>
      <c r="L119" s="4">
        <v>0.9</v>
      </c>
      <c r="M119" s="4">
        <v>3.6</v>
      </c>
      <c r="N119" s="4">
        <v>0.25800000000000001</v>
      </c>
      <c r="O119" s="4">
        <v>5.0999999999999996</v>
      </c>
      <c r="P119" s="4">
        <v>10.7</v>
      </c>
      <c r="Q119" s="4">
        <v>0.47299999999999998</v>
      </c>
      <c r="R119" s="4">
        <v>5.6</v>
      </c>
      <c r="S119" s="4">
        <v>6.3</v>
      </c>
      <c r="T119" s="4">
        <v>0.89700000000000002</v>
      </c>
      <c r="U119" s="4">
        <v>0.9</v>
      </c>
      <c r="V119" s="4">
        <v>3.5</v>
      </c>
      <c r="W119" s="4">
        <v>3.4</v>
      </c>
      <c r="X119" s="4">
        <v>1.2</v>
      </c>
      <c r="Y119" s="4">
        <v>0.5</v>
      </c>
      <c r="Z119" s="4">
        <v>2.1</v>
      </c>
      <c r="AA119" s="4">
        <v>2.4</v>
      </c>
      <c r="AB119" s="4">
        <v>18.600000000000001</v>
      </c>
      <c r="AC119" s="10">
        <f t="shared" si="7"/>
        <v>0.96513075965130757</v>
      </c>
      <c r="AD119" s="10">
        <f t="shared" si="8"/>
        <v>0.20833333333333334</v>
      </c>
      <c r="AE119" s="12">
        <f>100*(AC119/TOTAL_BASIC!$D$302)</f>
        <v>100.36083333024295</v>
      </c>
      <c r="AF119" s="9"/>
      <c r="AG119" s="9"/>
      <c r="AH119" s="12">
        <f t="shared" si="9"/>
        <v>67.7</v>
      </c>
      <c r="AI119" s="12">
        <f t="shared" si="10"/>
        <v>57.9</v>
      </c>
      <c r="AJ119" s="12">
        <f t="shared" si="11"/>
        <v>93.899999999999991</v>
      </c>
      <c r="AK119" s="12">
        <f t="shared" si="12"/>
        <v>83.6</v>
      </c>
      <c r="AL119" s="12">
        <f t="shared" si="13"/>
        <v>91.8</v>
      </c>
    </row>
    <row r="120" spans="1:38" ht="15.75" customHeight="1" x14ac:dyDescent="0.25">
      <c r="A120" s="1" t="s">
        <v>206</v>
      </c>
      <c r="B120" s="7" t="s">
        <v>157</v>
      </c>
      <c r="C120" s="4" t="s">
        <v>85</v>
      </c>
      <c r="D120" s="4">
        <v>36</v>
      </c>
      <c r="E120" s="4">
        <v>496</v>
      </c>
      <c r="F120" s="4">
        <v>36</v>
      </c>
      <c r="G120" s="4">
        <v>3</v>
      </c>
      <c r="H120" s="4">
        <v>13.8</v>
      </c>
      <c r="I120" s="4">
        <v>1.5</v>
      </c>
      <c r="J120" s="4">
        <v>3.1</v>
      </c>
      <c r="K120" s="4">
        <v>0.48599999999999999</v>
      </c>
      <c r="L120" s="4">
        <v>0.2</v>
      </c>
      <c r="M120" s="4">
        <v>0.6</v>
      </c>
      <c r="N120" s="4">
        <v>0.34799999999999998</v>
      </c>
      <c r="O120" s="4">
        <v>1.3</v>
      </c>
      <c r="P120" s="4">
        <v>2.4</v>
      </c>
      <c r="Q120" s="4">
        <v>0.52300000000000002</v>
      </c>
      <c r="R120" s="4">
        <v>0.5</v>
      </c>
      <c r="S120" s="4">
        <v>0.9</v>
      </c>
      <c r="T120" s="4">
        <v>0.61299999999999999</v>
      </c>
      <c r="U120" s="4">
        <v>0.6</v>
      </c>
      <c r="V120" s="4">
        <v>3.3</v>
      </c>
      <c r="W120" s="4">
        <v>1.4</v>
      </c>
      <c r="X120" s="4">
        <v>0.5</v>
      </c>
      <c r="Y120" s="4">
        <v>0.4</v>
      </c>
      <c r="Z120" s="4">
        <v>1.1000000000000001</v>
      </c>
      <c r="AA120" s="4">
        <v>2.1</v>
      </c>
      <c r="AB120" s="4">
        <v>3.8</v>
      </c>
      <c r="AC120" s="10">
        <f t="shared" si="7"/>
        <v>0.82680591818973015</v>
      </c>
      <c r="AD120" s="10">
        <f t="shared" si="8"/>
        <v>0.19047619047619047</v>
      </c>
      <c r="AE120" s="12">
        <f>100*(AC120/TOTAL_BASIC!$D$302)</f>
        <v>85.976879424998828</v>
      </c>
      <c r="AF120" s="9"/>
      <c r="AG120" s="9"/>
      <c r="AH120" s="12">
        <f t="shared" si="9"/>
        <v>65</v>
      </c>
      <c r="AI120" s="12">
        <f t="shared" si="10"/>
        <v>18</v>
      </c>
      <c r="AJ120" s="12">
        <f t="shared" si="11"/>
        <v>19.100000000000001</v>
      </c>
      <c r="AK120" s="12">
        <f t="shared" si="12"/>
        <v>26.200000000000003</v>
      </c>
      <c r="AL120" s="12">
        <f t="shared" si="13"/>
        <v>8.6999999999999993</v>
      </c>
    </row>
    <row r="121" spans="1:38" ht="15.75" customHeight="1" x14ac:dyDescent="0.25">
      <c r="A121" s="1" t="s">
        <v>254</v>
      </c>
      <c r="B121" s="7" t="s">
        <v>232</v>
      </c>
      <c r="C121" s="4" t="s">
        <v>8</v>
      </c>
      <c r="D121" s="4">
        <v>31</v>
      </c>
      <c r="E121" s="4">
        <v>494</v>
      </c>
      <c r="F121" s="4">
        <v>31</v>
      </c>
      <c r="G121" s="4">
        <v>3</v>
      </c>
      <c r="H121" s="4">
        <v>15.9</v>
      </c>
      <c r="I121" s="4">
        <v>1.4</v>
      </c>
      <c r="J121" s="4">
        <v>3.9</v>
      </c>
      <c r="K121" s="4">
        <v>0.36699999999999999</v>
      </c>
      <c r="L121" s="4">
        <v>1</v>
      </c>
      <c r="M121" s="4">
        <v>3.3</v>
      </c>
      <c r="N121" s="4">
        <v>0.307</v>
      </c>
      <c r="O121" s="4">
        <v>0.4</v>
      </c>
      <c r="P121" s="4">
        <v>0.6</v>
      </c>
      <c r="Q121" s="4">
        <v>0.68400000000000005</v>
      </c>
      <c r="R121" s="4">
        <v>1.1000000000000001</v>
      </c>
      <c r="S121" s="4">
        <v>1.2</v>
      </c>
      <c r="T121" s="4">
        <v>0.89200000000000002</v>
      </c>
      <c r="U121" s="4">
        <v>0.5</v>
      </c>
      <c r="V121" s="4">
        <v>1.5</v>
      </c>
      <c r="W121" s="4">
        <v>0.8</v>
      </c>
      <c r="X121" s="4">
        <v>0.5</v>
      </c>
      <c r="Y121" s="4">
        <v>0.1</v>
      </c>
      <c r="Z121" s="4">
        <v>0.4</v>
      </c>
      <c r="AA121" s="4">
        <v>1.8</v>
      </c>
      <c r="AB121" s="4">
        <v>4.9000000000000004</v>
      </c>
      <c r="AC121" s="10">
        <f t="shared" si="7"/>
        <v>1.0149130074565038</v>
      </c>
      <c r="AD121" s="10">
        <f t="shared" si="8"/>
        <v>5.5555555555555559E-2</v>
      </c>
      <c r="AE121" s="12">
        <f>100*(AC121/TOTAL_BASIC!$D$302)</f>
        <v>105.53752863792047</v>
      </c>
      <c r="AF121" s="9"/>
      <c r="AG121" s="9"/>
      <c r="AH121" s="12">
        <f t="shared" si="9"/>
        <v>18.5</v>
      </c>
      <c r="AI121" s="12">
        <f t="shared" si="10"/>
        <v>73.7</v>
      </c>
      <c r="AJ121" s="12">
        <f t="shared" si="11"/>
        <v>30</v>
      </c>
      <c r="AK121" s="12">
        <f t="shared" si="12"/>
        <v>36.6</v>
      </c>
      <c r="AL121" s="12">
        <f t="shared" si="13"/>
        <v>89</v>
      </c>
    </row>
    <row r="122" spans="1:38" ht="15.75" customHeight="1" x14ac:dyDescent="0.25">
      <c r="A122" s="1" t="s">
        <v>249</v>
      </c>
      <c r="B122" s="7" t="s">
        <v>114</v>
      </c>
      <c r="C122" s="4" t="s">
        <v>8</v>
      </c>
      <c r="D122" s="4">
        <v>32</v>
      </c>
      <c r="E122" s="4">
        <v>491</v>
      </c>
      <c r="F122" s="4">
        <v>32</v>
      </c>
      <c r="G122" s="4">
        <v>1</v>
      </c>
      <c r="H122" s="4">
        <v>15.3</v>
      </c>
      <c r="I122" s="4">
        <v>1.5</v>
      </c>
      <c r="J122" s="4">
        <v>3.6</v>
      </c>
      <c r="K122" s="4">
        <v>0.40500000000000003</v>
      </c>
      <c r="L122" s="4">
        <v>0.8</v>
      </c>
      <c r="M122" s="4">
        <v>2.5</v>
      </c>
      <c r="N122" s="4">
        <v>0.32100000000000001</v>
      </c>
      <c r="O122" s="4">
        <v>0.7</v>
      </c>
      <c r="P122" s="4">
        <v>1.1000000000000001</v>
      </c>
      <c r="Q122" s="4">
        <v>0.6</v>
      </c>
      <c r="R122" s="4">
        <v>0.7</v>
      </c>
      <c r="S122" s="4">
        <v>0.9</v>
      </c>
      <c r="T122" s="4">
        <v>0.78600000000000003</v>
      </c>
      <c r="U122" s="4">
        <v>0.4</v>
      </c>
      <c r="V122" s="4">
        <v>2.1</v>
      </c>
      <c r="W122" s="4">
        <v>0.8</v>
      </c>
      <c r="X122" s="4">
        <v>0.8</v>
      </c>
      <c r="Y122" s="4">
        <v>0.1</v>
      </c>
      <c r="Z122" s="4">
        <v>0.5</v>
      </c>
      <c r="AA122" s="4">
        <v>0.9</v>
      </c>
      <c r="AB122" s="4">
        <v>4.4000000000000004</v>
      </c>
      <c r="AC122" s="10">
        <f t="shared" si="7"/>
        <v>0.97864768683274017</v>
      </c>
      <c r="AD122" s="10">
        <f t="shared" si="8"/>
        <v>0.11111111111111112</v>
      </c>
      <c r="AE122" s="12">
        <f>100*(AC122/TOTAL_BASIC!$D$302)</f>
        <v>101.76641497027161</v>
      </c>
      <c r="AF122" s="9"/>
      <c r="AG122" s="9"/>
      <c r="AH122" s="12">
        <f t="shared" si="9"/>
        <v>40.400000000000006</v>
      </c>
      <c r="AI122" s="12">
        <f t="shared" si="10"/>
        <v>63.9</v>
      </c>
      <c r="AJ122" s="12">
        <f t="shared" si="11"/>
        <v>26.200000000000003</v>
      </c>
      <c r="AK122" s="12">
        <f t="shared" si="12"/>
        <v>32.700000000000003</v>
      </c>
      <c r="AL122" s="12">
        <f t="shared" si="13"/>
        <v>44.800000000000004</v>
      </c>
    </row>
    <row r="123" spans="1:38" ht="15.75" customHeight="1" x14ac:dyDescent="0.25">
      <c r="A123" s="1" t="s">
        <v>133</v>
      </c>
      <c r="B123" s="7" t="s">
        <v>99</v>
      </c>
      <c r="C123" s="4" t="s">
        <v>8</v>
      </c>
      <c r="D123" s="4">
        <v>34</v>
      </c>
      <c r="E123" s="4">
        <v>491</v>
      </c>
      <c r="F123" s="4">
        <v>34</v>
      </c>
      <c r="G123" s="4">
        <v>11</v>
      </c>
      <c r="H123" s="4">
        <v>14.4</v>
      </c>
      <c r="I123" s="4">
        <v>1.6</v>
      </c>
      <c r="J123" s="4">
        <v>4.3</v>
      </c>
      <c r="K123" s="4">
        <v>0.379</v>
      </c>
      <c r="L123" s="4">
        <v>0.4</v>
      </c>
      <c r="M123" s="4">
        <v>1.4</v>
      </c>
      <c r="N123" s="4">
        <v>0.30599999999999999</v>
      </c>
      <c r="O123" s="4">
        <v>1.2</v>
      </c>
      <c r="P123" s="4">
        <v>2.8</v>
      </c>
      <c r="Q123" s="4">
        <v>0.41699999999999998</v>
      </c>
      <c r="R123" s="4">
        <v>0.9</v>
      </c>
      <c r="S123" s="4">
        <v>1.1000000000000001</v>
      </c>
      <c r="T123" s="4">
        <v>0.84199999999999997</v>
      </c>
      <c r="U123" s="4">
        <v>0.1</v>
      </c>
      <c r="V123" s="4">
        <v>1</v>
      </c>
      <c r="W123" s="4">
        <v>2.1</v>
      </c>
      <c r="X123" s="4">
        <v>0.5</v>
      </c>
      <c r="Y123" s="4">
        <v>0.1</v>
      </c>
      <c r="Z123" s="4">
        <v>1</v>
      </c>
      <c r="AA123" s="4">
        <v>1.1000000000000001</v>
      </c>
      <c r="AB123" s="4">
        <v>4.5999999999999996</v>
      </c>
      <c r="AC123" s="10">
        <f t="shared" si="7"/>
        <v>0.79529737206085749</v>
      </c>
      <c r="AD123" s="10">
        <f t="shared" si="8"/>
        <v>9.0909090909090912E-2</v>
      </c>
      <c r="AE123" s="12">
        <f>100*(AC123/TOTAL_BASIC!$D$302)</f>
        <v>82.700407387509799</v>
      </c>
      <c r="AF123" s="9"/>
      <c r="AG123" s="9"/>
      <c r="AH123" s="12">
        <f t="shared" si="9"/>
        <v>31.6</v>
      </c>
      <c r="AI123" s="12">
        <f t="shared" si="10"/>
        <v>10.9</v>
      </c>
      <c r="AJ123" s="12">
        <f t="shared" si="11"/>
        <v>27.800000000000004</v>
      </c>
      <c r="AK123" s="12">
        <f t="shared" si="12"/>
        <v>28.4</v>
      </c>
      <c r="AL123" s="12">
        <f t="shared" si="13"/>
        <v>67.2</v>
      </c>
    </row>
    <row r="124" spans="1:38" ht="15.75" customHeight="1" x14ac:dyDescent="0.25">
      <c r="A124" s="1" t="s">
        <v>100</v>
      </c>
      <c r="B124" s="7" t="s">
        <v>240</v>
      </c>
      <c r="C124" s="4" t="s">
        <v>94</v>
      </c>
      <c r="D124" s="4">
        <v>28</v>
      </c>
      <c r="E124" s="4">
        <v>464</v>
      </c>
      <c r="F124" s="4">
        <v>28</v>
      </c>
      <c r="G124" s="4">
        <v>5</v>
      </c>
      <c r="H124" s="4">
        <v>16.600000000000001</v>
      </c>
      <c r="I124" s="4">
        <v>1.5</v>
      </c>
      <c r="J124" s="4">
        <v>4</v>
      </c>
      <c r="K124" s="4">
        <v>0.375</v>
      </c>
      <c r="L124" s="4">
        <v>0.5</v>
      </c>
      <c r="M124" s="4">
        <v>2</v>
      </c>
      <c r="N124" s="4">
        <v>0.26800000000000002</v>
      </c>
      <c r="O124" s="4">
        <v>1</v>
      </c>
      <c r="P124" s="4">
        <v>2</v>
      </c>
      <c r="Q124" s="4">
        <v>0.48199999999999998</v>
      </c>
      <c r="R124" s="4">
        <v>1.1000000000000001</v>
      </c>
      <c r="S124" s="4">
        <v>1.3</v>
      </c>
      <c r="T124" s="4">
        <v>0.81100000000000005</v>
      </c>
      <c r="U124" s="4">
        <v>0.3</v>
      </c>
      <c r="V124" s="4">
        <v>2</v>
      </c>
      <c r="W124" s="4">
        <v>2</v>
      </c>
      <c r="X124" s="4">
        <v>0.4</v>
      </c>
      <c r="Y124" s="4">
        <v>0.1</v>
      </c>
      <c r="Z124" s="4">
        <v>1.3</v>
      </c>
      <c r="AA124" s="4">
        <v>1.4</v>
      </c>
      <c r="AB124" s="4">
        <v>4.5999999999999996</v>
      </c>
      <c r="AC124" s="10">
        <f t="shared" si="7"/>
        <v>0.78337874659400542</v>
      </c>
      <c r="AD124" s="10">
        <f t="shared" si="8"/>
        <v>7.1428571428571438E-2</v>
      </c>
      <c r="AE124" s="12">
        <f>100*(AC124/TOTAL_BASIC!$D$302)</f>
        <v>81.461027985244669</v>
      </c>
      <c r="AF124" s="9"/>
      <c r="AG124" s="9"/>
      <c r="AH124" s="12">
        <f t="shared" si="9"/>
        <v>25.1</v>
      </c>
      <c r="AI124" s="12">
        <f t="shared" si="10"/>
        <v>9.1999999999999993</v>
      </c>
      <c r="AJ124" s="12">
        <f t="shared" si="11"/>
        <v>27.800000000000004</v>
      </c>
      <c r="AK124" s="12">
        <f t="shared" si="12"/>
        <v>38.700000000000003</v>
      </c>
      <c r="AL124" s="12">
        <f t="shared" si="13"/>
        <v>53.5</v>
      </c>
    </row>
    <row r="125" spans="1:38" ht="15.75" customHeight="1" x14ac:dyDescent="0.25">
      <c r="A125" s="1" t="s">
        <v>233</v>
      </c>
      <c r="B125" s="7" t="s">
        <v>107</v>
      </c>
      <c r="C125" s="4" t="s">
        <v>85</v>
      </c>
      <c r="D125" s="4">
        <v>38</v>
      </c>
      <c r="E125" s="4">
        <v>462</v>
      </c>
      <c r="F125" s="4">
        <v>38</v>
      </c>
      <c r="G125" s="4">
        <v>1</v>
      </c>
      <c r="H125" s="4">
        <v>12.2</v>
      </c>
      <c r="I125" s="4">
        <v>1.4</v>
      </c>
      <c r="J125" s="4">
        <v>3.6</v>
      </c>
      <c r="K125" s="4">
        <v>0.40100000000000002</v>
      </c>
      <c r="L125" s="4">
        <v>0.2</v>
      </c>
      <c r="M125" s="4">
        <v>0.8</v>
      </c>
      <c r="N125" s="4">
        <v>0.188</v>
      </c>
      <c r="O125" s="4">
        <v>1.3</v>
      </c>
      <c r="P125" s="4">
        <v>2.8</v>
      </c>
      <c r="Q125" s="4">
        <v>0.46700000000000003</v>
      </c>
      <c r="R125" s="4">
        <v>1.1000000000000001</v>
      </c>
      <c r="S125" s="4">
        <v>1.7</v>
      </c>
      <c r="T125" s="4">
        <v>0.65200000000000002</v>
      </c>
      <c r="U125" s="4">
        <v>0.8</v>
      </c>
      <c r="V125" s="4">
        <v>1.9</v>
      </c>
      <c r="W125" s="4">
        <v>0.8</v>
      </c>
      <c r="X125" s="4">
        <v>0.6</v>
      </c>
      <c r="Y125" s="4">
        <v>0.3</v>
      </c>
      <c r="Z125" s="4">
        <v>0.8</v>
      </c>
      <c r="AA125" s="4">
        <v>1.8</v>
      </c>
      <c r="AB125" s="4">
        <v>4.2</v>
      </c>
      <c r="AC125" s="10">
        <f t="shared" si="7"/>
        <v>0.81585081585081598</v>
      </c>
      <c r="AD125" s="10">
        <f t="shared" si="8"/>
        <v>0.16666666666666666</v>
      </c>
      <c r="AE125" s="12">
        <f>100*(AC125/TOTAL_BASIC!$D$302)</f>
        <v>84.837693683629709</v>
      </c>
      <c r="AF125" s="9"/>
      <c r="AG125" s="9"/>
      <c r="AH125" s="12">
        <f t="shared" si="9"/>
        <v>59.5</v>
      </c>
      <c r="AI125" s="12">
        <f t="shared" si="10"/>
        <v>15.299999999999999</v>
      </c>
      <c r="AJ125" s="12">
        <f t="shared" si="11"/>
        <v>24</v>
      </c>
      <c r="AK125" s="12">
        <f t="shared" si="12"/>
        <v>18.5</v>
      </c>
      <c r="AL125" s="12">
        <f t="shared" si="13"/>
        <v>13.100000000000001</v>
      </c>
    </row>
    <row r="126" spans="1:38" ht="15.75" customHeight="1" x14ac:dyDescent="0.25">
      <c r="A126" s="1" t="s">
        <v>172</v>
      </c>
      <c r="B126" s="7" t="s">
        <v>107</v>
      </c>
      <c r="C126" s="4" t="s">
        <v>88</v>
      </c>
      <c r="D126" s="4">
        <v>18</v>
      </c>
      <c r="E126" s="4">
        <v>455</v>
      </c>
      <c r="F126" s="4">
        <v>18</v>
      </c>
      <c r="G126" s="4">
        <v>18</v>
      </c>
      <c r="H126" s="4">
        <v>25.3</v>
      </c>
      <c r="I126" s="4">
        <v>5.4</v>
      </c>
      <c r="J126" s="4">
        <v>10.199999999999999</v>
      </c>
      <c r="K126" s="4">
        <v>0.52700000000000002</v>
      </c>
      <c r="L126" s="4">
        <v>0.1</v>
      </c>
      <c r="M126" s="4">
        <v>0.2</v>
      </c>
      <c r="N126" s="4">
        <v>0.25</v>
      </c>
      <c r="O126" s="4">
        <v>5.3</v>
      </c>
      <c r="P126" s="4">
        <v>10</v>
      </c>
      <c r="Q126" s="4">
        <v>0.53300000000000003</v>
      </c>
      <c r="R126" s="4">
        <v>2.4</v>
      </c>
      <c r="S126" s="4">
        <v>3.6</v>
      </c>
      <c r="T126" s="4">
        <v>0.67200000000000004</v>
      </c>
      <c r="U126" s="4">
        <v>1.9</v>
      </c>
      <c r="V126" s="4">
        <v>5.8</v>
      </c>
      <c r="W126" s="4">
        <v>2.5</v>
      </c>
      <c r="X126" s="4">
        <v>0.4</v>
      </c>
      <c r="Y126" s="4">
        <v>1.8</v>
      </c>
      <c r="Z126" s="4">
        <v>1.8</v>
      </c>
      <c r="AA126" s="4">
        <v>2.7</v>
      </c>
      <c r="AB126" s="4">
        <v>13.2</v>
      </c>
      <c r="AC126" s="10">
        <f t="shared" si="7"/>
        <v>0.9717314487632509</v>
      </c>
      <c r="AD126" s="10">
        <f t="shared" si="8"/>
        <v>0.66666666666666663</v>
      </c>
      <c r="AE126" s="12">
        <f>100*(AC126/TOTAL_BASIC!$D$302)</f>
        <v>101.04721769132976</v>
      </c>
      <c r="AF126" s="9"/>
      <c r="AG126" s="9"/>
      <c r="AH126" s="12">
        <f t="shared" si="9"/>
        <v>95.6</v>
      </c>
      <c r="AI126" s="12">
        <f t="shared" si="10"/>
        <v>60.099999999999994</v>
      </c>
      <c r="AJ126" s="12">
        <f t="shared" si="11"/>
        <v>78.100000000000009</v>
      </c>
      <c r="AK126" s="12">
        <f t="shared" si="12"/>
        <v>70.399999999999991</v>
      </c>
      <c r="AL126" s="12">
        <f t="shared" si="13"/>
        <v>14.7</v>
      </c>
    </row>
    <row r="127" spans="1:38" ht="15.75" customHeight="1" x14ac:dyDescent="0.25">
      <c r="A127" s="1" t="s">
        <v>195</v>
      </c>
      <c r="B127" s="7" t="s">
        <v>99</v>
      </c>
      <c r="C127" s="4" t="s">
        <v>8</v>
      </c>
      <c r="D127" s="4">
        <v>38</v>
      </c>
      <c r="E127" s="4">
        <v>448</v>
      </c>
      <c r="F127" s="4">
        <v>38</v>
      </c>
      <c r="G127" s="4">
        <v>2</v>
      </c>
      <c r="H127" s="4">
        <v>11.8</v>
      </c>
      <c r="I127" s="4">
        <v>2.2000000000000002</v>
      </c>
      <c r="J127" s="4">
        <v>5.7</v>
      </c>
      <c r="K127" s="4">
        <v>0.38900000000000001</v>
      </c>
      <c r="L127" s="4">
        <v>0.4</v>
      </c>
      <c r="M127" s="4">
        <v>1.6</v>
      </c>
      <c r="N127" s="4">
        <v>0.246</v>
      </c>
      <c r="O127" s="4">
        <v>1.8</v>
      </c>
      <c r="P127" s="4">
        <v>4.0999999999999996</v>
      </c>
      <c r="Q127" s="4">
        <v>0.44500000000000001</v>
      </c>
      <c r="R127" s="4">
        <v>1.3</v>
      </c>
      <c r="S127" s="4">
        <v>1.8</v>
      </c>
      <c r="T127" s="4">
        <v>0.746</v>
      </c>
      <c r="U127" s="4">
        <v>0.6</v>
      </c>
      <c r="V127" s="4">
        <v>2.4</v>
      </c>
      <c r="W127" s="4">
        <v>1.2</v>
      </c>
      <c r="X127" s="4">
        <v>0.9</v>
      </c>
      <c r="Y127" s="4">
        <v>0.2</v>
      </c>
      <c r="Z127" s="4">
        <v>0.7</v>
      </c>
      <c r="AA127" s="4">
        <v>1.5</v>
      </c>
      <c r="AB127" s="4">
        <v>6.1</v>
      </c>
      <c r="AC127" s="10">
        <f t="shared" si="7"/>
        <v>0.84816462736373743</v>
      </c>
      <c r="AD127" s="10">
        <f t="shared" si="8"/>
        <v>0.13333333333333333</v>
      </c>
      <c r="AE127" s="12">
        <f>100*(AC127/TOTAL_BASIC!$D$302)</f>
        <v>88.197902669907251</v>
      </c>
      <c r="AF127" s="9"/>
      <c r="AG127" s="9"/>
      <c r="AH127" s="12">
        <f t="shared" si="9"/>
        <v>50.2</v>
      </c>
      <c r="AI127" s="12">
        <f t="shared" si="10"/>
        <v>22.900000000000002</v>
      </c>
      <c r="AJ127" s="12">
        <f t="shared" si="11"/>
        <v>40.9</v>
      </c>
      <c r="AK127" s="12">
        <f t="shared" si="12"/>
        <v>16.3</v>
      </c>
      <c r="AL127" s="12">
        <f t="shared" si="13"/>
        <v>32.700000000000003</v>
      </c>
    </row>
    <row r="128" spans="1:38" ht="15.75" customHeight="1" x14ac:dyDescent="0.25">
      <c r="A128" s="1" t="s">
        <v>178</v>
      </c>
      <c r="B128" s="4" t="s">
        <v>91</v>
      </c>
      <c r="C128" s="4" t="s">
        <v>85</v>
      </c>
      <c r="D128" s="4">
        <v>37</v>
      </c>
      <c r="E128" s="4">
        <v>445</v>
      </c>
      <c r="F128" s="4">
        <v>37</v>
      </c>
      <c r="G128" s="4">
        <v>1</v>
      </c>
      <c r="H128" s="4">
        <v>12</v>
      </c>
      <c r="I128" s="4">
        <v>1.5</v>
      </c>
      <c r="J128" s="4">
        <v>3</v>
      </c>
      <c r="K128" s="4">
        <v>0.49099999999999999</v>
      </c>
      <c r="L128" s="4">
        <v>0.2</v>
      </c>
      <c r="M128" s="4">
        <v>0.5</v>
      </c>
      <c r="N128" s="4">
        <v>0.41199999999999998</v>
      </c>
      <c r="O128" s="4">
        <v>1.3</v>
      </c>
      <c r="P128" s="4">
        <v>2.5</v>
      </c>
      <c r="Q128" s="4">
        <v>0.505</v>
      </c>
      <c r="R128" s="4">
        <v>0.9</v>
      </c>
      <c r="S128" s="4">
        <v>1.5</v>
      </c>
      <c r="T128" s="4">
        <v>0.58199999999999996</v>
      </c>
      <c r="U128" s="4">
        <v>1.2</v>
      </c>
      <c r="V128" s="4">
        <v>3.1</v>
      </c>
      <c r="W128" s="4">
        <v>1</v>
      </c>
      <c r="X128" s="4">
        <v>0.5</v>
      </c>
      <c r="Y128" s="4">
        <v>0.8</v>
      </c>
      <c r="Z128" s="4">
        <v>0.8</v>
      </c>
      <c r="AA128" s="4">
        <v>1.6</v>
      </c>
      <c r="AB128" s="4">
        <v>4</v>
      </c>
      <c r="AC128" s="10">
        <f t="shared" si="7"/>
        <v>0.89686098654708524</v>
      </c>
      <c r="AD128" s="10">
        <f t="shared" si="8"/>
        <v>0.5</v>
      </c>
      <c r="AE128" s="12">
        <f>100*(AC128/TOTAL_BASIC!$D$302)</f>
        <v>93.261679923836354</v>
      </c>
      <c r="AF128" s="9"/>
      <c r="AG128" s="9"/>
      <c r="AH128" s="12">
        <f t="shared" si="9"/>
        <v>90.7</v>
      </c>
      <c r="AI128" s="12">
        <f t="shared" si="10"/>
        <v>40.9</v>
      </c>
      <c r="AJ128" s="12">
        <f t="shared" si="11"/>
        <v>21.3</v>
      </c>
      <c r="AK128" s="12">
        <f t="shared" si="12"/>
        <v>18</v>
      </c>
      <c r="AL128" s="12">
        <f t="shared" si="13"/>
        <v>6</v>
      </c>
    </row>
    <row r="129" spans="1:38" ht="15.75" customHeight="1" x14ac:dyDescent="0.25">
      <c r="A129" s="1" t="s">
        <v>258</v>
      </c>
      <c r="B129" s="7" t="s">
        <v>161</v>
      </c>
      <c r="C129" s="4" t="s">
        <v>88</v>
      </c>
      <c r="D129" s="4">
        <v>25</v>
      </c>
      <c r="E129" s="4">
        <v>444</v>
      </c>
      <c r="F129" s="4">
        <v>25</v>
      </c>
      <c r="G129" s="4">
        <v>10</v>
      </c>
      <c r="H129" s="4">
        <v>17.8</v>
      </c>
      <c r="I129" s="4">
        <v>2.4</v>
      </c>
      <c r="J129" s="4">
        <v>4.7</v>
      </c>
      <c r="K129" s="4">
        <v>0.5</v>
      </c>
      <c r="L129" s="4">
        <v>0.4</v>
      </c>
      <c r="M129" s="4">
        <v>1.3</v>
      </c>
      <c r="N129" s="4">
        <v>0.34399999999999997</v>
      </c>
      <c r="O129" s="4">
        <v>1.9</v>
      </c>
      <c r="P129" s="4">
        <v>3.4</v>
      </c>
      <c r="Q129" s="4">
        <v>0.55800000000000005</v>
      </c>
      <c r="R129" s="4">
        <v>0.7</v>
      </c>
      <c r="S129" s="4">
        <v>1.3</v>
      </c>
      <c r="T129" s="4">
        <v>0.56299999999999994</v>
      </c>
      <c r="U129" s="4">
        <v>1.3</v>
      </c>
      <c r="V129" s="4">
        <v>3.4</v>
      </c>
      <c r="W129" s="4">
        <v>1</v>
      </c>
      <c r="X129" s="4">
        <v>0.5</v>
      </c>
      <c r="Y129" s="4">
        <v>0.3</v>
      </c>
      <c r="Z129" s="4">
        <v>1.3</v>
      </c>
      <c r="AA129" s="4">
        <v>2.2999999999999998</v>
      </c>
      <c r="AB129" s="4">
        <v>5.9</v>
      </c>
      <c r="AC129" s="10">
        <f t="shared" si="7"/>
        <v>0.89774802191113823</v>
      </c>
      <c r="AD129" s="10">
        <f t="shared" si="8"/>
        <v>0.13043478260869565</v>
      </c>
      <c r="AE129" s="12">
        <f>100*(AC129/TOTAL_BASIC!$D$302)</f>
        <v>93.353919868983198</v>
      </c>
      <c r="AF129" s="9"/>
      <c r="AG129" s="9"/>
      <c r="AH129" s="12">
        <f t="shared" si="9"/>
        <v>49.1</v>
      </c>
      <c r="AI129" s="12">
        <f t="shared" si="10"/>
        <v>41.5</v>
      </c>
      <c r="AJ129" s="12">
        <f t="shared" si="11"/>
        <v>39.800000000000004</v>
      </c>
      <c r="AK129" s="12">
        <f t="shared" si="12"/>
        <v>44.800000000000004</v>
      </c>
      <c r="AL129" s="12">
        <f t="shared" si="13"/>
        <v>4.3</v>
      </c>
    </row>
    <row r="130" spans="1:38" ht="15.75" customHeight="1" x14ac:dyDescent="0.25">
      <c r="A130" s="1" t="s">
        <v>217</v>
      </c>
      <c r="B130" s="7" t="s">
        <v>137</v>
      </c>
      <c r="C130" s="4" t="s">
        <v>8</v>
      </c>
      <c r="D130" s="4">
        <v>38</v>
      </c>
      <c r="E130" s="4">
        <v>435</v>
      </c>
      <c r="F130" s="4">
        <v>38</v>
      </c>
      <c r="G130" s="4">
        <v>0</v>
      </c>
      <c r="H130" s="4">
        <v>11.4</v>
      </c>
      <c r="I130" s="4">
        <v>1</v>
      </c>
      <c r="J130" s="4">
        <v>2.6</v>
      </c>
      <c r="K130" s="4">
        <v>0.38100000000000001</v>
      </c>
      <c r="L130" s="4">
        <v>0.7</v>
      </c>
      <c r="M130" s="4">
        <v>1.9</v>
      </c>
      <c r="N130" s="4">
        <v>0.36499999999999999</v>
      </c>
      <c r="O130" s="4">
        <v>0.3</v>
      </c>
      <c r="P130" s="4">
        <v>0.6</v>
      </c>
      <c r="Q130" s="4">
        <v>0.435</v>
      </c>
      <c r="R130" s="4">
        <v>0.5</v>
      </c>
      <c r="S130" s="4">
        <v>0.6</v>
      </c>
      <c r="T130" s="4">
        <v>0.86399999999999999</v>
      </c>
      <c r="U130" s="4">
        <v>0.3</v>
      </c>
      <c r="V130" s="4">
        <v>1.1000000000000001</v>
      </c>
      <c r="W130" s="4">
        <v>1</v>
      </c>
      <c r="X130" s="4">
        <v>0.2</v>
      </c>
      <c r="Y130" s="4">
        <v>0</v>
      </c>
      <c r="Z130" s="4">
        <v>0.6</v>
      </c>
      <c r="AA130" s="4">
        <v>0.8</v>
      </c>
      <c r="AB130" s="4">
        <v>3.2</v>
      </c>
      <c r="AC130" s="10">
        <f t="shared" si="7"/>
        <v>0.92378752886836035</v>
      </c>
      <c r="AD130" s="10">
        <f t="shared" si="8"/>
        <v>0</v>
      </c>
      <c r="AE130" s="12">
        <f>100*(AC130/TOTAL_BASIC!$D$302)</f>
        <v>96.061684170972342</v>
      </c>
      <c r="AF130" s="9"/>
      <c r="AG130" s="9"/>
      <c r="AH130" s="12">
        <f t="shared" si="9"/>
        <v>0</v>
      </c>
      <c r="AI130" s="12">
        <f t="shared" si="10"/>
        <v>48.6</v>
      </c>
      <c r="AJ130" s="12">
        <f t="shared" si="11"/>
        <v>11.4</v>
      </c>
      <c r="AK130" s="12">
        <f t="shared" si="12"/>
        <v>14.2</v>
      </c>
      <c r="AL130" s="12">
        <f t="shared" si="13"/>
        <v>78.100000000000009</v>
      </c>
    </row>
    <row r="131" spans="1:38" ht="15.75" customHeight="1" x14ac:dyDescent="0.25">
      <c r="A131" s="1" t="s">
        <v>273</v>
      </c>
      <c r="B131" s="7" t="s">
        <v>96</v>
      </c>
      <c r="C131" s="4" t="s">
        <v>85</v>
      </c>
      <c r="D131" s="4">
        <v>14</v>
      </c>
      <c r="E131" s="4">
        <v>431</v>
      </c>
      <c r="F131" s="4">
        <v>14</v>
      </c>
      <c r="G131" s="4">
        <v>14</v>
      </c>
      <c r="H131" s="4">
        <v>30.8</v>
      </c>
      <c r="I131" s="4">
        <v>6.8</v>
      </c>
      <c r="J131" s="4">
        <v>13.4</v>
      </c>
      <c r="K131" s="4">
        <v>0.505</v>
      </c>
      <c r="L131" s="4">
        <v>1.5</v>
      </c>
      <c r="M131" s="4">
        <v>3.5</v>
      </c>
      <c r="N131" s="4">
        <v>0.42899999999999999</v>
      </c>
      <c r="O131" s="4">
        <v>5.3</v>
      </c>
      <c r="P131" s="4">
        <v>9.9</v>
      </c>
      <c r="Q131" s="4">
        <v>0.53200000000000003</v>
      </c>
      <c r="R131" s="4">
        <v>3</v>
      </c>
      <c r="S131" s="4">
        <v>3.5</v>
      </c>
      <c r="T131" s="4">
        <v>0.85699999999999998</v>
      </c>
      <c r="U131" s="4">
        <v>1.1000000000000001</v>
      </c>
      <c r="V131" s="4">
        <v>7.2</v>
      </c>
      <c r="W131" s="4">
        <v>2.7</v>
      </c>
      <c r="X131" s="4">
        <v>1.4</v>
      </c>
      <c r="Y131" s="4">
        <v>1</v>
      </c>
      <c r="Z131" s="4">
        <v>2.4</v>
      </c>
      <c r="AA131" s="4">
        <v>1.9</v>
      </c>
      <c r="AB131" s="4">
        <v>18.100000000000001</v>
      </c>
      <c r="AC131" s="10">
        <f t="shared" si="7"/>
        <v>1.0438292964244522</v>
      </c>
      <c r="AD131" s="10">
        <f t="shared" si="8"/>
        <v>0.52631578947368418</v>
      </c>
      <c r="AE131" s="12">
        <f>100*(AC131/TOTAL_BASIC!$D$302)</f>
        <v>108.54444021816055</v>
      </c>
      <c r="AF131" s="9"/>
      <c r="AG131" s="9"/>
      <c r="AH131" s="12">
        <f t="shared" si="9"/>
        <v>93.4</v>
      </c>
      <c r="AI131" s="12">
        <f t="shared" si="10"/>
        <v>83.6</v>
      </c>
      <c r="AJ131" s="12">
        <f t="shared" si="11"/>
        <v>93.4</v>
      </c>
      <c r="AK131" s="12">
        <f t="shared" si="12"/>
        <v>89.600000000000009</v>
      </c>
      <c r="AL131" s="12">
        <f t="shared" si="13"/>
        <v>73.7</v>
      </c>
    </row>
    <row r="132" spans="1:38" ht="15.75" customHeight="1" x14ac:dyDescent="0.25">
      <c r="A132" s="1" t="s">
        <v>216</v>
      </c>
      <c r="B132" s="7" t="s">
        <v>107</v>
      </c>
      <c r="C132" s="4" t="s">
        <v>85</v>
      </c>
      <c r="D132" s="4">
        <v>36</v>
      </c>
      <c r="E132" s="4">
        <v>426</v>
      </c>
      <c r="F132" s="4">
        <v>36</v>
      </c>
      <c r="G132" s="4">
        <v>1</v>
      </c>
      <c r="H132" s="4">
        <v>11.8</v>
      </c>
      <c r="I132" s="4">
        <v>1.4</v>
      </c>
      <c r="J132" s="4">
        <v>2.9</v>
      </c>
      <c r="K132" s="4">
        <v>0.49099999999999999</v>
      </c>
      <c r="L132" s="4">
        <v>0.1</v>
      </c>
      <c r="M132" s="4">
        <v>0.2</v>
      </c>
      <c r="N132" s="4">
        <v>0.33300000000000002</v>
      </c>
      <c r="O132" s="4">
        <v>1.4</v>
      </c>
      <c r="P132" s="4">
        <v>2.8</v>
      </c>
      <c r="Q132" s="4">
        <v>0.5</v>
      </c>
      <c r="R132" s="4">
        <v>1.1000000000000001</v>
      </c>
      <c r="S132" s="4">
        <v>1.6</v>
      </c>
      <c r="T132" s="4">
        <v>0.67200000000000004</v>
      </c>
      <c r="U132" s="4">
        <v>1.2</v>
      </c>
      <c r="V132" s="4">
        <v>3.1</v>
      </c>
      <c r="W132" s="4">
        <v>0.8</v>
      </c>
      <c r="X132" s="4">
        <v>0.4</v>
      </c>
      <c r="Y132" s="4">
        <v>0.3</v>
      </c>
      <c r="Z132" s="4">
        <v>0.9</v>
      </c>
      <c r="AA132" s="4">
        <v>2.7</v>
      </c>
      <c r="AB132" s="4">
        <v>4</v>
      </c>
      <c r="AC132" s="10">
        <f t="shared" ref="AC132:AC180" si="14">(AB132)/(J132+(0.44*S132)+Z132)</f>
        <v>0.88809946714031962</v>
      </c>
      <c r="AD132" s="10">
        <f t="shared" ref="AD132:AD180" si="15">Y132/AA132</f>
        <v>0.1111111111111111</v>
      </c>
      <c r="AE132" s="12">
        <f>100*(AC132/TOTAL_BASIC!$D$302)</f>
        <v>92.350597793141674</v>
      </c>
      <c r="AF132" s="9"/>
      <c r="AG132" s="9"/>
      <c r="AH132" s="12">
        <f t="shared" ref="AH132:AH180" si="16">(PERCENTRANK(AD$3:AD$298,AD132))*100</f>
        <v>39.800000000000004</v>
      </c>
      <c r="AI132" s="12">
        <f t="shared" ref="AI132:AI180" si="17">(PERCENTRANK(AE$3:AE$298,AE132))*100</f>
        <v>37.1</v>
      </c>
      <c r="AJ132" s="12">
        <f t="shared" ref="AJ132:AJ180" si="18">(PERCENTRANK(AB$3:AB$298,AB132))*100</f>
        <v>21.3</v>
      </c>
      <c r="AK132" s="12">
        <f t="shared" ref="AK132:AK159" si="19">(PERCENTRANK(H$3:H$298,H132))*100</f>
        <v>16.3</v>
      </c>
      <c r="AL132" s="12">
        <f t="shared" ref="AL132:AL180" si="20">(PERCENTRANK(T$3:T$298,T132))*100</f>
        <v>14.7</v>
      </c>
    </row>
    <row r="133" spans="1:38" ht="15.75" customHeight="1" x14ac:dyDescent="0.25">
      <c r="A133" s="1" t="s">
        <v>192</v>
      </c>
      <c r="B133" s="4" t="s">
        <v>96</v>
      </c>
      <c r="C133" s="4" t="s">
        <v>8</v>
      </c>
      <c r="D133" s="4">
        <v>37</v>
      </c>
      <c r="E133" s="4">
        <v>423</v>
      </c>
      <c r="F133" s="4">
        <v>37</v>
      </c>
      <c r="G133" s="4">
        <v>0</v>
      </c>
      <c r="H133" s="4">
        <v>11.4</v>
      </c>
      <c r="I133" s="4">
        <v>1</v>
      </c>
      <c r="J133" s="4">
        <v>2.2999999999999998</v>
      </c>
      <c r="K133" s="4">
        <v>0.44700000000000001</v>
      </c>
      <c r="L133" s="4">
        <v>0.7</v>
      </c>
      <c r="M133" s="4">
        <v>1.6</v>
      </c>
      <c r="N133" s="4">
        <v>0.43099999999999999</v>
      </c>
      <c r="O133" s="4">
        <v>0.4</v>
      </c>
      <c r="P133" s="4">
        <v>0.7</v>
      </c>
      <c r="Q133" s="4">
        <v>0.48099999999999998</v>
      </c>
      <c r="R133" s="4">
        <v>0.2</v>
      </c>
      <c r="S133" s="4">
        <v>0.2</v>
      </c>
      <c r="T133" s="4">
        <v>1</v>
      </c>
      <c r="U133" s="4">
        <v>0.2</v>
      </c>
      <c r="V133" s="4">
        <v>0.7</v>
      </c>
      <c r="W133" s="4">
        <v>1.1000000000000001</v>
      </c>
      <c r="X133" s="4">
        <v>0.4</v>
      </c>
      <c r="Y133" s="4">
        <v>0</v>
      </c>
      <c r="Z133" s="4">
        <v>0.4</v>
      </c>
      <c r="AA133" s="4">
        <v>1</v>
      </c>
      <c r="AB133" s="4">
        <v>2.9</v>
      </c>
      <c r="AC133" s="10">
        <f t="shared" si="14"/>
        <v>1.0401721664275467</v>
      </c>
      <c r="AD133" s="10">
        <f t="shared" si="15"/>
        <v>0</v>
      </c>
      <c r="AE133" s="12">
        <f>100*(AC133/TOTAL_BASIC!$D$302)</f>
        <v>108.16414707092</v>
      </c>
      <c r="AF133" s="9"/>
      <c r="AG133" s="9"/>
      <c r="AH133" s="12">
        <f t="shared" si="16"/>
        <v>0</v>
      </c>
      <c r="AI133" s="12">
        <f t="shared" si="17"/>
        <v>82.5</v>
      </c>
      <c r="AJ133" s="12">
        <f t="shared" si="18"/>
        <v>8.1</v>
      </c>
      <c r="AK133" s="12">
        <f t="shared" si="19"/>
        <v>14.2</v>
      </c>
      <c r="AL133" s="12">
        <f t="shared" si="20"/>
        <v>97.8</v>
      </c>
    </row>
    <row r="134" spans="1:38" ht="15.75" customHeight="1" x14ac:dyDescent="0.25">
      <c r="A134" s="1" t="s">
        <v>229</v>
      </c>
      <c r="B134" s="4" t="s">
        <v>131</v>
      </c>
      <c r="C134" s="4" t="s">
        <v>8</v>
      </c>
      <c r="D134" s="4">
        <v>30</v>
      </c>
      <c r="E134" s="4">
        <v>407</v>
      </c>
      <c r="F134" s="4">
        <v>30</v>
      </c>
      <c r="G134" s="4">
        <v>5</v>
      </c>
      <c r="H134" s="4">
        <v>13.6</v>
      </c>
      <c r="I134" s="4">
        <v>1.6</v>
      </c>
      <c r="J134" s="4">
        <v>3.7</v>
      </c>
      <c r="K134" s="4">
        <v>0.436</v>
      </c>
      <c r="L134" s="4">
        <v>0</v>
      </c>
      <c r="M134" s="4">
        <v>0.7</v>
      </c>
      <c r="N134" s="4">
        <v>4.4999999999999998E-2</v>
      </c>
      <c r="O134" s="4">
        <v>1.6</v>
      </c>
      <c r="P134" s="4">
        <v>2.9</v>
      </c>
      <c r="Q134" s="4">
        <v>0.53400000000000003</v>
      </c>
      <c r="R134" s="4">
        <v>1.9</v>
      </c>
      <c r="S134" s="4">
        <v>2.2000000000000002</v>
      </c>
      <c r="T134" s="4">
        <v>0.89200000000000002</v>
      </c>
      <c r="U134" s="4">
        <v>0.5</v>
      </c>
      <c r="V134" s="4">
        <v>2.6</v>
      </c>
      <c r="W134" s="4">
        <v>0.6</v>
      </c>
      <c r="X134" s="4">
        <v>0.7</v>
      </c>
      <c r="Y134" s="4">
        <v>0.2</v>
      </c>
      <c r="Z134" s="4">
        <v>0.7</v>
      </c>
      <c r="AA134" s="4">
        <v>1.6</v>
      </c>
      <c r="AB134" s="4">
        <v>5.2</v>
      </c>
      <c r="AC134" s="10">
        <f t="shared" si="14"/>
        <v>0.9687034277198211</v>
      </c>
      <c r="AD134" s="10">
        <f t="shared" si="15"/>
        <v>0.125</v>
      </c>
      <c r="AE134" s="12">
        <f>100*(AC134/TOTAL_BASIC!$D$302)</f>
        <v>100.73234355409895</v>
      </c>
      <c r="AF134" s="9"/>
      <c r="AG134" s="9"/>
      <c r="AH134" s="12">
        <f t="shared" si="16"/>
        <v>44.2</v>
      </c>
      <c r="AI134" s="12">
        <f t="shared" si="17"/>
        <v>58.4</v>
      </c>
      <c r="AJ134" s="12">
        <f t="shared" si="18"/>
        <v>33.800000000000004</v>
      </c>
      <c r="AK134" s="12">
        <f t="shared" si="19"/>
        <v>24</v>
      </c>
      <c r="AL134" s="12">
        <f t="shared" si="20"/>
        <v>89</v>
      </c>
    </row>
    <row r="135" spans="1:38" ht="15.75" customHeight="1" x14ac:dyDescent="0.25">
      <c r="A135" s="1" t="s">
        <v>253</v>
      </c>
      <c r="B135" s="7" t="s">
        <v>140</v>
      </c>
      <c r="C135" s="4" t="s">
        <v>8</v>
      </c>
      <c r="D135" s="4">
        <v>33</v>
      </c>
      <c r="E135" s="4">
        <v>404</v>
      </c>
      <c r="F135" s="4">
        <v>33</v>
      </c>
      <c r="G135" s="4">
        <v>0</v>
      </c>
      <c r="H135" s="4">
        <v>12.2</v>
      </c>
      <c r="I135" s="4">
        <v>1.3</v>
      </c>
      <c r="J135" s="4">
        <v>3.6</v>
      </c>
      <c r="K135" s="4">
        <v>0.35799999999999998</v>
      </c>
      <c r="L135" s="4">
        <v>0.2</v>
      </c>
      <c r="M135" s="4">
        <v>1.3</v>
      </c>
      <c r="N135" s="4">
        <v>0.182</v>
      </c>
      <c r="O135" s="4">
        <v>1.1000000000000001</v>
      </c>
      <c r="P135" s="4">
        <v>2.2999999999999998</v>
      </c>
      <c r="Q135" s="4">
        <v>0.46100000000000002</v>
      </c>
      <c r="R135" s="4">
        <v>0.7</v>
      </c>
      <c r="S135" s="4">
        <v>1.2</v>
      </c>
      <c r="T135" s="4">
        <v>0.55000000000000004</v>
      </c>
      <c r="U135" s="4">
        <v>0.3</v>
      </c>
      <c r="V135" s="4">
        <v>1.4</v>
      </c>
      <c r="W135" s="4">
        <v>2</v>
      </c>
      <c r="X135" s="4">
        <v>0.6</v>
      </c>
      <c r="Y135" s="4">
        <v>0.2</v>
      </c>
      <c r="Z135" s="4">
        <v>1.2</v>
      </c>
      <c r="AA135" s="4">
        <v>1.5</v>
      </c>
      <c r="AB135" s="4">
        <v>3.5</v>
      </c>
      <c r="AC135" s="10">
        <f t="shared" si="14"/>
        <v>0.6569069069069069</v>
      </c>
      <c r="AD135" s="10">
        <f t="shared" si="15"/>
        <v>0.13333333333333333</v>
      </c>
      <c r="AE135" s="12">
        <f>100*(AC135/TOTAL_BASIC!$D$302)</f>
        <v>68.309629486255901</v>
      </c>
      <c r="AF135" s="9"/>
      <c r="AG135" s="9"/>
      <c r="AH135" s="12">
        <f t="shared" si="16"/>
        <v>50.2</v>
      </c>
      <c r="AI135" s="12">
        <f t="shared" si="17"/>
        <v>2.1</v>
      </c>
      <c r="AJ135" s="12">
        <f t="shared" si="18"/>
        <v>15.8</v>
      </c>
      <c r="AK135" s="12">
        <f t="shared" si="19"/>
        <v>18.5</v>
      </c>
      <c r="AL135" s="12">
        <f t="shared" si="20"/>
        <v>3.8</v>
      </c>
    </row>
    <row r="136" spans="1:38" ht="15.75" customHeight="1" x14ac:dyDescent="0.25">
      <c r="A136" s="1" t="s">
        <v>226</v>
      </c>
      <c r="B136" s="7" t="s">
        <v>157</v>
      </c>
      <c r="C136" s="4" t="s">
        <v>8</v>
      </c>
      <c r="D136" s="4">
        <v>37</v>
      </c>
      <c r="E136" s="4">
        <v>394</v>
      </c>
      <c r="F136" s="4">
        <v>37</v>
      </c>
      <c r="G136" s="4">
        <v>0</v>
      </c>
      <c r="H136" s="4">
        <v>10.6</v>
      </c>
      <c r="I136" s="4">
        <v>1.3</v>
      </c>
      <c r="J136" s="4">
        <v>3.1</v>
      </c>
      <c r="K136" s="4">
        <v>0.40500000000000003</v>
      </c>
      <c r="L136" s="4">
        <v>0.3</v>
      </c>
      <c r="M136" s="4">
        <v>1.3</v>
      </c>
      <c r="N136" s="4">
        <v>0.23400000000000001</v>
      </c>
      <c r="O136" s="4">
        <v>1</v>
      </c>
      <c r="P136" s="4">
        <v>1.9</v>
      </c>
      <c r="Q136" s="4">
        <v>0.52200000000000002</v>
      </c>
      <c r="R136" s="4">
        <v>0.2</v>
      </c>
      <c r="S136" s="4">
        <v>0.3</v>
      </c>
      <c r="T136" s="4">
        <v>0.75</v>
      </c>
      <c r="U136" s="4">
        <v>0.5</v>
      </c>
      <c r="V136" s="4">
        <v>1.7</v>
      </c>
      <c r="W136" s="4">
        <v>1.1000000000000001</v>
      </c>
      <c r="X136" s="4">
        <v>0.3</v>
      </c>
      <c r="Y136" s="4">
        <v>0.1</v>
      </c>
      <c r="Z136" s="4">
        <v>0.8</v>
      </c>
      <c r="AA136" s="4">
        <v>1.2</v>
      </c>
      <c r="AB136" s="4">
        <v>3.1</v>
      </c>
      <c r="AC136" s="10">
        <f t="shared" si="14"/>
        <v>0.76884920634920639</v>
      </c>
      <c r="AD136" s="10">
        <f t="shared" si="15"/>
        <v>8.3333333333333343E-2</v>
      </c>
      <c r="AE136" s="12">
        <f>100*(AC136/TOTAL_BASIC!$D$302)</f>
        <v>79.950147980342365</v>
      </c>
      <c r="AF136" s="9"/>
      <c r="AG136" s="9"/>
      <c r="AH136" s="12">
        <f t="shared" si="16"/>
        <v>29.5</v>
      </c>
      <c r="AI136" s="12">
        <f t="shared" si="17"/>
        <v>7.1</v>
      </c>
      <c r="AJ136" s="12">
        <f t="shared" si="18"/>
        <v>9.8000000000000007</v>
      </c>
      <c r="AK136" s="12">
        <f t="shared" si="19"/>
        <v>11.4</v>
      </c>
      <c r="AL136" s="12">
        <f t="shared" si="20"/>
        <v>34.4</v>
      </c>
    </row>
    <row r="137" spans="1:38" ht="15.75" customHeight="1" x14ac:dyDescent="0.25">
      <c r="A137" s="1" t="s">
        <v>204</v>
      </c>
      <c r="B137" s="4" t="s">
        <v>128</v>
      </c>
      <c r="C137" s="4" t="s">
        <v>8</v>
      </c>
      <c r="D137" s="4">
        <v>34</v>
      </c>
      <c r="E137" s="4">
        <v>392</v>
      </c>
      <c r="F137" s="4">
        <v>34</v>
      </c>
      <c r="G137" s="4">
        <v>1</v>
      </c>
      <c r="H137" s="4">
        <v>11.5</v>
      </c>
      <c r="I137" s="4">
        <v>1.3</v>
      </c>
      <c r="J137" s="4">
        <v>3.6</v>
      </c>
      <c r="K137" s="4">
        <v>0.36599999999999999</v>
      </c>
      <c r="L137" s="4">
        <v>0.9</v>
      </c>
      <c r="M137" s="4">
        <v>2.4</v>
      </c>
      <c r="N137" s="4">
        <v>0.375</v>
      </c>
      <c r="O137" s="4">
        <v>0.4</v>
      </c>
      <c r="P137" s="4">
        <v>1.3</v>
      </c>
      <c r="Q137" s="4">
        <v>0.34899999999999998</v>
      </c>
      <c r="R137" s="4">
        <v>0.3</v>
      </c>
      <c r="S137" s="4">
        <v>0.3</v>
      </c>
      <c r="T137" s="4">
        <v>0.9</v>
      </c>
      <c r="U137" s="4">
        <v>0.1</v>
      </c>
      <c r="V137" s="4">
        <v>0.8</v>
      </c>
      <c r="W137" s="4">
        <v>1.3</v>
      </c>
      <c r="X137" s="4">
        <v>0.2</v>
      </c>
      <c r="Y137" s="4">
        <v>0.1</v>
      </c>
      <c r="Z137" s="4">
        <v>0.5</v>
      </c>
      <c r="AA137" s="4">
        <v>1.1000000000000001</v>
      </c>
      <c r="AB137" s="4">
        <v>3.8</v>
      </c>
      <c r="AC137" s="10">
        <f t="shared" si="14"/>
        <v>0.89792060491493375</v>
      </c>
      <c r="AD137" s="10">
        <f t="shared" si="15"/>
        <v>9.0909090909090912E-2</v>
      </c>
      <c r="AE137" s="12">
        <f>100*(AC137/TOTAL_BASIC!$D$302)</f>
        <v>93.371866218642396</v>
      </c>
      <c r="AF137" s="9"/>
      <c r="AG137" s="9"/>
      <c r="AH137" s="12">
        <f t="shared" si="16"/>
        <v>31.6</v>
      </c>
      <c r="AI137" s="12">
        <f t="shared" si="17"/>
        <v>42.6</v>
      </c>
      <c r="AJ137" s="12">
        <f t="shared" si="18"/>
        <v>19.100000000000001</v>
      </c>
      <c r="AK137" s="12">
        <f t="shared" si="19"/>
        <v>15.8</v>
      </c>
      <c r="AL137" s="12">
        <f t="shared" si="20"/>
        <v>92.300000000000011</v>
      </c>
    </row>
    <row r="138" spans="1:38" ht="15.75" customHeight="1" x14ac:dyDescent="0.25">
      <c r="A138" s="1" t="s">
        <v>227</v>
      </c>
      <c r="B138" s="7" t="s">
        <v>161</v>
      </c>
      <c r="C138" s="4" t="s">
        <v>85</v>
      </c>
      <c r="D138" s="4">
        <v>37</v>
      </c>
      <c r="E138" s="4">
        <v>391</v>
      </c>
      <c r="F138" s="4">
        <v>37</v>
      </c>
      <c r="G138" s="4">
        <v>1</v>
      </c>
      <c r="H138" s="4">
        <v>10.6</v>
      </c>
      <c r="I138" s="4">
        <v>0.8</v>
      </c>
      <c r="J138" s="4">
        <v>2.2000000000000002</v>
      </c>
      <c r="K138" s="4">
        <v>0.373</v>
      </c>
      <c r="L138" s="4">
        <v>0.1</v>
      </c>
      <c r="M138" s="4">
        <v>0.5</v>
      </c>
      <c r="N138" s="4">
        <v>0.15</v>
      </c>
      <c r="O138" s="4">
        <v>0.8</v>
      </c>
      <c r="P138" s="4">
        <v>1.7</v>
      </c>
      <c r="Q138" s="4">
        <v>0.44400000000000001</v>
      </c>
      <c r="R138" s="4">
        <v>0.3</v>
      </c>
      <c r="S138" s="4">
        <v>0.6</v>
      </c>
      <c r="T138" s="4">
        <v>0.5</v>
      </c>
      <c r="U138" s="4">
        <v>0.8</v>
      </c>
      <c r="V138" s="4">
        <v>1.9</v>
      </c>
      <c r="W138" s="4">
        <v>0.5</v>
      </c>
      <c r="X138" s="4">
        <v>0.4</v>
      </c>
      <c r="Y138" s="4">
        <v>0.5</v>
      </c>
      <c r="Z138" s="4">
        <v>0.5</v>
      </c>
      <c r="AA138" s="4">
        <v>1.4</v>
      </c>
      <c r="AB138" s="4">
        <v>2.1</v>
      </c>
      <c r="AC138" s="10">
        <f t="shared" si="14"/>
        <v>0.70850202429149789</v>
      </c>
      <c r="AD138" s="10">
        <f t="shared" si="15"/>
        <v>0.35714285714285715</v>
      </c>
      <c r="AE138" s="12">
        <f>100*(AC138/TOTAL_BASIC!$D$302)</f>
        <v>73.674839251573161</v>
      </c>
      <c r="AF138" s="9"/>
      <c r="AG138" s="9"/>
      <c r="AH138" s="12">
        <f t="shared" si="16"/>
        <v>83</v>
      </c>
      <c r="AI138" s="12">
        <f t="shared" si="17"/>
        <v>3.8</v>
      </c>
      <c r="AJ138" s="12">
        <f t="shared" si="18"/>
        <v>3.2</v>
      </c>
      <c r="AK138" s="12">
        <f t="shared" si="19"/>
        <v>11.4</v>
      </c>
      <c r="AL138" s="12">
        <f t="shared" si="20"/>
        <v>2.1</v>
      </c>
    </row>
    <row r="139" spans="1:38" ht="15.75" customHeight="1" x14ac:dyDescent="0.25">
      <c r="A139" s="1" t="s">
        <v>238</v>
      </c>
      <c r="B139" s="4" t="s">
        <v>232</v>
      </c>
      <c r="C139" s="4" t="s">
        <v>8</v>
      </c>
      <c r="D139" s="4">
        <v>29</v>
      </c>
      <c r="E139" s="4">
        <v>388</v>
      </c>
      <c r="F139" s="4">
        <v>29</v>
      </c>
      <c r="G139" s="4">
        <v>1</v>
      </c>
      <c r="H139" s="4">
        <v>13.4</v>
      </c>
      <c r="I139" s="4">
        <v>2.2000000000000002</v>
      </c>
      <c r="J139" s="4">
        <v>5.2</v>
      </c>
      <c r="K139" s="4">
        <v>0.41699999999999998</v>
      </c>
      <c r="L139" s="4">
        <v>0.8</v>
      </c>
      <c r="M139" s="4">
        <v>2.1</v>
      </c>
      <c r="N139" s="4">
        <v>0.36699999999999999</v>
      </c>
      <c r="O139" s="4">
        <v>1.4</v>
      </c>
      <c r="P139" s="4">
        <v>3.1</v>
      </c>
      <c r="Q139" s="4">
        <v>0.45100000000000001</v>
      </c>
      <c r="R139" s="4">
        <v>0.4</v>
      </c>
      <c r="S139" s="4">
        <v>0.6</v>
      </c>
      <c r="T139" s="4">
        <v>0.72199999999999998</v>
      </c>
      <c r="U139" s="4">
        <v>0.5</v>
      </c>
      <c r="V139" s="4">
        <v>1.6</v>
      </c>
      <c r="W139" s="4">
        <v>3.2</v>
      </c>
      <c r="X139" s="4">
        <v>0.7</v>
      </c>
      <c r="Y139" s="4">
        <v>0</v>
      </c>
      <c r="Z139" s="4">
        <v>2.5</v>
      </c>
      <c r="AA139" s="4">
        <v>1.5</v>
      </c>
      <c r="AB139" s="4">
        <v>5.6</v>
      </c>
      <c r="AC139" s="10">
        <f t="shared" si="14"/>
        <v>0.70316423907584125</v>
      </c>
      <c r="AD139" s="10">
        <f t="shared" si="15"/>
        <v>0</v>
      </c>
      <c r="AE139" s="12">
        <f>100*(AC139/TOTAL_BASIC!$D$302)</f>
        <v>73.119780191415657</v>
      </c>
      <c r="AF139" s="9"/>
      <c r="AG139" s="9"/>
      <c r="AH139" s="12">
        <f t="shared" si="16"/>
        <v>0</v>
      </c>
      <c r="AI139" s="12">
        <f t="shared" si="17"/>
        <v>3.2</v>
      </c>
      <c r="AJ139" s="12">
        <f t="shared" si="18"/>
        <v>37.700000000000003</v>
      </c>
      <c r="AK139" s="12">
        <f t="shared" si="19"/>
        <v>22.900000000000002</v>
      </c>
      <c r="AL139" s="12">
        <f t="shared" si="20"/>
        <v>28.4</v>
      </c>
    </row>
    <row r="140" spans="1:38" ht="15.75" customHeight="1" x14ac:dyDescent="0.25">
      <c r="A140" s="1" t="s">
        <v>223</v>
      </c>
      <c r="B140" s="7" t="s">
        <v>128</v>
      </c>
      <c r="C140" s="4" t="s">
        <v>88</v>
      </c>
      <c r="D140" s="4">
        <v>41</v>
      </c>
      <c r="E140" s="4">
        <v>379</v>
      </c>
      <c r="F140" s="4">
        <v>41</v>
      </c>
      <c r="G140" s="4">
        <v>2</v>
      </c>
      <c r="H140" s="4">
        <v>9.1999999999999993</v>
      </c>
      <c r="I140" s="4">
        <v>2.2000000000000002</v>
      </c>
      <c r="J140" s="4">
        <v>3.8</v>
      </c>
      <c r="K140" s="4">
        <v>0.57699999999999996</v>
      </c>
      <c r="L140" s="4">
        <v>0</v>
      </c>
      <c r="M140" s="4">
        <v>0.2</v>
      </c>
      <c r="N140" s="4">
        <v>0.111</v>
      </c>
      <c r="O140" s="4">
        <v>2.2000000000000002</v>
      </c>
      <c r="P140" s="4">
        <v>3.6</v>
      </c>
      <c r="Q140" s="4">
        <v>0.60499999999999998</v>
      </c>
      <c r="R140" s="4">
        <v>1</v>
      </c>
      <c r="S140" s="4">
        <v>1.4</v>
      </c>
      <c r="T140" s="4">
        <v>0.76800000000000002</v>
      </c>
      <c r="U140" s="4">
        <v>1.2</v>
      </c>
      <c r="V140" s="4">
        <v>3.4</v>
      </c>
      <c r="W140" s="4">
        <v>0.3</v>
      </c>
      <c r="X140" s="4">
        <v>0.3</v>
      </c>
      <c r="Y140" s="4">
        <v>0.3</v>
      </c>
      <c r="Z140" s="4">
        <v>1.2</v>
      </c>
      <c r="AA140" s="4">
        <v>1.6</v>
      </c>
      <c r="AB140" s="4">
        <v>5.5</v>
      </c>
      <c r="AC140" s="10">
        <f t="shared" si="14"/>
        <v>0.97934472934472938</v>
      </c>
      <c r="AD140" s="10">
        <f t="shared" si="15"/>
        <v>0.18749999999999997</v>
      </c>
      <c r="AE140" s="12">
        <f>100*(AC140/TOTAL_BASIC!$D$302)</f>
        <v>101.83889817181739</v>
      </c>
      <c r="AF140" s="9"/>
      <c r="AG140" s="9"/>
      <c r="AH140" s="12">
        <f t="shared" si="16"/>
        <v>63.3</v>
      </c>
      <c r="AI140" s="12">
        <f t="shared" si="17"/>
        <v>64.400000000000006</v>
      </c>
      <c r="AJ140" s="12">
        <f t="shared" si="18"/>
        <v>36</v>
      </c>
      <c r="AK140" s="12">
        <f t="shared" si="19"/>
        <v>6</v>
      </c>
      <c r="AL140" s="12">
        <f t="shared" si="20"/>
        <v>38.200000000000003</v>
      </c>
    </row>
    <row r="141" spans="1:38" ht="15.75" customHeight="1" x14ac:dyDescent="0.25">
      <c r="A141" s="1" t="s">
        <v>189</v>
      </c>
      <c r="B141" s="7" t="s">
        <v>140</v>
      </c>
      <c r="C141" s="4" t="s">
        <v>8</v>
      </c>
      <c r="D141" s="4">
        <v>37</v>
      </c>
      <c r="E141" s="4">
        <v>363</v>
      </c>
      <c r="F141" s="4">
        <v>37</v>
      </c>
      <c r="G141" s="4">
        <v>2</v>
      </c>
      <c r="H141" s="4">
        <v>9.8000000000000007</v>
      </c>
      <c r="I141" s="4">
        <v>0.8</v>
      </c>
      <c r="J141" s="4">
        <v>2.7</v>
      </c>
      <c r="K141" s="4">
        <v>0.307</v>
      </c>
      <c r="L141" s="4">
        <v>0.2</v>
      </c>
      <c r="M141" s="4">
        <v>1.1000000000000001</v>
      </c>
      <c r="N141" s="4">
        <v>0.19</v>
      </c>
      <c r="O141" s="4">
        <v>0.6</v>
      </c>
      <c r="P141" s="4">
        <v>1.6</v>
      </c>
      <c r="Q141" s="4">
        <v>0.39</v>
      </c>
      <c r="R141" s="4">
        <v>0.2</v>
      </c>
      <c r="S141" s="4">
        <v>0.5</v>
      </c>
      <c r="T141" s="4">
        <v>0.5</v>
      </c>
      <c r="U141" s="4">
        <v>0.6</v>
      </c>
      <c r="V141" s="4">
        <v>1</v>
      </c>
      <c r="W141" s="4">
        <v>0.5</v>
      </c>
      <c r="X141" s="4">
        <v>0.2</v>
      </c>
      <c r="Y141" s="4">
        <v>0.1</v>
      </c>
      <c r="Z141" s="4">
        <v>0.6</v>
      </c>
      <c r="AA141" s="4">
        <v>1.7</v>
      </c>
      <c r="AB141" s="4">
        <v>2.1</v>
      </c>
      <c r="AC141" s="10">
        <f t="shared" si="14"/>
        <v>0.59659090909090906</v>
      </c>
      <c r="AD141" s="10">
        <f t="shared" si="15"/>
        <v>5.8823529411764712E-2</v>
      </c>
      <c r="AE141" s="12">
        <f>100*(AC141/TOTAL_BASIC!$D$302)</f>
        <v>62.037563506154214</v>
      </c>
      <c r="AF141" s="9"/>
      <c r="AG141" s="9"/>
      <c r="AH141" s="12">
        <f t="shared" si="16"/>
        <v>19.100000000000001</v>
      </c>
      <c r="AI141" s="12">
        <f t="shared" si="17"/>
        <v>1</v>
      </c>
      <c r="AJ141" s="12">
        <f t="shared" si="18"/>
        <v>3.2</v>
      </c>
      <c r="AK141" s="12">
        <f t="shared" si="19"/>
        <v>8.6999999999999993</v>
      </c>
      <c r="AL141" s="12">
        <f t="shared" si="20"/>
        <v>2.1</v>
      </c>
    </row>
    <row r="142" spans="1:38" ht="15.75" customHeight="1" x14ac:dyDescent="0.25">
      <c r="A142" s="1" t="s">
        <v>135</v>
      </c>
      <c r="B142" s="7" t="s">
        <v>232</v>
      </c>
      <c r="C142" s="4" t="s">
        <v>88</v>
      </c>
      <c r="D142" s="4">
        <v>21</v>
      </c>
      <c r="E142" s="4">
        <v>348</v>
      </c>
      <c r="F142" s="4">
        <v>21</v>
      </c>
      <c r="G142" s="4">
        <v>9</v>
      </c>
      <c r="H142" s="4">
        <v>16.600000000000001</v>
      </c>
      <c r="I142" s="4">
        <v>1.6</v>
      </c>
      <c r="J142" s="4">
        <v>4.8</v>
      </c>
      <c r="K142" s="4">
        <v>0.33</v>
      </c>
      <c r="L142" s="4">
        <v>0.8</v>
      </c>
      <c r="M142" s="4">
        <v>2.6</v>
      </c>
      <c r="N142" s="4">
        <v>0.29099999999999998</v>
      </c>
      <c r="O142" s="4">
        <v>0.8</v>
      </c>
      <c r="P142" s="4">
        <v>2.1</v>
      </c>
      <c r="Q142" s="4">
        <v>0.378</v>
      </c>
      <c r="R142" s="4">
        <v>0.6</v>
      </c>
      <c r="S142" s="4">
        <v>0.7</v>
      </c>
      <c r="T142" s="4">
        <v>0.8</v>
      </c>
      <c r="U142" s="4">
        <v>0.5</v>
      </c>
      <c r="V142" s="4">
        <v>2.6</v>
      </c>
      <c r="W142" s="4">
        <v>1.3</v>
      </c>
      <c r="X142" s="4">
        <v>0.3</v>
      </c>
      <c r="Y142" s="4">
        <v>0.4</v>
      </c>
      <c r="Z142" s="4">
        <v>0.9</v>
      </c>
      <c r="AA142" s="4">
        <v>2.5</v>
      </c>
      <c r="AB142" s="4">
        <v>4.5</v>
      </c>
      <c r="AC142" s="10">
        <f t="shared" si="14"/>
        <v>0.74900133155792281</v>
      </c>
      <c r="AD142" s="10">
        <f t="shared" si="15"/>
        <v>0.16</v>
      </c>
      <c r="AE142" s="12">
        <f>100*(AC142/TOTAL_BASIC!$D$302)</f>
        <v>77.886231527604693</v>
      </c>
      <c r="AF142" s="9"/>
      <c r="AG142" s="9"/>
      <c r="AH142" s="12">
        <f t="shared" si="16"/>
        <v>57.9</v>
      </c>
      <c r="AI142" s="12">
        <f t="shared" si="17"/>
        <v>6.5</v>
      </c>
      <c r="AJ142" s="12">
        <f t="shared" si="18"/>
        <v>27.3</v>
      </c>
      <c r="AK142" s="12">
        <f t="shared" si="19"/>
        <v>38.700000000000003</v>
      </c>
      <c r="AL142" s="12">
        <f t="shared" si="20"/>
        <v>49.1</v>
      </c>
    </row>
    <row r="143" spans="1:38" ht="15.75" customHeight="1" x14ac:dyDescent="0.25">
      <c r="A143" s="1" t="s">
        <v>272</v>
      </c>
      <c r="B143" s="7" t="s">
        <v>93</v>
      </c>
      <c r="C143" s="4" t="s">
        <v>8</v>
      </c>
      <c r="D143" s="4">
        <v>20</v>
      </c>
      <c r="E143" s="4">
        <v>347</v>
      </c>
      <c r="F143" s="4">
        <v>20</v>
      </c>
      <c r="G143" s="4">
        <v>8</v>
      </c>
      <c r="H143" s="4">
        <v>17.399999999999999</v>
      </c>
      <c r="I143" s="4">
        <v>1.7</v>
      </c>
      <c r="J143" s="4">
        <v>5.4</v>
      </c>
      <c r="K143" s="4">
        <v>0.315</v>
      </c>
      <c r="L143" s="4">
        <v>1.3</v>
      </c>
      <c r="M143" s="4">
        <v>4.0999999999999996</v>
      </c>
      <c r="N143" s="4">
        <v>0.317</v>
      </c>
      <c r="O143" s="4">
        <v>0.4</v>
      </c>
      <c r="P143" s="4">
        <v>1.3</v>
      </c>
      <c r="Q143" s="4">
        <v>0.308</v>
      </c>
      <c r="R143" s="4">
        <v>0.8</v>
      </c>
      <c r="S143" s="4">
        <v>0.8</v>
      </c>
      <c r="T143" s="4">
        <v>1</v>
      </c>
      <c r="U143" s="4">
        <v>0.4</v>
      </c>
      <c r="V143" s="4">
        <v>1.7</v>
      </c>
      <c r="W143" s="4">
        <v>2.2000000000000002</v>
      </c>
      <c r="X143" s="4">
        <v>0.6</v>
      </c>
      <c r="Y143" s="4">
        <v>0.1</v>
      </c>
      <c r="Z143" s="4">
        <v>1.2</v>
      </c>
      <c r="AA143" s="4">
        <v>1.9</v>
      </c>
      <c r="AB143" s="4">
        <v>5.5</v>
      </c>
      <c r="AC143" s="10">
        <f t="shared" si="14"/>
        <v>0.791139240506329</v>
      </c>
      <c r="AD143" s="10">
        <f t="shared" si="15"/>
        <v>5.2631578947368425E-2</v>
      </c>
      <c r="AE143" s="12">
        <f>100*(AC143/TOTAL_BASIC!$D$302)</f>
        <v>82.268016704966399</v>
      </c>
      <c r="AF143" s="9"/>
      <c r="AG143" s="9"/>
      <c r="AH143" s="12">
        <f t="shared" si="16"/>
        <v>16.900000000000002</v>
      </c>
      <c r="AI143" s="12">
        <f t="shared" si="17"/>
        <v>10.299999999999999</v>
      </c>
      <c r="AJ143" s="12">
        <f t="shared" si="18"/>
        <v>36</v>
      </c>
      <c r="AK143" s="12">
        <f t="shared" si="19"/>
        <v>43.1</v>
      </c>
      <c r="AL143" s="12">
        <f t="shared" si="20"/>
        <v>97.8</v>
      </c>
    </row>
    <row r="144" spans="1:38" ht="15.75" customHeight="1" x14ac:dyDescent="0.25">
      <c r="A144" s="1" t="s">
        <v>239</v>
      </c>
      <c r="B144" s="7" t="s">
        <v>99</v>
      </c>
      <c r="C144" s="4" t="s">
        <v>85</v>
      </c>
      <c r="D144" s="4">
        <v>30</v>
      </c>
      <c r="E144" s="4">
        <v>342</v>
      </c>
      <c r="F144" s="4">
        <v>30</v>
      </c>
      <c r="G144" s="4">
        <v>1</v>
      </c>
      <c r="H144" s="4">
        <v>11.4</v>
      </c>
      <c r="I144" s="4">
        <v>0.8</v>
      </c>
      <c r="J144" s="4">
        <v>2</v>
      </c>
      <c r="K144" s="4">
        <v>0.40699999999999997</v>
      </c>
      <c r="L144" s="4">
        <v>0.5</v>
      </c>
      <c r="M144" s="4">
        <v>1.3</v>
      </c>
      <c r="N144" s="4">
        <v>0.35</v>
      </c>
      <c r="O144" s="4">
        <v>0.3</v>
      </c>
      <c r="P144" s="4">
        <v>0.6</v>
      </c>
      <c r="Q144" s="4">
        <v>0.52600000000000002</v>
      </c>
      <c r="R144" s="4">
        <v>0.6</v>
      </c>
      <c r="S144" s="4">
        <v>0.9</v>
      </c>
      <c r="T144" s="4">
        <v>0.65400000000000003</v>
      </c>
      <c r="U144" s="4">
        <v>0.4</v>
      </c>
      <c r="V144" s="4">
        <v>1.7</v>
      </c>
      <c r="W144" s="4">
        <v>0.7</v>
      </c>
      <c r="X144" s="4">
        <v>0.2</v>
      </c>
      <c r="Y144" s="4">
        <v>0.3</v>
      </c>
      <c r="Z144" s="4">
        <v>0.5</v>
      </c>
      <c r="AA144" s="4">
        <v>1.8</v>
      </c>
      <c r="AB144" s="4">
        <v>2.6</v>
      </c>
      <c r="AC144" s="10">
        <f t="shared" si="14"/>
        <v>0.89779005524861888</v>
      </c>
      <c r="AD144" s="10">
        <f t="shared" si="15"/>
        <v>0.16666666666666666</v>
      </c>
      <c r="AE144" s="12">
        <f>100*(AC144/TOTAL_BASIC!$D$302)</f>
        <v>93.358290780111062</v>
      </c>
      <c r="AF144" s="9"/>
      <c r="AG144" s="9"/>
      <c r="AH144" s="12">
        <f t="shared" si="16"/>
        <v>59.5</v>
      </c>
      <c r="AI144" s="12">
        <f t="shared" si="17"/>
        <v>42</v>
      </c>
      <c r="AJ144" s="12">
        <f t="shared" si="18"/>
        <v>6</v>
      </c>
      <c r="AK144" s="12">
        <f t="shared" si="19"/>
        <v>14.2</v>
      </c>
      <c r="AL144" s="12">
        <f t="shared" si="20"/>
        <v>13.600000000000001</v>
      </c>
    </row>
    <row r="145" spans="1:38" ht="15.75" customHeight="1" x14ac:dyDescent="0.25">
      <c r="A145" s="1" t="s">
        <v>246</v>
      </c>
      <c r="B145" s="7" t="s">
        <v>99</v>
      </c>
      <c r="C145" s="4" t="s">
        <v>88</v>
      </c>
      <c r="D145" s="4">
        <v>32</v>
      </c>
      <c r="E145" s="4">
        <v>334</v>
      </c>
      <c r="F145" s="4">
        <v>32</v>
      </c>
      <c r="G145" s="4">
        <v>0</v>
      </c>
      <c r="H145" s="4">
        <v>10.4</v>
      </c>
      <c r="I145" s="4">
        <v>1</v>
      </c>
      <c r="J145" s="4">
        <v>2.5</v>
      </c>
      <c r="K145" s="4">
        <v>0.38800000000000001</v>
      </c>
      <c r="L145" s="4">
        <v>0.3</v>
      </c>
      <c r="M145" s="4">
        <v>1.1000000000000001</v>
      </c>
      <c r="N145" s="4">
        <v>0.22900000000000001</v>
      </c>
      <c r="O145" s="4">
        <v>0.7</v>
      </c>
      <c r="P145" s="4">
        <v>1.4</v>
      </c>
      <c r="Q145" s="4">
        <v>0.51100000000000001</v>
      </c>
      <c r="R145" s="4">
        <v>1.3</v>
      </c>
      <c r="S145" s="4">
        <v>1.7</v>
      </c>
      <c r="T145" s="4">
        <v>0.755</v>
      </c>
      <c r="U145" s="4">
        <v>0.9</v>
      </c>
      <c r="V145" s="4">
        <v>2.8</v>
      </c>
      <c r="W145" s="4">
        <v>0.4</v>
      </c>
      <c r="X145" s="4">
        <v>0.1</v>
      </c>
      <c r="Y145" s="4">
        <v>0.3</v>
      </c>
      <c r="Z145" s="4">
        <v>0.6</v>
      </c>
      <c r="AA145" s="4">
        <v>1.4</v>
      </c>
      <c r="AB145" s="4">
        <v>3.4</v>
      </c>
      <c r="AC145" s="10">
        <f t="shared" si="14"/>
        <v>0.88357588357588346</v>
      </c>
      <c r="AD145" s="10">
        <f t="shared" si="15"/>
        <v>0.2142857142857143</v>
      </c>
      <c r="AE145" s="12">
        <f>100*(AC145/TOTAL_BASIC!$D$302)</f>
        <v>91.880204935359572</v>
      </c>
      <c r="AF145" s="9"/>
      <c r="AG145" s="9"/>
      <c r="AH145" s="12">
        <f t="shared" si="16"/>
        <v>70.399999999999991</v>
      </c>
      <c r="AI145" s="12">
        <f t="shared" si="17"/>
        <v>34.9</v>
      </c>
      <c r="AJ145" s="12">
        <f t="shared" si="18"/>
        <v>14.7</v>
      </c>
      <c r="AK145" s="12">
        <f t="shared" si="19"/>
        <v>10.9</v>
      </c>
      <c r="AL145" s="12">
        <f t="shared" si="20"/>
        <v>36</v>
      </c>
    </row>
    <row r="146" spans="1:38" ht="15.75" customHeight="1" x14ac:dyDescent="0.25">
      <c r="A146" s="1" t="s">
        <v>218</v>
      </c>
      <c r="B146" s="7" t="s">
        <v>140</v>
      </c>
      <c r="C146" s="4" t="s">
        <v>85</v>
      </c>
      <c r="D146" s="4">
        <v>36</v>
      </c>
      <c r="E146" s="4">
        <v>326</v>
      </c>
      <c r="F146" s="4">
        <v>36</v>
      </c>
      <c r="G146" s="4">
        <v>3</v>
      </c>
      <c r="H146" s="4">
        <v>9.1</v>
      </c>
      <c r="I146" s="4">
        <v>1.1000000000000001</v>
      </c>
      <c r="J146" s="4">
        <v>2.6</v>
      </c>
      <c r="K146" s="4">
        <v>0.435</v>
      </c>
      <c r="L146" s="4">
        <v>0.1</v>
      </c>
      <c r="M146" s="4">
        <v>0.9</v>
      </c>
      <c r="N146" s="4">
        <v>0.125</v>
      </c>
      <c r="O146" s="4">
        <v>1</v>
      </c>
      <c r="P146" s="4">
        <v>1.7</v>
      </c>
      <c r="Q146" s="4">
        <v>0.6</v>
      </c>
      <c r="R146" s="4">
        <v>0.5</v>
      </c>
      <c r="S146" s="4">
        <v>0.7</v>
      </c>
      <c r="T146" s="4">
        <v>0.68</v>
      </c>
      <c r="U146" s="4">
        <v>0.6</v>
      </c>
      <c r="V146" s="4">
        <v>2.2999999999999998</v>
      </c>
      <c r="W146" s="4">
        <v>0.6</v>
      </c>
      <c r="X146" s="4">
        <v>0.3</v>
      </c>
      <c r="Y146" s="4">
        <v>0.2</v>
      </c>
      <c r="Z146" s="4">
        <v>0.6</v>
      </c>
      <c r="AA146" s="4">
        <v>0.9</v>
      </c>
      <c r="AB146" s="4">
        <v>2.8</v>
      </c>
      <c r="AC146" s="10">
        <f t="shared" si="14"/>
        <v>0.79817559863169896</v>
      </c>
      <c r="AD146" s="10">
        <f t="shared" si="15"/>
        <v>0.22222222222222224</v>
      </c>
      <c r="AE146" s="12">
        <f>100*(AC146/TOTAL_BASIC!$D$302)</f>
        <v>82.999704880905682</v>
      </c>
      <c r="AF146" s="9"/>
      <c r="AG146" s="9"/>
      <c r="AH146" s="12">
        <f t="shared" si="16"/>
        <v>71.5</v>
      </c>
      <c r="AI146" s="12">
        <f t="shared" si="17"/>
        <v>13.100000000000001</v>
      </c>
      <c r="AJ146" s="12">
        <f t="shared" si="18"/>
        <v>7.6</v>
      </c>
      <c r="AK146" s="12">
        <f t="shared" si="19"/>
        <v>4.3</v>
      </c>
      <c r="AL146" s="12">
        <f t="shared" si="20"/>
        <v>17.399999999999999</v>
      </c>
    </row>
    <row r="147" spans="1:38" ht="15.75" customHeight="1" x14ac:dyDescent="0.25">
      <c r="A147" s="1" t="s">
        <v>269</v>
      </c>
      <c r="B147" s="7" t="s">
        <v>232</v>
      </c>
      <c r="C147" s="4" t="s">
        <v>8</v>
      </c>
      <c r="D147" s="4">
        <v>29</v>
      </c>
      <c r="E147" s="4">
        <v>325</v>
      </c>
      <c r="F147" s="4">
        <v>29</v>
      </c>
      <c r="G147" s="4">
        <v>1</v>
      </c>
      <c r="H147" s="4">
        <v>11.2</v>
      </c>
      <c r="I147" s="4">
        <v>1.4</v>
      </c>
      <c r="J147" s="4">
        <v>3.7</v>
      </c>
      <c r="K147" s="4">
        <v>0.39300000000000002</v>
      </c>
      <c r="L147" s="4">
        <v>0.3</v>
      </c>
      <c r="M147" s="4">
        <v>1.8</v>
      </c>
      <c r="N147" s="4">
        <v>0.189</v>
      </c>
      <c r="O147" s="4">
        <v>1.1000000000000001</v>
      </c>
      <c r="P147" s="4">
        <v>1.9</v>
      </c>
      <c r="Q147" s="4">
        <v>0.59299999999999997</v>
      </c>
      <c r="R147" s="4">
        <v>0.8</v>
      </c>
      <c r="S147" s="4">
        <v>0.8</v>
      </c>
      <c r="T147" s="4">
        <v>0.91700000000000004</v>
      </c>
      <c r="U147" s="4">
        <v>0.3</v>
      </c>
      <c r="V147" s="4">
        <v>1.4</v>
      </c>
      <c r="W147" s="4">
        <v>1.8</v>
      </c>
      <c r="X147" s="4">
        <v>0.6</v>
      </c>
      <c r="Y147" s="4">
        <v>0</v>
      </c>
      <c r="Z147" s="4">
        <v>1.1000000000000001</v>
      </c>
      <c r="AA147" s="4">
        <v>1.1000000000000001</v>
      </c>
      <c r="AB147" s="4">
        <v>4</v>
      </c>
      <c r="AC147" s="10">
        <f t="shared" si="14"/>
        <v>0.77639751552795011</v>
      </c>
      <c r="AD147" s="10">
        <f t="shared" si="15"/>
        <v>0</v>
      </c>
      <c r="AE147" s="12">
        <f>100*(AC147/TOTAL_BASIC!$D$302)</f>
        <v>80.735072294314847</v>
      </c>
      <c r="AF147" s="9"/>
      <c r="AG147" s="9"/>
      <c r="AH147" s="12">
        <f t="shared" si="16"/>
        <v>0</v>
      </c>
      <c r="AI147" s="12">
        <f t="shared" si="17"/>
        <v>7.6</v>
      </c>
      <c r="AJ147" s="12">
        <f t="shared" si="18"/>
        <v>21.3</v>
      </c>
      <c r="AK147" s="12">
        <f t="shared" si="19"/>
        <v>13.100000000000001</v>
      </c>
      <c r="AL147" s="12">
        <f t="shared" si="20"/>
        <v>93.899999999999991</v>
      </c>
    </row>
    <row r="148" spans="1:38" ht="15.75" customHeight="1" x14ac:dyDescent="0.25">
      <c r="A148" s="1" t="s">
        <v>205</v>
      </c>
      <c r="B148" s="7" t="s">
        <v>117</v>
      </c>
      <c r="C148" s="4" t="s">
        <v>85</v>
      </c>
      <c r="D148" s="4">
        <v>29</v>
      </c>
      <c r="E148" s="4">
        <v>324</v>
      </c>
      <c r="F148" s="4">
        <v>29</v>
      </c>
      <c r="G148" s="4">
        <v>1</v>
      </c>
      <c r="H148" s="4">
        <v>11.2</v>
      </c>
      <c r="I148" s="4">
        <v>1.9</v>
      </c>
      <c r="J148" s="4">
        <v>3.6</v>
      </c>
      <c r="K148" s="4">
        <v>0.52400000000000002</v>
      </c>
      <c r="L148" s="4">
        <v>0.3</v>
      </c>
      <c r="M148" s="4">
        <v>0.6</v>
      </c>
      <c r="N148" s="4">
        <v>0.52900000000000003</v>
      </c>
      <c r="O148" s="4">
        <v>1.6</v>
      </c>
      <c r="P148" s="4">
        <v>3</v>
      </c>
      <c r="Q148" s="4">
        <v>0.52300000000000002</v>
      </c>
      <c r="R148" s="4">
        <v>1.5</v>
      </c>
      <c r="S148" s="4">
        <v>1.9</v>
      </c>
      <c r="T148" s="4">
        <v>0.78600000000000003</v>
      </c>
      <c r="U148" s="4">
        <v>1</v>
      </c>
      <c r="V148" s="4">
        <v>3</v>
      </c>
      <c r="W148" s="4">
        <v>0.7</v>
      </c>
      <c r="X148" s="4">
        <v>0.4</v>
      </c>
      <c r="Y148" s="4">
        <v>0.7</v>
      </c>
      <c r="Z148" s="4">
        <v>0.6</v>
      </c>
      <c r="AA148" s="4">
        <v>1.8</v>
      </c>
      <c r="AB148" s="4">
        <v>5.6</v>
      </c>
      <c r="AC148" s="10">
        <f t="shared" si="14"/>
        <v>1.1119936457505957</v>
      </c>
      <c r="AD148" s="10">
        <f t="shared" si="15"/>
        <v>0.38888888888888884</v>
      </c>
      <c r="AE148" s="12">
        <f>100*(AC148/TOTAL_BASIC!$D$302)</f>
        <v>115.6326309460751</v>
      </c>
      <c r="AF148" s="9"/>
      <c r="AG148" s="9"/>
      <c r="AH148" s="12">
        <f t="shared" si="16"/>
        <v>84.6</v>
      </c>
      <c r="AI148" s="12">
        <f t="shared" si="17"/>
        <v>93.4</v>
      </c>
      <c r="AJ148" s="12">
        <f t="shared" si="18"/>
        <v>37.700000000000003</v>
      </c>
      <c r="AK148" s="12">
        <f t="shared" si="19"/>
        <v>13.100000000000001</v>
      </c>
      <c r="AL148" s="12">
        <f t="shared" si="20"/>
        <v>44.800000000000004</v>
      </c>
    </row>
    <row r="149" spans="1:38" ht="15.75" customHeight="1" x14ac:dyDescent="0.25">
      <c r="A149" s="1" t="s">
        <v>201</v>
      </c>
      <c r="B149" s="7" t="s">
        <v>107</v>
      </c>
      <c r="C149" s="4" t="s">
        <v>8</v>
      </c>
      <c r="D149" s="4">
        <v>34</v>
      </c>
      <c r="E149" s="4">
        <v>323</v>
      </c>
      <c r="F149" s="4">
        <v>34</v>
      </c>
      <c r="G149" s="4">
        <v>5</v>
      </c>
      <c r="H149" s="4">
        <v>9.5</v>
      </c>
      <c r="I149" s="4">
        <v>1.1000000000000001</v>
      </c>
      <c r="J149" s="4">
        <v>3.1</v>
      </c>
      <c r="K149" s="4">
        <v>0.36199999999999999</v>
      </c>
      <c r="L149" s="4">
        <v>0.4</v>
      </c>
      <c r="M149" s="4">
        <v>1.6</v>
      </c>
      <c r="N149" s="4">
        <v>0.218</v>
      </c>
      <c r="O149" s="4">
        <v>0.8</v>
      </c>
      <c r="P149" s="4">
        <v>1.5</v>
      </c>
      <c r="Q149" s="4">
        <v>0.52</v>
      </c>
      <c r="R149" s="4">
        <v>0.6</v>
      </c>
      <c r="S149" s="4">
        <v>0.7</v>
      </c>
      <c r="T149" s="4">
        <v>0.95699999999999996</v>
      </c>
      <c r="U149" s="4">
        <v>0.4</v>
      </c>
      <c r="V149" s="4">
        <v>1.3</v>
      </c>
      <c r="W149" s="4">
        <v>0.4</v>
      </c>
      <c r="X149" s="4">
        <v>0.2</v>
      </c>
      <c r="Y149" s="4">
        <v>0.1</v>
      </c>
      <c r="Z149" s="4">
        <v>0.2</v>
      </c>
      <c r="AA149" s="4">
        <v>1.4</v>
      </c>
      <c r="AB149" s="4">
        <v>3.2</v>
      </c>
      <c r="AC149" s="10">
        <f t="shared" si="14"/>
        <v>0.88691796008869184</v>
      </c>
      <c r="AD149" s="10">
        <f t="shared" si="15"/>
        <v>7.1428571428571438E-2</v>
      </c>
      <c r="AE149" s="12">
        <f>100*(AC149/TOTAL_BASIC!$D$302)</f>
        <v>92.227736687430195</v>
      </c>
      <c r="AF149" s="9"/>
      <c r="AG149" s="9"/>
      <c r="AH149" s="12">
        <f t="shared" si="16"/>
        <v>25.1</v>
      </c>
      <c r="AI149" s="12">
        <f t="shared" si="17"/>
        <v>36.6</v>
      </c>
      <c r="AJ149" s="12">
        <f t="shared" si="18"/>
        <v>11.4</v>
      </c>
      <c r="AK149" s="12">
        <f t="shared" si="19"/>
        <v>7.1</v>
      </c>
      <c r="AL149" s="12">
        <f t="shared" si="20"/>
        <v>97.2</v>
      </c>
    </row>
    <row r="150" spans="1:38" ht="15.75" customHeight="1" x14ac:dyDescent="0.25">
      <c r="A150" s="1" t="s">
        <v>150</v>
      </c>
      <c r="B150" s="7" t="s">
        <v>93</v>
      </c>
      <c r="C150" s="4" t="s">
        <v>8</v>
      </c>
      <c r="D150" s="4">
        <v>16</v>
      </c>
      <c r="E150" s="4">
        <v>323</v>
      </c>
      <c r="F150" s="4">
        <v>16</v>
      </c>
      <c r="G150" s="4">
        <v>7</v>
      </c>
      <c r="H150" s="4">
        <v>20.2</v>
      </c>
      <c r="I150" s="4">
        <v>3.1</v>
      </c>
      <c r="J150" s="4">
        <v>7.4</v>
      </c>
      <c r="K150" s="4">
        <v>0.42</v>
      </c>
      <c r="L150" s="4">
        <v>2</v>
      </c>
      <c r="M150" s="4">
        <v>4.8</v>
      </c>
      <c r="N150" s="4">
        <v>0.42099999999999999</v>
      </c>
      <c r="O150" s="4">
        <v>1.1000000000000001</v>
      </c>
      <c r="P150" s="4">
        <v>2.7</v>
      </c>
      <c r="Q150" s="4">
        <v>0.41899999999999998</v>
      </c>
      <c r="R150" s="4">
        <v>2.1</v>
      </c>
      <c r="S150" s="4">
        <v>2.4</v>
      </c>
      <c r="T150" s="4">
        <v>0.89500000000000002</v>
      </c>
      <c r="U150" s="4">
        <v>0.4</v>
      </c>
      <c r="V150" s="4">
        <v>1.1000000000000001</v>
      </c>
      <c r="W150" s="4">
        <v>1.6</v>
      </c>
      <c r="X150" s="4">
        <v>0.6</v>
      </c>
      <c r="Y150" s="4">
        <v>0</v>
      </c>
      <c r="Z150" s="4">
        <v>1.4</v>
      </c>
      <c r="AA150" s="4">
        <v>2.2999999999999998</v>
      </c>
      <c r="AB150" s="4">
        <v>10.4</v>
      </c>
      <c r="AC150" s="10">
        <f t="shared" si="14"/>
        <v>1.0551948051948052</v>
      </c>
      <c r="AD150" s="10">
        <f t="shared" si="15"/>
        <v>0</v>
      </c>
      <c r="AE150" s="12">
        <f>100*(AC150/TOTAL_BASIC!$D$302)</f>
        <v>109.72630280000067</v>
      </c>
      <c r="AF150" s="9"/>
      <c r="AG150" s="9"/>
      <c r="AH150" s="12">
        <f t="shared" si="16"/>
        <v>0</v>
      </c>
      <c r="AI150" s="12">
        <f t="shared" si="17"/>
        <v>87.9</v>
      </c>
      <c r="AJ150" s="12">
        <f t="shared" si="18"/>
        <v>66.600000000000009</v>
      </c>
      <c r="AK150" s="12">
        <f t="shared" si="19"/>
        <v>51.9</v>
      </c>
      <c r="AL150" s="12">
        <f t="shared" si="20"/>
        <v>90.7</v>
      </c>
    </row>
    <row r="151" spans="1:38" ht="15.75" customHeight="1" x14ac:dyDescent="0.25">
      <c r="A151" s="1" t="s">
        <v>171</v>
      </c>
      <c r="B151" s="7" t="s">
        <v>107</v>
      </c>
      <c r="C151" s="4" t="s">
        <v>8</v>
      </c>
      <c r="D151" s="4">
        <v>21</v>
      </c>
      <c r="E151" s="4">
        <v>321</v>
      </c>
      <c r="F151" s="4">
        <v>21</v>
      </c>
      <c r="G151" s="4">
        <v>3</v>
      </c>
      <c r="H151" s="4">
        <v>15.3</v>
      </c>
      <c r="I151" s="4">
        <v>2</v>
      </c>
      <c r="J151" s="4">
        <v>5</v>
      </c>
      <c r="K151" s="4">
        <v>0.40400000000000003</v>
      </c>
      <c r="L151" s="4">
        <v>0.6</v>
      </c>
      <c r="M151" s="4">
        <v>1.7</v>
      </c>
      <c r="N151" s="4">
        <v>0.34300000000000003</v>
      </c>
      <c r="O151" s="4">
        <v>1.4</v>
      </c>
      <c r="P151" s="4">
        <v>3.3</v>
      </c>
      <c r="Q151" s="4">
        <v>0.435</v>
      </c>
      <c r="R151" s="4">
        <v>0.6</v>
      </c>
      <c r="S151" s="4">
        <v>0.7</v>
      </c>
      <c r="T151" s="4">
        <v>0.85699999999999998</v>
      </c>
      <c r="U151" s="4">
        <v>0.3</v>
      </c>
      <c r="V151" s="4">
        <v>1.3</v>
      </c>
      <c r="W151" s="4">
        <v>1.9</v>
      </c>
      <c r="X151" s="4">
        <v>0.7</v>
      </c>
      <c r="Y151" s="4">
        <v>0.2</v>
      </c>
      <c r="Z151" s="4">
        <v>1.1000000000000001</v>
      </c>
      <c r="AA151" s="4">
        <v>1.3</v>
      </c>
      <c r="AB151" s="4">
        <v>5.0999999999999996</v>
      </c>
      <c r="AC151" s="10">
        <f t="shared" si="14"/>
        <v>0.79588014981273414</v>
      </c>
      <c r="AD151" s="10">
        <f t="shared" si="15"/>
        <v>0.15384615384615385</v>
      </c>
      <c r="AE151" s="12">
        <f>100*(AC151/TOTAL_BASIC!$D$302)</f>
        <v>82.761008565370702</v>
      </c>
      <c r="AF151" s="9"/>
      <c r="AG151" s="9"/>
      <c r="AH151" s="12">
        <f t="shared" si="16"/>
        <v>55.1</v>
      </c>
      <c r="AI151" s="12">
        <f t="shared" si="17"/>
        <v>11.4</v>
      </c>
      <c r="AJ151" s="12">
        <f t="shared" si="18"/>
        <v>32.200000000000003</v>
      </c>
      <c r="AK151" s="12">
        <f t="shared" si="19"/>
        <v>32.700000000000003</v>
      </c>
      <c r="AL151" s="12">
        <f t="shared" si="20"/>
        <v>73.7</v>
      </c>
    </row>
    <row r="152" spans="1:38" ht="15.75" customHeight="1" x14ac:dyDescent="0.25">
      <c r="A152" s="1" t="s">
        <v>255</v>
      </c>
      <c r="B152" s="7" t="s">
        <v>137</v>
      </c>
      <c r="C152" s="4" t="s">
        <v>8</v>
      </c>
      <c r="D152" s="4">
        <v>34</v>
      </c>
      <c r="E152" s="4">
        <v>311</v>
      </c>
      <c r="F152" s="4">
        <v>34</v>
      </c>
      <c r="G152" s="4">
        <v>0</v>
      </c>
      <c r="H152" s="4">
        <v>9.1</v>
      </c>
      <c r="I152" s="4">
        <v>0.8</v>
      </c>
      <c r="J152" s="4">
        <v>2</v>
      </c>
      <c r="K152" s="4">
        <v>0.40300000000000002</v>
      </c>
      <c r="L152" s="4">
        <v>0.3</v>
      </c>
      <c r="M152" s="4">
        <v>1</v>
      </c>
      <c r="N152" s="4">
        <v>0.27300000000000002</v>
      </c>
      <c r="O152" s="4">
        <v>0.5</v>
      </c>
      <c r="P152" s="4">
        <v>1</v>
      </c>
      <c r="Q152" s="4">
        <v>0.52900000000000003</v>
      </c>
      <c r="R152" s="4">
        <v>0.4</v>
      </c>
      <c r="S152" s="4">
        <v>0.6</v>
      </c>
      <c r="T152" s="4">
        <v>0.57099999999999995</v>
      </c>
      <c r="U152" s="4">
        <v>0.3</v>
      </c>
      <c r="V152" s="4">
        <v>1</v>
      </c>
      <c r="W152" s="4">
        <v>0.5</v>
      </c>
      <c r="X152" s="4">
        <v>0.4</v>
      </c>
      <c r="Y152" s="4">
        <v>0</v>
      </c>
      <c r="Z152" s="4">
        <v>0.3</v>
      </c>
      <c r="AA152" s="4">
        <v>1.1000000000000001</v>
      </c>
      <c r="AB152" s="4">
        <v>2.2000000000000002</v>
      </c>
      <c r="AC152" s="10">
        <f t="shared" si="14"/>
        <v>0.85803432137285496</v>
      </c>
      <c r="AD152" s="10">
        <f t="shared" si="15"/>
        <v>0</v>
      </c>
      <c r="AE152" s="12">
        <f>100*(AC152/TOTAL_BASIC!$D$302)</f>
        <v>89.224220301548598</v>
      </c>
      <c r="AF152" s="9"/>
      <c r="AG152" s="9"/>
      <c r="AH152" s="12">
        <f t="shared" si="16"/>
        <v>0</v>
      </c>
      <c r="AI152" s="12">
        <f t="shared" si="17"/>
        <v>25.1</v>
      </c>
      <c r="AJ152" s="12">
        <f t="shared" si="18"/>
        <v>4.9000000000000004</v>
      </c>
      <c r="AK152" s="12">
        <f t="shared" si="19"/>
        <v>4.3</v>
      </c>
      <c r="AL152" s="12">
        <f t="shared" si="20"/>
        <v>4.9000000000000004</v>
      </c>
    </row>
    <row r="153" spans="1:38" ht="15.75" customHeight="1" x14ac:dyDescent="0.25">
      <c r="A153" s="1" t="s">
        <v>190</v>
      </c>
      <c r="B153" s="7" t="s">
        <v>240</v>
      </c>
      <c r="C153" s="4" t="s">
        <v>8</v>
      </c>
      <c r="D153" s="4">
        <v>24</v>
      </c>
      <c r="E153" s="4">
        <v>310</v>
      </c>
      <c r="F153" s="4">
        <v>24</v>
      </c>
      <c r="G153" s="4">
        <v>0</v>
      </c>
      <c r="H153" s="4">
        <v>12.9</v>
      </c>
      <c r="I153" s="4">
        <v>1.5</v>
      </c>
      <c r="J153" s="4">
        <v>4.2</v>
      </c>
      <c r="K153" s="4">
        <v>0.35</v>
      </c>
      <c r="L153" s="4">
        <v>0.8</v>
      </c>
      <c r="M153" s="4">
        <v>2.8</v>
      </c>
      <c r="N153" s="4">
        <v>0.28399999999999997</v>
      </c>
      <c r="O153" s="4">
        <v>0.7</v>
      </c>
      <c r="P153" s="4">
        <v>1.4</v>
      </c>
      <c r="Q153" s="4">
        <v>0.48499999999999999</v>
      </c>
      <c r="R153" s="4">
        <v>0.4</v>
      </c>
      <c r="S153" s="4">
        <v>0.5</v>
      </c>
      <c r="T153" s="4">
        <v>0.75</v>
      </c>
      <c r="U153" s="4">
        <v>0</v>
      </c>
      <c r="V153" s="4">
        <v>0.4</v>
      </c>
      <c r="W153" s="4">
        <v>1.2</v>
      </c>
      <c r="X153" s="4">
        <v>0.4</v>
      </c>
      <c r="Y153" s="4">
        <v>0</v>
      </c>
      <c r="Z153" s="4">
        <v>0.8</v>
      </c>
      <c r="AA153" s="4">
        <v>1.1000000000000001</v>
      </c>
      <c r="AB153" s="4">
        <v>4.0999999999999996</v>
      </c>
      <c r="AC153" s="10">
        <f t="shared" si="14"/>
        <v>0.78544061302681989</v>
      </c>
      <c r="AD153" s="10">
        <f t="shared" si="15"/>
        <v>0</v>
      </c>
      <c r="AE153" s="12">
        <f>100*(AC153/TOTAL_BASIC!$D$302)</f>
        <v>81.675434822187341</v>
      </c>
      <c r="AF153" s="9"/>
      <c r="AG153" s="9"/>
      <c r="AH153" s="12">
        <f t="shared" si="16"/>
        <v>0</v>
      </c>
      <c r="AI153" s="12">
        <f t="shared" si="17"/>
        <v>9.8000000000000007</v>
      </c>
      <c r="AJ153" s="12">
        <f t="shared" si="18"/>
        <v>23.400000000000002</v>
      </c>
      <c r="AK153" s="12">
        <f t="shared" si="19"/>
        <v>20.200000000000003</v>
      </c>
      <c r="AL153" s="12">
        <f t="shared" si="20"/>
        <v>34.4</v>
      </c>
    </row>
    <row r="154" spans="1:38" ht="15.75" customHeight="1" x14ac:dyDescent="0.25">
      <c r="A154" s="1" t="s">
        <v>241</v>
      </c>
      <c r="B154" s="7" t="s">
        <v>96</v>
      </c>
      <c r="C154" s="4" t="s">
        <v>85</v>
      </c>
      <c r="D154" s="4">
        <v>30</v>
      </c>
      <c r="E154" s="4">
        <v>307</v>
      </c>
      <c r="F154" s="4">
        <v>30</v>
      </c>
      <c r="G154" s="4">
        <v>0</v>
      </c>
      <c r="H154" s="4">
        <v>10.199999999999999</v>
      </c>
      <c r="I154" s="4">
        <v>1.3</v>
      </c>
      <c r="J154" s="4">
        <v>2.7</v>
      </c>
      <c r="K154" s="4">
        <v>0.47599999999999998</v>
      </c>
      <c r="L154" s="4">
        <v>0.1</v>
      </c>
      <c r="M154" s="4">
        <v>0.1</v>
      </c>
      <c r="N154" s="4">
        <v>0.66700000000000004</v>
      </c>
      <c r="O154" s="4">
        <v>1.2</v>
      </c>
      <c r="P154" s="4">
        <v>2.6</v>
      </c>
      <c r="Q154" s="4">
        <v>0.46800000000000003</v>
      </c>
      <c r="R154" s="4">
        <v>0.9</v>
      </c>
      <c r="S154" s="4">
        <v>1.1000000000000001</v>
      </c>
      <c r="T154" s="4">
        <v>0.84799999999999998</v>
      </c>
      <c r="U154" s="4">
        <v>1.2</v>
      </c>
      <c r="V154" s="4">
        <v>2</v>
      </c>
      <c r="W154" s="4">
        <v>0.7</v>
      </c>
      <c r="X154" s="4">
        <v>0.6</v>
      </c>
      <c r="Y154" s="4">
        <v>0.4</v>
      </c>
      <c r="Z154" s="4">
        <v>0.6</v>
      </c>
      <c r="AA154" s="4">
        <v>1.2</v>
      </c>
      <c r="AB154" s="4">
        <v>3.6</v>
      </c>
      <c r="AC154" s="10">
        <f t="shared" si="14"/>
        <v>0.95137420718816068</v>
      </c>
      <c r="AD154" s="10">
        <f t="shared" si="15"/>
        <v>0.33333333333333337</v>
      </c>
      <c r="AE154" s="12">
        <f>100*(AC154/TOTAL_BASIC!$D$302)</f>
        <v>98.930333830412039</v>
      </c>
      <c r="AF154" s="9"/>
      <c r="AG154" s="9"/>
      <c r="AH154" s="12">
        <f t="shared" si="16"/>
        <v>81.899999999999991</v>
      </c>
      <c r="AI154" s="12">
        <f t="shared" si="17"/>
        <v>54.6</v>
      </c>
      <c r="AJ154" s="12">
        <f t="shared" si="18"/>
        <v>17.399999999999999</v>
      </c>
      <c r="AK154" s="12">
        <f t="shared" si="19"/>
        <v>9.8000000000000007</v>
      </c>
      <c r="AL154" s="12">
        <f t="shared" si="20"/>
        <v>69.3</v>
      </c>
    </row>
    <row r="155" spans="1:38" ht="15.75" customHeight="1" x14ac:dyDescent="0.25">
      <c r="A155" s="1" t="s">
        <v>275</v>
      </c>
      <c r="B155" s="7" t="s">
        <v>114</v>
      </c>
      <c r="C155" s="4" t="s">
        <v>119</v>
      </c>
      <c r="D155" s="4">
        <v>14</v>
      </c>
      <c r="E155" s="4">
        <v>286</v>
      </c>
      <c r="F155" s="4">
        <v>14</v>
      </c>
      <c r="G155" s="4">
        <v>9</v>
      </c>
      <c r="H155" s="4">
        <v>20.399999999999999</v>
      </c>
      <c r="I155" s="4">
        <v>2.6</v>
      </c>
      <c r="J155" s="4">
        <v>6.6</v>
      </c>
      <c r="K155" s="4">
        <v>0.39800000000000002</v>
      </c>
      <c r="L155" s="4">
        <v>0.6</v>
      </c>
      <c r="M155" s="4">
        <v>1.9</v>
      </c>
      <c r="N155" s="4">
        <v>0.308</v>
      </c>
      <c r="O155" s="4">
        <v>2.1</v>
      </c>
      <c r="P155" s="4">
        <v>4.8</v>
      </c>
      <c r="Q155" s="4">
        <v>0.433</v>
      </c>
      <c r="R155" s="4">
        <v>1</v>
      </c>
      <c r="S155" s="4">
        <v>1.1000000000000001</v>
      </c>
      <c r="T155" s="4">
        <v>0.875</v>
      </c>
      <c r="U155" s="4">
        <v>0.5</v>
      </c>
      <c r="V155" s="4">
        <v>4</v>
      </c>
      <c r="W155" s="4">
        <v>1.8</v>
      </c>
      <c r="X155" s="4">
        <v>0.8</v>
      </c>
      <c r="Y155" s="4">
        <v>1.2</v>
      </c>
      <c r="Z155" s="4">
        <v>1.1000000000000001</v>
      </c>
      <c r="AA155" s="4">
        <v>2.5</v>
      </c>
      <c r="AB155" s="4">
        <v>6.9</v>
      </c>
      <c r="AC155" s="10">
        <f t="shared" si="14"/>
        <v>0.84310850439882712</v>
      </c>
      <c r="AD155" s="10">
        <f t="shared" si="15"/>
        <v>0.48</v>
      </c>
      <c r="AE155" s="12">
        <f>100*(AC155/TOTAL_BASIC!$D$302)</f>
        <v>87.672132758313197</v>
      </c>
      <c r="AF155" s="9"/>
      <c r="AG155" s="9"/>
      <c r="AH155" s="12">
        <f t="shared" si="16"/>
        <v>90.100000000000009</v>
      </c>
      <c r="AI155" s="12">
        <f t="shared" si="17"/>
        <v>21.8</v>
      </c>
      <c r="AJ155" s="12">
        <f t="shared" si="18"/>
        <v>49.7</v>
      </c>
      <c r="AK155" s="12">
        <f t="shared" si="19"/>
        <v>53</v>
      </c>
      <c r="AL155" s="12">
        <f t="shared" si="20"/>
        <v>82.5</v>
      </c>
    </row>
    <row r="156" spans="1:38" ht="15.75" customHeight="1" x14ac:dyDescent="0.25">
      <c r="A156" s="1" t="s">
        <v>197</v>
      </c>
      <c r="B156" s="7" t="s">
        <v>114</v>
      </c>
      <c r="C156" s="4" t="s">
        <v>85</v>
      </c>
      <c r="D156" s="4">
        <v>28</v>
      </c>
      <c r="E156" s="4">
        <v>283</v>
      </c>
      <c r="F156" s="4">
        <v>28</v>
      </c>
      <c r="G156" s="4">
        <v>0</v>
      </c>
      <c r="H156" s="4">
        <v>10.1</v>
      </c>
      <c r="I156" s="4">
        <v>1.1000000000000001</v>
      </c>
      <c r="J156" s="4">
        <v>2</v>
      </c>
      <c r="K156" s="4">
        <v>0.55400000000000005</v>
      </c>
      <c r="L156" s="4">
        <v>0.2</v>
      </c>
      <c r="M156" s="4">
        <v>0.5</v>
      </c>
      <c r="N156" s="4">
        <v>0.46200000000000002</v>
      </c>
      <c r="O156" s="4">
        <v>0.9</v>
      </c>
      <c r="P156" s="4">
        <v>1.5</v>
      </c>
      <c r="Q156" s="4">
        <v>0.58099999999999996</v>
      </c>
      <c r="R156" s="4">
        <v>0.4</v>
      </c>
      <c r="S156" s="4">
        <v>0.6</v>
      </c>
      <c r="T156" s="4">
        <v>0.70599999999999996</v>
      </c>
      <c r="U156" s="4">
        <v>1</v>
      </c>
      <c r="V156" s="4">
        <v>3</v>
      </c>
      <c r="W156" s="4">
        <v>0.5</v>
      </c>
      <c r="X156" s="4">
        <v>0.6</v>
      </c>
      <c r="Y156" s="4">
        <v>0.2</v>
      </c>
      <c r="Z156" s="4">
        <v>0.5</v>
      </c>
      <c r="AA156" s="4">
        <v>1.4</v>
      </c>
      <c r="AB156" s="4">
        <v>2.9</v>
      </c>
      <c r="AC156" s="10">
        <f t="shared" si="14"/>
        <v>1.0492040520984081</v>
      </c>
      <c r="AD156" s="10">
        <f t="shared" si="15"/>
        <v>0.14285714285714288</v>
      </c>
      <c r="AE156" s="12">
        <f>100*(AC156/TOTAL_BASIC!$D$302)</f>
        <v>109.10334371697716</v>
      </c>
      <c r="AF156" s="9"/>
      <c r="AG156" s="9"/>
      <c r="AH156" s="12">
        <f t="shared" si="16"/>
        <v>53</v>
      </c>
      <c r="AI156" s="12">
        <f t="shared" si="17"/>
        <v>86.3</v>
      </c>
      <c r="AJ156" s="12">
        <f t="shared" si="18"/>
        <v>8.1</v>
      </c>
      <c r="AK156" s="12">
        <f t="shared" si="19"/>
        <v>9.1999999999999993</v>
      </c>
      <c r="AL156" s="12">
        <f t="shared" si="20"/>
        <v>21.3</v>
      </c>
    </row>
    <row r="157" spans="1:38" ht="15.75" customHeight="1" x14ac:dyDescent="0.25">
      <c r="A157" s="1" t="s">
        <v>266</v>
      </c>
      <c r="B157" s="7" t="s">
        <v>96</v>
      </c>
      <c r="C157" s="4" t="s">
        <v>85</v>
      </c>
      <c r="D157" s="4">
        <v>19</v>
      </c>
      <c r="E157" s="4">
        <v>278</v>
      </c>
      <c r="F157" s="4">
        <v>19</v>
      </c>
      <c r="G157" s="4">
        <v>0</v>
      </c>
      <c r="H157" s="4">
        <v>14.6</v>
      </c>
      <c r="I157" s="4">
        <v>1.4</v>
      </c>
      <c r="J157" s="4">
        <v>3.6</v>
      </c>
      <c r="K157" s="4">
        <v>0.39700000000000002</v>
      </c>
      <c r="L157" s="4">
        <v>0.7</v>
      </c>
      <c r="M157" s="4">
        <v>2.4</v>
      </c>
      <c r="N157" s="4">
        <v>0.30399999999999999</v>
      </c>
      <c r="O157" s="4">
        <v>0.7</v>
      </c>
      <c r="P157" s="4">
        <v>1.2</v>
      </c>
      <c r="Q157" s="4">
        <v>0.59099999999999997</v>
      </c>
      <c r="R157" s="4">
        <v>0.1</v>
      </c>
      <c r="S157" s="4">
        <v>0.2</v>
      </c>
      <c r="T157" s="4">
        <v>0.25</v>
      </c>
      <c r="U157" s="4">
        <v>0.4</v>
      </c>
      <c r="V157" s="4">
        <v>2.7</v>
      </c>
      <c r="W157" s="4">
        <v>1.2</v>
      </c>
      <c r="X157" s="4">
        <v>0.3</v>
      </c>
      <c r="Y157" s="4">
        <v>0.6</v>
      </c>
      <c r="Z157" s="4">
        <v>0.5</v>
      </c>
      <c r="AA157" s="4">
        <v>0.9</v>
      </c>
      <c r="AB157" s="4">
        <v>3.6</v>
      </c>
      <c r="AC157" s="10">
        <f t="shared" si="14"/>
        <v>0.85959885386819479</v>
      </c>
      <c r="AD157" s="10">
        <f t="shared" si="15"/>
        <v>0.66666666666666663</v>
      </c>
      <c r="AE157" s="12">
        <f>100*(AC157/TOTAL_BASIC!$D$302)</f>
        <v>89.386910987172669</v>
      </c>
      <c r="AF157" s="9"/>
      <c r="AG157" s="9"/>
      <c r="AH157" s="12">
        <f t="shared" si="16"/>
        <v>95.6</v>
      </c>
      <c r="AI157" s="12">
        <f t="shared" si="17"/>
        <v>26.200000000000003</v>
      </c>
      <c r="AJ157" s="12">
        <f t="shared" si="18"/>
        <v>17.399999999999999</v>
      </c>
      <c r="AK157" s="12">
        <f t="shared" si="19"/>
        <v>29.5</v>
      </c>
      <c r="AL157" s="12">
        <f t="shared" si="20"/>
        <v>0.5</v>
      </c>
    </row>
    <row r="158" spans="1:38" ht="15.75" customHeight="1" x14ac:dyDescent="0.25">
      <c r="A158" s="1" t="s">
        <v>202</v>
      </c>
      <c r="B158" s="7" t="s">
        <v>117</v>
      </c>
      <c r="C158" s="4" t="s">
        <v>85</v>
      </c>
      <c r="D158" s="4">
        <v>28</v>
      </c>
      <c r="E158" s="4">
        <v>270</v>
      </c>
      <c r="F158" s="4">
        <v>28</v>
      </c>
      <c r="G158" s="4">
        <v>0</v>
      </c>
      <c r="H158" s="4">
        <v>9.6</v>
      </c>
      <c r="I158" s="4">
        <v>0.7</v>
      </c>
      <c r="J158" s="4">
        <v>2.5</v>
      </c>
      <c r="K158" s="4">
        <v>0.27500000000000002</v>
      </c>
      <c r="L158" s="4">
        <v>0.4</v>
      </c>
      <c r="M158" s="4">
        <v>1.8</v>
      </c>
      <c r="N158" s="4">
        <v>0.24</v>
      </c>
      <c r="O158" s="4">
        <v>0.3</v>
      </c>
      <c r="P158" s="4">
        <v>0.7</v>
      </c>
      <c r="Q158" s="4">
        <v>0.36799999999999999</v>
      </c>
      <c r="R158" s="4">
        <v>0.1</v>
      </c>
      <c r="S158" s="4">
        <v>0.1</v>
      </c>
      <c r="T158" s="4">
        <v>0.75</v>
      </c>
      <c r="U158" s="4">
        <v>0.4</v>
      </c>
      <c r="V158" s="4">
        <v>1.4</v>
      </c>
      <c r="W158" s="4">
        <v>0.6</v>
      </c>
      <c r="X158" s="4">
        <v>0.2</v>
      </c>
      <c r="Y158" s="4">
        <v>0.4</v>
      </c>
      <c r="Z158" s="4">
        <v>0.5</v>
      </c>
      <c r="AA158" s="4">
        <v>1</v>
      </c>
      <c r="AB158" s="4">
        <v>1.9</v>
      </c>
      <c r="AC158" s="10">
        <f t="shared" si="14"/>
        <v>0.62417871222076216</v>
      </c>
      <c r="AD158" s="10">
        <f t="shared" si="15"/>
        <v>0.4</v>
      </c>
      <c r="AE158" s="12">
        <f>100*(AC158/TOTAL_BASIC!$D$302)</f>
        <v>64.906330130961678</v>
      </c>
      <c r="AF158" s="9"/>
      <c r="AG158" s="9"/>
      <c r="AH158" s="12">
        <f t="shared" si="16"/>
        <v>86.3</v>
      </c>
      <c r="AI158" s="12">
        <f t="shared" si="17"/>
        <v>1.6</v>
      </c>
      <c r="AJ158" s="12">
        <f t="shared" si="18"/>
        <v>1.6</v>
      </c>
      <c r="AK158" s="12">
        <f t="shared" si="19"/>
        <v>7.6</v>
      </c>
      <c r="AL158" s="12">
        <f t="shared" si="20"/>
        <v>34.4</v>
      </c>
    </row>
    <row r="159" spans="1:38" ht="15.75" customHeight="1" x14ac:dyDescent="0.25">
      <c r="A159" s="1" t="s">
        <v>222</v>
      </c>
      <c r="B159" s="7" t="s">
        <v>240</v>
      </c>
      <c r="C159" s="4" t="s">
        <v>8</v>
      </c>
      <c r="D159" s="4">
        <v>25</v>
      </c>
      <c r="E159" s="4">
        <v>257</v>
      </c>
      <c r="F159" s="4">
        <v>25</v>
      </c>
      <c r="G159" s="4">
        <v>2</v>
      </c>
      <c r="H159" s="4">
        <v>10.3</v>
      </c>
      <c r="I159" s="4">
        <v>1.4</v>
      </c>
      <c r="J159" s="4">
        <v>3</v>
      </c>
      <c r="K159" s="4">
        <v>0.45900000000000002</v>
      </c>
      <c r="L159" s="4">
        <v>0.3</v>
      </c>
      <c r="M159" s="4">
        <v>1</v>
      </c>
      <c r="N159" s="4">
        <v>0.26900000000000002</v>
      </c>
      <c r="O159" s="4">
        <v>1.1000000000000001</v>
      </c>
      <c r="P159" s="4">
        <v>1.9</v>
      </c>
      <c r="Q159" s="4">
        <v>0.56299999999999994</v>
      </c>
      <c r="R159" s="4">
        <v>0.4</v>
      </c>
      <c r="S159" s="4">
        <v>0.6</v>
      </c>
      <c r="T159" s="4">
        <v>0.64300000000000002</v>
      </c>
      <c r="U159" s="4">
        <v>0.1</v>
      </c>
      <c r="V159" s="4">
        <v>0.8</v>
      </c>
      <c r="W159" s="4">
        <v>2</v>
      </c>
      <c r="X159" s="4">
        <v>0.4</v>
      </c>
      <c r="Y159" s="4">
        <v>0.1</v>
      </c>
      <c r="Z159" s="4">
        <v>0.8</v>
      </c>
      <c r="AA159" s="4">
        <v>0.8</v>
      </c>
      <c r="AB159" s="4">
        <v>3.4</v>
      </c>
      <c r="AC159" s="10">
        <f t="shared" si="14"/>
        <v>0.83661417322834641</v>
      </c>
      <c r="AD159" s="10">
        <f t="shared" si="15"/>
        <v>0.125</v>
      </c>
      <c r="AE159" s="12">
        <f>100*(AC159/TOTAL_BASIC!$D$302)</f>
        <v>86.996808216354239</v>
      </c>
      <c r="AF159" s="9"/>
      <c r="AG159" s="9"/>
      <c r="AH159" s="12">
        <f t="shared" si="16"/>
        <v>44.2</v>
      </c>
      <c r="AI159" s="12">
        <f t="shared" si="17"/>
        <v>21.3</v>
      </c>
      <c r="AJ159" s="12">
        <f t="shared" si="18"/>
        <v>14.7</v>
      </c>
      <c r="AK159" s="12">
        <f t="shared" si="19"/>
        <v>10.299999999999999</v>
      </c>
      <c r="AL159" s="12">
        <f t="shared" si="20"/>
        <v>11.4</v>
      </c>
    </row>
    <row r="160" spans="1:38" ht="15.75" customHeight="1" x14ac:dyDescent="0.25">
      <c r="A160" s="1" t="s">
        <v>270</v>
      </c>
      <c r="B160" s="7" t="s">
        <v>84</v>
      </c>
      <c r="C160" s="4" t="s">
        <v>8</v>
      </c>
      <c r="D160" s="4">
        <v>20</v>
      </c>
      <c r="E160" s="4">
        <v>243</v>
      </c>
      <c r="F160" s="4">
        <v>20</v>
      </c>
      <c r="G160" s="4">
        <v>0</v>
      </c>
      <c r="H160" s="4">
        <v>12.2</v>
      </c>
      <c r="I160" s="4">
        <v>1.3</v>
      </c>
      <c r="J160" s="4">
        <v>3.1</v>
      </c>
      <c r="K160" s="4">
        <v>0.40300000000000002</v>
      </c>
      <c r="L160" s="4">
        <v>0.6</v>
      </c>
      <c r="M160" s="4">
        <v>1.9</v>
      </c>
      <c r="N160" s="4">
        <v>0.32400000000000001</v>
      </c>
      <c r="O160" s="4">
        <v>0.7</v>
      </c>
      <c r="P160" s="4">
        <v>1.3</v>
      </c>
      <c r="Q160" s="4">
        <v>0.52</v>
      </c>
      <c r="R160" s="4">
        <v>0.8</v>
      </c>
      <c r="S160" s="4">
        <v>1.3</v>
      </c>
      <c r="T160" s="4">
        <v>0.64</v>
      </c>
      <c r="U160" s="4">
        <v>0.3</v>
      </c>
      <c r="V160" s="4">
        <v>2</v>
      </c>
      <c r="W160" s="4">
        <v>1.8</v>
      </c>
      <c r="X160" s="4">
        <v>0.2</v>
      </c>
      <c r="Y160" s="4">
        <v>0</v>
      </c>
      <c r="Z160" s="4">
        <v>1.1000000000000001</v>
      </c>
      <c r="AA160" s="4">
        <v>0.8</v>
      </c>
      <c r="AB160" s="4">
        <v>3.9</v>
      </c>
      <c r="AC160" s="10">
        <f t="shared" si="14"/>
        <v>0.8172673931265716</v>
      </c>
      <c r="AD160" s="10">
        <f t="shared" si="15"/>
        <v>0</v>
      </c>
      <c r="AE160" s="12">
        <f>100*(AC160/TOTAL_BASIC!$D$302)</f>
        <v>84.984998983403685</v>
      </c>
      <c r="AF160" s="9"/>
      <c r="AG160" s="9"/>
      <c r="AH160" s="12">
        <f t="shared" si="16"/>
        <v>0</v>
      </c>
      <c r="AI160" s="12">
        <f t="shared" si="17"/>
        <v>16.3</v>
      </c>
      <c r="AJ160" s="12">
        <f t="shared" si="18"/>
        <v>20.7</v>
      </c>
      <c r="AK160" s="12">
        <f>(PERCENTRANK(H$3:H$298,H160))*100</f>
        <v>18.5</v>
      </c>
      <c r="AL160" s="12">
        <f t="shared" si="20"/>
        <v>10.9</v>
      </c>
    </row>
    <row r="161" spans="1:38" ht="15.75" customHeight="1" x14ac:dyDescent="0.25">
      <c r="A161" s="1" t="s">
        <v>155</v>
      </c>
      <c r="B161" s="7" t="s">
        <v>117</v>
      </c>
      <c r="C161" s="4" t="s">
        <v>8</v>
      </c>
      <c r="D161" s="4">
        <v>13</v>
      </c>
      <c r="E161" s="4">
        <v>220</v>
      </c>
      <c r="F161" s="4">
        <v>13</v>
      </c>
      <c r="G161" s="4">
        <v>0</v>
      </c>
      <c r="H161" s="4">
        <v>16.899999999999999</v>
      </c>
      <c r="I161" s="4">
        <v>4.5999999999999996</v>
      </c>
      <c r="J161" s="4">
        <v>7.7</v>
      </c>
      <c r="K161" s="4">
        <v>0.6</v>
      </c>
      <c r="L161" s="4">
        <v>0.8</v>
      </c>
      <c r="M161" s="4">
        <v>1.6</v>
      </c>
      <c r="N161" s="4">
        <v>0.52400000000000002</v>
      </c>
      <c r="O161" s="4">
        <v>3.8</v>
      </c>
      <c r="P161" s="4">
        <v>6.1</v>
      </c>
      <c r="Q161" s="4">
        <v>0.62</v>
      </c>
      <c r="R161" s="4">
        <v>2.2000000000000002</v>
      </c>
      <c r="S161" s="4">
        <v>2.8</v>
      </c>
      <c r="T161" s="4">
        <v>0.75700000000000001</v>
      </c>
      <c r="U161" s="4">
        <v>0.7</v>
      </c>
      <c r="V161" s="4">
        <v>1.8</v>
      </c>
      <c r="W161" s="4">
        <v>1.3</v>
      </c>
      <c r="X161" s="4">
        <v>0.8</v>
      </c>
      <c r="Y161" s="4">
        <v>0.3</v>
      </c>
      <c r="Z161" s="4">
        <v>1.3</v>
      </c>
      <c r="AA161" s="4">
        <v>2.5</v>
      </c>
      <c r="AB161" s="4">
        <v>12.2</v>
      </c>
      <c r="AC161" s="10">
        <f t="shared" si="14"/>
        <v>1.1923377638780295</v>
      </c>
      <c r="AD161" s="10">
        <f t="shared" si="15"/>
        <v>0.12</v>
      </c>
      <c r="AE161" s="12">
        <f>100*(AC161/TOTAL_BASIC!$D$302)</f>
        <v>123.98735652892354</v>
      </c>
      <c r="AF161" s="9"/>
      <c r="AG161" s="9"/>
      <c r="AH161" s="12">
        <f t="shared" si="16"/>
        <v>42</v>
      </c>
      <c r="AI161" s="12">
        <f t="shared" si="17"/>
        <v>98.9</v>
      </c>
      <c r="AJ161" s="12">
        <f t="shared" si="18"/>
        <v>74.3</v>
      </c>
      <c r="AK161" s="12">
        <f t="shared" ref="AK161:AK180" si="21">(PERCENTRANK(H$3:H$298,H161))*100</f>
        <v>40.9</v>
      </c>
      <c r="AL161" s="12">
        <f t="shared" si="20"/>
        <v>36.6</v>
      </c>
    </row>
    <row r="162" spans="1:38" ht="15.75" customHeight="1" x14ac:dyDescent="0.25">
      <c r="A162" s="1" t="s">
        <v>281</v>
      </c>
      <c r="B162" s="7" t="s">
        <v>107</v>
      </c>
      <c r="C162" s="4" t="s">
        <v>8</v>
      </c>
      <c r="D162" s="4">
        <v>17</v>
      </c>
      <c r="E162" s="4">
        <v>220</v>
      </c>
      <c r="F162" s="4">
        <v>17</v>
      </c>
      <c r="G162" s="4">
        <v>0</v>
      </c>
      <c r="H162" s="4">
        <v>12.9</v>
      </c>
      <c r="I162" s="4">
        <v>1.1000000000000001</v>
      </c>
      <c r="J162" s="4">
        <v>3.2</v>
      </c>
      <c r="K162" s="4">
        <v>0.32700000000000001</v>
      </c>
      <c r="L162" s="4">
        <v>0.6</v>
      </c>
      <c r="M162" s="4">
        <v>2.4</v>
      </c>
      <c r="N162" s="4">
        <v>0.25</v>
      </c>
      <c r="O162" s="4">
        <v>0.5</v>
      </c>
      <c r="P162" s="4">
        <v>0.9</v>
      </c>
      <c r="Q162" s="4">
        <v>0.53300000000000003</v>
      </c>
      <c r="R162" s="4">
        <v>0</v>
      </c>
      <c r="S162" s="4">
        <v>0.1</v>
      </c>
      <c r="T162" s="4">
        <v>0</v>
      </c>
      <c r="U162" s="4">
        <v>0.1</v>
      </c>
      <c r="V162" s="4">
        <v>1.2</v>
      </c>
      <c r="W162" s="4">
        <v>0.7</v>
      </c>
      <c r="X162" s="4">
        <v>0.5</v>
      </c>
      <c r="Y162" s="4">
        <v>0.1</v>
      </c>
      <c r="Z162" s="4">
        <v>0.4</v>
      </c>
      <c r="AA162" s="4">
        <v>0.9</v>
      </c>
      <c r="AB162" s="4">
        <v>2.7</v>
      </c>
      <c r="AC162" s="10">
        <f t="shared" si="14"/>
        <v>0.74094401756311745</v>
      </c>
      <c r="AD162" s="10">
        <f t="shared" si="15"/>
        <v>0.11111111111111112</v>
      </c>
      <c r="AE162" s="12">
        <f>100*(AC162/TOTAL_BASIC!$D$302)</f>
        <v>77.048377445309924</v>
      </c>
      <c r="AF162" s="9"/>
      <c r="AG162" s="9"/>
      <c r="AH162" s="12">
        <f t="shared" si="16"/>
        <v>40.400000000000006</v>
      </c>
      <c r="AI162" s="12">
        <f t="shared" si="17"/>
        <v>5.4</v>
      </c>
      <c r="AJ162" s="12">
        <f t="shared" si="18"/>
        <v>7.1</v>
      </c>
      <c r="AK162" s="12">
        <f t="shared" si="21"/>
        <v>20.200000000000003</v>
      </c>
      <c r="AL162" s="12">
        <f t="shared" si="20"/>
        <v>0</v>
      </c>
    </row>
    <row r="163" spans="1:38" ht="15.75" customHeight="1" x14ac:dyDescent="0.25">
      <c r="A163" s="1" t="s">
        <v>242</v>
      </c>
      <c r="B163" s="7" t="s">
        <v>84</v>
      </c>
      <c r="C163" s="4" t="s">
        <v>85</v>
      </c>
      <c r="D163" s="4">
        <v>13</v>
      </c>
      <c r="E163" s="4">
        <v>218</v>
      </c>
      <c r="F163" s="4">
        <v>13</v>
      </c>
      <c r="G163" s="4">
        <v>5</v>
      </c>
      <c r="H163" s="4">
        <v>16.8</v>
      </c>
      <c r="I163" s="4">
        <v>3.5</v>
      </c>
      <c r="J163" s="4">
        <v>7.5</v>
      </c>
      <c r="K163" s="4">
        <v>0.45900000000000002</v>
      </c>
      <c r="L163" s="4">
        <v>1.5</v>
      </c>
      <c r="M163" s="4">
        <v>4</v>
      </c>
      <c r="N163" s="4">
        <v>0.38500000000000001</v>
      </c>
      <c r="O163" s="4">
        <v>1.9</v>
      </c>
      <c r="P163" s="4">
        <v>3.5</v>
      </c>
      <c r="Q163" s="4">
        <v>0.54300000000000004</v>
      </c>
      <c r="R163" s="4">
        <v>1.9</v>
      </c>
      <c r="S163" s="4">
        <v>2.2000000000000002</v>
      </c>
      <c r="T163" s="4">
        <v>0.86199999999999999</v>
      </c>
      <c r="U163" s="4">
        <v>0.4</v>
      </c>
      <c r="V163" s="4">
        <v>2.8</v>
      </c>
      <c r="W163" s="4">
        <v>1.9</v>
      </c>
      <c r="X163" s="4">
        <v>0.1</v>
      </c>
      <c r="Y163" s="4">
        <v>0.2</v>
      </c>
      <c r="Z163" s="4">
        <v>1.7</v>
      </c>
      <c r="AA163" s="4">
        <v>2.6</v>
      </c>
      <c r="AB163" s="4">
        <v>10.4</v>
      </c>
      <c r="AC163" s="10">
        <f t="shared" si="14"/>
        <v>1.0228166797797011</v>
      </c>
      <c r="AD163" s="10">
        <f t="shared" si="15"/>
        <v>7.6923076923076927E-2</v>
      </c>
      <c r="AE163" s="12">
        <f>100*(AC163/TOTAL_BASIC!$D$302)</f>
        <v>106.35940601856871</v>
      </c>
      <c r="AF163" s="9"/>
      <c r="AG163" s="9"/>
      <c r="AH163" s="12">
        <f t="shared" si="16"/>
        <v>26.700000000000003</v>
      </c>
      <c r="AI163" s="12">
        <f t="shared" si="17"/>
        <v>77</v>
      </c>
      <c r="AJ163" s="12">
        <f t="shared" si="18"/>
        <v>66.600000000000009</v>
      </c>
      <c r="AK163" s="12">
        <f t="shared" si="21"/>
        <v>40.400000000000006</v>
      </c>
      <c r="AL163" s="12">
        <f t="shared" si="20"/>
        <v>77</v>
      </c>
    </row>
    <row r="164" spans="1:38" ht="15.75" customHeight="1" x14ac:dyDescent="0.25">
      <c r="A164" s="1" t="s">
        <v>279</v>
      </c>
      <c r="B164" s="7" t="s">
        <v>232</v>
      </c>
      <c r="C164" s="4" t="s">
        <v>8</v>
      </c>
      <c r="D164" s="4">
        <v>15</v>
      </c>
      <c r="E164" s="4">
        <v>210</v>
      </c>
      <c r="F164" s="4">
        <v>15</v>
      </c>
      <c r="G164" s="4">
        <v>2</v>
      </c>
      <c r="H164" s="4">
        <v>14</v>
      </c>
      <c r="I164" s="4">
        <v>1.7</v>
      </c>
      <c r="J164" s="4">
        <v>3.9</v>
      </c>
      <c r="K164" s="4">
        <v>0.43099999999999999</v>
      </c>
      <c r="L164" s="4">
        <v>0.4</v>
      </c>
      <c r="M164" s="4">
        <v>1.4</v>
      </c>
      <c r="N164" s="4">
        <v>0.28599999999999998</v>
      </c>
      <c r="O164" s="4">
        <v>1.3</v>
      </c>
      <c r="P164" s="4">
        <v>2.5</v>
      </c>
      <c r="Q164" s="4">
        <v>0.51400000000000001</v>
      </c>
      <c r="R164" s="4">
        <v>1.3</v>
      </c>
      <c r="S164" s="4">
        <v>1.7</v>
      </c>
      <c r="T164" s="4">
        <v>0.73099999999999998</v>
      </c>
      <c r="U164" s="4">
        <v>0.5</v>
      </c>
      <c r="V164" s="4">
        <v>1.7</v>
      </c>
      <c r="W164" s="4">
        <v>3.8</v>
      </c>
      <c r="X164" s="4">
        <v>0.7</v>
      </c>
      <c r="Y164" s="4">
        <v>0.1</v>
      </c>
      <c r="Z164" s="4">
        <v>2.1</v>
      </c>
      <c r="AA164" s="4">
        <v>2.2000000000000002</v>
      </c>
      <c r="AB164" s="4">
        <v>5</v>
      </c>
      <c r="AC164" s="10">
        <f t="shared" si="14"/>
        <v>0.74096028452874929</v>
      </c>
      <c r="AD164" s="10">
        <f t="shared" si="15"/>
        <v>4.5454545454545456E-2</v>
      </c>
      <c r="AE164" s="12">
        <f>100*(AC164/TOTAL_BASIC!$D$302)</f>
        <v>77.050068994574346</v>
      </c>
      <c r="AF164" s="9"/>
      <c r="AG164" s="9"/>
      <c r="AH164" s="12">
        <f t="shared" si="16"/>
        <v>14.7</v>
      </c>
      <c r="AI164" s="12">
        <f t="shared" si="17"/>
        <v>6</v>
      </c>
      <c r="AJ164" s="12">
        <f t="shared" si="18"/>
        <v>31.1</v>
      </c>
      <c r="AK164" s="12">
        <f t="shared" si="21"/>
        <v>27.3</v>
      </c>
      <c r="AL164" s="12">
        <f t="shared" si="20"/>
        <v>31.1</v>
      </c>
    </row>
    <row r="165" spans="1:38" ht="15.75" customHeight="1" x14ac:dyDescent="0.25">
      <c r="A165" s="1" t="s">
        <v>207</v>
      </c>
      <c r="B165" s="7" t="s">
        <v>93</v>
      </c>
      <c r="C165" s="4" t="s">
        <v>88</v>
      </c>
      <c r="D165" s="4">
        <v>19</v>
      </c>
      <c r="E165" s="4">
        <v>202</v>
      </c>
      <c r="F165" s="4">
        <v>19</v>
      </c>
      <c r="G165" s="4">
        <v>1</v>
      </c>
      <c r="H165" s="4">
        <v>10.6</v>
      </c>
      <c r="I165" s="4">
        <v>1</v>
      </c>
      <c r="J165" s="4">
        <v>3.1</v>
      </c>
      <c r="K165" s="4">
        <v>0.32800000000000001</v>
      </c>
      <c r="L165" s="4">
        <v>0.4</v>
      </c>
      <c r="M165" s="4">
        <v>1.4</v>
      </c>
      <c r="N165" s="4">
        <v>0.26900000000000002</v>
      </c>
      <c r="O165" s="4">
        <v>0.6</v>
      </c>
      <c r="P165" s="4">
        <v>1.7</v>
      </c>
      <c r="Q165" s="4">
        <v>0.375</v>
      </c>
      <c r="R165" s="4">
        <v>0.6</v>
      </c>
      <c r="S165" s="4">
        <v>0.9</v>
      </c>
      <c r="T165" s="4">
        <v>0.70599999999999996</v>
      </c>
      <c r="U165" s="4">
        <v>0.7</v>
      </c>
      <c r="V165" s="4">
        <v>2.4</v>
      </c>
      <c r="W165" s="4">
        <v>0.6</v>
      </c>
      <c r="X165" s="4">
        <v>0.5</v>
      </c>
      <c r="Y165" s="4">
        <v>0.7</v>
      </c>
      <c r="Z165" s="4">
        <v>0.6</v>
      </c>
      <c r="AA165" s="4">
        <v>1.6</v>
      </c>
      <c r="AB165" s="4">
        <v>3</v>
      </c>
      <c r="AC165" s="10">
        <f t="shared" si="14"/>
        <v>0.732421875</v>
      </c>
      <c r="AD165" s="10">
        <f t="shared" si="15"/>
        <v>0.43749999999999994</v>
      </c>
      <c r="AE165" s="12">
        <f>100*(AC165/TOTAL_BASIC!$D$302)</f>
        <v>76.162187340144683</v>
      </c>
      <c r="AF165" s="9"/>
      <c r="AG165" s="9"/>
      <c r="AH165" s="12">
        <f t="shared" si="16"/>
        <v>88.5</v>
      </c>
      <c r="AI165" s="12">
        <f t="shared" si="17"/>
        <v>4.9000000000000004</v>
      </c>
      <c r="AJ165" s="12">
        <f t="shared" si="18"/>
        <v>9.1999999999999993</v>
      </c>
      <c r="AK165" s="12">
        <f t="shared" si="21"/>
        <v>11.4</v>
      </c>
      <c r="AL165" s="12">
        <f t="shared" si="20"/>
        <v>21.3</v>
      </c>
    </row>
    <row r="166" spans="1:38" ht="15.75" customHeight="1" x14ac:dyDescent="0.25">
      <c r="A166" s="1" t="s">
        <v>271</v>
      </c>
      <c r="B166" s="7" t="s">
        <v>117</v>
      </c>
      <c r="C166" s="4" t="s">
        <v>8</v>
      </c>
      <c r="D166" s="4">
        <v>13</v>
      </c>
      <c r="E166" s="4">
        <v>200</v>
      </c>
      <c r="F166" s="4">
        <v>13</v>
      </c>
      <c r="G166" s="4">
        <v>1</v>
      </c>
      <c r="H166" s="4">
        <v>15.4</v>
      </c>
      <c r="I166" s="4">
        <v>1.3</v>
      </c>
      <c r="J166" s="4">
        <v>4.8</v>
      </c>
      <c r="K166" s="4">
        <v>0.27400000000000002</v>
      </c>
      <c r="L166" s="4">
        <v>0.8</v>
      </c>
      <c r="M166" s="4">
        <v>2.2999999999999998</v>
      </c>
      <c r="N166" s="4">
        <v>0.36699999999999999</v>
      </c>
      <c r="O166" s="4">
        <v>0.5</v>
      </c>
      <c r="P166" s="4">
        <v>2.5</v>
      </c>
      <c r="Q166" s="4">
        <v>0.188</v>
      </c>
      <c r="R166" s="4">
        <v>0.2</v>
      </c>
      <c r="S166" s="4">
        <v>0.5</v>
      </c>
      <c r="T166" s="4">
        <v>0.5</v>
      </c>
      <c r="U166" s="4">
        <v>0</v>
      </c>
      <c r="V166" s="4">
        <v>1.5</v>
      </c>
      <c r="W166" s="4">
        <v>2</v>
      </c>
      <c r="X166" s="4">
        <v>0.2</v>
      </c>
      <c r="Y166" s="4">
        <v>0.2</v>
      </c>
      <c r="Z166" s="4">
        <v>1.2</v>
      </c>
      <c r="AA166" s="4">
        <v>0.9</v>
      </c>
      <c r="AB166" s="4">
        <v>3.7</v>
      </c>
      <c r="AC166" s="10">
        <f t="shared" si="14"/>
        <v>0.59485530546623799</v>
      </c>
      <c r="AD166" s="10">
        <f t="shared" si="15"/>
        <v>0.22222222222222224</v>
      </c>
      <c r="AE166" s="12">
        <f>100*(AC166/TOTAL_BASIC!$D$302)</f>
        <v>61.857083685817841</v>
      </c>
      <c r="AF166" s="9"/>
      <c r="AG166" s="9"/>
      <c r="AH166" s="12">
        <f t="shared" si="16"/>
        <v>71.5</v>
      </c>
      <c r="AI166" s="12">
        <f t="shared" si="17"/>
        <v>0.5</v>
      </c>
      <c r="AJ166" s="12">
        <f t="shared" si="18"/>
        <v>18.5</v>
      </c>
      <c r="AK166" s="12">
        <f t="shared" si="21"/>
        <v>34.4</v>
      </c>
      <c r="AL166" s="12">
        <f t="shared" si="20"/>
        <v>2.1</v>
      </c>
    </row>
    <row r="167" spans="1:38" ht="15.75" customHeight="1" x14ac:dyDescent="0.25">
      <c r="A167" s="1" t="s">
        <v>280</v>
      </c>
      <c r="B167" s="7" t="s">
        <v>117</v>
      </c>
      <c r="C167" s="4" t="s">
        <v>8</v>
      </c>
      <c r="D167" s="4">
        <v>12</v>
      </c>
      <c r="E167" s="4">
        <v>188</v>
      </c>
      <c r="F167" s="4">
        <v>12</v>
      </c>
      <c r="G167" s="4">
        <v>0</v>
      </c>
      <c r="H167" s="4">
        <v>15.7</v>
      </c>
      <c r="I167" s="4">
        <v>1.8</v>
      </c>
      <c r="J167" s="4">
        <v>4.5999999999999996</v>
      </c>
      <c r="K167" s="4">
        <v>0.38200000000000001</v>
      </c>
      <c r="L167" s="4">
        <v>1.3</v>
      </c>
      <c r="M167" s="4">
        <v>3.2</v>
      </c>
      <c r="N167" s="4">
        <v>0.39500000000000002</v>
      </c>
      <c r="O167" s="4">
        <v>0.5</v>
      </c>
      <c r="P167" s="4">
        <v>1.4</v>
      </c>
      <c r="Q167" s="4">
        <v>0.35299999999999998</v>
      </c>
      <c r="R167" s="4">
        <v>0.8</v>
      </c>
      <c r="S167" s="4">
        <v>0.8</v>
      </c>
      <c r="T167" s="4">
        <v>1</v>
      </c>
      <c r="U167" s="4">
        <v>0.3</v>
      </c>
      <c r="V167" s="4">
        <v>1.2</v>
      </c>
      <c r="W167" s="4">
        <v>1.6</v>
      </c>
      <c r="X167" s="4">
        <v>0.8</v>
      </c>
      <c r="Y167" s="4">
        <v>0</v>
      </c>
      <c r="Z167" s="4">
        <v>0.5</v>
      </c>
      <c r="AA167" s="4">
        <v>1.2</v>
      </c>
      <c r="AB167" s="4">
        <v>5.5</v>
      </c>
      <c r="AC167" s="10">
        <f t="shared" si="14"/>
        <v>1.0088041085840058</v>
      </c>
      <c r="AD167" s="10">
        <f t="shared" si="15"/>
        <v>0</v>
      </c>
      <c r="AE167" s="12">
        <f>100*(AC167/TOTAL_BASIC!$D$302)</f>
        <v>104.90228395688305</v>
      </c>
      <c r="AF167" s="9"/>
      <c r="AG167" s="9"/>
      <c r="AH167" s="12">
        <f t="shared" si="16"/>
        <v>0</v>
      </c>
      <c r="AI167" s="12">
        <f t="shared" si="17"/>
        <v>72.599999999999994</v>
      </c>
      <c r="AJ167" s="12">
        <f t="shared" si="18"/>
        <v>36</v>
      </c>
      <c r="AK167" s="12">
        <f t="shared" si="21"/>
        <v>36</v>
      </c>
      <c r="AL167" s="12">
        <f t="shared" si="20"/>
        <v>97.8</v>
      </c>
    </row>
    <row r="168" spans="1:38" ht="15.75" customHeight="1" x14ac:dyDescent="0.25">
      <c r="A168" s="1" t="s">
        <v>276</v>
      </c>
      <c r="B168" s="7" t="s">
        <v>131</v>
      </c>
      <c r="C168" s="4" t="s">
        <v>94</v>
      </c>
      <c r="D168" s="4">
        <v>11</v>
      </c>
      <c r="E168" s="4">
        <v>178</v>
      </c>
      <c r="F168" s="4">
        <v>11</v>
      </c>
      <c r="G168" s="4">
        <v>0</v>
      </c>
      <c r="H168" s="4">
        <v>16.2</v>
      </c>
      <c r="I168" s="4">
        <v>2.8</v>
      </c>
      <c r="J168" s="4">
        <v>8.5</v>
      </c>
      <c r="K168" s="4">
        <v>0.33</v>
      </c>
      <c r="L168" s="4">
        <v>0.6</v>
      </c>
      <c r="M168" s="4">
        <v>2.2999999999999998</v>
      </c>
      <c r="N168" s="4">
        <v>0.28000000000000003</v>
      </c>
      <c r="O168" s="4">
        <v>2.2000000000000002</v>
      </c>
      <c r="P168" s="4">
        <v>6.3</v>
      </c>
      <c r="Q168" s="4">
        <v>0.34799999999999998</v>
      </c>
      <c r="R168" s="4">
        <v>2.5</v>
      </c>
      <c r="S168" s="4">
        <v>3.5</v>
      </c>
      <c r="T168" s="4">
        <v>0.73699999999999999</v>
      </c>
      <c r="U168" s="4">
        <v>0.5</v>
      </c>
      <c r="V168" s="4">
        <v>3.1</v>
      </c>
      <c r="W168" s="4">
        <v>0.6</v>
      </c>
      <c r="X168" s="4">
        <v>0.6</v>
      </c>
      <c r="Y168" s="4">
        <v>0.2</v>
      </c>
      <c r="Z168" s="4">
        <v>0.8</v>
      </c>
      <c r="AA168" s="4">
        <v>2</v>
      </c>
      <c r="AB168" s="4">
        <v>8.8000000000000007</v>
      </c>
      <c r="AC168" s="10">
        <f t="shared" si="14"/>
        <v>0.81180811808118092</v>
      </c>
      <c r="AD168" s="10">
        <f t="shared" si="15"/>
        <v>0.1</v>
      </c>
      <c r="AE168" s="12">
        <f>100*(AC168/TOTAL_BASIC!$D$302)</f>
        <v>84.417306587885847</v>
      </c>
      <c r="AF168" s="9"/>
      <c r="AG168" s="9"/>
      <c r="AH168" s="12">
        <f t="shared" si="16"/>
        <v>33.300000000000004</v>
      </c>
      <c r="AI168" s="12">
        <f t="shared" si="17"/>
        <v>14.7</v>
      </c>
      <c r="AJ168" s="12">
        <f t="shared" si="18"/>
        <v>57.3</v>
      </c>
      <c r="AK168" s="12">
        <f t="shared" si="21"/>
        <v>37.700000000000003</v>
      </c>
      <c r="AL168" s="12">
        <f t="shared" si="20"/>
        <v>31.6</v>
      </c>
    </row>
    <row r="169" spans="1:38" ht="15.75" customHeight="1" x14ac:dyDescent="0.25">
      <c r="A169" s="1" t="s">
        <v>260</v>
      </c>
      <c r="B169" s="7" t="s">
        <v>161</v>
      </c>
      <c r="C169" s="4" t="s">
        <v>8</v>
      </c>
      <c r="D169" s="4">
        <v>19</v>
      </c>
      <c r="E169" s="4">
        <v>178</v>
      </c>
      <c r="F169" s="4">
        <v>19</v>
      </c>
      <c r="G169" s="4">
        <v>1</v>
      </c>
      <c r="H169" s="4">
        <v>9.4</v>
      </c>
      <c r="I169" s="4">
        <v>1</v>
      </c>
      <c r="J169" s="4">
        <v>2.9</v>
      </c>
      <c r="K169" s="4">
        <v>0.34499999999999997</v>
      </c>
      <c r="L169" s="4">
        <v>0.4</v>
      </c>
      <c r="M169" s="4">
        <v>1.4</v>
      </c>
      <c r="N169" s="4">
        <v>0.308</v>
      </c>
      <c r="O169" s="4">
        <v>0.6</v>
      </c>
      <c r="P169" s="4">
        <v>1.5</v>
      </c>
      <c r="Q169" s="4">
        <v>0.379</v>
      </c>
      <c r="R169" s="4">
        <v>0.7</v>
      </c>
      <c r="S169" s="4">
        <v>0.9</v>
      </c>
      <c r="T169" s="4">
        <v>0.77800000000000002</v>
      </c>
      <c r="U169" s="4">
        <v>0.3</v>
      </c>
      <c r="V169" s="4">
        <v>0.8</v>
      </c>
      <c r="W169" s="4">
        <v>1.2</v>
      </c>
      <c r="X169" s="4">
        <v>0.2</v>
      </c>
      <c r="Y169" s="4">
        <v>0</v>
      </c>
      <c r="Z169" s="4">
        <v>0.7</v>
      </c>
      <c r="AA169" s="4">
        <v>1.7</v>
      </c>
      <c r="AB169" s="4">
        <v>3.2</v>
      </c>
      <c r="AC169" s="10">
        <f t="shared" si="14"/>
        <v>0.80080080080080096</v>
      </c>
      <c r="AD169" s="10">
        <f t="shared" si="15"/>
        <v>0</v>
      </c>
      <c r="AE169" s="12">
        <f>100*(AC169/TOTAL_BASIC!$D$302)</f>
        <v>83.2726911832453</v>
      </c>
      <c r="AF169" s="9"/>
      <c r="AG169" s="9"/>
      <c r="AH169" s="12">
        <f t="shared" si="16"/>
        <v>0</v>
      </c>
      <c r="AI169" s="12">
        <f t="shared" si="17"/>
        <v>13.600000000000001</v>
      </c>
      <c r="AJ169" s="12">
        <f t="shared" si="18"/>
        <v>11.4</v>
      </c>
      <c r="AK169" s="12">
        <f t="shared" si="21"/>
        <v>6.5</v>
      </c>
      <c r="AL169" s="12">
        <f t="shared" si="20"/>
        <v>41.5</v>
      </c>
    </row>
    <row r="170" spans="1:38" ht="15.75" customHeight="1" x14ac:dyDescent="0.25">
      <c r="A170" s="1" t="s">
        <v>261</v>
      </c>
      <c r="B170" s="7" t="s">
        <v>128</v>
      </c>
      <c r="C170" s="4" t="s">
        <v>85</v>
      </c>
      <c r="D170" s="4">
        <v>34</v>
      </c>
      <c r="E170" s="4">
        <v>173</v>
      </c>
      <c r="F170" s="4">
        <v>34</v>
      </c>
      <c r="G170" s="4">
        <v>1</v>
      </c>
      <c r="H170" s="4">
        <v>5.0999999999999996</v>
      </c>
      <c r="I170" s="4">
        <v>0.6</v>
      </c>
      <c r="J170" s="4">
        <v>1.8</v>
      </c>
      <c r="K170" s="4">
        <v>0.34399999999999997</v>
      </c>
      <c r="L170" s="4">
        <v>0.2</v>
      </c>
      <c r="M170" s="4">
        <v>0.9</v>
      </c>
      <c r="N170" s="4">
        <v>0.20699999999999999</v>
      </c>
      <c r="O170" s="4">
        <v>0.4</v>
      </c>
      <c r="P170" s="4">
        <v>0.9</v>
      </c>
      <c r="Q170" s="4">
        <v>0.46899999999999997</v>
      </c>
      <c r="R170" s="4">
        <v>0.4</v>
      </c>
      <c r="S170" s="4">
        <v>0.6</v>
      </c>
      <c r="T170" s="4">
        <v>0.71399999999999997</v>
      </c>
      <c r="U170" s="4">
        <v>0.4</v>
      </c>
      <c r="V170" s="4">
        <v>1.1000000000000001</v>
      </c>
      <c r="W170" s="4">
        <v>0.2</v>
      </c>
      <c r="X170" s="4">
        <v>0.1</v>
      </c>
      <c r="Y170" s="4">
        <v>0</v>
      </c>
      <c r="Z170" s="4">
        <v>0.3</v>
      </c>
      <c r="AA170" s="4">
        <v>1</v>
      </c>
      <c r="AB170" s="4">
        <v>1.9</v>
      </c>
      <c r="AC170" s="10">
        <f t="shared" si="14"/>
        <v>0.80372250423011848</v>
      </c>
      <c r="AD170" s="10">
        <f t="shared" si="15"/>
        <v>0</v>
      </c>
      <c r="AE170" s="12">
        <f>100*(AC170/TOTAL_BASIC!$D$302)</f>
        <v>83.576509694859283</v>
      </c>
      <c r="AF170" s="9"/>
      <c r="AG170" s="9"/>
      <c r="AH170" s="12">
        <f t="shared" si="16"/>
        <v>0</v>
      </c>
      <c r="AI170" s="12">
        <f t="shared" si="17"/>
        <v>14.2</v>
      </c>
      <c r="AJ170" s="12">
        <f t="shared" si="18"/>
        <v>1.6</v>
      </c>
      <c r="AK170" s="12">
        <f t="shared" si="21"/>
        <v>0</v>
      </c>
      <c r="AL170" s="12">
        <f t="shared" si="20"/>
        <v>22.900000000000002</v>
      </c>
    </row>
    <row r="171" spans="1:38" ht="15.75" customHeight="1" x14ac:dyDescent="0.25">
      <c r="A171" s="1" t="s">
        <v>284</v>
      </c>
      <c r="B171" s="7" t="s">
        <v>161</v>
      </c>
      <c r="C171" s="4" t="s">
        <v>85</v>
      </c>
      <c r="D171" s="4">
        <v>12</v>
      </c>
      <c r="E171" s="4">
        <v>168</v>
      </c>
      <c r="F171" s="4">
        <v>12</v>
      </c>
      <c r="G171" s="4">
        <v>0</v>
      </c>
      <c r="H171" s="4">
        <v>14</v>
      </c>
      <c r="I171" s="4">
        <v>1.2</v>
      </c>
      <c r="J171" s="4">
        <v>2.2999999999999998</v>
      </c>
      <c r="K171" s="4">
        <v>0.5</v>
      </c>
      <c r="L171" s="4">
        <v>0.4</v>
      </c>
      <c r="M171" s="4">
        <v>0.9</v>
      </c>
      <c r="N171" s="4">
        <v>0.45500000000000002</v>
      </c>
      <c r="O171" s="4">
        <v>0.8</v>
      </c>
      <c r="P171" s="4">
        <v>1.4</v>
      </c>
      <c r="Q171" s="4">
        <v>0.52900000000000003</v>
      </c>
      <c r="R171" s="4">
        <v>0.5</v>
      </c>
      <c r="S171" s="4">
        <v>0.6</v>
      </c>
      <c r="T171" s="4">
        <v>0.85699999999999998</v>
      </c>
      <c r="U171" s="4">
        <v>0.8</v>
      </c>
      <c r="V171" s="4">
        <v>1.9</v>
      </c>
      <c r="W171" s="4">
        <v>1.1000000000000001</v>
      </c>
      <c r="X171" s="4">
        <v>0.2</v>
      </c>
      <c r="Y171" s="4">
        <v>0</v>
      </c>
      <c r="Z171" s="4">
        <v>0.3</v>
      </c>
      <c r="AA171" s="4">
        <v>3.3</v>
      </c>
      <c r="AB171" s="4">
        <v>3.3</v>
      </c>
      <c r="AC171" s="10">
        <f t="shared" si="14"/>
        <v>1.1522346368715084</v>
      </c>
      <c r="AD171" s="10">
        <f t="shared" si="15"/>
        <v>0</v>
      </c>
      <c r="AE171" s="12">
        <f>100*(AC171/TOTAL_BASIC!$D$302)</f>
        <v>119.8171617596913</v>
      </c>
      <c r="AF171" s="9"/>
      <c r="AG171" s="9"/>
      <c r="AH171" s="12">
        <f t="shared" si="16"/>
        <v>0</v>
      </c>
      <c r="AI171" s="12">
        <f t="shared" si="17"/>
        <v>96.7</v>
      </c>
      <c r="AJ171" s="12">
        <f t="shared" si="18"/>
        <v>13.100000000000001</v>
      </c>
      <c r="AK171" s="12">
        <f t="shared" si="21"/>
        <v>27.3</v>
      </c>
      <c r="AL171" s="12">
        <f t="shared" si="20"/>
        <v>73.7</v>
      </c>
    </row>
    <row r="172" spans="1:38" ht="15.75" customHeight="1" x14ac:dyDescent="0.25">
      <c r="A172" s="1" t="s">
        <v>265</v>
      </c>
      <c r="B172" s="7" t="s">
        <v>93</v>
      </c>
      <c r="C172" s="4" t="s">
        <v>85</v>
      </c>
      <c r="D172" s="4">
        <v>18</v>
      </c>
      <c r="E172" s="4">
        <v>163</v>
      </c>
      <c r="F172" s="4">
        <v>18</v>
      </c>
      <c r="G172" s="4">
        <v>0</v>
      </c>
      <c r="H172" s="4">
        <v>9.1</v>
      </c>
      <c r="I172" s="4">
        <v>1.2</v>
      </c>
      <c r="J172" s="4">
        <v>2.8</v>
      </c>
      <c r="K172" s="4">
        <v>0.44</v>
      </c>
      <c r="L172" s="4">
        <v>0.3</v>
      </c>
      <c r="M172" s="4">
        <v>0.9</v>
      </c>
      <c r="N172" s="4">
        <v>0.29399999999999998</v>
      </c>
      <c r="O172" s="4">
        <v>0.9</v>
      </c>
      <c r="P172" s="4">
        <v>1.8</v>
      </c>
      <c r="Q172" s="4">
        <v>0.51500000000000001</v>
      </c>
      <c r="R172" s="4">
        <v>0.6</v>
      </c>
      <c r="S172" s="4">
        <v>0.9</v>
      </c>
      <c r="T172" s="4">
        <v>0.68799999999999994</v>
      </c>
      <c r="U172" s="4">
        <v>0.5</v>
      </c>
      <c r="V172" s="4">
        <v>1.4</v>
      </c>
      <c r="W172" s="4">
        <v>0.4</v>
      </c>
      <c r="X172" s="4">
        <v>0.2</v>
      </c>
      <c r="Y172" s="4">
        <v>0.1</v>
      </c>
      <c r="Z172" s="4">
        <v>0.6</v>
      </c>
      <c r="AA172" s="4">
        <v>1.9</v>
      </c>
      <c r="AB172" s="4">
        <v>3.3</v>
      </c>
      <c r="AC172" s="10">
        <f t="shared" si="14"/>
        <v>0.86933614330874609</v>
      </c>
      <c r="AD172" s="10">
        <f t="shared" si="15"/>
        <v>5.2631578947368425E-2</v>
      </c>
      <c r="AE172" s="12">
        <f>100*(AC172/TOTAL_BASIC!$D$302)</f>
        <v>90.399460294983115</v>
      </c>
      <c r="AF172" s="9"/>
      <c r="AG172" s="9"/>
      <c r="AH172" s="12">
        <f t="shared" si="16"/>
        <v>16.900000000000002</v>
      </c>
      <c r="AI172" s="12">
        <f t="shared" si="17"/>
        <v>31.1</v>
      </c>
      <c r="AJ172" s="12">
        <f t="shared" si="18"/>
        <v>13.100000000000001</v>
      </c>
      <c r="AK172" s="12">
        <f t="shared" si="21"/>
        <v>4.3</v>
      </c>
      <c r="AL172" s="12">
        <f t="shared" si="20"/>
        <v>20.200000000000003</v>
      </c>
    </row>
    <row r="173" spans="1:38" ht="15.75" customHeight="1" x14ac:dyDescent="0.25">
      <c r="A173" s="1" t="s">
        <v>285</v>
      </c>
      <c r="B173" s="7" t="s">
        <v>137</v>
      </c>
      <c r="C173" s="4" t="s">
        <v>8</v>
      </c>
      <c r="D173" s="4">
        <v>10</v>
      </c>
      <c r="E173" s="4">
        <v>159</v>
      </c>
      <c r="F173" s="4">
        <v>10</v>
      </c>
      <c r="G173" s="4">
        <v>1</v>
      </c>
      <c r="H173" s="4">
        <v>15.9</v>
      </c>
      <c r="I173" s="4">
        <v>1.9</v>
      </c>
      <c r="J173" s="4">
        <v>3.7</v>
      </c>
      <c r="K173" s="4">
        <v>0.51400000000000001</v>
      </c>
      <c r="L173" s="4">
        <v>0.2</v>
      </c>
      <c r="M173" s="4">
        <v>0.8</v>
      </c>
      <c r="N173" s="4">
        <v>0.25</v>
      </c>
      <c r="O173" s="4">
        <v>1.7</v>
      </c>
      <c r="P173" s="4">
        <v>2.9</v>
      </c>
      <c r="Q173" s="4">
        <v>0.58599999999999997</v>
      </c>
      <c r="R173" s="4">
        <v>1</v>
      </c>
      <c r="S173" s="4">
        <v>1.4</v>
      </c>
      <c r="T173" s="4">
        <v>0.71399999999999997</v>
      </c>
      <c r="U173" s="4">
        <v>0.2</v>
      </c>
      <c r="V173" s="4">
        <v>1.2</v>
      </c>
      <c r="W173" s="4">
        <v>2.6</v>
      </c>
      <c r="X173" s="4">
        <v>1</v>
      </c>
      <c r="Y173" s="4">
        <v>0.1</v>
      </c>
      <c r="Z173" s="4">
        <v>1.7</v>
      </c>
      <c r="AA173" s="4">
        <v>1.7</v>
      </c>
      <c r="AB173" s="4">
        <v>5</v>
      </c>
      <c r="AC173" s="10">
        <f t="shared" si="14"/>
        <v>0.8311170212765957</v>
      </c>
      <c r="AD173" s="10">
        <f t="shared" si="15"/>
        <v>5.8823529411764712E-2</v>
      </c>
      <c r="AE173" s="12">
        <f>100*(AC173/TOTAL_BASIC!$D$302)</f>
        <v>86.425177123568432</v>
      </c>
      <c r="AF173" s="9"/>
      <c r="AG173" s="9"/>
      <c r="AH173" s="12">
        <f t="shared" si="16"/>
        <v>19.100000000000001</v>
      </c>
      <c r="AI173" s="12">
        <f t="shared" si="17"/>
        <v>19.100000000000001</v>
      </c>
      <c r="AJ173" s="12">
        <f t="shared" si="18"/>
        <v>31.1</v>
      </c>
      <c r="AK173" s="12">
        <f t="shared" si="21"/>
        <v>36.6</v>
      </c>
      <c r="AL173" s="12">
        <f t="shared" si="20"/>
        <v>22.900000000000002</v>
      </c>
    </row>
    <row r="174" spans="1:38" ht="15.75" customHeight="1" x14ac:dyDescent="0.25">
      <c r="A174" s="1" t="s">
        <v>288</v>
      </c>
      <c r="B174" s="7" t="s">
        <v>114</v>
      </c>
      <c r="C174" s="4" t="s">
        <v>94</v>
      </c>
      <c r="D174" s="4">
        <v>16</v>
      </c>
      <c r="E174" s="4">
        <v>153</v>
      </c>
      <c r="F174" s="4">
        <v>16</v>
      </c>
      <c r="G174" s="4">
        <v>0</v>
      </c>
      <c r="H174" s="4">
        <v>9.6</v>
      </c>
      <c r="I174" s="4">
        <v>0.6</v>
      </c>
      <c r="J174" s="4">
        <v>1.9</v>
      </c>
      <c r="K174" s="4">
        <v>0.33300000000000002</v>
      </c>
      <c r="L174" s="4">
        <v>0.3</v>
      </c>
      <c r="M174" s="4">
        <v>0.9</v>
      </c>
      <c r="N174" s="4">
        <v>0.33300000000000002</v>
      </c>
      <c r="O174" s="4">
        <v>0.3</v>
      </c>
      <c r="P174" s="4">
        <v>0.9</v>
      </c>
      <c r="Q174" s="4">
        <v>0.33300000000000002</v>
      </c>
      <c r="R174" s="4">
        <v>0.3</v>
      </c>
      <c r="S174" s="4">
        <v>0.4</v>
      </c>
      <c r="T174" s="4">
        <v>0.83299999999999996</v>
      </c>
      <c r="U174" s="4">
        <v>0.9</v>
      </c>
      <c r="V174" s="4">
        <v>1.8</v>
      </c>
      <c r="W174" s="4">
        <v>0.4</v>
      </c>
      <c r="X174" s="4">
        <v>0.2</v>
      </c>
      <c r="Y174" s="4">
        <v>0</v>
      </c>
      <c r="Z174" s="4">
        <v>0.2</v>
      </c>
      <c r="AA174" s="4">
        <v>0.9</v>
      </c>
      <c r="AB174" s="4">
        <v>1.9</v>
      </c>
      <c r="AC174" s="10">
        <f t="shared" si="14"/>
        <v>0.83479789103690671</v>
      </c>
      <c r="AD174" s="10">
        <f t="shared" si="15"/>
        <v>0</v>
      </c>
      <c r="AE174" s="12">
        <f>100*(AC174/TOTAL_BASIC!$D$302)</f>
        <v>86.807938892200042</v>
      </c>
      <c r="AF174" s="9"/>
      <c r="AG174" s="9"/>
      <c r="AH174" s="12">
        <f t="shared" si="16"/>
        <v>0</v>
      </c>
      <c r="AI174" s="12">
        <f t="shared" si="17"/>
        <v>20.7</v>
      </c>
      <c r="AJ174" s="12">
        <f t="shared" si="18"/>
        <v>1.6</v>
      </c>
      <c r="AK174" s="12">
        <f t="shared" si="21"/>
        <v>7.6</v>
      </c>
      <c r="AL174" s="12">
        <f t="shared" si="20"/>
        <v>63.9</v>
      </c>
    </row>
    <row r="175" spans="1:38" ht="15.75" customHeight="1" x14ac:dyDescent="0.25">
      <c r="A175" s="1" t="s">
        <v>274</v>
      </c>
      <c r="B175" s="7" t="s">
        <v>128</v>
      </c>
      <c r="C175" s="4" t="s">
        <v>85</v>
      </c>
      <c r="D175" s="4">
        <v>9</v>
      </c>
      <c r="E175" s="4">
        <v>152</v>
      </c>
      <c r="F175" s="4">
        <v>9</v>
      </c>
      <c r="G175" s="4">
        <v>0</v>
      </c>
      <c r="H175" s="4">
        <v>16.899999999999999</v>
      </c>
      <c r="I175" s="4">
        <v>3</v>
      </c>
      <c r="J175" s="4">
        <v>5.8</v>
      </c>
      <c r="K175" s="4">
        <v>0.51900000000000002</v>
      </c>
      <c r="L175" s="4">
        <v>0.1</v>
      </c>
      <c r="M175" s="4">
        <v>0.7</v>
      </c>
      <c r="N175" s="4">
        <v>0.16700000000000001</v>
      </c>
      <c r="O175" s="4">
        <v>2.9</v>
      </c>
      <c r="P175" s="4">
        <v>5.0999999999999996</v>
      </c>
      <c r="Q175" s="4">
        <v>0.56499999999999995</v>
      </c>
      <c r="R175" s="4">
        <v>2.1</v>
      </c>
      <c r="S175" s="4">
        <v>2.2999999999999998</v>
      </c>
      <c r="T175" s="4">
        <v>0.90500000000000003</v>
      </c>
      <c r="U175" s="4">
        <v>2</v>
      </c>
      <c r="V175" s="4">
        <v>5.6</v>
      </c>
      <c r="W175" s="4">
        <v>2</v>
      </c>
      <c r="X175" s="4">
        <v>0.3</v>
      </c>
      <c r="Y175" s="4">
        <v>0.7</v>
      </c>
      <c r="Z175" s="4">
        <v>1</v>
      </c>
      <c r="AA175" s="4">
        <v>2.4</v>
      </c>
      <c r="AB175" s="4">
        <v>8.1999999999999993</v>
      </c>
      <c r="AC175" s="10">
        <f t="shared" si="14"/>
        <v>1.0496671786994367</v>
      </c>
      <c r="AD175" s="10">
        <f t="shared" si="15"/>
        <v>0.29166666666666669</v>
      </c>
      <c r="AE175" s="12">
        <f>100*(AC175/TOTAL_BASIC!$D$302)</f>
        <v>109.15150275776189</v>
      </c>
      <c r="AF175" s="9"/>
      <c r="AG175" s="9"/>
      <c r="AH175" s="12">
        <f t="shared" si="16"/>
        <v>79.7</v>
      </c>
      <c r="AI175" s="12">
        <f t="shared" si="17"/>
        <v>86.8</v>
      </c>
      <c r="AJ175" s="12">
        <f t="shared" si="18"/>
        <v>55.1</v>
      </c>
      <c r="AK175" s="12">
        <f t="shared" si="21"/>
        <v>40.9</v>
      </c>
      <c r="AL175" s="12">
        <f t="shared" si="20"/>
        <v>92.800000000000011</v>
      </c>
    </row>
    <row r="176" spans="1:38" ht="15.75" customHeight="1" x14ac:dyDescent="0.25">
      <c r="A176" s="1" t="s">
        <v>164</v>
      </c>
      <c r="B176" s="7" t="s">
        <v>114</v>
      </c>
      <c r="C176" s="4" t="s">
        <v>8</v>
      </c>
      <c r="D176" s="4">
        <v>10</v>
      </c>
      <c r="E176" s="4">
        <v>148</v>
      </c>
      <c r="F176" s="4">
        <v>10</v>
      </c>
      <c r="G176" s="4">
        <v>0</v>
      </c>
      <c r="H176" s="4">
        <v>14.8</v>
      </c>
      <c r="I176" s="4">
        <v>1.2</v>
      </c>
      <c r="J176" s="4">
        <v>2.6</v>
      </c>
      <c r="K176" s="4">
        <v>0.46200000000000002</v>
      </c>
      <c r="L176" s="4">
        <v>0.9</v>
      </c>
      <c r="M176" s="4">
        <v>2</v>
      </c>
      <c r="N176" s="4">
        <v>0.45</v>
      </c>
      <c r="O176" s="4">
        <v>0.3</v>
      </c>
      <c r="P176" s="4">
        <v>0.6</v>
      </c>
      <c r="Q176" s="4">
        <v>0.5</v>
      </c>
      <c r="R176" s="4">
        <v>0.5</v>
      </c>
      <c r="S176" s="4">
        <v>0.6</v>
      </c>
      <c r="T176" s="4">
        <v>0.83299999999999996</v>
      </c>
      <c r="U176" s="4">
        <v>0.1</v>
      </c>
      <c r="V176" s="4">
        <v>1.3</v>
      </c>
      <c r="W176" s="4">
        <v>1.1000000000000001</v>
      </c>
      <c r="X176" s="4">
        <v>0.5</v>
      </c>
      <c r="Y176" s="4">
        <v>0.1</v>
      </c>
      <c r="Z176" s="4">
        <v>1</v>
      </c>
      <c r="AA176" s="4">
        <v>1.3</v>
      </c>
      <c r="AB176" s="4">
        <v>3.8</v>
      </c>
      <c r="AC176" s="10">
        <f t="shared" si="14"/>
        <v>0.9834368530020704</v>
      </c>
      <c r="AD176" s="10">
        <f t="shared" si="15"/>
        <v>7.6923076923076927E-2</v>
      </c>
      <c r="AE176" s="12">
        <f>100*(AC176/TOTAL_BASIC!$D$302)</f>
        <v>102.26442490613216</v>
      </c>
      <c r="AF176" s="9"/>
      <c r="AG176" s="9"/>
      <c r="AH176" s="12">
        <f t="shared" si="16"/>
        <v>26.700000000000003</v>
      </c>
      <c r="AI176" s="12">
        <f t="shared" si="17"/>
        <v>65.5</v>
      </c>
      <c r="AJ176" s="12">
        <f t="shared" si="18"/>
        <v>19.100000000000001</v>
      </c>
      <c r="AK176" s="12">
        <f t="shared" si="21"/>
        <v>30</v>
      </c>
      <c r="AL176" s="12">
        <f t="shared" si="20"/>
        <v>63.9</v>
      </c>
    </row>
    <row r="177" spans="1:38" ht="15.75" customHeight="1" x14ac:dyDescent="0.25">
      <c r="A177" s="1" t="s">
        <v>259</v>
      </c>
      <c r="B177" s="7" t="s">
        <v>140</v>
      </c>
      <c r="C177" s="4" t="s">
        <v>8</v>
      </c>
      <c r="D177" s="4">
        <v>21</v>
      </c>
      <c r="E177" s="4">
        <v>143</v>
      </c>
      <c r="F177" s="4">
        <v>21</v>
      </c>
      <c r="G177" s="4">
        <v>0</v>
      </c>
      <c r="H177" s="4">
        <v>6.8</v>
      </c>
      <c r="I177" s="4">
        <v>0.9</v>
      </c>
      <c r="J177" s="4">
        <v>2.1</v>
      </c>
      <c r="K177" s="4">
        <v>0.432</v>
      </c>
      <c r="L177" s="4">
        <v>0.4</v>
      </c>
      <c r="M177" s="4">
        <v>1</v>
      </c>
      <c r="N177" s="4">
        <v>0.38100000000000001</v>
      </c>
      <c r="O177" s="4">
        <v>0.5</v>
      </c>
      <c r="P177" s="4">
        <v>1.1000000000000001</v>
      </c>
      <c r="Q177" s="4">
        <v>0.47799999999999998</v>
      </c>
      <c r="R177" s="4">
        <v>0.4</v>
      </c>
      <c r="S177" s="4">
        <v>0.5</v>
      </c>
      <c r="T177" s="4">
        <v>0.81799999999999995</v>
      </c>
      <c r="U177" s="4">
        <v>0</v>
      </c>
      <c r="V177" s="4">
        <v>0.5</v>
      </c>
      <c r="W177" s="4">
        <v>0.9</v>
      </c>
      <c r="X177" s="4">
        <v>0.2</v>
      </c>
      <c r="Y177" s="4">
        <v>0</v>
      </c>
      <c r="Z177" s="4">
        <v>0.5</v>
      </c>
      <c r="AA177" s="4">
        <v>0.9</v>
      </c>
      <c r="AB177" s="4">
        <v>2.6</v>
      </c>
      <c r="AC177" s="10">
        <f t="shared" si="14"/>
        <v>0.92198581560283677</v>
      </c>
      <c r="AD177" s="10">
        <f t="shared" si="15"/>
        <v>0</v>
      </c>
      <c r="AE177" s="12">
        <f>100*(AC177/TOTAL_BASIC!$D$302)</f>
        <v>95.874329822411909</v>
      </c>
      <c r="AF177" s="9"/>
      <c r="AG177" s="9"/>
      <c r="AH177" s="12">
        <f t="shared" si="16"/>
        <v>0</v>
      </c>
      <c r="AI177" s="12">
        <f t="shared" si="17"/>
        <v>47.5</v>
      </c>
      <c r="AJ177" s="12">
        <f t="shared" si="18"/>
        <v>6</v>
      </c>
      <c r="AK177" s="12">
        <f t="shared" si="21"/>
        <v>2.1</v>
      </c>
      <c r="AL177" s="12">
        <f t="shared" si="20"/>
        <v>56.8</v>
      </c>
    </row>
    <row r="178" spans="1:38" ht="15.75" customHeight="1" x14ac:dyDescent="0.25">
      <c r="A178" s="1" t="s">
        <v>286</v>
      </c>
      <c r="B178" s="7" t="s">
        <v>91</v>
      </c>
      <c r="C178" s="4" t="s">
        <v>94</v>
      </c>
      <c r="D178" s="4">
        <v>16</v>
      </c>
      <c r="E178" s="4">
        <v>129</v>
      </c>
      <c r="F178" s="4">
        <v>16</v>
      </c>
      <c r="G178" s="4">
        <v>0</v>
      </c>
      <c r="H178" s="4">
        <v>8.1</v>
      </c>
      <c r="I178" s="4">
        <v>1.1000000000000001</v>
      </c>
      <c r="J178" s="4">
        <v>2.9</v>
      </c>
      <c r="K178" s="4">
        <v>0.37</v>
      </c>
      <c r="L178" s="4">
        <v>0.7</v>
      </c>
      <c r="M178" s="4">
        <v>1.6</v>
      </c>
      <c r="N178" s="4">
        <v>0.42299999999999999</v>
      </c>
      <c r="O178" s="4">
        <v>0.4</v>
      </c>
      <c r="P178" s="4">
        <v>1.3</v>
      </c>
      <c r="Q178" s="4">
        <v>0.3</v>
      </c>
      <c r="R178" s="4">
        <v>0.3</v>
      </c>
      <c r="S178" s="4">
        <v>0.4</v>
      </c>
      <c r="T178" s="4">
        <v>0.83299999999999996</v>
      </c>
      <c r="U178" s="4">
        <v>0.3</v>
      </c>
      <c r="V178" s="4">
        <v>0.8</v>
      </c>
      <c r="W178" s="4">
        <v>1.1000000000000001</v>
      </c>
      <c r="X178" s="4">
        <v>0.2</v>
      </c>
      <c r="Y178" s="4">
        <v>0.1</v>
      </c>
      <c r="Z178" s="4">
        <v>0.7</v>
      </c>
      <c r="AA178" s="4">
        <v>0.8</v>
      </c>
      <c r="AB178" s="4">
        <v>3.1</v>
      </c>
      <c r="AC178" s="10">
        <f t="shared" si="14"/>
        <v>0.82097457627118653</v>
      </c>
      <c r="AD178" s="10">
        <f t="shared" si="15"/>
        <v>0.125</v>
      </c>
      <c r="AE178" s="12">
        <f>100*(AC178/TOTAL_BASIC!$D$302)</f>
        <v>85.370496995958803</v>
      </c>
      <c r="AF178" s="9"/>
      <c r="AG178" s="9"/>
      <c r="AH178" s="12">
        <f t="shared" si="16"/>
        <v>44.2</v>
      </c>
      <c r="AI178" s="12">
        <f t="shared" si="17"/>
        <v>17.399999999999999</v>
      </c>
      <c r="AJ178" s="12">
        <f t="shared" si="18"/>
        <v>9.8000000000000007</v>
      </c>
      <c r="AK178" s="12">
        <f t="shared" si="21"/>
        <v>3.8</v>
      </c>
      <c r="AL178" s="12">
        <f t="shared" si="20"/>
        <v>63.9</v>
      </c>
    </row>
    <row r="179" spans="1:38" ht="15.75" customHeight="1" x14ac:dyDescent="0.25">
      <c r="A179" s="1" t="s">
        <v>277</v>
      </c>
      <c r="B179" s="7" t="s">
        <v>84</v>
      </c>
      <c r="C179" s="4" t="s">
        <v>88</v>
      </c>
      <c r="D179" s="4">
        <v>23</v>
      </c>
      <c r="E179" s="4">
        <v>126</v>
      </c>
      <c r="F179" s="4">
        <v>23</v>
      </c>
      <c r="G179" s="4">
        <v>0</v>
      </c>
      <c r="H179" s="4">
        <v>5.5</v>
      </c>
      <c r="I179" s="4">
        <v>0.5</v>
      </c>
      <c r="J179" s="4">
        <v>0.9</v>
      </c>
      <c r="K179" s="4">
        <v>0.55000000000000004</v>
      </c>
      <c r="L179" s="4">
        <v>0.1</v>
      </c>
      <c r="M179" s="4">
        <v>0.3</v>
      </c>
      <c r="N179" s="4">
        <v>0.25</v>
      </c>
      <c r="O179" s="4">
        <v>0.4</v>
      </c>
      <c r="P179" s="4">
        <v>0.5</v>
      </c>
      <c r="Q179" s="4">
        <v>0.75</v>
      </c>
      <c r="R179" s="4">
        <v>0.3</v>
      </c>
      <c r="S179" s="4">
        <v>0.5</v>
      </c>
      <c r="T179" s="4">
        <v>0.58299999999999996</v>
      </c>
      <c r="U179" s="4">
        <v>0.3</v>
      </c>
      <c r="V179" s="4">
        <v>1</v>
      </c>
      <c r="W179" s="4">
        <v>0.3</v>
      </c>
      <c r="X179" s="4">
        <v>0.1</v>
      </c>
      <c r="Y179" s="4">
        <v>0.1</v>
      </c>
      <c r="Z179" s="4">
        <v>0.3</v>
      </c>
      <c r="AA179" s="4">
        <v>0.8</v>
      </c>
      <c r="AB179" s="4">
        <v>1.3</v>
      </c>
      <c r="AC179" s="10">
        <f t="shared" si="14"/>
        <v>0.91549295774647876</v>
      </c>
      <c r="AD179" s="10">
        <f t="shared" si="15"/>
        <v>0.125</v>
      </c>
      <c r="AE179" s="12">
        <f>100*(AC179/TOTAL_BASIC!$D$302)</f>
        <v>95.199158485634356</v>
      </c>
      <c r="AF179" s="9"/>
      <c r="AG179" s="9"/>
      <c r="AH179" s="12">
        <f t="shared" si="16"/>
        <v>44.2</v>
      </c>
      <c r="AI179" s="12">
        <f t="shared" si="17"/>
        <v>45.300000000000004</v>
      </c>
      <c r="AJ179" s="12">
        <f t="shared" si="18"/>
        <v>0</v>
      </c>
      <c r="AK179" s="12">
        <f t="shared" si="21"/>
        <v>1</v>
      </c>
      <c r="AL179" s="12">
        <f t="shared" si="20"/>
        <v>6.5</v>
      </c>
    </row>
    <row r="180" spans="1:38" ht="15.75" customHeight="1" x14ac:dyDescent="0.25">
      <c r="A180" s="1" t="s">
        <v>282</v>
      </c>
      <c r="B180" s="7" t="s">
        <v>137</v>
      </c>
      <c r="C180" s="4" t="s">
        <v>85</v>
      </c>
      <c r="D180" s="4">
        <v>17</v>
      </c>
      <c r="E180" s="4">
        <v>123</v>
      </c>
      <c r="F180" s="4">
        <v>17</v>
      </c>
      <c r="G180" s="4">
        <v>1</v>
      </c>
      <c r="H180" s="4">
        <v>7.2</v>
      </c>
      <c r="I180" s="4">
        <v>1.2</v>
      </c>
      <c r="J180" s="4">
        <v>2.4</v>
      </c>
      <c r="K180" s="4">
        <v>0.5</v>
      </c>
      <c r="L180" s="4">
        <v>0.7</v>
      </c>
      <c r="M180" s="4">
        <v>1.4</v>
      </c>
      <c r="N180" s="4">
        <v>0.5</v>
      </c>
      <c r="O180" s="4">
        <v>0.5</v>
      </c>
      <c r="P180" s="4">
        <v>0.9</v>
      </c>
      <c r="Q180" s="4">
        <v>0.5</v>
      </c>
      <c r="R180" s="4">
        <v>1.1000000000000001</v>
      </c>
      <c r="S180" s="4">
        <v>1.4</v>
      </c>
      <c r="T180" s="4">
        <v>0.82599999999999996</v>
      </c>
      <c r="U180" s="4">
        <v>0.5</v>
      </c>
      <c r="V180" s="4">
        <v>1.4</v>
      </c>
      <c r="W180" s="4">
        <v>0.4</v>
      </c>
      <c r="X180" s="4">
        <v>0.1</v>
      </c>
      <c r="Y180" s="4">
        <v>0.1</v>
      </c>
      <c r="Z180" s="4">
        <v>0.8</v>
      </c>
      <c r="AA180" s="4">
        <v>1.6</v>
      </c>
      <c r="AB180" s="4">
        <v>4.2</v>
      </c>
      <c r="AC180" s="10">
        <f t="shared" si="14"/>
        <v>1.1006289308176103</v>
      </c>
      <c r="AD180" s="10">
        <f t="shared" si="15"/>
        <v>6.25E-2</v>
      </c>
      <c r="AE180" s="12">
        <f>100*(AC180/TOTAL_BASIC!$D$302)</f>
        <v>114.45085091282121</v>
      </c>
      <c r="AF180" s="9"/>
      <c r="AG180" s="9"/>
      <c r="AH180" s="12">
        <f t="shared" si="16"/>
        <v>21.8</v>
      </c>
      <c r="AI180" s="12">
        <f t="shared" si="17"/>
        <v>92.300000000000011</v>
      </c>
      <c r="AJ180" s="12">
        <f t="shared" si="18"/>
        <v>24</v>
      </c>
      <c r="AK180" s="12">
        <f t="shared" si="21"/>
        <v>3.2</v>
      </c>
      <c r="AL180" s="12">
        <f t="shared" si="20"/>
        <v>59.5</v>
      </c>
    </row>
    <row r="181" spans="1:38" ht="15.75" customHeight="1" x14ac:dyDescent="0.25">
      <c r="A181" s="1" t="s">
        <v>263</v>
      </c>
      <c r="B181" s="7" t="s">
        <v>137</v>
      </c>
      <c r="C181" s="4" t="s">
        <v>8</v>
      </c>
      <c r="D181" s="4">
        <v>17</v>
      </c>
      <c r="E181" s="4">
        <v>120</v>
      </c>
      <c r="F181" s="4">
        <v>17</v>
      </c>
      <c r="G181" s="4">
        <v>0</v>
      </c>
      <c r="H181" s="4">
        <v>7.1</v>
      </c>
      <c r="I181" s="4">
        <v>0.8</v>
      </c>
      <c r="J181" s="4">
        <v>2.1</v>
      </c>
      <c r="K181" s="4">
        <v>0.371</v>
      </c>
      <c r="L181" s="4">
        <v>0.5</v>
      </c>
      <c r="M181" s="4">
        <v>1.5</v>
      </c>
      <c r="N181" s="4">
        <v>0.308</v>
      </c>
      <c r="O181" s="4">
        <v>0.3</v>
      </c>
      <c r="P181" s="4">
        <v>0.5</v>
      </c>
      <c r="Q181" s="4">
        <v>0.55600000000000005</v>
      </c>
      <c r="R181" s="4">
        <v>0.3</v>
      </c>
      <c r="S181" s="4">
        <v>0.5</v>
      </c>
      <c r="T181" s="4">
        <v>0.625</v>
      </c>
      <c r="U181" s="4">
        <v>0.3</v>
      </c>
      <c r="V181" s="4">
        <v>1.1000000000000001</v>
      </c>
      <c r="W181" s="4">
        <v>0.4</v>
      </c>
      <c r="X181" s="4">
        <v>0.3</v>
      </c>
      <c r="Y181" s="4">
        <v>0.2</v>
      </c>
      <c r="Z181" s="4">
        <v>0.2</v>
      </c>
      <c r="AA181" s="4">
        <v>0.9</v>
      </c>
      <c r="AB181" s="4">
        <v>2.2999999999999998</v>
      </c>
      <c r="AC181" s="10">
        <f t="shared" ref="AC181:AC182" si="22">(AB181)/(J181+(0.44*S181)+Z181)</f>
        <v>0.91269841269841245</v>
      </c>
      <c r="AD181" s="10">
        <f t="shared" ref="AD181:AD182" si="23">Y181/AA181</f>
        <v>0.22222222222222224</v>
      </c>
      <c r="AE181" s="12">
        <f>100*(AC181/TOTAL_BASIC!$D$302)</f>
        <v>94.908562763761225</v>
      </c>
      <c r="AF181" s="9"/>
      <c r="AG181" s="9"/>
      <c r="AH181" s="12">
        <f t="shared" ref="AH181:AH182" si="24">(PERCENTRANK(AD$3:AD$298,AD181))*100</f>
        <v>71.5</v>
      </c>
      <c r="AI181" s="12">
        <f t="shared" ref="AI181:AI182" si="25">(PERCENTRANK(AE$3:AE$298,AE181))*100</f>
        <v>44.800000000000004</v>
      </c>
      <c r="AJ181" s="12">
        <f t="shared" ref="AJ181:AJ182" si="26">(PERCENTRANK(AB$3:AB$298,AB181))*100</f>
        <v>5.4</v>
      </c>
      <c r="AK181" s="12">
        <f t="shared" ref="AK181:AK182" si="27">(PERCENTRANK(H$3:H$298,H181))*100</f>
        <v>2.7</v>
      </c>
      <c r="AL181" s="12">
        <f t="shared" ref="AL181:AL182" si="28">(PERCENTRANK(T$3:T$298,T181))*100</f>
        <v>9.8000000000000007</v>
      </c>
    </row>
    <row r="182" spans="1:38" ht="15.75" customHeight="1" x14ac:dyDescent="0.25">
      <c r="A182" s="1" t="s">
        <v>130</v>
      </c>
      <c r="B182" s="7" t="s">
        <v>131</v>
      </c>
      <c r="C182" s="4" t="s">
        <v>85</v>
      </c>
      <c r="D182" s="4">
        <v>4</v>
      </c>
      <c r="E182" s="4">
        <v>118</v>
      </c>
      <c r="F182" s="4">
        <v>4</v>
      </c>
      <c r="G182" s="4">
        <v>4</v>
      </c>
      <c r="H182" s="4">
        <v>29.5</v>
      </c>
      <c r="I182" s="4">
        <v>6</v>
      </c>
      <c r="J182" s="4">
        <v>15</v>
      </c>
      <c r="K182" s="4">
        <v>0.4</v>
      </c>
      <c r="L182" s="4">
        <v>1.5</v>
      </c>
      <c r="M182" s="4">
        <v>5.3</v>
      </c>
      <c r="N182" s="4">
        <v>0.28599999999999998</v>
      </c>
      <c r="O182" s="4">
        <v>4.5</v>
      </c>
      <c r="P182" s="4">
        <v>9.8000000000000007</v>
      </c>
      <c r="Q182" s="4">
        <v>0.46200000000000002</v>
      </c>
      <c r="R182" s="4">
        <v>4.5</v>
      </c>
      <c r="S182" s="4">
        <v>5.5</v>
      </c>
      <c r="T182" s="4">
        <v>0.81799999999999995</v>
      </c>
      <c r="U182" s="4">
        <v>1</v>
      </c>
      <c r="V182" s="4">
        <v>4.8</v>
      </c>
      <c r="W182" s="4">
        <v>2</v>
      </c>
      <c r="X182" s="4">
        <v>0.3</v>
      </c>
      <c r="Y182" s="4">
        <v>1.8</v>
      </c>
      <c r="Z182" s="4">
        <v>2</v>
      </c>
      <c r="AA182" s="4">
        <v>1.8</v>
      </c>
      <c r="AB182" s="4">
        <v>18</v>
      </c>
      <c r="AC182" s="10">
        <f t="shared" si="22"/>
        <v>0.92687950566426358</v>
      </c>
      <c r="AD182" s="10">
        <f t="shared" si="23"/>
        <v>1</v>
      </c>
      <c r="AE182" s="12">
        <f>100*(AC182/TOTAL_BASIC!$D$302)</f>
        <v>96.383208860525002</v>
      </c>
      <c r="AF182" s="9"/>
      <c r="AG182" s="9"/>
      <c r="AH182" s="12">
        <f t="shared" si="24"/>
        <v>99.4</v>
      </c>
      <c r="AI182" s="12">
        <f t="shared" si="25"/>
        <v>49.7</v>
      </c>
      <c r="AJ182" s="12">
        <f t="shared" si="26"/>
        <v>92.300000000000011</v>
      </c>
      <c r="AK182" s="12">
        <f t="shared" si="27"/>
        <v>84.6</v>
      </c>
      <c r="AL182" s="12">
        <f t="shared" si="28"/>
        <v>56.8</v>
      </c>
    </row>
    <row r="183" spans="1:38" ht="15.75" customHeight="1" x14ac:dyDescent="0.25">
      <c r="A183" s="1" t="s">
        <v>287</v>
      </c>
      <c r="B183" s="7" t="s">
        <v>96</v>
      </c>
      <c r="C183" s="4" t="s">
        <v>8</v>
      </c>
      <c r="D183" s="4">
        <v>21</v>
      </c>
      <c r="E183" s="4">
        <v>112</v>
      </c>
      <c r="F183" s="4">
        <v>21</v>
      </c>
      <c r="G183" s="4">
        <v>0</v>
      </c>
      <c r="H183" s="4">
        <v>5.3</v>
      </c>
      <c r="I183" s="4">
        <v>0.5</v>
      </c>
      <c r="J183" s="4">
        <v>1.1000000000000001</v>
      </c>
      <c r="K183" s="4">
        <v>0.435</v>
      </c>
      <c r="L183" s="4">
        <v>0</v>
      </c>
      <c r="M183" s="4">
        <v>0.3</v>
      </c>
      <c r="N183" s="4">
        <v>0</v>
      </c>
      <c r="O183" s="4">
        <v>0.5</v>
      </c>
      <c r="P183" s="4">
        <v>0.8</v>
      </c>
      <c r="Q183" s="4">
        <v>0.58799999999999997</v>
      </c>
      <c r="R183" s="4">
        <v>0.8</v>
      </c>
      <c r="S183" s="4">
        <v>1</v>
      </c>
      <c r="T183" s="4">
        <v>0.76200000000000001</v>
      </c>
      <c r="U183" s="4">
        <v>0.3</v>
      </c>
      <c r="V183" s="4">
        <v>1</v>
      </c>
      <c r="W183" s="4">
        <v>1.1000000000000001</v>
      </c>
      <c r="X183" s="4">
        <v>0.1</v>
      </c>
      <c r="Y183" s="4">
        <v>0.1</v>
      </c>
      <c r="Z183" s="4">
        <v>0.5</v>
      </c>
      <c r="AA183" s="4">
        <v>0.8</v>
      </c>
      <c r="AB183" s="4">
        <v>1.7</v>
      </c>
      <c r="AC183" s="10">
        <f t="shared" ref="AC183:AC184" si="29">(AB183)/(J183+(0.44*S183)+Z183)</f>
        <v>0.83333333333333326</v>
      </c>
      <c r="AD183" s="10">
        <f t="shared" ref="AD183:AD184" si="30">Y183/AA183</f>
        <v>0.125</v>
      </c>
      <c r="AE183" s="12">
        <f>100*(AC183/TOTAL_BASIC!$D$302)</f>
        <v>86.655644262564607</v>
      </c>
      <c r="AF183" s="9"/>
      <c r="AG183" s="9"/>
      <c r="AH183" s="12">
        <f t="shared" ref="AH183:AH184" si="31">(PERCENTRANK(AD$3:AD$298,AD183))*100</f>
        <v>44.2</v>
      </c>
      <c r="AI183" s="12">
        <f t="shared" ref="AI183:AI184" si="32">(PERCENTRANK(AE$3:AE$298,AE183))*100</f>
        <v>20.200000000000003</v>
      </c>
      <c r="AJ183" s="12">
        <f t="shared" ref="AJ183:AJ184" si="33">(PERCENTRANK(AB$3:AB$298,AB183))*100</f>
        <v>1</v>
      </c>
      <c r="AK183" s="12">
        <f t="shared" ref="AK183:AK184" si="34">(PERCENTRANK(H$3:H$298,H183))*100</f>
        <v>0.5</v>
      </c>
      <c r="AL183" s="12">
        <f t="shared" ref="AL183:AL184" si="35">(PERCENTRANK(T$3:T$298,T183))*100</f>
        <v>37.700000000000003</v>
      </c>
    </row>
    <row r="184" spans="1:38" ht="15.75" customHeight="1" x14ac:dyDescent="0.25">
      <c r="A184" s="1" t="s">
        <v>289</v>
      </c>
      <c r="B184" s="7" t="s">
        <v>240</v>
      </c>
      <c r="C184" s="4" t="s">
        <v>85</v>
      </c>
      <c r="D184" s="4">
        <v>9</v>
      </c>
      <c r="E184" s="4">
        <v>107</v>
      </c>
      <c r="F184" s="4">
        <v>9</v>
      </c>
      <c r="G184" s="4">
        <v>0</v>
      </c>
      <c r="H184" s="4">
        <v>11.9</v>
      </c>
      <c r="I184" s="4">
        <v>0.6</v>
      </c>
      <c r="J184" s="4">
        <v>2.9</v>
      </c>
      <c r="K184" s="4">
        <v>0.192</v>
      </c>
      <c r="L184" s="4">
        <v>0.3</v>
      </c>
      <c r="M184" s="4">
        <v>1.3</v>
      </c>
      <c r="N184" s="4">
        <v>0.25</v>
      </c>
      <c r="O184" s="4">
        <v>0.2</v>
      </c>
      <c r="P184" s="4">
        <v>1.6</v>
      </c>
      <c r="Q184" s="4">
        <v>0.14299999999999999</v>
      </c>
      <c r="R184" s="4">
        <v>0.7</v>
      </c>
      <c r="S184" s="4">
        <v>0.7</v>
      </c>
      <c r="T184" s="4">
        <v>1</v>
      </c>
      <c r="U184" s="4">
        <v>0.4</v>
      </c>
      <c r="V184" s="4">
        <v>1.8</v>
      </c>
      <c r="W184" s="4">
        <v>0.6</v>
      </c>
      <c r="X184" s="4">
        <v>0.4</v>
      </c>
      <c r="Y184" s="4">
        <v>0.2</v>
      </c>
      <c r="Z184" s="4">
        <v>0.8</v>
      </c>
      <c r="AA184" s="4">
        <v>2.2999999999999998</v>
      </c>
      <c r="AB184" s="4">
        <v>2.1</v>
      </c>
      <c r="AC184" s="10">
        <f t="shared" si="29"/>
        <v>0.5239520958083832</v>
      </c>
      <c r="AD184" s="10">
        <f t="shared" si="30"/>
        <v>8.6956521739130446E-2</v>
      </c>
      <c r="AE184" s="12">
        <f>100*(AC184/TOTAL_BASIC!$D$302)</f>
        <v>54.48408770999572</v>
      </c>
      <c r="AF184" s="9"/>
      <c r="AG184" s="9"/>
      <c r="AH184" s="12">
        <f t="shared" si="31"/>
        <v>31.1</v>
      </c>
      <c r="AI184" s="12">
        <f t="shared" si="32"/>
        <v>0</v>
      </c>
      <c r="AJ184" s="12">
        <f t="shared" si="33"/>
        <v>3.2</v>
      </c>
      <c r="AK184" s="12">
        <f t="shared" si="34"/>
        <v>17.399999999999999</v>
      </c>
      <c r="AL184" s="12">
        <f t="shared" si="35"/>
        <v>97.8</v>
      </c>
    </row>
    <row r="185" spans="1:38" ht="15.75" customHeight="1" x14ac:dyDescent="0.25">
      <c r="A185" s="1" t="s">
        <v>290</v>
      </c>
      <c r="B185" s="7" t="s">
        <v>93</v>
      </c>
      <c r="C185" s="4" t="s">
        <v>8</v>
      </c>
      <c r="D185" s="4">
        <v>7</v>
      </c>
      <c r="E185" s="4">
        <v>106</v>
      </c>
      <c r="F185" s="4">
        <v>7</v>
      </c>
      <c r="G185" s="4">
        <v>0</v>
      </c>
      <c r="H185" s="4">
        <v>15.1</v>
      </c>
      <c r="I185" s="4">
        <v>2.4</v>
      </c>
      <c r="J185" s="4">
        <v>5</v>
      </c>
      <c r="K185" s="4">
        <v>0.48599999999999999</v>
      </c>
      <c r="L185" s="4">
        <v>0.9</v>
      </c>
      <c r="M185" s="4">
        <v>2.1</v>
      </c>
      <c r="N185" s="4">
        <v>0.4</v>
      </c>
      <c r="O185" s="4">
        <v>1.6</v>
      </c>
      <c r="P185" s="4">
        <v>2.9</v>
      </c>
      <c r="Q185" s="4">
        <v>0.55000000000000004</v>
      </c>
      <c r="R185" s="4">
        <v>2.1</v>
      </c>
      <c r="S185" s="4">
        <v>2.4</v>
      </c>
      <c r="T185" s="4">
        <v>0.88200000000000001</v>
      </c>
      <c r="U185" s="4">
        <v>0.3</v>
      </c>
      <c r="V185" s="4">
        <v>1.7</v>
      </c>
      <c r="W185" s="4">
        <v>1.7</v>
      </c>
      <c r="X185" s="4">
        <v>0.4</v>
      </c>
      <c r="Y185" s="4">
        <v>0.3</v>
      </c>
      <c r="Z185" s="4">
        <v>0.9</v>
      </c>
      <c r="AA185" s="4">
        <v>2.4</v>
      </c>
      <c r="AB185" s="4">
        <v>7.9</v>
      </c>
      <c r="AC185" s="10">
        <f t="shared" ref="AC185:AC186" si="36">(AB185)/(J185+(0.44*S185)+Z185)</f>
        <v>1.1357101782633698</v>
      </c>
      <c r="AD185" s="10">
        <f t="shared" ref="AD185:AD186" si="37">Y185/AA185</f>
        <v>0.125</v>
      </c>
      <c r="AE185" s="12">
        <f>100*(AC185/TOTAL_BASIC!$D$302)</f>
        <v>118.09883663155732</v>
      </c>
      <c r="AF185" s="9"/>
      <c r="AG185" s="9"/>
      <c r="AH185" s="12">
        <f t="shared" ref="AH185:AH186" si="38">(PERCENTRANK(AD$3:AD$298,AD185))*100</f>
        <v>44.2</v>
      </c>
      <c r="AI185" s="12">
        <f t="shared" ref="AI185:AI186" si="39">(PERCENTRANK(AE$3:AE$298,AE185))*100</f>
        <v>95</v>
      </c>
      <c r="AJ185" s="12">
        <f t="shared" ref="AJ185:AJ186" si="40">(PERCENTRANK(AB$3:AB$298,AB185))*100</f>
        <v>54</v>
      </c>
      <c r="AK185" s="12">
        <f t="shared" ref="AK185:AK186" si="41">(PERCENTRANK(H$3:H$298,H185))*100</f>
        <v>31.6</v>
      </c>
      <c r="AL185" s="12">
        <f t="shared" ref="AL185:AL186" si="42">(PERCENTRANK(T$3:T$298,T185))*100</f>
        <v>86.3</v>
      </c>
    </row>
    <row r="186" spans="1:38" ht="15.75" customHeight="1" x14ac:dyDescent="0.25">
      <c r="A186" s="1" t="s">
        <v>283</v>
      </c>
      <c r="B186" s="7" t="s">
        <v>240</v>
      </c>
      <c r="C186" s="4" t="s">
        <v>8</v>
      </c>
      <c r="D186" s="4">
        <v>18</v>
      </c>
      <c r="E186" s="4">
        <v>103</v>
      </c>
      <c r="F186" s="4">
        <v>18</v>
      </c>
      <c r="G186" s="4">
        <v>0</v>
      </c>
      <c r="H186" s="4">
        <v>5.7</v>
      </c>
      <c r="I186" s="4">
        <v>0.8</v>
      </c>
      <c r="J186" s="4">
        <v>1.9</v>
      </c>
      <c r="K186" s="4">
        <v>0.441</v>
      </c>
      <c r="L186" s="4">
        <v>0.2</v>
      </c>
      <c r="M186" s="4">
        <v>0.6</v>
      </c>
      <c r="N186" s="4">
        <v>0.4</v>
      </c>
      <c r="O186" s="4">
        <v>0.6</v>
      </c>
      <c r="P186" s="4">
        <v>1.3</v>
      </c>
      <c r="Q186" s="4">
        <v>0.45800000000000002</v>
      </c>
      <c r="R186" s="4">
        <v>1.2</v>
      </c>
      <c r="S186" s="4">
        <v>1.6</v>
      </c>
      <c r="T186" s="4">
        <v>0.78600000000000003</v>
      </c>
      <c r="U186" s="4">
        <v>0.2</v>
      </c>
      <c r="V186" s="4">
        <v>0.8</v>
      </c>
      <c r="W186" s="4">
        <v>0.4</v>
      </c>
      <c r="X186" s="4">
        <v>0.1</v>
      </c>
      <c r="Y186" s="4">
        <v>0.1</v>
      </c>
      <c r="Z186" s="4">
        <v>0.7</v>
      </c>
      <c r="AA186" s="4">
        <v>0.6</v>
      </c>
      <c r="AB186" s="4">
        <v>3.1</v>
      </c>
      <c r="AC186" s="10">
        <f t="shared" si="36"/>
        <v>0.93825665859564156</v>
      </c>
      <c r="AD186" s="10">
        <f t="shared" si="37"/>
        <v>0.16666666666666669</v>
      </c>
      <c r="AE186" s="12">
        <f>100*(AC186/TOTAL_BASIC!$D$302)</f>
        <v>97.566282281095752</v>
      </c>
      <c r="AF186" s="9"/>
      <c r="AG186" s="9"/>
      <c r="AH186" s="12">
        <f t="shared" si="38"/>
        <v>60.6</v>
      </c>
      <c r="AI186" s="12">
        <f t="shared" si="39"/>
        <v>52.400000000000006</v>
      </c>
      <c r="AJ186" s="12">
        <f t="shared" si="40"/>
        <v>9.8000000000000007</v>
      </c>
      <c r="AK186" s="12">
        <f t="shared" si="41"/>
        <v>1.6</v>
      </c>
      <c r="AL186" s="12">
        <f t="shared" si="42"/>
        <v>44.800000000000004</v>
      </c>
    </row>
    <row r="187" spans="1:38" ht="15.75" customHeight="1" x14ac:dyDescent="0.25">
      <c r="A187" s="1"/>
      <c r="B187" s="7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10"/>
      <c r="AD187" s="10"/>
      <c r="AE187" s="12"/>
      <c r="AF187" s="9"/>
      <c r="AG187" s="9"/>
      <c r="AH187" s="12"/>
      <c r="AI187" s="12"/>
      <c r="AJ187" s="12"/>
      <c r="AK187" s="12"/>
      <c r="AL187" s="12"/>
    </row>
    <row r="188" spans="1:38" ht="15.75" customHeight="1" x14ac:dyDescent="0.25">
      <c r="A188" s="1"/>
      <c r="B188" s="7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10"/>
      <c r="AD188" s="10"/>
      <c r="AE188" s="12"/>
      <c r="AF188" s="9"/>
      <c r="AG188" s="9"/>
      <c r="AH188" s="12"/>
      <c r="AI188" s="12"/>
      <c r="AJ188" s="12"/>
      <c r="AK188" s="12"/>
      <c r="AL188" s="12"/>
    </row>
    <row r="189" spans="1:38" ht="15.75" customHeight="1" x14ac:dyDescent="0.25">
      <c r="A189" s="1"/>
      <c r="B189" s="7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10"/>
      <c r="AD189" s="10"/>
      <c r="AE189" s="12"/>
      <c r="AF189" s="9"/>
      <c r="AG189" s="9"/>
      <c r="AH189" s="12"/>
      <c r="AI189" s="12"/>
      <c r="AJ189" s="12"/>
      <c r="AK189" s="12"/>
      <c r="AL189" s="12"/>
    </row>
    <row r="190" spans="1:38" ht="15.75" customHeight="1" x14ac:dyDescent="0.25">
      <c r="A190" s="1"/>
      <c r="B190" s="7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10"/>
      <c r="AD190" s="10"/>
      <c r="AE190" s="12"/>
      <c r="AF190" s="9"/>
      <c r="AG190" s="9"/>
      <c r="AH190" s="12"/>
      <c r="AI190" s="12"/>
      <c r="AJ190" s="12"/>
      <c r="AK190" s="12"/>
      <c r="AL190" s="12"/>
    </row>
    <row r="191" spans="1:38" ht="15.75" customHeight="1" x14ac:dyDescent="0.25">
      <c r="A191" s="1"/>
      <c r="B191" s="7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10"/>
      <c r="AD191" s="10"/>
      <c r="AE191" s="12"/>
      <c r="AF191" s="9"/>
      <c r="AG191" s="9"/>
      <c r="AH191" s="12"/>
      <c r="AI191" s="12"/>
      <c r="AJ191" s="12"/>
      <c r="AK191" s="12"/>
      <c r="AL191" s="12"/>
    </row>
    <row r="192" spans="1:38" ht="15.75" customHeight="1" x14ac:dyDescent="0.25">
      <c r="A192" s="1"/>
      <c r="B192" s="7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10"/>
      <c r="AD192" s="10"/>
      <c r="AE192" s="12"/>
      <c r="AF192" s="9"/>
      <c r="AG192" s="9"/>
      <c r="AH192" s="12"/>
      <c r="AI192" s="12"/>
      <c r="AJ192" s="12"/>
      <c r="AK192" s="12"/>
      <c r="AL192" s="12"/>
    </row>
    <row r="193" spans="1:38" ht="15.75" customHeight="1" x14ac:dyDescent="0.25">
      <c r="A193" s="1"/>
      <c r="B193" s="7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10"/>
      <c r="AD193" s="10"/>
      <c r="AE193" s="12"/>
      <c r="AF193" s="9"/>
      <c r="AG193" s="9"/>
      <c r="AH193" s="12"/>
      <c r="AI193" s="12"/>
      <c r="AJ193" s="12"/>
      <c r="AK193" s="12"/>
      <c r="AL193" s="12"/>
    </row>
    <row r="194" spans="1:38" ht="15.75" customHeight="1" x14ac:dyDescent="0.25">
      <c r="A194" s="1"/>
      <c r="B194" s="7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10"/>
      <c r="AD194" s="10"/>
      <c r="AE194" s="12"/>
      <c r="AF194" s="9"/>
      <c r="AG194" s="9"/>
      <c r="AH194" s="12"/>
      <c r="AI194" s="12"/>
      <c r="AJ194" s="12"/>
      <c r="AK194" s="12"/>
      <c r="AL194" s="12"/>
    </row>
    <row r="195" spans="1:38" ht="15.75" customHeight="1" x14ac:dyDescent="0.25">
      <c r="A195" s="1"/>
      <c r="B195" s="7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10"/>
      <c r="AD195" s="10"/>
      <c r="AE195" s="12"/>
      <c r="AF195" s="9"/>
      <c r="AG195" s="9"/>
      <c r="AH195" s="12"/>
      <c r="AI195" s="12"/>
      <c r="AJ195" s="12"/>
      <c r="AK195" s="12"/>
      <c r="AL195" s="12"/>
    </row>
    <row r="196" spans="1:38" ht="15.75" customHeight="1" x14ac:dyDescent="0.25">
      <c r="A196" s="1"/>
      <c r="B196" s="7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10"/>
      <c r="AD196" s="10"/>
      <c r="AE196" s="12"/>
      <c r="AF196" s="9"/>
      <c r="AG196" s="9"/>
      <c r="AH196" s="12"/>
      <c r="AI196" s="12"/>
      <c r="AJ196" s="12"/>
      <c r="AK196" s="12"/>
      <c r="AL196" s="12"/>
    </row>
    <row r="197" spans="1:38" ht="15.75" customHeight="1" x14ac:dyDescent="0.25">
      <c r="A197" s="1"/>
      <c r="B197" s="7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10"/>
      <c r="AD197" s="10"/>
      <c r="AE197" s="12"/>
      <c r="AF197" s="9"/>
      <c r="AG197" s="9"/>
      <c r="AH197" s="12"/>
      <c r="AI197" s="12"/>
      <c r="AJ197" s="12"/>
      <c r="AK197" s="12"/>
      <c r="AL197" s="12"/>
    </row>
    <row r="198" spans="1:38" ht="15.75" customHeight="1" x14ac:dyDescent="0.25">
      <c r="A198" s="1"/>
      <c r="B198" s="7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10"/>
      <c r="AD198" s="10"/>
      <c r="AE198" s="12"/>
      <c r="AF198" s="9"/>
      <c r="AG198" s="9"/>
      <c r="AH198" s="12"/>
      <c r="AI198" s="12"/>
      <c r="AJ198" s="12"/>
      <c r="AK198" s="12"/>
      <c r="AL198" s="12"/>
    </row>
    <row r="199" spans="1:38" ht="15.75" customHeight="1" x14ac:dyDescent="0.25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10"/>
      <c r="AD199" s="10"/>
      <c r="AE199" s="12"/>
      <c r="AF199" s="9"/>
      <c r="AG199" s="9"/>
      <c r="AH199" s="12"/>
      <c r="AI199" s="12"/>
      <c r="AJ199" s="12"/>
      <c r="AK199" s="12"/>
      <c r="AL199" s="12"/>
    </row>
    <row r="200" spans="1:38" ht="15.75" customHeight="1" x14ac:dyDescent="0.25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10"/>
      <c r="AD200" s="10"/>
      <c r="AE200" s="12"/>
      <c r="AF200" s="9"/>
      <c r="AG200" s="9"/>
      <c r="AH200" s="12"/>
      <c r="AI200" s="12"/>
      <c r="AJ200" s="12"/>
      <c r="AK200" s="12"/>
      <c r="AL200" s="12"/>
    </row>
    <row r="201" spans="1:38" ht="15.75" customHeight="1" x14ac:dyDescent="0.25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10"/>
      <c r="AD201" s="10"/>
      <c r="AE201" s="12"/>
      <c r="AF201" s="9"/>
      <c r="AG201" s="9"/>
      <c r="AH201" s="12"/>
      <c r="AI201" s="12"/>
      <c r="AJ201" s="12"/>
      <c r="AK201" s="12"/>
      <c r="AL201" s="12"/>
    </row>
    <row r="202" spans="1:38" ht="15.75" customHeight="1" x14ac:dyDescent="0.25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10"/>
      <c r="AD202" s="10"/>
      <c r="AE202" s="12"/>
      <c r="AF202" s="9"/>
      <c r="AG202" s="9"/>
      <c r="AH202" s="12"/>
      <c r="AI202" s="12"/>
      <c r="AJ202" s="12"/>
      <c r="AK202" s="12"/>
      <c r="AL202" s="12"/>
    </row>
    <row r="203" spans="1:38" ht="15.75" customHeight="1" x14ac:dyDescent="0.25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10"/>
      <c r="AD203" s="10"/>
      <c r="AE203" s="12"/>
      <c r="AF203" s="9"/>
      <c r="AG203" s="9"/>
      <c r="AH203" s="12"/>
      <c r="AI203" s="12"/>
      <c r="AJ203" s="12"/>
      <c r="AK203" s="12"/>
      <c r="AL203" s="12"/>
    </row>
    <row r="204" spans="1:38" ht="15.75" customHeight="1" x14ac:dyDescent="0.25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10"/>
      <c r="AD204" s="10"/>
      <c r="AE204" s="12"/>
      <c r="AF204" s="9"/>
      <c r="AG204" s="9"/>
      <c r="AH204" s="12"/>
      <c r="AI204" s="12"/>
      <c r="AJ204" s="12"/>
      <c r="AK204" s="12"/>
      <c r="AL204" s="12"/>
    </row>
    <row r="205" spans="1:38" ht="15.75" customHeight="1" x14ac:dyDescent="0.25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10"/>
      <c r="AD205" s="10"/>
      <c r="AE205" s="12"/>
      <c r="AF205" s="9"/>
      <c r="AG205" s="9"/>
      <c r="AH205" s="12"/>
      <c r="AI205" s="12"/>
      <c r="AJ205" s="12"/>
      <c r="AK205" s="12"/>
      <c r="AL205" s="12"/>
    </row>
    <row r="206" spans="1:38" ht="15.75" customHeight="1" x14ac:dyDescent="0.25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10"/>
      <c r="AD206" s="10"/>
      <c r="AE206" s="12"/>
      <c r="AF206" s="9"/>
      <c r="AG206" s="9"/>
      <c r="AH206" s="12"/>
      <c r="AI206" s="12"/>
      <c r="AJ206" s="12"/>
      <c r="AK206" s="12"/>
      <c r="AL206" s="12"/>
    </row>
    <row r="207" spans="1:38" ht="15.75" customHeight="1" x14ac:dyDescent="0.25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10"/>
      <c r="AD207" s="10"/>
      <c r="AE207" s="12"/>
      <c r="AF207" s="9"/>
      <c r="AG207" s="9"/>
      <c r="AH207" s="12"/>
      <c r="AI207" s="12"/>
      <c r="AJ207" s="12"/>
      <c r="AK207" s="12"/>
      <c r="AL207" s="12"/>
    </row>
    <row r="208" spans="1:38" ht="15.75" customHeight="1" x14ac:dyDescent="0.25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10"/>
      <c r="AD208" s="10"/>
      <c r="AE208" s="12"/>
      <c r="AF208" s="9"/>
      <c r="AG208" s="9"/>
      <c r="AH208" s="12"/>
      <c r="AI208" s="12"/>
      <c r="AJ208" s="12"/>
      <c r="AK208" s="12"/>
      <c r="AL208" s="12"/>
    </row>
    <row r="209" spans="2:38" ht="15.75" customHeight="1" x14ac:dyDescent="0.25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10"/>
      <c r="AD209" s="10"/>
      <c r="AE209" s="12"/>
      <c r="AF209" s="9"/>
      <c r="AG209" s="9"/>
      <c r="AH209" s="12"/>
      <c r="AI209" s="12"/>
      <c r="AJ209" s="12"/>
      <c r="AK209" s="12"/>
      <c r="AL209" s="12"/>
    </row>
    <row r="210" spans="2:38" ht="15.75" customHeight="1" x14ac:dyDescent="0.25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10"/>
      <c r="AD210" s="10"/>
      <c r="AE210" s="12"/>
      <c r="AF210" s="9"/>
      <c r="AG210" s="9"/>
      <c r="AH210" s="12"/>
      <c r="AI210" s="12"/>
      <c r="AJ210" s="12"/>
      <c r="AK210" s="12"/>
      <c r="AL210" s="12"/>
    </row>
    <row r="211" spans="2:38" ht="15.75" customHeight="1" x14ac:dyDescent="0.25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10"/>
      <c r="AD211" s="10"/>
      <c r="AE211" s="12"/>
      <c r="AF211" s="9"/>
      <c r="AG211" s="9"/>
      <c r="AH211" s="12"/>
      <c r="AI211" s="12"/>
      <c r="AJ211" s="12"/>
      <c r="AK211" s="12"/>
      <c r="AL211" s="12"/>
    </row>
    <row r="212" spans="2:38" ht="15.75" customHeight="1" x14ac:dyDescent="0.25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10"/>
      <c r="AD212" s="10"/>
      <c r="AE212" s="12"/>
      <c r="AF212" s="9"/>
      <c r="AG212" s="9"/>
      <c r="AH212" s="12"/>
      <c r="AI212" s="12"/>
      <c r="AJ212" s="12"/>
      <c r="AK212" s="12"/>
      <c r="AL212" s="12"/>
    </row>
    <row r="213" spans="2:38" ht="15.75" customHeight="1" x14ac:dyDescent="0.25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10"/>
      <c r="AD213" s="10"/>
      <c r="AE213" s="12"/>
      <c r="AF213" s="9"/>
      <c r="AG213" s="9"/>
      <c r="AH213" s="12"/>
      <c r="AI213" s="12"/>
      <c r="AJ213" s="12"/>
      <c r="AK213" s="12"/>
      <c r="AL213" s="12"/>
    </row>
    <row r="214" spans="2:38" ht="15.75" customHeight="1" x14ac:dyDescent="0.25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10"/>
      <c r="AD214" s="10"/>
      <c r="AE214" s="12"/>
      <c r="AF214" s="9"/>
      <c r="AG214" s="9"/>
      <c r="AH214" s="12"/>
      <c r="AI214" s="12"/>
      <c r="AJ214" s="12"/>
      <c r="AK214" s="12"/>
      <c r="AL214" s="12"/>
    </row>
    <row r="215" spans="2:38" ht="15.75" customHeight="1" x14ac:dyDescent="0.25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10"/>
      <c r="AD215" s="10"/>
      <c r="AE215" s="12"/>
      <c r="AF215" s="9"/>
      <c r="AG215" s="9"/>
      <c r="AH215" s="12"/>
      <c r="AI215" s="12"/>
      <c r="AJ215" s="12"/>
      <c r="AK215" s="12"/>
      <c r="AL215" s="12"/>
    </row>
    <row r="216" spans="2:38" ht="15.75" customHeight="1" x14ac:dyDescent="0.25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10"/>
      <c r="AD216" s="10"/>
      <c r="AE216" s="12"/>
      <c r="AF216" s="9"/>
      <c r="AG216" s="9"/>
      <c r="AH216" s="12"/>
      <c r="AI216" s="12"/>
      <c r="AJ216" s="12"/>
      <c r="AK216" s="12"/>
      <c r="AL216" s="12"/>
    </row>
    <row r="217" spans="2:38" ht="15.75" customHeight="1" x14ac:dyDescent="0.25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10"/>
      <c r="AD217" s="10"/>
      <c r="AE217" s="12"/>
      <c r="AF217" s="9"/>
      <c r="AG217" s="9"/>
      <c r="AH217" s="12"/>
      <c r="AI217" s="12"/>
      <c r="AJ217" s="12"/>
      <c r="AK217" s="12"/>
      <c r="AL217" s="12"/>
    </row>
    <row r="218" spans="2:38" ht="15.75" customHeight="1" x14ac:dyDescent="0.25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10"/>
      <c r="AD218" s="10"/>
      <c r="AE218" s="12"/>
      <c r="AF218" s="9"/>
      <c r="AG218" s="9"/>
      <c r="AH218" s="12"/>
      <c r="AI218" s="12"/>
      <c r="AJ218" s="12"/>
      <c r="AK218" s="12"/>
      <c r="AL218" s="12"/>
    </row>
    <row r="219" spans="2:38" ht="15.75" customHeight="1" x14ac:dyDescent="0.25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10"/>
      <c r="AD219" s="10"/>
      <c r="AE219" s="12"/>
      <c r="AF219" s="9"/>
      <c r="AG219" s="9"/>
      <c r="AH219" s="12"/>
      <c r="AI219" s="12"/>
      <c r="AJ219" s="12"/>
      <c r="AK219" s="12"/>
      <c r="AL219" s="12"/>
    </row>
    <row r="220" spans="2:38" ht="15.75" customHeight="1" x14ac:dyDescent="0.25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10"/>
      <c r="AD220" s="10"/>
      <c r="AE220" s="12"/>
      <c r="AF220" s="9"/>
      <c r="AG220" s="9"/>
      <c r="AH220" s="12"/>
      <c r="AI220" s="12"/>
      <c r="AJ220" s="12"/>
      <c r="AK220" s="12"/>
      <c r="AL220" s="12"/>
    </row>
    <row r="221" spans="2:38" ht="15.75" customHeight="1" x14ac:dyDescent="0.25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10"/>
      <c r="AD221" s="10"/>
      <c r="AE221" s="12"/>
      <c r="AF221" s="9"/>
      <c r="AG221" s="9"/>
      <c r="AH221" s="12"/>
      <c r="AI221" s="12"/>
      <c r="AJ221" s="12"/>
      <c r="AK221" s="12"/>
      <c r="AL221" s="12"/>
    </row>
    <row r="222" spans="2:38" ht="15.75" customHeight="1" x14ac:dyDescent="0.25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10"/>
      <c r="AD222" s="10"/>
      <c r="AE222" s="12"/>
      <c r="AF222" s="9"/>
      <c r="AG222" s="9"/>
      <c r="AH222" s="12"/>
      <c r="AI222" s="12"/>
      <c r="AJ222" s="12"/>
      <c r="AK222" s="12"/>
      <c r="AL222" s="12"/>
    </row>
    <row r="223" spans="2:38" ht="15.75" customHeight="1" x14ac:dyDescent="0.25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10"/>
      <c r="AD223" s="10"/>
      <c r="AE223" s="12"/>
      <c r="AF223" s="9"/>
      <c r="AG223" s="9"/>
      <c r="AH223" s="12"/>
      <c r="AI223" s="12"/>
      <c r="AJ223" s="12"/>
      <c r="AK223" s="12"/>
      <c r="AL223" s="12"/>
    </row>
    <row r="224" spans="2:38" ht="15.75" customHeight="1" x14ac:dyDescent="0.25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10"/>
      <c r="AD224" s="10"/>
      <c r="AE224" s="12"/>
      <c r="AF224" s="9"/>
      <c r="AG224" s="9"/>
      <c r="AH224" s="12"/>
      <c r="AI224" s="12"/>
      <c r="AJ224" s="12"/>
      <c r="AK224" s="12"/>
      <c r="AL224" s="12"/>
    </row>
    <row r="225" spans="2:38" ht="15.75" customHeight="1" x14ac:dyDescent="0.25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10"/>
      <c r="AD225" s="10"/>
      <c r="AE225" s="12"/>
      <c r="AF225" s="9"/>
      <c r="AG225" s="9"/>
      <c r="AH225" s="12"/>
      <c r="AI225" s="12"/>
      <c r="AJ225" s="12"/>
      <c r="AK225" s="12"/>
      <c r="AL225" s="12"/>
    </row>
    <row r="226" spans="2:38" ht="15.75" customHeight="1" x14ac:dyDescent="0.25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10"/>
      <c r="AD226" s="10"/>
      <c r="AE226" s="12"/>
      <c r="AF226" s="9"/>
      <c r="AG226" s="9"/>
      <c r="AH226" s="12"/>
      <c r="AI226" s="12"/>
      <c r="AJ226" s="12"/>
      <c r="AK226" s="12"/>
      <c r="AL226" s="12"/>
    </row>
    <row r="227" spans="2:38" ht="15.75" customHeight="1" x14ac:dyDescent="0.25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10"/>
      <c r="AD227" s="10"/>
      <c r="AE227" s="12"/>
      <c r="AF227" s="9"/>
      <c r="AG227" s="9"/>
      <c r="AH227" s="12"/>
      <c r="AI227" s="12"/>
      <c r="AJ227" s="12"/>
      <c r="AK227" s="12"/>
      <c r="AL227" s="12"/>
    </row>
    <row r="228" spans="2:38" ht="15.75" customHeight="1" x14ac:dyDescent="0.25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10"/>
      <c r="AD228" s="10"/>
      <c r="AE228" s="12"/>
      <c r="AF228" s="9"/>
      <c r="AG228" s="9"/>
      <c r="AH228" s="12"/>
      <c r="AI228" s="12"/>
      <c r="AJ228" s="12"/>
      <c r="AK228" s="12"/>
      <c r="AL228" s="12"/>
    </row>
    <row r="229" spans="2:38" ht="15.75" customHeight="1" x14ac:dyDescent="0.25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10"/>
      <c r="AD229" s="10"/>
      <c r="AE229" s="12"/>
      <c r="AF229" s="9"/>
      <c r="AG229" s="9"/>
      <c r="AH229" s="12"/>
      <c r="AI229" s="12"/>
      <c r="AJ229" s="12"/>
      <c r="AK229" s="12"/>
      <c r="AL229" s="12"/>
    </row>
    <row r="230" spans="2:38" ht="15.75" customHeight="1" x14ac:dyDescent="0.25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10"/>
      <c r="AD230" s="10"/>
      <c r="AE230" s="12"/>
      <c r="AF230" s="9"/>
      <c r="AG230" s="9"/>
      <c r="AH230" s="12"/>
      <c r="AI230" s="12"/>
      <c r="AJ230" s="12"/>
      <c r="AK230" s="12"/>
      <c r="AL230" s="12"/>
    </row>
    <row r="231" spans="2:38" ht="15.75" customHeight="1" x14ac:dyDescent="0.25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10"/>
      <c r="AD231" s="10"/>
      <c r="AE231" s="12"/>
      <c r="AF231" s="9"/>
      <c r="AG231" s="9"/>
      <c r="AH231" s="12"/>
      <c r="AI231" s="12"/>
      <c r="AJ231" s="12"/>
      <c r="AK231" s="12"/>
      <c r="AL231" s="12"/>
    </row>
    <row r="232" spans="2:38" ht="15.75" customHeight="1" x14ac:dyDescent="0.25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10"/>
      <c r="AD232" s="10"/>
      <c r="AE232" s="12"/>
      <c r="AF232" s="9"/>
      <c r="AG232" s="9"/>
      <c r="AH232" s="12"/>
      <c r="AI232" s="12"/>
      <c r="AJ232" s="12"/>
      <c r="AK232" s="12"/>
      <c r="AL232" s="12"/>
    </row>
    <row r="233" spans="2:38" ht="15.75" customHeight="1" x14ac:dyDescent="0.25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10"/>
      <c r="AD233" s="10"/>
      <c r="AE233" s="12"/>
      <c r="AF233" s="9"/>
      <c r="AG233" s="9"/>
      <c r="AH233" s="12"/>
      <c r="AI233" s="12"/>
      <c r="AJ233" s="12"/>
      <c r="AK233" s="12"/>
      <c r="AL233" s="12"/>
    </row>
    <row r="234" spans="2:38" ht="15.75" customHeight="1" x14ac:dyDescent="0.25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10"/>
      <c r="AD234" s="10"/>
      <c r="AE234" s="12"/>
      <c r="AF234" s="9"/>
      <c r="AG234" s="9"/>
      <c r="AH234" s="12"/>
      <c r="AI234" s="12"/>
      <c r="AJ234" s="12"/>
      <c r="AK234" s="12"/>
      <c r="AL234" s="12"/>
    </row>
    <row r="235" spans="2:38" ht="15.75" customHeight="1" x14ac:dyDescent="0.25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10"/>
      <c r="AD235" s="10"/>
      <c r="AE235" s="12"/>
      <c r="AF235" s="9"/>
      <c r="AG235" s="9"/>
      <c r="AH235" s="12"/>
      <c r="AI235" s="12"/>
      <c r="AJ235" s="12"/>
      <c r="AK235" s="12"/>
      <c r="AL235" s="12"/>
    </row>
    <row r="236" spans="2:38" ht="15.75" customHeight="1" x14ac:dyDescent="0.25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10"/>
      <c r="AD236" s="10"/>
      <c r="AE236" s="12"/>
      <c r="AF236" s="9"/>
      <c r="AG236" s="9"/>
      <c r="AH236" s="12"/>
      <c r="AI236" s="12"/>
      <c r="AJ236" s="12"/>
      <c r="AK236" s="12"/>
      <c r="AL236" s="12"/>
    </row>
    <row r="237" spans="2:38" ht="15.75" customHeight="1" x14ac:dyDescent="0.25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10"/>
      <c r="AD237" s="10"/>
      <c r="AE237" s="12"/>
      <c r="AF237" s="9"/>
      <c r="AG237" s="9"/>
      <c r="AH237" s="12"/>
      <c r="AI237" s="12"/>
      <c r="AJ237" s="12"/>
      <c r="AK237" s="12"/>
      <c r="AL237" s="12"/>
    </row>
    <row r="238" spans="2:38" ht="15.75" customHeight="1" x14ac:dyDescent="0.25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10"/>
      <c r="AD238" s="10"/>
      <c r="AE238" s="12"/>
      <c r="AF238" s="9"/>
      <c r="AG238" s="9"/>
      <c r="AH238" s="12"/>
      <c r="AI238" s="12"/>
      <c r="AJ238" s="12"/>
      <c r="AK238" s="12"/>
      <c r="AL238" s="12"/>
    </row>
    <row r="239" spans="2:38" ht="15.75" customHeight="1" x14ac:dyDescent="0.25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10"/>
      <c r="AD239" s="10"/>
      <c r="AE239" s="12"/>
      <c r="AF239" s="9"/>
      <c r="AG239" s="9"/>
      <c r="AH239" s="12"/>
      <c r="AI239" s="12"/>
      <c r="AJ239" s="12"/>
      <c r="AK239" s="12"/>
      <c r="AL239" s="12"/>
    </row>
    <row r="240" spans="2:38" ht="15.75" customHeight="1" x14ac:dyDescent="0.25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10"/>
      <c r="AD240" s="10"/>
      <c r="AE240" s="12"/>
      <c r="AF240" s="9"/>
      <c r="AG240" s="9"/>
      <c r="AH240" s="12"/>
      <c r="AI240" s="12"/>
      <c r="AJ240" s="12"/>
      <c r="AK240" s="12"/>
      <c r="AL240" s="12"/>
    </row>
    <row r="241" spans="2:38" ht="15.75" customHeight="1" x14ac:dyDescent="0.25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10"/>
      <c r="AD241" s="10"/>
      <c r="AE241" s="12"/>
      <c r="AF241" s="9"/>
      <c r="AG241" s="9"/>
      <c r="AH241" s="12"/>
      <c r="AI241" s="12"/>
      <c r="AJ241" s="12"/>
      <c r="AK241" s="12"/>
      <c r="AL241" s="12"/>
    </row>
    <row r="242" spans="2:38" ht="15.75" customHeight="1" x14ac:dyDescent="0.25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10"/>
      <c r="AD242" s="10"/>
      <c r="AE242" s="12"/>
      <c r="AF242" s="9"/>
      <c r="AG242" s="9"/>
      <c r="AH242" s="12"/>
      <c r="AI242" s="12"/>
      <c r="AJ242" s="12"/>
      <c r="AK242" s="12"/>
      <c r="AL242" s="12"/>
    </row>
    <row r="243" spans="2:38" ht="15.75" customHeight="1" x14ac:dyDescent="0.25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10"/>
      <c r="AD243" s="10"/>
      <c r="AE243" s="12"/>
      <c r="AF243" s="9"/>
      <c r="AG243" s="9"/>
      <c r="AH243" s="12"/>
      <c r="AI243" s="12"/>
      <c r="AJ243" s="12"/>
      <c r="AK243" s="12"/>
      <c r="AL243" s="12"/>
    </row>
    <row r="244" spans="2:38" ht="15.75" customHeight="1" x14ac:dyDescent="0.25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10"/>
      <c r="AD244" s="10"/>
      <c r="AE244" s="12"/>
      <c r="AF244" s="9"/>
      <c r="AG244" s="9"/>
      <c r="AH244" s="12"/>
      <c r="AI244" s="12"/>
      <c r="AJ244" s="12"/>
      <c r="AK244" s="12"/>
      <c r="AL244" s="12"/>
    </row>
    <row r="245" spans="2:38" ht="15.75" customHeight="1" x14ac:dyDescent="0.25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10"/>
      <c r="AD245" s="10"/>
      <c r="AE245" s="12"/>
      <c r="AF245" s="9"/>
      <c r="AG245" s="9"/>
      <c r="AH245" s="12"/>
      <c r="AI245" s="12"/>
      <c r="AJ245" s="12"/>
      <c r="AK245" s="12"/>
      <c r="AL245" s="12"/>
    </row>
    <row r="246" spans="2:38" ht="15.75" customHeight="1" x14ac:dyDescent="0.25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10"/>
      <c r="AD246" s="10"/>
      <c r="AE246" s="12"/>
      <c r="AF246" s="9"/>
      <c r="AG246" s="9"/>
      <c r="AH246" s="12"/>
      <c r="AI246" s="12"/>
      <c r="AJ246" s="12"/>
      <c r="AK246" s="12"/>
      <c r="AL246" s="12"/>
    </row>
    <row r="247" spans="2:38" ht="15.75" customHeight="1" x14ac:dyDescent="0.25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10"/>
      <c r="AD247" s="10"/>
      <c r="AE247" s="12"/>
      <c r="AF247" s="9"/>
      <c r="AG247" s="9"/>
      <c r="AH247" s="12"/>
      <c r="AI247" s="12"/>
      <c r="AJ247" s="12"/>
      <c r="AK247" s="12"/>
      <c r="AL247" s="12"/>
    </row>
    <row r="248" spans="2:38" ht="15.75" customHeight="1" x14ac:dyDescent="0.25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10"/>
      <c r="AD248" s="10"/>
      <c r="AE248" s="12"/>
      <c r="AF248" s="9"/>
      <c r="AG248" s="9"/>
      <c r="AH248" s="12"/>
      <c r="AI248" s="12"/>
      <c r="AJ248" s="12"/>
      <c r="AK248" s="12"/>
      <c r="AL248" s="12"/>
    </row>
    <row r="249" spans="2:38" ht="15.75" customHeight="1" x14ac:dyDescent="0.25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10"/>
      <c r="AD249" s="10"/>
      <c r="AE249" s="12"/>
      <c r="AF249" s="9"/>
      <c r="AG249" s="9"/>
      <c r="AH249" s="12"/>
      <c r="AI249" s="12"/>
      <c r="AJ249" s="12"/>
      <c r="AK249" s="12"/>
      <c r="AL249" s="12"/>
    </row>
    <row r="250" spans="2:38" ht="15.75" customHeight="1" x14ac:dyDescent="0.25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10"/>
      <c r="AD250" s="10"/>
      <c r="AE250" s="12"/>
      <c r="AF250" s="9"/>
      <c r="AG250" s="9"/>
      <c r="AH250" s="12"/>
      <c r="AI250" s="12"/>
      <c r="AJ250" s="12"/>
      <c r="AK250" s="12"/>
      <c r="AL250" s="12"/>
    </row>
    <row r="251" spans="2:38" ht="15.75" customHeight="1" x14ac:dyDescent="0.25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10"/>
      <c r="AD251" s="10"/>
      <c r="AE251" s="12"/>
      <c r="AF251" s="9"/>
      <c r="AG251" s="9"/>
      <c r="AH251" s="12"/>
      <c r="AI251" s="12"/>
      <c r="AJ251" s="12"/>
      <c r="AK251" s="12"/>
      <c r="AL251" s="12"/>
    </row>
    <row r="252" spans="2:38" ht="15.75" customHeight="1" x14ac:dyDescent="0.25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10"/>
      <c r="AD252" s="10"/>
      <c r="AE252" s="12"/>
      <c r="AF252" s="9"/>
      <c r="AG252" s="9"/>
      <c r="AH252" s="12"/>
      <c r="AI252" s="12"/>
      <c r="AJ252" s="12"/>
      <c r="AK252" s="12"/>
      <c r="AL252" s="12"/>
    </row>
    <row r="253" spans="2:38" ht="15.75" customHeight="1" x14ac:dyDescent="0.25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10"/>
      <c r="AD253" s="10"/>
      <c r="AE253" s="12"/>
      <c r="AF253" s="9"/>
      <c r="AG253" s="9"/>
      <c r="AH253" s="12"/>
      <c r="AI253" s="12"/>
      <c r="AJ253" s="12"/>
      <c r="AK253" s="12"/>
      <c r="AL253" s="12"/>
    </row>
    <row r="254" spans="2:38" ht="15.75" customHeight="1" x14ac:dyDescent="0.25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10"/>
      <c r="AD254" s="10"/>
      <c r="AE254" s="12"/>
      <c r="AF254" s="9"/>
      <c r="AG254" s="9"/>
      <c r="AH254" s="12"/>
      <c r="AI254" s="12"/>
      <c r="AJ254" s="12"/>
      <c r="AK254" s="12"/>
      <c r="AL254" s="12"/>
    </row>
    <row r="255" spans="2:38" ht="15.75" customHeight="1" x14ac:dyDescent="0.25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10"/>
      <c r="AD255" s="10"/>
      <c r="AE255" s="12"/>
      <c r="AF255" s="9"/>
      <c r="AG255" s="9"/>
      <c r="AH255" s="12"/>
      <c r="AI255" s="12"/>
      <c r="AJ255" s="12"/>
      <c r="AK255" s="12"/>
      <c r="AL255" s="12"/>
    </row>
    <row r="256" spans="2:38" ht="15.75" customHeight="1" x14ac:dyDescent="0.25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10"/>
      <c r="AD256" s="10"/>
      <c r="AE256" s="12"/>
      <c r="AF256" s="9"/>
      <c r="AG256" s="9"/>
      <c r="AH256" s="12"/>
      <c r="AI256" s="12"/>
      <c r="AJ256" s="12"/>
      <c r="AK256" s="12"/>
      <c r="AL256" s="12"/>
    </row>
    <row r="257" spans="2:38" ht="15.75" customHeight="1" x14ac:dyDescent="0.25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10"/>
      <c r="AD257" s="10"/>
      <c r="AE257" s="12"/>
      <c r="AF257" s="9"/>
      <c r="AG257" s="9"/>
      <c r="AH257" s="12"/>
      <c r="AI257" s="12"/>
      <c r="AJ257" s="12"/>
      <c r="AK257" s="12"/>
      <c r="AL257" s="12"/>
    </row>
    <row r="258" spans="2:38" ht="15.75" customHeight="1" x14ac:dyDescent="0.25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10"/>
      <c r="AD258" s="10"/>
      <c r="AE258" s="12"/>
      <c r="AF258" s="9"/>
      <c r="AG258" s="9"/>
      <c r="AH258" s="12"/>
      <c r="AI258" s="12"/>
      <c r="AJ258" s="12"/>
      <c r="AK258" s="12"/>
      <c r="AL258" s="12"/>
    </row>
    <row r="259" spans="2:38" ht="15.75" customHeight="1" x14ac:dyDescent="0.25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10"/>
      <c r="AD259" s="10"/>
      <c r="AE259" s="12"/>
      <c r="AF259" s="9"/>
      <c r="AG259" s="9"/>
      <c r="AH259" s="12"/>
      <c r="AI259" s="12"/>
      <c r="AJ259" s="12"/>
      <c r="AK259" s="12"/>
      <c r="AL259" s="12"/>
    </row>
    <row r="260" spans="2:38" ht="15.75" customHeight="1" x14ac:dyDescent="0.25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10"/>
      <c r="AD260" s="10"/>
      <c r="AE260" s="12"/>
      <c r="AF260" s="9"/>
      <c r="AG260" s="9"/>
      <c r="AH260" s="12"/>
      <c r="AI260" s="12"/>
      <c r="AJ260" s="12"/>
      <c r="AK260" s="12"/>
      <c r="AL260" s="12"/>
    </row>
    <row r="261" spans="2:38" ht="15.75" customHeight="1" x14ac:dyDescent="0.25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10"/>
      <c r="AD261" s="10"/>
      <c r="AE261" s="12"/>
      <c r="AF261" s="9"/>
      <c r="AG261" s="9"/>
      <c r="AH261" s="12"/>
      <c r="AI261" s="12"/>
      <c r="AJ261" s="12"/>
      <c r="AK261" s="12"/>
      <c r="AL261" s="12"/>
    </row>
    <row r="262" spans="2:38" ht="15.75" customHeight="1" x14ac:dyDescent="0.25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10"/>
      <c r="AD262" s="10"/>
      <c r="AE262" s="12"/>
      <c r="AF262" s="9"/>
      <c r="AG262" s="9"/>
      <c r="AH262" s="12"/>
      <c r="AI262" s="12"/>
      <c r="AJ262" s="12"/>
      <c r="AK262" s="12"/>
      <c r="AL262" s="12"/>
    </row>
    <row r="263" spans="2:38" ht="15.75" customHeight="1" x14ac:dyDescent="0.25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10"/>
      <c r="AD263" s="10"/>
      <c r="AE263" s="12"/>
      <c r="AF263" s="9"/>
      <c r="AG263" s="9"/>
      <c r="AH263" s="12"/>
      <c r="AI263" s="12"/>
      <c r="AJ263" s="12"/>
      <c r="AK263" s="12"/>
      <c r="AL263" s="12"/>
    </row>
    <row r="264" spans="2:38" ht="15.75" customHeight="1" x14ac:dyDescent="0.25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10"/>
      <c r="AD264" s="10"/>
      <c r="AE264" s="12"/>
      <c r="AF264" s="9"/>
      <c r="AG264" s="9"/>
      <c r="AH264" s="12"/>
      <c r="AI264" s="12"/>
      <c r="AJ264" s="12"/>
      <c r="AK264" s="12"/>
      <c r="AL264" s="12"/>
    </row>
    <row r="265" spans="2:38" ht="15.75" customHeight="1" x14ac:dyDescent="0.25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10"/>
      <c r="AD265" s="10"/>
      <c r="AE265" s="12"/>
      <c r="AF265" s="9"/>
      <c r="AG265" s="9"/>
      <c r="AH265" s="12"/>
      <c r="AI265" s="12"/>
      <c r="AJ265" s="12"/>
      <c r="AK265" s="12"/>
      <c r="AL265" s="12"/>
    </row>
    <row r="266" spans="2:38" ht="15.75" customHeight="1" x14ac:dyDescent="0.25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10"/>
      <c r="AD266" s="10"/>
      <c r="AE266" s="12"/>
      <c r="AF266" s="9"/>
      <c r="AG266" s="9"/>
      <c r="AH266" s="12"/>
      <c r="AI266" s="12"/>
      <c r="AJ266" s="12"/>
      <c r="AK266" s="12"/>
      <c r="AL266" s="12"/>
    </row>
    <row r="267" spans="2:38" ht="15.75" customHeight="1" x14ac:dyDescent="0.25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10"/>
      <c r="AD267" s="10"/>
      <c r="AE267" s="12"/>
      <c r="AF267" s="9"/>
      <c r="AG267" s="9"/>
      <c r="AH267" s="12"/>
      <c r="AI267" s="12"/>
      <c r="AJ267" s="12"/>
      <c r="AK267" s="12"/>
      <c r="AL267" s="12"/>
    </row>
    <row r="268" spans="2:38" ht="15.75" customHeight="1" x14ac:dyDescent="0.25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10"/>
      <c r="AD268" s="10"/>
      <c r="AE268" s="12"/>
      <c r="AF268" s="9"/>
      <c r="AG268" s="9"/>
      <c r="AH268" s="12"/>
      <c r="AI268" s="12"/>
      <c r="AJ268" s="12"/>
      <c r="AK268" s="12"/>
      <c r="AL268" s="12"/>
    </row>
    <row r="269" spans="2:38" ht="15.75" customHeight="1" x14ac:dyDescent="0.25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10"/>
      <c r="AD269" s="10"/>
      <c r="AE269" s="12"/>
      <c r="AF269" s="9"/>
      <c r="AG269" s="9"/>
      <c r="AH269" s="12"/>
      <c r="AI269" s="12"/>
      <c r="AJ269" s="12"/>
      <c r="AK269" s="12"/>
      <c r="AL269" s="12"/>
    </row>
    <row r="270" spans="2:38" ht="15.75" customHeight="1" x14ac:dyDescent="0.25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10"/>
      <c r="AD270" s="10"/>
      <c r="AE270" s="12"/>
      <c r="AF270" s="9"/>
      <c r="AG270" s="9"/>
      <c r="AH270" s="12"/>
      <c r="AI270" s="12"/>
      <c r="AJ270" s="12"/>
      <c r="AK270" s="12"/>
      <c r="AL270" s="12"/>
    </row>
    <row r="271" spans="2:38" ht="15.75" customHeight="1" x14ac:dyDescent="0.25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10"/>
      <c r="AD271" s="10"/>
      <c r="AE271" s="12"/>
      <c r="AF271" s="9"/>
      <c r="AG271" s="9"/>
      <c r="AH271" s="12"/>
      <c r="AI271" s="12"/>
      <c r="AJ271" s="12"/>
      <c r="AK271" s="12"/>
      <c r="AL271" s="12"/>
    </row>
    <row r="272" spans="2:38" ht="15.75" customHeight="1" x14ac:dyDescent="0.25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10"/>
      <c r="AD272" s="10"/>
      <c r="AE272" s="12"/>
      <c r="AF272" s="9"/>
      <c r="AG272" s="9"/>
      <c r="AH272" s="12"/>
      <c r="AI272" s="12"/>
      <c r="AJ272" s="12"/>
      <c r="AK272" s="12"/>
      <c r="AL272" s="12"/>
    </row>
    <row r="273" spans="2:38" ht="15.75" customHeight="1" x14ac:dyDescent="0.25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10"/>
      <c r="AD273" s="10"/>
      <c r="AE273" s="12"/>
      <c r="AF273" s="9"/>
      <c r="AG273" s="9"/>
      <c r="AH273" s="12"/>
      <c r="AI273" s="12"/>
      <c r="AJ273" s="12"/>
      <c r="AK273" s="12"/>
      <c r="AL273" s="12"/>
    </row>
    <row r="274" spans="2:38" ht="15.75" customHeight="1" x14ac:dyDescent="0.25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10"/>
      <c r="AD274" s="10"/>
      <c r="AE274" s="12"/>
      <c r="AF274" s="9"/>
      <c r="AG274" s="9"/>
      <c r="AH274" s="12"/>
      <c r="AI274" s="12"/>
      <c r="AJ274" s="12"/>
      <c r="AK274" s="12"/>
      <c r="AL274" s="12"/>
    </row>
    <row r="275" spans="2:38" ht="15.75" customHeight="1" x14ac:dyDescent="0.25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10"/>
      <c r="AD275" s="10"/>
      <c r="AE275" s="12"/>
      <c r="AF275" s="9"/>
      <c r="AG275" s="9"/>
      <c r="AH275" s="12"/>
      <c r="AI275" s="12"/>
      <c r="AJ275" s="12"/>
      <c r="AK275" s="12"/>
      <c r="AL275" s="12"/>
    </row>
    <row r="276" spans="2:38" ht="15.75" customHeight="1" x14ac:dyDescent="0.25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10"/>
      <c r="AD276" s="10"/>
      <c r="AE276" s="12"/>
      <c r="AF276" s="9"/>
      <c r="AG276" s="9"/>
      <c r="AH276" s="12"/>
      <c r="AI276" s="12"/>
      <c r="AJ276" s="12"/>
      <c r="AK276" s="12"/>
      <c r="AL276" s="12"/>
    </row>
    <row r="277" spans="2:38" ht="15.75" customHeight="1" x14ac:dyDescent="0.25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10"/>
      <c r="AD277" s="10"/>
      <c r="AE277" s="12"/>
      <c r="AF277" s="9"/>
      <c r="AG277" s="9"/>
      <c r="AH277" s="12"/>
      <c r="AI277" s="12"/>
      <c r="AJ277" s="12"/>
      <c r="AK277" s="12"/>
      <c r="AL277" s="12"/>
    </row>
    <row r="278" spans="2:38" ht="15.75" customHeight="1" x14ac:dyDescent="0.25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10"/>
      <c r="AD278" s="10"/>
      <c r="AE278" s="12"/>
      <c r="AF278" s="9"/>
      <c r="AG278" s="9"/>
      <c r="AH278" s="12"/>
      <c r="AI278" s="12"/>
      <c r="AJ278" s="12"/>
      <c r="AK278" s="12"/>
      <c r="AL278" s="12"/>
    </row>
    <row r="279" spans="2:38" ht="15.75" customHeight="1" x14ac:dyDescent="0.25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10"/>
      <c r="AD279" s="10"/>
      <c r="AE279" s="12"/>
      <c r="AF279" s="9"/>
      <c r="AG279" s="9"/>
      <c r="AH279" s="12"/>
      <c r="AI279" s="12"/>
      <c r="AJ279" s="12"/>
      <c r="AK279" s="12"/>
      <c r="AL279" s="12"/>
    </row>
    <row r="280" spans="2:38" ht="15.75" customHeight="1" x14ac:dyDescent="0.25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10"/>
      <c r="AD280" s="10"/>
      <c r="AE280" s="12"/>
      <c r="AF280" s="9"/>
      <c r="AG280" s="9"/>
      <c r="AH280" s="12"/>
      <c r="AI280" s="12"/>
      <c r="AJ280" s="12"/>
      <c r="AK280" s="12"/>
      <c r="AL280" s="12"/>
    </row>
    <row r="281" spans="2:38" ht="15.75" customHeight="1" x14ac:dyDescent="0.25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10"/>
      <c r="AD281" s="10"/>
      <c r="AE281" s="12"/>
      <c r="AF281" s="9"/>
      <c r="AG281" s="9"/>
      <c r="AH281" s="12"/>
      <c r="AI281" s="12"/>
      <c r="AJ281" s="12"/>
      <c r="AK281" s="12"/>
      <c r="AL281" s="12"/>
    </row>
    <row r="282" spans="2:38" ht="15.75" customHeight="1" x14ac:dyDescent="0.25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10"/>
      <c r="AD282" s="10"/>
      <c r="AE282" s="12"/>
      <c r="AF282" s="9"/>
      <c r="AG282" s="9"/>
      <c r="AH282" s="12"/>
      <c r="AI282" s="12"/>
      <c r="AJ282" s="12"/>
      <c r="AK282" s="12"/>
      <c r="AL282" s="12"/>
    </row>
    <row r="283" spans="2:38" ht="15.75" customHeight="1" x14ac:dyDescent="0.25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10"/>
      <c r="AD283" s="10"/>
      <c r="AE283" s="12"/>
      <c r="AF283" s="9"/>
      <c r="AG283" s="9"/>
      <c r="AH283" s="12"/>
      <c r="AI283" s="12"/>
      <c r="AJ283" s="12"/>
      <c r="AK283" s="12"/>
      <c r="AL283" s="12"/>
    </row>
    <row r="284" spans="2:38" ht="15.75" customHeight="1" x14ac:dyDescent="0.25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10"/>
      <c r="AD284" s="10"/>
      <c r="AE284" s="12"/>
      <c r="AF284" s="9"/>
      <c r="AG284" s="9"/>
      <c r="AH284" s="12"/>
      <c r="AI284" s="12"/>
      <c r="AJ284" s="12"/>
      <c r="AK284" s="12"/>
      <c r="AL284" s="12"/>
    </row>
    <row r="285" spans="2:38" ht="15.75" customHeight="1" x14ac:dyDescent="0.25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10"/>
      <c r="AD285" s="10"/>
      <c r="AE285" s="12"/>
      <c r="AF285" s="9"/>
      <c r="AG285" s="9"/>
      <c r="AH285" s="12"/>
      <c r="AI285" s="12"/>
      <c r="AJ285" s="12"/>
      <c r="AK285" s="12"/>
      <c r="AL285" s="12"/>
    </row>
    <row r="286" spans="2:38" ht="15.75" customHeight="1" x14ac:dyDescent="0.25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10"/>
      <c r="AD286" s="10"/>
      <c r="AE286" s="12"/>
      <c r="AF286" s="9"/>
      <c r="AG286" s="9"/>
      <c r="AH286" s="12"/>
      <c r="AI286" s="12"/>
      <c r="AJ286" s="12"/>
      <c r="AK286" s="12"/>
      <c r="AL286" s="12"/>
    </row>
    <row r="287" spans="2:38" ht="15.75" customHeight="1" x14ac:dyDescent="0.25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10"/>
      <c r="AD287" s="10"/>
      <c r="AE287" s="12"/>
      <c r="AF287" s="9"/>
      <c r="AG287" s="9"/>
      <c r="AH287" s="12"/>
      <c r="AI287" s="12"/>
      <c r="AJ287" s="12"/>
      <c r="AK287" s="12"/>
      <c r="AL287" s="12"/>
    </row>
    <row r="288" spans="2:38" ht="15.75" customHeight="1" x14ac:dyDescent="0.25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10"/>
      <c r="AD288" s="10"/>
      <c r="AE288" s="12"/>
      <c r="AF288" s="9"/>
      <c r="AG288" s="9"/>
      <c r="AH288" s="12"/>
      <c r="AI288" s="12"/>
      <c r="AJ288" s="12"/>
      <c r="AK288" s="12"/>
      <c r="AL288" s="12"/>
    </row>
    <row r="289" spans="1:38" ht="15.75" customHeight="1" x14ac:dyDescent="0.25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10"/>
      <c r="AD289" s="10"/>
      <c r="AE289" s="12"/>
      <c r="AF289" s="9"/>
      <c r="AG289" s="9"/>
      <c r="AH289" s="12"/>
      <c r="AI289" s="12"/>
      <c r="AJ289" s="12"/>
      <c r="AK289" s="12"/>
      <c r="AL289" s="12"/>
    </row>
    <row r="290" spans="1:38" ht="15.75" customHeight="1" x14ac:dyDescent="0.25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10"/>
      <c r="AD290" s="10"/>
      <c r="AE290" s="12"/>
      <c r="AF290" s="9"/>
      <c r="AG290" s="9"/>
      <c r="AH290" s="12"/>
      <c r="AI290" s="12"/>
      <c r="AJ290" s="12"/>
      <c r="AK290" s="12"/>
      <c r="AL290" s="12"/>
    </row>
    <row r="291" spans="1:38" ht="15.75" customHeight="1" x14ac:dyDescent="0.25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10"/>
      <c r="AD291" s="10"/>
      <c r="AE291" s="12"/>
      <c r="AF291" s="9"/>
      <c r="AG291" s="9"/>
      <c r="AH291" s="12"/>
      <c r="AI291" s="12"/>
      <c r="AJ291" s="12"/>
      <c r="AK291" s="12"/>
      <c r="AL291" s="12"/>
    </row>
    <row r="292" spans="1:38" ht="15.75" customHeight="1" x14ac:dyDescent="0.25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10"/>
      <c r="AD292" s="10"/>
      <c r="AE292" s="12"/>
      <c r="AF292" s="9"/>
      <c r="AG292" s="9"/>
      <c r="AH292" s="12"/>
      <c r="AI292" s="12"/>
      <c r="AJ292" s="12"/>
      <c r="AK292" s="12"/>
      <c r="AL292" s="12"/>
    </row>
    <row r="293" spans="1:38" ht="15.75" customHeight="1" x14ac:dyDescent="0.25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10"/>
      <c r="AD293" s="10"/>
      <c r="AE293" s="12"/>
      <c r="AF293" s="9"/>
      <c r="AG293" s="9"/>
      <c r="AH293" s="12"/>
      <c r="AI293" s="12"/>
      <c r="AJ293" s="12"/>
      <c r="AK293" s="12"/>
      <c r="AL293" s="12"/>
    </row>
    <row r="294" spans="1:38" ht="15.75" customHeight="1" x14ac:dyDescent="0.25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10"/>
      <c r="AD294" s="10"/>
      <c r="AE294" s="12"/>
      <c r="AF294" s="9"/>
      <c r="AG294" s="9"/>
      <c r="AH294" s="12"/>
      <c r="AI294" s="12"/>
      <c r="AJ294" s="12"/>
      <c r="AK294" s="12"/>
      <c r="AL294" s="12"/>
    </row>
    <row r="295" spans="1:38" ht="15.75" customHeight="1" x14ac:dyDescent="0.25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10"/>
      <c r="AD295" s="10"/>
      <c r="AE295" s="12"/>
      <c r="AF295" s="9"/>
      <c r="AG295" s="9"/>
      <c r="AH295" s="12"/>
      <c r="AI295" s="12"/>
      <c r="AJ295" s="12"/>
      <c r="AK295" s="12"/>
      <c r="AL295" s="12"/>
    </row>
    <row r="296" spans="1:38" ht="15.75" customHeight="1" x14ac:dyDescent="0.25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10"/>
      <c r="AD296" s="10"/>
      <c r="AE296" s="12"/>
      <c r="AF296" s="9"/>
      <c r="AG296" s="9"/>
      <c r="AH296" s="12"/>
      <c r="AI296" s="12"/>
      <c r="AJ296" s="12"/>
      <c r="AK296" s="12"/>
      <c r="AL296" s="12"/>
    </row>
    <row r="297" spans="1:38" ht="15.75" customHeight="1" x14ac:dyDescent="0.25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10"/>
      <c r="AD297" s="10"/>
      <c r="AE297" s="12"/>
      <c r="AF297" s="9"/>
      <c r="AG297" s="9"/>
      <c r="AH297" s="12"/>
      <c r="AI297" s="12"/>
      <c r="AJ297" s="12"/>
      <c r="AK297" s="12"/>
      <c r="AL297" s="12"/>
    </row>
    <row r="298" spans="1:38" ht="15.75" customHeight="1" x14ac:dyDescent="0.25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10"/>
      <c r="AD298" s="10"/>
      <c r="AE298" s="12"/>
      <c r="AF298" s="9"/>
      <c r="AG298" s="9"/>
      <c r="AH298" s="12"/>
      <c r="AI298" s="12"/>
      <c r="AJ298" s="12"/>
      <c r="AK298" s="12"/>
      <c r="AL298" s="12"/>
    </row>
    <row r="299" spans="1:38" ht="15.75" customHeight="1" x14ac:dyDescent="0.25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spans="1:38" ht="15.75" customHeight="1" x14ac:dyDescent="0.25">
      <c r="A300" s="1"/>
      <c r="B300" s="7"/>
      <c r="C300" s="7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</row>
    <row r="301" spans="1:38" ht="15.75" customHeight="1" x14ac:dyDescent="0.25">
      <c r="A301" s="1"/>
      <c r="B301" s="7"/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</row>
    <row r="302" spans="1:38" ht="15.75" customHeight="1" x14ac:dyDescent="0.25">
      <c r="A302" s="1"/>
      <c r="B302" s="7"/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</row>
    <row r="303" spans="1:38" ht="15.75" customHeight="1" x14ac:dyDescent="0.25"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spans="1:38" ht="15.75" customHeight="1" x14ac:dyDescent="0.25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spans="2:28" ht="15.75" customHeight="1" x14ac:dyDescent="0.25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spans="2:28" ht="15.75" customHeight="1" x14ac:dyDescent="0.25"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spans="2:28" ht="15.75" customHeight="1" x14ac:dyDescent="0.25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spans="2:28" ht="15.75" customHeight="1" x14ac:dyDescent="0.25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spans="2:28" ht="15.75" customHeight="1" x14ac:dyDescent="0.25"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spans="2:28" ht="15.75" customHeight="1" x14ac:dyDescent="0.25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spans="2:28" ht="15.75" customHeight="1" x14ac:dyDescent="0.25"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spans="2:28" ht="15.75" customHeight="1" x14ac:dyDescent="0.25"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spans="2:28" ht="15.75" customHeight="1" x14ac:dyDescent="0.25"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spans="2:28" ht="15.75" customHeight="1" x14ac:dyDescent="0.25"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spans="2:28" ht="15.75" customHeight="1" x14ac:dyDescent="0.25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spans="2:28" ht="15.75" customHeight="1" x14ac:dyDescent="0.25"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spans="2:28" ht="15.75" customHeight="1" x14ac:dyDescent="0.25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spans="2:28" ht="15.75" customHeight="1" x14ac:dyDescent="0.25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spans="2:28" ht="15.75" customHeight="1" x14ac:dyDescent="0.25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spans="2:28" ht="15.75" customHeight="1" x14ac:dyDescent="0.25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spans="2:28" ht="15.75" customHeight="1" x14ac:dyDescent="0.25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spans="2:28" ht="15.75" customHeight="1" x14ac:dyDescent="0.25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spans="2:28" ht="15.75" customHeight="1" x14ac:dyDescent="0.25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spans="2:28" ht="15.75" customHeight="1" x14ac:dyDescent="0.25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spans="2:28" ht="15.75" customHeight="1" x14ac:dyDescent="0.25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spans="2:28" ht="15.75" customHeight="1" x14ac:dyDescent="0.25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spans="2:28" ht="15.75" customHeight="1" x14ac:dyDescent="0.25"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spans="2:28" ht="15.75" customHeight="1" x14ac:dyDescent="0.25"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spans="2:28" ht="15.75" customHeight="1" x14ac:dyDescent="0.25"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spans="2:28" ht="15.75" customHeight="1" x14ac:dyDescent="0.25"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spans="2:28" ht="15.75" customHeight="1" x14ac:dyDescent="0.25"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spans="2:28" ht="15.75" customHeight="1" x14ac:dyDescent="0.25"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spans="2:28" ht="15.75" customHeight="1" x14ac:dyDescent="0.25"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spans="2:28" ht="15.75" customHeight="1" x14ac:dyDescent="0.25"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spans="2:28" ht="15.75" customHeight="1" x14ac:dyDescent="0.25"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spans="2:28" ht="15.75" customHeight="1" x14ac:dyDescent="0.25"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spans="2:28" ht="15.75" customHeight="1" x14ac:dyDescent="0.25"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spans="2:28" ht="15.75" customHeight="1" x14ac:dyDescent="0.25"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spans="2:28" ht="15.75" customHeight="1" x14ac:dyDescent="0.25"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spans="2:28" ht="15.75" customHeight="1" x14ac:dyDescent="0.25"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spans="2:28" ht="15.75" customHeight="1" x14ac:dyDescent="0.25"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spans="2:28" ht="15.75" customHeight="1" x14ac:dyDescent="0.25"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spans="2:28" ht="15.75" customHeight="1" x14ac:dyDescent="0.25"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spans="2:28" ht="15.75" customHeight="1" x14ac:dyDescent="0.25"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spans="2:28" ht="15.75" customHeight="1" x14ac:dyDescent="0.25"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spans="2:28" ht="15.75" customHeight="1" x14ac:dyDescent="0.25"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spans="2:28" ht="15.75" customHeight="1" x14ac:dyDescent="0.25"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spans="2:28" ht="15.75" customHeight="1" x14ac:dyDescent="0.25"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spans="2:28" ht="15.75" customHeight="1" x14ac:dyDescent="0.25"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spans="2:28" ht="15.75" customHeight="1" x14ac:dyDescent="0.25"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spans="2:28" ht="15.75" customHeight="1" x14ac:dyDescent="0.25"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spans="2:28" ht="15.75" customHeight="1" x14ac:dyDescent="0.25"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spans="2:28" ht="15.75" customHeight="1" x14ac:dyDescent="0.25"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spans="2:28" ht="15.75" customHeight="1" x14ac:dyDescent="0.25"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spans="2:28" ht="15.75" customHeight="1" x14ac:dyDescent="0.25"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spans="2:28" ht="15.75" customHeight="1" x14ac:dyDescent="0.25"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spans="2:28" ht="15.75" customHeight="1" x14ac:dyDescent="0.25"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spans="2:28" ht="15.75" customHeight="1" x14ac:dyDescent="0.25"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spans="2:28" ht="15.75" customHeight="1" x14ac:dyDescent="0.25"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spans="2:28" ht="15.75" customHeight="1" x14ac:dyDescent="0.25"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spans="2:28" ht="15.75" customHeight="1" x14ac:dyDescent="0.25"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spans="2:28" ht="15.75" customHeight="1" x14ac:dyDescent="0.25"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spans="2:28" ht="15.75" customHeight="1" x14ac:dyDescent="0.25"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spans="2:28" ht="15.75" customHeight="1" x14ac:dyDescent="0.25"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spans="2:28" ht="15.75" customHeight="1" x14ac:dyDescent="0.25"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spans="2:28" ht="15.75" customHeight="1" x14ac:dyDescent="0.25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spans="2:28" ht="15.75" customHeight="1" x14ac:dyDescent="0.25"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spans="2:28" ht="15.75" customHeight="1" x14ac:dyDescent="0.25"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spans="2:28" ht="15.75" customHeight="1" x14ac:dyDescent="0.25"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spans="2:28" ht="15.75" customHeight="1" x14ac:dyDescent="0.25"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spans="2:28" ht="15.75" customHeight="1" x14ac:dyDescent="0.25"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spans="2:28" ht="15.75" customHeight="1" x14ac:dyDescent="0.25"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spans="2:28" ht="15.75" customHeight="1" x14ac:dyDescent="0.25"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spans="2:28" ht="15.75" customHeight="1" x14ac:dyDescent="0.25"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spans="2:28" ht="15.75" customHeight="1" x14ac:dyDescent="0.25"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spans="2:28" ht="15.75" customHeight="1" x14ac:dyDescent="0.25"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spans="2:28" ht="15.75" customHeight="1" x14ac:dyDescent="0.25"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spans="2:28" ht="15.75" customHeight="1" x14ac:dyDescent="0.25"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spans="2:28" ht="15.75" customHeight="1" x14ac:dyDescent="0.25"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spans="2:28" ht="15.75" customHeight="1" x14ac:dyDescent="0.25"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spans="2:28" ht="15.75" customHeight="1" x14ac:dyDescent="0.25"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spans="2:28" ht="15.75" customHeight="1" x14ac:dyDescent="0.25"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spans="2:28" ht="15.75" customHeight="1" x14ac:dyDescent="0.25"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spans="2:28" ht="15.75" customHeight="1" x14ac:dyDescent="0.25"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spans="2:28" ht="15.75" customHeight="1" x14ac:dyDescent="0.25"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spans="2:28" ht="15.75" customHeight="1" x14ac:dyDescent="0.25"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spans="2:28" ht="15.75" customHeight="1" x14ac:dyDescent="0.25"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spans="2:28" ht="15.75" customHeight="1" x14ac:dyDescent="0.25"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spans="2:28" ht="15.75" customHeight="1" x14ac:dyDescent="0.25"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spans="2:28" ht="15.75" customHeight="1" x14ac:dyDescent="0.25"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spans="2:28" ht="15.75" customHeight="1" x14ac:dyDescent="0.25"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spans="2:28" ht="15.75" customHeight="1" x14ac:dyDescent="0.25"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spans="2:28" ht="15.75" customHeight="1" x14ac:dyDescent="0.25"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spans="2:28" ht="15.75" customHeight="1" x14ac:dyDescent="0.25"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spans="2:28" ht="15.75" customHeight="1" x14ac:dyDescent="0.25"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spans="2:28" ht="15.75" customHeight="1" x14ac:dyDescent="0.25"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spans="2:28" ht="15.75" customHeight="1" x14ac:dyDescent="0.25"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spans="2:28" ht="15.75" customHeight="1" x14ac:dyDescent="0.25"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spans="2:28" ht="15.75" customHeight="1" x14ac:dyDescent="0.25"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spans="2:28" ht="15.75" customHeight="1" x14ac:dyDescent="0.25"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spans="2:28" ht="15.75" customHeight="1" x14ac:dyDescent="0.25"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spans="2:28" ht="15.75" customHeight="1" x14ac:dyDescent="0.25"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spans="2:28" ht="15.75" customHeight="1" x14ac:dyDescent="0.25"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spans="2:28" ht="15.75" customHeight="1" x14ac:dyDescent="0.25"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spans="2:28" ht="15.75" customHeight="1" x14ac:dyDescent="0.25"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spans="2:28" ht="15.75" customHeight="1" x14ac:dyDescent="0.25"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spans="2:28" ht="15.75" customHeight="1" x14ac:dyDescent="0.25"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spans="2:28" ht="15.75" customHeight="1" x14ac:dyDescent="0.25"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spans="2:28" ht="15.75" customHeight="1" x14ac:dyDescent="0.25"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spans="2:28" ht="15.75" customHeight="1" x14ac:dyDescent="0.25"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spans="2:28" ht="15.75" customHeight="1" x14ac:dyDescent="0.25"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spans="2:28" ht="15.75" customHeight="1" x14ac:dyDescent="0.25"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spans="2:28" ht="15.75" customHeight="1" x14ac:dyDescent="0.25"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spans="2:28" ht="15.75" customHeight="1" x14ac:dyDescent="0.25"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spans="2:28" ht="15.75" customHeight="1" x14ac:dyDescent="0.25"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spans="2:28" ht="15.75" customHeight="1" x14ac:dyDescent="0.25"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spans="2:28" ht="15.75" customHeight="1" x14ac:dyDescent="0.25"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spans="2:28" ht="15.75" customHeight="1" x14ac:dyDescent="0.25"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spans="2:28" ht="15.75" customHeight="1" x14ac:dyDescent="0.25"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spans="2:28" ht="15.75" customHeight="1" x14ac:dyDescent="0.25"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spans="2:28" ht="15.75" customHeight="1" x14ac:dyDescent="0.25"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spans="2:28" ht="15.75" customHeight="1" x14ac:dyDescent="0.25"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spans="2:28" ht="15.75" customHeight="1" x14ac:dyDescent="0.25"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spans="2:28" ht="15.75" customHeight="1" x14ac:dyDescent="0.25"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spans="2:28" ht="15.75" customHeight="1" x14ac:dyDescent="0.25"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spans="2:28" ht="15.75" customHeight="1" x14ac:dyDescent="0.25"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spans="2:28" ht="15.75" customHeight="1" x14ac:dyDescent="0.25"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spans="2:28" ht="15.75" customHeight="1" x14ac:dyDescent="0.25"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spans="2:28" ht="15.75" customHeight="1" x14ac:dyDescent="0.25"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spans="2:28" ht="15.75" customHeight="1" x14ac:dyDescent="0.25"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spans="2:28" ht="15.75" customHeight="1" x14ac:dyDescent="0.25"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spans="2:28" ht="15.75" customHeight="1" x14ac:dyDescent="0.25"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spans="2:28" ht="15.75" customHeight="1" x14ac:dyDescent="0.25"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spans="2:28" ht="15.75" customHeight="1" x14ac:dyDescent="0.25"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spans="2:28" ht="15.75" customHeight="1" x14ac:dyDescent="0.25"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spans="2:28" ht="15.75" customHeight="1" x14ac:dyDescent="0.25"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spans="2:28" ht="15.75" customHeight="1" x14ac:dyDescent="0.25"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spans="2:28" ht="15.75" customHeight="1" x14ac:dyDescent="0.25"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spans="2:28" ht="15.75" customHeight="1" x14ac:dyDescent="0.25"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spans="2:28" ht="15.75" customHeight="1" x14ac:dyDescent="0.25"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spans="2:28" ht="15.75" customHeight="1" x14ac:dyDescent="0.25"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spans="2:28" ht="15.75" customHeight="1" x14ac:dyDescent="0.25"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spans="2:28" ht="15.75" customHeight="1" x14ac:dyDescent="0.25"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spans="2:28" ht="15.75" customHeight="1" x14ac:dyDescent="0.25"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spans="2:28" ht="15.75" customHeight="1" x14ac:dyDescent="0.25"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spans="2:28" ht="15.75" customHeight="1" x14ac:dyDescent="0.25"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spans="2:28" ht="15.75" customHeight="1" x14ac:dyDescent="0.25"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spans="2:28" ht="15.75" customHeight="1" x14ac:dyDescent="0.25"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spans="2:28" ht="15.75" customHeight="1" x14ac:dyDescent="0.25"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spans="2:28" ht="15.75" customHeight="1" x14ac:dyDescent="0.25"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spans="2:28" ht="15.75" customHeight="1" x14ac:dyDescent="0.25"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spans="2:28" ht="15.75" customHeight="1" x14ac:dyDescent="0.25"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spans="2:28" ht="15.75" customHeight="1" x14ac:dyDescent="0.25"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spans="2:28" ht="15.75" customHeight="1" x14ac:dyDescent="0.25"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spans="2:28" ht="15.75" customHeight="1" x14ac:dyDescent="0.25"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spans="2:28" ht="15.75" customHeight="1" x14ac:dyDescent="0.25"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spans="2:28" ht="15.75" customHeight="1" x14ac:dyDescent="0.25"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spans="2:28" ht="15.75" customHeight="1" x14ac:dyDescent="0.25"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spans="2:28" ht="15.75" customHeight="1" x14ac:dyDescent="0.25"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spans="2:28" ht="15.75" customHeight="1" x14ac:dyDescent="0.25"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spans="2:28" ht="15.75" customHeight="1" x14ac:dyDescent="0.25"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spans="2:28" ht="15.75" customHeight="1" x14ac:dyDescent="0.25"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spans="2:28" ht="15.75" customHeight="1" x14ac:dyDescent="0.25"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spans="2:28" ht="15.75" customHeight="1" x14ac:dyDescent="0.25"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spans="2:28" ht="15.75" customHeight="1" x14ac:dyDescent="0.25"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spans="2:28" ht="15.75" customHeight="1" x14ac:dyDescent="0.25"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spans="2:28" ht="15.75" customHeight="1" x14ac:dyDescent="0.25"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spans="2:28" ht="15.75" customHeight="1" x14ac:dyDescent="0.25"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spans="2:28" ht="15.75" customHeight="1" x14ac:dyDescent="0.25"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spans="2:28" ht="15.75" customHeight="1" x14ac:dyDescent="0.25"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spans="2:28" ht="15.75" customHeight="1" x14ac:dyDescent="0.25"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spans="2:28" ht="15.75" customHeight="1" x14ac:dyDescent="0.25"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spans="2:28" ht="15.75" customHeight="1" x14ac:dyDescent="0.25"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spans="2:28" ht="15.75" customHeight="1" x14ac:dyDescent="0.25"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spans="2:28" ht="15.75" customHeight="1" x14ac:dyDescent="0.25"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spans="2:28" ht="15.75" customHeight="1" x14ac:dyDescent="0.25"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spans="2:28" ht="15.75" customHeight="1" x14ac:dyDescent="0.25"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spans="2:28" ht="15.75" customHeight="1" x14ac:dyDescent="0.25"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spans="2:28" ht="15.75" customHeight="1" x14ac:dyDescent="0.25"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spans="2:28" ht="15.75" customHeight="1" x14ac:dyDescent="0.25"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spans="2:28" ht="15.75" customHeight="1" x14ac:dyDescent="0.25"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spans="2:28" ht="15.75" customHeight="1" x14ac:dyDescent="0.25"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spans="2:28" ht="15.75" customHeight="1" x14ac:dyDescent="0.25"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spans="2:28" ht="15.75" customHeight="1" x14ac:dyDescent="0.25"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spans="2:28" ht="15.75" customHeight="1" x14ac:dyDescent="0.25"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spans="2:28" ht="15.75" customHeight="1" x14ac:dyDescent="0.25"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spans="2:28" ht="15.75" customHeight="1" x14ac:dyDescent="0.25"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spans="2:28" ht="15.75" customHeight="1" x14ac:dyDescent="0.25"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spans="2:28" ht="15.75" customHeight="1" x14ac:dyDescent="0.25"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spans="2:28" ht="15.75" customHeight="1" x14ac:dyDescent="0.25"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spans="2:28" ht="15.75" customHeight="1" x14ac:dyDescent="0.25"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spans="2:28" ht="15.75" customHeight="1" x14ac:dyDescent="0.25"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spans="2:28" ht="15.75" customHeight="1" x14ac:dyDescent="0.25"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spans="2:28" ht="15.75" customHeight="1" x14ac:dyDescent="0.25"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spans="2:28" ht="15.75" customHeight="1" x14ac:dyDescent="0.25"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spans="2:28" ht="15.75" customHeight="1" x14ac:dyDescent="0.25"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spans="2:28" ht="15.75" customHeight="1" x14ac:dyDescent="0.25"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spans="2:28" ht="15.75" customHeight="1" x14ac:dyDescent="0.25"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spans="2:28" ht="15.75" customHeight="1" x14ac:dyDescent="0.25"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spans="2:28" ht="15.75" customHeight="1" x14ac:dyDescent="0.25"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spans="2:28" ht="15.75" customHeight="1" x14ac:dyDescent="0.25"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spans="2:28" ht="15.75" customHeight="1" x14ac:dyDescent="0.25"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spans="2:28" ht="15.75" customHeight="1" x14ac:dyDescent="0.25"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spans="2:28" ht="15.75" customHeight="1" x14ac:dyDescent="0.25"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spans="2:28" ht="15.75" customHeight="1" x14ac:dyDescent="0.25"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spans="2:28" ht="15.75" customHeight="1" x14ac:dyDescent="0.25"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spans="2:28" ht="15.75" customHeight="1" x14ac:dyDescent="0.25"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spans="2:28" ht="15.75" customHeight="1" x14ac:dyDescent="0.25"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spans="2:28" ht="15.75" customHeight="1" x14ac:dyDescent="0.25"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spans="2:28" ht="15.75" customHeight="1" x14ac:dyDescent="0.25"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spans="2:28" ht="15.75" customHeight="1" x14ac:dyDescent="0.25"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spans="2:28" ht="15.75" customHeight="1" x14ac:dyDescent="0.25"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spans="2:28" ht="15.75" customHeight="1" x14ac:dyDescent="0.25"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spans="2:28" ht="15.75" customHeight="1" x14ac:dyDescent="0.25"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spans="2:28" ht="15.75" customHeight="1" x14ac:dyDescent="0.25"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spans="2:28" ht="15.75" customHeight="1" x14ac:dyDescent="0.25"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spans="2:28" ht="15.75" customHeight="1" x14ac:dyDescent="0.25"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spans="2:28" ht="15.75" customHeight="1" x14ac:dyDescent="0.25"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spans="2:28" ht="15.75" customHeight="1" x14ac:dyDescent="0.25"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spans="2:28" ht="15.75" customHeight="1" x14ac:dyDescent="0.25"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spans="2:28" ht="15.75" customHeight="1" x14ac:dyDescent="0.25"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spans="2:28" ht="15.75" customHeight="1" x14ac:dyDescent="0.25"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spans="2:28" ht="15.75" customHeight="1" x14ac:dyDescent="0.25"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spans="2:28" ht="15.75" customHeight="1" x14ac:dyDescent="0.25"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spans="2:28" ht="15.75" customHeight="1" x14ac:dyDescent="0.25"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spans="2:28" ht="15.75" customHeight="1" x14ac:dyDescent="0.25"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spans="2:28" ht="15.75" customHeight="1" x14ac:dyDescent="0.25"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spans="2:28" ht="15.75" customHeight="1" x14ac:dyDescent="0.25"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spans="2:28" ht="15.75" customHeight="1" x14ac:dyDescent="0.25"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spans="2:28" ht="15.75" customHeight="1" x14ac:dyDescent="0.25"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spans="2:28" ht="15.75" customHeight="1" x14ac:dyDescent="0.25"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spans="2:28" ht="15.75" customHeight="1" x14ac:dyDescent="0.25"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spans="2:28" ht="15.75" customHeight="1" x14ac:dyDescent="0.25"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spans="2:28" ht="15.75" customHeight="1" x14ac:dyDescent="0.25"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spans="2:28" ht="15.75" customHeight="1" x14ac:dyDescent="0.25"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spans="2:28" ht="15.75" customHeight="1" x14ac:dyDescent="0.25"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spans="2:28" ht="15.75" customHeight="1" x14ac:dyDescent="0.25"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spans="2:28" ht="15.75" customHeight="1" x14ac:dyDescent="0.25"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spans="2:28" ht="15.75" customHeight="1" x14ac:dyDescent="0.25"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spans="2:28" ht="15.75" customHeight="1" x14ac:dyDescent="0.25"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spans="2:28" ht="15.75" customHeight="1" x14ac:dyDescent="0.25"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spans="2:28" ht="15.75" customHeight="1" x14ac:dyDescent="0.25"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spans="2:28" ht="15.75" customHeight="1" x14ac:dyDescent="0.25"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spans="2:28" ht="15.75" customHeight="1" x14ac:dyDescent="0.25"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spans="2:28" ht="15.75" customHeight="1" x14ac:dyDescent="0.25"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spans="2:28" ht="15.75" customHeight="1" x14ac:dyDescent="0.25"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spans="2:28" ht="15.75" customHeight="1" x14ac:dyDescent="0.25"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spans="2:28" ht="15.75" customHeight="1" x14ac:dyDescent="0.25"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spans="2:28" ht="15.75" customHeight="1" x14ac:dyDescent="0.25"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spans="2:28" ht="15.75" customHeight="1" x14ac:dyDescent="0.25"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spans="2:28" ht="15.75" customHeight="1" x14ac:dyDescent="0.25"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spans="2:28" ht="15.75" customHeight="1" x14ac:dyDescent="0.25"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spans="2:28" ht="15.75" customHeight="1" x14ac:dyDescent="0.25"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spans="2:28" ht="15.75" customHeight="1" x14ac:dyDescent="0.25"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spans="2:28" ht="15.75" customHeight="1" x14ac:dyDescent="0.25"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spans="2:28" ht="15.75" customHeight="1" x14ac:dyDescent="0.25"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spans="2:28" ht="15.75" customHeight="1" x14ac:dyDescent="0.25"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spans="2:28" ht="15.75" customHeight="1" x14ac:dyDescent="0.25"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spans="2:28" ht="15.75" customHeight="1" x14ac:dyDescent="0.25"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spans="2:28" ht="15.75" customHeight="1" x14ac:dyDescent="0.25"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spans="2:28" ht="15.75" customHeight="1" x14ac:dyDescent="0.25"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spans="2:28" ht="15.75" customHeight="1" x14ac:dyDescent="0.25"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spans="2:28" ht="15.75" customHeight="1" x14ac:dyDescent="0.25"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spans="2:28" ht="15.75" customHeight="1" x14ac:dyDescent="0.25"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spans="2:28" ht="15.75" customHeight="1" x14ac:dyDescent="0.25"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spans="2:28" ht="15.75" customHeight="1" x14ac:dyDescent="0.25"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spans="2:28" ht="15.75" customHeight="1" x14ac:dyDescent="0.25"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spans="2:28" ht="15.75" customHeight="1" x14ac:dyDescent="0.25"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spans="2:28" ht="15.75" customHeight="1" x14ac:dyDescent="0.25"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spans="2:28" ht="15.75" customHeight="1" x14ac:dyDescent="0.25"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spans="2:28" ht="15.75" customHeight="1" x14ac:dyDescent="0.25"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spans="2:28" ht="15.75" customHeight="1" x14ac:dyDescent="0.25"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spans="2:28" ht="15.75" customHeight="1" x14ac:dyDescent="0.25"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spans="2:28" ht="15.75" customHeight="1" x14ac:dyDescent="0.25"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spans="2:28" ht="15.75" customHeight="1" x14ac:dyDescent="0.25"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spans="2:28" ht="15.75" customHeight="1" x14ac:dyDescent="0.25"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spans="2:28" ht="15.75" customHeight="1" x14ac:dyDescent="0.25"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spans="2:28" ht="15.75" customHeight="1" x14ac:dyDescent="0.25"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spans="2:28" ht="15.75" customHeight="1" x14ac:dyDescent="0.25"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spans="2:28" ht="15.75" customHeight="1" x14ac:dyDescent="0.25"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spans="2:28" ht="15.75" customHeight="1" x14ac:dyDescent="0.25"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spans="2:28" ht="15.75" customHeight="1" x14ac:dyDescent="0.25"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spans="2:28" ht="15.75" customHeight="1" x14ac:dyDescent="0.25"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spans="2:28" ht="15.75" customHeight="1" x14ac:dyDescent="0.25"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spans="2:28" ht="15.75" customHeight="1" x14ac:dyDescent="0.25"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spans="2:28" ht="15.75" customHeight="1" x14ac:dyDescent="0.25"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spans="2:28" ht="15.75" customHeight="1" x14ac:dyDescent="0.25"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spans="2:28" ht="15.75" customHeight="1" x14ac:dyDescent="0.25"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spans="2:28" ht="15.75" customHeight="1" x14ac:dyDescent="0.25"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spans="2:28" ht="15.75" customHeight="1" x14ac:dyDescent="0.25"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spans="2:28" ht="15.75" customHeight="1" x14ac:dyDescent="0.25"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spans="2:28" ht="15.75" customHeight="1" x14ac:dyDescent="0.25"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spans="2:28" ht="15.75" customHeight="1" x14ac:dyDescent="0.25"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spans="2:28" ht="15.75" customHeight="1" x14ac:dyDescent="0.25"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spans="2:28" ht="15.75" customHeight="1" x14ac:dyDescent="0.25"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spans="2:28" ht="15.75" customHeight="1" x14ac:dyDescent="0.25"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spans="2:28" ht="15.75" customHeight="1" x14ac:dyDescent="0.25"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spans="2:28" ht="15.75" customHeight="1" x14ac:dyDescent="0.25"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spans="2:28" ht="15.75" customHeight="1" x14ac:dyDescent="0.25"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spans="2:28" ht="15.75" customHeight="1" x14ac:dyDescent="0.25"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spans="2:28" ht="15.75" customHeight="1" x14ac:dyDescent="0.25"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spans="2:28" ht="15.75" customHeight="1" x14ac:dyDescent="0.25"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spans="2:28" ht="15.75" customHeight="1" x14ac:dyDescent="0.25"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spans="2:28" ht="15.75" customHeight="1" x14ac:dyDescent="0.25"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spans="2:28" ht="15.75" customHeight="1" x14ac:dyDescent="0.25"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spans="2:28" ht="15.75" customHeight="1" x14ac:dyDescent="0.25"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spans="2:28" ht="15.75" customHeight="1" x14ac:dyDescent="0.25"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spans="2:28" ht="15.75" customHeight="1" x14ac:dyDescent="0.25"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spans="2:28" ht="15.75" customHeight="1" x14ac:dyDescent="0.25"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spans="2:28" ht="15.75" customHeight="1" x14ac:dyDescent="0.25"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spans="2:28" ht="15.75" customHeight="1" x14ac:dyDescent="0.25"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spans="2:28" ht="15.75" customHeight="1" x14ac:dyDescent="0.25"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spans="2:28" ht="15.75" customHeight="1" x14ac:dyDescent="0.25"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spans="2:28" ht="15.75" customHeight="1" x14ac:dyDescent="0.25"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spans="2:28" ht="15.75" customHeight="1" x14ac:dyDescent="0.25"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spans="2:28" ht="15.75" customHeight="1" x14ac:dyDescent="0.25"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spans="2:28" ht="15.75" customHeight="1" x14ac:dyDescent="0.25"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spans="2:28" ht="15.75" customHeight="1" x14ac:dyDescent="0.25"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spans="2:28" ht="15.75" customHeight="1" x14ac:dyDescent="0.25"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spans="2:28" ht="15.75" customHeight="1" x14ac:dyDescent="0.25"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spans="2:28" ht="15.75" customHeight="1" x14ac:dyDescent="0.25"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spans="2:28" ht="15.75" customHeight="1" x14ac:dyDescent="0.25"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spans="2:28" ht="15.75" customHeight="1" x14ac:dyDescent="0.25"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spans="2:28" ht="15.75" customHeight="1" x14ac:dyDescent="0.25"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spans="2:28" ht="15.75" customHeight="1" x14ac:dyDescent="0.25"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spans="2:28" ht="15.75" customHeight="1" x14ac:dyDescent="0.25"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spans="2:28" ht="15.75" customHeight="1" x14ac:dyDescent="0.25"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spans="2:28" ht="15.75" customHeight="1" x14ac:dyDescent="0.25"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spans="2:28" ht="15.75" customHeight="1" x14ac:dyDescent="0.25"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spans="2:28" ht="15.75" customHeight="1" x14ac:dyDescent="0.25"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spans="2:28" ht="15.75" customHeight="1" x14ac:dyDescent="0.25"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spans="2:28" ht="15.75" customHeight="1" x14ac:dyDescent="0.25"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spans="2:28" ht="15.75" customHeight="1" x14ac:dyDescent="0.25"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spans="2:28" ht="15.75" customHeight="1" x14ac:dyDescent="0.25"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spans="2:28" ht="15.75" customHeight="1" x14ac:dyDescent="0.25"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spans="2:28" ht="15.75" customHeight="1" x14ac:dyDescent="0.25"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spans="2:28" ht="15.75" customHeight="1" x14ac:dyDescent="0.25"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spans="2:28" ht="15.75" customHeight="1" x14ac:dyDescent="0.25"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spans="2:28" ht="15.75" customHeight="1" x14ac:dyDescent="0.25"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spans="2:28" ht="15.75" customHeight="1" x14ac:dyDescent="0.25"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spans="2:28" ht="15.75" customHeight="1" x14ac:dyDescent="0.25"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spans="2:28" ht="15.75" customHeight="1" x14ac:dyDescent="0.25"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spans="2:28" ht="15.75" customHeight="1" x14ac:dyDescent="0.25"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spans="2:28" ht="15.75" customHeight="1" x14ac:dyDescent="0.25"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spans="2:28" ht="15.75" customHeight="1" x14ac:dyDescent="0.25"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spans="2:28" ht="15.75" customHeight="1" x14ac:dyDescent="0.25"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spans="2:28" ht="15.75" customHeight="1" x14ac:dyDescent="0.25"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spans="2:28" ht="15.75" customHeight="1" x14ac:dyDescent="0.25"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spans="2:28" ht="15.75" customHeight="1" x14ac:dyDescent="0.25"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spans="2:28" ht="15.75" customHeight="1" x14ac:dyDescent="0.25"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spans="2:28" ht="15.75" customHeight="1" x14ac:dyDescent="0.25"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spans="2:28" ht="15.75" customHeight="1" x14ac:dyDescent="0.25"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spans="2:28" ht="15.75" customHeight="1" x14ac:dyDescent="0.25"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spans="2:28" ht="15.75" customHeight="1" x14ac:dyDescent="0.25"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spans="2:28" ht="15.75" customHeight="1" x14ac:dyDescent="0.25"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spans="2:28" ht="15.75" customHeight="1" x14ac:dyDescent="0.25"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spans="2:28" ht="15.75" customHeight="1" x14ac:dyDescent="0.25"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spans="2:28" ht="15.75" customHeight="1" x14ac:dyDescent="0.25"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spans="2:28" ht="15.75" customHeight="1" x14ac:dyDescent="0.25"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spans="2:28" ht="15.75" customHeight="1" x14ac:dyDescent="0.25"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spans="2:28" ht="15.75" customHeight="1" x14ac:dyDescent="0.25"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spans="2:28" ht="15.75" customHeight="1" x14ac:dyDescent="0.25"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spans="2:28" ht="15.75" customHeight="1" x14ac:dyDescent="0.25"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spans="2:28" ht="15.75" customHeight="1" x14ac:dyDescent="0.25"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spans="2:28" ht="15.75" customHeight="1" x14ac:dyDescent="0.25"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spans="2:28" ht="15.75" customHeight="1" x14ac:dyDescent="0.25"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spans="2:28" ht="15.75" customHeight="1" x14ac:dyDescent="0.25"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spans="2:28" ht="15.75" customHeight="1" x14ac:dyDescent="0.25"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spans="2:28" ht="15.75" customHeight="1" x14ac:dyDescent="0.25"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spans="2:28" ht="15.75" customHeight="1" x14ac:dyDescent="0.25"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spans="2:28" ht="15.75" customHeight="1" x14ac:dyDescent="0.25"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spans="2:28" ht="15.75" customHeight="1" x14ac:dyDescent="0.25"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spans="2:28" ht="15.75" customHeight="1" x14ac:dyDescent="0.25"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spans="2:28" ht="15.75" customHeight="1" x14ac:dyDescent="0.25"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spans="2:28" ht="15.75" customHeight="1" x14ac:dyDescent="0.25"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spans="2:28" ht="15.75" customHeight="1" x14ac:dyDescent="0.25"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spans="2:28" ht="15.75" customHeight="1" x14ac:dyDescent="0.25"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spans="2:28" ht="15.75" customHeight="1" x14ac:dyDescent="0.25"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spans="2:28" ht="15.75" customHeight="1" x14ac:dyDescent="0.25"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spans="2:28" ht="15.75" customHeight="1" x14ac:dyDescent="0.25"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spans="2:28" ht="15.75" customHeight="1" x14ac:dyDescent="0.25"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spans="2:28" ht="15.75" customHeight="1" x14ac:dyDescent="0.25"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spans="2:28" ht="15.75" customHeight="1" x14ac:dyDescent="0.25"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spans="2:28" ht="15.75" customHeight="1" x14ac:dyDescent="0.25"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spans="2:28" ht="15.75" customHeight="1" x14ac:dyDescent="0.25"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spans="2:28" ht="15.75" customHeight="1" x14ac:dyDescent="0.25"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spans="2:28" ht="15.75" customHeight="1" x14ac:dyDescent="0.25"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spans="2:28" ht="15.75" customHeight="1" x14ac:dyDescent="0.25"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spans="2:28" ht="15.75" customHeight="1" x14ac:dyDescent="0.25"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spans="2:28" ht="15.75" customHeight="1" x14ac:dyDescent="0.25"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spans="2:28" ht="15.75" customHeight="1" x14ac:dyDescent="0.25"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spans="2:28" ht="15.75" customHeight="1" x14ac:dyDescent="0.25"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spans="2:28" ht="15.75" customHeight="1" x14ac:dyDescent="0.25"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spans="2:28" ht="15.75" customHeight="1" x14ac:dyDescent="0.25"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spans="2:28" ht="15.75" customHeight="1" x14ac:dyDescent="0.25"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spans="2:28" ht="15.75" customHeight="1" x14ac:dyDescent="0.25"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spans="2:28" ht="15.75" customHeight="1" x14ac:dyDescent="0.25"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spans="2:28" ht="15.75" customHeight="1" x14ac:dyDescent="0.25"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spans="2:28" ht="15.75" customHeight="1" x14ac:dyDescent="0.25"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spans="2:28" ht="15.75" customHeight="1" x14ac:dyDescent="0.25"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spans="2:28" ht="15.75" customHeight="1" x14ac:dyDescent="0.25"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spans="2:28" ht="15.75" customHeight="1" x14ac:dyDescent="0.25"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spans="2:28" ht="15.75" customHeight="1" x14ac:dyDescent="0.25"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spans="2:28" ht="15.75" customHeight="1" x14ac:dyDescent="0.25"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spans="2:28" ht="15.75" customHeight="1" x14ac:dyDescent="0.25"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spans="2:28" ht="15.75" customHeight="1" x14ac:dyDescent="0.25"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spans="2:28" ht="15.75" customHeight="1" x14ac:dyDescent="0.25"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spans="2:28" ht="15.75" customHeight="1" x14ac:dyDescent="0.25"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spans="2:28" ht="15.75" customHeight="1" x14ac:dyDescent="0.25"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spans="2:28" ht="15.75" customHeight="1" x14ac:dyDescent="0.25"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spans="2:28" ht="15.75" customHeight="1" x14ac:dyDescent="0.25"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spans="2:28" ht="15.75" customHeight="1" x14ac:dyDescent="0.25"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spans="2:28" ht="15.75" customHeight="1" x14ac:dyDescent="0.25"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spans="2:28" ht="15.75" customHeight="1" x14ac:dyDescent="0.25"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spans="2:28" ht="15.75" customHeight="1" x14ac:dyDescent="0.25"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spans="2:28" ht="15.75" customHeight="1" x14ac:dyDescent="0.25"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spans="2:28" ht="15.75" customHeight="1" x14ac:dyDescent="0.25"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spans="2:28" ht="15.75" customHeight="1" x14ac:dyDescent="0.25"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spans="2:28" ht="15.75" customHeight="1" x14ac:dyDescent="0.25"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spans="2:28" ht="15.75" customHeight="1" x14ac:dyDescent="0.25"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spans="2:28" ht="15.75" customHeight="1" x14ac:dyDescent="0.25"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spans="2:28" ht="15.75" customHeight="1" x14ac:dyDescent="0.25"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spans="2:28" ht="15.75" customHeight="1" x14ac:dyDescent="0.25"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spans="2:28" ht="15.75" customHeight="1" x14ac:dyDescent="0.25"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spans="2:28" ht="15.75" customHeight="1" x14ac:dyDescent="0.25"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spans="2:28" ht="15.75" customHeight="1" x14ac:dyDescent="0.25"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spans="2:28" ht="15.75" customHeight="1" x14ac:dyDescent="0.25"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spans="2:28" ht="15.75" customHeight="1" x14ac:dyDescent="0.25"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spans="2:28" ht="15.75" customHeight="1" x14ac:dyDescent="0.25"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spans="2:28" ht="15.75" customHeight="1" x14ac:dyDescent="0.25"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spans="2:28" ht="15.75" customHeight="1" x14ac:dyDescent="0.25"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spans="2:28" ht="15.75" customHeight="1" x14ac:dyDescent="0.25"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spans="2:28" ht="15.75" customHeight="1" x14ac:dyDescent="0.25"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spans="2:28" ht="15.75" customHeight="1" x14ac:dyDescent="0.25"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spans="2:28" ht="15.75" customHeight="1" x14ac:dyDescent="0.25"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spans="2:28" ht="15.75" customHeight="1" x14ac:dyDescent="0.25"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spans="2:28" ht="15.75" customHeight="1" x14ac:dyDescent="0.25"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spans="2:28" ht="15.75" customHeight="1" x14ac:dyDescent="0.25"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spans="2:28" ht="15.75" customHeight="1" x14ac:dyDescent="0.25"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spans="2:28" ht="15.75" customHeight="1" x14ac:dyDescent="0.25"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spans="2:28" ht="15.75" customHeight="1" x14ac:dyDescent="0.25"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spans="2:28" ht="15.75" customHeight="1" x14ac:dyDescent="0.25"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spans="2:28" ht="15.75" customHeight="1" x14ac:dyDescent="0.25"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spans="2:28" ht="15.75" customHeight="1" x14ac:dyDescent="0.25"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spans="2:28" ht="15.75" customHeight="1" x14ac:dyDescent="0.25"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spans="2:28" ht="15.75" customHeight="1" x14ac:dyDescent="0.25"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spans="2:28" ht="15.75" customHeight="1" x14ac:dyDescent="0.25"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spans="2:28" ht="15.75" customHeight="1" x14ac:dyDescent="0.25"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spans="2:28" ht="15.75" customHeight="1" x14ac:dyDescent="0.25"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spans="2:28" ht="15.75" customHeight="1" x14ac:dyDescent="0.25"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spans="2:28" ht="15.75" customHeight="1" x14ac:dyDescent="0.25"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spans="2:28" ht="15.75" customHeight="1" x14ac:dyDescent="0.25"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spans="2:28" ht="15.75" customHeight="1" x14ac:dyDescent="0.25"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spans="2:28" ht="15.75" customHeight="1" x14ac:dyDescent="0.25"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spans="2:28" ht="15.75" customHeight="1" x14ac:dyDescent="0.25"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spans="2:28" ht="15.75" customHeight="1" x14ac:dyDescent="0.25"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spans="2:28" ht="15.75" customHeight="1" x14ac:dyDescent="0.25"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spans="2:28" ht="15.75" customHeight="1" x14ac:dyDescent="0.25"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spans="2:28" ht="15.75" customHeight="1" x14ac:dyDescent="0.25"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spans="2:28" ht="15.75" customHeight="1" x14ac:dyDescent="0.25"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spans="2:28" ht="15.75" customHeight="1" x14ac:dyDescent="0.25"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spans="2:28" ht="15.75" customHeight="1" x14ac:dyDescent="0.25"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spans="2:28" ht="15.75" customHeight="1" x14ac:dyDescent="0.25"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spans="2:28" ht="15.75" customHeight="1" x14ac:dyDescent="0.25"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spans="2:28" ht="15.75" customHeight="1" x14ac:dyDescent="0.25"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spans="2:28" ht="15.75" customHeight="1" x14ac:dyDescent="0.25"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spans="2:28" ht="15.75" customHeight="1" x14ac:dyDescent="0.25"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spans="2:28" ht="15.75" customHeight="1" x14ac:dyDescent="0.25"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spans="2:28" ht="15.75" customHeight="1" x14ac:dyDescent="0.25"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spans="2:28" ht="15.75" customHeight="1" x14ac:dyDescent="0.25"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spans="2:28" ht="15.75" customHeight="1" x14ac:dyDescent="0.25"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spans="2:28" ht="15.75" customHeight="1" x14ac:dyDescent="0.25"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spans="2:28" ht="15.75" customHeight="1" x14ac:dyDescent="0.25"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spans="2:28" ht="15.75" customHeight="1" x14ac:dyDescent="0.25"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spans="2:28" ht="15.75" customHeight="1" x14ac:dyDescent="0.25"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spans="2:28" ht="15.75" customHeight="1" x14ac:dyDescent="0.25"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spans="2:28" ht="15.75" customHeight="1" x14ac:dyDescent="0.25"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spans="2:28" ht="15.75" customHeight="1" x14ac:dyDescent="0.25"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spans="2:28" ht="15.75" customHeight="1" x14ac:dyDescent="0.25"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spans="2:28" ht="15.75" customHeight="1" x14ac:dyDescent="0.25"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spans="2:28" ht="15.75" customHeight="1" x14ac:dyDescent="0.25"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spans="2:28" ht="15.75" customHeight="1" x14ac:dyDescent="0.25"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spans="2:28" ht="15.75" customHeight="1" x14ac:dyDescent="0.25"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spans="2:28" ht="15.75" customHeight="1" x14ac:dyDescent="0.25"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spans="2:28" ht="15.75" customHeight="1" x14ac:dyDescent="0.25"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spans="2:28" ht="15.75" customHeight="1" x14ac:dyDescent="0.25"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spans="2:28" ht="15.75" customHeight="1" x14ac:dyDescent="0.25"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spans="2:28" ht="15.75" customHeight="1" x14ac:dyDescent="0.25"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spans="2:28" ht="15.75" customHeight="1" x14ac:dyDescent="0.25"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spans="2:28" ht="15.75" customHeight="1" x14ac:dyDescent="0.25"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spans="2:28" ht="15.75" customHeight="1" x14ac:dyDescent="0.25"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spans="2:28" ht="15.75" customHeight="1" x14ac:dyDescent="0.25"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spans="2:28" ht="15.75" customHeight="1" x14ac:dyDescent="0.25"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spans="2:28" ht="15.75" customHeight="1" x14ac:dyDescent="0.25"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spans="2:28" ht="15.75" customHeight="1" x14ac:dyDescent="0.25"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spans="2:28" ht="15.75" customHeight="1" x14ac:dyDescent="0.25"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spans="2:28" ht="15.75" customHeight="1" x14ac:dyDescent="0.25"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spans="2:28" ht="15.75" customHeight="1" x14ac:dyDescent="0.25"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spans="2:28" ht="15.75" customHeight="1" x14ac:dyDescent="0.25"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spans="2:28" ht="15.75" customHeight="1" x14ac:dyDescent="0.25"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spans="2:28" ht="15.75" customHeight="1" x14ac:dyDescent="0.25"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spans="2:28" ht="15.75" customHeight="1" x14ac:dyDescent="0.25"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spans="2:28" ht="15.75" customHeight="1" x14ac:dyDescent="0.25"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spans="2:28" ht="15.75" customHeight="1" x14ac:dyDescent="0.25"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spans="2:28" ht="15.75" customHeight="1" x14ac:dyDescent="0.25"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spans="2:28" ht="15.75" customHeight="1" x14ac:dyDescent="0.25"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spans="2:28" ht="15.75" customHeight="1" x14ac:dyDescent="0.25"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spans="2:28" ht="15.75" customHeight="1" x14ac:dyDescent="0.25"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spans="2:28" ht="15.75" customHeight="1" x14ac:dyDescent="0.25"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spans="2:28" ht="15.75" customHeight="1" x14ac:dyDescent="0.25"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spans="2:28" ht="15.75" customHeight="1" x14ac:dyDescent="0.25"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spans="2:28" ht="15.75" customHeight="1" x14ac:dyDescent="0.25"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spans="2:28" ht="15.75" customHeight="1" x14ac:dyDescent="0.25"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spans="2:28" ht="15.75" customHeight="1" x14ac:dyDescent="0.25"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spans="2:28" ht="15.75" customHeight="1" x14ac:dyDescent="0.25"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spans="2:28" ht="15.75" customHeight="1" x14ac:dyDescent="0.25"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spans="2:28" ht="15.75" customHeight="1" x14ac:dyDescent="0.25"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spans="2:28" ht="15.75" customHeight="1" x14ac:dyDescent="0.25"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spans="2:28" ht="15.75" customHeight="1" x14ac:dyDescent="0.25"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spans="2:28" ht="15.75" customHeight="1" x14ac:dyDescent="0.25"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spans="2:28" ht="15.75" customHeight="1" x14ac:dyDescent="0.25"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spans="2:28" ht="15.75" customHeight="1" x14ac:dyDescent="0.25"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spans="2:28" ht="15.75" customHeight="1" x14ac:dyDescent="0.25"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spans="2:28" ht="15.75" customHeight="1" x14ac:dyDescent="0.25"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spans="2:28" ht="15.75" customHeight="1" x14ac:dyDescent="0.25"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spans="2:28" ht="15.75" customHeight="1" x14ac:dyDescent="0.25"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spans="2:28" ht="15.75" customHeight="1" x14ac:dyDescent="0.25"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spans="2:28" ht="15.75" customHeight="1" x14ac:dyDescent="0.25"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spans="2:28" ht="15.75" customHeight="1" x14ac:dyDescent="0.25"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spans="2:28" ht="15.75" customHeight="1" x14ac:dyDescent="0.25"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spans="2:28" ht="15.75" customHeight="1" x14ac:dyDescent="0.25"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spans="2:28" ht="15.75" customHeight="1" x14ac:dyDescent="0.25"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spans="2:28" ht="15.75" customHeight="1" x14ac:dyDescent="0.25"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spans="2:28" ht="15.75" customHeight="1" x14ac:dyDescent="0.25"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spans="2:28" ht="15.75" customHeight="1" x14ac:dyDescent="0.25"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spans="2:28" ht="15.75" customHeight="1" x14ac:dyDescent="0.25"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spans="2:28" ht="15.75" customHeight="1" x14ac:dyDescent="0.25"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spans="2:28" ht="15.75" customHeight="1" x14ac:dyDescent="0.25"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spans="2:28" ht="15.75" customHeight="1" x14ac:dyDescent="0.25"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spans="2:28" ht="15.75" customHeight="1" x14ac:dyDescent="0.25"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spans="2:28" ht="15.75" customHeight="1" x14ac:dyDescent="0.25"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spans="2:28" ht="15.75" customHeight="1" x14ac:dyDescent="0.25"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spans="2:28" ht="15.75" customHeight="1" x14ac:dyDescent="0.25"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spans="2:28" ht="15.75" customHeight="1" x14ac:dyDescent="0.25"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spans="2:28" ht="15.75" customHeight="1" x14ac:dyDescent="0.25"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spans="2:28" ht="15.75" customHeight="1" x14ac:dyDescent="0.25"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spans="2:28" ht="15.75" customHeight="1" x14ac:dyDescent="0.25"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spans="2:28" ht="15.75" customHeight="1" x14ac:dyDescent="0.25"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spans="2:28" ht="15.75" customHeight="1" x14ac:dyDescent="0.25"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spans="2:28" ht="15.75" customHeight="1" x14ac:dyDescent="0.25"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spans="2:28" ht="15.75" customHeight="1" x14ac:dyDescent="0.25"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spans="2:28" ht="15.75" customHeight="1" x14ac:dyDescent="0.25"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spans="2:28" ht="15.75" customHeight="1" x14ac:dyDescent="0.25"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spans="2:28" ht="15.75" customHeight="1" x14ac:dyDescent="0.25"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spans="2:28" ht="15.75" customHeight="1" x14ac:dyDescent="0.25"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spans="2:28" ht="15.75" customHeight="1" x14ac:dyDescent="0.25"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spans="2:28" ht="15.75" customHeight="1" x14ac:dyDescent="0.25"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spans="2:28" ht="15.75" customHeight="1" x14ac:dyDescent="0.25"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spans="2:28" ht="15.75" customHeight="1" x14ac:dyDescent="0.25"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spans="2:28" ht="15.75" customHeight="1" x14ac:dyDescent="0.25"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spans="2:28" ht="15.75" customHeight="1" x14ac:dyDescent="0.25"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spans="2:28" ht="15.75" customHeight="1" x14ac:dyDescent="0.25"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spans="2:28" ht="15.75" customHeight="1" x14ac:dyDescent="0.25"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spans="2:28" ht="15.75" customHeight="1" x14ac:dyDescent="0.25"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spans="2:28" ht="15.75" customHeight="1" x14ac:dyDescent="0.25"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spans="2:28" ht="15.75" customHeight="1" x14ac:dyDescent="0.25"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spans="2:28" ht="15.75" customHeight="1" x14ac:dyDescent="0.25"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spans="2:28" ht="15.75" customHeight="1" x14ac:dyDescent="0.25"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spans="2:28" ht="15.75" customHeight="1" x14ac:dyDescent="0.25"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spans="2:28" ht="15.75" customHeight="1" x14ac:dyDescent="0.25"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spans="2:28" ht="15.75" customHeight="1" x14ac:dyDescent="0.25"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spans="2:28" ht="15.75" customHeight="1" x14ac:dyDescent="0.25"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spans="2:28" ht="15.75" customHeight="1" x14ac:dyDescent="0.25"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spans="2:28" ht="15.75" customHeight="1" x14ac:dyDescent="0.25"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spans="2:28" ht="15.75" customHeight="1" x14ac:dyDescent="0.25"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spans="2:28" ht="15.75" customHeight="1" x14ac:dyDescent="0.25"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spans="2:28" ht="15.75" customHeight="1" x14ac:dyDescent="0.25"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spans="2:28" ht="15.75" customHeight="1" x14ac:dyDescent="0.25"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spans="2:28" ht="15.75" customHeight="1" x14ac:dyDescent="0.25"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spans="2:28" ht="15.75" customHeight="1" x14ac:dyDescent="0.25"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spans="2:28" ht="15.75" customHeight="1" x14ac:dyDescent="0.25"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spans="2:28" ht="15.75" customHeight="1" x14ac:dyDescent="0.25"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spans="2:28" ht="15.75" customHeight="1" x14ac:dyDescent="0.25"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spans="2:28" ht="15.75" customHeight="1" x14ac:dyDescent="0.25"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spans="2:28" ht="15.75" customHeight="1" x14ac:dyDescent="0.25"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spans="2:28" ht="15.75" customHeight="1" x14ac:dyDescent="0.25"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spans="2:28" ht="15.75" customHeight="1" x14ac:dyDescent="0.25"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spans="2:28" ht="15.75" customHeight="1" x14ac:dyDescent="0.25"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spans="2:28" ht="15.75" customHeight="1" x14ac:dyDescent="0.25"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spans="2:28" ht="15.75" customHeight="1" x14ac:dyDescent="0.25"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spans="2:28" ht="15.75" customHeight="1" x14ac:dyDescent="0.25"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spans="2:28" ht="15.75" customHeight="1" x14ac:dyDescent="0.25"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spans="2:28" ht="15.75" customHeight="1" x14ac:dyDescent="0.25"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spans="2:28" ht="15.75" customHeight="1" x14ac:dyDescent="0.25"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spans="2:28" ht="15.75" customHeight="1" x14ac:dyDescent="0.25"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spans="2:28" ht="15.75" customHeight="1" x14ac:dyDescent="0.25"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spans="2:28" ht="15.75" customHeight="1" x14ac:dyDescent="0.25"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spans="2:28" ht="15.75" customHeight="1" x14ac:dyDescent="0.25"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spans="2:28" ht="15.75" customHeight="1" x14ac:dyDescent="0.25"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spans="2:28" ht="15.75" customHeight="1" x14ac:dyDescent="0.25"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spans="2:28" ht="15.75" customHeight="1" x14ac:dyDescent="0.25"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spans="2:28" ht="15.75" customHeight="1" x14ac:dyDescent="0.25"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spans="2:28" ht="15.75" customHeight="1" x14ac:dyDescent="0.25"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spans="2:28" ht="15.75" customHeight="1" x14ac:dyDescent="0.25"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spans="2:28" ht="15.75" customHeight="1" x14ac:dyDescent="0.25"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spans="2:28" ht="15.75" customHeight="1" x14ac:dyDescent="0.25"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spans="2:28" ht="15.75" customHeight="1" x14ac:dyDescent="0.25"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spans="2:28" ht="15.75" customHeight="1" x14ac:dyDescent="0.25"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spans="2:28" ht="15.75" customHeight="1" x14ac:dyDescent="0.25"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spans="2:28" ht="15.75" customHeight="1" x14ac:dyDescent="0.25"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spans="2:28" ht="15.75" customHeight="1" x14ac:dyDescent="0.25"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spans="2:28" ht="15.75" customHeight="1" x14ac:dyDescent="0.25"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spans="2:28" ht="15.75" customHeight="1" x14ac:dyDescent="0.25"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spans="2:28" ht="15.75" customHeight="1" x14ac:dyDescent="0.25"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spans="2:28" ht="15.75" customHeight="1" x14ac:dyDescent="0.25"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spans="2:28" ht="15.75" customHeight="1" x14ac:dyDescent="0.25"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spans="2:28" ht="15.75" customHeight="1" x14ac:dyDescent="0.25"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spans="2:28" ht="15.75" customHeight="1" x14ac:dyDescent="0.25"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spans="2:28" ht="15.75" customHeight="1" x14ac:dyDescent="0.25"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spans="2:28" ht="15.75" customHeight="1" x14ac:dyDescent="0.25"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spans="2:28" ht="15.75" customHeight="1" x14ac:dyDescent="0.25"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spans="2:28" ht="15.75" customHeight="1" x14ac:dyDescent="0.25"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spans="2:28" ht="15.75" customHeight="1" x14ac:dyDescent="0.25"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spans="2:28" ht="15.75" customHeight="1" x14ac:dyDescent="0.25"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spans="2:28" ht="15.75" customHeight="1" x14ac:dyDescent="0.25"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spans="2:28" ht="15.75" customHeight="1" x14ac:dyDescent="0.25"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spans="2:28" ht="15.75" customHeight="1" x14ac:dyDescent="0.25"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spans="2:28" ht="15.75" customHeight="1" x14ac:dyDescent="0.25"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spans="2:28" ht="15.75" customHeight="1" x14ac:dyDescent="0.25"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spans="2:28" ht="15.75" customHeight="1" x14ac:dyDescent="0.25"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spans="2:28" ht="15.75" customHeight="1" x14ac:dyDescent="0.25"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spans="2:28" ht="15.75" customHeight="1" x14ac:dyDescent="0.25"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spans="2:28" ht="15.75" customHeight="1" x14ac:dyDescent="0.25"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spans="2:28" ht="15.75" customHeight="1" x14ac:dyDescent="0.25"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spans="2:28" ht="15.75" customHeight="1" x14ac:dyDescent="0.25"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spans="2:28" ht="15.75" customHeight="1" x14ac:dyDescent="0.25"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spans="2:28" ht="15.75" customHeight="1" x14ac:dyDescent="0.25"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spans="2:28" ht="15.75" customHeight="1" x14ac:dyDescent="0.25"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spans="2:28" ht="15.75" customHeight="1" x14ac:dyDescent="0.25"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spans="2:28" ht="15.75" customHeight="1" x14ac:dyDescent="0.25"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spans="2:28" ht="15.75" customHeight="1" x14ac:dyDescent="0.25"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spans="2:28" ht="15.75" customHeight="1" x14ac:dyDescent="0.25"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spans="2:28" ht="15.75" customHeight="1" x14ac:dyDescent="0.25"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spans="2:28" ht="15.75" customHeight="1" x14ac:dyDescent="0.25"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spans="2:28" ht="15.75" customHeight="1" x14ac:dyDescent="0.25"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spans="2:28" ht="15.75" customHeight="1" x14ac:dyDescent="0.25"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spans="2:28" ht="15.75" customHeight="1" x14ac:dyDescent="0.25"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spans="2:28" ht="15.75" customHeight="1" x14ac:dyDescent="0.25"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spans="2:28" ht="15.75" customHeight="1" x14ac:dyDescent="0.25"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spans="2:28" ht="15.75" customHeight="1" x14ac:dyDescent="0.25"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spans="2:28" ht="15.75" customHeight="1" x14ac:dyDescent="0.25"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spans="2:28" ht="15.75" customHeight="1" x14ac:dyDescent="0.25"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spans="2:28" ht="15.75" customHeight="1" x14ac:dyDescent="0.25"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spans="2:28" ht="15.75" customHeight="1" x14ac:dyDescent="0.25"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spans="2:28" ht="15.75" customHeight="1" x14ac:dyDescent="0.25"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spans="2:28" ht="15.75" customHeight="1" x14ac:dyDescent="0.25"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spans="2:28" ht="15.75" customHeight="1" x14ac:dyDescent="0.25"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spans="2:28" ht="15.75" customHeight="1" x14ac:dyDescent="0.25"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spans="2:28" ht="15.75" customHeight="1" x14ac:dyDescent="0.25"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spans="2:28" ht="15.75" customHeight="1" x14ac:dyDescent="0.25"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spans="2:28" ht="15.75" customHeight="1" x14ac:dyDescent="0.25"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spans="2:28" ht="15.75" customHeight="1" x14ac:dyDescent="0.25"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spans="2:28" ht="15.75" customHeight="1" x14ac:dyDescent="0.25"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spans="2:28" ht="15.75" customHeight="1" x14ac:dyDescent="0.25"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spans="2:28" ht="15.75" customHeight="1" x14ac:dyDescent="0.25"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spans="2:28" ht="15.75" customHeight="1" x14ac:dyDescent="0.25"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spans="2:28" ht="15.75" customHeight="1" x14ac:dyDescent="0.25"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spans="2:28" ht="15.75" customHeight="1" x14ac:dyDescent="0.25"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spans="2:28" ht="15.75" customHeight="1" x14ac:dyDescent="0.25"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spans="2:28" ht="15.75" customHeight="1" x14ac:dyDescent="0.25"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spans="2:28" ht="15.75" customHeight="1" x14ac:dyDescent="0.25"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spans="2:28" ht="15.75" customHeight="1" x14ac:dyDescent="0.25"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spans="2:28" ht="15.75" customHeight="1" x14ac:dyDescent="0.25"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spans="2:28" ht="15.75" customHeight="1" x14ac:dyDescent="0.25"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spans="2:28" ht="15.75" customHeight="1" x14ac:dyDescent="0.25"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spans="2:28" ht="15.75" customHeight="1" x14ac:dyDescent="0.25"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spans="2:28" ht="15.75" customHeight="1" x14ac:dyDescent="0.25"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spans="2:28" ht="15.75" customHeight="1" x14ac:dyDescent="0.25"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spans="2:28" ht="15.75" customHeight="1" x14ac:dyDescent="0.25"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spans="2:28" ht="15.75" customHeight="1" x14ac:dyDescent="0.25"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spans="2:28" ht="15.75" customHeight="1" x14ac:dyDescent="0.25"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spans="2:28" ht="15.75" customHeight="1" x14ac:dyDescent="0.25"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spans="2:28" ht="15.75" customHeight="1" x14ac:dyDescent="0.25"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spans="2:28" ht="15.75" customHeight="1" x14ac:dyDescent="0.25"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spans="2:28" ht="15.75" customHeight="1" x14ac:dyDescent="0.25"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spans="2:28" ht="15.75" customHeight="1" x14ac:dyDescent="0.25"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spans="2:28" ht="15.75" customHeight="1" x14ac:dyDescent="0.25"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spans="2:28" ht="15.75" customHeight="1" x14ac:dyDescent="0.25"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spans="2:28" ht="15.75" customHeight="1" x14ac:dyDescent="0.25"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spans="2:28" ht="15.75" customHeight="1" x14ac:dyDescent="0.25"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spans="2:28" ht="15.75" customHeight="1" x14ac:dyDescent="0.25"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spans="2:28" ht="15.75" customHeight="1" x14ac:dyDescent="0.25"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spans="2:28" ht="15.75" customHeight="1" x14ac:dyDescent="0.25"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spans="2:28" ht="15.75" customHeight="1" x14ac:dyDescent="0.25"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spans="2:28" ht="15.75" customHeight="1" x14ac:dyDescent="0.25"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spans="2:28" ht="15.75" customHeight="1" x14ac:dyDescent="0.25"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spans="2:28" ht="15.75" customHeight="1" x14ac:dyDescent="0.25"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spans="2:28" ht="15.75" customHeight="1" x14ac:dyDescent="0.25"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spans="2:28" ht="15.75" customHeight="1" x14ac:dyDescent="0.25"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 spans="2:28" ht="15.75" customHeight="1" x14ac:dyDescent="0.25"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  <row r="1001" spans="2:28" ht="15.75" customHeight="1" x14ac:dyDescent="0.25"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</row>
    <row r="1002" spans="2:28" ht="15.75" customHeight="1" x14ac:dyDescent="0.25"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</row>
    <row r="1003" spans="2:28" ht="15.75" customHeight="1" x14ac:dyDescent="0.25"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</row>
    <row r="1004" spans="2:28" ht="15.75" customHeight="1" x14ac:dyDescent="0.25"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</row>
    <row r="1005" spans="2:28" ht="15.75" customHeight="1" x14ac:dyDescent="0.25"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</row>
    <row r="1006" spans="2:28" ht="15.75" customHeight="1" x14ac:dyDescent="0.25"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</row>
    <row r="1007" spans="2:28" ht="15.75" customHeight="1" x14ac:dyDescent="0.25"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</row>
    <row r="1008" spans="2:28" ht="15.75" customHeight="1" x14ac:dyDescent="0.25"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</row>
    <row r="1009" spans="2:28" ht="15.75" customHeight="1" x14ac:dyDescent="0.25"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</row>
    <row r="1010" spans="2:28" ht="15.75" customHeight="1" x14ac:dyDescent="0.25"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</row>
    <row r="1011" spans="2:28" ht="15.75" customHeight="1" x14ac:dyDescent="0.25"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</row>
    <row r="1012" spans="2:28" ht="15.75" customHeight="1" x14ac:dyDescent="0.25"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</row>
    <row r="1013" spans="2:28" ht="15.75" customHeight="1" x14ac:dyDescent="0.25"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</row>
    <row r="1014" spans="2:28" ht="15.75" customHeight="1" x14ac:dyDescent="0.25"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</row>
    <row r="1015" spans="2:28" ht="15.75" customHeight="1" x14ac:dyDescent="0.25"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</row>
    <row r="1016" spans="2:28" ht="15.75" customHeight="1" x14ac:dyDescent="0.25"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</row>
    <row r="1017" spans="2:28" ht="15.75" customHeight="1" x14ac:dyDescent="0.25"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</row>
    <row r="1018" spans="2:28" ht="15.75" customHeight="1" x14ac:dyDescent="0.25"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</row>
    <row r="1019" spans="2:28" ht="15.75" customHeight="1" x14ac:dyDescent="0.25"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</row>
    <row r="1020" spans="2:28" ht="15.75" customHeight="1" x14ac:dyDescent="0.25"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</row>
    <row r="1021" spans="2:28" ht="15.75" customHeight="1" x14ac:dyDescent="0.25"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</row>
    <row r="1022" spans="2:28" ht="15.75" customHeight="1" x14ac:dyDescent="0.25"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</row>
    <row r="1023" spans="2:28" ht="15.75" customHeight="1" x14ac:dyDescent="0.25"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</row>
    <row r="1024" spans="2:28" ht="15.75" customHeight="1" x14ac:dyDescent="0.25"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</row>
    <row r="1025" spans="2:28" ht="15.75" customHeight="1" x14ac:dyDescent="0.25"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</row>
    <row r="1026" spans="2:28" ht="15.75" customHeight="1" x14ac:dyDescent="0.25"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</row>
    <row r="1027" spans="2:28" ht="15.75" customHeight="1" x14ac:dyDescent="0.25"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</row>
    <row r="1028" spans="2:28" ht="15.75" customHeight="1" x14ac:dyDescent="0.25"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</row>
    <row r="1029" spans="2:28" ht="15.75" customHeight="1" x14ac:dyDescent="0.25"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</row>
    <row r="1030" spans="2:28" ht="15.75" customHeight="1" x14ac:dyDescent="0.25"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</row>
    <row r="1031" spans="2:28" ht="15.75" customHeight="1" x14ac:dyDescent="0.25"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</row>
    <row r="1032" spans="2:28" ht="15.75" customHeight="1" x14ac:dyDescent="0.25"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</row>
    <row r="1033" spans="2:28" ht="15.75" customHeight="1" x14ac:dyDescent="0.25"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</row>
    <row r="1034" spans="2:28" ht="15.75" customHeight="1" x14ac:dyDescent="0.25"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</row>
    <row r="1035" spans="2:28" ht="15.75" customHeight="1" x14ac:dyDescent="0.25"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</row>
    <row r="1036" spans="2:28" ht="15.75" customHeight="1" x14ac:dyDescent="0.25"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</row>
    <row r="1037" spans="2:28" ht="15.75" customHeight="1" x14ac:dyDescent="0.25"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</row>
    <row r="1038" spans="2:28" ht="15.75" customHeight="1" x14ac:dyDescent="0.25"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</row>
    <row r="1039" spans="2:28" ht="15.75" customHeight="1" x14ac:dyDescent="0.25"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</row>
    <row r="1040" spans="2:28" ht="15.75" customHeight="1" x14ac:dyDescent="0.25"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</row>
    <row r="1041" spans="2:28" ht="15.75" customHeight="1" x14ac:dyDescent="0.25"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</row>
    <row r="1042" spans="2:28" ht="15.75" customHeight="1" x14ac:dyDescent="0.25"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</row>
    <row r="1043" spans="2:28" ht="15.75" customHeight="1" x14ac:dyDescent="0.25"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</row>
    <row r="1044" spans="2:28" ht="15.75" customHeight="1" x14ac:dyDescent="0.25"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</row>
    <row r="1045" spans="2:28" ht="15.75" customHeight="1" x14ac:dyDescent="0.25"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</row>
    <row r="1046" spans="2:28" ht="15.75" customHeight="1" x14ac:dyDescent="0.25"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</row>
    <row r="1047" spans="2:28" ht="15.75" customHeight="1" x14ac:dyDescent="0.25"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</row>
    <row r="1048" spans="2:28" ht="15.75" customHeight="1" x14ac:dyDescent="0.25"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</row>
    <row r="1049" spans="2:28" ht="15.75" customHeight="1" x14ac:dyDescent="0.25"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</row>
    <row r="1050" spans="2:28" ht="15.75" customHeight="1" x14ac:dyDescent="0.25"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</row>
    <row r="1051" spans="2:28" ht="15.75" customHeight="1" x14ac:dyDescent="0.25"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</row>
    <row r="1052" spans="2:28" ht="15.75" customHeight="1" x14ac:dyDescent="0.25"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</row>
    <row r="1053" spans="2:28" ht="15.75" customHeight="1" x14ac:dyDescent="0.25"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</row>
    <row r="1054" spans="2:28" ht="15.75" customHeight="1" x14ac:dyDescent="0.25"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</row>
    <row r="1055" spans="2:28" ht="15.75" customHeight="1" x14ac:dyDescent="0.25"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</row>
    <row r="1056" spans="2:28" ht="15.75" customHeight="1" x14ac:dyDescent="0.25"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</row>
    <row r="1057" spans="2:28" ht="15.75" customHeight="1" x14ac:dyDescent="0.25"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</row>
    <row r="1058" spans="2:28" ht="15.75" customHeight="1" x14ac:dyDescent="0.25"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</row>
    <row r="1059" spans="2:28" ht="15.75" customHeight="1" x14ac:dyDescent="0.25"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</row>
    <row r="1060" spans="2:28" ht="15.75" customHeight="1" x14ac:dyDescent="0.25"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</row>
    <row r="1061" spans="2:28" ht="15.75" customHeight="1" x14ac:dyDescent="0.25"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</row>
    <row r="1062" spans="2:28" ht="15.75" customHeight="1" x14ac:dyDescent="0.25"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</row>
    <row r="1063" spans="2:28" ht="15.75" customHeight="1" x14ac:dyDescent="0.25"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</row>
    <row r="1064" spans="2:28" ht="15.75" customHeight="1" x14ac:dyDescent="0.25"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</row>
    <row r="1065" spans="2:28" ht="15.75" customHeight="1" x14ac:dyDescent="0.25"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</row>
    <row r="1066" spans="2:28" ht="15.75" customHeight="1" x14ac:dyDescent="0.25"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</row>
    <row r="1067" spans="2:28" ht="15.75" customHeight="1" x14ac:dyDescent="0.25"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</row>
    <row r="1068" spans="2:28" ht="15.75" customHeight="1" x14ac:dyDescent="0.25"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</row>
    <row r="1069" spans="2:28" ht="15.75" customHeight="1" x14ac:dyDescent="0.25"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</row>
    <row r="1070" spans="2:28" ht="15.75" customHeight="1" x14ac:dyDescent="0.25"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</row>
    <row r="1071" spans="2:28" ht="15.75" customHeight="1" x14ac:dyDescent="0.25"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</row>
    <row r="1072" spans="2:28" ht="15.75" customHeight="1" x14ac:dyDescent="0.25"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</row>
    <row r="1073" spans="2:28" ht="15.75" customHeight="1" x14ac:dyDescent="0.25"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</row>
    <row r="1074" spans="2:28" ht="15.75" customHeight="1" x14ac:dyDescent="0.25"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</row>
    <row r="1075" spans="2:28" ht="15.75" customHeight="1" x14ac:dyDescent="0.25"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</row>
    <row r="1076" spans="2:28" ht="15.75" customHeight="1" x14ac:dyDescent="0.25"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</row>
    <row r="1077" spans="2:28" ht="15.75" customHeight="1" x14ac:dyDescent="0.25"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</row>
    <row r="1078" spans="2:28" ht="15.75" customHeight="1" x14ac:dyDescent="0.25"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</row>
    <row r="1079" spans="2:28" ht="15.75" customHeight="1" x14ac:dyDescent="0.25"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</row>
    <row r="1080" spans="2:28" ht="15.75" customHeight="1" x14ac:dyDescent="0.25"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</row>
    <row r="1081" spans="2:28" ht="15.75" customHeight="1" x14ac:dyDescent="0.25"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</row>
    <row r="1082" spans="2:28" ht="15.75" customHeight="1" x14ac:dyDescent="0.25"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</row>
    <row r="1083" spans="2:28" ht="15.75" customHeight="1" x14ac:dyDescent="0.25"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</row>
    <row r="1084" spans="2:28" ht="15.75" customHeight="1" x14ac:dyDescent="0.25"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</row>
    <row r="1085" spans="2:28" ht="15.75" customHeight="1" x14ac:dyDescent="0.25"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</row>
    <row r="1086" spans="2:28" ht="15.75" customHeight="1" x14ac:dyDescent="0.25"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</row>
    <row r="1087" spans="2:28" ht="15.75" customHeight="1" x14ac:dyDescent="0.25"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</row>
    <row r="1088" spans="2:28" ht="15.75" customHeight="1" x14ac:dyDescent="0.25"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</row>
    <row r="1089" spans="2:28" ht="15.75" customHeight="1" x14ac:dyDescent="0.25"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</row>
    <row r="1090" spans="2:28" ht="15.75" customHeight="1" x14ac:dyDescent="0.25"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</row>
    <row r="1091" spans="2:28" ht="15.75" customHeight="1" x14ac:dyDescent="0.25"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</row>
    <row r="1092" spans="2:28" ht="15.75" customHeight="1" x14ac:dyDescent="0.25"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</row>
    <row r="1093" spans="2:28" ht="15.75" customHeight="1" x14ac:dyDescent="0.25"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</row>
    <row r="1094" spans="2:28" ht="15.75" customHeight="1" x14ac:dyDescent="0.25"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</row>
    <row r="1095" spans="2:28" ht="15.75" customHeight="1" x14ac:dyDescent="0.25"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</row>
    <row r="1096" spans="2:28" ht="15.75" customHeight="1" x14ac:dyDescent="0.25"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</row>
    <row r="1097" spans="2:28" ht="15.75" customHeight="1" x14ac:dyDescent="0.25"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</row>
    <row r="1098" spans="2:28" ht="15.75" customHeight="1" x14ac:dyDescent="0.25"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</row>
    <row r="1099" spans="2:28" ht="15.75" customHeight="1" x14ac:dyDescent="0.25"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</row>
    <row r="1100" spans="2:28" ht="15.75" customHeight="1" x14ac:dyDescent="0.25"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</row>
    <row r="1101" spans="2:28" ht="15.75" customHeight="1" x14ac:dyDescent="0.25"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</row>
    <row r="1102" spans="2:28" ht="15.75" customHeight="1" x14ac:dyDescent="0.25"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</row>
    <row r="1103" spans="2:28" ht="15.75" customHeight="1" x14ac:dyDescent="0.25"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</row>
    <row r="1104" spans="2:28" ht="15.75" customHeight="1" x14ac:dyDescent="0.25"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</row>
    <row r="1105" spans="2:28" ht="15.75" customHeight="1" x14ac:dyDescent="0.25"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</row>
    <row r="1106" spans="2:28" ht="15.75" customHeight="1" x14ac:dyDescent="0.25"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</row>
    <row r="1107" spans="2:28" ht="15.75" customHeight="1" x14ac:dyDescent="0.25"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</row>
    <row r="1108" spans="2:28" ht="15.75" customHeight="1" x14ac:dyDescent="0.25"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</row>
    <row r="1109" spans="2:28" ht="15.75" customHeight="1" x14ac:dyDescent="0.25"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</row>
    <row r="1110" spans="2:28" ht="15.75" customHeight="1" x14ac:dyDescent="0.25"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</row>
    <row r="1111" spans="2:28" ht="15.75" customHeight="1" x14ac:dyDescent="0.25"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</row>
    <row r="1112" spans="2:28" ht="15.75" customHeight="1" x14ac:dyDescent="0.25"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</row>
    <row r="1113" spans="2:28" ht="15.75" customHeight="1" x14ac:dyDescent="0.25"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</row>
    <row r="1114" spans="2:28" ht="15.75" customHeight="1" x14ac:dyDescent="0.25"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</row>
    <row r="1115" spans="2:28" ht="15.75" customHeight="1" x14ac:dyDescent="0.25"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</row>
    <row r="1116" spans="2:28" ht="15.75" customHeight="1" x14ac:dyDescent="0.25"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</row>
    <row r="1117" spans="2:28" ht="15.75" customHeight="1" x14ac:dyDescent="0.25"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</row>
    <row r="1118" spans="2:28" ht="15.75" customHeight="1" x14ac:dyDescent="0.25"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</row>
    <row r="1119" spans="2:28" ht="15.75" customHeight="1" x14ac:dyDescent="0.25"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</row>
    <row r="1120" spans="2:28" ht="15.75" customHeight="1" x14ac:dyDescent="0.25"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</row>
    <row r="1121" spans="2:28" ht="15.75" customHeight="1" x14ac:dyDescent="0.25"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</row>
    <row r="1122" spans="2:28" ht="15.75" customHeight="1" x14ac:dyDescent="0.25"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</row>
    <row r="1123" spans="2:28" ht="15.75" customHeight="1" x14ac:dyDescent="0.25"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</row>
    <row r="1124" spans="2:28" ht="15.75" customHeight="1" x14ac:dyDescent="0.25"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</row>
    <row r="1125" spans="2:28" ht="15.75" customHeight="1" x14ac:dyDescent="0.25"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</row>
    <row r="1126" spans="2:28" ht="15.75" customHeight="1" x14ac:dyDescent="0.25"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</row>
    <row r="1127" spans="2:28" ht="15.75" customHeight="1" x14ac:dyDescent="0.25"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</row>
    <row r="1128" spans="2:28" ht="15.75" customHeight="1" x14ac:dyDescent="0.25"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</row>
    <row r="1129" spans="2:28" ht="15.75" customHeight="1" x14ac:dyDescent="0.25"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</row>
    <row r="1130" spans="2:28" ht="15.75" customHeight="1" x14ac:dyDescent="0.25"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</row>
    <row r="1131" spans="2:28" ht="15.75" customHeight="1" x14ac:dyDescent="0.25"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</row>
    <row r="1132" spans="2:28" ht="15.75" customHeight="1" x14ac:dyDescent="0.25"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</row>
    <row r="1133" spans="2:28" ht="15.75" customHeight="1" x14ac:dyDescent="0.25"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</row>
    <row r="1134" spans="2:28" ht="15.75" customHeight="1" x14ac:dyDescent="0.25"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</row>
    <row r="1135" spans="2:28" ht="15.75" customHeight="1" x14ac:dyDescent="0.25"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</row>
    <row r="1136" spans="2:28" ht="15.75" customHeight="1" x14ac:dyDescent="0.25"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</row>
    <row r="1137" spans="2:28" ht="15.75" customHeight="1" x14ac:dyDescent="0.25"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</row>
    <row r="1138" spans="2:28" ht="15.75" customHeight="1" x14ac:dyDescent="0.25"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</row>
  </sheetData>
  <autoFilter ref="A2:AC184" xr:uid="{00000000-0009-0000-0000-000002000000}"/>
  <mergeCells count="2">
    <mergeCell ref="A1:AE1"/>
    <mergeCell ref="AH1:AL1"/>
  </mergeCells>
  <conditionalFormatting sqref="D3:D298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:E298"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:H298"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:I298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3:J298">
    <cfRule type="colorScale" priority="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3:K298">
    <cfRule type="colorScale" priority="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3:L298">
    <cfRule type="colorScale" priority="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3:M298">
    <cfRule type="colorScale" priority="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:N298">
    <cfRule type="colorScale" priority="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3:O298">
    <cfRule type="colorScale" priority="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:P298">
    <cfRule type="colorScale" priority="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:Q298">
    <cfRule type="colorScale" priority="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3:R298">
    <cfRule type="colorScale" priority="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3:S298">
    <cfRule type="colorScale" priority="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:T298">
    <cfRule type="colorScale" priority="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3:U298">
    <cfRule type="colorScale" priority="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3:V298">
    <cfRule type="colorScale" priority="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3:W298">
    <cfRule type="colorScale" priority="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3:X298">
    <cfRule type="colorScale" priority="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3:Y298">
    <cfRule type="colorScale" priority="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3:Z298">
    <cfRule type="colorScale" priority="5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A3:AA298">
    <cfRule type="colorScale" priority="5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3:AB298">
    <cfRule type="colorScale" priority="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3:AC298">
    <cfRule type="colorScale" priority="3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D3:AD298">
    <cfRule type="colorScale" priority="1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E3:AE298">
    <cfRule type="colorScale" priority="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H3:AH298">
    <cfRule type="colorScale" priority="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J3:AJ298">
    <cfRule type="colorScale" priority="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K3:AL298">
    <cfRule type="colorScale" priority="1">
      <colorScale>
        <cfvo type="min"/>
        <cfvo type="percentile" val="50"/>
        <cfvo type="max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1138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F1"/>
    </sheetView>
  </sheetViews>
  <sheetFormatPr baseColWidth="10" defaultColWidth="12.42578125" defaultRowHeight="15" customHeight="1" x14ac:dyDescent="0.25"/>
  <cols>
    <col min="1" max="1" width="25.5703125" customWidth="1"/>
    <col min="2" max="27" width="7.5703125" customWidth="1"/>
    <col min="28" max="28" width="13.85546875" bestFit="1" customWidth="1"/>
    <col min="29" max="29" width="7.5703125" customWidth="1"/>
    <col min="31" max="31" width="14.5703125" bestFit="1" customWidth="1"/>
    <col min="32" max="32" width="13.42578125" bestFit="1" customWidth="1"/>
  </cols>
  <sheetData>
    <row r="1" spans="1:61" ht="26.25" x14ac:dyDescent="0.25">
      <c r="A1" s="22" t="s">
        <v>67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H1" s="2"/>
      <c r="AI1" s="22" t="s">
        <v>68</v>
      </c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</row>
    <row r="2" spans="1:61" ht="30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9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/>
      <c r="W2" s="2" t="s">
        <v>46</v>
      </c>
      <c r="X2" s="2" t="s">
        <v>47</v>
      </c>
      <c r="Y2" s="2" t="s">
        <v>48</v>
      </c>
      <c r="Z2" s="2" t="s">
        <v>49</v>
      </c>
      <c r="AA2" s="2" t="s">
        <v>50</v>
      </c>
      <c r="AB2" s="2" t="s">
        <v>66</v>
      </c>
      <c r="AC2" s="2" t="s">
        <v>52</v>
      </c>
      <c r="AD2" s="2" t="s">
        <v>64</v>
      </c>
      <c r="AE2" s="2" t="s">
        <v>267</v>
      </c>
      <c r="AF2" s="2" t="s">
        <v>268</v>
      </c>
      <c r="AH2" s="2"/>
      <c r="AI2" s="2" t="s">
        <v>8</v>
      </c>
      <c r="AJ2" s="2" t="s">
        <v>9</v>
      </c>
      <c r="AK2" s="2" t="s">
        <v>32</v>
      </c>
      <c r="AL2" s="2" t="s">
        <v>33</v>
      </c>
      <c r="AM2" s="2" t="s">
        <v>34</v>
      </c>
      <c r="AN2" s="2" t="s">
        <v>35</v>
      </c>
      <c r="AO2" s="2" t="s">
        <v>36</v>
      </c>
      <c r="AP2" s="2" t="s">
        <v>37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43</v>
      </c>
      <c r="AW2" s="2" t="s">
        <v>44</v>
      </c>
      <c r="AX2" s="2" t="s">
        <v>45</v>
      </c>
      <c r="AY2" s="2"/>
      <c r="AZ2" s="2" t="s">
        <v>46</v>
      </c>
      <c r="BA2" s="2" t="s">
        <v>47</v>
      </c>
      <c r="BB2" s="2" t="s">
        <v>48</v>
      </c>
      <c r="BC2" s="2" t="s">
        <v>49</v>
      </c>
      <c r="BD2" s="2" t="s">
        <v>50</v>
      </c>
      <c r="BE2" s="2" t="s">
        <v>66</v>
      </c>
      <c r="BF2" s="2" t="s">
        <v>52</v>
      </c>
      <c r="BG2" s="2" t="s">
        <v>64</v>
      </c>
      <c r="BH2" s="2" t="s">
        <v>267</v>
      </c>
      <c r="BI2" s="2" t="s">
        <v>268</v>
      </c>
    </row>
    <row r="3" spans="1:61" x14ac:dyDescent="0.25">
      <c r="A3" s="1" t="s">
        <v>127</v>
      </c>
      <c r="B3" s="3" t="s">
        <v>128</v>
      </c>
      <c r="C3" s="4" t="s">
        <v>8</v>
      </c>
      <c r="D3" s="4">
        <v>42</v>
      </c>
      <c r="E3" s="4">
        <v>1438</v>
      </c>
      <c r="F3" s="4">
        <v>42</v>
      </c>
      <c r="G3" s="4">
        <v>1438</v>
      </c>
      <c r="H3" s="4">
        <v>18.899999999999999</v>
      </c>
      <c r="I3" s="4">
        <v>0.56399999999999995</v>
      </c>
      <c r="J3" s="4">
        <v>0.51700000000000002</v>
      </c>
      <c r="K3" s="4">
        <v>0.61699999999999999</v>
      </c>
      <c r="L3" s="4">
        <v>0.252</v>
      </c>
      <c r="M3" s="4">
        <v>2.4</v>
      </c>
      <c r="N3" s="4">
        <v>6.8</v>
      </c>
      <c r="O3" s="4">
        <v>17.3</v>
      </c>
      <c r="P3" s="4">
        <v>3.3</v>
      </c>
      <c r="Q3" s="4">
        <v>2.6</v>
      </c>
      <c r="R3" s="4">
        <v>8</v>
      </c>
      <c r="S3" s="4">
        <v>21.4</v>
      </c>
      <c r="T3" s="4">
        <v>119</v>
      </c>
      <c r="U3" s="4">
        <v>103</v>
      </c>
      <c r="V3" s="4"/>
      <c r="W3" s="4">
        <v>3.8</v>
      </c>
      <c r="X3" s="4">
        <v>3.1</v>
      </c>
      <c r="Y3" s="4">
        <v>7</v>
      </c>
      <c r="Z3" s="4">
        <v>0.19400000000000001</v>
      </c>
      <c r="AA3" s="13">
        <f>(I3/TOTAL_BASIC!$D$301)*100</f>
        <v>100.45858326177905</v>
      </c>
      <c r="AB3" s="5">
        <f t="shared" ref="AB3" si="0">(T3/100)</f>
        <v>1.19</v>
      </c>
      <c r="AC3" s="3">
        <f t="shared" ref="AC3:AC100" si="1">T3-U3</f>
        <v>16</v>
      </c>
      <c r="AD3" s="9">
        <f>2*I3</f>
        <v>1.1279999999999999</v>
      </c>
      <c r="AE3" s="16">
        <f>IF(S3=0,0,O3/S3)</f>
        <v>0.80841121495327106</v>
      </c>
      <c r="AF3" s="16">
        <f>IF(R3=0,0,O3/R3)</f>
        <v>2.1625000000000001</v>
      </c>
      <c r="AG3" s="9"/>
      <c r="AH3" s="9"/>
      <c r="AI3" s="12">
        <f>(PERCENTRANK(F$3:F$298,F3))*100</f>
        <v>83</v>
      </c>
      <c r="AJ3" s="12">
        <f>(PERCENTRANK(G$3:G$298,G3))*100</f>
        <v>100</v>
      </c>
      <c r="AK3" s="12">
        <f t="shared" ref="AK3:BI18" si="2">(PERCENTRANK(H$3:H$298,H3))*100</f>
        <v>78.600000000000009</v>
      </c>
      <c r="AL3" s="12">
        <f t="shared" si="2"/>
        <v>58.4</v>
      </c>
      <c r="AM3" s="12">
        <f t="shared" si="2"/>
        <v>51.9</v>
      </c>
      <c r="AN3" s="12">
        <f t="shared" si="2"/>
        <v>85.7</v>
      </c>
      <c r="AO3" s="12">
        <f t="shared" si="2"/>
        <v>41.5</v>
      </c>
      <c r="AP3" s="12">
        <f t="shared" si="2"/>
        <v>25.6</v>
      </c>
      <c r="AQ3" s="12">
        <f t="shared" si="2"/>
        <v>31.1</v>
      </c>
      <c r="AR3" s="12">
        <f t="shared" si="2"/>
        <v>67.7</v>
      </c>
      <c r="AS3" s="12">
        <f t="shared" si="2"/>
        <v>98.9</v>
      </c>
      <c r="AT3" s="12">
        <f t="shared" si="2"/>
        <v>74.8</v>
      </c>
      <c r="AU3" s="12">
        <f>100-(PERCENTRANK(R$3:R$298,R3))*100</f>
        <v>95.1</v>
      </c>
      <c r="AV3" s="12">
        <f t="shared" si="2"/>
        <v>68.300000000000011</v>
      </c>
      <c r="AW3" s="12">
        <f t="shared" si="2"/>
        <v>83.6</v>
      </c>
      <c r="AX3" s="12">
        <f>100-(PERCENTRANK(U$3:U$298,U3))*100</f>
        <v>92.4</v>
      </c>
      <c r="AY3" s="12"/>
      <c r="AZ3" s="12">
        <f t="shared" si="2"/>
        <v>93.4</v>
      </c>
      <c r="BA3" s="12">
        <f t="shared" si="2"/>
        <v>99.4</v>
      </c>
      <c r="BB3" s="12">
        <f t="shared" si="2"/>
        <v>97.8</v>
      </c>
      <c r="BC3" s="12">
        <f t="shared" si="2"/>
        <v>92.300000000000011</v>
      </c>
      <c r="BD3" s="12">
        <f t="shared" si="2"/>
        <v>58.4</v>
      </c>
      <c r="BE3" s="12">
        <f t="shared" si="2"/>
        <v>83.6</v>
      </c>
      <c r="BF3" s="12">
        <f t="shared" si="2"/>
        <v>92.800000000000011</v>
      </c>
      <c r="BG3" s="12">
        <f t="shared" si="2"/>
        <v>58.4</v>
      </c>
      <c r="BH3" s="12">
        <f t="shared" si="2"/>
        <v>59</v>
      </c>
      <c r="BI3" s="12">
        <f t="shared" si="2"/>
        <v>96.7</v>
      </c>
    </row>
    <row r="4" spans="1:61" x14ac:dyDescent="0.25">
      <c r="A4" s="1" t="s">
        <v>149</v>
      </c>
      <c r="B4" s="3" t="s">
        <v>128</v>
      </c>
      <c r="C4" s="4" t="s">
        <v>8</v>
      </c>
      <c r="D4" s="4">
        <v>43</v>
      </c>
      <c r="E4" s="4">
        <v>1401</v>
      </c>
      <c r="F4" s="4">
        <v>43</v>
      </c>
      <c r="G4" s="4">
        <v>1401</v>
      </c>
      <c r="H4" s="4">
        <v>18.100000000000001</v>
      </c>
      <c r="I4" s="4">
        <v>0.58599999999999997</v>
      </c>
      <c r="J4" s="4">
        <v>0.52700000000000002</v>
      </c>
      <c r="K4" s="4">
        <v>0.39600000000000002</v>
      </c>
      <c r="L4" s="4">
        <v>0.40400000000000003</v>
      </c>
      <c r="M4" s="4">
        <v>2.4</v>
      </c>
      <c r="N4" s="4">
        <v>6.4</v>
      </c>
      <c r="O4" s="4">
        <v>13.4</v>
      </c>
      <c r="P4" s="4">
        <v>2</v>
      </c>
      <c r="Q4" s="4">
        <v>1</v>
      </c>
      <c r="R4" s="4">
        <v>8.6</v>
      </c>
      <c r="S4" s="4">
        <v>22.9</v>
      </c>
      <c r="T4" s="4">
        <v>119</v>
      </c>
      <c r="U4" s="4">
        <v>107</v>
      </c>
      <c r="V4" s="4"/>
      <c r="W4" s="4">
        <v>4.0999999999999996</v>
      </c>
      <c r="X4" s="4">
        <v>2.2000000000000002</v>
      </c>
      <c r="Y4" s="4">
        <v>6.3</v>
      </c>
      <c r="Z4" s="4">
        <v>0.17899999999999999</v>
      </c>
      <c r="AA4" s="13">
        <f>(I4/TOTAL_BASIC!$D$301)*100</f>
        <v>104.37718048121015</v>
      </c>
      <c r="AB4" s="5">
        <f t="shared" ref="AB4:AB67" si="3">(T4/100)</f>
        <v>1.19</v>
      </c>
      <c r="AC4" s="3">
        <f t="shared" si="1"/>
        <v>12</v>
      </c>
      <c r="AD4" s="9">
        <f t="shared" ref="AD4:AD67" si="4">2*I4</f>
        <v>1.1719999999999999</v>
      </c>
      <c r="AE4" s="16">
        <f t="shared" ref="AE4:AE67" si="5">IF(S4=0,0,O4/S4)</f>
        <v>0.58515283842794763</v>
      </c>
      <c r="AF4" s="16">
        <f t="shared" ref="AF4:AF67" si="6">IF(R4=0,0,O4/R4)</f>
        <v>1.558139534883721</v>
      </c>
      <c r="AG4" s="9"/>
      <c r="AH4" s="9"/>
      <c r="AI4" s="12">
        <f t="shared" ref="AI4:AI67" si="7">(PERCENTRANK(F$3:F$298,F4))*100</f>
        <v>96.7</v>
      </c>
      <c r="AJ4" s="12">
        <f t="shared" ref="AJ4:AN67" si="8">(PERCENTRANK(G$3:G$298,G4))*100</f>
        <v>99.4</v>
      </c>
      <c r="AK4" s="12">
        <f t="shared" si="2"/>
        <v>77.5</v>
      </c>
      <c r="AL4" s="12">
        <f t="shared" si="2"/>
        <v>69.3</v>
      </c>
      <c r="AM4" s="12">
        <f t="shared" si="2"/>
        <v>61.199999999999996</v>
      </c>
      <c r="AN4" s="12">
        <f t="shared" si="2"/>
        <v>46.9</v>
      </c>
      <c r="AO4" s="12">
        <f t="shared" si="2"/>
        <v>78.100000000000009</v>
      </c>
      <c r="AP4" s="12">
        <f t="shared" si="2"/>
        <v>25.6</v>
      </c>
      <c r="AQ4" s="12">
        <f t="shared" si="2"/>
        <v>26.200000000000003</v>
      </c>
      <c r="AR4" s="12">
        <f t="shared" si="2"/>
        <v>49.1</v>
      </c>
      <c r="AS4" s="12">
        <f t="shared" si="2"/>
        <v>64.400000000000006</v>
      </c>
      <c r="AT4" s="12">
        <f t="shared" si="2"/>
        <v>40.9</v>
      </c>
      <c r="AU4" s="12">
        <f t="shared" ref="AU4:AU67" si="9">100-(PERCENTRANK(R$3:R$298,R4))*100</f>
        <v>92.4</v>
      </c>
      <c r="AV4" s="12">
        <f t="shared" si="2"/>
        <v>75.900000000000006</v>
      </c>
      <c r="AW4" s="12">
        <f t="shared" si="2"/>
        <v>83.6</v>
      </c>
      <c r="AX4" s="12">
        <f t="shared" ref="AX4:AX67" si="10">100-(PERCENTRANK(U$3:U$298,U4))*100</f>
        <v>78.2</v>
      </c>
      <c r="AY4" s="9"/>
      <c r="AZ4" s="12">
        <f t="shared" si="2"/>
        <v>95</v>
      </c>
      <c r="BA4" s="12">
        <f t="shared" si="2"/>
        <v>92.300000000000011</v>
      </c>
      <c r="BB4" s="12">
        <f t="shared" ref="BB4:BE67" si="11">(PERCENTRANK(Y$3:Y$298,Y4))*100</f>
        <v>94.5</v>
      </c>
      <c r="BC4" s="12">
        <f t="shared" si="11"/>
        <v>88.5</v>
      </c>
      <c r="BD4" s="12">
        <f t="shared" si="11"/>
        <v>69.3</v>
      </c>
      <c r="BE4" s="12">
        <f t="shared" si="11"/>
        <v>83.6</v>
      </c>
      <c r="BF4" s="12">
        <f t="shared" ref="BF4:BI67" si="12">(PERCENTRANK(AC$3:AC$298,AC4))*100</f>
        <v>84.6</v>
      </c>
      <c r="BG4" s="12">
        <f t="shared" si="12"/>
        <v>69.3</v>
      </c>
      <c r="BH4" s="12">
        <f t="shared" si="12"/>
        <v>33.800000000000004</v>
      </c>
      <c r="BI4" s="12">
        <f t="shared" si="12"/>
        <v>82.5</v>
      </c>
    </row>
    <row r="5" spans="1:61" x14ac:dyDescent="0.25">
      <c r="A5" s="1" t="s">
        <v>83</v>
      </c>
      <c r="B5" s="3" t="s">
        <v>84</v>
      </c>
      <c r="C5" s="4" t="s">
        <v>85</v>
      </c>
      <c r="D5" s="4">
        <v>42</v>
      </c>
      <c r="E5" s="4">
        <v>1384</v>
      </c>
      <c r="F5" s="4">
        <v>42</v>
      </c>
      <c r="G5" s="4">
        <v>1384</v>
      </c>
      <c r="H5" s="4">
        <v>23.9</v>
      </c>
      <c r="I5" s="4">
        <v>0.57499999999999996</v>
      </c>
      <c r="J5" s="4">
        <v>0.498</v>
      </c>
      <c r="K5" s="4">
        <v>0.193</v>
      </c>
      <c r="L5" s="4">
        <v>0.45800000000000002</v>
      </c>
      <c r="M5" s="4">
        <v>5.9</v>
      </c>
      <c r="N5" s="4">
        <v>15.1</v>
      </c>
      <c r="O5" s="4">
        <v>17.7</v>
      </c>
      <c r="P5" s="4">
        <v>2.1</v>
      </c>
      <c r="Q5" s="4">
        <v>3.5</v>
      </c>
      <c r="R5" s="4">
        <v>10.1</v>
      </c>
      <c r="S5" s="4">
        <v>27.2</v>
      </c>
      <c r="T5" s="4">
        <v>117</v>
      </c>
      <c r="U5" s="4">
        <v>105</v>
      </c>
      <c r="V5" s="4"/>
      <c r="W5" s="4">
        <v>4.4000000000000004</v>
      </c>
      <c r="X5" s="4">
        <v>2.6</v>
      </c>
      <c r="Y5" s="4">
        <v>7.1</v>
      </c>
      <c r="Z5" s="4">
        <v>0.20399999999999999</v>
      </c>
      <c r="AA5" s="13">
        <f>(I5/TOTAL_BASIC!$D$301)*100</f>
        <v>102.41788187149461</v>
      </c>
      <c r="AB5" s="5">
        <f t="shared" si="3"/>
        <v>1.17</v>
      </c>
      <c r="AC5" s="3">
        <f t="shared" si="1"/>
        <v>12</v>
      </c>
      <c r="AD5" s="9">
        <f t="shared" si="4"/>
        <v>1.1499999999999999</v>
      </c>
      <c r="AE5" s="16">
        <f t="shared" si="5"/>
        <v>0.65073529411764708</v>
      </c>
      <c r="AF5" s="16">
        <f t="shared" si="6"/>
        <v>1.7524752475247525</v>
      </c>
      <c r="AG5" s="9"/>
      <c r="AH5" s="9"/>
      <c r="AI5" s="12">
        <f t="shared" si="7"/>
        <v>83</v>
      </c>
      <c r="AJ5" s="12">
        <f t="shared" si="8"/>
        <v>98.9</v>
      </c>
      <c r="AK5" s="12">
        <f t="shared" si="2"/>
        <v>98.3</v>
      </c>
      <c r="AL5" s="12">
        <f t="shared" si="2"/>
        <v>62.8</v>
      </c>
      <c r="AM5" s="12">
        <f t="shared" si="2"/>
        <v>43.1</v>
      </c>
      <c r="AN5" s="12">
        <f t="shared" si="2"/>
        <v>14.7</v>
      </c>
      <c r="AO5" s="12">
        <f t="shared" si="2"/>
        <v>87.4</v>
      </c>
      <c r="AP5" s="12">
        <f t="shared" si="2"/>
        <v>63.9</v>
      </c>
      <c r="AQ5" s="12">
        <f t="shared" si="2"/>
        <v>84.1</v>
      </c>
      <c r="AR5" s="12">
        <f t="shared" si="2"/>
        <v>68.8</v>
      </c>
      <c r="AS5" s="12">
        <f t="shared" si="2"/>
        <v>70.399999999999991</v>
      </c>
      <c r="AT5" s="12">
        <f t="shared" si="2"/>
        <v>84.6</v>
      </c>
      <c r="AU5" s="12">
        <f t="shared" si="9"/>
        <v>89.1</v>
      </c>
      <c r="AV5" s="12">
        <f t="shared" si="2"/>
        <v>90.100000000000009</v>
      </c>
      <c r="AW5" s="12">
        <f t="shared" si="2"/>
        <v>78.600000000000009</v>
      </c>
      <c r="AX5" s="12">
        <f t="shared" si="10"/>
        <v>85.8</v>
      </c>
      <c r="AY5" s="9"/>
      <c r="AZ5" s="12">
        <f t="shared" si="2"/>
        <v>96.7</v>
      </c>
      <c r="BA5" s="12">
        <f t="shared" si="2"/>
        <v>96.1</v>
      </c>
      <c r="BB5" s="12">
        <f t="shared" si="11"/>
        <v>98.3</v>
      </c>
      <c r="BC5" s="12">
        <f t="shared" si="11"/>
        <v>95</v>
      </c>
      <c r="BD5" s="12">
        <f t="shared" si="11"/>
        <v>62.8</v>
      </c>
      <c r="BE5" s="12">
        <f t="shared" si="11"/>
        <v>78.600000000000009</v>
      </c>
      <c r="BF5" s="12">
        <f t="shared" si="12"/>
        <v>84.6</v>
      </c>
      <c r="BG5" s="12">
        <f t="shared" si="12"/>
        <v>62.8</v>
      </c>
      <c r="BH5" s="12">
        <f t="shared" si="12"/>
        <v>40.9</v>
      </c>
      <c r="BI5" s="12">
        <f t="shared" si="12"/>
        <v>88.5</v>
      </c>
    </row>
    <row r="6" spans="1:61" x14ac:dyDescent="0.25">
      <c r="A6" s="1" t="s">
        <v>159</v>
      </c>
      <c r="B6" s="3" t="s">
        <v>157</v>
      </c>
      <c r="C6" s="4" t="s">
        <v>8</v>
      </c>
      <c r="D6" s="4">
        <v>42</v>
      </c>
      <c r="E6" s="4">
        <v>1382</v>
      </c>
      <c r="F6" s="4">
        <v>42</v>
      </c>
      <c r="G6" s="4">
        <v>1382</v>
      </c>
      <c r="H6" s="4">
        <v>23.8</v>
      </c>
      <c r="I6" s="4">
        <v>0.64600000000000002</v>
      </c>
      <c r="J6" s="4">
        <v>0.60499999999999998</v>
      </c>
      <c r="K6" s="4">
        <v>0.39700000000000002</v>
      </c>
      <c r="L6" s="4">
        <v>0.29599999999999999</v>
      </c>
      <c r="M6" s="4">
        <v>2</v>
      </c>
      <c r="N6" s="4">
        <v>3.2</v>
      </c>
      <c r="O6" s="4">
        <v>14.7</v>
      </c>
      <c r="P6" s="4">
        <v>1.6</v>
      </c>
      <c r="Q6" s="4">
        <v>0.3</v>
      </c>
      <c r="R6" s="4">
        <v>8.1</v>
      </c>
      <c r="S6" s="4">
        <v>28.2</v>
      </c>
      <c r="T6" s="4">
        <v>126</v>
      </c>
      <c r="U6" s="4">
        <v>115</v>
      </c>
      <c r="V6" s="4"/>
      <c r="W6" s="4">
        <v>6.6</v>
      </c>
      <c r="X6" s="4">
        <v>0.6</v>
      </c>
      <c r="Y6" s="4">
        <v>7.2</v>
      </c>
      <c r="Z6" s="4">
        <v>0.20699999999999999</v>
      </c>
      <c r="AA6" s="13">
        <f>(I6/TOTAL_BASIC!$D$301)*100</f>
        <v>115.06426380693134</v>
      </c>
      <c r="AB6" s="5">
        <f t="shared" si="3"/>
        <v>1.26</v>
      </c>
      <c r="AC6" s="3">
        <f t="shared" si="1"/>
        <v>11</v>
      </c>
      <c r="AD6" s="9">
        <f t="shared" si="4"/>
        <v>1.292</v>
      </c>
      <c r="AE6" s="16">
        <f t="shared" si="5"/>
        <v>0.52127659574468088</v>
      </c>
      <c r="AF6" s="16">
        <f t="shared" si="6"/>
        <v>1.8148148148148149</v>
      </c>
      <c r="AG6" s="9"/>
      <c r="AH6" s="9"/>
      <c r="AI6" s="12">
        <f t="shared" si="7"/>
        <v>83</v>
      </c>
      <c r="AJ6" s="12">
        <f t="shared" si="8"/>
        <v>98.3</v>
      </c>
      <c r="AK6" s="12">
        <f t="shared" si="2"/>
        <v>97.8</v>
      </c>
      <c r="AL6" s="12">
        <f t="shared" si="2"/>
        <v>95.6</v>
      </c>
      <c r="AM6" s="12">
        <f t="shared" si="2"/>
        <v>94.5</v>
      </c>
      <c r="AN6" s="12">
        <f t="shared" si="2"/>
        <v>48</v>
      </c>
      <c r="AO6" s="12">
        <f t="shared" si="2"/>
        <v>54.6</v>
      </c>
      <c r="AP6" s="12">
        <f t="shared" si="2"/>
        <v>15.299999999999999</v>
      </c>
      <c r="AQ6" s="12">
        <f t="shared" si="2"/>
        <v>0.5</v>
      </c>
      <c r="AR6" s="12">
        <f t="shared" si="2"/>
        <v>56.8</v>
      </c>
      <c r="AS6" s="12">
        <f t="shared" si="2"/>
        <v>39.800000000000004</v>
      </c>
      <c r="AT6" s="12">
        <f t="shared" si="2"/>
        <v>9.1999999999999993</v>
      </c>
      <c r="AU6" s="12">
        <f t="shared" si="9"/>
        <v>94.6</v>
      </c>
      <c r="AV6" s="12">
        <f t="shared" si="2"/>
        <v>93.4</v>
      </c>
      <c r="AW6" s="12">
        <f t="shared" si="2"/>
        <v>96.1</v>
      </c>
      <c r="AX6" s="12">
        <f t="shared" si="10"/>
        <v>18.600000000000009</v>
      </c>
      <c r="AY6" s="9"/>
      <c r="AZ6" s="12">
        <f t="shared" si="2"/>
        <v>100</v>
      </c>
      <c r="BA6" s="12">
        <f t="shared" si="2"/>
        <v>47.5</v>
      </c>
      <c r="BB6" s="12">
        <f t="shared" si="11"/>
        <v>99.4</v>
      </c>
      <c r="BC6" s="12">
        <f t="shared" si="11"/>
        <v>96.7</v>
      </c>
      <c r="BD6" s="12">
        <f t="shared" si="11"/>
        <v>95.6</v>
      </c>
      <c r="BE6" s="12">
        <f t="shared" si="11"/>
        <v>96.1</v>
      </c>
      <c r="BF6" s="12">
        <f t="shared" si="12"/>
        <v>81.399999999999991</v>
      </c>
      <c r="BG6" s="12">
        <f t="shared" si="12"/>
        <v>95.6</v>
      </c>
      <c r="BH6" s="12">
        <f t="shared" si="12"/>
        <v>23.400000000000002</v>
      </c>
      <c r="BI6" s="12">
        <f t="shared" si="12"/>
        <v>89.600000000000009</v>
      </c>
    </row>
    <row r="7" spans="1:61" x14ac:dyDescent="0.25">
      <c r="A7" s="1" t="s">
        <v>95</v>
      </c>
      <c r="B7" s="3" t="s">
        <v>96</v>
      </c>
      <c r="C7" s="4" t="s">
        <v>8</v>
      </c>
      <c r="D7" s="4">
        <v>42</v>
      </c>
      <c r="E7" s="4">
        <v>1370</v>
      </c>
      <c r="F7" s="4">
        <v>42</v>
      </c>
      <c r="G7" s="4">
        <v>1370</v>
      </c>
      <c r="H7" s="4">
        <v>19.2</v>
      </c>
      <c r="I7" s="4">
        <v>0.622</v>
      </c>
      <c r="J7" s="4">
        <v>0.56799999999999995</v>
      </c>
      <c r="K7" s="4">
        <v>0.54600000000000004</v>
      </c>
      <c r="L7" s="4">
        <v>0.28899999999999998</v>
      </c>
      <c r="M7" s="4">
        <v>2.2000000000000002</v>
      </c>
      <c r="N7" s="4">
        <v>5.7</v>
      </c>
      <c r="O7" s="4">
        <v>10.199999999999999</v>
      </c>
      <c r="P7" s="4">
        <v>2.6</v>
      </c>
      <c r="Q7" s="4">
        <v>0.7</v>
      </c>
      <c r="R7" s="4">
        <v>8.1999999999999993</v>
      </c>
      <c r="S7" s="4">
        <v>21.2</v>
      </c>
      <c r="T7" s="4">
        <v>125</v>
      </c>
      <c r="U7" s="4">
        <v>108</v>
      </c>
      <c r="V7" s="4"/>
      <c r="W7" s="4">
        <v>4.5999999999999996</v>
      </c>
      <c r="X7" s="4">
        <v>2</v>
      </c>
      <c r="Y7" s="4">
        <v>6.6</v>
      </c>
      <c r="Z7" s="4">
        <v>0.192</v>
      </c>
      <c r="AA7" s="13">
        <f>(I7/TOTAL_BASIC!$D$301)*100</f>
        <v>110.78943047664286</v>
      </c>
      <c r="AB7" s="5">
        <f t="shared" si="3"/>
        <v>1.25</v>
      </c>
      <c r="AC7" s="3">
        <f t="shared" si="1"/>
        <v>17</v>
      </c>
      <c r="AD7" s="9">
        <f t="shared" si="4"/>
        <v>1.244</v>
      </c>
      <c r="AE7" s="16">
        <f t="shared" si="5"/>
        <v>0.48113207547169812</v>
      </c>
      <c r="AF7" s="16">
        <f t="shared" si="6"/>
        <v>1.2439024390243902</v>
      </c>
      <c r="AG7" s="9"/>
      <c r="AH7" s="9"/>
      <c r="AI7" s="12">
        <f t="shared" si="7"/>
        <v>83</v>
      </c>
      <c r="AJ7" s="12">
        <f t="shared" si="8"/>
        <v>97.8</v>
      </c>
      <c r="AK7" s="12">
        <f t="shared" si="2"/>
        <v>81.399999999999991</v>
      </c>
      <c r="AL7" s="12">
        <f t="shared" si="2"/>
        <v>87.9</v>
      </c>
      <c r="AM7" s="12">
        <f t="shared" si="2"/>
        <v>82.5</v>
      </c>
      <c r="AN7" s="12">
        <f t="shared" si="2"/>
        <v>80.300000000000011</v>
      </c>
      <c r="AO7" s="12">
        <f t="shared" si="2"/>
        <v>52.400000000000006</v>
      </c>
      <c r="AP7" s="12">
        <f t="shared" si="2"/>
        <v>19.600000000000001</v>
      </c>
      <c r="AQ7" s="12">
        <f t="shared" si="2"/>
        <v>17.399999999999999</v>
      </c>
      <c r="AR7" s="12">
        <f t="shared" si="2"/>
        <v>28.4</v>
      </c>
      <c r="AS7" s="12">
        <f t="shared" si="2"/>
        <v>87.9</v>
      </c>
      <c r="AT7" s="12">
        <f t="shared" si="2"/>
        <v>24</v>
      </c>
      <c r="AU7" s="12">
        <f t="shared" si="9"/>
        <v>94</v>
      </c>
      <c r="AV7" s="12">
        <f t="shared" si="2"/>
        <v>66.600000000000009</v>
      </c>
      <c r="AW7" s="12">
        <f t="shared" si="2"/>
        <v>95.6</v>
      </c>
      <c r="AX7" s="12">
        <f t="shared" si="10"/>
        <v>71.099999999999994</v>
      </c>
      <c r="AY7" s="9"/>
      <c r="AZ7" s="12">
        <f t="shared" si="2"/>
        <v>97.2</v>
      </c>
      <c r="BA7" s="12">
        <f t="shared" si="2"/>
        <v>89.600000000000009</v>
      </c>
      <c r="BB7" s="12">
        <f t="shared" si="11"/>
        <v>96.1</v>
      </c>
      <c r="BC7" s="12">
        <f t="shared" si="11"/>
        <v>90.7</v>
      </c>
      <c r="BD7" s="12">
        <f t="shared" si="11"/>
        <v>87.9</v>
      </c>
      <c r="BE7" s="12">
        <f t="shared" si="11"/>
        <v>95.6</v>
      </c>
      <c r="BF7" s="12">
        <f t="shared" si="12"/>
        <v>95</v>
      </c>
      <c r="BG7" s="12">
        <f t="shared" si="12"/>
        <v>87.9</v>
      </c>
      <c r="BH7" s="12">
        <f t="shared" si="12"/>
        <v>16.900000000000002</v>
      </c>
      <c r="BI7" s="12">
        <f t="shared" si="12"/>
        <v>69.899999999999991</v>
      </c>
    </row>
    <row r="8" spans="1:61" x14ac:dyDescent="0.25">
      <c r="A8" s="1" t="s">
        <v>97</v>
      </c>
      <c r="B8" s="3" t="s">
        <v>93</v>
      </c>
      <c r="C8" s="4" t="s">
        <v>85</v>
      </c>
      <c r="D8" s="4">
        <v>41</v>
      </c>
      <c r="E8" s="4">
        <v>1366</v>
      </c>
      <c r="F8" s="4">
        <v>41</v>
      </c>
      <c r="G8" s="4">
        <v>1366</v>
      </c>
      <c r="H8" s="4">
        <v>20.100000000000001</v>
      </c>
      <c r="I8" s="4">
        <v>0.56799999999999995</v>
      </c>
      <c r="J8" s="4">
        <v>0.52500000000000002</v>
      </c>
      <c r="K8" s="4">
        <v>7.0000000000000001E-3</v>
      </c>
      <c r="L8" s="4">
        <v>0.45500000000000002</v>
      </c>
      <c r="M8" s="4">
        <v>6</v>
      </c>
      <c r="N8" s="4">
        <v>14.4</v>
      </c>
      <c r="O8" s="4">
        <v>45.7</v>
      </c>
      <c r="P8" s="4">
        <v>2</v>
      </c>
      <c r="Q8" s="4">
        <v>1.4</v>
      </c>
      <c r="R8" s="4">
        <v>21.6</v>
      </c>
      <c r="S8" s="4">
        <v>22.1</v>
      </c>
      <c r="T8" s="4">
        <v>111</v>
      </c>
      <c r="U8" s="4">
        <v>109</v>
      </c>
      <c r="V8" s="4"/>
      <c r="W8" s="4">
        <v>2.5</v>
      </c>
      <c r="X8" s="4">
        <v>1.8</v>
      </c>
      <c r="Y8" s="4">
        <v>4.3</v>
      </c>
      <c r="Z8" s="4">
        <v>0.127</v>
      </c>
      <c r="AA8" s="13">
        <f>(I8/TOTAL_BASIC!$D$301)*100</f>
        <v>101.17105548349379</v>
      </c>
      <c r="AB8" s="5">
        <f t="shared" si="3"/>
        <v>1.1100000000000001</v>
      </c>
      <c r="AC8" s="3">
        <f t="shared" si="1"/>
        <v>2</v>
      </c>
      <c r="AD8" s="9">
        <f t="shared" si="4"/>
        <v>1.1359999999999999</v>
      </c>
      <c r="AE8" s="16">
        <f t="shared" si="5"/>
        <v>2.067873303167421</v>
      </c>
      <c r="AF8" s="16">
        <f t="shared" si="6"/>
        <v>2.1157407407407409</v>
      </c>
      <c r="AG8" s="9"/>
      <c r="AH8" s="9"/>
      <c r="AI8" s="12">
        <f t="shared" si="7"/>
        <v>69.3</v>
      </c>
      <c r="AJ8" s="12">
        <f t="shared" si="8"/>
        <v>97.2</v>
      </c>
      <c r="AK8" s="12">
        <f t="shared" si="2"/>
        <v>86.3</v>
      </c>
      <c r="AL8" s="12">
        <f t="shared" si="2"/>
        <v>60.6</v>
      </c>
      <c r="AM8" s="12">
        <f t="shared" si="2"/>
        <v>60.099999999999994</v>
      </c>
      <c r="AN8" s="12">
        <f t="shared" si="2"/>
        <v>2.7</v>
      </c>
      <c r="AO8" s="12">
        <f t="shared" si="2"/>
        <v>86.8</v>
      </c>
      <c r="AP8" s="12">
        <f t="shared" si="2"/>
        <v>65.5</v>
      </c>
      <c r="AQ8" s="12">
        <f t="shared" si="2"/>
        <v>81.399999999999991</v>
      </c>
      <c r="AR8" s="12">
        <f t="shared" si="2"/>
        <v>100</v>
      </c>
      <c r="AS8" s="12">
        <f t="shared" si="2"/>
        <v>64.400000000000006</v>
      </c>
      <c r="AT8" s="12">
        <f t="shared" si="2"/>
        <v>53.5</v>
      </c>
      <c r="AU8" s="12">
        <f t="shared" si="9"/>
        <v>8.7999999999999972</v>
      </c>
      <c r="AV8" s="12">
        <f t="shared" si="2"/>
        <v>72.599999999999994</v>
      </c>
      <c r="AW8" s="12">
        <f t="shared" si="2"/>
        <v>65</v>
      </c>
      <c r="AX8" s="12">
        <f t="shared" si="10"/>
        <v>66.199999999999989</v>
      </c>
      <c r="AY8" s="9"/>
      <c r="AZ8" s="12">
        <f t="shared" si="2"/>
        <v>86.3</v>
      </c>
      <c r="BA8" s="12">
        <f t="shared" si="2"/>
        <v>87.4</v>
      </c>
      <c r="BB8" s="12">
        <f t="shared" si="11"/>
        <v>86.8</v>
      </c>
      <c r="BC8" s="12">
        <f t="shared" si="11"/>
        <v>74.3</v>
      </c>
      <c r="BD8" s="12">
        <f t="shared" si="11"/>
        <v>60.6</v>
      </c>
      <c r="BE8" s="12">
        <f t="shared" si="11"/>
        <v>65</v>
      </c>
      <c r="BF8" s="12">
        <f t="shared" si="12"/>
        <v>65</v>
      </c>
      <c r="BG8" s="12">
        <f t="shared" si="12"/>
        <v>60.6</v>
      </c>
      <c r="BH8" s="12">
        <f t="shared" si="12"/>
        <v>99.4</v>
      </c>
      <c r="BI8" s="12">
        <f t="shared" si="12"/>
        <v>95.6</v>
      </c>
    </row>
    <row r="9" spans="1:61" x14ac:dyDescent="0.25">
      <c r="A9" s="1" t="s">
        <v>98</v>
      </c>
      <c r="B9" s="3" t="s">
        <v>99</v>
      </c>
      <c r="C9" s="4" t="s">
        <v>8</v>
      </c>
      <c r="D9" s="4">
        <v>41</v>
      </c>
      <c r="E9" s="4">
        <v>1346</v>
      </c>
      <c r="F9" s="4">
        <v>41</v>
      </c>
      <c r="G9" s="4">
        <v>1346</v>
      </c>
      <c r="H9" s="4">
        <v>22.9</v>
      </c>
      <c r="I9" s="4">
        <v>0.60799999999999998</v>
      </c>
      <c r="J9" s="4">
        <v>0.57199999999999995</v>
      </c>
      <c r="K9" s="4">
        <v>0.30199999999999999</v>
      </c>
      <c r="L9" s="4">
        <v>0.221</v>
      </c>
      <c r="M9" s="4">
        <v>2.2999999999999998</v>
      </c>
      <c r="N9" s="4">
        <v>7.4</v>
      </c>
      <c r="O9" s="4">
        <v>30.7</v>
      </c>
      <c r="P9" s="4">
        <v>1.4</v>
      </c>
      <c r="Q9" s="4">
        <v>1.1000000000000001</v>
      </c>
      <c r="R9" s="4">
        <v>11.3</v>
      </c>
      <c r="S9" s="4">
        <v>26.2</v>
      </c>
      <c r="T9" s="4">
        <v>120</v>
      </c>
      <c r="U9" s="4">
        <v>110</v>
      </c>
      <c r="V9" s="4"/>
      <c r="W9" s="4">
        <v>5</v>
      </c>
      <c r="X9" s="4">
        <v>1.5</v>
      </c>
      <c r="Y9" s="4">
        <v>6.5</v>
      </c>
      <c r="Z9" s="4">
        <v>0.193</v>
      </c>
      <c r="AA9" s="13">
        <f>(I9/TOTAL_BASIC!$D$301)*100</f>
        <v>108.29577770064125</v>
      </c>
      <c r="AB9" s="5">
        <f t="shared" si="3"/>
        <v>1.2</v>
      </c>
      <c r="AC9" s="3">
        <f t="shared" si="1"/>
        <v>10</v>
      </c>
      <c r="AD9" s="9">
        <f t="shared" si="4"/>
        <v>1.216</v>
      </c>
      <c r="AE9" s="16">
        <f t="shared" si="5"/>
        <v>1.1717557251908397</v>
      </c>
      <c r="AF9" s="16">
        <f t="shared" si="6"/>
        <v>2.716814159292035</v>
      </c>
      <c r="AG9" s="9"/>
      <c r="AH9" s="9"/>
      <c r="AI9" s="12">
        <f t="shared" si="7"/>
        <v>69.3</v>
      </c>
      <c r="AJ9" s="12">
        <f t="shared" si="8"/>
        <v>96.7</v>
      </c>
      <c r="AK9" s="12">
        <f t="shared" si="2"/>
        <v>96.1</v>
      </c>
      <c r="AL9" s="12">
        <f t="shared" si="2"/>
        <v>81.899999999999991</v>
      </c>
      <c r="AM9" s="12">
        <f t="shared" si="2"/>
        <v>85.2</v>
      </c>
      <c r="AN9" s="12">
        <f t="shared" si="2"/>
        <v>30.599999999999998</v>
      </c>
      <c r="AO9" s="12">
        <f t="shared" si="2"/>
        <v>31.6</v>
      </c>
      <c r="AP9" s="12">
        <f t="shared" si="2"/>
        <v>22.900000000000002</v>
      </c>
      <c r="AQ9" s="12">
        <f t="shared" si="2"/>
        <v>37.700000000000003</v>
      </c>
      <c r="AR9" s="12">
        <f t="shared" si="2"/>
        <v>93.899999999999991</v>
      </c>
      <c r="AS9" s="12">
        <f t="shared" si="2"/>
        <v>27.800000000000004</v>
      </c>
      <c r="AT9" s="12">
        <f t="shared" si="2"/>
        <v>43.7</v>
      </c>
      <c r="AU9" s="12">
        <f t="shared" si="9"/>
        <v>79.3</v>
      </c>
      <c r="AV9" s="12">
        <f t="shared" si="2"/>
        <v>87.9</v>
      </c>
      <c r="AW9" s="12">
        <f t="shared" si="2"/>
        <v>85.2</v>
      </c>
      <c r="AX9" s="12">
        <f t="shared" si="10"/>
        <v>56.3</v>
      </c>
      <c r="AY9" s="9"/>
      <c r="AZ9" s="12">
        <f t="shared" si="2"/>
        <v>98.3</v>
      </c>
      <c r="BA9" s="12">
        <f t="shared" ref="BA9:BD72" si="13">(PERCENTRANK(X$3:X$298,X9))*100</f>
        <v>81.399999999999991</v>
      </c>
      <c r="BB9" s="12">
        <f t="shared" si="11"/>
        <v>95</v>
      </c>
      <c r="BC9" s="12">
        <f t="shared" si="11"/>
        <v>91.2</v>
      </c>
      <c r="BD9" s="12">
        <f t="shared" si="11"/>
        <v>81.899999999999991</v>
      </c>
      <c r="BE9" s="12">
        <f t="shared" si="11"/>
        <v>85.2</v>
      </c>
      <c r="BF9" s="12">
        <f t="shared" si="12"/>
        <v>78.100000000000009</v>
      </c>
      <c r="BG9" s="12">
        <f t="shared" si="12"/>
        <v>81.899999999999991</v>
      </c>
      <c r="BH9" s="12">
        <f t="shared" si="12"/>
        <v>83.6</v>
      </c>
      <c r="BI9" s="12">
        <f t="shared" si="12"/>
        <v>99.4</v>
      </c>
    </row>
    <row r="10" spans="1:61" x14ac:dyDescent="0.25">
      <c r="A10" s="1" t="s">
        <v>121</v>
      </c>
      <c r="B10" s="3" t="s">
        <v>117</v>
      </c>
      <c r="C10" s="4" t="s">
        <v>8</v>
      </c>
      <c r="D10" s="4">
        <v>41</v>
      </c>
      <c r="E10" s="4">
        <v>1338</v>
      </c>
      <c r="F10" s="4">
        <v>41</v>
      </c>
      <c r="G10" s="4">
        <v>1338</v>
      </c>
      <c r="H10" s="4">
        <v>14.4</v>
      </c>
      <c r="I10" s="4">
        <v>0.55900000000000005</v>
      </c>
      <c r="J10" s="4">
        <v>0.52200000000000002</v>
      </c>
      <c r="K10" s="4">
        <v>0.47699999999999998</v>
      </c>
      <c r="L10" s="4">
        <v>0.17</v>
      </c>
      <c r="M10" s="4">
        <v>0.9</v>
      </c>
      <c r="N10" s="4">
        <v>6.1</v>
      </c>
      <c r="O10" s="4">
        <v>29.7</v>
      </c>
      <c r="P10" s="4">
        <v>2.1</v>
      </c>
      <c r="Q10" s="4">
        <v>0.9</v>
      </c>
      <c r="R10" s="4">
        <v>20.100000000000001</v>
      </c>
      <c r="S10" s="4">
        <v>18.5</v>
      </c>
      <c r="T10" s="4">
        <v>108</v>
      </c>
      <c r="U10" s="4">
        <v>109</v>
      </c>
      <c r="V10" s="4"/>
      <c r="W10" s="4">
        <v>1.5</v>
      </c>
      <c r="X10" s="4">
        <v>1.7</v>
      </c>
      <c r="Y10" s="4">
        <v>3.1</v>
      </c>
      <c r="Z10" s="4">
        <v>9.4E-2</v>
      </c>
      <c r="AA10" s="13">
        <f>(I10/TOTAL_BASIC!$D$301)*100</f>
        <v>99.567992984635637</v>
      </c>
      <c r="AB10" s="5">
        <f t="shared" si="3"/>
        <v>1.08</v>
      </c>
      <c r="AC10" s="3">
        <f t="shared" si="1"/>
        <v>-1</v>
      </c>
      <c r="AD10" s="9">
        <f t="shared" si="4"/>
        <v>1.1180000000000001</v>
      </c>
      <c r="AE10" s="16">
        <f t="shared" si="5"/>
        <v>1.6054054054054054</v>
      </c>
      <c r="AF10" s="16">
        <f t="shared" si="6"/>
        <v>1.4776119402985073</v>
      </c>
      <c r="AG10" s="9"/>
      <c r="AH10" s="9"/>
      <c r="AI10" s="12">
        <f t="shared" si="7"/>
        <v>69.3</v>
      </c>
      <c r="AJ10" s="12">
        <f t="shared" si="8"/>
        <v>96.1</v>
      </c>
      <c r="AK10" s="12">
        <f t="shared" si="2"/>
        <v>57.3</v>
      </c>
      <c r="AL10" s="12">
        <f t="shared" si="2"/>
        <v>53</v>
      </c>
      <c r="AM10" s="12">
        <f t="shared" si="2"/>
        <v>56.2</v>
      </c>
      <c r="AN10" s="12">
        <f t="shared" si="2"/>
        <v>63.3</v>
      </c>
      <c r="AO10" s="12">
        <f t="shared" si="2"/>
        <v>18</v>
      </c>
      <c r="AP10" s="12">
        <f t="shared" si="2"/>
        <v>2.7</v>
      </c>
      <c r="AQ10" s="12">
        <f t="shared" si="2"/>
        <v>22.400000000000002</v>
      </c>
      <c r="AR10" s="12">
        <f t="shared" si="2"/>
        <v>92.800000000000011</v>
      </c>
      <c r="AS10" s="12">
        <f t="shared" si="2"/>
        <v>70.399999999999991</v>
      </c>
      <c r="AT10" s="12">
        <f t="shared" si="2"/>
        <v>34.4</v>
      </c>
      <c r="AU10" s="12">
        <f t="shared" si="9"/>
        <v>13.200000000000003</v>
      </c>
      <c r="AV10" s="12">
        <f t="shared" si="2"/>
        <v>51.300000000000004</v>
      </c>
      <c r="AW10" s="12">
        <f t="shared" si="2"/>
        <v>54.6</v>
      </c>
      <c r="AX10" s="12">
        <f t="shared" si="10"/>
        <v>66.199999999999989</v>
      </c>
      <c r="AY10" s="9"/>
      <c r="AZ10" s="12">
        <f t="shared" si="2"/>
        <v>76.5</v>
      </c>
      <c r="BA10" s="12">
        <f t="shared" si="13"/>
        <v>84.6</v>
      </c>
      <c r="BB10" s="12">
        <f t="shared" si="11"/>
        <v>80.800000000000011</v>
      </c>
      <c r="BC10" s="12">
        <f t="shared" si="11"/>
        <v>61.7</v>
      </c>
      <c r="BD10" s="12">
        <f t="shared" si="11"/>
        <v>53</v>
      </c>
      <c r="BE10" s="12">
        <f t="shared" si="11"/>
        <v>54.6</v>
      </c>
      <c r="BF10" s="12">
        <f t="shared" si="12"/>
        <v>58.4</v>
      </c>
      <c r="BG10" s="12">
        <f t="shared" si="12"/>
        <v>53</v>
      </c>
      <c r="BH10" s="12">
        <f t="shared" si="12"/>
        <v>95.6</v>
      </c>
      <c r="BI10" s="12">
        <f t="shared" si="12"/>
        <v>78.100000000000009</v>
      </c>
    </row>
    <row r="11" spans="1:61" x14ac:dyDescent="0.25">
      <c r="A11" s="1" t="s">
        <v>116</v>
      </c>
      <c r="B11" s="3" t="s">
        <v>117</v>
      </c>
      <c r="C11" s="4" t="s">
        <v>8</v>
      </c>
      <c r="D11" s="4">
        <v>41</v>
      </c>
      <c r="E11" s="4">
        <v>1322</v>
      </c>
      <c r="F11" s="4">
        <v>41</v>
      </c>
      <c r="G11" s="4">
        <v>1322</v>
      </c>
      <c r="H11" s="4">
        <v>22.8</v>
      </c>
      <c r="I11" s="4">
        <v>0.624</v>
      </c>
      <c r="J11" s="4">
        <v>0.57899999999999996</v>
      </c>
      <c r="K11" s="4">
        <v>0.435</v>
      </c>
      <c r="L11" s="4">
        <v>0.23699999999999999</v>
      </c>
      <c r="M11" s="4">
        <v>2.8</v>
      </c>
      <c r="N11" s="4">
        <v>8</v>
      </c>
      <c r="O11" s="4">
        <v>33.9</v>
      </c>
      <c r="P11" s="4">
        <v>1.3</v>
      </c>
      <c r="Q11" s="4">
        <v>0.8</v>
      </c>
      <c r="R11" s="4">
        <v>13.3</v>
      </c>
      <c r="S11" s="4">
        <v>25.1</v>
      </c>
      <c r="T11" s="4">
        <v>122</v>
      </c>
      <c r="U11" s="4">
        <v>110</v>
      </c>
      <c r="V11" s="4"/>
      <c r="W11" s="4">
        <v>5.3</v>
      </c>
      <c r="X11" s="4">
        <v>1.4</v>
      </c>
      <c r="Y11" s="4">
        <v>6.7</v>
      </c>
      <c r="Z11" s="4">
        <v>0.20200000000000001</v>
      </c>
      <c r="AA11" s="13">
        <f>(I11/TOTAL_BASIC!$D$301)*100</f>
        <v>111.14566658750023</v>
      </c>
      <c r="AB11" s="5">
        <f t="shared" si="3"/>
        <v>1.22</v>
      </c>
      <c r="AC11" s="3">
        <f t="shared" si="1"/>
        <v>12</v>
      </c>
      <c r="AD11" s="9">
        <f t="shared" si="4"/>
        <v>1.248</v>
      </c>
      <c r="AE11" s="16">
        <f t="shared" si="5"/>
        <v>1.3505976095617529</v>
      </c>
      <c r="AF11" s="16">
        <f t="shared" si="6"/>
        <v>2.5488721804511276</v>
      </c>
      <c r="AG11" s="9"/>
      <c r="AH11" s="9"/>
      <c r="AI11" s="12">
        <f t="shared" si="7"/>
        <v>69.3</v>
      </c>
      <c r="AJ11" s="12">
        <f t="shared" si="8"/>
        <v>95.6</v>
      </c>
      <c r="AK11" s="12">
        <f t="shared" si="2"/>
        <v>95.6</v>
      </c>
      <c r="AL11" s="12">
        <f t="shared" si="2"/>
        <v>89.600000000000009</v>
      </c>
      <c r="AM11" s="12">
        <f t="shared" si="2"/>
        <v>87.4</v>
      </c>
      <c r="AN11" s="12">
        <f t="shared" si="2"/>
        <v>56.2</v>
      </c>
      <c r="AO11" s="12">
        <f t="shared" si="2"/>
        <v>37.700000000000003</v>
      </c>
      <c r="AP11" s="12">
        <f t="shared" si="2"/>
        <v>30</v>
      </c>
      <c r="AQ11" s="12">
        <f t="shared" si="2"/>
        <v>43.7</v>
      </c>
      <c r="AR11" s="12">
        <f t="shared" si="2"/>
        <v>95.6</v>
      </c>
      <c r="AS11" s="12">
        <f t="shared" si="2"/>
        <v>22.900000000000002</v>
      </c>
      <c r="AT11" s="12">
        <f t="shared" si="2"/>
        <v>28.4</v>
      </c>
      <c r="AU11" s="12">
        <f t="shared" si="9"/>
        <v>64.5</v>
      </c>
      <c r="AV11" s="12">
        <f t="shared" si="2"/>
        <v>84.1</v>
      </c>
      <c r="AW11" s="12">
        <f t="shared" si="2"/>
        <v>89</v>
      </c>
      <c r="AX11" s="12">
        <f t="shared" si="10"/>
        <v>56.3</v>
      </c>
      <c r="AY11" s="9"/>
      <c r="AZ11" s="12">
        <f t="shared" si="2"/>
        <v>98.9</v>
      </c>
      <c r="BA11" s="12">
        <f t="shared" si="13"/>
        <v>78.100000000000009</v>
      </c>
      <c r="BB11" s="12">
        <f t="shared" si="11"/>
        <v>96.7</v>
      </c>
      <c r="BC11" s="12">
        <f t="shared" si="11"/>
        <v>94.5</v>
      </c>
      <c r="BD11" s="12">
        <f t="shared" si="11"/>
        <v>89.600000000000009</v>
      </c>
      <c r="BE11" s="12">
        <f t="shared" si="11"/>
        <v>89</v>
      </c>
      <c r="BF11" s="12">
        <f t="shared" si="12"/>
        <v>84.6</v>
      </c>
      <c r="BG11" s="12">
        <f t="shared" si="12"/>
        <v>89.600000000000009</v>
      </c>
      <c r="BH11" s="12">
        <f t="shared" si="12"/>
        <v>89</v>
      </c>
      <c r="BI11" s="12">
        <f t="shared" si="12"/>
        <v>98.9</v>
      </c>
    </row>
    <row r="12" spans="1:61" x14ac:dyDescent="0.25">
      <c r="A12" s="1" t="s">
        <v>151</v>
      </c>
      <c r="B12" s="3" t="s">
        <v>128</v>
      </c>
      <c r="C12" s="4" t="s">
        <v>85</v>
      </c>
      <c r="D12" s="4">
        <v>42</v>
      </c>
      <c r="E12" s="4">
        <v>1318</v>
      </c>
      <c r="F12" s="4">
        <v>42</v>
      </c>
      <c r="G12" s="4">
        <v>1318</v>
      </c>
      <c r="H12" s="4">
        <v>20.6</v>
      </c>
      <c r="I12" s="4">
        <v>0.52600000000000002</v>
      </c>
      <c r="J12" s="4">
        <v>0.46300000000000002</v>
      </c>
      <c r="K12" s="4">
        <v>0.10199999999999999</v>
      </c>
      <c r="L12" s="4">
        <v>0.48799999999999999</v>
      </c>
      <c r="M12" s="4">
        <v>17.5</v>
      </c>
      <c r="N12" s="4">
        <v>23.6</v>
      </c>
      <c r="O12" s="4">
        <v>14.8</v>
      </c>
      <c r="P12" s="4">
        <v>2.8</v>
      </c>
      <c r="Q12" s="4">
        <v>2.2999999999999998</v>
      </c>
      <c r="R12" s="4">
        <v>16.7</v>
      </c>
      <c r="S12" s="4">
        <v>25.6</v>
      </c>
      <c r="T12" s="4">
        <v>107</v>
      </c>
      <c r="U12" s="4">
        <v>101</v>
      </c>
      <c r="V12" s="4"/>
      <c r="W12" s="4">
        <v>1.7</v>
      </c>
      <c r="X12" s="4">
        <v>3.3</v>
      </c>
      <c r="Y12" s="4">
        <v>5</v>
      </c>
      <c r="Z12" s="4">
        <v>0.151</v>
      </c>
      <c r="AA12" s="13">
        <f>(I12/TOTAL_BASIC!$D$301)*100</f>
        <v>93.690097155488985</v>
      </c>
      <c r="AB12" s="5">
        <f t="shared" si="3"/>
        <v>1.07</v>
      </c>
      <c r="AC12" s="3">
        <f t="shared" si="1"/>
        <v>6</v>
      </c>
      <c r="AD12" s="9">
        <f t="shared" si="4"/>
        <v>1.052</v>
      </c>
      <c r="AE12" s="16">
        <f t="shared" si="5"/>
        <v>0.578125</v>
      </c>
      <c r="AF12" s="16">
        <f t="shared" si="6"/>
        <v>0.88622754491017974</v>
      </c>
      <c r="AG12" s="9"/>
      <c r="AH12" s="9"/>
      <c r="AI12" s="12">
        <f t="shared" si="7"/>
        <v>83</v>
      </c>
      <c r="AJ12" s="12">
        <f t="shared" si="8"/>
        <v>95</v>
      </c>
      <c r="AK12" s="12">
        <f t="shared" si="2"/>
        <v>89</v>
      </c>
      <c r="AL12" s="12">
        <f t="shared" si="2"/>
        <v>34.9</v>
      </c>
      <c r="AM12" s="12">
        <f t="shared" si="2"/>
        <v>25.1</v>
      </c>
      <c r="AN12" s="12">
        <f t="shared" si="2"/>
        <v>10.9</v>
      </c>
      <c r="AO12" s="12">
        <f t="shared" si="2"/>
        <v>92.300000000000011</v>
      </c>
      <c r="AP12" s="12">
        <f t="shared" si="2"/>
        <v>100</v>
      </c>
      <c r="AQ12" s="12">
        <f t="shared" si="2"/>
        <v>100</v>
      </c>
      <c r="AR12" s="12">
        <f t="shared" si="2"/>
        <v>58.4</v>
      </c>
      <c r="AS12" s="12">
        <f t="shared" si="2"/>
        <v>92.300000000000011</v>
      </c>
      <c r="AT12" s="12">
        <f t="shared" si="2"/>
        <v>69.899999999999991</v>
      </c>
      <c r="AU12" s="12">
        <f t="shared" si="9"/>
        <v>33.899999999999991</v>
      </c>
      <c r="AV12" s="12">
        <f t="shared" si="2"/>
        <v>86.3</v>
      </c>
      <c r="AW12" s="12">
        <f t="shared" si="2"/>
        <v>50.8</v>
      </c>
      <c r="AX12" s="12">
        <f t="shared" si="10"/>
        <v>97.3</v>
      </c>
      <c r="AY12" s="9"/>
      <c r="AZ12" s="12">
        <f t="shared" si="2"/>
        <v>79.2</v>
      </c>
      <c r="BA12" s="12">
        <f t="shared" si="13"/>
        <v>100</v>
      </c>
      <c r="BB12" s="12">
        <f t="shared" si="11"/>
        <v>91.2</v>
      </c>
      <c r="BC12" s="12">
        <f t="shared" si="11"/>
        <v>81.399999999999991</v>
      </c>
      <c r="BD12" s="12">
        <f t="shared" si="11"/>
        <v>34.9</v>
      </c>
      <c r="BE12" s="12">
        <f t="shared" si="11"/>
        <v>50.8</v>
      </c>
      <c r="BF12" s="12">
        <f t="shared" si="12"/>
        <v>72.599999999999994</v>
      </c>
      <c r="BG12" s="12">
        <f t="shared" si="12"/>
        <v>34.9</v>
      </c>
      <c r="BH12" s="12">
        <f t="shared" si="12"/>
        <v>31.6</v>
      </c>
      <c r="BI12" s="12">
        <f t="shared" si="12"/>
        <v>39.800000000000004</v>
      </c>
    </row>
    <row r="13" spans="1:61" x14ac:dyDescent="0.25">
      <c r="A13" s="1" t="s">
        <v>166</v>
      </c>
      <c r="B13" s="3" t="s">
        <v>128</v>
      </c>
      <c r="C13" s="4" t="s">
        <v>8</v>
      </c>
      <c r="D13" s="4">
        <v>42</v>
      </c>
      <c r="E13" s="4">
        <v>1312</v>
      </c>
      <c r="F13" s="4">
        <v>42</v>
      </c>
      <c r="G13" s="4">
        <v>1312</v>
      </c>
      <c r="H13" s="4">
        <v>16.7</v>
      </c>
      <c r="I13" s="4">
        <v>0.55200000000000005</v>
      </c>
      <c r="J13" s="4">
        <v>0.48499999999999999</v>
      </c>
      <c r="K13" s="4">
        <v>0.36</v>
      </c>
      <c r="L13" s="4">
        <v>0.45800000000000002</v>
      </c>
      <c r="M13" s="4">
        <v>2.5</v>
      </c>
      <c r="N13" s="4">
        <v>6.9</v>
      </c>
      <c r="O13" s="4">
        <v>35.200000000000003</v>
      </c>
      <c r="P13" s="4">
        <v>3.1</v>
      </c>
      <c r="Q13" s="4">
        <v>0.8</v>
      </c>
      <c r="R13" s="4">
        <v>19.100000000000001</v>
      </c>
      <c r="S13" s="4">
        <v>17.600000000000001</v>
      </c>
      <c r="T13" s="4">
        <v>115</v>
      </c>
      <c r="U13" s="4">
        <v>105</v>
      </c>
      <c r="V13" s="4"/>
      <c r="W13" s="4">
        <v>2.7</v>
      </c>
      <c r="X13" s="4">
        <v>2.5</v>
      </c>
      <c r="Y13" s="4">
        <v>5.2</v>
      </c>
      <c r="Z13" s="4">
        <v>0.158</v>
      </c>
      <c r="AA13" s="13">
        <f>(I13/TOTAL_BASIC!$D$301)*100</f>
        <v>98.321166596634839</v>
      </c>
      <c r="AB13" s="5">
        <f t="shared" si="3"/>
        <v>1.1499999999999999</v>
      </c>
      <c r="AC13" s="3">
        <f t="shared" si="1"/>
        <v>10</v>
      </c>
      <c r="AD13" s="9">
        <f t="shared" si="4"/>
        <v>1.1040000000000001</v>
      </c>
      <c r="AE13" s="16">
        <f t="shared" si="5"/>
        <v>2</v>
      </c>
      <c r="AF13" s="16">
        <f t="shared" si="6"/>
        <v>1.8429319371727748</v>
      </c>
      <c r="AG13" s="9"/>
      <c r="AH13" s="9"/>
      <c r="AI13" s="12">
        <f t="shared" si="7"/>
        <v>83</v>
      </c>
      <c r="AJ13" s="12">
        <f t="shared" si="8"/>
        <v>94.5</v>
      </c>
      <c r="AK13" s="12">
        <f t="shared" si="2"/>
        <v>71.5</v>
      </c>
      <c r="AL13" s="12">
        <f t="shared" si="2"/>
        <v>45.9</v>
      </c>
      <c r="AM13" s="12">
        <f t="shared" si="2"/>
        <v>34.4</v>
      </c>
      <c r="AN13" s="12">
        <f t="shared" si="2"/>
        <v>38.700000000000003</v>
      </c>
      <c r="AO13" s="12">
        <f t="shared" si="2"/>
        <v>87.4</v>
      </c>
      <c r="AP13" s="12">
        <f t="shared" si="2"/>
        <v>27.800000000000004</v>
      </c>
      <c r="AQ13" s="12">
        <f t="shared" si="2"/>
        <v>32.700000000000003</v>
      </c>
      <c r="AR13" s="12">
        <f t="shared" si="2"/>
        <v>96.7</v>
      </c>
      <c r="AS13" s="12">
        <f t="shared" si="2"/>
        <v>97.2</v>
      </c>
      <c r="AT13" s="12">
        <f t="shared" si="2"/>
        <v>28.4</v>
      </c>
      <c r="AU13" s="12">
        <f t="shared" si="9"/>
        <v>17.5</v>
      </c>
      <c r="AV13" s="12">
        <f t="shared" si="2"/>
        <v>42.6</v>
      </c>
      <c r="AW13" s="12">
        <f t="shared" si="2"/>
        <v>73.7</v>
      </c>
      <c r="AX13" s="12">
        <f t="shared" si="10"/>
        <v>85.8</v>
      </c>
      <c r="AY13" s="9"/>
      <c r="AZ13" s="12">
        <f t="shared" si="2"/>
        <v>88.5</v>
      </c>
      <c r="BA13" s="12">
        <f t="shared" si="13"/>
        <v>95</v>
      </c>
      <c r="BB13" s="12">
        <f t="shared" si="11"/>
        <v>91.8</v>
      </c>
      <c r="BC13" s="12">
        <f t="shared" si="11"/>
        <v>83.6</v>
      </c>
      <c r="BD13" s="12">
        <f t="shared" si="11"/>
        <v>45.9</v>
      </c>
      <c r="BE13" s="12">
        <f t="shared" si="11"/>
        <v>73.7</v>
      </c>
      <c r="BF13" s="12">
        <f t="shared" si="12"/>
        <v>78.100000000000009</v>
      </c>
      <c r="BG13" s="12">
        <f t="shared" si="12"/>
        <v>45.9</v>
      </c>
      <c r="BH13" s="12">
        <f t="shared" si="12"/>
        <v>98.9</v>
      </c>
      <c r="BI13" s="12">
        <f t="shared" si="12"/>
        <v>91.8</v>
      </c>
    </row>
    <row r="14" spans="1:61" x14ac:dyDescent="0.25">
      <c r="A14" s="1" t="s">
        <v>102</v>
      </c>
      <c r="B14" s="3" t="s">
        <v>99</v>
      </c>
      <c r="C14" s="4" t="s">
        <v>85</v>
      </c>
      <c r="D14" s="4">
        <v>41</v>
      </c>
      <c r="E14" s="4">
        <v>1301</v>
      </c>
      <c r="F14" s="4">
        <v>41</v>
      </c>
      <c r="G14" s="4">
        <v>1301</v>
      </c>
      <c r="H14" s="4">
        <v>22.3</v>
      </c>
      <c r="I14" s="4">
        <v>0.60099999999999998</v>
      </c>
      <c r="J14" s="4">
        <v>0.57199999999999995</v>
      </c>
      <c r="K14" s="4">
        <v>2.5999999999999999E-2</v>
      </c>
      <c r="L14" s="4">
        <v>0.38200000000000001</v>
      </c>
      <c r="M14" s="4">
        <v>10.7</v>
      </c>
      <c r="N14" s="4">
        <v>20.7</v>
      </c>
      <c r="O14" s="4">
        <v>25.4</v>
      </c>
      <c r="P14" s="4">
        <v>1.1000000000000001</v>
      </c>
      <c r="Q14" s="4">
        <v>0.2</v>
      </c>
      <c r="R14" s="4">
        <v>13.9</v>
      </c>
      <c r="S14" s="4">
        <v>19.5</v>
      </c>
      <c r="T14" s="4">
        <v>124</v>
      </c>
      <c r="U14" s="4">
        <v>106</v>
      </c>
      <c r="V14" s="4"/>
      <c r="W14" s="4">
        <v>4.5999999999999996</v>
      </c>
      <c r="X14" s="4">
        <v>2.1</v>
      </c>
      <c r="Y14" s="4">
        <v>6.7</v>
      </c>
      <c r="Z14" s="4">
        <v>0.20599999999999999</v>
      </c>
      <c r="AA14" s="13">
        <f>(I14/TOTAL_BASIC!$D$301)*100</f>
        <v>107.04895131264045</v>
      </c>
      <c r="AB14" s="5">
        <f t="shared" si="3"/>
        <v>1.24</v>
      </c>
      <c r="AC14" s="3">
        <f t="shared" si="1"/>
        <v>18</v>
      </c>
      <c r="AD14" s="9">
        <f t="shared" si="4"/>
        <v>1.202</v>
      </c>
      <c r="AE14" s="16">
        <f t="shared" si="5"/>
        <v>1.3025641025641026</v>
      </c>
      <c r="AF14" s="16">
        <f t="shared" si="6"/>
        <v>1.8273381294964026</v>
      </c>
      <c r="AG14" s="9"/>
      <c r="AH14" s="9"/>
      <c r="AI14" s="12">
        <f t="shared" si="7"/>
        <v>69.3</v>
      </c>
      <c r="AJ14" s="12">
        <f t="shared" si="8"/>
        <v>93.899999999999991</v>
      </c>
      <c r="AK14" s="12">
        <f t="shared" si="2"/>
        <v>94.5</v>
      </c>
      <c r="AL14" s="12">
        <f t="shared" si="2"/>
        <v>75.900000000000006</v>
      </c>
      <c r="AM14" s="12">
        <f t="shared" si="2"/>
        <v>85.2</v>
      </c>
      <c r="AN14" s="12">
        <f t="shared" si="2"/>
        <v>4.9000000000000004</v>
      </c>
      <c r="AO14" s="12">
        <f t="shared" si="2"/>
        <v>73.7</v>
      </c>
      <c r="AP14" s="12">
        <f t="shared" si="2"/>
        <v>90.7</v>
      </c>
      <c r="AQ14" s="12">
        <f t="shared" si="2"/>
        <v>98.3</v>
      </c>
      <c r="AR14" s="12">
        <f t="shared" si="2"/>
        <v>86.3</v>
      </c>
      <c r="AS14" s="12">
        <f t="shared" si="2"/>
        <v>14.7</v>
      </c>
      <c r="AT14" s="12">
        <f t="shared" si="2"/>
        <v>5.4</v>
      </c>
      <c r="AU14" s="12">
        <f t="shared" si="9"/>
        <v>58</v>
      </c>
      <c r="AV14" s="12">
        <f t="shared" si="2"/>
        <v>56.8</v>
      </c>
      <c r="AW14" s="12">
        <f t="shared" si="2"/>
        <v>92.800000000000011</v>
      </c>
      <c r="AX14" s="12">
        <f t="shared" si="10"/>
        <v>83.1</v>
      </c>
      <c r="AY14" s="9"/>
      <c r="AZ14" s="12">
        <f t="shared" si="2"/>
        <v>97.2</v>
      </c>
      <c r="BA14" s="12">
        <f t="shared" si="13"/>
        <v>90.100000000000009</v>
      </c>
      <c r="BB14" s="12">
        <f t="shared" si="11"/>
        <v>96.7</v>
      </c>
      <c r="BC14" s="12">
        <f t="shared" si="11"/>
        <v>96.1</v>
      </c>
      <c r="BD14" s="12">
        <f t="shared" si="11"/>
        <v>75.900000000000006</v>
      </c>
      <c r="BE14" s="12">
        <f t="shared" si="11"/>
        <v>92.800000000000011</v>
      </c>
      <c r="BF14" s="12">
        <f t="shared" si="12"/>
        <v>96.1</v>
      </c>
      <c r="BG14" s="12">
        <f t="shared" si="12"/>
        <v>75.900000000000006</v>
      </c>
      <c r="BH14" s="12">
        <f t="shared" si="12"/>
        <v>87.4</v>
      </c>
      <c r="BI14" s="12">
        <f t="shared" si="12"/>
        <v>90.7</v>
      </c>
    </row>
    <row r="15" spans="1:61" x14ac:dyDescent="0.25">
      <c r="A15" s="1" t="s">
        <v>101</v>
      </c>
      <c r="B15" s="3" t="s">
        <v>99</v>
      </c>
      <c r="C15" s="4" t="s">
        <v>8</v>
      </c>
      <c r="D15" s="4">
        <v>43</v>
      </c>
      <c r="E15" s="4">
        <v>1286</v>
      </c>
      <c r="F15" s="4">
        <v>43</v>
      </c>
      <c r="G15" s="4">
        <v>1286</v>
      </c>
      <c r="H15" s="4">
        <v>15.2</v>
      </c>
      <c r="I15" s="4">
        <v>0.53900000000000003</v>
      </c>
      <c r="J15" s="4">
        <v>0.47199999999999998</v>
      </c>
      <c r="K15" s="4">
        <v>0.436</v>
      </c>
      <c r="L15" s="4">
        <v>0.32300000000000001</v>
      </c>
      <c r="M15" s="4">
        <v>3.2</v>
      </c>
      <c r="N15" s="4">
        <v>6</v>
      </c>
      <c r="O15" s="4">
        <v>16.399999999999999</v>
      </c>
      <c r="P15" s="4">
        <v>1.7</v>
      </c>
      <c r="Q15" s="4">
        <v>0.2</v>
      </c>
      <c r="R15" s="4">
        <v>10.199999999999999</v>
      </c>
      <c r="S15" s="4">
        <v>23.2</v>
      </c>
      <c r="T15" s="4">
        <v>111</v>
      </c>
      <c r="U15" s="4">
        <v>111</v>
      </c>
      <c r="V15" s="4"/>
      <c r="W15" s="4">
        <v>2.1</v>
      </c>
      <c r="X15" s="4">
        <v>1.2</v>
      </c>
      <c r="Y15" s="4">
        <v>3.4</v>
      </c>
      <c r="Z15" s="4">
        <v>0.105</v>
      </c>
      <c r="AA15" s="13">
        <f>(I15/TOTAL_BASIC!$D$301)*100</f>
        <v>96.005631876061898</v>
      </c>
      <c r="AB15" s="5">
        <f t="shared" si="3"/>
        <v>1.1100000000000001</v>
      </c>
      <c r="AC15" s="3">
        <f t="shared" si="1"/>
        <v>0</v>
      </c>
      <c r="AD15" s="9">
        <f t="shared" si="4"/>
        <v>1.0780000000000001</v>
      </c>
      <c r="AE15" s="16">
        <f t="shared" si="5"/>
        <v>0.7068965517241379</v>
      </c>
      <c r="AF15" s="16">
        <f t="shared" si="6"/>
        <v>1.607843137254902</v>
      </c>
      <c r="AG15" s="9"/>
      <c r="AH15" s="9"/>
      <c r="AI15" s="12">
        <f t="shared" si="7"/>
        <v>96.7</v>
      </c>
      <c r="AJ15" s="12">
        <f t="shared" si="8"/>
        <v>93.4</v>
      </c>
      <c r="AK15" s="12">
        <f t="shared" si="2"/>
        <v>62.2</v>
      </c>
      <c r="AL15" s="12">
        <f t="shared" si="2"/>
        <v>40.400000000000006</v>
      </c>
      <c r="AM15" s="12">
        <f t="shared" si="2"/>
        <v>29.5</v>
      </c>
      <c r="AN15" s="12">
        <f t="shared" si="2"/>
        <v>56.8</v>
      </c>
      <c r="AO15" s="12">
        <f t="shared" si="2"/>
        <v>60.099999999999994</v>
      </c>
      <c r="AP15" s="12">
        <f t="shared" si="2"/>
        <v>37.1</v>
      </c>
      <c r="AQ15" s="12">
        <f t="shared" si="2"/>
        <v>20.7</v>
      </c>
      <c r="AR15" s="12">
        <f t="shared" si="2"/>
        <v>62.2</v>
      </c>
      <c r="AS15" s="12">
        <f t="shared" si="2"/>
        <v>43.7</v>
      </c>
      <c r="AT15" s="12">
        <f t="shared" si="2"/>
        <v>5.4</v>
      </c>
      <c r="AU15" s="12">
        <f t="shared" si="9"/>
        <v>88</v>
      </c>
      <c r="AV15" s="12">
        <f t="shared" si="2"/>
        <v>78.600000000000009</v>
      </c>
      <c r="AW15" s="12">
        <f t="shared" si="2"/>
        <v>65</v>
      </c>
      <c r="AX15" s="12">
        <f t="shared" si="10"/>
        <v>47</v>
      </c>
      <c r="AY15" s="9"/>
      <c r="AZ15" s="12">
        <f t="shared" si="2"/>
        <v>84.1</v>
      </c>
      <c r="BA15" s="12">
        <f t="shared" si="13"/>
        <v>74.8</v>
      </c>
      <c r="BB15" s="12">
        <f t="shared" si="11"/>
        <v>82.5</v>
      </c>
      <c r="BC15" s="12">
        <f t="shared" si="11"/>
        <v>66.600000000000009</v>
      </c>
      <c r="BD15" s="12">
        <f t="shared" si="11"/>
        <v>40.400000000000006</v>
      </c>
      <c r="BE15" s="12">
        <f t="shared" si="11"/>
        <v>65</v>
      </c>
      <c r="BF15" s="12">
        <f t="shared" si="12"/>
        <v>60.099999999999994</v>
      </c>
      <c r="BG15" s="12">
        <f t="shared" si="12"/>
        <v>40.400000000000006</v>
      </c>
      <c r="BH15" s="12">
        <f t="shared" si="12"/>
        <v>49.7</v>
      </c>
      <c r="BI15" s="12">
        <f t="shared" si="12"/>
        <v>84.6</v>
      </c>
    </row>
    <row r="16" spans="1:61" x14ac:dyDescent="0.25">
      <c r="A16" s="1" t="s">
        <v>92</v>
      </c>
      <c r="B16" s="3" t="s">
        <v>93</v>
      </c>
      <c r="C16" s="4" t="s">
        <v>94</v>
      </c>
      <c r="D16" s="4">
        <v>39</v>
      </c>
      <c r="E16" s="4">
        <v>1285</v>
      </c>
      <c r="F16" s="4">
        <v>39</v>
      </c>
      <c r="G16" s="4">
        <v>1285</v>
      </c>
      <c r="H16" s="4">
        <v>16.100000000000001</v>
      </c>
      <c r="I16" s="4">
        <v>0.56399999999999995</v>
      </c>
      <c r="J16" s="4">
        <v>0.502</v>
      </c>
      <c r="K16" s="4">
        <v>0.35199999999999998</v>
      </c>
      <c r="L16" s="4">
        <v>0.42699999999999999</v>
      </c>
      <c r="M16" s="4">
        <v>1.9</v>
      </c>
      <c r="N16" s="4">
        <v>6.7</v>
      </c>
      <c r="O16" s="4">
        <v>11.1</v>
      </c>
      <c r="P16" s="4">
        <v>1.2</v>
      </c>
      <c r="Q16" s="4">
        <v>0.3</v>
      </c>
      <c r="R16" s="4">
        <v>10.9</v>
      </c>
      <c r="S16" s="4">
        <v>29.5</v>
      </c>
      <c r="T16" s="4">
        <v>105</v>
      </c>
      <c r="U16" s="4">
        <v>114</v>
      </c>
      <c r="V16" s="4"/>
      <c r="W16" s="4">
        <v>1</v>
      </c>
      <c r="X16" s="4">
        <v>0.7</v>
      </c>
      <c r="Y16" s="4">
        <v>1.7</v>
      </c>
      <c r="Z16" s="4">
        <v>5.3999999999999999E-2</v>
      </c>
      <c r="AA16" s="13">
        <f>(I16/TOTAL_BASIC!$D$301)*100</f>
        <v>100.45858326177905</v>
      </c>
      <c r="AB16" s="5">
        <f t="shared" si="3"/>
        <v>1.05</v>
      </c>
      <c r="AC16" s="3">
        <f t="shared" si="1"/>
        <v>-9</v>
      </c>
      <c r="AD16" s="9">
        <f t="shared" si="4"/>
        <v>1.1279999999999999</v>
      </c>
      <c r="AE16" s="16">
        <f t="shared" si="5"/>
        <v>0.37627118644067797</v>
      </c>
      <c r="AF16" s="16">
        <f t="shared" si="6"/>
        <v>1.0183486238532109</v>
      </c>
      <c r="AG16" s="9"/>
      <c r="AH16" s="9"/>
      <c r="AI16" s="12">
        <f t="shared" si="7"/>
        <v>60.6</v>
      </c>
      <c r="AJ16" s="12">
        <f t="shared" si="8"/>
        <v>92.800000000000011</v>
      </c>
      <c r="AK16" s="12">
        <f t="shared" si="2"/>
        <v>69.899999999999991</v>
      </c>
      <c r="AL16" s="12">
        <f t="shared" si="2"/>
        <v>58.4</v>
      </c>
      <c r="AM16" s="12">
        <f t="shared" si="2"/>
        <v>46.400000000000006</v>
      </c>
      <c r="AN16" s="12">
        <f t="shared" si="2"/>
        <v>37.700000000000003</v>
      </c>
      <c r="AO16" s="12">
        <f t="shared" si="2"/>
        <v>81.899999999999991</v>
      </c>
      <c r="AP16" s="12">
        <f t="shared" si="2"/>
        <v>12.5</v>
      </c>
      <c r="AQ16" s="12">
        <f t="shared" si="2"/>
        <v>29.5</v>
      </c>
      <c r="AR16" s="12">
        <f t="shared" si="2"/>
        <v>32.700000000000003</v>
      </c>
      <c r="AS16" s="12">
        <f t="shared" si="2"/>
        <v>20.200000000000003</v>
      </c>
      <c r="AT16" s="12">
        <f t="shared" si="2"/>
        <v>9.1999999999999993</v>
      </c>
      <c r="AU16" s="12">
        <f t="shared" si="9"/>
        <v>84.2</v>
      </c>
      <c r="AV16" s="12">
        <f t="shared" si="2"/>
        <v>97.2</v>
      </c>
      <c r="AW16" s="12">
        <f t="shared" si="2"/>
        <v>39.800000000000004</v>
      </c>
      <c r="AX16" s="12">
        <f t="shared" si="10"/>
        <v>25.700000000000003</v>
      </c>
      <c r="AY16" s="9"/>
      <c r="AZ16" s="12">
        <f t="shared" si="2"/>
        <v>67.7</v>
      </c>
      <c r="BA16" s="12">
        <f t="shared" si="13"/>
        <v>53.5</v>
      </c>
      <c r="BB16" s="12">
        <f t="shared" si="11"/>
        <v>66.100000000000009</v>
      </c>
      <c r="BC16" s="12">
        <f t="shared" si="11"/>
        <v>37.700000000000003</v>
      </c>
      <c r="BD16" s="12">
        <f t="shared" si="11"/>
        <v>58.4</v>
      </c>
      <c r="BE16" s="12">
        <f t="shared" si="11"/>
        <v>39.800000000000004</v>
      </c>
      <c r="BF16" s="12">
        <f t="shared" si="12"/>
        <v>33.800000000000004</v>
      </c>
      <c r="BG16" s="12">
        <f t="shared" si="12"/>
        <v>58.4</v>
      </c>
      <c r="BH16" s="12">
        <f t="shared" si="12"/>
        <v>6</v>
      </c>
      <c r="BI16" s="12">
        <f t="shared" si="12"/>
        <v>51.300000000000004</v>
      </c>
    </row>
    <row r="17" spans="1:61" x14ac:dyDescent="0.25">
      <c r="A17" s="1" t="s">
        <v>154</v>
      </c>
      <c r="B17" s="3" t="s">
        <v>137</v>
      </c>
      <c r="C17" s="4" t="s">
        <v>85</v>
      </c>
      <c r="D17" s="4">
        <v>41</v>
      </c>
      <c r="E17" s="4">
        <v>1264</v>
      </c>
      <c r="F17" s="4">
        <v>41</v>
      </c>
      <c r="G17" s="4">
        <v>1264</v>
      </c>
      <c r="H17" s="4">
        <v>21.5</v>
      </c>
      <c r="I17" s="4">
        <v>0.6</v>
      </c>
      <c r="J17" s="4">
        <v>0.56799999999999995</v>
      </c>
      <c r="K17" s="4">
        <v>0.26500000000000001</v>
      </c>
      <c r="L17" s="4">
        <v>0.19500000000000001</v>
      </c>
      <c r="M17" s="4">
        <v>7</v>
      </c>
      <c r="N17" s="4">
        <v>17.399999999999999</v>
      </c>
      <c r="O17" s="4">
        <v>17.600000000000001</v>
      </c>
      <c r="P17" s="4">
        <v>1.9</v>
      </c>
      <c r="Q17" s="4">
        <v>0.9</v>
      </c>
      <c r="R17" s="4">
        <v>11.3</v>
      </c>
      <c r="S17" s="4">
        <v>23.1</v>
      </c>
      <c r="T17" s="4">
        <v>116</v>
      </c>
      <c r="U17" s="4">
        <v>109</v>
      </c>
      <c r="V17" s="4"/>
      <c r="W17" s="4">
        <v>3.1</v>
      </c>
      <c r="X17" s="4">
        <v>1.5</v>
      </c>
      <c r="Y17" s="4">
        <v>4.5999999999999996</v>
      </c>
      <c r="Z17" s="4">
        <v>0.14699999999999999</v>
      </c>
      <c r="AA17" s="13">
        <f>(I17/TOTAL_BASIC!$D$301)*100</f>
        <v>106.87083325721176</v>
      </c>
      <c r="AB17" s="5">
        <f t="shared" si="3"/>
        <v>1.1599999999999999</v>
      </c>
      <c r="AC17" s="3">
        <f t="shared" si="1"/>
        <v>7</v>
      </c>
      <c r="AD17" s="9">
        <f t="shared" si="4"/>
        <v>1.2</v>
      </c>
      <c r="AE17" s="16">
        <f t="shared" si="5"/>
        <v>0.76190476190476197</v>
      </c>
      <c r="AF17" s="16">
        <f t="shared" si="6"/>
        <v>1.5575221238938053</v>
      </c>
      <c r="AG17" s="9"/>
      <c r="AH17" s="9"/>
      <c r="AI17" s="12">
        <f t="shared" si="7"/>
        <v>69.3</v>
      </c>
      <c r="AJ17" s="12">
        <f t="shared" si="8"/>
        <v>92.300000000000011</v>
      </c>
      <c r="AK17" s="12">
        <f t="shared" si="2"/>
        <v>91.2</v>
      </c>
      <c r="AL17" s="12">
        <f t="shared" si="2"/>
        <v>75.400000000000006</v>
      </c>
      <c r="AM17" s="12">
        <f t="shared" si="2"/>
        <v>82.5</v>
      </c>
      <c r="AN17" s="12">
        <f t="shared" si="2"/>
        <v>24.5</v>
      </c>
      <c r="AO17" s="12">
        <f t="shared" si="2"/>
        <v>24.5</v>
      </c>
      <c r="AP17" s="12">
        <f t="shared" si="2"/>
        <v>71</v>
      </c>
      <c r="AQ17" s="12">
        <f t="shared" si="2"/>
        <v>92.800000000000011</v>
      </c>
      <c r="AR17" s="12">
        <f t="shared" si="2"/>
        <v>68.300000000000011</v>
      </c>
      <c r="AS17" s="12">
        <f t="shared" si="2"/>
        <v>57.9</v>
      </c>
      <c r="AT17" s="12">
        <f t="shared" si="2"/>
        <v>34.4</v>
      </c>
      <c r="AU17" s="12">
        <f t="shared" si="9"/>
        <v>79.3</v>
      </c>
      <c r="AV17" s="12">
        <f t="shared" si="2"/>
        <v>77.5</v>
      </c>
      <c r="AW17" s="12">
        <f t="shared" si="2"/>
        <v>75.900000000000006</v>
      </c>
      <c r="AX17" s="12">
        <f t="shared" si="10"/>
        <v>66.199999999999989</v>
      </c>
      <c r="AY17" s="9"/>
      <c r="AZ17" s="12">
        <f t="shared" si="2"/>
        <v>90.100000000000009</v>
      </c>
      <c r="BA17" s="12">
        <f t="shared" si="13"/>
        <v>81.399999999999991</v>
      </c>
      <c r="BB17" s="12">
        <f t="shared" si="11"/>
        <v>89</v>
      </c>
      <c r="BC17" s="12">
        <f t="shared" si="11"/>
        <v>80.800000000000011</v>
      </c>
      <c r="BD17" s="12">
        <f t="shared" si="11"/>
        <v>75.400000000000006</v>
      </c>
      <c r="BE17" s="12">
        <f t="shared" si="11"/>
        <v>75.900000000000006</v>
      </c>
      <c r="BF17" s="12">
        <f t="shared" si="12"/>
        <v>74.8</v>
      </c>
      <c r="BG17" s="12">
        <f t="shared" si="12"/>
        <v>75.400000000000006</v>
      </c>
      <c r="BH17" s="12">
        <f t="shared" si="12"/>
        <v>55.7</v>
      </c>
      <c r="BI17" s="12">
        <f t="shared" si="12"/>
        <v>81.899999999999991</v>
      </c>
    </row>
    <row r="18" spans="1:61" x14ac:dyDescent="0.25">
      <c r="A18" s="1" t="s">
        <v>139</v>
      </c>
      <c r="B18" s="3" t="s">
        <v>140</v>
      </c>
      <c r="C18" s="4" t="s">
        <v>8</v>
      </c>
      <c r="D18" s="4">
        <v>38</v>
      </c>
      <c r="E18" s="4">
        <v>1261</v>
      </c>
      <c r="F18" s="4">
        <v>38</v>
      </c>
      <c r="G18" s="4">
        <v>1261</v>
      </c>
      <c r="H18" s="4">
        <v>18.899999999999999</v>
      </c>
      <c r="I18" s="4">
        <v>0.61799999999999999</v>
      </c>
      <c r="J18" s="4">
        <v>0.54</v>
      </c>
      <c r="K18" s="4">
        <v>0.36299999999999999</v>
      </c>
      <c r="L18" s="4">
        <v>0.47499999999999998</v>
      </c>
      <c r="M18" s="4">
        <v>3.4</v>
      </c>
      <c r="N18" s="4">
        <v>6.7</v>
      </c>
      <c r="O18" s="4">
        <v>23.5</v>
      </c>
      <c r="P18" s="4">
        <v>1.8</v>
      </c>
      <c r="Q18" s="4">
        <v>1.8</v>
      </c>
      <c r="R18" s="4">
        <v>15.5</v>
      </c>
      <c r="S18" s="4">
        <v>21.7</v>
      </c>
      <c r="T18" s="4">
        <v>120</v>
      </c>
      <c r="U18" s="4">
        <v>106</v>
      </c>
      <c r="V18" s="4"/>
      <c r="W18" s="4">
        <v>3.7</v>
      </c>
      <c r="X18" s="4">
        <v>2.2000000000000002</v>
      </c>
      <c r="Y18" s="4">
        <v>5.8</v>
      </c>
      <c r="Z18" s="4">
        <v>0.185</v>
      </c>
      <c r="AA18" s="13">
        <f>(I18/TOTAL_BASIC!$D$301)*100</f>
        <v>110.07695825492812</v>
      </c>
      <c r="AB18" s="5">
        <f t="shared" si="3"/>
        <v>1.2</v>
      </c>
      <c r="AC18" s="3">
        <f t="shared" si="1"/>
        <v>14</v>
      </c>
      <c r="AD18" s="9">
        <f t="shared" si="4"/>
        <v>1.236</v>
      </c>
      <c r="AE18" s="16">
        <f t="shared" si="5"/>
        <v>1.0829493087557605</v>
      </c>
      <c r="AF18" s="16">
        <f t="shared" si="6"/>
        <v>1.5161290322580645</v>
      </c>
      <c r="AG18" s="9"/>
      <c r="AH18" s="9"/>
      <c r="AI18" s="12">
        <f t="shared" si="7"/>
        <v>53</v>
      </c>
      <c r="AJ18" s="12">
        <f t="shared" si="8"/>
        <v>91.8</v>
      </c>
      <c r="AK18" s="12">
        <f t="shared" si="2"/>
        <v>78.600000000000009</v>
      </c>
      <c r="AL18" s="12">
        <f t="shared" si="2"/>
        <v>86.8</v>
      </c>
      <c r="AM18" s="12">
        <f t="shared" si="2"/>
        <v>66.600000000000009</v>
      </c>
      <c r="AN18" s="12">
        <f t="shared" si="2"/>
        <v>39.800000000000004</v>
      </c>
      <c r="AO18" s="12">
        <f t="shared" si="2"/>
        <v>90.7</v>
      </c>
      <c r="AP18" s="12">
        <f t="shared" si="2"/>
        <v>38.700000000000003</v>
      </c>
      <c r="AQ18" s="12">
        <f t="shared" si="2"/>
        <v>29.5</v>
      </c>
      <c r="AR18" s="12">
        <f t="shared" si="2"/>
        <v>82.5</v>
      </c>
      <c r="AS18" s="12">
        <f t="shared" si="2"/>
        <v>49.7</v>
      </c>
      <c r="AT18" s="12">
        <f t="shared" si="2"/>
        <v>62.2</v>
      </c>
      <c r="AU18" s="12">
        <f t="shared" si="9"/>
        <v>43.8</v>
      </c>
      <c r="AV18" s="12">
        <f t="shared" si="2"/>
        <v>71.5</v>
      </c>
      <c r="AW18" s="12">
        <f t="shared" si="2"/>
        <v>85.2</v>
      </c>
      <c r="AX18" s="12">
        <f t="shared" si="10"/>
        <v>83.1</v>
      </c>
      <c r="AY18" s="9"/>
      <c r="AZ18" s="12">
        <f t="shared" si="2"/>
        <v>92.800000000000011</v>
      </c>
      <c r="BA18" s="12">
        <f t="shared" si="13"/>
        <v>92.300000000000011</v>
      </c>
      <c r="BB18" s="12">
        <f t="shared" si="11"/>
        <v>93.4</v>
      </c>
      <c r="BC18" s="12">
        <f t="shared" si="11"/>
        <v>90.100000000000009</v>
      </c>
      <c r="BD18" s="12">
        <f t="shared" si="11"/>
        <v>86.8</v>
      </c>
      <c r="BE18" s="12">
        <f t="shared" si="11"/>
        <v>85.2</v>
      </c>
      <c r="BF18" s="12">
        <f t="shared" si="12"/>
        <v>89</v>
      </c>
      <c r="BG18" s="12">
        <f t="shared" si="12"/>
        <v>86.8</v>
      </c>
      <c r="BH18" s="12">
        <f t="shared" si="12"/>
        <v>77</v>
      </c>
      <c r="BI18" s="12">
        <f t="shared" si="12"/>
        <v>79.7</v>
      </c>
    </row>
    <row r="19" spans="1:61" x14ac:dyDescent="0.25">
      <c r="A19" s="1" t="s">
        <v>103</v>
      </c>
      <c r="B19" s="3" t="s">
        <v>96</v>
      </c>
      <c r="C19" s="4" t="s">
        <v>8</v>
      </c>
      <c r="D19" s="4">
        <v>41</v>
      </c>
      <c r="E19" s="4">
        <v>1251</v>
      </c>
      <c r="F19" s="4">
        <v>41</v>
      </c>
      <c r="G19" s="4">
        <v>1251</v>
      </c>
      <c r="H19" s="4">
        <v>15.7</v>
      </c>
      <c r="I19" s="4">
        <v>0.51200000000000001</v>
      </c>
      <c r="J19" s="4">
        <v>0.49399999999999999</v>
      </c>
      <c r="K19" s="4">
        <v>0.23899999999999999</v>
      </c>
      <c r="L19" s="4">
        <v>9.6000000000000002E-2</v>
      </c>
      <c r="M19" s="4">
        <v>3.4</v>
      </c>
      <c r="N19" s="4">
        <v>9.6</v>
      </c>
      <c r="O19" s="4">
        <v>21.3</v>
      </c>
      <c r="P19" s="4">
        <v>1.9</v>
      </c>
      <c r="Q19" s="4">
        <v>0.9</v>
      </c>
      <c r="R19" s="4">
        <v>11.1</v>
      </c>
      <c r="S19" s="4">
        <v>22.4</v>
      </c>
      <c r="T19" s="4">
        <v>108</v>
      </c>
      <c r="U19" s="4">
        <v>107</v>
      </c>
      <c r="V19" s="4"/>
      <c r="W19" s="4">
        <v>1.5</v>
      </c>
      <c r="X19" s="4">
        <v>1.9</v>
      </c>
      <c r="Y19" s="4">
        <v>3.4</v>
      </c>
      <c r="Z19" s="4">
        <v>0.109</v>
      </c>
      <c r="AA19" s="13">
        <f>(I19/TOTAL_BASIC!$D$301)*100</f>
        <v>91.196444379487374</v>
      </c>
      <c r="AB19" s="5">
        <f t="shared" si="3"/>
        <v>1.08</v>
      </c>
      <c r="AC19" s="3">
        <f t="shared" si="1"/>
        <v>1</v>
      </c>
      <c r="AD19" s="9">
        <f t="shared" si="4"/>
        <v>1.024</v>
      </c>
      <c r="AE19" s="16">
        <f t="shared" si="5"/>
        <v>0.95089285714285721</v>
      </c>
      <c r="AF19" s="16">
        <f t="shared" si="6"/>
        <v>1.9189189189189191</v>
      </c>
      <c r="AG19" s="9"/>
      <c r="AH19" s="9"/>
      <c r="AI19" s="12">
        <f t="shared" si="7"/>
        <v>69.3</v>
      </c>
      <c r="AJ19" s="12">
        <f t="shared" si="8"/>
        <v>91.2</v>
      </c>
      <c r="AK19" s="12">
        <f t="shared" si="8"/>
        <v>65</v>
      </c>
      <c r="AL19" s="12">
        <f t="shared" si="8"/>
        <v>27.800000000000004</v>
      </c>
      <c r="AM19" s="12">
        <f t="shared" si="8"/>
        <v>40.9</v>
      </c>
      <c r="AN19" s="12">
        <f t="shared" si="8"/>
        <v>20.7</v>
      </c>
      <c r="AO19" s="12">
        <f t="shared" ref="AO19:AR82" si="14">(PERCENTRANK(L$3:L$298,L19))*100</f>
        <v>4.9000000000000004</v>
      </c>
      <c r="AP19" s="12">
        <f t="shared" si="14"/>
        <v>38.700000000000003</v>
      </c>
      <c r="AQ19" s="12">
        <f t="shared" si="14"/>
        <v>55.1</v>
      </c>
      <c r="AR19" s="12">
        <f t="shared" si="14"/>
        <v>79.2</v>
      </c>
      <c r="AS19" s="12">
        <f t="shared" ref="AS19:AV82" si="15">(PERCENTRANK(P$3:P$298,P19))*100</f>
        <v>57.9</v>
      </c>
      <c r="AT19" s="12">
        <f t="shared" si="15"/>
        <v>34.4</v>
      </c>
      <c r="AU19" s="12">
        <f t="shared" si="9"/>
        <v>82</v>
      </c>
      <c r="AV19" s="12">
        <f t="shared" si="15"/>
        <v>74.3</v>
      </c>
      <c r="AW19" s="12">
        <f t="shared" ref="AW19:AW82" si="16">(PERCENTRANK(T$3:T$298,T19))*100</f>
        <v>54.6</v>
      </c>
      <c r="AX19" s="12">
        <f t="shared" si="10"/>
        <v>78.2</v>
      </c>
      <c r="AY19" s="9"/>
      <c r="AZ19" s="12">
        <f t="shared" ref="AZ19:BD82" si="17">(PERCENTRANK(W$3:W$298,W19))*100</f>
        <v>76.5</v>
      </c>
      <c r="BA19" s="12">
        <f t="shared" si="13"/>
        <v>88.5</v>
      </c>
      <c r="BB19" s="12">
        <f t="shared" si="11"/>
        <v>82.5</v>
      </c>
      <c r="BC19" s="12">
        <f t="shared" si="11"/>
        <v>68.300000000000011</v>
      </c>
      <c r="BD19" s="12">
        <f t="shared" si="11"/>
        <v>27.800000000000004</v>
      </c>
      <c r="BE19" s="12">
        <f t="shared" si="11"/>
        <v>54.6</v>
      </c>
      <c r="BF19" s="12">
        <f t="shared" si="12"/>
        <v>63.3</v>
      </c>
      <c r="BG19" s="12">
        <f t="shared" si="12"/>
        <v>27.800000000000004</v>
      </c>
      <c r="BH19" s="12">
        <f t="shared" si="12"/>
        <v>69.3</v>
      </c>
      <c r="BI19" s="12">
        <f t="shared" si="12"/>
        <v>92.800000000000011</v>
      </c>
    </row>
    <row r="20" spans="1:61" x14ac:dyDescent="0.25">
      <c r="A20" s="1" t="s">
        <v>132</v>
      </c>
      <c r="B20" s="3" t="s">
        <v>117</v>
      </c>
      <c r="C20" s="4" t="s">
        <v>88</v>
      </c>
      <c r="D20" s="4">
        <v>39</v>
      </c>
      <c r="E20" s="4">
        <v>1244</v>
      </c>
      <c r="F20" s="4">
        <v>39</v>
      </c>
      <c r="G20" s="4">
        <v>1244</v>
      </c>
      <c r="H20" s="4">
        <v>32.6</v>
      </c>
      <c r="I20" s="4">
        <v>0.627</v>
      </c>
      <c r="J20" s="4">
        <v>0.55300000000000005</v>
      </c>
      <c r="K20" s="4">
        <v>0.13400000000000001</v>
      </c>
      <c r="L20" s="4">
        <v>0.47199999999999998</v>
      </c>
      <c r="M20" s="4">
        <v>6.8</v>
      </c>
      <c r="N20" s="4">
        <v>17.600000000000001</v>
      </c>
      <c r="O20" s="4">
        <v>18.899999999999999</v>
      </c>
      <c r="P20" s="4">
        <v>2.2999999999999998</v>
      </c>
      <c r="Q20" s="4">
        <v>5.6</v>
      </c>
      <c r="R20" s="4">
        <v>10.3</v>
      </c>
      <c r="S20" s="4">
        <v>32.9</v>
      </c>
      <c r="T20" s="4">
        <v>122</v>
      </c>
      <c r="U20" s="4">
        <v>101</v>
      </c>
      <c r="V20" s="4"/>
      <c r="W20" s="4">
        <v>6</v>
      </c>
      <c r="X20" s="4">
        <v>3</v>
      </c>
      <c r="Y20" s="4">
        <v>9</v>
      </c>
      <c r="Z20" s="4">
        <v>0.29099999999999998</v>
      </c>
      <c r="AA20" s="13">
        <f>(I20/TOTAL_BASIC!$D$301)*100</f>
        <v>111.68002075378629</v>
      </c>
      <c r="AB20" s="5">
        <f t="shared" si="3"/>
        <v>1.22</v>
      </c>
      <c r="AC20" s="3">
        <f t="shared" si="1"/>
        <v>21</v>
      </c>
      <c r="AD20" s="9">
        <f t="shared" si="4"/>
        <v>1.254</v>
      </c>
      <c r="AE20" s="16">
        <f t="shared" si="5"/>
        <v>0.57446808510638292</v>
      </c>
      <c r="AF20" s="16">
        <f t="shared" si="6"/>
        <v>1.8349514563106792</v>
      </c>
      <c r="AG20" s="9"/>
      <c r="AH20" s="9"/>
      <c r="AI20" s="12">
        <f t="shared" si="7"/>
        <v>60.6</v>
      </c>
      <c r="AJ20" s="12">
        <f t="shared" si="8"/>
        <v>90.7</v>
      </c>
      <c r="AK20" s="12">
        <f t="shared" si="8"/>
        <v>100</v>
      </c>
      <c r="AL20" s="12">
        <f t="shared" si="8"/>
        <v>90.100000000000009</v>
      </c>
      <c r="AM20" s="12">
        <f t="shared" si="8"/>
        <v>75.400000000000006</v>
      </c>
      <c r="AN20" s="12">
        <f t="shared" si="8"/>
        <v>12.5</v>
      </c>
      <c r="AO20" s="12">
        <f t="shared" si="14"/>
        <v>89.600000000000009</v>
      </c>
      <c r="AP20" s="12">
        <f t="shared" si="14"/>
        <v>70.399999999999991</v>
      </c>
      <c r="AQ20" s="12">
        <f t="shared" si="14"/>
        <v>93.4</v>
      </c>
      <c r="AR20" s="12">
        <f t="shared" si="14"/>
        <v>72.599999999999994</v>
      </c>
      <c r="AS20" s="12">
        <f t="shared" si="15"/>
        <v>78.600000000000009</v>
      </c>
      <c r="AT20" s="12">
        <f t="shared" si="15"/>
        <v>95</v>
      </c>
      <c r="AU20" s="12">
        <f t="shared" si="9"/>
        <v>86.4</v>
      </c>
      <c r="AV20" s="12">
        <f t="shared" si="15"/>
        <v>100</v>
      </c>
      <c r="AW20" s="12">
        <f t="shared" si="16"/>
        <v>89</v>
      </c>
      <c r="AX20" s="12">
        <f t="shared" si="10"/>
        <v>97.3</v>
      </c>
      <c r="AY20" s="9"/>
      <c r="AZ20" s="12">
        <f t="shared" si="17"/>
        <v>99.4</v>
      </c>
      <c r="BA20" s="12">
        <f t="shared" si="13"/>
        <v>97.8</v>
      </c>
      <c r="BB20" s="12">
        <f t="shared" si="11"/>
        <v>100</v>
      </c>
      <c r="BC20" s="12">
        <f t="shared" si="11"/>
        <v>100</v>
      </c>
      <c r="BD20" s="12">
        <f t="shared" si="11"/>
        <v>90.100000000000009</v>
      </c>
      <c r="BE20" s="12">
        <f t="shared" si="11"/>
        <v>89</v>
      </c>
      <c r="BF20" s="12">
        <f t="shared" si="12"/>
        <v>98.3</v>
      </c>
      <c r="BG20" s="12">
        <f t="shared" si="12"/>
        <v>90.100000000000009</v>
      </c>
      <c r="BH20" s="12">
        <f t="shared" si="12"/>
        <v>30.599999999999998</v>
      </c>
      <c r="BI20" s="12">
        <f t="shared" si="12"/>
        <v>91.2</v>
      </c>
    </row>
    <row r="21" spans="1:61" ht="15.75" customHeight="1" x14ac:dyDescent="0.25">
      <c r="A21" s="1" t="s">
        <v>104</v>
      </c>
      <c r="B21" s="3" t="s">
        <v>96</v>
      </c>
      <c r="C21" s="4" t="s">
        <v>8</v>
      </c>
      <c r="D21" s="4">
        <v>40</v>
      </c>
      <c r="E21" s="4">
        <v>1239</v>
      </c>
      <c r="F21" s="4">
        <v>40</v>
      </c>
      <c r="G21" s="4">
        <v>1239</v>
      </c>
      <c r="H21" s="4">
        <v>22.7</v>
      </c>
      <c r="I21" s="4">
        <v>0.60599999999999998</v>
      </c>
      <c r="J21" s="4">
        <v>0.54900000000000004</v>
      </c>
      <c r="K21" s="4">
        <v>0.29099999999999998</v>
      </c>
      <c r="L21" s="4">
        <v>0.34</v>
      </c>
      <c r="M21" s="4">
        <v>2.2999999999999998</v>
      </c>
      <c r="N21" s="4">
        <v>8.9</v>
      </c>
      <c r="O21" s="4">
        <v>30.9</v>
      </c>
      <c r="P21" s="4">
        <v>2.1</v>
      </c>
      <c r="Q21" s="4">
        <v>2</v>
      </c>
      <c r="R21" s="4">
        <v>15.9</v>
      </c>
      <c r="S21" s="4">
        <v>27.5</v>
      </c>
      <c r="T21" s="4">
        <v>117</v>
      </c>
      <c r="U21" s="4">
        <v>106</v>
      </c>
      <c r="V21" s="4"/>
      <c r="W21" s="4">
        <v>4.0999999999999996</v>
      </c>
      <c r="X21" s="4">
        <v>2.1</v>
      </c>
      <c r="Y21" s="4">
        <v>6.2</v>
      </c>
      <c r="Z21" s="4">
        <v>0.19900000000000001</v>
      </c>
      <c r="AA21" s="13">
        <f>(I21/TOTAL_BASIC!$D$301)*100</f>
        <v>107.93954158978387</v>
      </c>
      <c r="AB21" s="5">
        <f t="shared" si="3"/>
        <v>1.17</v>
      </c>
      <c r="AC21" s="3">
        <f t="shared" si="1"/>
        <v>11</v>
      </c>
      <c r="AD21" s="9">
        <f t="shared" si="4"/>
        <v>1.212</v>
      </c>
      <c r="AE21" s="16">
        <f t="shared" si="5"/>
        <v>1.1236363636363635</v>
      </c>
      <c r="AF21" s="16">
        <f t="shared" si="6"/>
        <v>1.9433962264150941</v>
      </c>
      <c r="AG21" s="9"/>
      <c r="AH21" s="9"/>
      <c r="AI21" s="12">
        <f t="shared" si="7"/>
        <v>63.9</v>
      </c>
      <c r="AJ21" s="12">
        <f t="shared" si="8"/>
        <v>90.100000000000009</v>
      </c>
      <c r="AK21" s="12">
        <f t="shared" si="8"/>
        <v>95</v>
      </c>
      <c r="AL21" s="12">
        <f t="shared" si="8"/>
        <v>80.300000000000011</v>
      </c>
      <c r="AM21" s="12">
        <f t="shared" si="8"/>
        <v>74.3</v>
      </c>
      <c r="AN21" s="12">
        <f t="shared" si="8"/>
        <v>28.4</v>
      </c>
      <c r="AO21" s="12">
        <f t="shared" si="14"/>
        <v>64.400000000000006</v>
      </c>
      <c r="AP21" s="12">
        <f t="shared" si="14"/>
        <v>22.900000000000002</v>
      </c>
      <c r="AQ21" s="12">
        <f t="shared" si="14"/>
        <v>49.7</v>
      </c>
      <c r="AR21" s="12">
        <f t="shared" si="14"/>
        <v>94.5</v>
      </c>
      <c r="AS21" s="12">
        <f t="shared" si="15"/>
        <v>70.399999999999991</v>
      </c>
      <c r="AT21" s="12">
        <f t="shared" si="15"/>
        <v>65</v>
      </c>
      <c r="AU21" s="12">
        <f t="shared" si="9"/>
        <v>41</v>
      </c>
      <c r="AV21" s="12">
        <f t="shared" si="15"/>
        <v>92.800000000000011</v>
      </c>
      <c r="AW21" s="12">
        <f t="shared" si="16"/>
        <v>78.600000000000009</v>
      </c>
      <c r="AX21" s="12">
        <f t="shared" si="10"/>
        <v>83.1</v>
      </c>
      <c r="AY21" s="9"/>
      <c r="AZ21" s="12">
        <f t="shared" si="17"/>
        <v>95</v>
      </c>
      <c r="BA21" s="12">
        <f t="shared" si="13"/>
        <v>90.100000000000009</v>
      </c>
      <c r="BB21" s="12">
        <f t="shared" si="11"/>
        <v>93.899999999999991</v>
      </c>
      <c r="BC21" s="12">
        <f t="shared" si="11"/>
        <v>93.899999999999991</v>
      </c>
      <c r="BD21" s="12">
        <f t="shared" si="11"/>
        <v>80.300000000000011</v>
      </c>
      <c r="BE21" s="12">
        <f t="shared" si="11"/>
        <v>78.600000000000009</v>
      </c>
      <c r="BF21" s="12">
        <f t="shared" si="12"/>
        <v>81.399999999999991</v>
      </c>
      <c r="BG21" s="12">
        <f t="shared" si="12"/>
        <v>80.300000000000011</v>
      </c>
      <c r="BH21" s="12">
        <f t="shared" si="12"/>
        <v>79.2</v>
      </c>
      <c r="BI21" s="12">
        <f t="shared" si="12"/>
        <v>93.899999999999991</v>
      </c>
    </row>
    <row r="22" spans="1:61" ht="15.75" customHeight="1" x14ac:dyDescent="0.25">
      <c r="A22" s="1" t="s">
        <v>115</v>
      </c>
      <c r="B22" s="3" t="s">
        <v>96</v>
      </c>
      <c r="C22" s="4" t="s">
        <v>85</v>
      </c>
      <c r="D22" s="4">
        <v>42</v>
      </c>
      <c r="E22" s="4">
        <v>1217</v>
      </c>
      <c r="F22" s="4">
        <v>42</v>
      </c>
      <c r="G22" s="4">
        <v>1217</v>
      </c>
      <c r="H22" s="4">
        <v>23.3</v>
      </c>
      <c r="I22" s="4">
        <v>0.628</v>
      </c>
      <c r="J22" s="4">
        <v>0.59799999999999998</v>
      </c>
      <c r="K22" s="4">
        <v>3.6999999999999998E-2</v>
      </c>
      <c r="L22" s="4">
        <v>0.36099999999999999</v>
      </c>
      <c r="M22" s="4">
        <v>14.3</v>
      </c>
      <c r="N22" s="4">
        <v>15.8</v>
      </c>
      <c r="O22" s="4">
        <v>17.899999999999999</v>
      </c>
      <c r="P22" s="4">
        <v>2.9</v>
      </c>
      <c r="Q22" s="4">
        <v>3.3</v>
      </c>
      <c r="R22" s="4">
        <v>17.7</v>
      </c>
      <c r="S22" s="4">
        <v>21.8</v>
      </c>
      <c r="T22" s="4">
        <v>120</v>
      </c>
      <c r="U22" s="4">
        <v>103</v>
      </c>
      <c r="V22" s="4"/>
      <c r="W22" s="4">
        <v>3.9</v>
      </c>
      <c r="X22" s="4">
        <v>2.6</v>
      </c>
      <c r="Y22" s="4">
        <v>6.5</v>
      </c>
      <c r="Z22" s="4">
        <v>0.21299999999999999</v>
      </c>
      <c r="AA22" s="13">
        <f>(I22/TOTAL_BASIC!$D$301)*100</f>
        <v>111.85813880921498</v>
      </c>
      <c r="AB22" s="5">
        <f t="shared" si="3"/>
        <v>1.2</v>
      </c>
      <c r="AC22" s="3">
        <f t="shared" si="1"/>
        <v>17</v>
      </c>
      <c r="AD22" s="9">
        <f t="shared" si="4"/>
        <v>1.256</v>
      </c>
      <c r="AE22" s="16">
        <f t="shared" si="5"/>
        <v>0.82110091743119262</v>
      </c>
      <c r="AF22" s="16">
        <f t="shared" si="6"/>
        <v>1.0112994350282485</v>
      </c>
      <c r="AG22" s="9"/>
      <c r="AH22" s="9"/>
      <c r="AI22" s="12">
        <f t="shared" si="7"/>
        <v>83</v>
      </c>
      <c r="AJ22" s="12">
        <f t="shared" si="8"/>
        <v>89.600000000000009</v>
      </c>
      <c r="AK22" s="12">
        <f t="shared" si="8"/>
        <v>97.2</v>
      </c>
      <c r="AL22" s="12">
        <f t="shared" si="8"/>
        <v>91.2</v>
      </c>
      <c r="AM22" s="12">
        <f t="shared" si="8"/>
        <v>92.300000000000011</v>
      </c>
      <c r="AN22" s="12">
        <f t="shared" si="8"/>
        <v>6</v>
      </c>
      <c r="AO22" s="12">
        <f t="shared" si="14"/>
        <v>69.3</v>
      </c>
      <c r="AP22" s="12">
        <f t="shared" si="14"/>
        <v>98.9</v>
      </c>
      <c r="AQ22" s="12">
        <f t="shared" si="14"/>
        <v>87.9</v>
      </c>
      <c r="AR22" s="12">
        <f t="shared" si="14"/>
        <v>69.899999999999991</v>
      </c>
      <c r="AS22" s="12">
        <f t="shared" si="15"/>
        <v>93.899999999999991</v>
      </c>
      <c r="AT22" s="12">
        <f t="shared" si="15"/>
        <v>83</v>
      </c>
      <c r="AU22" s="12">
        <f t="shared" si="9"/>
        <v>27.900000000000006</v>
      </c>
      <c r="AV22" s="12">
        <f t="shared" si="15"/>
        <v>72.099999999999994</v>
      </c>
      <c r="AW22" s="12">
        <f t="shared" si="16"/>
        <v>85.2</v>
      </c>
      <c r="AX22" s="12">
        <f t="shared" si="10"/>
        <v>92.4</v>
      </c>
      <c r="AY22" s="9"/>
      <c r="AZ22" s="12">
        <f t="shared" si="17"/>
        <v>93.899999999999991</v>
      </c>
      <c r="BA22" s="12">
        <f t="shared" si="13"/>
        <v>96.1</v>
      </c>
      <c r="BB22" s="12">
        <f t="shared" si="11"/>
        <v>95</v>
      </c>
      <c r="BC22" s="12">
        <f t="shared" si="11"/>
        <v>97.8</v>
      </c>
      <c r="BD22" s="12">
        <f t="shared" si="11"/>
        <v>91.2</v>
      </c>
      <c r="BE22" s="12">
        <f t="shared" si="11"/>
        <v>85.2</v>
      </c>
      <c r="BF22" s="12">
        <f t="shared" si="12"/>
        <v>95</v>
      </c>
      <c r="BG22" s="12">
        <f t="shared" si="12"/>
        <v>91.2</v>
      </c>
      <c r="BH22" s="12">
        <f t="shared" si="12"/>
        <v>60.099999999999994</v>
      </c>
      <c r="BI22" s="12">
        <f t="shared" si="12"/>
        <v>50.2</v>
      </c>
    </row>
    <row r="23" spans="1:61" ht="15.75" customHeight="1" x14ac:dyDescent="0.25">
      <c r="A23" s="1" t="s">
        <v>158</v>
      </c>
      <c r="B23" s="3" t="s">
        <v>140</v>
      </c>
      <c r="C23" s="4" t="s">
        <v>88</v>
      </c>
      <c r="D23" s="4">
        <v>41</v>
      </c>
      <c r="E23" s="4">
        <v>1208</v>
      </c>
      <c r="F23" s="4">
        <v>41</v>
      </c>
      <c r="G23" s="4">
        <v>1208</v>
      </c>
      <c r="H23" s="4">
        <v>20.7</v>
      </c>
      <c r="I23" s="4">
        <v>0.56000000000000005</v>
      </c>
      <c r="J23" s="4">
        <v>0.50800000000000001</v>
      </c>
      <c r="K23" s="4">
        <v>0.10100000000000001</v>
      </c>
      <c r="L23" s="4">
        <v>0.46200000000000002</v>
      </c>
      <c r="M23" s="4">
        <v>8</v>
      </c>
      <c r="N23" s="4">
        <v>19.2</v>
      </c>
      <c r="O23" s="4">
        <v>16.7</v>
      </c>
      <c r="P23" s="4">
        <v>1.3</v>
      </c>
      <c r="Q23" s="4">
        <v>4.0999999999999996</v>
      </c>
      <c r="R23" s="4">
        <v>15.9</v>
      </c>
      <c r="S23" s="4">
        <v>27.4</v>
      </c>
      <c r="T23" s="4">
        <v>106</v>
      </c>
      <c r="U23" s="4">
        <v>100</v>
      </c>
      <c r="V23" s="4"/>
      <c r="W23" s="4">
        <v>1.3</v>
      </c>
      <c r="X23" s="4">
        <v>3</v>
      </c>
      <c r="Y23" s="4">
        <v>4.4000000000000004</v>
      </c>
      <c r="Z23" s="4">
        <v>0.14499999999999999</v>
      </c>
      <c r="AA23" s="13">
        <f>(I23/TOTAL_BASIC!$D$301)*100</f>
        <v>99.746111040064321</v>
      </c>
      <c r="AB23" s="5">
        <f t="shared" si="3"/>
        <v>1.06</v>
      </c>
      <c r="AC23" s="3">
        <f t="shared" si="1"/>
        <v>6</v>
      </c>
      <c r="AD23" s="9">
        <f t="shared" si="4"/>
        <v>1.1200000000000001</v>
      </c>
      <c r="AE23" s="16">
        <f t="shared" si="5"/>
        <v>0.60948905109489049</v>
      </c>
      <c r="AF23" s="16">
        <f t="shared" si="6"/>
        <v>1.050314465408805</v>
      </c>
      <c r="AG23" s="9"/>
      <c r="AH23" s="9"/>
      <c r="AI23" s="12">
        <f t="shared" si="7"/>
        <v>69.3</v>
      </c>
      <c r="AJ23" s="12">
        <f t="shared" si="8"/>
        <v>89</v>
      </c>
      <c r="AK23" s="12">
        <f t="shared" si="8"/>
        <v>90.100000000000009</v>
      </c>
      <c r="AL23" s="12">
        <f t="shared" si="8"/>
        <v>54.6</v>
      </c>
      <c r="AM23" s="12">
        <f t="shared" si="8"/>
        <v>49.1</v>
      </c>
      <c r="AN23" s="12">
        <f t="shared" si="8"/>
        <v>10.299999999999999</v>
      </c>
      <c r="AO23" s="12">
        <f t="shared" si="14"/>
        <v>88.5</v>
      </c>
      <c r="AP23" s="12">
        <f t="shared" si="14"/>
        <v>78.600000000000009</v>
      </c>
      <c r="AQ23" s="12">
        <f t="shared" si="14"/>
        <v>96.7</v>
      </c>
      <c r="AR23" s="12">
        <f t="shared" si="14"/>
        <v>64.400000000000006</v>
      </c>
      <c r="AS23" s="12">
        <f t="shared" si="15"/>
        <v>22.900000000000002</v>
      </c>
      <c r="AT23" s="12">
        <f t="shared" si="15"/>
        <v>89</v>
      </c>
      <c r="AU23" s="12">
        <f t="shared" si="9"/>
        <v>41</v>
      </c>
      <c r="AV23" s="12">
        <f t="shared" si="15"/>
        <v>92.300000000000011</v>
      </c>
      <c r="AW23" s="12">
        <f t="shared" si="16"/>
        <v>45.9</v>
      </c>
      <c r="AX23" s="12">
        <f t="shared" si="10"/>
        <v>98.4</v>
      </c>
      <c r="AY23" s="9"/>
      <c r="AZ23" s="12">
        <f t="shared" si="17"/>
        <v>73.2</v>
      </c>
      <c r="BA23" s="12">
        <f t="shared" si="13"/>
        <v>97.8</v>
      </c>
      <c r="BB23" s="12">
        <f t="shared" si="11"/>
        <v>87.9</v>
      </c>
      <c r="BC23" s="12">
        <f t="shared" si="11"/>
        <v>79.2</v>
      </c>
      <c r="BD23" s="12">
        <f t="shared" si="11"/>
        <v>54.6</v>
      </c>
      <c r="BE23" s="12">
        <f t="shared" si="11"/>
        <v>45.9</v>
      </c>
      <c r="BF23" s="12">
        <f t="shared" si="12"/>
        <v>72.599999999999994</v>
      </c>
      <c r="BG23" s="12">
        <f t="shared" si="12"/>
        <v>54.6</v>
      </c>
      <c r="BH23" s="12">
        <f t="shared" si="12"/>
        <v>37.1</v>
      </c>
      <c r="BI23" s="12">
        <f t="shared" si="12"/>
        <v>55.7</v>
      </c>
    </row>
    <row r="24" spans="1:61" ht="15.75" customHeight="1" x14ac:dyDescent="0.25">
      <c r="A24" s="1" t="s">
        <v>144</v>
      </c>
      <c r="B24" s="3" t="s">
        <v>128</v>
      </c>
      <c r="C24" s="4" t="s">
        <v>85</v>
      </c>
      <c r="D24" s="4">
        <v>42</v>
      </c>
      <c r="E24" s="4">
        <v>1203</v>
      </c>
      <c r="F24" s="4">
        <v>42</v>
      </c>
      <c r="G24" s="4">
        <v>1203</v>
      </c>
      <c r="H24" s="4">
        <v>10.7</v>
      </c>
      <c r="I24" s="4">
        <v>0.56999999999999995</v>
      </c>
      <c r="J24" s="4">
        <v>0.54200000000000004</v>
      </c>
      <c r="K24" s="4">
        <v>0.52900000000000003</v>
      </c>
      <c r="L24" s="4">
        <v>0.17</v>
      </c>
      <c r="M24" s="4">
        <v>6</v>
      </c>
      <c r="N24" s="4">
        <v>9.6</v>
      </c>
      <c r="O24" s="4">
        <v>8.1999999999999993</v>
      </c>
      <c r="P24" s="4">
        <v>1</v>
      </c>
      <c r="Q24" s="4">
        <v>1.3</v>
      </c>
      <c r="R24" s="4">
        <v>14.5</v>
      </c>
      <c r="S24" s="4">
        <v>13.5</v>
      </c>
      <c r="T24" s="4">
        <v>111</v>
      </c>
      <c r="U24" s="4">
        <v>108</v>
      </c>
      <c r="V24" s="4"/>
      <c r="W24" s="4">
        <v>1.3</v>
      </c>
      <c r="X24" s="4">
        <v>1.6</v>
      </c>
      <c r="Y24" s="4">
        <v>2.9</v>
      </c>
      <c r="Z24" s="4">
        <v>9.6000000000000002E-2</v>
      </c>
      <c r="AA24" s="13">
        <f>(I24/TOTAL_BASIC!$D$301)*100</f>
        <v>101.52729159435117</v>
      </c>
      <c r="AB24" s="5">
        <f t="shared" si="3"/>
        <v>1.1100000000000001</v>
      </c>
      <c r="AC24" s="3">
        <f t="shared" si="1"/>
        <v>3</v>
      </c>
      <c r="AD24" s="9">
        <f t="shared" si="4"/>
        <v>1.1399999999999999</v>
      </c>
      <c r="AE24" s="16">
        <f t="shared" si="5"/>
        <v>0.6074074074074074</v>
      </c>
      <c r="AF24" s="16">
        <f t="shared" si="6"/>
        <v>0.56551724137931025</v>
      </c>
      <c r="AG24" s="9"/>
      <c r="AH24" s="9"/>
      <c r="AI24" s="12">
        <f t="shared" si="7"/>
        <v>83</v>
      </c>
      <c r="AJ24" s="12">
        <f t="shared" si="8"/>
        <v>88.5</v>
      </c>
      <c r="AK24" s="12">
        <f t="shared" si="8"/>
        <v>35.5</v>
      </c>
      <c r="AL24" s="12">
        <f t="shared" si="8"/>
        <v>61.7</v>
      </c>
      <c r="AM24" s="12">
        <f t="shared" si="8"/>
        <v>68.8</v>
      </c>
      <c r="AN24" s="12">
        <f t="shared" si="8"/>
        <v>76.5</v>
      </c>
      <c r="AO24" s="12">
        <f t="shared" si="14"/>
        <v>18</v>
      </c>
      <c r="AP24" s="12">
        <f t="shared" si="14"/>
        <v>65.5</v>
      </c>
      <c r="AQ24" s="12">
        <f t="shared" si="14"/>
        <v>55.1</v>
      </c>
      <c r="AR24" s="12">
        <f t="shared" si="14"/>
        <v>17.399999999999999</v>
      </c>
      <c r="AS24" s="12">
        <f t="shared" si="15"/>
        <v>10.9</v>
      </c>
      <c r="AT24" s="12">
        <f t="shared" si="15"/>
        <v>50.8</v>
      </c>
      <c r="AU24" s="12">
        <f t="shared" si="9"/>
        <v>53.599999999999994</v>
      </c>
      <c r="AV24" s="12">
        <f t="shared" si="15"/>
        <v>14.2</v>
      </c>
      <c r="AW24" s="12">
        <f t="shared" si="16"/>
        <v>65</v>
      </c>
      <c r="AX24" s="12">
        <f t="shared" si="10"/>
        <v>71.099999999999994</v>
      </c>
      <c r="AY24" s="9"/>
      <c r="AZ24" s="12">
        <f t="shared" si="17"/>
        <v>73.2</v>
      </c>
      <c r="BA24" s="12">
        <f t="shared" si="13"/>
        <v>83</v>
      </c>
      <c r="BB24" s="12">
        <f t="shared" si="11"/>
        <v>78.100000000000009</v>
      </c>
      <c r="BC24" s="12">
        <f t="shared" si="11"/>
        <v>62.2</v>
      </c>
      <c r="BD24" s="12">
        <f t="shared" si="11"/>
        <v>61.7</v>
      </c>
      <c r="BE24" s="12">
        <f t="shared" si="11"/>
        <v>65</v>
      </c>
      <c r="BF24" s="12">
        <f t="shared" si="12"/>
        <v>68.300000000000011</v>
      </c>
      <c r="BG24" s="12">
        <f t="shared" si="12"/>
        <v>61.7</v>
      </c>
      <c r="BH24" s="12">
        <f t="shared" si="12"/>
        <v>36.6</v>
      </c>
      <c r="BI24" s="12">
        <f t="shared" si="12"/>
        <v>15.8</v>
      </c>
    </row>
    <row r="25" spans="1:61" ht="15.75" customHeight="1" x14ac:dyDescent="0.25">
      <c r="A25" s="1" t="s">
        <v>109</v>
      </c>
      <c r="B25" s="3" t="s">
        <v>232</v>
      </c>
      <c r="C25" s="4" t="s">
        <v>85</v>
      </c>
      <c r="D25" s="4">
        <v>39</v>
      </c>
      <c r="E25" s="4">
        <v>1195</v>
      </c>
      <c r="F25" s="4">
        <v>39</v>
      </c>
      <c r="G25" s="4">
        <v>1195</v>
      </c>
      <c r="H25" s="4">
        <v>15.9</v>
      </c>
      <c r="I25" s="4">
        <v>0.55700000000000005</v>
      </c>
      <c r="J25" s="4">
        <v>0.52</v>
      </c>
      <c r="K25" s="4">
        <v>0.626</v>
      </c>
      <c r="L25" s="4">
        <v>0.19600000000000001</v>
      </c>
      <c r="M25" s="4">
        <v>2.9</v>
      </c>
      <c r="N25" s="4">
        <v>9.3000000000000007</v>
      </c>
      <c r="O25" s="4">
        <v>11.8</v>
      </c>
      <c r="P25" s="4">
        <v>2.6</v>
      </c>
      <c r="Q25" s="4">
        <v>1.4</v>
      </c>
      <c r="R25" s="4">
        <v>8.6</v>
      </c>
      <c r="S25" s="4">
        <v>20.5</v>
      </c>
      <c r="T25" s="4">
        <v>112</v>
      </c>
      <c r="U25" s="4">
        <v>114</v>
      </c>
      <c r="V25" s="4"/>
      <c r="W25" s="4">
        <v>1.8</v>
      </c>
      <c r="X25" s="4">
        <v>0.7</v>
      </c>
      <c r="Y25" s="4">
        <v>2.6</v>
      </c>
      <c r="Z25" s="4">
        <v>8.5999999999999993E-2</v>
      </c>
      <c r="AA25" s="13">
        <f>(I25/TOTAL_BASIC!$D$301)*100</f>
        <v>99.21175687377827</v>
      </c>
      <c r="AB25" s="5">
        <f t="shared" si="3"/>
        <v>1.1200000000000001</v>
      </c>
      <c r="AC25" s="3">
        <f t="shared" si="1"/>
        <v>-2</v>
      </c>
      <c r="AD25" s="9">
        <f t="shared" si="4"/>
        <v>1.1140000000000001</v>
      </c>
      <c r="AE25" s="16">
        <f t="shared" si="5"/>
        <v>0.57560975609756104</v>
      </c>
      <c r="AF25" s="16">
        <f t="shared" si="6"/>
        <v>1.3720930232558142</v>
      </c>
      <c r="AG25" s="9"/>
      <c r="AH25" s="9"/>
      <c r="AI25" s="12">
        <f t="shared" si="7"/>
        <v>60.6</v>
      </c>
      <c r="AJ25" s="12">
        <f t="shared" si="8"/>
        <v>87.9</v>
      </c>
      <c r="AK25" s="12">
        <f t="shared" si="8"/>
        <v>67.2</v>
      </c>
      <c r="AL25" s="12">
        <f t="shared" si="8"/>
        <v>50.8</v>
      </c>
      <c r="AM25" s="12">
        <f t="shared" si="8"/>
        <v>55.1</v>
      </c>
      <c r="AN25" s="12">
        <f t="shared" si="8"/>
        <v>86.8</v>
      </c>
      <c r="AO25" s="12">
        <f t="shared" si="14"/>
        <v>25.1</v>
      </c>
      <c r="AP25" s="12">
        <f t="shared" si="14"/>
        <v>32.200000000000003</v>
      </c>
      <c r="AQ25" s="12">
        <f t="shared" si="14"/>
        <v>53</v>
      </c>
      <c r="AR25" s="12">
        <f t="shared" si="14"/>
        <v>38.200000000000003</v>
      </c>
      <c r="AS25" s="12">
        <f t="shared" si="15"/>
        <v>87.9</v>
      </c>
      <c r="AT25" s="12">
        <f t="shared" si="15"/>
        <v>53.5</v>
      </c>
      <c r="AU25" s="12">
        <f t="shared" si="9"/>
        <v>92.4</v>
      </c>
      <c r="AV25" s="12">
        <f t="shared" si="15"/>
        <v>63.3</v>
      </c>
      <c r="AW25" s="12">
        <f t="shared" si="16"/>
        <v>67.2</v>
      </c>
      <c r="AX25" s="12">
        <f t="shared" si="10"/>
        <v>25.700000000000003</v>
      </c>
      <c r="AY25" s="9"/>
      <c r="AZ25" s="12">
        <f t="shared" si="17"/>
        <v>80.300000000000011</v>
      </c>
      <c r="BA25" s="12">
        <f t="shared" si="13"/>
        <v>53.5</v>
      </c>
      <c r="BB25" s="12">
        <f t="shared" si="11"/>
        <v>74.8</v>
      </c>
      <c r="BC25" s="12">
        <f t="shared" si="11"/>
        <v>56.2</v>
      </c>
      <c r="BD25" s="12">
        <f t="shared" si="11"/>
        <v>50.8</v>
      </c>
      <c r="BE25" s="12">
        <f t="shared" si="11"/>
        <v>67.2</v>
      </c>
      <c r="BF25" s="12">
        <f t="shared" si="12"/>
        <v>54</v>
      </c>
      <c r="BG25" s="12">
        <f t="shared" si="12"/>
        <v>50.8</v>
      </c>
      <c r="BH25" s="12">
        <f t="shared" si="12"/>
        <v>31.1</v>
      </c>
      <c r="BI25" s="12">
        <f t="shared" si="12"/>
        <v>74.3</v>
      </c>
    </row>
    <row r="26" spans="1:61" ht="15.75" customHeight="1" x14ac:dyDescent="0.25">
      <c r="A26" s="1" t="s">
        <v>156</v>
      </c>
      <c r="B26" s="3" t="s">
        <v>157</v>
      </c>
      <c r="C26" s="4" t="s">
        <v>8</v>
      </c>
      <c r="D26" s="4">
        <v>38</v>
      </c>
      <c r="E26" s="4">
        <v>1194</v>
      </c>
      <c r="F26" s="4">
        <v>38</v>
      </c>
      <c r="G26" s="4">
        <v>1194</v>
      </c>
      <c r="H26" s="4">
        <v>22.9</v>
      </c>
      <c r="I26" s="4">
        <v>0.60699999999999998</v>
      </c>
      <c r="J26" s="4">
        <v>0.54300000000000004</v>
      </c>
      <c r="K26" s="4">
        <v>0.501</v>
      </c>
      <c r="L26" s="4">
        <v>0.40500000000000003</v>
      </c>
      <c r="M26" s="4">
        <v>0.9</v>
      </c>
      <c r="N26" s="4">
        <v>7.7</v>
      </c>
      <c r="O26" s="4">
        <v>44</v>
      </c>
      <c r="P26" s="4">
        <v>1.5</v>
      </c>
      <c r="Q26" s="4">
        <v>1.4</v>
      </c>
      <c r="R26" s="4">
        <v>19.899999999999999</v>
      </c>
      <c r="S26" s="4">
        <v>32.5</v>
      </c>
      <c r="T26" s="4">
        <v>114</v>
      </c>
      <c r="U26" s="4">
        <v>112</v>
      </c>
      <c r="V26" s="4"/>
      <c r="W26" s="4">
        <v>3.9</v>
      </c>
      <c r="X26" s="4">
        <v>1</v>
      </c>
      <c r="Y26" s="4">
        <v>4.9000000000000004</v>
      </c>
      <c r="Z26" s="4">
        <v>0.16500000000000001</v>
      </c>
      <c r="AA26" s="13">
        <f>(I26/TOTAL_BASIC!$D$301)*100</f>
        <v>108.11765964521256</v>
      </c>
      <c r="AB26" s="5">
        <f t="shared" si="3"/>
        <v>1.1399999999999999</v>
      </c>
      <c r="AC26" s="3">
        <f t="shared" si="1"/>
        <v>2</v>
      </c>
      <c r="AD26" s="9">
        <f t="shared" si="4"/>
        <v>1.214</v>
      </c>
      <c r="AE26" s="16">
        <f t="shared" si="5"/>
        <v>1.3538461538461539</v>
      </c>
      <c r="AF26" s="16">
        <f t="shared" si="6"/>
        <v>2.2110552763819098</v>
      </c>
      <c r="AG26" s="9"/>
      <c r="AH26" s="9"/>
      <c r="AI26" s="12">
        <f t="shared" si="7"/>
        <v>53</v>
      </c>
      <c r="AJ26" s="12">
        <f t="shared" si="8"/>
        <v>86.8</v>
      </c>
      <c r="AK26" s="12">
        <f t="shared" si="8"/>
        <v>96.1</v>
      </c>
      <c r="AL26" s="12">
        <f t="shared" si="8"/>
        <v>80.800000000000011</v>
      </c>
      <c r="AM26" s="12">
        <f t="shared" si="8"/>
        <v>69.3</v>
      </c>
      <c r="AN26" s="12">
        <f t="shared" si="8"/>
        <v>71</v>
      </c>
      <c r="AO26" s="12">
        <f t="shared" si="14"/>
        <v>79.7</v>
      </c>
      <c r="AP26" s="12">
        <f t="shared" si="14"/>
        <v>2.7</v>
      </c>
      <c r="AQ26" s="12">
        <f t="shared" si="14"/>
        <v>40.9</v>
      </c>
      <c r="AR26" s="12">
        <f t="shared" si="14"/>
        <v>99.4</v>
      </c>
      <c r="AS26" s="12">
        <f t="shared" si="15"/>
        <v>33.800000000000004</v>
      </c>
      <c r="AT26" s="12">
        <f t="shared" si="15"/>
        <v>53.5</v>
      </c>
      <c r="AU26" s="12">
        <f t="shared" si="9"/>
        <v>13.700000000000003</v>
      </c>
      <c r="AV26" s="12">
        <f t="shared" si="15"/>
        <v>99.4</v>
      </c>
      <c r="AW26" s="12">
        <f t="shared" si="16"/>
        <v>71</v>
      </c>
      <c r="AX26" s="12">
        <f t="shared" si="10"/>
        <v>38.800000000000004</v>
      </c>
      <c r="AY26" s="9"/>
      <c r="AZ26" s="12">
        <f t="shared" si="17"/>
        <v>93.899999999999991</v>
      </c>
      <c r="BA26" s="12">
        <f t="shared" si="13"/>
        <v>67.7</v>
      </c>
      <c r="BB26" s="12">
        <f t="shared" si="11"/>
        <v>90.100000000000009</v>
      </c>
      <c r="BC26" s="12">
        <f t="shared" si="11"/>
        <v>85.2</v>
      </c>
      <c r="BD26" s="12">
        <f t="shared" si="11"/>
        <v>80.800000000000011</v>
      </c>
      <c r="BE26" s="12">
        <f t="shared" si="11"/>
        <v>71</v>
      </c>
      <c r="BF26" s="12">
        <f t="shared" si="12"/>
        <v>65</v>
      </c>
      <c r="BG26" s="12">
        <f t="shared" si="12"/>
        <v>80.800000000000011</v>
      </c>
      <c r="BH26" s="12">
        <f t="shared" si="12"/>
        <v>89.600000000000009</v>
      </c>
      <c r="BI26" s="12">
        <f t="shared" si="12"/>
        <v>97.2</v>
      </c>
    </row>
    <row r="27" spans="1:61" ht="15.75" customHeight="1" x14ac:dyDescent="0.25">
      <c r="A27" s="1" t="s">
        <v>87</v>
      </c>
      <c r="B27" s="3" t="s">
        <v>84</v>
      </c>
      <c r="C27" s="4" t="s">
        <v>88</v>
      </c>
      <c r="D27" s="4">
        <v>42</v>
      </c>
      <c r="E27" s="4">
        <v>1194</v>
      </c>
      <c r="F27" s="4">
        <v>42</v>
      </c>
      <c r="G27" s="4">
        <v>1194</v>
      </c>
      <c r="H27" s="4">
        <v>20.6</v>
      </c>
      <c r="I27" s="4">
        <v>0.63200000000000001</v>
      </c>
      <c r="J27" s="4">
        <v>0.58699999999999997</v>
      </c>
      <c r="K27" s="4">
        <v>0.46100000000000002</v>
      </c>
      <c r="L27" s="4">
        <v>0.34300000000000003</v>
      </c>
      <c r="M27" s="4">
        <v>8.8000000000000007</v>
      </c>
      <c r="N27" s="4">
        <v>18.899999999999999</v>
      </c>
      <c r="O27" s="4">
        <v>15.2</v>
      </c>
      <c r="P27" s="4">
        <v>1.1000000000000001</v>
      </c>
      <c r="Q27" s="4">
        <v>3.5</v>
      </c>
      <c r="R27" s="4">
        <v>15.7</v>
      </c>
      <c r="S27" s="4">
        <v>21.6</v>
      </c>
      <c r="T27" s="4">
        <v>118</v>
      </c>
      <c r="U27" s="4">
        <v>106</v>
      </c>
      <c r="V27" s="4"/>
      <c r="W27" s="4">
        <v>3.3</v>
      </c>
      <c r="X27" s="4">
        <v>2.1</v>
      </c>
      <c r="Y27" s="4">
        <v>5.4</v>
      </c>
      <c r="Z27" s="4">
        <v>0.18099999999999999</v>
      </c>
      <c r="AA27" s="13">
        <f>(I27/TOTAL_BASIC!$D$301)*100</f>
        <v>112.57061103092974</v>
      </c>
      <c r="AB27" s="5">
        <f t="shared" si="3"/>
        <v>1.18</v>
      </c>
      <c r="AC27" s="3">
        <f t="shared" si="1"/>
        <v>12</v>
      </c>
      <c r="AD27" s="9">
        <f t="shared" si="4"/>
        <v>1.264</v>
      </c>
      <c r="AE27" s="16">
        <f t="shared" si="5"/>
        <v>0.70370370370370361</v>
      </c>
      <c r="AF27" s="16">
        <f t="shared" si="6"/>
        <v>0.96815286624203822</v>
      </c>
      <c r="AG27" s="9"/>
      <c r="AH27" s="9"/>
      <c r="AI27" s="12">
        <f t="shared" si="7"/>
        <v>83</v>
      </c>
      <c r="AJ27" s="12">
        <f t="shared" si="8"/>
        <v>86.8</v>
      </c>
      <c r="AK27" s="12">
        <f t="shared" si="8"/>
        <v>89</v>
      </c>
      <c r="AL27" s="12">
        <f t="shared" si="8"/>
        <v>92.800000000000011</v>
      </c>
      <c r="AM27" s="12">
        <f t="shared" si="8"/>
        <v>89.600000000000009</v>
      </c>
      <c r="AN27" s="12">
        <f t="shared" si="8"/>
        <v>61.199999999999996</v>
      </c>
      <c r="AO27" s="12">
        <f t="shared" si="14"/>
        <v>65.5</v>
      </c>
      <c r="AP27" s="12">
        <f t="shared" si="14"/>
        <v>84.6</v>
      </c>
      <c r="AQ27" s="12">
        <f t="shared" si="14"/>
        <v>95.6</v>
      </c>
      <c r="AR27" s="12">
        <f t="shared" si="14"/>
        <v>59.5</v>
      </c>
      <c r="AS27" s="12">
        <f t="shared" si="15"/>
        <v>14.7</v>
      </c>
      <c r="AT27" s="12">
        <f t="shared" si="15"/>
        <v>84.6</v>
      </c>
      <c r="AU27" s="12">
        <f t="shared" si="9"/>
        <v>41.6</v>
      </c>
      <c r="AV27" s="12">
        <f t="shared" si="15"/>
        <v>71</v>
      </c>
      <c r="AW27" s="12">
        <f t="shared" si="16"/>
        <v>81.899999999999991</v>
      </c>
      <c r="AX27" s="12">
        <f t="shared" si="10"/>
        <v>83.1</v>
      </c>
      <c r="AY27" s="9"/>
      <c r="AZ27" s="12">
        <f t="shared" si="17"/>
        <v>92.300000000000011</v>
      </c>
      <c r="BA27" s="12">
        <f t="shared" si="13"/>
        <v>90.100000000000009</v>
      </c>
      <c r="BB27" s="12">
        <f t="shared" si="11"/>
        <v>92.800000000000011</v>
      </c>
      <c r="BC27" s="12">
        <f t="shared" si="11"/>
        <v>89</v>
      </c>
      <c r="BD27" s="12">
        <f t="shared" si="11"/>
        <v>92.800000000000011</v>
      </c>
      <c r="BE27" s="12">
        <f t="shared" si="11"/>
        <v>81.899999999999991</v>
      </c>
      <c r="BF27" s="12">
        <f t="shared" si="12"/>
        <v>84.6</v>
      </c>
      <c r="BG27" s="12">
        <f t="shared" si="12"/>
        <v>92.800000000000011</v>
      </c>
      <c r="BH27" s="12">
        <f t="shared" si="12"/>
        <v>48.6</v>
      </c>
      <c r="BI27" s="12">
        <f t="shared" si="12"/>
        <v>46.400000000000006</v>
      </c>
    </row>
    <row r="28" spans="1:61" ht="15.75" customHeight="1" x14ac:dyDescent="0.25">
      <c r="A28" s="1" t="s">
        <v>90</v>
      </c>
      <c r="B28" s="3" t="s">
        <v>91</v>
      </c>
      <c r="C28" s="4" t="s">
        <v>8</v>
      </c>
      <c r="D28" s="4">
        <v>42</v>
      </c>
      <c r="E28" s="4">
        <v>1193</v>
      </c>
      <c r="F28" s="4">
        <v>42</v>
      </c>
      <c r="G28" s="4">
        <v>1193</v>
      </c>
      <c r="H28" s="4">
        <v>20.399999999999999</v>
      </c>
      <c r="I28" s="4">
        <v>0.56100000000000005</v>
      </c>
      <c r="J28" s="4">
        <v>0.499</v>
      </c>
      <c r="K28" s="4">
        <v>0.42399999999999999</v>
      </c>
      <c r="L28" s="4">
        <v>0.375</v>
      </c>
      <c r="M28" s="4">
        <v>4.7</v>
      </c>
      <c r="N28" s="4">
        <v>7.7</v>
      </c>
      <c r="O28" s="4">
        <v>34.299999999999997</v>
      </c>
      <c r="P28" s="4">
        <v>3</v>
      </c>
      <c r="Q28" s="4">
        <v>1.6</v>
      </c>
      <c r="R28" s="4">
        <v>11.7</v>
      </c>
      <c r="S28" s="4">
        <v>19.8</v>
      </c>
      <c r="T28" s="4">
        <v>124</v>
      </c>
      <c r="U28" s="4">
        <v>101</v>
      </c>
      <c r="V28" s="4"/>
      <c r="W28" s="4">
        <v>4.2</v>
      </c>
      <c r="X28" s="4">
        <v>3</v>
      </c>
      <c r="Y28" s="4">
        <v>7.1</v>
      </c>
      <c r="Z28" s="4">
        <v>0.23899999999999999</v>
      </c>
      <c r="AA28" s="13">
        <f>(I28/TOTAL_BASIC!$D$301)*100</f>
        <v>99.924229095493018</v>
      </c>
      <c r="AB28" s="5">
        <f t="shared" si="3"/>
        <v>1.24</v>
      </c>
      <c r="AC28" s="3">
        <f t="shared" si="1"/>
        <v>23</v>
      </c>
      <c r="AD28" s="9">
        <f t="shared" si="4"/>
        <v>1.1220000000000001</v>
      </c>
      <c r="AE28" s="16">
        <f t="shared" si="5"/>
        <v>1.732323232323232</v>
      </c>
      <c r="AF28" s="16">
        <f t="shared" si="6"/>
        <v>2.9316239316239314</v>
      </c>
      <c r="AG28" s="9"/>
      <c r="AH28" s="9"/>
      <c r="AI28" s="12">
        <f t="shared" si="7"/>
        <v>83</v>
      </c>
      <c r="AJ28" s="12">
        <f t="shared" si="8"/>
        <v>86.3</v>
      </c>
      <c r="AK28" s="12">
        <f t="shared" si="8"/>
        <v>87.9</v>
      </c>
      <c r="AL28" s="12">
        <f t="shared" si="8"/>
        <v>55.7</v>
      </c>
      <c r="AM28" s="12">
        <f t="shared" si="8"/>
        <v>43.7</v>
      </c>
      <c r="AN28" s="12">
        <f t="shared" si="8"/>
        <v>55.1</v>
      </c>
      <c r="AO28" s="12">
        <f t="shared" si="14"/>
        <v>72.099999999999994</v>
      </c>
      <c r="AP28" s="12">
        <f t="shared" si="14"/>
        <v>53.5</v>
      </c>
      <c r="AQ28" s="12">
        <f t="shared" si="14"/>
        <v>40.9</v>
      </c>
      <c r="AR28" s="12">
        <f t="shared" si="14"/>
        <v>96.1</v>
      </c>
      <c r="AS28" s="12">
        <f t="shared" si="15"/>
        <v>95</v>
      </c>
      <c r="AT28" s="12">
        <f t="shared" si="15"/>
        <v>60.099999999999994</v>
      </c>
      <c r="AU28" s="12">
        <f t="shared" si="9"/>
        <v>76</v>
      </c>
      <c r="AV28" s="12">
        <f t="shared" si="15"/>
        <v>60.099999999999994</v>
      </c>
      <c r="AW28" s="12">
        <f t="shared" si="16"/>
        <v>92.800000000000011</v>
      </c>
      <c r="AX28" s="12">
        <f t="shared" si="10"/>
        <v>97.3</v>
      </c>
      <c r="AY28" s="9"/>
      <c r="AZ28" s="12">
        <f t="shared" si="17"/>
        <v>96.1</v>
      </c>
      <c r="BA28" s="12">
        <f t="shared" si="13"/>
        <v>97.8</v>
      </c>
      <c r="BB28" s="12">
        <f t="shared" si="11"/>
        <v>98.3</v>
      </c>
      <c r="BC28" s="12">
        <f t="shared" si="11"/>
        <v>99.4</v>
      </c>
      <c r="BD28" s="12">
        <f t="shared" si="11"/>
        <v>55.7</v>
      </c>
      <c r="BE28" s="12">
        <f t="shared" si="11"/>
        <v>92.800000000000011</v>
      </c>
      <c r="BF28" s="12">
        <f t="shared" si="12"/>
        <v>99.4</v>
      </c>
      <c r="BG28" s="12">
        <f t="shared" si="12"/>
        <v>55.7</v>
      </c>
      <c r="BH28" s="12">
        <f t="shared" si="12"/>
        <v>97.2</v>
      </c>
      <c r="BI28" s="12">
        <f t="shared" si="12"/>
        <v>100</v>
      </c>
    </row>
    <row r="29" spans="1:61" ht="15.75" customHeight="1" x14ac:dyDescent="0.25">
      <c r="A29" s="1" t="s">
        <v>168</v>
      </c>
      <c r="B29" s="4" t="s">
        <v>137</v>
      </c>
      <c r="C29" s="4" t="s">
        <v>94</v>
      </c>
      <c r="D29" s="4">
        <v>41</v>
      </c>
      <c r="E29" s="4">
        <v>1178</v>
      </c>
      <c r="F29" s="4">
        <v>41</v>
      </c>
      <c r="G29" s="4">
        <v>1178</v>
      </c>
      <c r="H29" s="4">
        <v>14.2</v>
      </c>
      <c r="I29" s="4">
        <v>0.58499999999999996</v>
      </c>
      <c r="J29" s="4">
        <v>0.53500000000000003</v>
      </c>
      <c r="K29" s="4">
        <v>0.38600000000000001</v>
      </c>
      <c r="L29" s="4">
        <v>0.34100000000000003</v>
      </c>
      <c r="M29" s="4">
        <v>2.2999999999999998</v>
      </c>
      <c r="N29" s="4">
        <v>4.9000000000000004</v>
      </c>
      <c r="O29" s="4">
        <v>14.7</v>
      </c>
      <c r="P29" s="4">
        <v>1.4</v>
      </c>
      <c r="Q29" s="4">
        <v>1.9</v>
      </c>
      <c r="R29" s="4">
        <v>16.2</v>
      </c>
      <c r="S29" s="4">
        <v>22.8</v>
      </c>
      <c r="T29" s="4">
        <v>105</v>
      </c>
      <c r="U29" s="4">
        <v>116</v>
      </c>
      <c r="V29" s="4"/>
      <c r="W29" s="4">
        <v>0.8</v>
      </c>
      <c r="X29" s="4">
        <v>0.4</v>
      </c>
      <c r="Y29" s="4">
        <v>1.2</v>
      </c>
      <c r="Z29" s="4">
        <v>0.04</v>
      </c>
      <c r="AA29" s="13">
        <f>(I29/TOTAL_BASIC!$D$301)*100</f>
        <v>104.19906242578145</v>
      </c>
      <c r="AB29" s="5">
        <f t="shared" si="3"/>
        <v>1.05</v>
      </c>
      <c r="AC29" s="3">
        <f t="shared" si="1"/>
        <v>-11</v>
      </c>
      <c r="AD29" s="9">
        <f t="shared" si="4"/>
        <v>1.17</v>
      </c>
      <c r="AE29" s="16">
        <f t="shared" si="5"/>
        <v>0.64473684210526305</v>
      </c>
      <c r="AF29" s="16">
        <f t="shared" si="6"/>
        <v>0.90740740740740744</v>
      </c>
      <c r="AG29" s="9"/>
      <c r="AH29" s="9"/>
      <c r="AI29" s="12">
        <f t="shared" si="7"/>
        <v>69.3</v>
      </c>
      <c r="AJ29" s="12">
        <f t="shared" si="8"/>
        <v>85.7</v>
      </c>
      <c r="AK29" s="12">
        <f t="shared" si="8"/>
        <v>56.2</v>
      </c>
      <c r="AL29" s="12">
        <f t="shared" si="8"/>
        <v>68.300000000000011</v>
      </c>
      <c r="AM29" s="12">
        <f t="shared" si="8"/>
        <v>65</v>
      </c>
      <c r="AN29" s="12">
        <f t="shared" si="8"/>
        <v>44.2</v>
      </c>
      <c r="AO29" s="12">
        <f t="shared" si="14"/>
        <v>65</v>
      </c>
      <c r="AP29" s="12">
        <f t="shared" si="14"/>
        <v>22.900000000000002</v>
      </c>
      <c r="AQ29" s="12">
        <f t="shared" si="14"/>
        <v>10.9</v>
      </c>
      <c r="AR29" s="12">
        <f t="shared" si="14"/>
        <v>56.8</v>
      </c>
      <c r="AS29" s="12">
        <f t="shared" si="15"/>
        <v>27.800000000000004</v>
      </c>
      <c r="AT29" s="12">
        <f t="shared" si="15"/>
        <v>63.9</v>
      </c>
      <c r="AU29" s="12">
        <f t="shared" si="9"/>
        <v>38.800000000000004</v>
      </c>
      <c r="AV29" s="12">
        <f t="shared" si="15"/>
        <v>74.8</v>
      </c>
      <c r="AW29" s="12">
        <f t="shared" si="16"/>
        <v>39.800000000000004</v>
      </c>
      <c r="AX29" s="12">
        <f t="shared" si="10"/>
        <v>14.299999999999997</v>
      </c>
      <c r="AY29" s="9"/>
      <c r="AZ29" s="12">
        <f t="shared" si="17"/>
        <v>63.9</v>
      </c>
      <c r="BA29" s="12">
        <f t="shared" si="13"/>
        <v>34.4</v>
      </c>
      <c r="BB29" s="12">
        <f t="shared" si="11"/>
        <v>56.8</v>
      </c>
      <c r="BC29" s="12">
        <f t="shared" si="11"/>
        <v>30</v>
      </c>
      <c r="BD29" s="12">
        <f t="shared" si="11"/>
        <v>68.300000000000011</v>
      </c>
      <c r="BE29" s="12">
        <f t="shared" si="11"/>
        <v>39.800000000000004</v>
      </c>
      <c r="BF29" s="12">
        <f t="shared" si="12"/>
        <v>26.700000000000003</v>
      </c>
      <c r="BG29" s="12">
        <f t="shared" si="12"/>
        <v>68.300000000000011</v>
      </c>
      <c r="BH29" s="12">
        <f t="shared" si="12"/>
        <v>39.300000000000004</v>
      </c>
      <c r="BI29" s="12">
        <f t="shared" si="12"/>
        <v>42.6</v>
      </c>
    </row>
    <row r="30" spans="1:61" ht="15.75" customHeight="1" x14ac:dyDescent="0.25">
      <c r="A30" s="1" t="s">
        <v>169</v>
      </c>
      <c r="B30" s="4" t="s">
        <v>137</v>
      </c>
      <c r="C30" s="4" t="s">
        <v>85</v>
      </c>
      <c r="D30" s="4">
        <v>41</v>
      </c>
      <c r="E30" s="4">
        <v>1174</v>
      </c>
      <c r="F30" s="4">
        <v>41</v>
      </c>
      <c r="G30" s="4">
        <v>1174</v>
      </c>
      <c r="H30" s="4">
        <v>19.2</v>
      </c>
      <c r="I30" s="4">
        <v>0.59799999999999998</v>
      </c>
      <c r="J30" s="4">
        <v>0.56299999999999994</v>
      </c>
      <c r="K30" s="4">
        <v>9.1999999999999998E-2</v>
      </c>
      <c r="L30" s="4">
        <v>0.45</v>
      </c>
      <c r="M30" s="4">
        <v>8</v>
      </c>
      <c r="N30" s="4">
        <v>14.7</v>
      </c>
      <c r="O30" s="4">
        <v>14.2</v>
      </c>
      <c r="P30" s="4">
        <v>2.5</v>
      </c>
      <c r="Q30" s="4">
        <v>1.3</v>
      </c>
      <c r="R30" s="4">
        <v>13.5</v>
      </c>
      <c r="S30" s="4">
        <v>21.4</v>
      </c>
      <c r="T30" s="4">
        <v>114</v>
      </c>
      <c r="U30" s="4">
        <v>109</v>
      </c>
      <c r="V30" s="4"/>
      <c r="W30" s="4">
        <v>2.4</v>
      </c>
      <c r="X30" s="4">
        <v>1.4</v>
      </c>
      <c r="Y30" s="4">
        <v>3.8</v>
      </c>
      <c r="Z30" s="4">
        <v>0.13</v>
      </c>
      <c r="AA30" s="13">
        <f>(I30/TOTAL_BASIC!$D$301)*100</f>
        <v>106.51459714635439</v>
      </c>
      <c r="AB30" s="5">
        <f t="shared" si="3"/>
        <v>1.1399999999999999</v>
      </c>
      <c r="AC30" s="3">
        <f t="shared" si="1"/>
        <v>5</v>
      </c>
      <c r="AD30" s="9">
        <f t="shared" si="4"/>
        <v>1.196</v>
      </c>
      <c r="AE30" s="16">
        <f t="shared" si="5"/>
        <v>0.66355140186915884</v>
      </c>
      <c r="AF30" s="16">
        <f t="shared" si="6"/>
        <v>1.0518518518518518</v>
      </c>
      <c r="AG30" s="9"/>
      <c r="AH30" s="9"/>
      <c r="AI30" s="12">
        <f t="shared" si="7"/>
        <v>69.3</v>
      </c>
      <c r="AJ30" s="12">
        <f t="shared" si="8"/>
        <v>85.2</v>
      </c>
      <c r="AK30" s="12">
        <f t="shared" si="8"/>
        <v>81.399999999999991</v>
      </c>
      <c r="AL30" s="12">
        <f t="shared" si="8"/>
        <v>73.2</v>
      </c>
      <c r="AM30" s="12">
        <f t="shared" si="8"/>
        <v>80.300000000000011</v>
      </c>
      <c r="AN30" s="12">
        <f t="shared" si="8"/>
        <v>9.1999999999999993</v>
      </c>
      <c r="AO30" s="12">
        <f t="shared" si="14"/>
        <v>85.7</v>
      </c>
      <c r="AP30" s="12">
        <f t="shared" si="14"/>
        <v>78.600000000000009</v>
      </c>
      <c r="AQ30" s="12">
        <f t="shared" si="14"/>
        <v>82.5</v>
      </c>
      <c r="AR30" s="12">
        <f t="shared" si="14"/>
        <v>51.9</v>
      </c>
      <c r="AS30" s="12">
        <f t="shared" si="15"/>
        <v>84.1</v>
      </c>
      <c r="AT30" s="12">
        <f t="shared" si="15"/>
        <v>50.8</v>
      </c>
      <c r="AU30" s="12">
        <f t="shared" si="9"/>
        <v>62.9</v>
      </c>
      <c r="AV30" s="12">
        <f t="shared" si="15"/>
        <v>68.300000000000011</v>
      </c>
      <c r="AW30" s="12">
        <f t="shared" si="16"/>
        <v>71</v>
      </c>
      <c r="AX30" s="12">
        <f t="shared" si="10"/>
        <v>66.199999999999989</v>
      </c>
      <c r="AY30" s="9"/>
      <c r="AZ30" s="12">
        <f t="shared" si="17"/>
        <v>85.7</v>
      </c>
      <c r="BA30" s="12">
        <f t="shared" si="13"/>
        <v>78.100000000000009</v>
      </c>
      <c r="BB30" s="12">
        <f t="shared" si="11"/>
        <v>86.3</v>
      </c>
      <c r="BC30" s="12">
        <f t="shared" si="11"/>
        <v>75.400000000000006</v>
      </c>
      <c r="BD30" s="12">
        <f t="shared" si="11"/>
        <v>73.2</v>
      </c>
      <c r="BE30" s="12">
        <f t="shared" si="11"/>
        <v>71</v>
      </c>
      <c r="BF30" s="12">
        <f t="shared" si="12"/>
        <v>70.399999999999991</v>
      </c>
      <c r="BG30" s="12">
        <f t="shared" si="12"/>
        <v>73.2</v>
      </c>
      <c r="BH30" s="12">
        <f t="shared" si="12"/>
        <v>42.6</v>
      </c>
      <c r="BI30" s="12">
        <f t="shared" si="12"/>
        <v>56.2</v>
      </c>
    </row>
    <row r="31" spans="1:61" ht="15.75" customHeight="1" x14ac:dyDescent="0.25">
      <c r="A31" s="1" t="s">
        <v>113</v>
      </c>
      <c r="B31" s="3" t="s">
        <v>114</v>
      </c>
      <c r="C31" s="4" t="s">
        <v>8</v>
      </c>
      <c r="D31" s="4">
        <v>41</v>
      </c>
      <c r="E31" s="4">
        <v>1169</v>
      </c>
      <c r="F31" s="4">
        <v>41</v>
      </c>
      <c r="G31" s="4">
        <v>1169</v>
      </c>
      <c r="H31" s="4">
        <v>14.4</v>
      </c>
      <c r="I31" s="4">
        <v>0.50600000000000001</v>
      </c>
      <c r="J31" s="4">
        <v>0.45700000000000002</v>
      </c>
      <c r="K31" s="4">
        <v>0.372</v>
      </c>
      <c r="L31" s="4">
        <v>0.28000000000000003</v>
      </c>
      <c r="M31" s="4">
        <v>4.5</v>
      </c>
      <c r="N31" s="4">
        <v>9.6</v>
      </c>
      <c r="O31" s="4">
        <v>18.5</v>
      </c>
      <c r="P31" s="4">
        <v>2.4</v>
      </c>
      <c r="Q31" s="4">
        <v>2.2999999999999998</v>
      </c>
      <c r="R31" s="4">
        <v>14.9</v>
      </c>
      <c r="S31" s="4">
        <v>26.2</v>
      </c>
      <c r="T31" s="4">
        <v>97</v>
      </c>
      <c r="U31" s="4">
        <v>109</v>
      </c>
      <c r="V31" s="4"/>
      <c r="W31" s="4">
        <v>-0.7</v>
      </c>
      <c r="X31" s="4">
        <v>1.4</v>
      </c>
      <c r="Y31" s="4">
        <v>0.7</v>
      </c>
      <c r="Z31" s="4">
        <v>2.5000000000000001E-2</v>
      </c>
      <c r="AA31" s="13">
        <f>(I31/TOTAL_BASIC!$D$301)*100</f>
        <v>90.127736046915246</v>
      </c>
      <c r="AB31" s="5">
        <f t="shared" si="3"/>
        <v>0.97</v>
      </c>
      <c r="AC31" s="3">
        <f t="shared" si="1"/>
        <v>-12</v>
      </c>
      <c r="AD31" s="9">
        <f t="shared" si="4"/>
        <v>1.012</v>
      </c>
      <c r="AE31" s="16">
        <f t="shared" si="5"/>
        <v>0.70610687022900764</v>
      </c>
      <c r="AF31" s="16">
        <f t="shared" si="6"/>
        <v>1.2416107382550334</v>
      </c>
      <c r="AG31" s="9"/>
      <c r="AH31" s="9"/>
      <c r="AI31" s="12">
        <f t="shared" si="7"/>
        <v>69.3</v>
      </c>
      <c r="AJ31" s="12">
        <f t="shared" si="8"/>
        <v>84.6</v>
      </c>
      <c r="AK31" s="12">
        <f t="shared" si="8"/>
        <v>57.3</v>
      </c>
      <c r="AL31" s="12">
        <f t="shared" si="8"/>
        <v>23.400000000000002</v>
      </c>
      <c r="AM31" s="12">
        <f t="shared" si="8"/>
        <v>21.3</v>
      </c>
      <c r="AN31" s="12">
        <f t="shared" si="8"/>
        <v>42</v>
      </c>
      <c r="AO31" s="12">
        <f t="shared" si="14"/>
        <v>50.2</v>
      </c>
      <c r="AP31" s="12">
        <f t="shared" si="14"/>
        <v>51.300000000000004</v>
      </c>
      <c r="AQ31" s="12">
        <f t="shared" si="14"/>
        <v>55.1</v>
      </c>
      <c r="AR31" s="12">
        <f t="shared" si="14"/>
        <v>71.5</v>
      </c>
      <c r="AS31" s="12">
        <f t="shared" si="15"/>
        <v>79.7</v>
      </c>
      <c r="AT31" s="12">
        <f t="shared" si="15"/>
        <v>69.899999999999991</v>
      </c>
      <c r="AU31" s="12">
        <f t="shared" si="9"/>
        <v>48.699999999999996</v>
      </c>
      <c r="AV31" s="12">
        <f t="shared" si="15"/>
        <v>87.9</v>
      </c>
      <c r="AW31" s="12">
        <f t="shared" si="16"/>
        <v>16.3</v>
      </c>
      <c r="AX31" s="12">
        <f t="shared" si="10"/>
        <v>66.199999999999989</v>
      </c>
      <c r="AY31" s="9"/>
      <c r="AZ31" s="12">
        <f t="shared" si="17"/>
        <v>3.2</v>
      </c>
      <c r="BA31" s="12">
        <f t="shared" si="13"/>
        <v>78.100000000000009</v>
      </c>
      <c r="BB31" s="12">
        <f t="shared" si="11"/>
        <v>37.1</v>
      </c>
      <c r="BC31" s="12">
        <f t="shared" si="11"/>
        <v>19.600000000000001</v>
      </c>
      <c r="BD31" s="12">
        <f t="shared" si="11"/>
        <v>23.400000000000002</v>
      </c>
      <c r="BE31" s="12">
        <f t="shared" si="11"/>
        <v>16.3</v>
      </c>
      <c r="BF31" s="12">
        <f t="shared" si="12"/>
        <v>22.400000000000002</v>
      </c>
      <c r="BG31" s="12">
        <f t="shared" si="12"/>
        <v>23.400000000000002</v>
      </c>
      <c r="BH31" s="12">
        <f t="shared" si="12"/>
        <v>49.1</v>
      </c>
      <c r="BI31" s="12">
        <f t="shared" si="12"/>
        <v>69.3</v>
      </c>
    </row>
    <row r="32" spans="1:61" ht="15.75" customHeight="1" x14ac:dyDescent="0.25">
      <c r="A32" s="1" t="s">
        <v>138</v>
      </c>
      <c r="B32" s="3" t="s">
        <v>114</v>
      </c>
      <c r="C32" s="4" t="s">
        <v>8</v>
      </c>
      <c r="D32" s="4">
        <v>39</v>
      </c>
      <c r="E32" s="4">
        <v>1166</v>
      </c>
      <c r="F32" s="4">
        <v>39</v>
      </c>
      <c r="G32" s="4">
        <v>1166</v>
      </c>
      <c r="H32" s="4">
        <v>15.3</v>
      </c>
      <c r="I32" s="4">
        <v>0.55300000000000005</v>
      </c>
      <c r="J32" s="4">
        <v>0.50800000000000001</v>
      </c>
      <c r="K32" s="4">
        <v>0.45600000000000002</v>
      </c>
      <c r="L32" s="4">
        <v>0.23499999999999999</v>
      </c>
      <c r="M32" s="4">
        <v>1</v>
      </c>
      <c r="N32" s="4">
        <v>4.8</v>
      </c>
      <c r="O32" s="4">
        <v>28.5</v>
      </c>
      <c r="P32" s="4">
        <v>1.7</v>
      </c>
      <c r="Q32" s="4">
        <v>0.4</v>
      </c>
      <c r="R32" s="4">
        <v>14.5</v>
      </c>
      <c r="S32" s="4">
        <v>22.8</v>
      </c>
      <c r="T32" s="4">
        <v>107</v>
      </c>
      <c r="U32" s="4">
        <v>114</v>
      </c>
      <c r="V32" s="4"/>
      <c r="W32" s="4">
        <v>1.3</v>
      </c>
      <c r="X32" s="4">
        <v>0.7</v>
      </c>
      <c r="Y32" s="4">
        <v>2</v>
      </c>
      <c r="Z32" s="4">
        <v>6.7000000000000004E-2</v>
      </c>
      <c r="AA32" s="13">
        <f>(I32/TOTAL_BASIC!$D$301)*100</f>
        <v>98.499284652063508</v>
      </c>
      <c r="AB32" s="5">
        <f t="shared" si="3"/>
        <v>1.07</v>
      </c>
      <c r="AC32" s="3">
        <f t="shared" si="1"/>
        <v>-7</v>
      </c>
      <c r="AD32" s="9">
        <f t="shared" si="4"/>
        <v>1.1060000000000001</v>
      </c>
      <c r="AE32" s="16">
        <f t="shared" si="5"/>
        <v>1.25</v>
      </c>
      <c r="AF32" s="16">
        <f t="shared" si="6"/>
        <v>1.9655172413793103</v>
      </c>
      <c r="AG32" s="9"/>
      <c r="AH32" s="9"/>
      <c r="AI32" s="12">
        <f t="shared" si="7"/>
        <v>60.6</v>
      </c>
      <c r="AJ32" s="12">
        <f t="shared" si="8"/>
        <v>84.1</v>
      </c>
      <c r="AK32" s="12">
        <f t="shared" si="8"/>
        <v>63.9</v>
      </c>
      <c r="AL32" s="12">
        <f t="shared" si="8"/>
        <v>46.400000000000006</v>
      </c>
      <c r="AM32" s="12">
        <f t="shared" si="8"/>
        <v>49.1</v>
      </c>
      <c r="AN32" s="12">
        <f t="shared" si="8"/>
        <v>60.099999999999994</v>
      </c>
      <c r="AO32" s="12">
        <f t="shared" si="14"/>
        <v>37.1</v>
      </c>
      <c r="AP32" s="12">
        <f t="shared" si="14"/>
        <v>4.3</v>
      </c>
      <c r="AQ32" s="12">
        <f t="shared" si="14"/>
        <v>9.8000000000000007</v>
      </c>
      <c r="AR32" s="12">
        <f t="shared" si="14"/>
        <v>90.100000000000009</v>
      </c>
      <c r="AS32" s="12">
        <f t="shared" si="15"/>
        <v>43.7</v>
      </c>
      <c r="AT32" s="12">
        <f t="shared" si="15"/>
        <v>14.2</v>
      </c>
      <c r="AU32" s="12">
        <f t="shared" si="9"/>
        <v>53.599999999999994</v>
      </c>
      <c r="AV32" s="12">
        <f t="shared" si="15"/>
        <v>74.8</v>
      </c>
      <c r="AW32" s="12">
        <f t="shared" si="16"/>
        <v>50.8</v>
      </c>
      <c r="AX32" s="12">
        <f t="shared" si="10"/>
        <v>25.700000000000003</v>
      </c>
      <c r="AY32" s="9"/>
      <c r="AZ32" s="12">
        <f t="shared" si="17"/>
        <v>73.2</v>
      </c>
      <c r="BA32" s="12">
        <f t="shared" si="13"/>
        <v>53.5</v>
      </c>
      <c r="BB32" s="12">
        <f t="shared" si="11"/>
        <v>69.3</v>
      </c>
      <c r="BC32" s="12">
        <f t="shared" si="11"/>
        <v>44.2</v>
      </c>
      <c r="BD32" s="12">
        <f t="shared" si="11"/>
        <v>46.400000000000006</v>
      </c>
      <c r="BE32" s="12">
        <f t="shared" si="11"/>
        <v>50.8</v>
      </c>
      <c r="BF32" s="12">
        <f t="shared" si="12"/>
        <v>38.200000000000003</v>
      </c>
      <c r="BG32" s="12">
        <f t="shared" si="12"/>
        <v>46.400000000000006</v>
      </c>
      <c r="BH32" s="12">
        <f t="shared" si="12"/>
        <v>85.7</v>
      </c>
      <c r="BI32" s="12">
        <f t="shared" si="12"/>
        <v>94.5</v>
      </c>
    </row>
    <row r="33" spans="1:61" ht="15.75" customHeight="1" x14ac:dyDescent="0.25">
      <c r="A33" s="1" t="s">
        <v>224</v>
      </c>
      <c r="B33" s="3" t="s">
        <v>131</v>
      </c>
      <c r="C33" s="4" t="s">
        <v>8</v>
      </c>
      <c r="D33" s="4">
        <v>40</v>
      </c>
      <c r="E33" s="4">
        <v>1127</v>
      </c>
      <c r="F33" s="4">
        <v>40</v>
      </c>
      <c r="G33" s="4">
        <v>1127</v>
      </c>
      <c r="H33" s="4">
        <v>14.7</v>
      </c>
      <c r="I33" s="4">
        <v>0.622</v>
      </c>
      <c r="J33" s="4">
        <v>0.56399999999999995</v>
      </c>
      <c r="K33" s="4">
        <v>0.41199999999999998</v>
      </c>
      <c r="L33" s="4">
        <v>0.38200000000000001</v>
      </c>
      <c r="M33" s="4">
        <v>1.1000000000000001</v>
      </c>
      <c r="N33" s="4">
        <v>6.9</v>
      </c>
      <c r="O33" s="4">
        <v>27.1</v>
      </c>
      <c r="P33" s="4">
        <v>1.8</v>
      </c>
      <c r="Q33" s="4">
        <v>1</v>
      </c>
      <c r="R33" s="4">
        <v>19.399999999999999</v>
      </c>
      <c r="S33" s="4">
        <v>17.100000000000001</v>
      </c>
      <c r="T33" s="4">
        <v>113</v>
      </c>
      <c r="U33" s="4">
        <v>111</v>
      </c>
      <c r="V33" s="4"/>
      <c r="W33" s="4">
        <v>1.8</v>
      </c>
      <c r="X33" s="4">
        <v>1.1000000000000001</v>
      </c>
      <c r="Y33" s="4">
        <v>2.9</v>
      </c>
      <c r="Z33" s="4">
        <v>0.10199999999999999</v>
      </c>
      <c r="AA33" s="13">
        <f>(I33/TOTAL_BASIC!$D$301)*100</f>
        <v>110.78943047664286</v>
      </c>
      <c r="AB33" s="5">
        <f t="shared" si="3"/>
        <v>1.1299999999999999</v>
      </c>
      <c r="AC33" s="3">
        <f t="shared" si="1"/>
        <v>2</v>
      </c>
      <c r="AD33" s="9">
        <f t="shared" si="4"/>
        <v>1.244</v>
      </c>
      <c r="AE33" s="16">
        <f t="shared" si="5"/>
        <v>1.5847953216374269</v>
      </c>
      <c r="AF33" s="16">
        <f t="shared" si="6"/>
        <v>1.3969072164948455</v>
      </c>
      <c r="AG33" s="9"/>
      <c r="AH33" s="9"/>
      <c r="AI33" s="12">
        <f t="shared" si="7"/>
        <v>63.9</v>
      </c>
      <c r="AJ33" s="12">
        <f t="shared" si="8"/>
        <v>83.6</v>
      </c>
      <c r="AK33" s="12">
        <f t="shared" si="8"/>
        <v>60.099999999999994</v>
      </c>
      <c r="AL33" s="12">
        <f t="shared" si="8"/>
        <v>87.9</v>
      </c>
      <c r="AM33" s="12">
        <f t="shared" si="8"/>
        <v>80.800000000000011</v>
      </c>
      <c r="AN33" s="12">
        <f t="shared" si="8"/>
        <v>50.8</v>
      </c>
      <c r="AO33" s="12">
        <f t="shared" si="14"/>
        <v>73.7</v>
      </c>
      <c r="AP33" s="12">
        <f t="shared" si="14"/>
        <v>7.1</v>
      </c>
      <c r="AQ33" s="12">
        <f t="shared" si="14"/>
        <v>32.700000000000003</v>
      </c>
      <c r="AR33" s="12">
        <f t="shared" si="14"/>
        <v>88.5</v>
      </c>
      <c r="AS33" s="12">
        <f t="shared" si="15"/>
        <v>49.7</v>
      </c>
      <c r="AT33" s="12">
        <f t="shared" si="15"/>
        <v>40.9</v>
      </c>
      <c r="AU33" s="12">
        <f t="shared" si="9"/>
        <v>16.400000000000006</v>
      </c>
      <c r="AV33" s="12">
        <f t="shared" si="15"/>
        <v>34.9</v>
      </c>
      <c r="AW33" s="12">
        <f t="shared" si="16"/>
        <v>69.899999999999991</v>
      </c>
      <c r="AX33" s="12">
        <f t="shared" si="10"/>
        <v>47</v>
      </c>
      <c r="AY33" s="9"/>
      <c r="AZ33" s="12">
        <f t="shared" si="17"/>
        <v>80.300000000000011</v>
      </c>
      <c r="BA33" s="12">
        <f t="shared" si="13"/>
        <v>72.099999999999994</v>
      </c>
      <c r="BB33" s="12">
        <f t="shared" si="11"/>
        <v>78.100000000000009</v>
      </c>
      <c r="BC33" s="12">
        <f t="shared" si="11"/>
        <v>65</v>
      </c>
      <c r="BD33" s="12">
        <f t="shared" si="11"/>
        <v>87.9</v>
      </c>
      <c r="BE33" s="12">
        <f t="shared" si="11"/>
        <v>69.899999999999991</v>
      </c>
      <c r="BF33" s="12">
        <f t="shared" si="12"/>
        <v>65</v>
      </c>
      <c r="BG33" s="12">
        <f t="shared" si="12"/>
        <v>87.9</v>
      </c>
      <c r="BH33" s="12">
        <f t="shared" si="12"/>
        <v>94.5</v>
      </c>
      <c r="BI33" s="12">
        <f t="shared" si="12"/>
        <v>75.400000000000006</v>
      </c>
    </row>
    <row r="34" spans="1:61" ht="15.75" customHeight="1" x14ac:dyDescent="0.25">
      <c r="A34" s="1" t="s">
        <v>173</v>
      </c>
      <c r="B34" s="3" t="s">
        <v>140</v>
      </c>
      <c r="C34" s="4" t="s">
        <v>85</v>
      </c>
      <c r="D34" s="4">
        <v>39</v>
      </c>
      <c r="E34" s="4">
        <v>1104</v>
      </c>
      <c r="F34" s="4">
        <v>39</v>
      </c>
      <c r="G34" s="4">
        <v>1104</v>
      </c>
      <c r="H34" s="4">
        <v>20.399999999999999</v>
      </c>
      <c r="I34" s="4">
        <v>0.56599999999999995</v>
      </c>
      <c r="J34" s="4">
        <v>0.53400000000000003</v>
      </c>
      <c r="K34" s="4">
        <v>9.5000000000000001E-2</v>
      </c>
      <c r="L34" s="4">
        <v>0.41799999999999998</v>
      </c>
      <c r="M34" s="4">
        <v>13.8</v>
      </c>
      <c r="N34" s="4">
        <v>20.399999999999999</v>
      </c>
      <c r="O34" s="4">
        <v>10.5</v>
      </c>
      <c r="P34" s="4">
        <v>1.3</v>
      </c>
      <c r="Q34" s="4">
        <v>1.4</v>
      </c>
      <c r="R34" s="4">
        <v>11.1</v>
      </c>
      <c r="S34" s="4">
        <v>24.4</v>
      </c>
      <c r="T34" s="4">
        <v>114</v>
      </c>
      <c r="U34" s="4">
        <v>103</v>
      </c>
      <c r="V34" s="4"/>
      <c r="W34" s="4">
        <v>2.5</v>
      </c>
      <c r="X34" s="4">
        <v>2.4</v>
      </c>
      <c r="Y34" s="4">
        <v>4.9000000000000004</v>
      </c>
      <c r="Z34" s="4">
        <v>0.17699999999999999</v>
      </c>
      <c r="AA34" s="13">
        <f>(I34/TOTAL_BASIC!$D$301)*100</f>
        <v>100.81481937263641</v>
      </c>
      <c r="AB34" s="5">
        <f t="shared" si="3"/>
        <v>1.1399999999999999</v>
      </c>
      <c r="AC34" s="3">
        <f t="shared" si="1"/>
        <v>11</v>
      </c>
      <c r="AD34" s="9">
        <f t="shared" si="4"/>
        <v>1.1319999999999999</v>
      </c>
      <c r="AE34" s="16">
        <f t="shared" si="5"/>
        <v>0.43032786885245905</v>
      </c>
      <c r="AF34" s="16">
        <f t="shared" si="6"/>
        <v>0.94594594594594594</v>
      </c>
      <c r="AG34" s="9"/>
      <c r="AH34" s="9"/>
      <c r="AI34" s="12">
        <f t="shared" si="7"/>
        <v>60.6</v>
      </c>
      <c r="AJ34" s="12">
        <f t="shared" si="8"/>
        <v>83</v>
      </c>
      <c r="AK34" s="12">
        <f t="shared" si="8"/>
        <v>87.9</v>
      </c>
      <c r="AL34" s="12">
        <f t="shared" si="8"/>
        <v>59.5</v>
      </c>
      <c r="AM34" s="12">
        <f t="shared" si="8"/>
        <v>63.9</v>
      </c>
      <c r="AN34" s="12">
        <f t="shared" si="8"/>
        <v>9.8000000000000007</v>
      </c>
      <c r="AO34" s="12">
        <f t="shared" si="14"/>
        <v>80.800000000000011</v>
      </c>
      <c r="AP34" s="12">
        <f t="shared" si="14"/>
        <v>97.8</v>
      </c>
      <c r="AQ34" s="12">
        <f t="shared" si="14"/>
        <v>97.8</v>
      </c>
      <c r="AR34" s="12">
        <f t="shared" si="14"/>
        <v>30</v>
      </c>
      <c r="AS34" s="12">
        <f t="shared" si="15"/>
        <v>22.900000000000002</v>
      </c>
      <c r="AT34" s="12">
        <f t="shared" si="15"/>
        <v>53.5</v>
      </c>
      <c r="AU34" s="12">
        <f t="shared" si="9"/>
        <v>82</v>
      </c>
      <c r="AV34" s="12">
        <f t="shared" si="15"/>
        <v>80.300000000000011</v>
      </c>
      <c r="AW34" s="12">
        <f t="shared" si="16"/>
        <v>71</v>
      </c>
      <c r="AX34" s="12">
        <f t="shared" si="10"/>
        <v>92.4</v>
      </c>
      <c r="AY34" s="9"/>
      <c r="AZ34" s="12">
        <f t="shared" si="17"/>
        <v>86.3</v>
      </c>
      <c r="BA34" s="12">
        <f t="shared" si="13"/>
        <v>94.5</v>
      </c>
      <c r="BB34" s="12">
        <f t="shared" si="11"/>
        <v>90.100000000000009</v>
      </c>
      <c r="BC34" s="12">
        <f t="shared" si="11"/>
        <v>87.9</v>
      </c>
      <c r="BD34" s="12">
        <f t="shared" si="11"/>
        <v>59.5</v>
      </c>
      <c r="BE34" s="12">
        <f t="shared" si="11"/>
        <v>71</v>
      </c>
      <c r="BF34" s="12">
        <f t="shared" si="12"/>
        <v>81.399999999999991</v>
      </c>
      <c r="BG34" s="12">
        <f t="shared" si="12"/>
        <v>59.5</v>
      </c>
      <c r="BH34" s="12">
        <f t="shared" si="12"/>
        <v>11.4</v>
      </c>
      <c r="BI34" s="12">
        <f t="shared" si="12"/>
        <v>44.800000000000004</v>
      </c>
    </row>
    <row r="35" spans="1:61" ht="15.75" customHeight="1" x14ac:dyDescent="0.25">
      <c r="A35" s="1" t="s">
        <v>111</v>
      </c>
      <c r="B35" s="3" t="s">
        <v>240</v>
      </c>
      <c r="C35" s="4" t="s">
        <v>112</v>
      </c>
      <c r="D35" s="4">
        <v>41</v>
      </c>
      <c r="E35" s="4">
        <v>1099</v>
      </c>
      <c r="F35" s="4">
        <v>41</v>
      </c>
      <c r="G35" s="4">
        <v>1099</v>
      </c>
      <c r="H35" s="4">
        <v>15.2</v>
      </c>
      <c r="I35" s="4">
        <v>0.53400000000000003</v>
      </c>
      <c r="J35" s="4">
        <v>0.47399999999999998</v>
      </c>
      <c r="K35" s="4">
        <v>0.51</v>
      </c>
      <c r="L35" s="4">
        <v>0.316</v>
      </c>
      <c r="M35" s="4">
        <v>3.7</v>
      </c>
      <c r="N35" s="4">
        <v>13.6</v>
      </c>
      <c r="O35" s="4">
        <v>9.6999999999999993</v>
      </c>
      <c r="P35" s="4">
        <v>2.1</v>
      </c>
      <c r="Q35" s="4">
        <v>2.6</v>
      </c>
      <c r="R35" s="4">
        <v>7.2</v>
      </c>
      <c r="S35" s="4">
        <v>17.7</v>
      </c>
      <c r="T35" s="4">
        <v>109</v>
      </c>
      <c r="U35" s="4">
        <v>107</v>
      </c>
      <c r="V35" s="4"/>
      <c r="W35" s="4">
        <v>1.2</v>
      </c>
      <c r="X35" s="4">
        <v>1.7</v>
      </c>
      <c r="Y35" s="4">
        <v>2.8</v>
      </c>
      <c r="Z35" s="4">
        <v>0.10299999999999999</v>
      </c>
      <c r="AA35" s="13">
        <f>(I35/TOTAL_BASIC!$D$301)*100</f>
        <v>95.115041598918467</v>
      </c>
      <c r="AB35" s="5">
        <f t="shared" si="3"/>
        <v>1.0900000000000001</v>
      </c>
      <c r="AC35" s="3">
        <f t="shared" si="1"/>
        <v>2</v>
      </c>
      <c r="AD35" s="9">
        <f t="shared" si="4"/>
        <v>1.0680000000000001</v>
      </c>
      <c r="AE35" s="16">
        <f t="shared" si="5"/>
        <v>0.54802259887005644</v>
      </c>
      <c r="AF35" s="16">
        <f t="shared" si="6"/>
        <v>1.3472222222222221</v>
      </c>
      <c r="AG35" s="9"/>
      <c r="AH35" s="9"/>
      <c r="AI35" s="12">
        <f t="shared" si="7"/>
        <v>69.3</v>
      </c>
      <c r="AJ35" s="12">
        <f t="shared" si="8"/>
        <v>82.5</v>
      </c>
      <c r="AK35" s="12">
        <f t="shared" si="8"/>
        <v>62.2</v>
      </c>
      <c r="AL35" s="12">
        <f t="shared" si="8"/>
        <v>37.700000000000003</v>
      </c>
      <c r="AM35" s="12">
        <f t="shared" si="8"/>
        <v>30.599999999999998</v>
      </c>
      <c r="AN35" s="12">
        <f t="shared" si="8"/>
        <v>74.3</v>
      </c>
      <c r="AO35" s="12">
        <f t="shared" si="14"/>
        <v>58.4</v>
      </c>
      <c r="AP35" s="12">
        <f t="shared" si="14"/>
        <v>42</v>
      </c>
      <c r="AQ35" s="12">
        <f t="shared" si="14"/>
        <v>78.600000000000009</v>
      </c>
      <c r="AR35" s="12">
        <f t="shared" si="14"/>
        <v>26.700000000000003</v>
      </c>
      <c r="AS35" s="12">
        <f t="shared" si="15"/>
        <v>70.399999999999991</v>
      </c>
      <c r="AT35" s="12">
        <f t="shared" si="15"/>
        <v>74.8</v>
      </c>
      <c r="AU35" s="12">
        <f t="shared" si="9"/>
        <v>97.9</v>
      </c>
      <c r="AV35" s="12">
        <f t="shared" si="15"/>
        <v>43.7</v>
      </c>
      <c r="AW35" s="12">
        <f t="shared" si="16"/>
        <v>58.4</v>
      </c>
      <c r="AX35" s="12">
        <f t="shared" si="10"/>
        <v>78.2</v>
      </c>
      <c r="AY35" s="9"/>
      <c r="AZ35" s="12">
        <f t="shared" si="17"/>
        <v>71.5</v>
      </c>
      <c r="BA35" s="12">
        <f t="shared" si="13"/>
        <v>84.6</v>
      </c>
      <c r="BB35" s="12">
        <f t="shared" si="11"/>
        <v>75.900000000000006</v>
      </c>
      <c r="BC35" s="12">
        <f t="shared" si="11"/>
        <v>65.5</v>
      </c>
      <c r="BD35" s="12">
        <f t="shared" si="11"/>
        <v>37.700000000000003</v>
      </c>
      <c r="BE35" s="12">
        <f t="shared" si="11"/>
        <v>58.4</v>
      </c>
      <c r="BF35" s="12">
        <f t="shared" si="12"/>
        <v>65</v>
      </c>
      <c r="BG35" s="12">
        <f t="shared" si="12"/>
        <v>37.700000000000003</v>
      </c>
      <c r="BH35" s="12">
        <f t="shared" si="12"/>
        <v>26.700000000000003</v>
      </c>
      <c r="BI35" s="12">
        <f t="shared" si="12"/>
        <v>73.7</v>
      </c>
    </row>
    <row r="36" spans="1:61" ht="15.75" customHeight="1" x14ac:dyDescent="0.25">
      <c r="A36" s="1" t="s">
        <v>177</v>
      </c>
      <c r="B36" s="3" t="s">
        <v>131</v>
      </c>
      <c r="C36" s="4" t="s">
        <v>88</v>
      </c>
      <c r="D36" s="4">
        <v>41</v>
      </c>
      <c r="E36" s="4">
        <v>1082</v>
      </c>
      <c r="F36" s="4">
        <v>41</v>
      </c>
      <c r="G36" s="4">
        <v>1082</v>
      </c>
      <c r="H36" s="4">
        <v>22.2</v>
      </c>
      <c r="I36" s="4">
        <v>0.59799999999999998</v>
      </c>
      <c r="J36" s="4">
        <v>0.54800000000000004</v>
      </c>
      <c r="K36" s="4">
        <v>0</v>
      </c>
      <c r="L36" s="4">
        <v>0.44700000000000001</v>
      </c>
      <c r="M36" s="4">
        <v>11.8</v>
      </c>
      <c r="N36" s="4">
        <v>18.8</v>
      </c>
      <c r="O36" s="4">
        <v>16.7</v>
      </c>
      <c r="P36" s="4">
        <v>1.1000000000000001</v>
      </c>
      <c r="Q36" s="4">
        <v>4.9000000000000004</v>
      </c>
      <c r="R36" s="4">
        <v>12.7</v>
      </c>
      <c r="S36" s="4">
        <v>23</v>
      </c>
      <c r="T36" s="4">
        <v>117</v>
      </c>
      <c r="U36" s="4">
        <v>107</v>
      </c>
      <c r="V36" s="4"/>
      <c r="W36" s="4">
        <v>2.9</v>
      </c>
      <c r="X36" s="4">
        <v>1.7</v>
      </c>
      <c r="Y36" s="4">
        <v>4.5999999999999996</v>
      </c>
      <c r="Z36" s="4">
        <v>0.17100000000000001</v>
      </c>
      <c r="AA36" s="13">
        <f>(I36/TOTAL_BASIC!$D$301)*100</f>
        <v>106.51459714635439</v>
      </c>
      <c r="AB36" s="5">
        <f t="shared" si="3"/>
        <v>1.17</v>
      </c>
      <c r="AC36" s="3">
        <f t="shared" si="1"/>
        <v>10</v>
      </c>
      <c r="AD36" s="9">
        <f t="shared" si="4"/>
        <v>1.196</v>
      </c>
      <c r="AE36" s="16">
        <f t="shared" si="5"/>
        <v>0.72608695652173905</v>
      </c>
      <c r="AF36" s="16">
        <f t="shared" si="6"/>
        <v>1.3149606299212599</v>
      </c>
      <c r="AG36" s="9"/>
      <c r="AH36" s="9"/>
      <c r="AI36" s="12">
        <f t="shared" si="7"/>
        <v>69.3</v>
      </c>
      <c r="AJ36" s="12">
        <f t="shared" si="8"/>
        <v>81.899999999999991</v>
      </c>
      <c r="AK36" s="12">
        <f t="shared" si="8"/>
        <v>93.899999999999991</v>
      </c>
      <c r="AL36" s="12">
        <f t="shared" si="8"/>
        <v>73.2</v>
      </c>
      <c r="AM36" s="12">
        <f t="shared" si="8"/>
        <v>72.099999999999994</v>
      </c>
      <c r="AN36" s="12">
        <f t="shared" si="8"/>
        <v>0</v>
      </c>
      <c r="AO36" s="12">
        <f t="shared" si="14"/>
        <v>84.6</v>
      </c>
      <c r="AP36" s="12">
        <f t="shared" si="14"/>
        <v>95</v>
      </c>
      <c r="AQ36" s="12">
        <f t="shared" si="14"/>
        <v>95</v>
      </c>
      <c r="AR36" s="12">
        <f t="shared" si="14"/>
        <v>64.400000000000006</v>
      </c>
      <c r="AS36" s="12">
        <f t="shared" si="15"/>
        <v>14.7</v>
      </c>
      <c r="AT36" s="12">
        <f t="shared" si="15"/>
        <v>92.800000000000011</v>
      </c>
      <c r="AU36" s="12">
        <f t="shared" si="9"/>
        <v>69.400000000000006</v>
      </c>
      <c r="AV36" s="12">
        <f t="shared" si="15"/>
        <v>77</v>
      </c>
      <c r="AW36" s="12">
        <f t="shared" si="16"/>
        <v>78.600000000000009</v>
      </c>
      <c r="AX36" s="12">
        <f t="shared" si="10"/>
        <v>78.2</v>
      </c>
      <c r="AY36" s="9"/>
      <c r="AZ36" s="12">
        <f t="shared" si="17"/>
        <v>89</v>
      </c>
      <c r="BA36" s="12">
        <f t="shared" si="13"/>
        <v>84.6</v>
      </c>
      <c r="BB36" s="12">
        <f t="shared" si="11"/>
        <v>89</v>
      </c>
      <c r="BC36" s="12">
        <f t="shared" si="11"/>
        <v>86.3</v>
      </c>
      <c r="BD36" s="12">
        <f t="shared" si="11"/>
        <v>73.2</v>
      </c>
      <c r="BE36" s="12">
        <f t="shared" si="11"/>
        <v>78.600000000000009</v>
      </c>
      <c r="BF36" s="12">
        <f t="shared" si="12"/>
        <v>78.100000000000009</v>
      </c>
      <c r="BG36" s="12">
        <f t="shared" si="12"/>
        <v>73.2</v>
      </c>
      <c r="BH36" s="12">
        <f t="shared" si="12"/>
        <v>51.300000000000004</v>
      </c>
      <c r="BI36" s="12">
        <f t="shared" si="12"/>
        <v>72.599999999999994</v>
      </c>
    </row>
    <row r="37" spans="1:61" ht="15.75" customHeight="1" x14ac:dyDescent="0.25">
      <c r="A37" s="1" t="s">
        <v>198</v>
      </c>
      <c r="B37" s="3" t="s">
        <v>137</v>
      </c>
      <c r="C37" s="4" t="s">
        <v>8</v>
      </c>
      <c r="D37" s="4">
        <v>41</v>
      </c>
      <c r="E37" s="4">
        <v>1081</v>
      </c>
      <c r="F37" s="4">
        <v>41</v>
      </c>
      <c r="G37" s="4">
        <v>1081</v>
      </c>
      <c r="H37" s="4">
        <v>10.7</v>
      </c>
      <c r="I37" s="4">
        <v>0.51800000000000002</v>
      </c>
      <c r="J37" s="4">
        <v>0.48799999999999999</v>
      </c>
      <c r="K37" s="4">
        <v>0.53200000000000003</v>
      </c>
      <c r="L37" s="4">
        <v>0.14199999999999999</v>
      </c>
      <c r="M37" s="4">
        <v>1</v>
      </c>
      <c r="N37" s="4">
        <v>4.2</v>
      </c>
      <c r="O37" s="4">
        <v>28.8</v>
      </c>
      <c r="P37" s="4">
        <v>1.7</v>
      </c>
      <c r="Q37" s="4">
        <v>0.3</v>
      </c>
      <c r="R37" s="4">
        <v>17.8</v>
      </c>
      <c r="S37" s="4">
        <v>17.3</v>
      </c>
      <c r="T37" s="4">
        <v>104</v>
      </c>
      <c r="U37" s="4">
        <v>116</v>
      </c>
      <c r="V37" s="4"/>
      <c r="W37" s="4">
        <v>0.5</v>
      </c>
      <c r="X37" s="4">
        <v>0.3</v>
      </c>
      <c r="Y37" s="4">
        <v>0.8</v>
      </c>
      <c r="Z37" s="4">
        <v>0.03</v>
      </c>
      <c r="AA37" s="13">
        <f>(I37/TOTAL_BASIC!$D$301)*100</f>
        <v>92.265152712059489</v>
      </c>
      <c r="AB37" s="5">
        <f t="shared" si="3"/>
        <v>1.04</v>
      </c>
      <c r="AC37" s="3">
        <f t="shared" si="1"/>
        <v>-12</v>
      </c>
      <c r="AD37" s="9">
        <f t="shared" si="4"/>
        <v>1.036</v>
      </c>
      <c r="AE37" s="16">
        <f t="shared" si="5"/>
        <v>1.6647398843930636</v>
      </c>
      <c r="AF37" s="16">
        <f t="shared" si="6"/>
        <v>1.6179775280898876</v>
      </c>
      <c r="AG37" s="9"/>
      <c r="AH37" s="9"/>
      <c r="AI37" s="12">
        <f t="shared" si="7"/>
        <v>69.3</v>
      </c>
      <c r="AJ37" s="12">
        <f t="shared" si="8"/>
        <v>81.399999999999991</v>
      </c>
      <c r="AK37" s="12">
        <f t="shared" si="8"/>
        <v>35.5</v>
      </c>
      <c r="AL37" s="12">
        <f t="shared" si="8"/>
        <v>32.200000000000003</v>
      </c>
      <c r="AM37" s="12">
        <f t="shared" si="8"/>
        <v>36</v>
      </c>
      <c r="AN37" s="12">
        <f t="shared" si="8"/>
        <v>78.100000000000009</v>
      </c>
      <c r="AO37" s="12">
        <f t="shared" si="14"/>
        <v>13.600000000000001</v>
      </c>
      <c r="AP37" s="12">
        <f t="shared" si="14"/>
        <v>4.3</v>
      </c>
      <c r="AQ37" s="12">
        <f t="shared" si="14"/>
        <v>5.4</v>
      </c>
      <c r="AR37" s="12">
        <f t="shared" si="14"/>
        <v>91.2</v>
      </c>
      <c r="AS37" s="12">
        <f t="shared" si="15"/>
        <v>43.7</v>
      </c>
      <c r="AT37" s="12">
        <f t="shared" si="15"/>
        <v>9.1999999999999993</v>
      </c>
      <c r="AU37" s="12">
        <f t="shared" si="9"/>
        <v>26.299999999999997</v>
      </c>
      <c r="AV37" s="12">
        <f t="shared" si="15"/>
        <v>38.200000000000003</v>
      </c>
      <c r="AW37" s="12">
        <f t="shared" si="16"/>
        <v>37.700000000000003</v>
      </c>
      <c r="AX37" s="12">
        <f t="shared" si="10"/>
        <v>14.299999999999997</v>
      </c>
      <c r="AY37" s="9"/>
      <c r="AZ37" s="12">
        <f t="shared" si="17"/>
        <v>51.9</v>
      </c>
      <c r="BA37" s="12">
        <f t="shared" si="13"/>
        <v>28.4</v>
      </c>
      <c r="BB37" s="12">
        <f t="shared" si="11"/>
        <v>40.400000000000006</v>
      </c>
      <c r="BC37" s="12">
        <f t="shared" si="11"/>
        <v>21.3</v>
      </c>
      <c r="BD37" s="12">
        <f t="shared" si="11"/>
        <v>32.200000000000003</v>
      </c>
      <c r="BE37" s="12">
        <f t="shared" si="11"/>
        <v>37.700000000000003</v>
      </c>
      <c r="BF37" s="12">
        <f t="shared" si="12"/>
        <v>22.400000000000002</v>
      </c>
      <c r="BG37" s="12">
        <f t="shared" si="12"/>
        <v>32.200000000000003</v>
      </c>
      <c r="BH37" s="12">
        <f t="shared" si="12"/>
        <v>96.1</v>
      </c>
      <c r="BI37" s="12">
        <f t="shared" si="12"/>
        <v>86.3</v>
      </c>
    </row>
    <row r="38" spans="1:61" ht="15.75" customHeight="1" x14ac:dyDescent="0.25">
      <c r="A38" s="1" t="s">
        <v>185</v>
      </c>
      <c r="B38" s="3" t="s">
        <v>137</v>
      </c>
      <c r="C38" s="4" t="s">
        <v>8</v>
      </c>
      <c r="D38" s="4">
        <v>40</v>
      </c>
      <c r="E38" s="4">
        <v>1076</v>
      </c>
      <c r="F38" s="4">
        <v>40</v>
      </c>
      <c r="G38" s="4">
        <v>1076</v>
      </c>
      <c r="H38" s="4">
        <v>10.6</v>
      </c>
      <c r="I38" s="4">
        <v>0.499</v>
      </c>
      <c r="J38" s="4">
        <v>0.45300000000000001</v>
      </c>
      <c r="K38" s="4">
        <v>0.51900000000000002</v>
      </c>
      <c r="L38" s="4">
        <v>0.187</v>
      </c>
      <c r="M38" s="4">
        <v>3.1</v>
      </c>
      <c r="N38" s="4">
        <v>6.5</v>
      </c>
      <c r="O38" s="4">
        <v>15.7</v>
      </c>
      <c r="P38" s="4">
        <v>3</v>
      </c>
      <c r="Q38" s="4">
        <v>1.3</v>
      </c>
      <c r="R38" s="4">
        <v>14.7</v>
      </c>
      <c r="S38" s="4">
        <v>16.3</v>
      </c>
      <c r="T38" s="4">
        <v>100</v>
      </c>
      <c r="U38" s="4">
        <v>112</v>
      </c>
      <c r="V38" s="4"/>
      <c r="W38" s="4">
        <v>0</v>
      </c>
      <c r="X38" s="4">
        <v>1</v>
      </c>
      <c r="Y38" s="4">
        <v>0.9</v>
      </c>
      <c r="Z38" s="4">
        <v>3.5000000000000003E-2</v>
      </c>
      <c r="AA38" s="13">
        <f>(I38/TOTAL_BASIC!$D$301)*100</f>
        <v>88.880909658914447</v>
      </c>
      <c r="AB38" s="5">
        <f t="shared" si="3"/>
        <v>1</v>
      </c>
      <c r="AC38" s="3">
        <f t="shared" si="1"/>
        <v>-12</v>
      </c>
      <c r="AD38" s="9">
        <f t="shared" si="4"/>
        <v>0.998</v>
      </c>
      <c r="AE38" s="16">
        <f t="shared" si="5"/>
        <v>0.96319018404907963</v>
      </c>
      <c r="AF38" s="16">
        <f t="shared" si="6"/>
        <v>1.0680272108843538</v>
      </c>
      <c r="AG38" s="9"/>
      <c r="AH38" s="9"/>
      <c r="AI38" s="12">
        <f t="shared" si="7"/>
        <v>63.9</v>
      </c>
      <c r="AJ38" s="12">
        <f t="shared" si="8"/>
        <v>80.800000000000011</v>
      </c>
      <c r="AK38" s="12">
        <f t="shared" si="8"/>
        <v>33.800000000000004</v>
      </c>
      <c r="AL38" s="12">
        <f t="shared" si="8"/>
        <v>21.3</v>
      </c>
      <c r="AM38" s="12">
        <f t="shared" si="8"/>
        <v>20.200000000000003</v>
      </c>
      <c r="AN38" s="12">
        <f t="shared" si="8"/>
        <v>74.8</v>
      </c>
      <c r="AO38" s="12">
        <f t="shared" si="14"/>
        <v>22.400000000000002</v>
      </c>
      <c r="AP38" s="12">
        <f t="shared" si="14"/>
        <v>34.9</v>
      </c>
      <c r="AQ38" s="12">
        <f t="shared" si="14"/>
        <v>27.800000000000004</v>
      </c>
      <c r="AR38" s="12">
        <f t="shared" si="14"/>
        <v>61.199999999999996</v>
      </c>
      <c r="AS38" s="12">
        <f t="shared" si="15"/>
        <v>95</v>
      </c>
      <c r="AT38" s="12">
        <f t="shared" si="15"/>
        <v>50.8</v>
      </c>
      <c r="AU38" s="12">
        <f t="shared" si="9"/>
        <v>50.3</v>
      </c>
      <c r="AV38" s="12">
        <f t="shared" si="15"/>
        <v>27.3</v>
      </c>
      <c r="AW38" s="12">
        <f t="shared" si="16"/>
        <v>23.400000000000002</v>
      </c>
      <c r="AX38" s="12">
        <f t="shared" si="10"/>
        <v>38.800000000000004</v>
      </c>
      <c r="AY38" s="9"/>
      <c r="AZ38" s="12">
        <f t="shared" si="17"/>
        <v>24.5</v>
      </c>
      <c r="BA38" s="12">
        <f t="shared" si="13"/>
        <v>67.7</v>
      </c>
      <c r="BB38" s="12">
        <f t="shared" si="11"/>
        <v>44.2</v>
      </c>
      <c r="BC38" s="12">
        <f t="shared" si="11"/>
        <v>27.800000000000004</v>
      </c>
      <c r="BD38" s="12">
        <f t="shared" si="11"/>
        <v>21.3</v>
      </c>
      <c r="BE38" s="12">
        <f t="shared" si="11"/>
        <v>23.400000000000002</v>
      </c>
      <c r="BF38" s="12">
        <f t="shared" si="12"/>
        <v>22.400000000000002</v>
      </c>
      <c r="BG38" s="12">
        <f t="shared" si="12"/>
        <v>21.3</v>
      </c>
      <c r="BH38" s="12">
        <f t="shared" si="12"/>
        <v>69.899999999999991</v>
      </c>
      <c r="BI38" s="12">
        <f t="shared" si="12"/>
        <v>59</v>
      </c>
    </row>
    <row r="39" spans="1:61" ht="15.75" customHeight="1" x14ac:dyDescent="0.25">
      <c r="A39" s="1" t="s">
        <v>219</v>
      </c>
      <c r="B39" s="3" t="s">
        <v>161</v>
      </c>
      <c r="C39" s="4" t="s">
        <v>85</v>
      </c>
      <c r="D39" s="4">
        <v>42</v>
      </c>
      <c r="E39" s="4">
        <v>1058</v>
      </c>
      <c r="F39" s="4">
        <v>42</v>
      </c>
      <c r="G39" s="4">
        <v>1058</v>
      </c>
      <c r="H39" s="4">
        <v>13.5</v>
      </c>
      <c r="I39" s="4">
        <v>0.58699999999999997</v>
      </c>
      <c r="J39" s="4">
        <v>0.53800000000000003</v>
      </c>
      <c r="K39" s="4">
        <v>0.38400000000000001</v>
      </c>
      <c r="L39" s="4">
        <v>0.33700000000000002</v>
      </c>
      <c r="M39" s="4">
        <v>5.2</v>
      </c>
      <c r="N39" s="4">
        <v>10.1</v>
      </c>
      <c r="O39" s="4">
        <v>11.3</v>
      </c>
      <c r="P39" s="4">
        <v>2.5</v>
      </c>
      <c r="Q39" s="4">
        <v>0.9</v>
      </c>
      <c r="R39" s="4">
        <v>17.8</v>
      </c>
      <c r="S39" s="4">
        <v>19.899999999999999</v>
      </c>
      <c r="T39" s="4">
        <v>106</v>
      </c>
      <c r="U39" s="4">
        <v>117</v>
      </c>
      <c r="V39" s="4"/>
      <c r="W39" s="4">
        <v>0.8</v>
      </c>
      <c r="X39" s="4">
        <v>0.1</v>
      </c>
      <c r="Y39" s="4">
        <v>0.9</v>
      </c>
      <c r="Z39" s="4">
        <v>3.4000000000000002E-2</v>
      </c>
      <c r="AA39" s="13">
        <f>(I39/TOTAL_BASIC!$D$301)*100</f>
        <v>104.55529853663883</v>
      </c>
      <c r="AB39" s="5">
        <f t="shared" si="3"/>
        <v>1.06</v>
      </c>
      <c r="AC39" s="3">
        <f t="shared" si="1"/>
        <v>-11</v>
      </c>
      <c r="AD39" s="9">
        <f t="shared" si="4"/>
        <v>1.1739999999999999</v>
      </c>
      <c r="AE39" s="16">
        <f t="shared" si="5"/>
        <v>0.56783919597989962</v>
      </c>
      <c r="AF39" s="16">
        <f t="shared" si="6"/>
        <v>0.6348314606741573</v>
      </c>
      <c r="AG39" s="9"/>
      <c r="AH39" s="9"/>
      <c r="AI39" s="12">
        <f t="shared" si="7"/>
        <v>83</v>
      </c>
      <c r="AJ39" s="12">
        <f t="shared" si="8"/>
        <v>80.300000000000011</v>
      </c>
      <c r="AK39" s="12">
        <f t="shared" si="8"/>
        <v>52.400000000000006</v>
      </c>
      <c r="AL39" s="12">
        <f t="shared" si="8"/>
        <v>70.399999999999991</v>
      </c>
      <c r="AM39" s="12">
        <f t="shared" si="8"/>
        <v>66.100000000000009</v>
      </c>
      <c r="AN39" s="12">
        <f t="shared" si="8"/>
        <v>43.7</v>
      </c>
      <c r="AO39" s="12">
        <f t="shared" si="14"/>
        <v>63.9</v>
      </c>
      <c r="AP39" s="12">
        <f t="shared" si="14"/>
        <v>60.099999999999994</v>
      </c>
      <c r="AQ39" s="12">
        <f t="shared" si="14"/>
        <v>60.6</v>
      </c>
      <c r="AR39" s="12">
        <f t="shared" si="14"/>
        <v>35.5</v>
      </c>
      <c r="AS39" s="12">
        <f t="shared" si="15"/>
        <v>84.1</v>
      </c>
      <c r="AT39" s="12">
        <f t="shared" si="15"/>
        <v>34.4</v>
      </c>
      <c r="AU39" s="12">
        <f t="shared" si="9"/>
        <v>26.299999999999997</v>
      </c>
      <c r="AV39" s="12">
        <f t="shared" si="15"/>
        <v>61.199999999999996</v>
      </c>
      <c r="AW39" s="12">
        <f t="shared" si="16"/>
        <v>45.9</v>
      </c>
      <c r="AX39" s="12">
        <f t="shared" si="10"/>
        <v>9.2999999999999972</v>
      </c>
      <c r="AY39" s="9"/>
      <c r="AZ39" s="12">
        <f t="shared" si="17"/>
        <v>63.9</v>
      </c>
      <c r="BA39" s="12">
        <f t="shared" si="13"/>
        <v>8.1</v>
      </c>
      <c r="BB39" s="12">
        <f t="shared" si="11"/>
        <v>44.2</v>
      </c>
      <c r="BC39" s="12">
        <f t="shared" si="11"/>
        <v>26.200000000000003</v>
      </c>
      <c r="BD39" s="12">
        <f t="shared" si="11"/>
        <v>70.399999999999991</v>
      </c>
      <c r="BE39" s="12">
        <f t="shared" si="11"/>
        <v>45.9</v>
      </c>
      <c r="BF39" s="12">
        <f t="shared" si="12"/>
        <v>26.700000000000003</v>
      </c>
      <c r="BG39" s="12">
        <f t="shared" si="12"/>
        <v>70.399999999999991</v>
      </c>
      <c r="BH39" s="12">
        <f t="shared" si="12"/>
        <v>28.9</v>
      </c>
      <c r="BI39" s="12">
        <f t="shared" si="12"/>
        <v>22.400000000000002</v>
      </c>
    </row>
    <row r="40" spans="1:61" ht="15.75" customHeight="1" x14ac:dyDescent="0.25">
      <c r="A40" s="1" t="s">
        <v>148</v>
      </c>
      <c r="B40" s="3" t="s">
        <v>232</v>
      </c>
      <c r="C40" s="4" t="s">
        <v>85</v>
      </c>
      <c r="D40" s="4">
        <v>43</v>
      </c>
      <c r="E40" s="4">
        <v>1051</v>
      </c>
      <c r="F40" s="4">
        <v>43</v>
      </c>
      <c r="G40" s="4">
        <v>1051</v>
      </c>
      <c r="H40" s="4">
        <v>16.8</v>
      </c>
      <c r="I40" s="4">
        <v>0.56799999999999995</v>
      </c>
      <c r="J40" s="4">
        <v>0.54800000000000004</v>
      </c>
      <c r="K40" s="4">
        <v>0.41899999999999998</v>
      </c>
      <c r="L40" s="4">
        <v>0.20499999999999999</v>
      </c>
      <c r="M40" s="4">
        <v>6.5</v>
      </c>
      <c r="N40" s="4">
        <v>14.5</v>
      </c>
      <c r="O40" s="4">
        <v>14.7</v>
      </c>
      <c r="P40" s="4">
        <v>3</v>
      </c>
      <c r="Q40" s="4">
        <v>5.7</v>
      </c>
      <c r="R40" s="4">
        <v>17.600000000000001</v>
      </c>
      <c r="S40" s="4">
        <v>19.8</v>
      </c>
      <c r="T40" s="4">
        <v>105</v>
      </c>
      <c r="U40" s="4">
        <v>108</v>
      </c>
      <c r="V40" s="4"/>
      <c r="W40" s="4">
        <v>0.6</v>
      </c>
      <c r="X40" s="4">
        <v>1.4</v>
      </c>
      <c r="Y40" s="4">
        <v>2</v>
      </c>
      <c r="Z40" s="4">
        <v>7.6999999999999999E-2</v>
      </c>
      <c r="AA40" s="13">
        <f>(I40/TOTAL_BASIC!$D$301)*100</f>
        <v>101.17105548349379</v>
      </c>
      <c r="AB40" s="5">
        <f t="shared" si="3"/>
        <v>1.05</v>
      </c>
      <c r="AC40" s="3">
        <f t="shared" si="1"/>
        <v>-3</v>
      </c>
      <c r="AD40" s="9">
        <f t="shared" si="4"/>
        <v>1.1359999999999999</v>
      </c>
      <c r="AE40" s="16">
        <f t="shared" si="5"/>
        <v>0.74242424242424232</v>
      </c>
      <c r="AF40" s="16">
        <f t="shared" si="6"/>
        <v>0.8352272727272726</v>
      </c>
      <c r="AG40" s="9"/>
      <c r="AH40" s="9"/>
      <c r="AI40" s="12">
        <f t="shared" si="7"/>
        <v>96.7</v>
      </c>
      <c r="AJ40" s="12">
        <f t="shared" si="8"/>
        <v>79.7</v>
      </c>
      <c r="AK40" s="12">
        <f t="shared" si="8"/>
        <v>73.2</v>
      </c>
      <c r="AL40" s="12">
        <f t="shared" si="8"/>
        <v>60.6</v>
      </c>
      <c r="AM40" s="12">
        <f t="shared" si="8"/>
        <v>72.099999999999994</v>
      </c>
      <c r="AN40" s="12">
        <f t="shared" si="8"/>
        <v>51.9</v>
      </c>
      <c r="AO40" s="12">
        <f t="shared" si="14"/>
        <v>26.700000000000003</v>
      </c>
      <c r="AP40" s="12">
        <f t="shared" si="14"/>
        <v>69.3</v>
      </c>
      <c r="AQ40" s="12">
        <f t="shared" si="14"/>
        <v>81.899999999999991</v>
      </c>
      <c r="AR40" s="12">
        <f t="shared" si="14"/>
        <v>56.8</v>
      </c>
      <c r="AS40" s="12">
        <f t="shared" si="15"/>
        <v>95</v>
      </c>
      <c r="AT40" s="12">
        <f t="shared" si="15"/>
        <v>96.1</v>
      </c>
      <c r="AU40" s="12">
        <f t="shared" si="9"/>
        <v>29</v>
      </c>
      <c r="AV40" s="12">
        <f t="shared" si="15"/>
        <v>60.099999999999994</v>
      </c>
      <c r="AW40" s="12">
        <f t="shared" si="16"/>
        <v>39.800000000000004</v>
      </c>
      <c r="AX40" s="12">
        <f t="shared" si="10"/>
        <v>71.099999999999994</v>
      </c>
      <c r="AY40" s="9"/>
      <c r="AZ40" s="12">
        <f t="shared" si="17"/>
        <v>56.8</v>
      </c>
      <c r="BA40" s="12">
        <f t="shared" si="13"/>
        <v>78.100000000000009</v>
      </c>
      <c r="BB40" s="12">
        <f t="shared" si="11"/>
        <v>69.3</v>
      </c>
      <c r="BC40" s="12">
        <f t="shared" si="11"/>
        <v>53.5</v>
      </c>
      <c r="BD40" s="12">
        <f t="shared" si="11"/>
        <v>60.6</v>
      </c>
      <c r="BE40" s="12">
        <f t="shared" si="11"/>
        <v>39.800000000000004</v>
      </c>
      <c r="BF40" s="12">
        <f t="shared" si="12"/>
        <v>51.9</v>
      </c>
      <c r="BG40" s="12">
        <f t="shared" si="12"/>
        <v>60.6</v>
      </c>
      <c r="BH40" s="12">
        <f t="shared" si="12"/>
        <v>55.1</v>
      </c>
      <c r="BI40" s="12">
        <f t="shared" si="12"/>
        <v>34.4</v>
      </c>
    </row>
    <row r="41" spans="1:61" ht="15.75" customHeight="1" x14ac:dyDescent="0.25">
      <c r="A41" s="1" t="s">
        <v>125</v>
      </c>
      <c r="B41" s="3" t="s">
        <v>117</v>
      </c>
      <c r="C41" s="4" t="s">
        <v>8</v>
      </c>
      <c r="D41" s="4">
        <v>40</v>
      </c>
      <c r="E41" s="4">
        <v>1043</v>
      </c>
      <c r="F41" s="4">
        <v>40</v>
      </c>
      <c r="G41" s="4">
        <v>1043</v>
      </c>
      <c r="H41" s="4">
        <v>8.1999999999999993</v>
      </c>
      <c r="I41" s="4">
        <v>0.499</v>
      </c>
      <c r="J41" s="4">
        <v>0.46600000000000003</v>
      </c>
      <c r="K41" s="4">
        <v>0.71599999999999997</v>
      </c>
      <c r="L41" s="4">
        <v>0.18099999999999999</v>
      </c>
      <c r="M41" s="4">
        <v>2.2000000000000002</v>
      </c>
      <c r="N41" s="4">
        <v>5.3</v>
      </c>
      <c r="O41" s="4">
        <v>7.5</v>
      </c>
      <c r="P41" s="4">
        <v>2.1</v>
      </c>
      <c r="Q41" s="4">
        <v>0.4</v>
      </c>
      <c r="R41" s="4">
        <v>10.6</v>
      </c>
      <c r="S41" s="4">
        <v>14.7</v>
      </c>
      <c r="T41" s="4">
        <v>100</v>
      </c>
      <c r="U41" s="4">
        <v>110</v>
      </c>
      <c r="V41" s="4"/>
      <c r="W41" s="4">
        <v>0</v>
      </c>
      <c r="X41" s="4">
        <v>1.2</v>
      </c>
      <c r="Y41" s="4">
        <v>1.1000000000000001</v>
      </c>
      <c r="Z41" s="4">
        <v>4.2999999999999997E-2</v>
      </c>
      <c r="AA41" s="13">
        <f>(I41/TOTAL_BASIC!$D$301)*100</f>
        <v>88.880909658914447</v>
      </c>
      <c r="AB41" s="5">
        <f t="shared" si="3"/>
        <v>1</v>
      </c>
      <c r="AC41" s="3">
        <f t="shared" si="1"/>
        <v>-10</v>
      </c>
      <c r="AD41" s="9">
        <f t="shared" si="4"/>
        <v>0.998</v>
      </c>
      <c r="AE41" s="16">
        <f t="shared" si="5"/>
        <v>0.51020408163265307</v>
      </c>
      <c r="AF41" s="16">
        <f t="shared" si="6"/>
        <v>0.70754716981132082</v>
      </c>
      <c r="AG41" s="9"/>
      <c r="AH41" s="9"/>
      <c r="AI41" s="12">
        <f t="shared" si="7"/>
        <v>63.9</v>
      </c>
      <c r="AJ41" s="12">
        <f t="shared" si="8"/>
        <v>79.2</v>
      </c>
      <c r="AK41" s="12">
        <f t="shared" si="8"/>
        <v>13.100000000000001</v>
      </c>
      <c r="AL41" s="12">
        <f t="shared" si="8"/>
        <v>21.3</v>
      </c>
      <c r="AM41" s="12">
        <f t="shared" si="8"/>
        <v>27.3</v>
      </c>
      <c r="AN41" s="12">
        <f t="shared" si="8"/>
        <v>93.899999999999991</v>
      </c>
      <c r="AO41" s="12">
        <f t="shared" si="14"/>
        <v>21.3</v>
      </c>
      <c r="AP41" s="12">
        <f t="shared" si="14"/>
        <v>19.600000000000001</v>
      </c>
      <c r="AQ41" s="12">
        <f t="shared" si="14"/>
        <v>15.8</v>
      </c>
      <c r="AR41" s="12">
        <f t="shared" si="14"/>
        <v>12</v>
      </c>
      <c r="AS41" s="12">
        <f t="shared" si="15"/>
        <v>70.399999999999991</v>
      </c>
      <c r="AT41" s="12">
        <f t="shared" si="15"/>
        <v>14.2</v>
      </c>
      <c r="AU41" s="12">
        <f t="shared" si="9"/>
        <v>84.7</v>
      </c>
      <c r="AV41" s="12">
        <f t="shared" si="15"/>
        <v>18</v>
      </c>
      <c r="AW41" s="12">
        <f t="shared" si="16"/>
        <v>23.400000000000002</v>
      </c>
      <c r="AX41" s="12">
        <f t="shared" si="10"/>
        <v>56.3</v>
      </c>
      <c r="AY41" s="9"/>
      <c r="AZ41" s="12">
        <f t="shared" si="17"/>
        <v>24.5</v>
      </c>
      <c r="BA41" s="12">
        <f t="shared" si="13"/>
        <v>74.8</v>
      </c>
      <c r="BB41" s="12">
        <f t="shared" si="11"/>
        <v>53</v>
      </c>
      <c r="BC41" s="12">
        <f t="shared" si="11"/>
        <v>32.200000000000003</v>
      </c>
      <c r="BD41" s="12">
        <f t="shared" si="11"/>
        <v>21.3</v>
      </c>
      <c r="BE41" s="12">
        <f t="shared" si="11"/>
        <v>23.400000000000002</v>
      </c>
      <c r="BF41" s="12">
        <f t="shared" si="12"/>
        <v>30.599999999999998</v>
      </c>
      <c r="BG41" s="12">
        <f t="shared" si="12"/>
        <v>21.3</v>
      </c>
      <c r="BH41" s="12">
        <f t="shared" si="12"/>
        <v>21.3</v>
      </c>
      <c r="BI41" s="12">
        <f t="shared" si="12"/>
        <v>26.200000000000003</v>
      </c>
    </row>
    <row r="42" spans="1:61" ht="15.75" customHeight="1" x14ac:dyDescent="0.25">
      <c r="A42" s="1" t="s">
        <v>182</v>
      </c>
      <c r="B42" s="3" t="s">
        <v>157</v>
      </c>
      <c r="C42" s="4" t="s">
        <v>183</v>
      </c>
      <c r="D42" s="4">
        <v>38</v>
      </c>
      <c r="E42" s="4">
        <v>1040</v>
      </c>
      <c r="F42" s="4">
        <v>38</v>
      </c>
      <c r="G42" s="4">
        <v>1040</v>
      </c>
      <c r="H42" s="4">
        <v>24.2</v>
      </c>
      <c r="I42" s="4">
        <v>0.61099999999999999</v>
      </c>
      <c r="J42" s="4">
        <v>0.56999999999999995</v>
      </c>
      <c r="K42" s="4">
        <v>0.22500000000000001</v>
      </c>
      <c r="L42" s="4">
        <v>0.28399999999999997</v>
      </c>
      <c r="M42" s="4">
        <v>8.5</v>
      </c>
      <c r="N42" s="4">
        <v>18.5</v>
      </c>
      <c r="O42" s="4">
        <v>18.3</v>
      </c>
      <c r="P42" s="4">
        <v>2.7</v>
      </c>
      <c r="Q42" s="4">
        <v>3.9</v>
      </c>
      <c r="R42" s="4">
        <v>14.7</v>
      </c>
      <c r="S42" s="4">
        <v>25.2</v>
      </c>
      <c r="T42" s="4">
        <v>117</v>
      </c>
      <c r="U42" s="4">
        <v>104</v>
      </c>
      <c r="V42" s="4"/>
      <c r="W42" s="4">
        <v>3.1</v>
      </c>
      <c r="X42" s="4">
        <v>2.1</v>
      </c>
      <c r="Y42" s="4">
        <v>5.2</v>
      </c>
      <c r="Z42" s="4">
        <v>0.19800000000000001</v>
      </c>
      <c r="AA42" s="13">
        <f>(I42/TOTAL_BASIC!$D$301)*100</f>
        <v>108.83013186692732</v>
      </c>
      <c r="AB42" s="5">
        <f t="shared" si="3"/>
        <v>1.17</v>
      </c>
      <c r="AC42" s="3">
        <f t="shared" si="1"/>
        <v>13</v>
      </c>
      <c r="AD42" s="9">
        <f t="shared" si="4"/>
        <v>1.222</v>
      </c>
      <c r="AE42" s="16">
        <f t="shared" si="5"/>
        <v>0.72619047619047628</v>
      </c>
      <c r="AF42" s="16">
        <f t="shared" si="6"/>
        <v>1.2448979591836735</v>
      </c>
      <c r="AG42" s="9"/>
      <c r="AH42" s="9"/>
      <c r="AI42" s="12">
        <f t="shared" si="7"/>
        <v>53</v>
      </c>
      <c r="AJ42" s="12">
        <f t="shared" si="8"/>
        <v>78.600000000000009</v>
      </c>
      <c r="AK42" s="12">
        <f t="shared" si="8"/>
        <v>98.9</v>
      </c>
      <c r="AL42" s="12">
        <f t="shared" si="8"/>
        <v>84.1</v>
      </c>
      <c r="AM42" s="12">
        <f t="shared" si="8"/>
        <v>84.1</v>
      </c>
      <c r="AN42" s="12">
        <f t="shared" si="8"/>
        <v>18</v>
      </c>
      <c r="AO42" s="12">
        <f t="shared" si="14"/>
        <v>51.300000000000004</v>
      </c>
      <c r="AP42" s="12">
        <f t="shared" si="14"/>
        <v>82.5</v>
      </c>
      <c r="AQ42" s="12">
        <f t="shared" si="14"/>
        <v>94.5</v>
      </c>
      <c r="AR42" s="12">
        <f t="shared" si="14"/>
        <v>71</v>
      </c>
      <c r="AS42" s="12">
        <f t="shared" si="15"/>
        <v>90.7</v>
      </c>
      <c r="AT42" s="12">
        <f t="shared" si="15"/>
        <v>88.5</v>
      </c>
      <c r="AU42" s="12">
        <f t="shared" si="9"/>
        <v>50.3</v>
      </c>
      <c r="AV42" s="12">
        <f t="shared" si="15"/>
        <v>84.6</v>
      </c>
      <c r="AW42" s="12">
        <f t="shared" si="16"/>
        <v>78.600000000000009</v>
      </c>
      <c r="AX42" s="12">
        <f t="shared" si="10"/>
        <v>88</v>
      </c>
      <c r="AY42" s="9"/>
      <c r="AZ42" s="12">
        <f t="shared" si="17"/>
        <v>90.100000000000009</v>
      </c>
      <c r="BA42" s="12">
        <f t="shared" si="13"/>
        <v>90.100000000000009</v>
      </c>
      <c r="BB42" s="12">
        <f t="shared" si="11"/>
        <v>91.8</v>
      </c>
      <c r="BC42" s="12">
        <f t="shared" si="11"/>
        <v>92.800000000000011</v>
      </c>
      <c r="BD42" s="12">
        <f t="shared" si="11"/>
        <v>84.1</v>
      </c>
      <c r="BE42" s="12">
        <f t="shared" si="11"/>
        <v>78.600000000000009</v>
      </c>
      <c r="BF42" s="12">
        <f t="shared" si="12"/>
        <v>87.9</v>
      </c>
      <c r="BG42" s="12">
        <f t="shared" si="12"/>
        <v>84.1</v>
      </c>
      <c r="BH42" s="12">
        <f t="shared" si="12"/>
        <v>51.9</v>
      </c>
      <c r="BI42" s="12">
        <f t="shared" si="12"/>
        <v>71</v>
      </c>
    </row>
    <row r="43" spans="1:61" ht="15.75" customHeight="1" x14ac:dyDescent="0.25">
      <c r="A43" s="1" t="s">
        <v>105</v>
      </c>
      <c r="B43" s="3" t="s">
        <v>91</v>
      </c>
      <c r="C43" s="4" t="s">
        <v>85</v>
      </c>
      <c r="D43" s="4">
        <v>42</v>
      </c>
      <c r="E43" s="4">
        <v>1018</v>
      </c>
      <c r="F43" s="4">
        <v>42</v>
      </c>
      <c r="G43" s="4">
        <v>1018</v>
      </c>
      <c r="H43" s="4">
        <v>11.1</v>
      </c>
      <c r="I43" s="4">
        <v>0.51600000000000001</v>
      </c>
      <c r="J43" s="4">
        <v>0.47099999999999997</v>
      </c>
      <c r="K43" s="4">
        <v>0.629</v>
      </c>
      <c r="L43" s="4">
        <v>0.19600000000000001</v>
      </c>
      <c r="M43" s="4">
        <v>6.3</v>
      </c>
      <c r="N43" s="4">
        <v>11.3</v>
      </c>
      <c r="O43" s="4">
        <v>4.5999999999999996</v>
      </c>
      <c r="P43" s="4">
        <v>1.5</v>
      </c>
      <c r="Q43" s="4">
        <v>0.9</v>
      </c>
      <c r="R43" s="4">
        <v>7.6</v>
      </c>
      <c r="S43" s="4">
        <v>15.6</v>
      </c>
      <c r="T43" s="4">
        <v>110</v>
      </c>
      <c r="U43" s="4">
        <v>103</v>
      </c>
      <c r="V43" s="4"/>
      <c r="W43" s="4">
        <v>1</v>
      </c>
      <c r="X43" s="4">
        <v>2.2000000000000002</v>
      </c>
      <c r="Y43" s="4">
        <v>3.2</v>
      </c>
      <c r="Z43" s="4">
        <v>0.126</v>
      </c>
      <c r="AA43" s="13">
        <f>(I43/TOTAL_BASIC!$D$301)*100</f>
        <v>91.908916601202122</v>
      </c>
      <c r="AB43" s="5">
        <f t="shared" si="3"/>
        <v>1.1000000000000001</v>
      </c>
      <c r="AC43" s="3">
        <f t="shared" si="1"/>
        <v>7</v>
      </c>
      <c r="AD43" s="9">
        <f t="shared" si="4"/>
        <v>1.032</v>
      </c>
      <c r="AE43" s="16">
        <f t="shared" si="5"/>
        <v>0.29487179487179488</v>
      </c>
      <c r="AF43" s="16">
        <f t="shared" si="6"/>
        <v>0.60526315789473684</v>
      </c>
      <c r="AG43" s="9"/>
      <c r="AH43" s="9"/>
      <c r="AI43" s="12">
        <f t="shared" si="7"/>
        <v>83</v>
      </c>
      <c r="AJ43" s="12">
        <f t="shared" si="8"/>
        <v>78.100000000000009</v>
      </c>
      <c r="AK43" s="12">
        <f t="shared" si="8"/>
        <v>38.200000000000003</v>
      </c>
      <c r="AL43" s="12">
        <f t="shared" si="8"/>
        <v>30.599999999999998</v>
      </c>
      <c r="AM43" s="12">
        <f t="shared" si="8"/>
        <v>28.9</v>
      </c>
      <c r="AN43" s="12">
        <f t="shared" si="8"/>
        <v>87.4</v>
      </c>
      <c r="AO43" s="12">
        <f t="shared" si="14"/>
        <v>25.1</v>
      </c>
      <c r="AP43" s="12">
        <f t="shared" si="14"/>
        <v>68.300000000000011</v>
      </c>
      <c r="AQ43" s="12">
        <f t="shared" si="14"/>
        <v>68.8</v>
      </c>
      <c r="AR43" s="12">
        <f t="shared" si="14"/>
        <v>1</v>
      </c>
      <c r="AS43" s="12">
        <f t="shared" si="15"/>
        <v>33.800000000000004</v>
      </c>
      <c r="AT43" s="12">
        <f t="shared" si="15"/>
        <v>34.4</v>
      </c>
      <c r="AU43" s="12">
        <f t="shared" si="9"/>
        <v>95.7</v>
      </c>
      <c r="AV43" s="12">
        <f t="shared" si="15"/>
        <v>21.8</v>
      </c>
      <c r="AW43" s="12">
        <f t="shared" si="16"/>
        <v>60.099999999999994</v>
      </c>
      <c r="AX43" s="12">
        <f t="shared" si="10"/>
        <v>92.4</v>
      </c>
      <c r="AY43" s="9"/>
      <c r="AZ43" s="12">
        <f t="shared" si="17"/>
        <v>67.7</v>
      </c>
      <c r="BA43" s="12">
        <f t="shared" si="13"/>
        <v>92.300000000000011</v>
      </c>
      <c r="BB43" s="12">
        <f t="shared" si="11"/>
        <v>81.399999999999991</v>
      </c>
      <c r="BC43" s="12">
        <f t="shared" si="11"/>
        <v>72.599999999999994</v>
      </c>
      <c r="BD43" s="12">
        <f t="shared" si="11"/>
        <v>30.599999999999998</v>
      </c>
      <c r="BE43" s="12">
        <f t="shared" si="11"/>
        <v>60.099999999999994</v>
      </c>
      <c r="BF43" s="12">
        <f t="shared" si="12"/>
        <v>74.8</v>
      </c>
      <c r="BG43" s="12">
        <f t="shared" si="12"/>
        <v>30.599999999999998</v>
      </c>
      <c r="BH43" s="12">
        <f t="shared" si="12"/>
        <v>1.6</v>
      </c>
      <c r="BI43" s="12">
        <f t="shared" si="12"/>
        <v>18.5</v>
      </c>
    </row>
    <row r="44" spans="1:61" ht="15.75" customHeight="1" x14ac:dyDescent="0.25">
      <c r="A44" s="1" t="s">
        <v>89</v>
      </c>
      <c r="B44" s="3" t="s">
        <v>84</v>
      </c>
      <c r="C44" s="4" t="s">
        <v>8</v>
      </c>
      <c r="D44" s="4">
        <v>43</v>
      </c>
      <c r="E44" s="4">
        <v>1011</v>
      </c>
      <c r="F44" s="4">
        <v>43</v>
      </c>
      <c r="G44" s="4">
        <v>1011</v>
      </c>
      <c r="H44" s="4">
        <v>15.2</v>
      </c>
      <c r="I44" s="4">
        <v>0.64200000000000002</v>
      </c>
      <c r="J44" s="4">
        <v>0.58799999999999997</v>
      </c>
      <c r="K44" s="4">
        <v>0.20100000000000001</v>
      </c>
      <c r="L44" s="4">
        <v>0.35199999999999998</v>
      </c>
      <c r="M44" s="4">
        <v>3.5</v>
      </c>
      <c r="N44" s="4">
        <v>6.9</v>
      </c>
      <c r="O44" s="4">
        <v>22.9</v>
      </c>
      <c r="P44" s="4">
        <v>1.8</v>
      </c>
      <c r="Q44" s="4">
        <v>0.5</v>
      </c>
      <c r="R44" s="4">
        <v>18.399999999999999</v>
      </c>
      <c r="S44" s="4">
        <v>17</v>
      </c>
      <c r="T44" s="4">
        <v>121</v>
      </c>
      <c r="U44" s="4">
        <v>111</v>
      </c>
      <c r="V44" s="4"/>
      <c r="W44" s="4">
        <v>2.6</v>
      </c>
      <c r="X44" s="4">
        <v>1.1000000000000001</v>
      </c>
      <c r="Y44" s="4">
        <v>3.6</v>
      </c>
      <c r="Z44" s="4">
        <v>0.14399999999999999</v>
      </c>
      <c r="AA44" s="13">
        <f>(I44/TOTAL_BASIC!$D$301)*100</f>
        <v>114.3517915852166</v>
      </c>
      <c r="AB44" s="5">
        <f t="shared" si="3"/>
        <v>1.21</v>
      </c>
      <c r="AC44" s="3">
        <f t="shared" si="1"/>
        <v>10</v>
      </c>
      <c r="AD44" s="9">
        <f t="shared" si="4"/>
        <v>1.284</v>
      </c>
      <c r="AE44" s="16">
        <f t="shared" si="5"/>
        <v>1.3470588235294116</v>
      </c>
      <c r="AF44" s="16">
        <f t="shared" si="6"/>
        <v>1.2445652173913044</v>
      </c>
      <c r="AG44" s="9"/>
      <c r="AH44" s="9"/>
      <c r="AI44" s="12">
        <f t="shared" si="7"/>
        <v>96.7</v>
      </c>
      <c r="AJ44" s="12">
        <f t="shared" si="8"/>
        <v>77.5</v>
      </c>
      <c r="AK44" s="12">
        <f t="shared" si="8"/>
        <v>62.2</v>
      </c>
      <c r="AL44" s="12">
        <f t="shared" si="8"/>
        <v>93.4</v>
      </c>
      <c r="AM44" s="12">
        <f t="shared" si="8"/>
        <v>90.100000000000009</v>
      </c>
      <c r="AN44" s="12">
        <f t="shared" si="8"/>
        <v>15.8</v>
      </c>
      <c r="AO44" s="12">
        <f t="shared" si="14"/>
        <v>67.7</v>
      </c>
      <c r="AP44" s="12">
        <f t="shared" si="14"/>
        <v>40.400000000000006</v>
      </c>
      <c r="AQ44" s="12">
        <f t="shared" si="14"/>
        <v>32.700000000000003</v>
      </c>
      <c r="AR44" s="12">
        <f t="shared" si="14"/>
        <v>81.899999999999991</v>
      </c>
      <c r="AS44" s="12">
        <f t="shared" si="15"/>
        <v>49.7</v>
      </c>
      <c r="AT44" s="12">
        <f t="shared" si="15"/>
        <v>16.3</v>
      </c>
      <c r="AU44" s="12">
        <f t="shared" si="9"/>
        <v>21.399999999999991</v>
      </c>
      <c r="AV44" s="12">
        <f t="shared" si="15"/>
        <v>32.200000000000003</v>
      </c>
      <c r="AW44" s="12">
        <f t="shared" si="16"/>
        <v>87.4</v>
      </c>
      <c r="AX44" s="12">
        <f t="shared" si="10"/>
        <v>47</v>
      </c>
      <c r="AY44" s="9"/>
      <c r="AZ44" s="12">
        <f t="shared" si="17"/>
        <v>87.9</v>
      </c>
      <c r="BA44" s="12">
        <f t="shared" si="13"/>
        <v>72.099999999999994</v>
      </c>
      <c r="BB44" s="12">
        <f t="shared" si="11"/>
        <v>84.6</v>
      </c>
      <c r="BC44" s="12">
        <f t="shared" si="11"/>
        <v>78.600000000000009</v>
      </c>
      <c r="BD44" s="12">
        <f t="shared" si="11"/>
        <v>93.4</v>
      </c>
      <c r="BE44" s="12">
        <f t="shared" si="11"/>
        <v>87.4</v>
      </c>
      <c r="BF44" s="12">
        <f t="shared" si="12"/>
        <v>78.100000000000009</v>
      </c>
      <c r="BG44" s="12">
        <f t="shared" si="12"/>
        <v>93.4</v>
      </c>
      <c r="BH44" s="12">
        <f t="shared" si="12"/>
        <v>88.5</v>
      </c>
      <c r="BI44" s="12">
        <f t="shared" si="12"/>
        <v>70.399999999999991</v>
      </c>
    </row>
    <row r="45" spans="1:61" ht="15.75" customHeight="1" x14ac:dyDescent="0.25">
      <c r="A45" s="1" t="s">
        <v>145</v>
      </c>
      <c r="B45" s="3" t="s">
        <v>114</v>
      </c>
      <c r="C45" s="4" t="s">
        <v>8</v>
      </c>
      <c r="D45" s="4">
        <v>41</v>
      </c>
      <c r="E45" s="4">
        <v>1010</v>
      </c>
      <c r="F45" s="4">
        <v>41</v>
      </c>
      <c r="G45" s="4">
        <v>1010</v>
      </c>
      <c r="H45" s="4">
        <v>12.2</v>
      </c>
      <c r="I45" s="4">
        <v>0.55500000000000005</v>
      </c>
      <c r="J45" s="4">
        <v>0.49099999999999999</v>
      </c>
      <c r="K45" s="4">
        <v>0.36299999999999999</v>
      </c>
      <c r="L45" s="4">
        <v>0.44</v>
      </c>
      <c r="M45" s="4">
        <v>1.8</v>
      </c>
      <c r="N45" s="4">
        <v>5</v>
      </c>
      <c r="O45" s="4">
        <v>25.3</v>
      </c>
      <c r="P45" s="4">
        <v>1.8</v>
      </c>
      <c r="Q45" s="4">
        <v>0.8</v>
      </c>
      <c r="R45" s="4">
        <v>17.7</v>
      </c>
      <c r="S45" s="4">
        <v>17.8</v>
      </c>
      <c r="T45" s="4">
        <v>107</v>
      </c>
      <c r="U45" s="4">
        <v>114</v>
      </c>
      <c r="V45" s="4"/>
      <c r="W45" s="4">
        <v>0.9</v>
      </c>
      <c r="X45" s="4">
        <v>0.6</v>
      </c>
      <c r="Y45" s="4">
        <v>1.6</v>
      </c>
      <c r="Z45" s="4">
        <v>6.2E-2</v>
      </c>
      <c r="AA45" s="13">
        <f>(I45/TOTAL_BASIC!$D$301)*100</f>
        <v>98.855520762920889</v>
      </c>
      <c r="AB45" s="5">
        <f t="shared" si="3"/>
        <v>1.07</v>
      </c>
      <c r="AC45" s="3">
        <f t="shared" si="1"/>
        <v>-7</v>
      </c>
      <c r="AD45" s="9">
        <f t="shared" si="4"/>
        <v>1.1100000000000001</v>
      </c>
      <c r="AE45" s="16">
        <f t="shared" si="5"/>
        <v>1.4213483146067416</v>
      </c>
      <c r="AF45" s="16">
        <f t="shared" si="6"/>
        <v>1.4293785310734464</v>
      </c>
      <c r="AG45" s="9"/>
      <c r="AH45" s="9"/>
      <c r="AI45" s="12">
        <f t="shared" si="7"/>
        <v>69.3</v>
      </c>
      <c r="AJ45" s="12">
        <f t="shared" si="8"/>
        <v>77</v>
      </c>
      <c r="AK45" s="12">
        <f t="shared" si="8"/>
        <v>44.800000000000004</v>
      </c>
      <c r="AL45" s="12">
        <f t="shared" si="8"/>
        <v>48</v>
      </c>
      <c r="AM45" s="12">
        <f t="shared" si="8"/>
        <v>39.800000000000004</v>
      </c>
      <c r="AN45" s="12">
        <f t="shared" si="8"/>
        <v>39.800000000000004</v>
      </c>
      <c r="AO45" s="12">
        <f t="shared" si="14"/>
        <v>83.6</v>
      </c>
      <c r="AP45" s="12">
        <f t="shared" si="14"/>
        <v>12</v>
      </c>
      <c r="AQ45" s="12">
        <f t="shared" si="14"/>
        <v>12</v>
      </c>
      <c r="AR45" s="12">
        <f t="shared" si="14"/>
        <v>85.7</v>
      </c>
      <c r="AS45" s="12">
        <f t="shared" si="15"/>
        <v>49.7</v>
      </c>
      <c r="AT45" s="12">
        <f t="shared" si="15"/>
        <v>28.4</v>
      </c>
      <c r="AU45" s="12">
        <f t="shared" si="9"/>
        <v>27.900000000000006</v>
      </c>
      <c r="AV45" s="12">
        <f t="shared" si="15"/>
        <v>44.800000000000004</v>
      </c>
      <c r="AW45" s="12">
        <f t="shared" si="16"/>
        <v>50.8</v>
      </c>
      <c r="AX45" s="12">
        <f t="shared" si="10"/>
        <v>25.700000000000003</v>
      </c>
      <c r="AY45" s="9"/>
      <c r="AZ45" s="12">
        <f t="shared" si="17"/>
        <v>66.100000000000009</v>
      </c>
      <c r="BA45" s="12">
        <f t="shared" si="13"/>
        <v>47.5</v>
      </c>
      <c r="BB45" s="12">
        <f t="shared" si="11"/>
        <v>65</v>
      </c>
      <c r="BC45" s="12">
        <f t="shared" si="11"/>
        <v>40.400000000000006</v>
      </c>
      <c r="BD45" s="12">
        <f t="shared" si="11"/>
        <v>48</v>
      </c>
      <c r="BE45" s="12">
        <f t="shared" si="11"/>
        <v>50.8</v>
      </c>
      <c r="BF45" s="12">
        <f t="shared" si="12"/>
        <v>38.200000000000003</v>
      </c>
      <c r="BG45" s="12">
        <f t="shared" si="12"/>
        <v>48</v>
      </c>
      <c r="BH45" s="12">
        <f t="shared" si="12"/>
        <v>90.7</v>
      </c>
      <c r="BI45" s="12">
        <f t="shared" si="12"/>
        <v>76.5</v>
      </c>
    </row>
    <row r="46" spans="1:61" ht="15.75" customHeight="1" x14ac:dyDescent="0.25">
      <c r="A46" s="1" t="s">
        <v>170</v>
      </c>
      <c r="B46" s="3" t="s">
        <v>107</v>
      </c>
      <c r="C46" s="4" t="s">
        <v>8</v>
      </c>
      <c r="D46" s="4">
        <v>42</v>
      </c>
      <c r="E46" s="4">
        <v>997</v>
      </c>
      <c r="F46" s="4">
        <v>42</v>
      </c>
      <c r="G46" s="4">
        <v>997</v>
      </c>
      <c r="H46" s="4">
        <v>9.1999999999999993</v>
      </c>
      <c r="I46" s="4">
        <v>0.48499999999999999</v>
      </c>
      <c r="J46" s="4">
        <v>0.44800000000000001</v>
      </c>
      <c r="K46" s="4">
        <v>0.437</v>
      </c>
      <c r="L46" s="4">
        <v>0.21</v>
      </c>
      <c r="M46" s="4">
        <v>1.5</v>
      </c>
      <c r="N46" s="4">
        <v>6.2</v>
      </c>
      <c r="O46" s="4">
        <v>25.6</v>
      </c>
      <c r="P46" s="4">
        <v>1.7</v>
      </c>
      <c r="Q46" s="4">
        <v>1</v>
      </c>
      <c r="R46" s="4">
        <v>19.8</v>
      </c>
      <c r="S46" s="4">
        <v>17.2</v>
      </c>
      <c r="T46" s="4">
        <v>95</v>
      </c>
      <c r="U46" s="4">
        <v>114</v>
      </c>
      <c r="V46" s="4"/>
      <c r="W46" s="4">
        <v>-0.7</v>
      </c>
      <c r="X46" s="4">
        <v>0.6</v>
      </c>
      <c r="Y46" s="4">
        <v>-0.2</v>
      </c>
      <c r="Z46" s="4">
        <v>-6.0000000000000001E-3</v>
      </c>
      <c r="AA46" s="13">
        <f>(I46/TOTAL_BASIC!$D$301)*100</f>
        <v>86.387256882912851</v>
      </c>
      <c r="AB46" s="5">
        <f t="shared" si="3"/>
        <v>0.95</v>
      </c>
      <c r="AC46" s="3">
        <f t="shared" si="1"/>
        <v>-19</v>
      </c>
      <c r="AD46" s="9">
        <f t="shared" si="4"/>
        <v>0.97</v>
      </c>
      <c r="AE46" s="16">
        <f t="shared" si="5"/>
        <v>1.488372093023256</v>
      </c>
      <c r="AF46" s="16">
        <f t="shared" si="6"/>
        <v>1.292929292929293</v>
      </c>
      <c r="AG46" s="9"/>
      <c r="AH46" s="9"/>
      <c r="AI46" s="12">
        <f t="shared" si="7"/>
        <v>83</v>
      </c>
      <c r="AJ46" s="12">
        <f t="shared" si="8"/>
        <v>76.5</v>
      </c>
      <c r="AK46" s="12">
        <f t="shared" si="8"/>
        <v>19.600000000000001</v>
      </c>
      <c r="AL46" s="12">
        <f t="shared" si="8"/>
        <v>14.2</v>
      </c>
      <c r="AM46" s="12">
        <f t="shared" si="8"/>
        <v>17.399999999999999</v>
      </c>
      <c r="AN46" s="12">
        <f t="shared" si="8"/>
        <v>57.9</v>
      </c>
      <c r="AO46" s="12">
        <f t="shared" si="14"/>
        <v>27.3</v>
      </c>
      <c r="AP46" s="12">
        <f t="shared" si="14"/>
        <v>9.8000000000000007</v>
      </c>
      <c r="AQ46" s="12">
        <f t="shared" si="14"/>
        <v>22.900000000000002</v>
      </c>
      <c r="AR46" s="12">
        <f t="shared" si="14"/>
        <v>86.8</v>
      </c>
      <c r="AS46" s="12">
        <f t="shared" si="15"/>
        <v>43.7</v>
      </c>
      <c r="AT46" s="12">
        <f t="shared" si="15"/>
        <v>40.9</v>
      </c>
      <c r="AU46" s="12">
        <f t="shared" si="9"/>
        <v>14.299999999999997</v>
      </c>
      <c r="AV46" s="12">
        <f t="shared" si="15"/>
        <v>36</v>
      </c>
      <c r="AW46" s="12">
        <f t="shared" si="16"/>
        <v>10.9</v>
      </c>
      <c r="AX46" s="12">
        <f t="shared" si="10"/>
        <v>25.700000000000003</v>
      </c>
      <c r="AY46" s="9"/>
      <c r="AZ46" s="12">
        <f t="shared" si="17"/>
        <v>3.2</v>
      </c>
      <c r="BA46" s="12">
        <f t="shared" si="13"/>
        <v>47.5</v>
      </c>
      <c r="BB46" s="12">
        <f t="shared" si="11"/>
        <v>6.5</v>
      </c>
      <c r="BC46" s="12">
        <f t="shared" si="11"/>
        <v>9.8000000000000007</v>
      </c>
      <c r="BD46" s="12">
        <f t="shared" si="11"/>
        <v>14.2</v>
      </c>
      <c r="BE46" s="12">
        <f t="shared" si="11"/>
        <v>10.9</v>
      </c>
      <c r="BF46" s="12">
        <f t="shared" si="12"/>
        <v>9.8000000000000007</v>
      </c>
      <c r="BG46" s="12">
        <f t="shared" si="12"/>
        <v>14.2</v>
      </c>
      <c r="BH46" s="12">
        <f t="shared" si="12"/>
        <v>92.800000000000011</v>
      </c>
      <c r="BI46" s="12">
        <f t="shared" si="12"/>
        <v>72.099999999999994</v>
      </c>
    </row>
    <row r="47" spans="1:61" ht="15.75" customHeight="1" x14ac:dyDescent="0.25">
      <c r="A47" s="1" t="s">
        <v>245</v>
      </c>
      <c r="B47" s="4" t="s">
        <v>114</v>
      </c>
      <c r="C47" s="4" t="s">
        <v>88</v>
      </c>
      <c r="D47" s="4">
        <v>36</v>
      </c>
      <c r="E47" s="4">
        <v>989</v>
      </c>
      <c r="F47" s="4">
        <v>36</v>
      </c>
      <c r="G47" s="4">
        <v>989</v>
      </c>
      <c r="H47" s="4">
        <v>12.7</v>
      </c>
      <c r="I47" s="4">
        <v>0.53800000000000003</v>
      </c>
      <c r="J47" s="4">
        <v>0.51900000000000002</v>
      </c>
      <c r="K47" s="4">
        <v>0.48099999999999998</v>
      </c>
      <c r="L47" s="4">
        <v>0.12</v>
      </c>
      <c r="M47" s="4">
        <v>8</v>
      </c>
      <c r="N47" s="4">
        <v>12.3</v>
      </c>
      <c r="O47" s="4">
        <v>11.3</v>
      </c>
      <c r="P47" s="4">
        <v>1.5</v>
      </c>
      <c r="Q47" s="4">
        <v>2.6</v>
      </c>
      <c r="R47" s="4">
        <v>15.5</v>
      </c>
      <c r="S47" s="4">
        <v>17.399999999999999</v>
      </c>
      <c r="T47" s="4">
        <v>103</v>
      </c>
      <c r="U47" s="4">
        <v>111</v>
      </c>
      <c r="V47" s="4"/>
      <c r="W47" s="4">
        <v>0.3</v>
      </c>
      <c r="X47" s="4">
        <v>1</v>
      </c>
      <c r="Y47" s="4">
        <v>1.3</v>
      </c>
      <c r="Z47" s="4">
        <v>5.2999999999999999E-2</v>
      </c>
      <c r="AA47" s="13">
        <f>(I47/TOTAL_BASIC!$D$301)*100</f>
        <v>95.827513820633229</v>
      </c>
      <c r="AB47" s="5">
        <f t="shared" si="3"/>
        <v>1.03</v>
      </c>
      <c r="AC47" s="3">
        <f t="shared" si="1"/>
        <v>-8</v>
      </c>
      <c r="AD47" s="9">
        <f t="shared" si="4"/>
        <v>1.0760000000000001</v>
      </c>
      <c r="AE47" s="16">
        <f t="shared" si="5"/>
        <v>0.64942528735632188</v>
      </c>
      <c r="AF47" s="16">
        <f t="shared" si="6"/>
        <v>0.72903225806451621</v>
      </c>
      <c r="AG47" s="9"/>
      <c r="AH47" s="9"/>
      <c r="AI47" s="12">
        <f t="shared" si="7"/>
        <v>45.300000000000004</v>
      </c>
      <c r="AJ47" s="12">
        <f t="shared" si="8"/>
        <v>75.900000000000006</v>
      </c>
      <c r="AK47" s="12">
        <f t="shared" si="8"/>
        <v>49.7</v>
      </c>
      <c r="AL47" s="12">
        <f t="shared" si="8"/>
        <v>39.800000000000004</v>
      </c>
      <c r="AM47" s="12">
        <f t="shared" si="8"/>
        <v>54</v>
      </c>
      <c r="AN47" s="12">
        <f t="shared" si="8"/>
        <v>64.400000000000006</v>
      </c>
      <c r="AO47" s="12">
        <f t="shared" si="14"/>
        <v>9.1999999999999993</v>
      </c>
      <c r="AP47" s="12">
        <f t="shared" si="14"/>
        <v>78.600000000000009</v>
      </c>
      <c r="AQ47" s="12">
        <f t="shared" si="14"/>
        <v>74.8</v>
      </c>
      <c r="AR47" s="12">
        <f t="shared" si="14"/>
        <v>35.5</v>
      </c>
      <c r="AS47" s="12">
        <f t="shared" si="15"/>
        <v>33.800000000000004</v>
      </c>
      <c r="AT47" s="12">
        <f t="shared" si="15"/>
        <v>74.8</v>
      </c>
      <c r="AU47" s="12">
        <f t="shared" si="9"/>
        <v>43.8</v>
      </c>
      <c r="AV47" s="12">
        <f t="shared" si="15"/>
        <v>39.300000000000004</v>
      </c>
      <c r="AW47" s="12">
        <f t="shared" si="16"/>
        <v>34.4</v>
      </c>
      <c r="AX47" s="12">
        <f t="shared" si="10"/>
        <v>47</v>
      </c>
      <c r="AY47" s="9"/>
      <c r="AZ47" s="12">
        <f t="shared" si="17"/>
        <v>42</v>
      </c>
      <c r="BA47" s="12">
        <f t="shared" si="13"/>
        <v>67.7</v>
      </c>
      <c r="BB47" s="12">
        <f t="shared" si="11"/>
        <v>59.5</v>
      </c>
      <c r="BC47" s="12">
        <f t="shared" si="11"/>
        <v>37.1</v>
      </c>
      <c r="BD47" s="12">
        <f t="shared" si="11"/>
        <v>39.800000000000004</v>
      </c>
      <c r="BE47" s="12">
        <f t="shared" si="11"/>
        <v>34.4</v>
      </c>
      <c r="BF47" s="12">
        <f t="shared" si="12"/>
        <v>36.6</v>
      </c>
      <c r="BG47" s="12">
        <f t="shared" si="12"/>
        <v>39.800000000000004</v>
      </c>
      <c r="BH47" s="12">
        <f t="shared" si="12"/>
        <v>40.400000000000006</v>
      </c>
      <c r="BI47" s="12">
        <f t="shared" si="12"/>
        <v>27.800000000000004</v>
      </c>
    </row>
    <row r="48" spans="1:61" ht="15.75" customHeight="1" x14ac:dyDescent="0.25">
      <c r="A48" s="1" t="s">
        <v>175</v>
      </c>
      <c r="B48" s="3" t="s">
        <v>232</v>
      </c>
      <c r="C48" s="4" t="s">
        <v>8</v>
      </c>
      <c r="D48" s="4">
        <v>38</v>
      </c>
      <c r="E48" s="4">
        <v>986</v>
      </c>
      <c r="F48" s="4">
        <v>38</v>
      </c>
      <c r="G48" s="4">
        <v>986</v>
      </c>
      <c r="H48" s="4">
        <v>20</v>
      </c>
      <c r="I48" s="4">
        <v>0.60699999999999998</v>
      </c>
      <c r="J48" s="4">
        <v>0.50900000000000001</v>
      </c>
      <c r="K48" s="4">
        <v>0.22800000000000001</v>
      </c>
      <c r="L48" s="4">
        <v>0.60799999999999998</v>
      </c>
      <c r="M48" s="4">
        <v>2.9</v>
      </c>
      <c r="N48" s="4">
        <v>5.2</v>
      </c>
      <c r="O48" s="4">
        <v>42.7</v>
      </c>
      <c r="P48" s="4">
        <v>1.3</v>
      </c>
      <c r="Q48" s="4">
        <v>0.2</v>
      </c>
      <c r="R48" s="4">
        <v>20.2</v>
      </c>
      <c r="S48" s="4">
        <v>28.6</v>
      </c>
      <c r="T48" s="4">
        <v>115</v>
      </c>
      <c r="U48" s="4">
        <v>120</v>
      </c>
      <c r="V48" s="4"/>
      <c r="W48" s="4">
        <v>3.1</v>
      </c>
      <c r="X48" s="4">
        <v>-0.2</v>
      </c>
      <c r="Y48" s="4">
        <v>2.9</v>
      </c>
      <c r="Z48" s="4">
        <v>0.11600000000000001</v>
      </c>
      <c r="AA48" s="13">
        <f>(I48/TOTAL_BASIC!$D$301)*100</f>
        <v>108.11765964521256</v>
      </c>
      <c r="AB48" s="5">
        <f t="shared" si="3"/>
        <v>1.1499999999999999</v>
      </c>
      <c r="AC48" s="3">
        <f t="shared" si="1"/>
        <v>-5</v>
      </c>
      <c r="AD48" s="9">
        <f t="shared" si="4"/>
        <v>1.214</v>
      </c>
      <c r="AE48" s="16">
        <f t="shared" si="5"/>
        <v>1.4930069930069931</v>
      </c>
      <c r="AF48" s="16">
        <f t="shared" si="6"/>
        <v>2.113861386138614</v>
      </c>
      <c r="AG48" s="9"/>
      <c r="AH48" s="9"/>
      <c r="AI48" s="12">
        <f t="shared" si="7"/>
        <v>53</v>
      </c>
      <c r="AJ48" s="12">
        <f t="shared" si="8"/>
        <v>75.400000000000006</v>
      </c>
      <c r="AK48" s="12">
        <f t="shared" si="8"/>
        <v>85.2</v>
      </c>
      <c r="AL48" s="12">
        <f t="shared" si="8"/>
        <v>80.800000000000011</v>
      </c>
      <c r="AM48" s="12">
        <f t="shared" si="8"/>
        <v>50.2</v>
      </c>
      <c r="AN48" s="12">
        <f t="shared" si="8"/>
        <v>18.5</v>
      </c>
      <c r="AO48" s="12">
        <f t="shared" si="14"/>
        <v>97.8</v>
      </c>
      <c r="AP48" s="12">
        <f t="shared" si="14"/>
        <v>32.200000000000003</v>
      </c>
      <c r="AQ48" s="12">
        <f t="shared" si="14"/>
        <v>15.299999999999999</v>
      </c>
      <c r="AR48" s="12">
        <f t="shared" si="14"/>
        <v>98.3</v>
      </c>
      <c r="AS48" s="12">
        <f t="shared" si="15"/>
        <v>22.900000000000002</v>
      </c>
      <c r="AT48" s="12">
        <f t="shared" si="15"/>
        <v>5.4</v>
      </c>
      <c r="AU48" s="12">
        <f t="shared" si="9"/>
        <v>12.599999999999994</v>
      </c>
      <c r="AV48" s="12">
        <f t="shared" si="15"/>
        <v>94.5</v>
      </c>
      <c r="AW48" s="12">
        <f t="shared" si="16"/>
        <v>73.7</v>
      </c>
      <c r="AX48" s="12">
        <f t="shared" si="10"/>
        <v>3.2999999999999972</v>
      </c>
      <c r="AY48" s="9"/>
      <c r="AZ48" s="12">
        <f t="shared" si="17"/>
        <v>90.100000000000009</v>
      </c>
      <c r="BA48" s="12">
        <f t="shared" si="13"/>
        <v>2.1</v>
      </c>
      <c r="BB48" s="12">
        <f t="shared" si="11"/>
        <v>78.100000000000009</v>
      </c>
      <c r="BC48" s="12">
        <f t="shared" si="11"/>
        <v>69.899999999999991</v>
      </c>
      <c r="BD48" s="12">
        <f t="shared" si="11"/>
        <v>80.800000000000011</v>
      </c>
      <c r="BE48" s="12">
        <f t="shared" si="11"/>
        <v>73.7</v>
      </c>
      <c r="BF48" s="12">
        <f t="shared" si="12"/>
        <v>45.300000000000004</v>
      </c>
      <c r="BG48" s="12">
        <f t="shared" si="12"/>
        <v>80.800000000000011</v>
      </c>
      <c r="BH48" s="12">
        <f t="shared" si="12"/>
        <v>93.4</v>
      </c>
      <c r="BI48" s="12">
        <f t="shared" si="12"/>
        <v>95</v>
      </c>
    </row>
    <row r="49" spans="1:61" ht="15.75" customHeight="1" x14ac:dyDescent="0.25">
      <c r="A49" s="1" t="s">
        <v>188</v>
      </c>
      <c r="B49" s="3" t="s">
        <v>93</v>
      </c>
      <c r="C49" s="4" t="s">
        <v>112</v>
      </c>
      <c r="D49" s="4">
        <v>42</v>
      </c>
      <c r="E49" s="4">
        <v>984</v>
      </c>
      <c r="F49" s="4">
        <v>42</v>
      </c>
      <c r="G49" s="4">
        <v>984</v>
      </c>
      <c r="H49" s="4">
        <v>9.6999999999999993</v>
      </c>
      <c r="I49" s="4">
        <v>0.55000000000000004</v>
      </c>
      <c r="J49" s="4">
        <v>0.54100000000000004</v>
      </c>
      <c r="K49" s="4">
        <v>0.496</v>
      </c>
      <c r="L49" s="4">
        <v>7.8E-2</v>
      </c>
      <c r="M49" s="4">
        <v>2</v>
      </c>
      <c r="N49" s="4">
        <v>5.3</v>
      </c>
      <c r="O49" s="4">
        <v>12.6</v>
      </c>
      <c r="P49" s="4">
        <v>2.2000000000000002</v>
      </c>
      <c r="Q49" s="4">
        <v>0.9</v>
      </c>
      <c r="R49" s="4">
        <v>14.6</v>
      </c>
      <c r="S49" s="4">
        <v>12.9</v>
      </c>
      <c r="T49" s="4">
        <v>102</v>
      </c>
      <c r="U49" s="4">
        <v>112</v>
      </c>
      <c r="V49" s="4"/>
      <c r="W49" s="4">
        <v>0.2</v>
      </c>
      <c r="X49" s="4">
        <v>0.8</v>
      </c>
      <c r="Y49" s="4">
        <v>1</v>
      </c>
      <c r="Z49" s="4">
        <v>0.04</v>
      </c>
      <c r="AA49" s="13">
        <f>(I49/TOTAL_BASIC!$D$301)*100</f>
        <v>97.964930485777458</v>
      </c>
      <c r="AB49" s="5">
        <f t="shared" si="3"/>
        <v>1.02</v>
      </c>
      <c r="AC49" s="3">
        <f t="shared" si="1"/>
        <v>-10</v>
      </c>
      <c r="AD49" s="9">
        <f t="shared" si="4"/>
        <v>1.1000000000000001</v>
      </c>
      <c r="AE49" s="16">
        <f t="shared" si="5"/>
        <v>0.97674418604651159</v>
      </c>
      <c r="AF49" s="16">
        <f t="shared" si="6"/>
        <v>0.86301369863013699</v>
      </c>
      <c r="AG49" s="9"/>
      <c r="AH49" s="9"/>
      <c r="AI49" s="12">
        <f t="shared" si="7"/>
        <v>83</v>
      </c>
      <c r="AJ49" s="12">
        <f t="shared" si="8"/>
        <v>74.8</v>
      </c>
      <c r="AK49" s="12">
        <f t="shared" si="8"/>
        <v>24</v>
      </c>
      <c r="AL49" s="12">
        <f t="shared" si="8"/>
        <v>44.800000000000004</v>
      </c>
      <c r="AM49" s="12">
        <f t="shared" si="8"/>
        <v>67.2</v>
      </c>
      <c r="AN49" s="12">
        <f t="shared" si="8"/>
        <v>68.300000000000011</v>
      </c>
      <c r="AO49" s="12">
        <f t="shared" si="14"/>
        <v>3.2</v>
      </c>
      <c r="AP49" s="12">
        <f t="shared" si="14"/>
        <v>15.299999999999999</v>
      </c>
      <c r="AQ49" s="12">
        <f t="shared" si="14"/>
        <v>15.8</v>
      </c>
      <c r="AR49" s="12">
        <f t="shared" si="14"/>
        <v>47.5</v>
      </c>
      <c r="AS49" s="12">
        <f t="shared" si="15"/>
        <v>74.3</v>
      </c>
      <c r="AT49" s="12">
        <f t="shared" si="15"/>
        <v>34.4</v>
      </c>
      <c r="AU49" s="12">
        <f t="shared" si="9"/>
        <v>51.4</v>
      </c>
      <c r="AV49" s="12">
        <f t="shared" si="15"/>
        <v>10.9</v>
      </c>
      <c r="AW49" s="12">
        <f t="shared" si="16"/>
        <v>32.700000000000003</v>
      </c>
      <c r="AX49" s="12">
        <f t="shared" si="10"/>
        <v>38.800000000000004</v>
      </c>
      <c r="AY49" s="9"/>
      <c r="AZ49" s="12">
        <f t="shared" si="17"/>
        <v>37.700000000000003</v>
      </c>
      <c r="BA49" s="12">
        <f t="shared" si="13"/>
        <v>59</v>
      </c>
      <c r="BB49" s="12">
        <f t="shared" si="11"/>
        <v>49.1</v>
      </c>
      <c r="BC49" s="12">
        <f t="shared" si="11"/>
        <v>30</v>
      </c>
      <c r="BD49" s="12">
        <f t="shared" si="11"/>
        <v>44.800000000000004</v>
      </c>
      <c r="BE49" s="12">
        <f t="shared" si="11"/>
        <v>32.700000000000003</v>
      </c>
      <c r="BF49" s="12">
        <f t="shared" si="12"/>
        <v>30.599999999999998</v>
      </c>
      <c r="BG49" s="12">
        <f t="shared" si="12"/>
        <v>44.800000000000004</v>
      </c>
      <c r="BH49" s="12">
        <f t="shared" si="12"/>
        <v>71</v>
      </c>
      <c r="BI49" s="12">
        <f t="shared" si="12"/>
        <v>36</v>
      </c>
    </row>
    <row r="50" spans="1:61" ht="15.75" customHeight="1" x14ac:dyDescent="0.25">
      <c r="A50" s="1" t="s">
        <v>194</v>
      </c>
      <c r="B50" s="3" t="s">
        <v>140</v>
      </c>
      <c r="C50" s="4" t="s">
        <v>8</v>
      </c>
      <c r="D50" s="4">
        <v>42</v>
      </c>
      <c r="E50" s="4">
        <v>965</v>
      </c>
      <c r="F50" s="4">
        <v>42</v>
      </c>
      <c r="G50" s="4">
        <v>965</v>
      </c>
      <c r="H50" s="4">
        <v>7</v>
      </c>
      <c r="I50" s="4">
        <v>0.52400000000000002</v>
      </c>
      <c r="J50" s="4">
        <v>0.49199999999999999</v>
      </c>
      <c r="K50" s="4">
        <v>0.71799999999999997</v>
      </c>
      <c r="L50" s="4">
        <v>0.161</v>
      </c>
      <c r="M50" s="4">
        <v>1.4</v>
      </c>
      <c r="N50" s="4">
        <v>3.7</v>
      </c>
      <c r="O50" s="4">
        <v>24.1</v>
      </c>
      <c r="P50" s="4">
        <v>0.8</v>
      </c>
      <c r="Q50" s="4">
        <v>0.5</v>
      </c>
      <c r="R50" s="4">
        <v>23.5</v>
      </c>
      <c r="S50" s="4">
        <v>16.5</v>
      </c>
      <c r="T50" s="4">
        <v>98</v>
      </c>
      <c r="U50" s="4">
        <v>110</v>
      </c>
      <c r="V50" s="4"/>
      <c r="W50" s="4">
        <v>-0.2</v>
      </c>
      <c r="X50" s="4">
        <v>1.1000000000000001</v>
      </c>
      <c r="Y50" s="4">
        <v>0.8</v>
      </c>
      <c r="Z50" s="4">
        <v>3.4000000000000002E-2</v>
      </c>
      <c r="AA50" s="13">
        <f>(I50/TOTAL_BASIC!$D$301)*100</f>
        <v>93.333861044631604</v>
      </c>
      <c r="AB50" s="5">
        <f t="shared" si="3"/>
        <v>0.98</v>
      </c>
      <c r="AC50" s="3">
        <f t="shared" si="1"/>
        <v>-12</v>
      </c>
      <c r="AD50" s="9">
        <f t="shared" si="4"/>
        <v>1.048</v>
      </c>
      <c r="AE50" s="16">
        <f t="shared" si="5"/>
        <v>1.4606060606060607</v>
      </c>
      <c r="AF50" s="16">
        <f t="shared" si="6"/>
        <v>1.0255319148936171</v>
      </c>
      <c r="AG50" s="9"/>
      <c r="AH50" s="9"/>
      <c r="AI50" s="12">
        <f t="shared" si="7"/>
        <v>83</v>
      </c>
      <c r="AJ50" s="12">
        <f t="shared" si="8"/>
        <v>74.3</v>
      </c>
      <c r="AK50" s="12">
        <f t="shared" si="8"/>
        <v>6</v>
      </c>
      <c r="AL50" s="12">
        <f t="shared" si="8"/>
        <v>33.800000000000004</v>
      </c>
      <c r="AM50" s="12">
        <f t="shared" si="8"/>
        <v>40.400000000000006</v>
      </c>
      <c r="AN50" s="12">
        <f t="shared" si="8"/>
        <v>94.5</v>
      </c>
      <c r="AO50" s="12">
        <f t="shared" si="14"/>
        <v>15.8</v>
      </c>
      <c r="AP50" s="12">
        <f t="shared" si="14"/>
        <v>8.6999999999999993</v>
      </c>
      <c r="AQ50" s="12">
        <f t="shared" si="14"/>
        <v>2.1</v>
      </c>
      <c r="AR50" s="12">
        <f t="shared" si="14"/>
        <v>83.6</v>
      </c>
      <c r="AS50" s="12">
        <f t="shared" si="15"/>
        <v>4.9000000000000004</v>
      </c>
      <c r="AT50" s="12">
        <f t="shared" si="15"/>
        <v>16.3</v>
      </c>
      <c r="AU50" s="12">
        <f t="shared" si="9"/>
        <v>5</v>
      </c>
      <c r="AV50" s="12">
        <f t="shared" si="15"/>
        <v>28.9</v>
      </c>
      <c r="AW50" s="12">
        <f t="shared" si="16"/>
        <v>18</v>
      </c>
      <c r="AX50" s="12">
        <f t="shared" si="10"/>
        <v>56.3</v>
      </c>
      <c r="AY50" s="9"/>
      <c r="AZ50" s="12">
        <f t="shared" si="17"/>
        <v>15.8</v>
      </c>
      <c r="BA50" s="12">
        <f t="shared" si="13"/>
        <v>72.099999999999994</v>
      </c>
      <c r="BB50" s="12">
        <f t="shared" si="11"/>
        <v>40.400000000000006</v>
      </c>
      <c r="BC50" s="12">
        <f t="shared" si="11"/>
        <v>26.200000000000003</v>
      </c>
      <c r="BD50" s="12">
        <f t="shared" si="11"/>
        <v>33.800000000000004</v>
      </c>
      <c r="BE50" s="12">
        <f t="shared" si="11"/>
        <v>18</v>
      </c>
      <c r="BF50" s="12">
        <f t="shared" si="12"/>
        <v>22.400000000000002</v>
      </c>
      <c r="BG50" s="12">
        <f t="shared" si="12"/>
        <v>33.800000000000004</v>
      </c>
      <c r="BH50" s="12">
        <f t="shared" si="12"/>
        <v>91.2</v>
      </c>
      <c r="BI50" s="12">
        <f t="shared" si="12"/>
        <v>53</v>
      </c>
    </row>
    <row r="51" spans="1:61" ht="15.75" customHeight="1" x14ac:dyDescent="0.25">
      <c r="A51" s="1" t="s">
        <v>278</v>
      </c>
      <c r="B51" s="3" t="s">
        <v>232</v>
      </c>
      <c r="C51" s="4" t="s">
        <v>88</v>
      </c>
      <c r="D51" s="4">
        <v>40</v>
      </c>
      <c r="E51" s="4">
        <v>961</v>
      </c>
      <c r="F51" s="4">
        <v>40</v>
      </c>
      <c r="G51" s="4">
        <v>961</v>
      </c>
      <c r="H51" s="4">
        <v>19.600000000000001</v>
      </c>
      <c r="I51" s="4">
        <v>0.64500000000000002</v>
      </c>
      <c r="J51" s="4">
        <v>0.61899999999999999</v>
      </c>
      <c r="K51" s="4">
        <v>0.39500000000000002</v>
      </c>
      <c r="L51" s="4">
        <v>0.214</v>
      </c>
      <c r="M51" s="4">
        <v>7.3</v>
      </c>
      <c r="N51" s="4">
        <v>11.1</v>
      </c>
      <c r="O51" s="4">
        <v>7.1</v>
      </c>
      <c r="P51" s="4">
        <v>0.9</v>
      </c>
      <c r="Q51" s="4">
        <v>2.6</v>
      </c>
      <c r="R51" s="4">
        <v>6.9</v>
      </c>
      <c r="S51" s="4">
        <v>20.3</v>
      </c>
      <c r="T51" s="4">
        <v>126</v>
      </c>
      <c r="U51" s="4">
        <v>117</v>
      </c>
      <c r="V51" s="4"/>
      <c r="W51" s="4">
        <v>3.2</v>
      </c>
      <c r="X51" s="4">
        <v>0.1</v>
      </c>
      <c r="Y51" s="4">
        <v>3.4</v>
      </c>
      <c r="Z51" s="4">
        <v>0.14099999999999999</v>
      </c>
      <c r="AA51" s="13">
        <f>(I51/TOTAL_BASIC!$D$301)*100</f>
        <v>114.88614575150264</v>
      </c>
      <c r="AB51" s="5">
        <f t="shared" si="3"/>
        <v>1.26</v>
      </c>
      <c r="AC51" s="3">
        <f t="shared" si="1"/>
        <v>9</v>
      </c>
      <c r="AD51" s="9">
        <f t="shared" si="4"/>
        <v>1.29</v>
      </c>
      <c r="AE51" s="16">
        <f t="shared" si="5"/>
        <v>0.34975369458128075</v>
      </c>
      <c r="AF51" s="16">
        <f t="shared" si="6"/>
        <v>1.0289855072463767</v>
      </c>
      <c r="AG51" s="9"/>
      <c r="AH51" s="9"/>
      <c r="AI51" s="12">
        <f t="shared" si="7"/>
        <v>63.9</v>
      </c>
      <c r="AJ51" s="12">
        <f t="shared" si="8"/>
        <v>73.7</v>
      </c>
      <c r="AK51" s="12">
        <f t="shared" si="8"/>
        <v>83</v>
      </c>
      <c r="AL51" s="12">
        <f t="shared" si="8"/>
        <v>95</v>
      </c>
      <c r="AM51" s="12">
        <f t="shared" si="8"/>
        <v>96.7</v>
      </c>
      <c r="AN51" s="12">
        <f t="shared" si="8"/>
        <v>46.400000000000006</v>
      </c>
      <c r="AO51" s="12">
        <f t="shared" si="14"/>
        <v>28.4</v>
      </c>
      <c r="AP51" s="12">
        <f t="shared" si="14"/>
        <v>72.599999999999994</v>
      </c>
      <c r="AQ51" s="12">
        <f t="shared" si="14"/>
        <v>66.100000000000009</v>
      </c>
      <c r="AR51" s="12">
        <f t="shared" si="14"/>
        <v>9.1999999999999993</v>
      </c>
      <c r="AS51" s="12">
        <f t="shared" si="15"/>
        <v>6.5</v>
      </c>
      <c r="AT51" s="12">
        <f t="shared" si="15"/>
        <v>74.8</v>
      </c>
      <c r="AU51" s="12">
        <f t="shared" si="9"/>
        <v>98.4</v>
      </c>
      <c r="AV51" s="12">
        <f t="shared" si="15"/>
        <v>62.2</v>
      </c>
      <c r="AW51" s="12">
        <f t="shared" si="16"/>
        <v>96.1</v>
      </c>
      <c r="AX51" s="12">
        <f t="shared" si="10"/>
        <v>9.2999999999999972</v>
      </c>
      <c r="AY51" s="9"/>
      <c r="AZ51" s="12">
        <f t="shared" si="17"/>
        <v>91.8</v>
      </c>
      <c r="BA51" s="12">
        <f t="shared" si="13"/>
        <v>8.1</v>
      </c>
      <c r="BB51" s="12">
        <f t="shared" si="11"/>
        <v>82.5</v>
      </c>
      <c r="BC51" s="12">
        <f t="shared" si="11"/>
        <v>77</v>
      </c>
      <c r="BD51" s="12">
        <f t="shared" si="11"/>
        <v>95</v>
      </c>
      <c r="BE51" s="12">
        <f t="shared" si="11"/>
        <v>96.1</v>
      </c>
      <c r="BF51" s="12">
        <f t="shared" si="12"/>
        <v>77</v>
      </c>
      <c r="BG51" s="12">
        <f t="shared" si="12"/>
        <v>95</v>
      </c>
      <c r="BH51" s="12">
        <f t="shared" si="12"/>
        <v>4.9000000000000004</v>
      </c>
      <c r="BI51" s="12">
        <f t="shared" si="12"/>
        <v>54</v>
      </c>
    </row>
    <row r="52" spans="1:61" ht="15.75" customHeight="1" x14ac:dyDescent="0.25">
      <c r="A52" s="1" t="s">
        <v>200</v>
      </c>
      <c r="B52" s="3" t="s">
        <v>99</v>
      </c>
      <c r="C52" s="4" t="s">
        <v>8</v>
      </c>
      <c r="D52" s="4">
        <v>30</v>
      </c>
      <c r="E52" s="4">
        <v>950</v>
      </c>
      <c r="F52" s="4">
        <v>30</v>
      </c>
      <c r="G52" s="4">
        <v>950</v>
      </c>
      <c r="H52" s="4">
        <v>13.9</v>
      </c>
      <c r="I52" s="4">
        <v>0.55800000000000005</v>
      </c>
      <c r="J52" s="4">
        <v>0.54700000000000004</v>
      </c>
      <c r="K52" s="4">
        <v>0.45600000000000002</v>
      </c>
      <c r="L52" s="4">
        <v>6.7000000000000004E-2</v>
      </c>
      <c r="M52" s="4">
        <v>2</v>
      </c>
      <c r="N52" s="4">
        <v>3.2</v>
      </c>
      <c r="O52" s="4">
        <v>8.8000000000000007</v>
      </c>
      <c r="P52" s="4">
        <v>2.8</v>
      </c>
      <c r="Q52" s="4">
        <v>2.4</v>
      </c>
      <c r="R52" s="4">
        <v>8.6</v>
      </c>
      <c r="S52" s="4">
        <v>18.100000000000001</v>
      </c>
      <c r="T52" s="4">
        <v>108</v>
      </c>
      <c r="U52" s="4">
        <v>108</v>
      </c>
      <c r="V52" s="4"/>
      <c r="W52" s="4">
        <v>0.9</v>
      </c>
      <c r="X52" s="4">
        <v>1.3</v>
      </c>
      <c r="Y52" s="4">
        <v>2.2000000000000002</v>
      </c>
      <c r="Z52" s="4">
        <v>9.1999999999999998E-2</v>
      </c>
      <c r="AA52" s="13">
        <f>(I52/TOTAL_BASIC!$D$301)*100</f>
        <v>99.38987492920694</v>
      </c>
      <c r="AB52" s="5">
        <f t="shared" si="3"/>
        <v>1.08</v>
      </c>
      <c r="AC52" s="3">
        <f t="shared" si="1"/>
        <v>0</v>
      </c>
      <c r="AD52" s="9">
        <f t="shared" si="4"/>
        <v>1.1160000000000001</v>
      </c>
      <c r="AE52" s="16">
        <f t="shared" si="5"/>
        <v>0.48618784530386738</v>
      </c>
      <c r="AF52" s="16">
        <f t="shared" si="6"/>
        <v>1.0232558139534884</v>
      </c>
      <c r="AG52" s="9"/>
      <c r="AH52" s="9"/>
      <c r="AI52" s="12">
        <f t="shared" si="7"/>
        <v>30.599999999999998</v>
      </c>
      <c r="AJ52" s="12">
        <f t="shared" si="8"/>
        <v>72.599999999999994</v>
      </c>
      <c r="AK52" s="12">
        <f t="shared" si="8"/>
        <v>55.1</v>
      </c>
      <c r="AL52" s="12">
        <f t="shared" si="8"/>
        <v>51.300000000000004</v>
      </c>
      <c r="AM52" s="12">
        <f t="shared" si="8"/>
        <v>69.899999999999991</v>
      </c>
      <c r="AN52" s="12">
        <f t="shared" si="8"/>
        <v>60.099999999999994</v>
      </c>
      <c r="AO52" s="12">
        <f t="shared" si="14"/>
        <v>2.1</v>
      </c>
      <c r="AP52" s="12">
        <f t="shared" si="14"/>
        <v>15.299999999999999</v>
      </c>
      <c r="AQ52" s="12">
        <f t="shared" si="14"/>
        <v>0.5</v>
      </c>
      <c r="AR52" s="12">
        <f t="shared" si="14"/>
        <v>21.3</v>
      </c>
      <c r="AS52" s="12">
        <f t="shared" si="15"/>
        <v>92.300000000000011</v>
      </c>
      <c r="AT52" s="12">
        <f t="shared" si="15"/>
        <v>72.599999999999994</v>
      </c>
      <c r="AU52" s="12">
        <f t="shared" si="9"/>
        <v>92.4</v>
      </c>
      <c r="AV52" s="12">
        <f t="shared" si="15"/>
        <v>48.6</v>
      </c>
      <c r="AW52" s="12">
        <f t="shared" si="16"/>
        <v>54.6</v>
      </c>
      <c r="AX52" s="12">
        <f t="shared" si="10"/>
        <v>71.099999999999994</v>
      </c>
      <c r="AY52" s="9"/>
      <c r="AZ52" s="12">
        <f t="shared" si="17"/>
        <v>66.100000000000009</v>
      </c>
      <c r="BA52" s="12">
        <f t="shared" si="13"/>
        <v>76.5</v>
      </c>
      <c r="BB52" s="12">
        <f t="shared" si="11"/>
        <v>72.099999999999994</v>
      </c>
      <c r="BC52" s="12">
        <f t="shared" si="11"/>
        <v>60.6</v>
      </c>
      <c r="BD52" s="12">
        <f t="shared" si="11"/>
        <v>51.300000000000004</v>
      </c>
      <c r="BE52" s="12">
        <f t="shared" si="11"/>
        <v>54.6</v>
      </c>
      <c r="BF52" s="12">
        <f t="shared" si="12"/>
        <v>60.099999999999994</v>
      </c>
      <c r="BG52" s="12">
        <f t="shared" si="12"/>
        <v>51.300000000000004</v>
      </c>
      <c r="BH52" s="12">
        <f t="shared" si="12"/>
        <v>18</v>
      </c>
      <c r="BI52" s="12">
        <f t="shared" si="12"/>
        <v>52.400000000000006</v>
      </c>
    </row>
    <row r="53" spans="1:61" ht="15.75" customHeight="1" x14ac:dyDescent="0.25">
      <c r="A53" s="1" t="s">
        <v>244</v>
      </c>
      <c r="B53" s="3" t="s">
        <v>140</v>
      </c>
      <c r="C53" s="4" t="s">
        <v>85</v>
      </c>
      <c r="D53" s="4">
        <v>38</v>
      </c>
      <c r="E53" s="4">
        <v>950</v>
      </c>
      <c r="F53" s="4">
        <v>38</v>
      </c>
      <c r="G53" s="4">
        <v>950</v>
      </c>
      <c r="H53" s="4">
        <v>10.199999999999999</v>
      </c>
      <c r="I53" s="4">
        <v>0.58499999999999996</v>
      </c>
      <c r="J53" s="4">
        <v>0.54100000000000004</v>
      </c>
      <c r="K53" s="4">
        <v>0.52900000000000003</v>
      </c>
      <c r="L53" s="4">
        <v>0.28000000000000003</v>
      </c>
      <c r="M53" s="4">
        <v>7</v>
      </c>
      <c r="N53" s="4">
        <v>6.3</v>
      </c>
      <c r="O53" s="4">
        <v>11.2</v>
      </c>
      <c r="P53" s="4">
        <v>0.9</v>
      </c>
      <c r="Q53" s="4">
        <v>0.6</v>
      </c>
      <c r="R53" s="4">
        <v>18.100000000000001</v>
      </c>
      <c r="S53" s="4">
        <v>16.600000000000001</v>
      </c>
      <c r="T53" s="4">
        <v>109</v>
      </c>
      <c r="U53" s="4">
        <v>110</v>
      </c>
      <c r="V53" s="4"/>
      <c r="W53" s="4">
        <v>1</v>
      </c>
      <c r="X53" s="4">
        <v>1.1000000000000001</v>
      </c>
      <c r="Y53" s="4">
        <v>2.1</v>
      </c>
      <c r="Z53" s="4">
        <v>8.6999999999999994E-2</v>
      </c>
      <c r="AA53" s="13">
        <f>(I53/TOTAL_BASIC!$D$301)*100</f>
        <v>104.19906242578145</v>
      </c>
      <c r="AB53" s="5">
        <f t="shared" si="3"/>
        <v>1.0900000000000001</v>
      </c>
      <c r="AC53" s="3">
        <f t="shared" si="1"/>
        <v>-1</v>
      </c>
      <c r="AD53" s="9">
        <f t="shared" si="4"/>
        <v>1.17</v>
      </c>
      <c r="AE53" s="16">
        <f t="shared" si="5"/>
        <v>0.67469879518072284</v>
      </c>
      <c r="AF53" s="16">
        <f t="shared" si="6"/>
        <v>0.61878453038674019</v>
      </c>
      <c r="AG53" s="9"/>
      <c r="AH53" s="9"/>
      <c r="AI53" s="12">
        <f t="shared" si="7"/>
        <v>53</v>
      </c>
      <c r="AJ53" s="12">
        <f t="shared" si="8"/>
        <v>72.599999999999994</v>
      </c>
      <c r="AK53" s="12">
        <f t="shared" si="8"/>
        <v>29.5</v>
      </c>
      <c r="AL53" s="12">
        <f t="shared" si="8"/>
        <v>68.300000000000011</v>
      </c>
      <c r="AM53" s="12">
        <f t="shared" si="8"/>
        <v>67.2</v>
      </c>
      <c r="AN53" s="12">
        <f t="shared" si="8"/>
        <v>76.5</v>
      </c>
      <c r="AO53" s="12">
        <f t="shared" si="14"/>
        <v>50.2</v>
      </c>
      <c r="AP53" s="12">
        <f t="shared" si="14"/>
        <v>71</v>
      </c>
      <c r="AQ53" s="12">
        <f t="shared" si="14"/>
        <v>24</v>
      </c>
      <c r="AR53" s="12">
        <f t="shared" si="14"/>
        <v>34.9</v>
      </c>
      <c r="AS53" s="12">
        <f t="shared" si="15"/>
        <v>6.5</v>
      </c>
      <c r="AT53" s="12">
        <f t="shared" si="15"/>
        <v>19.100000000000001</v>
      </c>
      <c r="AU53" s="12">
        <f t="shared" si="9"/>
        <v>24.099999999999994</v>
      </c>
      <c r="AV53" s="12">
        <f t="shared" si="15"/>
        <v>30</v>
      </c>
      <c r="AW53" s="12">
        <f t="shared" si="16"/>
        <v>58.4</v>
      </c>
      <c r="AX53" s="12">
        <f t="shared" si="10"/>
        <v>56.3</v>
      </c>
      <c r="AY53" s="9"/>
      <c r="AZ53" s="12">
        <f t="shared" si="17"/>
        <v>67.7</v>
      </c>
      <c r="BA53" s="12">
        <f t="shared" si="13"/>
        <v>72.099999999999994</v>
      </c>
      <c r="BB53" s="12">
        <f t="shared" si="11"/>
        <v>71</v>
      </c>
      <c r="BC53" s="12">
        <f t="shared" si="11"/>
        <v>59</v>
      </c>
      <c r="BD53" s="12">
        <f t="shared" si="11"/>
        <v>68.300000000000011</v>
      </c>
      <c r="BE53" s="12">
        <f t="shared" si="11"/>
        <v>58.4</v>
      </c>
      <c r="BF53" s="12">
        <f t="shared" si="12"/>
        <v>58.4</v>
      </c>
      <c r="BG53" s="12">
        <f t="shared" si="12"/>
        <v>68.300000000000011</v>
      </c>
      <c r="BH53" s="12">
        <f t="shared" si="12"/>
        <v>44.2</v>
      </c>
      <c r="BI53" s="12">
        <f t="shared" si="12"/>
        <v>21.3</v>
      </c>
    </row>
    <row r="54" spans="1:61" ht="15.75" customHeight="1" x14ac:dyDescent="0.25">
      <c r="A54" s="1" t="s">
        <v>120</v>
      </c>
      <c r="B54" s="3" t="s">
        <v>96</v>
      </c>
      <c r="C54" s="4" t="s">
        <v>85</v>
      </c>
      <c r="D54" s="4">
        <v>42</v>
      </c>
      <c r="E54" s="4">
        <v>948</v>
      </c>
      <c r="F54" s="4">
        <v>42</v>
      </c>
      <c r="G54" s="4">
        <v>948</v>
      </c>
      <c r="H54" s="4">
        <v>13.6</v>
      </c>
      <c r="I54" s="4">
        <v>0.55600000000000005</v>
      </c>
      <c r="J54" s="4">
        <v>0.55100000000000005</v>
      </c>
      <c r="K54" s="4">
        <v>0.59799999999999998</v>
      </c>
      <c r="L54" s="4">
        <v>0.107</v>
      </c>
      <c r="M54" s="4">
        <v>4.8</v>
      </c>
      <c r="N54" s="4">
        <v>11.4</v>
      </c>
      <c r="O54" s="4">
        <v>10.3</v>
      </c>
      <c r="P54" s="4">
        <v>2.2000000000000002</v>
      </c>
      <c r="Q54" s="4">
        <v>4.5999999999999996</v>
      </c>
      <c r="R54" s="4">
        <v>11</v>
      </c>
      <c r="S54" s="4">
        <v>12.2</v>
      </c>
      <c r="T54" s="4">
        <v>116</v>
      </c>
      <c r="U54" s="4">
        <v>104</v>
      </c>
      <c r="V54" s="4"/>
      <c r="W54" s="4">
        <v>1.3</v>
      </c>
      <c r="X54" s="4">
        <v>1.9</v>
      </c>
      <c r="Y54" s="4">
        <v>3.2</v>
      </c>
      <c r="Z54" s="4">
        <v>0.13600000000000001</v>
      </c>
      <c r="AA54" s="13">
        <f>(I54/TOTAL_BASIC!$D$301)*100</f>
        <v>99.033638818349573</v>
      </c>
      <c r="AB54" s="5">
        <f t="shared" si="3"/>
        <v>1.1599999999999999</v>
      </c>
      <c r="AC54" s="3">
        <f t="shared" si="1"/>
        <v>12</v>
      </c>
      <c r="AD54" s="9">
        <f t="shared" si="4"/>
        <v>1.1120000000000001</v>
      </c>
      <c r="AE54" s="16">
        <f t="shared" si="5"/>
        <v>0.84426229508196737</v>
      </c>
      <c r="AF54" s="16">
        <f t="shared" si="6"/>
        <v>0.9363636363636364</v>
      </c>
      <c r="AG54" s="9"/>
      <c r="AH54" s="9"/>
      <c r="AI54" s="12">
        <f t="shared" si="7"/>
        <v>83</v>
      </c>
      <c r="AJ54" s="12">
        <f t="shared" si="8"/>
        <v>72.099999999999994</v>
      </c>
      <c r="AK54" s="12">
        <f t="shared" si="8"/>
        <v>54</v>
      </c>
      <c r="AL54" s="12">
        <f t="shared" si="8"/>
        <v>49.7</v>
      </c>
      <c r="AM54" s="12">
        <f t="shared" si="8"/>
        <v>74.8</v>
      </c>
      <c r="AN54" s="12">
        <f t="shared" si="8"/>
        <v>84.1</v>
      </c>
      <c r="AO54" s="12">
        <f t="shared" si="14"/>
        <v>7.1</v>
      </c>
      <c r="AP54" s="12">
        <f t="shared" si="14"/>
        <v>55.1</v>
      </c>
      <c r="AQ54" s="12">
        <f t="shared" si="14"/>
        <v>69.3</v>
      </c>
      <c r="AR54" s="12">
        <f t="shared" si="14"/>
        <v>29.5</v>
      </c>
      <c r="AS54" s="12">
        <f t="shared" si="15"/>
        <v>74.3</v>
      </c>
      <c r="AT54" s="12">
        <f t="shared" si="15"/>
        <v>91.8</v>
      </c>
      <c r="AU54" s="12">
        <f t="shared" si="9"/>
        <v>83.1</v>
      </c>
      <c r="AV54" s="12">
        <f t="shared" si="15"/>
        <v>7.1</v>
      </c>
      <c r="AW54" s="12">
        <f t="shared" si="16"/>
        <v>75.900000000000006</v>
      </c>
      <c r="AX54" s="12">
        <f t="shared" si="10"/>
        <v>88</v>
      </c>
      <c r="AY54" s="9"/>
      <c r="AZ54" s="12">
        <f t="shared" si="17"/>
        <v>73.2</v>
      </c>
      <c r="BA54" s="12">
        <f t="shared" si="13"/>
        <v>88.5</v>
      </c>
      <c r="BB54" s="12">
        <f t="shared" si="11"/>
        <v>81.399999999999991</v>
      </c>
      <c r="BC54" s="12">
        <f t="shared" si="11"/>
        <v>76.5</v>
      </c>
      <c r="BD54" s="12">
        <f t="shared" si="11"/>
        <v>49.7</v>
      </c>
      <c r="BE54" s="12">
        <f t="shared" si="11"/>
        <v>75.900000000000006</v>
      </c>
      <c r="BF54" s="12">
        <f t="shared" si="12"/>
        <v>84.6</v>
      </c>
      <c r="BG54" s="12">
        <f t="shared" si="12"/>
        <v>49.7</v>
      </c>
      <c r="BH54" s="12">
        <f t="shared" si="12"/>
        <v>62.8</v>
      </c>
      <c r="BI54" s="12">
        <f t="shared" si="12"/>
        <v>43.7</v>
      </c>
    </row>
    <row r="55" spans="1:61" ht="15.75" customHeight="1" x14ac:dyDescent="0.25">
      <c r="A55" s="1" t="s">
        <v>165</v>
      </c>
      <c r="B55" s="3" t="s">
        <v>161</v>
      </c>
      <c r="C55" s="4" t="s">
        <v>8</v>
      </c>
      <c r="D55" s="4">
        <v>32</v>
      </c>
      <c r="E55" s="4">
        <v>944</v>
      </c>
      <c r="F55" s="4">
        <v>32</v>
      </c>
      <c r="G55" s="4">
        <v>944</v>
      </c>
      <c r="H55" s="4">
        <v>19.7</v>
      </c>
      <c r="I55" s="4">
        <v>0.59899999999999998</v>
      </c>
      <c r="J55" s="4">
        <v>0.54800000000000004</v>
      </c>
      <c r="K55" s="4">
        <v>0.55300000000000005</v>
      </c>
      <c r="L55" s="4">
        <v>0.28899999999999998</v>
      </c>
      <c r="M55" s="4">
        <v>2.2000000000000002</v>
      </c>
      <c r="N55" s="4">
        <v>6.7</v>
      </c>
      <c r="O55" s="4">
        <v>24.5</v>
      </c>
      <c r="P55" s="4">
        <v>1.5</v>
      </c>
      <c r="Q55" s="4">
        <v>1.2</v>
      </c>
      <c r="R55" s="4">
        <v>15.1</v>
      </c>
      <c r="S55" s="4">
        <v>30.6</v>
      </c>
      <c r="T55" s="4">
        <v>110</v>
      </c>
      <c r="U55" s="4">
        <v>120</v>
      </c>
      <c r="V55" s="4"/>
      <c r="W55" s="4">
        <v>1.8</v>
      </c>
      <c r="X55" s="4">
        <v>-0.3</v>
      </c>
      <c r="Y55" s="4">
        <v>1.5</v>
      </c>
      <c r="Z55" s="4">
        <v>6.5000000000000002E-2</v>
      </c>
      <c r="AA55" s="13">
        <f>(I55/TOTAL_BASIC!$D$301)*100</f>
        <v>106.69271520178307</v>
      </c>
      <c r="AB55" s="5">
        <f t="shared" si="3"/>
        <v>1.1000000000000001</v>
      </c>
      <c r="AC55" s="3">
        <f t="shared" si="1"/>
        <v>-10</v>
      </c>
      <c r="AD55" s="9">
        <f t="shared" si="4"/>
        <v>1.198</v>
      </c>
      <c r="AE55" s="16">
        <f t="shared" si="5"/>
        <v>0.80065359477124176</v>
      </c>
      <c r="AF55" s="16">
        <f t="shared" si="6"/>
        <v>1.6225165562913908</v>
      </c>
      <c r="AG55" s="9"/>
      <c r="AH55" s="9"/>
      <c r="AI55" s="12">
        <f t="shared" si="7"/>
        <v>35.5</v>
      </c>
      <c r="AJ55" s="12">
        <f t="shared" si="8"/>
        <v>71.5</v>
      </c>
      <c r="AK55" s="12">
        <f t="shared" si="8"/>
        <v>83.6</v>
      </c>
      <c r="AL55" s="12">
        <f t="shared" si="8"/>
        <v>74.8</v>
      </c>
      <c r="AM55" s="12">
        <f t="shared" si="8"/>
        <v>72.099999999999994</v>
      </c>
      <c r="AN55" s="12">
        <f t="shared" si="8"/>
        <v>81.399999999999991</v>
      </c>
      <c r="AO55" s="12">
        <f t="shared" si="14"/>
        <v>52.400000000000006</v>
      </c>
      <c r="AP55" s="12">
        <f t="shared" si="14"/>
        <v>19.600000000000001</v>
      </c>
      <c r="AQ55" s="12">
        <f t="shared" si="14"/>
        <v>29.5</v>
      </c>
      <c r="AR55" s="12">
        <f t="shared" si="14"/>
        <v>84.1</v>
      </c>
      <c r="AS55" s="12">
        <f t="shared" si="15"/>
        <v>33.800000000000004</v>
      </c>
      <c r="AT55" s="12">
        <f t="shared" si="15"/>
        <v>46.400000000000006</v>
      </c>
      <c r="AU55" s="12">
        <f t="shared" si="9"/>
        <v>45.4</v>
      </c>
      <c r="AV55" s="12">
        <f t="shared" si="15"/>
        <v>98.9</v>
      </c>
      <c r="AW55" s="12">
        <f t="shared" si="16"/>
        <v>60.099999999999994</v>
      </c>
      <c r="AX55" s="12">
        <f t="shared" si="10"/>
        <v>3.2999999999999972</v>
      </c>
      <c r="AY55" s="9"/>
      <c r="AZ55" s="12">
        <f t="shared" si="17"/>
        <v>80.300000000000011</v>
      </c>
      <c r="BA55" s="12">
        <f t="shared" si="13"/>
        <v>0.5</v>
      </c>
      <c r="BB55" s="12">
        <f t="shared" si="11"/>
        <v>62.8</v>
      </c>
      <c r="BC55" s="12">
        <f t="shared" si="11"/>
        <v>43.1</v>
      </c>
      <c r="BD55" s="12">
        <f t="shared" si="11"/>
        <v>74.8</v>
      </c>
      <c r="BE55" s="12">
        <f t="shared" si="11"/>
        <v>60.099999999999994</v>
      </c>
      <c r="BF55" s="12">
        <f t="shared" si="12"/>
        <v>30.599999999999998</v>
      </c>
      <c r="BG55" s="12">
        <f t="shared" si="12"/>
        <v>74.8</v>
      </c>
      <c r="BH55" s="12">
        <f t="shared" si="12"/>
        <v>57.9</v>
      </c>
      <c r="BI55" s="12">
        <f t="shared" si="12"/>
        <v>86.8</v>
      </c>
    </row>
    <row r="56" spans="1:61" ht="15.75" customHeight="1" x14ac:dyDescent="0.25">
      <c r="A56" s="1" t="s">
        <v>174</v>
      </c>
      <c r="B56" s="3" t="s">
        <v>117</v>
      </c>
      <c r="C56" s="4" t="s">
        <v>85</v>
      </c>
      <c r="D56" s="4">
        <v>38</v>
      </c>
      <c r="E56" s="4">
        <v>925</v>
      </c>
      <c r="F56" s="4">
        <v>38</v>
      </c>
      <c r="G56" s="4">
        <v>925</v>
      </c>
      <c r="H56" s="4">
        <v>19.8</v>
      </c>
      <c r="I56" s="4">
        <v>0.64200000000000002</v>
      </c>
      <c r="J56" s="4">
        <v>0.63900000000000001</v>
      </c>
      <c r="K56" s="4">
        <v>2.8000000000000001E-2</v>
      </c>
      <c r="L56" s="4">
        <v>0.46700000000000003</v>
      </c>
      <c r="M56" s="4">
        <v>11.2</v>
      </c>
      <c r="N56" s="4">
        <v>15.8</v>
      </c>
      <c r="O56" s="4">
        <v>5.9</v>
      </c>
      <c r="P56" s="4">
        <v>1.3</v>
      </c>
      <c r="Q56" s="4">
        <v>2.4</v>
      </c>
      <c r="R56" s="4">
        <v>8.6999999999999993</v>
      </c>
      <c r="S56" s="4">
        <v>18.5</v>
      </c>
      <c r="T56" s="4">
        <v>126</v>
      </c>
      <c r="U56" s="4">
        <v>107</v>
      </c>
      <c r="V56" s="4"/>
      <c r="W56" s="4">
        <v>3</v>
      </c>
      <c r="X56" s="4">
        <v>1.4</v>
      </c>
      <c r="Y56" s="4">
        <v>4.5</v>
      </c>
      <c r="Z56" s="4">
        <v>0.193</v>
      </c>
      <c r="AA56" s="13">
        <f>(I56/TOTAL_BASIC!$D$301)*100</f>
        <v>114.3517915852166</v>
      </c>
      <c r="AB56" s="5">
        <f t="shared" si="3"/>
        <v>1.26</v>
      </c>
      <c r="AC56" s="3">
        <f t="shared" si="1"/>
        <v>19</v>
      </c>
      <c r="AD56" s="9">
        <f t="shared" si="4"/>
        <v>1.284</v>
      </c>
      <c r="AE56" s="16">
        <f t="shared" si="5"/>
        <v>0.31891891891891894</v>
      </c>
      <c r="AF56" s="16">
        <f t="shared" si="6"/>
        <v>0.67816091954022995</v>
      </c>
      <c r="AG56" s="9"/>
      <c r="AH56" s="9"/>
      <c r="AI56" s="12">
        <f t="shared" si="7"/>
        <v>53</v>
      </c>
      <c r="AJ56" s="12">
        <f t="shared" si="8"/>
        <v>71</v>
      </c>
      <c r="AK56" s="12">
        <f t="shared" si="8"/>
        <v>84.1</v>
      </c>
      <c r="AL56" s="12">
        <f t="shared" si="8"/>
        <v>93.4</v>
      </c>
      <c r="AM56" s="12">
        <f t="shared" si="8"/>
        <v>97.8</v>
      </c>
      <c r="AN56" s="12">
        <f t="shared" si="8"/>
        <v>5.4</v>
      </c>
      <c r="AO56" s="12">
        <f t="shared" si="14"/>
        <v>89</v>
      </c>
      <c r="AP56" s="12">
        <f t="shared" si="14"/>
        <v>92.300000000000011</v>
      </c>
      <c r="AQ56" s="12">
        <f t="shared" si="14"/>
        <v>87.9</v>
      </c>
      <c r="AR56" s="12">
        <f t="shared" si="14"/>
        <v>4.3</v>
      </c>
      <c r="AS56" s="12">
        <f t="shared" si="15"/>
        <v>22.900000000000002</v>
      </c>
      <c r="AT56" s="12">
        <f t="shared" si="15"/>
        <v>72.599999999999994</v>
      </c>
      <c r="AU56" s="12">
        <f t="shared" si="9"/>
        <v>90.8</v>
      </c>
      <c r="AV56" s="12">
        <f t="shared" si="15"/>
        <v>51.300000000000004</v>
      </c>
      <c r="AW56" s="12">
        <f t="shared" si="16"/>
        <v>96.1</v>
      </c>
      <c r="AX56" s="12">
        <f t="shared" si="10"/>
        <v>78.2</v>
      </c>
      <c r="AY56" s="9"/>
      <c r="AZ56" s="12">
        <f t="shared" si="17"/>
        <v>89.600000000000009</v>
      </c>
      <c r="BA56" s="12">
        <f t="shared" si="13"/>
        <v>78.100000000000009</v>
      </c>
      <c r="BB56" s="12">
        <f t="shared" si="11"/>
        <v>88.5</v>
      </c>
      <c r="BC56" s="12">
        <f t="shared" si="11"/>
        <v>91.2</v>
      </c>
      <c r="BD56" s="12">
        <f t="shared" si="11"/>
        <v>93.4</v>
      </c>
      <c r="BE56" s="12">
        <f t="shared" si="11"/>
        <v>96.1</v>
      </c>
      <c r="BF56" s="12">
        <f t="shared" si="12"/>
        <v>97.2</v>
      </c>
      <c r="BG56" s="12">
        <f t="shared" si="12"/>
        <v>93.4</v>
      </c>
      <c r="BH56" s="12">
        <f t="shared" si="12"/>
        <v>2.7</v>
      </c>
      <c r="BI56" s="12">
        <f t="shared" si="12"/>
        <v>24.5</v>
      </c>
    </row>
    <row r="57" spans="1:61" ht="15.75" customHeight="1" x14ac:dyDescent="0.25">
      <c r="A57" s="1" t="s">
        <v>126</v>
      </c>
      <c r="B57" s="3" t="s">
        <v>107</v>
      </c>
      <c r="C57" s="4" t="s">
        <v>85</v>
      </c>
      <c r="D57" s="4">
        <v>41</v>
      </c>
      <c r="E57" s="4">
        <v>924</v>
      </c>
      <c r="F57" s="4">
        <v>41</v>
      </c>
      <c r="G57" s="4">
        <v>924</v>
      </c>
      <c r="H57" s="4">
        <v>8.5</v>
      </c>
      <c r="I57" s="4">
        <v>0.49399999999999999</v>
      </c>
      <c r="J57" s="4">
        <v>0.433</v>
      </c>
      <c r="K57" s="4">
        <v>0.42299999999999999</v>
      </c>
      <c r="L57" s="4">
        <v>0.311</v>
      </c>
      <c r="M57" s="4">
        <v>1.9</v>
      </c>
      <c r="N57" s="4">
        <v>7.1</v>
      </c>
      <c r="O57" s="4">
        <v>10.8</v>
      </c>
      <c r="P57" s="4">
        <v>1.5</v>
      </c>
      <c r="Q57" s="4">
        <v>0.8</v>
      </c>
      <c r="R57" s="4">
        <v>12.9</v>
      </c>
      <c r="S57" s="4">
        <v>22.2</v>
      </c>
      <c r="T57" s="4">
        <v>94</v>
      </c>
      <c r="U57" s="4">
        <v>114</v>
      </c>
      <c r="V57" s="4"/>
      <c r="W57" s="4">
        <v>-0.9</v>
      </c>
      <c r="X57" s="4">
        <v>0.5</v>
      </c>
      <c r="Y57" s="4">
        <v>-0.3</v>
      </c>
      <c r="Z57" s="4">
        <v>-1.4E-2</v>
      </c>
      <c r="AA57" s="13">
        <f>(I57/TOTAL_BASIC!$D$301)*100</f>
        <v>87.990319381771016</v>
      </c>
      <c r="AB57" s="5">
        <f t="shared" si="3"/>
        <v>0.94</v>
      </c>
      <c r="AC57" s="3">
        <f t="shared" si="1"/>
        <v>-20</v>
      </c>
      <c r="AD57" s="9">
        <f t="shared" si="4"/>
        <v>0.98799999999999999</v>
      </c>
      <c r="AE57" s="16">
        <f t="shared" si="5"/>
        <v>0.48648648648648651</v>
      </c>
      <c r="AF57" s="16">
        <f t="shared" si="6"/>
        <v>0.83720930232558144</v>
      </c>
      <c r="AG57" s="9"/>
      <c r="AH57" s="9"/>
      <c r="AI57" s="12">
        <f t="shared" si="7"/>
        <v>69.3</v>
      </c>
      <c r="AJ57" s="12">
        <f t="shared" si="8"/>
        <v>70.399999999999991</v>
      </c>
      <c r="AK57" s="12">
        <f t="shared" si="8"/>
        <v>15.8</v>
      </c>
      <c r="AL57" s="12">
        <f t="shared" si="8"/>
        <v>18.5</v>
      </c>
      <c r="AM57" s="12">
        <f t="shared" si="8"/>
        <v>11.4</v>
      </c>
      <c r="AN57" s="12">
        <f t="shared" si="8"/>
        <v>54.6</v>
      </c>
      <c r="AO57" s="12">
        <f t="shared" si="14"/>
        <v>57.3</v>
      </c>
      <c r="AP57" s="12">
        <f t="shared" si="14"/>
        <v>12.5</v>
      </c>
      <c r="AQ57" s="12">
        <f t="shared" si="14"/>
        <v>36</v>
      </c>
      <c r="AR57" s="12">
        <f t="shared" si="14"/>
        <v>31.6</v>
      </c>
      <c r="AS57" s="12">
        <f t="shared" si="15"/>
        <v>33.800000000000004</v>
      </c>
      <c r="AT57" s="12">
        <f t="shared" si="15"/>
        <v>28.4</v>
      </c>
      <c r="AU57" s="12">
        <f t="shared" si="9"/>
        <v>66.699999999999989</v>
      </c>
      <c r="AV57" s="12">
        <f t="shared" si="15"/>
        <v>73.2</v>
      </c>
      <c r="AW57" s="12">
        <f t="shared" si="16"/>
        <v>8.1</v>
      </c>
      <c r="AX57" s="12">
        <f t="shared" si="10"/>
        <v>25.700000000000003</v>
      </c>
      <c r="AY57" s="9"/>
      <c r="AZ57" s="12">
        <f t="shared" si="17"/>
        <v>1.6</v>
      </c>
      <c r="BA57" s="12">
        <f t="shared" si="13"/>
        <v>39.300000000000004</v>
      </c>
      <c r="BB57" s="12">
        <f t="shared" si="11"/>
        <v>3.8</v>
      </c>
      <c r="BC57" s="12">
        <f t="shared" si="11"/>
        <v>8.1</v>
      </c>
      <c r="BD57" s="12">
        <f t="shared" si="11"/>
        <v>18.5</v>
      </c>
      <c r="BE57" s="12">
        <f t="shared" si="11"/>
        <v>8.1</v>
      </c>
      <c r="BF57" s="12">
        <f t="shared" si="12"/>
        <v>7.6</v>
      </c>
      <c r="BG57" s="12">
        <f t="shared" si="12"/>
        <v>18.5</v>
      </c>
      <c r="BH57" s="12">
        <f t="shared" si="12"/>
        <v>18.5</v>
      </c>
      <c r="BI57" s="12">
        <f t="shared" si="12"/>
        <v>34.9</v>
      </c>
    </row>
    <row r="58" spans="1:61" ht="15.75" customHeight="1" x14ac:dyDescent="0.25">
      <c r="A58" s="1" t="s">
        <v>110</v>
      </c>
      <c r="B58" s="4" t="s">
        <v>91</v>
      </c>
      <c r="C58" s="4" t="s">
        <v>85</v>
      </c>
      <c r="D58" s="4">
        <v>37</v>
      </c>
      <c r="E58" s="4">
        <v>917</v>
      </c>
      <c r="F58" s="4">
        <v>37</v>
      </c>
      <c r="G58" s="4">
        <v>917</v>
      </c>
      <c r="H58" s="4">
        <v>17.899999999999999</v>
      </c>
      <c r="I58" s="4">
        <v>0.51</v>
      </c>
      <c r="J58" s="4">
        <v>0.47499999999999998</v>
      </c>
      <c r="K58" s="4">
        <v>0.39600000000000002</v>
      </c>
      <c r="L58" s="4">
        <v>0.251</v>
      </c>
      <c r="M58" s="4">
        <v>3.1</v>
      </c>
      <c r="N58" s="4">
        <v>8.1</v>
      </c>
      <c r="O58" s="4">
        <v>17.2</v>
      </c>
      <c r="P58" s="4">
        <v>3.6</v>
      </c>
      <c r="Q58" s="4">
        <v>0.7</v>
      </c>
      <c r="R58" s="4">
        <v>10.1</v>
      </c>
      <c r="S58" s="4">
        <v>29.1</v>
      </c>
      <c r="T58" s="4">
        <v>102</v>
      </c>
      <c r="U58" s="4">
        <v>99</v>
      </c>
      <c r="V58" s="4"/>
      <c r="W58" s="4">
        <v>0.3</v>
      </c>
      <c r="X58" s="4">
        <v>2.5</v>
      </c>
      <c r="Y58" s="4">
        <v>2.8</v>
      </c>
      <c r="Z58" s="4">
        <v>0.121</v>
      </c>
      <c r="AA58" s="13">
        <f>(I58/TOTAL_BASIC!$D$301)*100</f>
        <v>90.840208268629993</v>
      </c>
      <c r="AB58" s="5">
        <f t="shared" si="3"/>
        <v>1.02</v>
      </c>
      <c r="AC58" s="3">
        <f t="shared" si="1"/>
        <v>3</v>
      </c>
      <c r="AD58" s="9">
        <f t="shared" si="4"/>
        <v>1.02</v>
      </c>
      <c r="AE58" s="16">
        <f t="shared" si="5"/>
        <v>0.59106529209621983</v>
      </c>
      <c r="AF58" s="16">
        <f t="shared" si="6"/>
        <v>1.7029702970297029</v>
      </c>
      <c r="AG58" s="9"/>
      <c r="AH58" s="9"/>
      <c r="AI58" s="12">
        <f t="shared" si="7"/>
        <v>48</v>
      </c>
      <c r="AJ58" s="12">
        <f t="shared" si="8"/>
        <v>69.899999999999991</v>
      </c>
      <c r="AK58" s="12">
        <f t="shared" si="8"/>
        <v>77</v>
      </c>
      <c r="AL58" s="12">
        <f t="shared" si="8"/>
        <v>27.3</v>
      </c>
      <c r="AM58" s="12">
        <f t="shared" si="8"/>
        <v>31.1</v>
      </c>
      <c r="AN58" s="12">
        <f t="shared" si="8"/>
        <v>46.9</v>
      </c>
      <c r="AO58" s="12">
        <f t="shared" si="14"/>
        <v>40.9</v>
      </c>
      <c r="AP58" s="12">
        <f t="shared" si="14"/>
        <v>34.9</v>
      </c>
      <c r="AQ58" s="12">
        <f t="shared" si="14"/>
        <v>44.800000000000004</v>
      </c>
      <c r="AR58" s="12">
        <f t="shared" si="14"/>
        <v>67.2</v>
      </c>
      <c r="AS58" s="12">
        <f t="shared" si="15"/>
        <v>99.4</v>
      </c>
      <c r="AT58" s="12">
        <f t="shared" si="15"/>
        <v>24</v>
      </c>
      <c r="AU58" s="12">
        <f t="shared" si="9"/>
        <v>89.1</v>
      </c>
      <c r="AV58" s="12">
        <f t="shared" si="15"/>
        <v>96.1</v>
      </c>
      <c r="AW58" s="12">
        <f t="shared" si="16"/>
        <v>32.700000000000003</v>
      </c>
      <c r="AX58" s="12">
        <f t="shared" si="10"/>
        <v>99</v>
      </c>
      <c r="AY58" s="9"/>
      <c r="AZ58" s="12">
        <f t="shared" si="17"/>
        <v>42</v>
      </c>
      <c r="BA58" s="12">
        <f t="shared" si="13"/>
        <v>95</v>
      </c>
      <c r="BB58" s="12">
        <f t="shared" si="11"/>
        <v>75.900000000000006</v>
      </c>
      <c r="BC58" s="12">
        <f t="shared" si="11"/>
        <v>70.399999999999991</v>
      </c>
      <c r="BD58" s="12">
        <f t="shared" si="11"/>
        <v>27.3</v>
      </c>
      <c r="BE58" s="12">
        <f t="shared" si="11"/>
        <v>32.700000000000003</v>
      </c>
      <c r="BF58" s="12">
        <f t="shared" si="12"/>
        <v>68.300000000000011</v>
      </c>
      <c r="BG58" s="12">
        <f t="shared" si="12"/>
        <v>27.3</v>
      </c>
      <c r="BH58" s="12">
        <f t="shared" si="12"/>
        <v>34.4</v>
      </c>
      <c r="BI58" s="12">
        <f t="shared" si="12"/>
        <v>87.9</v>
      </c>
    </row>
    <row r="59" spans="1:61" ht="15.75" customHeight="1" x14ac:dyDescent="0.25">
      <c r="A59" s="1" t="s">
        <v>176</v>
      </c>
      <c r="B59" s="3" t="s">
        <v>157</v>
      </c>
      <c r="C59" s="4" t="s">
        <v>8</v>
      </c>
      <c r="D59" s="4">
        <v>41</v>
      </c>
      <c r="E59" s="4">
        <v>911</v>
      </c>
      <c r="F59" s="4">
        <v>41</v>
      </c>
      <c r="G59" s="4">
        <v>911</v>
      </c>
      <c r="H59" s="4">
        <v>12.4</v>
      </c>
      <c r="I59" s="4">
        <v>0.66300000000000003</v>
      </c>
      <c r="J59" s="4">
        <v>0.61399999999999999</v>
      </c>
      <c r="K59" s="4">
        <v>0.69799999999999995</v>
      </c>
      <c r="L59" s="4">
        <v>0.33500000000000002</v>
      </c>
      <c r="M59" s="4">
        <v>1.4</v>
      </c>
      <c r="N59" s="4">
        <v>6.4</v>
      </c>
      <c r="O59" s="4">
        <v>7.5</v>
      </c>
      <c r="P59" s="4">
        <v>1.2</v>
      </c>
      <c r="Q59" s="4">
        <v>0.5</v>
      </c>
      <c r="R59" s="4">
        <v>10.199999999999999</v>
      </c>
      <c r="S59" s="4">
        <v>13.2</v>
      </c>
      <c r="T59" s="4">
        <v>128</v>
      </c>
      <c r="U59" s="4">
        <v>114</v>
      </c>
      <c r="V59" s="4"/>
      <c r="W59" s="4">
        <v>2.2000000000000002</v>
      </c>
      <c r="X59" s="4">
        <v>0.5</v>
      </c>
      <c r="Y59" s="4">
        <v>2.8</v>
      </c>
      <c r="Z59" s="4">
        <v>0.121</v>
      </c>
      <c r="AA59" s="13">
        <f>(I59/TOTAL_BASIC!$D$301)*100</f>
        <v>118.092270749219</v>
      </c>
      <c r="AB59" s="5">
        <f t="shared" si="3"/>
        <v>1.28</v>
      </c>
      <c r="AC59" s="3">
        <f t="shared" si="1"/>
        <v>14</v>
      </c>
      <c r="AD59" s="9">
        <f t="shared" si="4"/>
        <v>1.3260000000000001</v>
      </c>
      <c r="AE59" s="16">
        <f t="shared" si="5"/>
        <v>0.56818181818181823</v>
      </c>
      <c r="AF59" s="16">
        <f t="shared" si="6"/>
        <v>0.73529411764705888</v>
      </c>
      <c r="AG59" s="9"/>
      <c r="AH59" s="9"/>
      <c r="AI59" s="12">
        <f t="shared" si="7"/>
        <v>69.3</v>
      </c>
      <c r="AJ59" s="12">
        <f t="shared" si="8"/>
        <v>69.3</v>
      </c>
      <c r="AK59" s="12">
        <f t="shared" si="8"/>
        <v>46.400000000000006</v>
      </c>
      <c r="AL59" s="12">
        <f t="shared" si="8"/>
        <v>97.2</v>
      </c>
      <c r="AM59" s="12">
        <f t="shared" si="8"/>
        <v>96.1</v>
      </c>
      <c r="AN59" s="12">
        <f t="shared" si="8"/>
        <v>92.800000000000011</v>
      </c>
      <c r="AO59" s="12">
        <f t="shared" si="14"/>
        <v>63.3</v>
      </c>
      <c r="AP59" s="12">
        <f t="shared" si="14"/>
        <v>8.6999999999999993</v>
      </c>
      <c r="AQ59" s="12">
        <f t="shared" si="14"/>
        <v>26.200000000000003</v>
      </c>
      <c r="AR59" s="12">
        <f t="shared" si="14"/>
        <v>12</v>
      </c>
      <c r="AS59" s="12">
        <f t="shared" si="15"/>
        <v>20.200000000000003</v>
      </c>
      <c r="AT59" s="12">
        <f t="shared" si="15"/>
        <v>16.3</v>
      </c>
      <c r="AU59" s="12">
        <f t="shared" si="9"/>
        <v>88</v>
      </c>
      <c r="AV59" s="12">
        <f t="shared" si="15"/>
        <v>12</v>
      </c>
      <c r="AW59" s="12">
        <f t="shared" si="16"/>
        <v>99.4</v>
      </c>
      <c r="AX59" s="12">
        <f t="shared" si="10"/>
        <v>25.700000000000003</v>
      </c>
      <c r="AY59" s="9"/>
      <c r="AZ59" s="12">
        <f t="shared" si="17"/>
        <v>84.6</v>
      </c>
      <c r="BA59" s="12">
        <f t="shared" si="13"/>
        <v>39.300000000000004</v>
      </c>
      <c r="BB59" s="12">
        <f t="shared" si="11"/>
        <v>75.900000000000006</v>
      </c>
      <c r="BC59" s="12">
        <f t="shared" si="11"/>
        <v>70.399999999999991</v>
      </c>
      <c r="BD59" s="12">
        <f t="shared" si="11"/>
        <v>97.2</v>
      </c>
      <c r="BE59" s="12">
        <f t="shared" si="11"/>
        <v>99.4</v>
      </c>
      <c r="BF59" s="12">
        <f t="shared" si="12"/>
        <v>89</v>
      </c>
      <c r="BG59" s="12">
        <f t="shared" si="12"/>
        <v>97.2</v>
      </c>
      <c r="BH59" s="12">
        <f t="shared" si="12"/>
        <v>29.5</v>
      </c>
      <c r="BI59" s="12">
        <f t="shared" si="12"/>
        <v>28.4</v>
      </c>
    </row>
    <row r="60" spans="1:61" ht="15.75" customHeight="1" x14ac:dyDescent="0.25">
      <c r="A60" s="1" t="s">
        <v>191</v>
      </c>
      <c r="B60" s="4" t="s">
        <v>161</v>
      </c>
      <c r="C60" s="4" t="s">
        <v>85</v>
      </c>
      <c r="D60" s="4">
        <v>34</v>
      </c>
      <c r="E60" s="4">
        <v>910</v>
      </c>
      <c r="F60" s="4">
        <v>34</v>
      </c>
      <c r="G60" s="4">
        <v>910</v>
      </c>
      <c r="H60" s="4">
        <v>9</v>
      </c>
      <c r="I60" s="4">
        <v>0.48299999999999998</v>
      </c>
      <c r="J60" s="4">
        <v>0.45100000000000001</v>
      </c>
      <c r="K60" s="4">
        <v>0.54400000000000004</v>
      </c>
      <c r="L60" s="4">
        <v>0.14399999999999999</v>
      </c>
      <c r="M60" s="4">
        <v>4.2</v>
      </c>
      <c r="N60" s="4">
        <v>10.3</v>
      </c>
      <c r="O60" s="4">
        <v>15.5</v>
      </c>
      <c r="P60" s="4">
        <v>0.9</v>
      </c>
      <c r="Q60" s="4">
        <v>0.6</v>
      </c>
      <c r="R60" s="4">
        <v>15.6</v>
      </c>
      <c r="S60" s="4">
        <v>17.399999999999999</v>
      </c>
      <c r="T60" s="4">
        <v>98</v>
      </c>
      <c r="U60" s="4">
        <v>120</v>
      </c>
      <c r="V60" s="4"/>
      <c r="W60" s="4">
        <v>-0.3</v>
      </c>
      <c r="X60" s="4">
        <v>-0.3</v>
      </c>
      <c r="Y60" s="4">
        <v>-0.6</v>
      </c>
      <c r="Z60" s="4">
        <v>-2.7E-2</v>
      </c>
      <c r="AA60" s="13">
        <f>(I60/TOTAL_BASIC!$D$301)*100</f>
        <v>86.03102077205547</v>
      </c>
      <c r="AB60" s="5">
        <f t="shared" si="3"/>
        <v>0.98</v>
      </c>
      <c r="AC60" s="3">
        <f t="shared" si="1"/>
        <v>-22</v>
      </c>
      <c r="AD60" s="9">
        <f t="shared" si="4"/>
        <v>0.96599999999999997</v>
      </c>
      <c r="AE60" s="16">
        <f t="shared" si="5"/>
        <v>0.8908045977011495</v>
      </c>
      <c r="AF60" s="16">
        <f t="shared" si="6"/>
        <v>0.99358974358974361</v>
      </c>
      <c r="AG60" s="9"/>
      <c r="AH60" s="9"/>
      <c r="AI60" s="12">
        <f t="shared" si="7"/>
        <v>39.300000000000004</v>
      </c>
      <c r="AJ60" s="12">
        <f t="shared" si="8"/>
        <v>68.8</v>
      </c>
      <c r="AK60" s="12">
        <f t="shared" si="8"/>
        <v>18.5</v>
      </c>
      <c r="AL60" s="12">
        <f t="shared" si="8"/>
        <v>13.600000000000001</v>
      </c>
      <c r="AM60" s="12">
        <f t="shared" si="8"/>
        <v>19.100000000000001</v>
      </c>
      <c r="AN60" s="12">
        <f t="shared" si="8"/>
        <v>79.7</v>
      </c>
      <c r="AO60" s="12">
        <f t="shared" si="14"/>
        <v>14.7</v>
      </c>
      <c r="AP60" s="12">
        <f t="shared" si="14"/>
        <v>49.1</v>
      </c>
      <c r="AQ60" s="12">
        <f t="shared" si="14"/>
        <v>62.2</v>
      </c>
      <c r="AR60" s="12">
        <f t="shared" si="14"/>
        <v>60.099999999999994</v>
      </c>
      <c r="AS60" s="12">
        <f t="shared" si="15"/>
        <v>6.5</v>
      </c>
      <c r="AT60" s="12">
        <f t="shared" si="15"/>
        <v>19.100000000000001</v>
      </c>
      <c r="AU60" s="12">
        <f t="shared" si="9"/>
        <v>42.1</v>
      </c>
      <c r="AV60" s="12">
        <f t="shared" si="15"/>
        <v>39.300000000000004</v>
      </c>
      <c r="AW60" s="12">
        <f t="shared" si="16"/>
        <v>18</v>
      </c>
      <c r="AX60" s="12">
        <f t="shared" si="10"/>
        <v>3.2999999999999972</v>
      </c>
      <c r="AY60" s="9"/>
      <c r="AZ60" s="12">
        <f t="shared" si="17"/>
        <v>10.9</v>
      </c>
      <c r="BA60" s="12">
        <f t="shared" si="13"/>
        <v>0.5</v>
      </c>
      <c r="BB60" s="12">
        <f t="shared" si="11"/>
        <v>1</v>
      </c>
      <c r="BC60" s="12">
        <f t="shared" si="11"/>
        <v>7.1</v>
      </c>
      <c r="BD60" s="12">
        <f t="shared" si="11"/>
        <v>13.600000000000001</v>
      </c>
      <c r="BE60" s="12">
        <f t="shared" si="11"/>
        <v>18</v>
      </c>
      <c r="BF60" s="12">
        <f t="shared" si="12"/>
        <v>6</v>
      </c>
      <c r="BG60" s="12">
        <f t="shared" si="12"/>
        <v>13.600000000000001</v>
      </c>
      <c r="BH60" s="12">
        <f t="shared" si="12"/>
        <v>65.5</v>
      </c>
      <c r="BI60" s="12">
        <f t="shared" si="12"/>
        <v>49.7</v>
      </c>
    </row>
    <row r="61" spans="1:61" ht="15.75" customHeight="1" x14ac:dyDescent="0.25">
      <c r="A61" s="1" t="s">
        <v>153</v>
      </c>
      <c r="B61" s="3" t="s">
        <v>91</v>
      </c>
      <c r="C61" s="4" t="s">
        <v>88</v>
      </c>
      <c r="D61" s="4">
        <v>41</v>
      </c>
      <c r="E61" s="4">
        <v>909</v>
      </c>
      <c r="F61" s="4">
        <v>41</v>
      </c>
      <c r="G61" s="4">
        <v>909</v>
      </c>
      <c r="H61" s="4">
        <v>12.2</v>
      </c>
      <c r="I61" s="4">
        <v>0.498</v>
      </c>
      <c r="J61" s="4">
        <v>0.496</v>
      </c>
      <c r="K61" s="4">
        <v>0.48599999999999999</v>
      </c>
      <c r="L61" s="4">
        <v>0.123</v>
      </c>
      <c r="M61" s="4">
        <v>6.4</v>
      </c>
      <c r="N61" s="4">
        <v>15.3</v>
      </c>
      <c r="O61" s="4">
        <v>8.6</v>
      </c>
      <c r="P61" s="4">
        <v>1.4</v>
      </c>
      <c r="Q61" s="4">
        <v>8.3000000000000007</v>
      </c>
      <c r="R61" s="4">
        <v>12.1</v>
      </c>
      <c r="S61" s="4">
        <v>8.4</v>
      </c>
      <c r="T61" s="4">
        <v>112</v>
      </c>
      <c r="U61" s="4">
        <v>96</v>
      </c>
      <c r="V61" s="4"/>
      <c r="W61" s="4">
        <v>0.7</v>
      </c>
      <c r="X61" s="4">
        <v>2.9</v>
      </c>
      <c r="Y61" s="4">
        <v>3.5</v>
      </c>
      <c r="Z61" s="4">
        <v>0.156</v>
      </c>
      <c r="AA61" s="13">
        <f>(I61/TOTAL_BASIC!$D$301)*100</f>
        <v>88.702791603485764</v>
      </c>
      <c r="AB61" s="5">
        <f t="shared" si="3"/>
        <v>1.1200000000000001</v>
      </c>
      <c r="AC61" s="3">
        <f t="shared" si="1"/>
        <v>16</v>
      </c>
      <c r="AD61" s="9">
        <f t="shared" si="4"/>
        <v>0.996</v>
      </c>
      <c r="AE61" s="16">
        <f t="shared" si="5"/>
        <v>1.0238095238095237</v>
      </c>
      <c r="AF61" s="16">
        <f t="shared" si="6"/>
        <v>0.71074380165289253</v>
      </c>
      <c r="AG61" s="9"/>
      <c r="AH61" s="9"/>
      <c r="AI61" s="12">
        <f t="shared" si="7"/>
        <v>69.3</v>
      </c>
      <c r="AJ61" s="12">
        <f t="shared" si="8"/>
        <v>68.300000000000011</v>
      </c>
      <c r="AK61" s="12">
        <f t="shared" si="8"/>
        <v>44.800000000000004</v>
      </c>
      <c r="AL61" s="12">
        <f t="shared" si="8"/>
        <v>20.200000000000003</v>
      </c>
      <c r="AM61" s="12">
        <f t="shared" si="8"/>
        <v>41.5</v>
      </c>
      <c r="AN61" s="12">
        <f t="shared" si="8"/>
        <v>66.100000000000009</v>
      </c>
      <c r="AO61" s="12">
        <f t="shared" si="14"/>
        <v>10.299999999999999</v>
      </c>
      <c r="AP61" s="12">
        <f t="shared" si="14"/>
        <v>68.8</v>
      </c>
      <c r="AQ61" s="12">
        <f t="shared" si="14"/>
        <v>84.6</v>
      </c>
      <c r="AR61" s="12">
        <f t="shared" si="14"/>
        <v>20.7</v>
      </c>
      <c r="AS61" s="12">
        <f t="shared" si="15"/>
        <v>27.800000000000004</v>
      </c>
      <c r="AT61" s="12">
        <f t="shared" si="15"/>
        <v>98.9</v>
      </c>
      <c r="AU61" s="12">
        <f t="shared" si="9"/>
        <v>73.3</v>
      </c>
      <c r="AV61" s="12">
        <f t="shared" si="15"/>
        <v>0.5</v>
      </c>
      <c r="AW61" s="12">
        <f t="shared" si="16"/>
        <v>67.2</v>
      </c>
      <c r="AX61" s="12">
        <f t="shared" si="10"/>
        <v>100</v>
      </c>
      <c r="AY61" s="9"/>
      <c r="AZ61" s="12">
        <f t="shared" si="17"/>
        <v>60.6</v>
      </c>
      <c r="BA61" s="12">
        <f t="shared" si="13"/>
        <v>97.2</v>
      </c>
      <c r="BB61" s="12">
        <f t="shared" si="11"/>
        <v>84.1</v>
      </c>
      <c r="BC61" s="12">
        <f t="shared" si="11"/>
        <v>82.5</v>
      </c>
      <c r="BD61" s="12">
        <f t="shared" si="11"/>
        <v>20.200000000000003</v>
      </c>
      <c r="BE61" s="12">
        <f t="shared" si="11"/>
        <v>67.2</v>
      </c>
      <c r="BF61" s="12">
        <f t="shared" si="12"/>
        <v>92.800000000000011</v>
      </c>
      <c r="BG61" s="12">
        <f t="shared" si="12"/>
        <v>20.200000000000003</v>
      </c>
      <c r="BH61" s="12">
        <f t="shared" si="12"/>
        <v>74.3</v>
      </c>
      <c r="BI61" s="12">
        <f t="shared" si="12"/>
        <v>26.700000000000003</v>
      </c>
    </row>
    <row r="62" spans="1:61" ht="15.75" customHeight="1" x14ac:dyDescent="0.25">
      <c r="A62" s="1" t="s">
        <v>250</v>
      </c>
      <c r="B62" s="3" t="s">
        <v>84</v>
      </c>
      <c r="C62" s="4" t="s">
        <v>8</v>
      </c>
      <c r="D62" s="4">
        <v>30</v>
      </c>
      <c r="E62" s="4">
        <v>901</v>
      </c>
      <c r="F62" s="4">
        <v>30</v>
      </c>
      <c r="G62" s="4">
        <v>901</v>
      </c>
      <c r="H62" s="4">
        <v>14.5</v>
      </c>
      <c r="I62" s="4">
        <v>0.52600000000000002</v>
      </c>
      <c r="J62" s="4">
        <v>0.46700000000000003</v>
      </c>
      <c r="K62" s="4">
        <v>0.52</v>
      </c>
      <c r="L62" s="4">
        <v>0.27600000000000002</v>
      </c>
      <c r="M62" s="4">
        <v>3</v>
      </c>
      <c r="N62" s="4">
        <v>7.6</v>
      </c>
      <c r="O62" s="4">
        <v>26.3</v>
      </c>
      <c r="P62" s="4">
        <v>1.3</v>
      </c>
      <c r="Q62" s="4">
        <v>0.9</v>
      </c>
      <c r="R62" s="4">
        <v>16.399999999999999</v>
      </c>
      <c r="S62" s="4">
        <v>25</v>
      </c>
      <c r="T62" s="4">
        <v>105</v>
      </c>
      <c r="U62" s="4">
        <v>111</v>
      </c>
      <c r="V62" s="4"/>
      <c r="W62" s="4">
        <v>0.7</v>
      </c>
      <c r="X62" s="4">
        <v>0.9</v>
      </c>
      <c r="Y62" s="4">
        <v>1.5</v>
      </c>
      <c r="Z62" s="4">
        <v>6.8000000000000005E-2</v>
      </c>
      <c r="AA62" s="13">
        <f>(I62/TOTAL_BASIC!$D$301)*100</f>
        <v>93.690097155488985</v>
      </c>
      <c r="AB62" s="5">
        <f t="shared" si="3"/>
        <v>1.05</v>
      </c>
      <c r="AC62" s="3">
        <f t="shared" si="1"/>
        <v>-6</v>
      </c>
      <c r="AD62" s="9">
        <f t="shared" si="4"/>
        <v>1.052</v>
      </c>
      <c r="AE62" s="16">
        <f t="shared" si="5"/>
        <v>1.052</v>
      </c>
      <c r="AF62" s="16">
        <f t="shared" si="6"/>
        <v>1.6036585365853659</v>
      </c>
      <c r="AG62" s="9"/>
      <c r="AH62" s="9"/>
      <c r="AI62" s="12">
        <f t="shared" si="7"/>
        <v>30.599999999999998</v>
      </c>
      <c r="AJ62" s="12">
        <f t="shared" si="8"/>
        <v>67.7</v>
      </c>
      <c r="AK62" s="12">
        <f t="shared" si="8"/>
        <v>58.4</v>
      </c>
      <c r="AL62" s="12">
        <f t="shared" si="8"/>
        <v>34.9</v>
      </c>
      <c r="AM62" s="12">
        <f t="shared" si="8"/>
        <v>27.800000000000004</v>
      </c>
      <c r="AN62" s="12">
        <f t="shared" si="8"/>
        <v>75.400000000000006</v>
      </c>
      <c r="AO62" s="12">
        <f t="shared" si="14"/>
        <v>47.5</v>
      </c>
      <c r="AP62" s="12">
        <f t="shared" si="14"/>
        <v>34.4</v>
      </c>
      <c r="AQ62" s="12">
        <f t="shared" si="14"/>
        <v>39.300000000000004</v>
      </c>
      <c r="AR62" s="12">
        <f t="shared" si="14"/>
        <v>87.9</v>
      </c>
      <c r="AS62" s="12">
        <f t="shared" si="15"/>
        <v>22.900000000000002</v>
      </c>
      <c r="AT62" s="12">
        <f t="shared" si="15"/>
        <v>34.4</v>
      </c>
      <c r="AU62" s="12">
        <f t="shared" si="9"/>
        <v>37.200000000000003</v>
      </c>
      <c r="AV62" s="12">
        <f t="shared" si="15"/>
        <v>83.6</v>
      </c>
      <c r="AW62" s="12">
        <f t="shared" si="16"/>
        <v>39.800000000000004</v>
      </c>
      <c r="AX62" s="12">
        <f t="shared" si="10"/>
        <v>47</v>
      </c>
      <c r="AY62" s="9"/>
      <c r="AZ62" s="12">
        <f t="shared" si="17"/>
        <v>60.6</v>
      </c>
      <c r="BA62" s="12">
        <f t="shared" si="13"/>
        <v>62.8</v>
      </c>
      <c r="BB62" s="12">
        <f t="shared" si="11"/>
        <v>62.8</v>
      </c>
      <c r="BC62" s="12">
        <f t="shared" si="11"/>
        <v>45.9</v>
      </c>
      <c r="BD62" s="12">
        <f t="shared" si="11"/>
        <v>34.9</v>
      </c>
      <c r="BE62" s="12">
        <f t="shared" si="11"/>
        <v>39.800000000000004</v>
      </c>
      <c r="BF62" s="12">
        <f t="shared" si="12"/>
        <v>41.5</v>
      </c>
      <c r="BG62" s="12">
        <f t="shared" si="12"/>
        <v>34.9</v>
      </c>
      <c r="BH62" s="12">
        <f t="shared" si="12"/>
        <v>75.900000000000006</v>
      </c>
      <c r="BI62" s="12">
        <f t="shared" si="12"/>
        <v>84.1</v>
      </c>
    </row>
    <row r="63" spans="1:61" ht="15.75" customHeight="1" x14ac:dyDescent="0.25">
      <c r="A63" s="1" t="s">
        <v>122</v>
      </c>
      <c r="B63" s="4" t="s">
        <v>114</v>
      </c>
      <c r="C63" s="4" t="s">
        <v>88</v>
      </c>
      <c r="D63" s="4">
        <v>34</v>
      </c>
      <c r="E63" s="4">
        <v>891</v>
      </c>
      <c r="F63" s="4">
        <v>34</v>
      </c>
      <c r="G63" s="4">
        <v>891</v>
      </c>
      <c r="H63" s="4">
        <v>21.4</v>
      </c>
      <c r="I63" s="4">
        <v>0.54400000000000004</v>
      </c>
      <c r="J63" s="4">
        <v>0.505</v>
      </c>
      <c r="K63" s="4">
        <v>0.16200000000000001</v>
      </c>
      <c r="L63" s="4">
        <v>0.27600000000000002</v>
      </c>
      <c r="M63" s="4">
        <v>10.8</v>
      </c>
      <c r="N63" s="4">
        <v>19.100000000000001</v>
      </c>
      <c r="O63" s="4">
        <v>13.6</v>
      </c>
      <c r="P63" s="4">
        <v>2</v>
      </c>
      <c r="Q63" s="4">
        <v>4.9000000000000004</v>
      </c>
      <c r="R63" s="4">
        <v>14.8</v>
      </c>
      <c r="S63" s="4">
        <v>30.1</v>
      </c>
      <c r="T63" s="4">
        <v>101</v>
      </c>
      <c r="U63" s="4">
        <v>105</v>
      </c>
      <c r="V63" s="4"/>
      <c r="W63" s="4">
        <v>0.1</v>
      </c>
      <c r="X63" s="4">
        <v>1.7</v>
      </c>
      <c r="Y63" s="4">
        <v>1.8</v>
      </c>
      <c r="Z63" s="4">
        <v>0.08</v>
      </c>
      <c r="AA63" s="13">
        <f>(I63/TOTAL_BASIC!$D$301)*100</f>
        <v>96.896222153205329</v>
      </c>
      <c r="AB63" s="5">
        <f t="shared" si="3"/>
        <v>1.01</v>
      </c>
      <c r="AC63" s="3">
        <f t="shared" si="1"/>
        <v>-4</v>
      </c>
      <c r="AD63" s="9">
        <f t="shared" si="4"/>
        <v>1.0880000000000001</v>
      </c>
      <c r="AE63" s="16">
        <f t="shared" si="5"/>
        <v>0.45182724252491691</v>
      </c>
      <c r="AF63" s="16">
        <f t="shared" si="6"/>
        <v>0.91891891891891886</v>
      </c>
      <c r="AG63" s="9"/>
      <c r="AH63" s="9"/>
      <c r="AI63" s="12">
        <f t="shared" si="7"/>
        <v>39.300000000000004</v>
      </c>
      <c r="AJ63" s="12">
        <f t="shared" si="8"/>
        <v>67.2</v>
      </c>
      <c r="AK63" s="12">
        <f t="shared" si="8"/>
        <v>90.7</v>
      </c>
      <c r="AL63" s="12">
        <f t="shared" si="8"/>
        <v>43.1</v>
      </c>
      <c r="AM63" s="12">
        <f t="shared" si="8"/>
        <v>48</v>
      </c>
      <c r="AN63" s="12">
        <f t="shared" ref="AN63:AQ126" si="18">(PERCENTRANK(K$3:K$298,K63))*100</f>
        <v>13.600000000000001</v>
      </c>
      <c r="AO63" s="12">
        <f t="shared" si="14"/>
        <v>47.5</v>
      </c>
      <c r="AP63" s="12">
        <f t="shared" si="14"/>
        <v>91.8</v>
      </c>
      <c r="AQ63" s="12">
        <f t="shared" si="14"/>
        <v>96.1</v>
      </c>
      <c r="AR63" s="12">
        <f t="shared" si="14"/>
        <v>49.7</v>
      </c>
      <c r="AS63" s="12">
        <f t="shared" si="15"/>
        <v>64.400000000000006</v>
      </c>
      <c r="AT63" s="12">
        <f t="shared" si="15"/>
        <v>92.800000000000011</v>
      </c>
      <c r="AU63" s="12">
        <f t="shared" si="9"/>
        <v>49.2</v>
      </c>
      <c r="AV63" s="12">
        <f t="shared" si="15"/>
        <v>98.3</v>
      </c>
      <c r="AW63" s="12">
        <f t="shared" si="16"/>
        <v>28.4</v>
      </c>
      <c r="AX63" s="12">
        <f t="shared" si="10"/>
        <v>85.8</v>
      </c>
      <c r="AY63" s="9"/>
      <c r="AZ63" s="12">
        <f t="shared" si="17"/>
        <v>31.1</v>
      </c>
      <c r="BA63" s="12">
        <f t="shared" si="13"/>
        <v>84.6</v>
      </c>
      <c r="BB63" s="12">
        <f t="shared" si="11"/>
        <v>66.600000000000009</v>
      </c>
      <c r="BC63" s="12">
        <f t="shared" si="11"/>
        <v>54.6</v>
      </c>
      <c r="BD63" s="12">
        <f t="shared" si="11"/>
        <v>43.1</v>
      </c>
      <c r="BE63" s="12">
        <f t="shared" si="11"/>
        <v>28.4</v>
      </c>
      <c r="BF63" s="12">
        <f t="shared" si="12"/>
        <v>48.6</v>
      </c>
      <c r="BG63" s="12">
        <f t="shared" si="12"/>
        <v>43.1</v>
      </c>
      <c r="BH63" s="12">
        <f t="shared" si="12"/>
        <v>13.600000000000001</v>
      </c>
      <c r="BI63" s="12">
        <f t="shared" si="12"/>
        <v>43.1</v>
      </c>
    </row>
    <row r="64" spans="1:61" ht="15.75" customHeight="1" x14ac:dyDescent="0.25">
      <c r="A64" s="1" t="s">
        <v>163</v>
      </c>
      <c r="B64" s="3" t="s">
        <v>161</v>
      </c>
      <c r="C64" s="4" t="s">
        <v>8</v>
      </c>
      <c r="D64" s="4">
        <v>31</v>
      </c>
      <c r="E64" s="4">
        <v>886</v>
      </c>
      <c r="F64" s="4">
        <v>31</v>
      </c>
      <c r="G64" s="4">
        <v>886</v>
      </c>
      <c r="H64" s="4">
        <v>13.5</v>
      </c>
      <c r="I64" s="4">
        <v>0.68600000000000005</v>
      </c>
      <c r="J64" s="4">
        <v>0.67800000000000005</v>
      </c>
      <c r="K64" s="4">
        <v>0.65200000000000002</v>
      </c>
      <c r="L64" s="4">
        <v>9.6000000000000002E-2</v>
      </c>
      <c r="M64" s="4">
        <v>1.2</v>
      </c>
      <c r="N64" s="4">
        <v>6.8</v>
      </c>
      <c r="O64" s="4">
        <v>29.1</v>
      </c>
      <c r="P64" s="4">
        <v>2.4</v>
      </c>
      <c r="Q64" s="4">
        <v>1.3</v>
      </c>
      <c r="R64" s="4">
        <v>27.4</v>
      </c>
      <c r="S64" s="4">
        <v>9.6</v>
      </c>
      <c r="T64" s="4">
        <v>123</v>
      </c>
      <c r="U64" s="4">
        <v>118</v>
      </c>
      <c r="V64" s="4"/>
      <c r="W64" s="4">
        <v>1.6</v>
      </c>
      <c r="X64" s="4">
        <v>0</v>
      </c>
      <c r="Y64" s="4">
        <v>1.6</v>
      </c>
      <c r="Z64" s="4">
        <v>7.2999999999999995E-2</v>
      </c>
      <c r="AA64" s="13">
        <f>(I64/TOTAL_BASIC!$D$301)*100</f>
        <v>122.18898602407879</v>
      </c>
      <c r="AB64" s="5">
        <f t="shared" si="3"/>
        <v>1.23</v>
      </c>
      <c r="AC64" s="3">
        <f t="shared" si="1"/>
        <v>5</v>
      </c>
      <c r="AD64" s="9">
        <f t="shared" si="4"/>
        <v>1.3720000000000001</v>
      </c>
      <c r="AE64" s="16">
        <f t="shared" si="5"/>
        <v>3.0312500000000004</v>
      </c>
      <c r="AF64" s="16">
        <f t="shared" si="6"/>
        <v>1.062043795620438</v>
      </c>
      <c r="AG64" s="9"/>
      <c r="AH64" s="9"/>
      <c r="AI64" s="12">
        <f t="shared" si="7"/>
        <v>33.800000000000004</v>
      </c>
      <c r="AJ64" s="12">
        <f t="shared" si="8"/>
        <v>66.600000000000009</v>
      </c>
      <c r="AK64" s="12">
        <f t="shared" si="8"/>
        <v>52.400000000000006</v>
      </c>
      <c r="AL64" s="12">
        <f t="shared" si="8"/>
        <v>99.4</v>
      </c>
      <c r="AM64" s="12">
        <f t="shared" si="8"/>
        <v>100</v>
      </c>
      <c r="AN64" s="12">
        <f t="shared" si="18"/>
        <v>89</v>
      </c>
      <c r="AO64" s="12">
        <f t="shared" si="14"/>
        <v>4.9000000000000004</v>
      </c>
      <c r="AP64" s="12">
        <f t="shared" si="14"/>
        <v>7.6</v>
      </c>
      <c r="AQ64" s="12">
        <f t="shared" si="14"/>
        <v>31.1</v>
      </c>
      <c r="AR64" s="12">
        <f t="shared" si="14"/>
        <v>92.300000000000011</v>
      </c>
      <c r="AS64" s="12">
        <f t="shared" si="15"/>
        <v>79.7</v>
      </c>
      <c r="AT64" s="12">
        <f t="shared" si="15"/>
        <v>50.8</v>
      </c>
      <c r="AU64" s="12">
        <f t="shared" si="9"/>
        <v>2.2000000000000028</v>
      </c>
      <c r="AV64" s="12">
        <f t="shared" si="15"/>
        <v>1.6</v>
      </c>
      <c r="AW64" s="12">
        <f t="shared" si="16"/>
        <v>92.300000000000011</v>
      </c>
      <c r="AX64" s="12">
        <f t="shared" si="10"/>
        <v>7.1999999999999886</v>
      </c>
      <c r="AY64" s="9"/>
      <c r="AZ64" s="12">
        <f t="shared" si="17"/>
        <v>78.100000000000009</v>
      </c>
      <c r="BA64" s="12">
        <f t="shared" si="13"/>
        <v>5.4</v>
      </c>
      <c r="BB64" s="12">
        <f t="shared" si="11"/>
        <v>65</v>
      </c>
      <c r="BC64" s="12">
        <f t="shared" si="11"/>
        <v>51.9</v>
      </c>
      <c r="BD64" s="12">
        <f t="shared" si="11"/>
        <v>99.4</v>
      </c>
      <c r="BE64" s="12">
        <f t="shared" si="11"/>
        <v>92.300000000000011</v>
      </c>
      <c r="BF64" s="12">
        <f t="shared" si="12"/>
        <v>70.399999999999991</v>
      </c>
      <c r="BG64" s="12">
        <f t="shared" si="12"/>
        <v>99.4</v>
      </c>
      <c r="BH64" s="12">
        <f t="shared" si="12"/>
        <v>100</v>
      </c>
      <c r="BI64" s="12">
        <f t="shared" si="12"/>
        <v>57.9</v>
      </c>
    </row>
    <row r="65" spans="1:61" ht="15.75" customHeight="1" x14ac:dyDescent="0.25">
      <c r="A65" s="1" t="s">
        <v>106</v>
      </c>
      <c r="B65" s="3" t="s">
        <v>107</v>
      </c>
      <c r="C65" s="4" t="s">
        <v>94</v>
      </c>
      <c r="D65" s="4">
        <v>37</v>
      </c>
      <c r="E65" s="4">
        <v>881</v>
      </c>
      <c r="F65" s="4">
        <v>37</v>
      </c>
      <c r="G65" s="4">
        <v>881</v>
      </c>
      <c r="H65" s="4">
        <v>12.5</v>
      </c>
      <c r="I65" s="4">
        <v>0.51700000000000002</v>
      </c>
      <c r="J65" s="4">
        <v>0.48</v>
      </c>
      <c r="K65" s="4">
        <v>0.48699999999999999</v>
      </c>
      <c r="L65" s="4">
        <v>0.28699999999999998</v>
      </c>
      <c r="M65" s="4">
        <v>5</v>
      </c>
      <c r="N65" s="4">
        <v>8.1999999999999993</v>
      </c>
      <c r="O65" s="4">
        <v>10.1</v>
      </c>
      <c r="P65" s="4">
        <v>2.6</v>
      </c>
      <c r="Q65" s="4">
        <v>3.2</v>
      </c>
      <c r="R65" s="4">
        <v>14.9</v>
      </c>
      <c r="S65" s="4">
        <v>18.399999999999999</v>
      </c>
      <c r="T65" s="4">
        <v>98</v>
      </c>
      <c r="U65" s="4">
        <v>110</v>
      </c>
      <c r="V65" s="4"/>
      <c r="W65" s="4">
        <v>-0.3</v>
      </c>
      <c r="X65" s="4">
        <v>0.9</v>
      </c>
      <c r="Y65" s="4">
        <v>0.7</v>
      </c>
      <c r="Z65" s="4">
        <v>0.03</v>
      </c>
      <c r="AA65" s="13">
        <f>(I65/TOTAL_BASIC!$D$301)*100</f>
        <v>92.087034656630806</v>
      </c>
      <c r="AB65" s="5">
        <f t="shared" si="3"/>
        <v>0.98</v>
      </c>
      <c r="AC65" s="3">
        <f t="shared" si="1"/>
        <v>-12</v>
      </c>
      <c r="AD65" s="9">
        <f t="shared" si="4"/>
        <v>1.034</v>
      </c>
      <c r="AE65" s="16">
        <f t="shared" si="5"/>
        <v>0.54891304347826086</v>
      </c>
      <c r="AF65" s="16">
        <f t="shared" si="6"/>
        <v>0.6778523489932885</v>
      </c>
      <c r="AG65" s="9"/>
      <c r="AH65" s="9"/>
      <c r="AI65" s="12">
        <f t="shared" si="7"/>
        <v>48</v>
      </c>
      <c r="AJ65" s="12">
        <f t="shared" si="8"/>
        <v>66.100000000000009</v>
      </c>
      <c r="AK65" s="12">
        <f t="shared" si="8"/>
        <v>46.9</v>
      </c>
      <c r="AL65" s="12">
        <f t="shared" si="8"/>
        <v>31.1</v>
      </c>
      <c r="AM65" s="12">
        <f t="shared" si="8"/>
        <v>32.200000000000003</v>
      </c>
      <c r="AN65" s="12">
        <f t="shared" si="18"/>
        <v>66.600000000000009</v>
      </c>
      <c r="AO65" s="12">
        <f t="shared" si="14"/>
        <v>51.9</v>
      </c>
      <c r="AP65" s="12">
        <f t="shared" si="14"/>
        <v>56.2</v>
      </c>
      <c r="AQ65" s="12">
        <f t="shared" si="14"/>
        <v>45.9</v>
      </c>
      <c r="AR65" s="12">
        <f t="shared" si="14"/>
        <v>27.3</v>
      </c>
      <c r="AS65" s="12">
        <f t="shared" si="15"/>
        <v>87.9</v>
      </c>
      <c r="AT65" s="12">
        <f t="shared" si="15"/>
        <v>81.899999999999991</v>
      </c>
      <c r="AU65" s="12">
        <f t="shared" si="9"/>
        <v>48.699999999999996</v>
      </c>
      <c r="AV65" s="12">
        <f t="shared" si="15"/>
        <v>50.8</v>
      </c>
      <c r="AW65" s="12">
        <f t="shared" si="16"/>
        <v>18</v>
      </c>
      <c r="AX65" s="12">
        <f t="shared" si="10"/>
        <v>56.3</v>
      </c>
      <c r="AY65" s="9"/>
      <c r="AZ65" s="12">
        <f t="shared" si="17"/>
        <v>10.9</v>
      </c>
      <c r="BA65" s="12">
        <f t="shared" si="13"/>
        <v>62.8</v>
      </c>
      <c r="BB65" s="12">
        <f t="shared" si="11"/>
        <v>37.1</v>
      </c>
      <c r="BC65" s="12">
        <f t="shared" si="11"/>
        <v>21.3</v>
      </c>
      <c r="BD65" s="12">
        <f t="shared" si="11"/>
        <v>31.1</v>
      </c>
      <c r="BE65" s="12">
        <f t="shared" si="11"/>
        <v>18</v>
      </c>
      <c r="BF65" s="12">
        <f t="shared" si="12"/>
        <v>22.400000000000002</v>
      </c>
      <c r="BG65" s="12">
        <f t="shared" si="12"/>
        <v>31.1</v>
      </c>
      <c r="BH65" s="12">
        <f t="shared" si="12"/>
        <v>27.3</v>
      </c>
      <c r="BI65" s="12">
        <f t="shared" si="12"/>
        <v>24</v>
      </c>
    </row>
    <row r="66" spans="1:61" ht="15.75" customHeight="1" x14ac:dyDescent="0.25">
      <c r="A66" s="1" t="s">
        <v>152</v>
      </c>
      <c r="B66" s="3" t="s">
        <v>131</v>
      </c>
      <c r="C66" s="4" t="s">
        <v>8</v>
      </c>
      <c r="D66" s="4">
        <v>42</v>
      </c>
      <c r="E66" s="4">
        <v>871</v>
      </c>
      <c r="F66" s="4">
        <v>42</v>
      </c>
      <c r="G66" s="4">
        <v>871</v>
      </c>
      <c r="H66" s="4">
        <v>8.9</v>
      </c>
      <c r="I66" s="4">
        <v>0.54300000000000004</v>
      </c>
      <c r="J66" s="4">
        <v>0.502</v>
      </c>
      <c r="K66" s="4">
        <v>0.504</v>
      </c>
      <c r="L66" s="4">
        <v>0.214</v>
      </c>
      <c r="M66" s="4">
        <v>2.1</v>
      </c>
      <c r="N66" s="4">
        <v>3.8</v>
      </c>
      <c r="O66" s="4">
        <v>12.4</v>
      </c>
      <c r="P66" s="4">
        <v>2</v>
      </c>
      <c r="Q66" s="4">
        <v>1.1000000000000001</v>
      </c>
      <c r="R66" s="4">
        <v>14</v>
      </c>
      <c r="S66" s="4">
        <v>14.2</v>
      </c>
      <c r="T66" s="4">
        <v>103</v>
      </c>
      <c r="U66" s="4">
        <v>113</v>
      </c>
      <c r="V66" s="4"/>
      <c r="W66" s="4">
        <v>0.2</v>
      </c>
      <c r="X66" s="4">
        <v>0.6</v>
      </c>
      <c r="Y66" s="4">
        <v>0.8</v>
      </c>
      <c r="Z66" s="4">
        <v>3.9E-2</v>
      </c>
      <c r="AA66" s="13">
        <f>(I66/TOTAL_BASIC!$D$301)*100</f>
        <v>96.718104097776646</v>
      </c>
      <c r="AB66" s="5">
        <f t="shared" si="3"/>
        <v>1.03</v>
      </c>
      <c r="AC66" s="3">
        <f t="shared" si="1"/>
        <v>-10</v>
      </c>
      <c r="AD66" s="9">
        <f t="shared" si="4"/>
        <v>1.0860000000000001</v>
      </c>
      <c r="AE66" s="16">
        <f t="shared" si="5"/>
        <v>0.87323943661971837</v>
      </c>
      <c r="AF66" s="16">
        <f t="shared" si="6"/>
        <v>0.88571428571428579</v>
      </c>
      <c r="AG66" s="9"/>
      <c r="AH66" s="9"/>
      <c r="AI66" s="12">
        <f t="shared" si="7"/>
        <v>83</v>
      </c>
      <c r="AJ66" s="12">
        <f t="shared" si="8"/>
        <v>65.5</v>
      </c>
      <c r="AK66" s="12">
        <f t="shared" si="8"/>
        <v>17.399999999999999</v>
      </c>
      <c r="AL66" s="12">
        <f t="shared" si="8"/>
        <v>42</v>
      </c>
      <c r="AM66" s="12">
        <f t="shared" si="8"/>
        <v>46.400000000000006</v>
      </c>
      <c r="AN66" s="12">
        <f t="shared" si="18"/>
        <v>72.599999999999994</v>
      </c>
      <c r="AO66" s="12">
        <f t="shared" si="14"/>
        <v>28.4</v>
      </c>
      <c r="AP66" s="12">
        <f t="shared" si="14"/>
        <v>18.5</v>
      </c>
      <c r="AQ66" s="12">
        <f t="shared" si="14"/>
        <v>2.7</v>
      </c>
      <c r="AR66" s="12">
        <f t="shared" si="14"/>
        <v>45.300000000000004</v>
      </c>
      <c r="AS66" s="12">
        <f t="shared" si="15"/>
        <v>64.400000000000006</v>
      </c>
      <c r="AT66" s="12">
        <f t="shared" si="15"/>
        <v>43.7</v>
      </c>
      <c r="AU66" s="12">
        <f t="shared" si="9"/>
        <v>56.3</v>
      </c>
      <c r="AV66" s="12">
        <f t="shared" si="15"/>
        <v>15.299999999999999</v>
      </c>
      <c r="AW66" s="12">
        <f t="shared" si="16"/>
        <v>34.4</v>
      </c>
      <c r="AX66" s="12">
        <f t="shared" si="10"/>
        <v>29.600000000000009</v>
      </c>
      <c r="AY66" s="9"/>
      <c r="AZ66" s="12">
        <f t="shared" si="17"/>
        <v>37.700000000000003</v>
      </c>
      <c r="BA66" s="12">
        <f t="shared" si="13"/>
        <v>47.5</v>
      </c>
      <c r="BB66" s="12">
        <f t="shared" si="11"/>
        <v>40.400000000000006</v>
      </c>
      <c r="BC66" s="12">
        <f t="shared" si="11"/>
        <v>29.5</v>
      </c>
      <c r="BD66" s="12">
        <f t="shared" si="11"/>
        <v>42</v>
      </c>
      <c r="BE66" s="12">
        <f t="shared" si="11"/>
        <v>34.4</v>
      </c>
      <c r="BF66" s="12">
        <f t="shared" si="12"/>
        <v>30.599999999999998</v>
      </c>
      <c r="BG66" s="12">
        <f t="shared" si="12"/>
        <v>42</v>
      </c>
      <c r="BH66" s="12">
        <f t="shared" si="12"/>
        <v>64.400000000000006</v>
      </c>
      <c r="BI66" s="12">
        <f t="shared" si="12"/>
        <v>39.300000000000004</v>
      </c>
    </row>
    <row r="67" spans="1:61" ht="15.75" customHeight="1" x14ac:dyDescent="0.25">
      <c r="A67" s="1" t="s">
        <v>129</v>
      </c>
      <c r="B67" s="3" t="s">
        <v>107</v>
      </c>
      <c r="C67" s="4" t="s">
        <v>8</v>
      </c>
      <c r="D67" s="4">
        <v>38</v>
      </c>
      <c r="E67" s="4">
        <v>856</v>
      </c>
      <c r="F67" s="4">
        <v>38</v>
      </c>
      <c r="G67" s="4">
        <v>856</v>
      </c>
      <c r="H67" s="4">
        <v>8.9</v>
      </c>
      <c r="I67" s="4">
        <v>0.39600000000000002</v>
      </c>
      <c r="J67" s="4">
        <v>0.36499999999999999</v>
      </c>
      <c r="K67" s="4">
        <v>0.253</v>
      </c>
      <c r="L67" s="4">
        <v>0.25</v>
      </c>
      <c r="M67" s="4">
        <v>2.2999999999999998</v>
      </c>
      <c r="N67" s="4">
        <v>6.8</v>
      </c>
      <c r="O67" s="4">
        <v>22.5</v>
      </c>
      <c r="P67" s="4">
        <v>2.4</v>
      </c>
      <c r="Q67" s="4">
        <v>2.8</v>
      </c>
      <c r="R67" s="4">
        <v>13.3</v>
      </c>
      <c r="S67" s="4">
        <v>19.7</v>
      </c>
      <c r="T67" s="4">
        <v>86</v>
      </c>
      <c r="U67" s="4">
        <v>111</v>
      </c>
      <c r="V67" s="4"/>
      <c r="W67" s="4">
        <v>-1.7</v>
      </c>
      <c r="X67" s="4">
        <v>0.8</v>
      </c>
      <c r="Y67" s="4">
        <v>-0.9</v>
      </c>
      <c r="Z67" s="4">
        <v>-4.2999999999999997E-2</v>
      </c>
      <c r="AA67" s="13">
        <f>(I67/TOTAL_BASIC!$D$301)*100</f>
        <v>70.534749949759771</v>
      </c>
      <c r="AB67" s="5">
        <f t="shared" si="3"/>
        <v>0.86</v>
      </c>
      <c r="AC67" s="3">
        <f t="shared" si="1"/>
        <v>-25</v>
      </c>
      <c r="AD67" s="9">
        <f t="shared" si="4"/>
        <v>0.79200000000000004</v>
      </c>
      <c r="AE67" s="16">
        <f t="shared" si="5"/>
        <v>1.1421319796954315</v>
      </c>
      <c r="AF67" s="16">
        <f t="shared" si="6"/>
        <v>1.6917293233082706</v>
      </c>
      <c r="AG67" s="9"/>
      <c r="AH67" s="9"/>
      <c r="AI67" s="12">
        <f t="shared" si="7"/>
        <v>53</v>
      </c>
      <c r="AJ67" s="12">
        <f t="shared" si="8"/>
        <v>65</v>
      </c>
      <c r="AK67" s="12">
        <f t="shared" si="8"/>
        <v>17.399999999999999</v>
      </c>
      <c r="AL67" s="12">
        <f t="shared" si="8"/>
        <v>2.1</v>
      </c>
      <c r="AM67" s="12">
        <f t="shared" si="8"/>
        <v>2.1</v>
      </c>
      <c r="AN67" s="12">
        <f t="shared" si="18"/>
        <v>22.400000000000002</v>
      </c>
      <c r="AO67" s="12">
        <f t="shared" si="14"/>
        <v>39.300000000000004</v>
      </c>
      <c r="AP67" s="12">
        <f t="shared" si="14"/>
        <v>22.900000000000002</v>
      </c>
      <c r="AQ67" s="12">
        <f t="shared" si="14"/>
        <v>31.1</v>
      </c>
      <c r="AR67" s="12">
        <f t="shared" si="14"/>
        <v>81.399999999999991</v>
      </c>
      <c r="AS67" s="12">
        <f t="shared" si="15"/>
        <v>79.7</v>
      </c>
      <c r="AT67" s="12">
        <f t="shared" si="15"/>
        <v>79.2</v>
      </c>
      <c r="AU67" s="12">
        <f t="shared" si="9"/>
        <v>64.5</v>
      </c>
      <c r="AV67" s="12">
        <f t="shared" si="15"/>
        <v>59</v>
      </c>
      <c r="AW67" s="12">
        <f t="shared" si="16"/>
        <v>2.7</v>
      </c>
      <c r="AX67" s="12">
        <f t="shared" si="10"/>
        <v>47</v>
      </c>
      <c r="AY67" s="9"/>
      <c r="AZ67" s="12">
        <f t="shared" si="17"/>
        <v>0</v>
      </c>
      <c r="BA67" s="12">
        <f t="shared" si="13"/>
        <v>59</v>
      </c>
      <c r="BB67" s="12">
        <f t="shared" si="11"/>
        <v>0</v>
      </c>
      <c r="BC67" s="12">
        <f t="shared" si="11"/>
        <v>3.2</v>
      </c>
      <c r="BD67" s="12">
        <f t="shared" si="11"/>
        <v>2.1</v>
      </c>
      <c r="BE67" s="12">
        <f t="shared" ref="BE67:BH130" si="19">(PERCENTRANK(AB$3:AB$298,AB67))*100</f>
        <v>2.7</v>
      </c>
      <c r="BF67" s="12">
        <f t="shared" si="12"/>
        <v>4.9000000000000004</v>
      </c>
      <c r="BG67" s="12">
        <f t="shared" si="12"/>
        <v>2.1</v>
      </c>
      <c r="BH67" s="12">
        <f t="shared" si="12"/>
        <v>81.399999999999991</v>
      </c>
      <c r="BI67" s="12">
        <f t="shared" ref="BI67:BI130" si="20">(PERCENTRANK(AF$3:AF$298,AF67))*100</f>
        <v>87.4</v>
      </c>
    </row>
    <row r="68" spans="1:61" ht="15.75" customHeight="1" x14ac:dyDescent="0.25">
      <c r="A68" s="1" t="s">
        <v>143</v>
      </c>
      <c r="B68" s="3" t="s">
        <v>91</v>
      </c>
      <c r="C68" s="4" t="s">
        <v>85</v>
      </c>
      <c r="D68" s="4">
        <v>38</v>
      </c>
      <c r="E68" s="4">
        <v>849</v>
      </c>
      <c r="F68" s="4">
        <v>38</v>
      </c>
      <c r="G68" s="4">
        <v>849</v>
      </c>
      <c r="H68" s="4">
        <v>19.2</v>
      </c>
      <c r="I68" s="4">
        <v>0.58799999999999997</v>
      </c>
      <c r="J68" s="4">
        <v>0.54800000000000004</v>
      </c>
      <c r="K68" s="4">
        <v>0.62</v>
      </c>
      <c r="L68" s="4">
        <v>0.27</v>
      </c>
      <c r="M68" s="4">
        <v>5.6</v>
      </c>
      <c r="N68" s="4">
        <v>10.6</v>
      </c>
      <c r="O68" s="4">
        <v>10.199999999999999</v>
      </c>
      <c r="P68" s="4">
        <v>1.5</v>
      </c>
      <c r="Q68" s="4">
        <v>0.5</v>
      </c>
      <c r="R68" s="4">
        <v>6.7</v>
      </c>
      <c r="S68" s="4">
        <v>24.5</v>
      </c>
      <c r="T68" s="4">
        <v>119</v>
      </c>
      <c r="U68" s="4">
        <v>103</v>
      </c>
      <c r="V68" s="4"/>
      <c r="W68" s="4">
        <v>2.5</v>
      </c>
      <c r="X68" s="4">
        <v>1.8</v>
      </c>
      <c r="Y68" s="4">
        <v>4.3</v>
      </c>
      <c r="Z68" s="4">
        <v>0.20499999999999999</v>
      </c>
      <c r="AA68" s="13">
        <f>(I68/TOTAL_BASIC!$D$301)*100</f>
        <v>104.73341659206751</v>
      </c>
      <c r="AB68" s="5">
        <f t="shared" ref="AB68:AB131" si="21">(T68/100)</f>
        <v>1.19</v>
      </c>
      <c r="AC68" s="3">
        <f t="shared" si="1"/>
        <v>16</v>
      </c>
      <c r="AD68" s="9">
        <f t="shared" ref="AD68:AD131" si="22">2*I68</f>
        <v>1.1759999999999999</v>
      </c>
      <c r="AE68" s="16">
        <f t="shared" ref="AE68:AE131" si="23">IF(S68=0,0,O68/S68)</f>
        <v>0.41632653061224489</v>
      </c>
      <c r="AF68" s="16">
        <f t="shared" ref="AF68:AF131" si="24">IF(R68=0,0,O68/R68)</f>
        <v>1.5223880597014925</v>
      </c>
      <c r="AG68" s="9"/>
      <c r="AH68" s="9"/>
      <c r="AI68" s="12">
        <f t="shared" ref="AI68:AI131" si="25">(PERCENTRANK(F$3:F$298,F68))*100</f>
        <v>53</v>
      </c>
      <c r="AJ68" s="12">
        <f t="shared" ref="AJ68:AM131" si="26">(PERCENTRANK(G$3:G$298,G68))*100</f>
        <v>64.400000000000006</v>
      </c>
      <c r="AK68" s="12">
        <f t="shared" si="26"/>
        <v>81.399999999999991</v>
      </c>
      <c r="AL68" s="12">
        <f t="shared" si="26"/>
        <v>71</v>
      </c>
      <c r="AM68" s="12">
        <f t="shared" si="26"/>
        <v>72.099999999999994</v>
      </c>
      <c r="AN68" s="12">
        <f t="shared" si="18"/>
        <v>86.3</v>
      </c>
      <c r="AO68" s="12">
        <f t="shared" si="14"/>
        <v>44.800000000000004</v>
      </c>
      <c r="AP68" s="12">
        <f t="shared" si="14"/>
        <v>61.7</v>
      </c>
      <c r="AQ68" s="12">
        <f t="shared" si="14"/>
        <v>63.9</v>
      </c>
      <c r="AR68" s="12">
        <f t="shared" si="14"/>
        <v>28.4</v>
      </c>
      <c r="AS68" s="12">
        <f t="shared" si="15"/>
        <v>33.800000000000004</v>
      </c>
      <c r="AT68" s="12">
        <f t="shared" si="15"/>
        <v>16.3</v>
      </c>
      <c r="AU68" s="12">
        <f t="shared" ref="AU68:AU131" si="27">100-(PERCENTRANK(R$3:R$298,R68))*100</f>
        <v>99</v>
      </c>
      <c r="AV68" s="12">
        <f t="shared" si="15"/>
        <v>81.899999999999991</v>
      </c>
      <c r="AW68" s="12">
        <f t="shared" si="16"/>
        <v>83.6</v>
      </c>
      <c r="AX68" s="12">
        <f t="shared" ref="AX68:AX131" si="28">100-(PERCENTRANK(U$3:U$298,U68))*100</f>
        <v>92.4</v>
      </c>
      <c r="AY68" s="9"/>
      <c r="AZ68" s="12">
        <f t="shared" si="17"/>
        <v>86.3</v>
      </c>
      <c r="BA68" s="12">
        <f t="shared" si="13"/>
        <v>87.4</v>
      </c>
      <c r="BB68" s="12">
        <f t="shared" si="13"/>
        <v>86.8</v>
      </c>
      <c r="BC68" s="12">
        <f t="shared" si="13"/>
        <v>95.6</v>
      </c>
      <c r="BD68" s="12">
        <f t="shared" si="13"/>
        <v>71</v>
      </c>
      <c r="BE68" s="12">
        <f t="shared" si="19"/>
        <v>83.6</v>
      </c>
      <c r="BF68" s="12">
        <f t="shared" si="19"/>
        <v>92.800000000000011</v>
      </c>
      <c r="BG68" s="12">
        <f t="shared" si="19"/>
        <v>71</v>
      </c>
      <c r="BH68" s="12">
        <f t="shared" si="19"/>
        <v>9.8000000000000007</v>
      </c>
      <c r="BI68" s="12">
        <f t="shared" si="20"/>
        <v>80.300000000000011</v>
      </c>
    </row>
    <row r="69" spans="1:61" ht="15.75" customHeight="1" x14ac:dyDescent="0.25">
      <c r="A69" s="1" t="s">
        <v>124</v>
      </c>
      <c r="B69" s="3" t="s">
        <v>91</v>
      </c>
      <c r="C69" s="4" t="s">
        <v>94</v>
      </c>
      <c r="D69" s="4">
        <v>42</v>
      </c>
      <c r="E69" s="4">
        <v>841</v>
      </c>
      <c r="F69" s="4">
        <v>42</v>
      </c>
      <c r="G69" s="4">
        <v>841</v>
      </c>
      <c r="H69" s="4">
        <v>12.6</v>
      </c>
      <c r="I69" s="4">
        <v>0.498</v>
      </c>
      <c r="J69" s="4">
        <v>0.46400000000000002</v>
      </c>
      <c r="K69" s="4">
        <v>0.38900000000000001</v>
      </c>
      <c r="L69" s="4">
        <v>0.21099999999999999</v>
      </c>
      <c r="M69" s="4">
        <v>9.3000000000000007</v>
      </c>
      <c r="N69" s="4">
        <v>14.1</v>
      </c>
      <c r="O69" s="4">
        <v>11.9</v>
      </c>
      <c r="P69" s="4">
        <v>2.2000000000000002</v>
      </c>
      <c r="Q69" s="4">
        <v>1.2</v>
      </c>
      <c r="R69" s="4">
        <v>13.7</v>
      </c>
      <c r="S69" s="4">
        <v>17.2</v>
      </c>
      <c r="T69" s="4">
        <v>105</v>
      </c>
      <c r="U69" s="4">
        <v>100</v>
      </c>
      <c r="V69" s="4"/>
      <c r="W69" s="4">
        <v>0.5</v>
      </c>
      <c r="X69" s="4">
        <v>2.2000000000000002</v>
      </c>
      <c r="Y69" s="4">
        <v>2.6</v>
      </c>
      <c r="Z69" s="4">
        <v>0.126</v>
      </c>
      <c r="AA69" s="13">
        <f>(I69/TOTAL_BASIC!$D$301)*100</f>
        <v>88.702791603485764</v>
      </c>
      <c r="AB69" s="5">
        <f t="shared" si="21"/>
        <v>1.05</v>
      </c>
      <c r="AC69" s="3">
        <f t="shared" si="1"/>
        <v>5</v>
      </c>
      <c r="AD69" s="9">
        <f t="shared" si="22"/>
        <v>0.996</v>
      </c>
      <c r="AE69" s="16">
        <f t="shared" si="23"/>
        <v>0.69186046511627908</v>
      </c>
      <c r="AF69" s="16">
        <f t="shared" si="24"/>
        <v>0.86861313868613144</v>
      </c>
      <c r="AG69" s="9"/>
      <c r="AH69" s="9"/>
      <c r="AI69" s="12">
        <f t="shared" si="25"/>
        <v>83</v>
      </c>
      <c r="AJ69" s="12">
        <f t="shared" si="26"/>
        <v>63.9</v>
      </c>
      <c r="AK69" s="12">
        <f t="shared" si="26"/>
        <v>48.6</v>
      </c>
      <c r="AL69" s="12">
        <f t="shared" si="26"/>
        <v>20.200000000000003</v>
      </c>
      <c r="AM69" s="12">
        <f t="shared" si="26"/>
        <v>25.6</v>
      </c>
      <c r="AN69" s="12">
        <f t="shared" si="18"/>
        <v>45.300000000000004</v>
      </c>
      <c r="AO69" s="12">
        <f t="shared" si="14"/>
        <v>27.800000000000004</v>
      </c>
      <c r="AP69" s="12">
        <f t="shared" si="14"/>
        <v>87.9</v>
      </c>
      <c r="AQ69" s="12">
        <f t="shared" si="14"/>
        <v>80.800000000000011</v>
      </c>
      <c r="AR69" s="12">
        <f t="shared" si="14"/>
        <v>40.400000000000006</v>
      </c>
      <c r="AS69" s="12">
        <f t="shared" si="15"/>
        <v>74.3</v>
      </c>
      <c r="AT69" s="12">
        <f t="shared" si="15"/>
        <v>46.400000000000006</v>
      </c>
      <c r="AU69" s="12">
        <f t="shared" si="27"/>
        <v>59.599999999999994</v>
      </c>
      <c r="AV69" s="12">
        <f t="shared" si="15"/>
        <v>36</v>
      </c>
      <c r="AW69" s="12">
        <f t="shared" si="16"/>
        <v>39.800000000000004</v>
      </c>
      <c r="AX69" s="12">
        <f t="shared" si="28"/>
        <v>98.4</v>
      </c>
      <c r="AY69" s="9"/>
      <c r="AZ69" s="12">
        <f t="shared" si="17"/>
        <v>51.9</v>
      </c>
      <c r="BA69" s="12">
        <f t="shared" si="13"/>
        <v>92.300000000000011</v>
      </c>
      <c r="BB69" s="12">
        <f t="shared" si="13"/>
        <v>74.8</v>
      </c>
      <c r="BC69" s="12">
        <f t="shared" si="13"/>
        <v>72.599999999999994</v>
      </c>
      <c r="BD69" s="12">
        <f t="shared" si="13"/>
        <v>20.200000000000003</v>
      </c>
      <c r="BE69" s="12">
        <f t="shared" si="19"/>
        <v>39.800000000000004</v>
      </c>
      <c r="BF69" s="12">
        <f t="shared" si="19"/>
        <v>70.399999999999991</v>
      </c>
      <c r="BG69" s="12">
        <f t="shared" si="19"/>
        <v>20.200000000000003</v>
      </c>
      <c r="BH69" s="12">
        <f t="shared" si="19"/>
        <v>46.9</v>
      </c>
      <c r="BI69" s="12">
        <f t="shared" si="20"/>
        <v>38.200000000000003</v>
      </c>
    </row>
    <row r="70" spans="1:61" ht="15.75" customHeight="1" x14ac:dyDescent="0.25">
      <c r="A70" s="1" t="s">
        <v>86</v>
      </c>
      <c r="B70" s="3" t="s">
        <v>84</v>
      </c>
      <c r="C70" s="4" t="s">
        <v>8</v>
      </c>
      <c r="D70" s="4">
        <v>40</v>
      </c>
      <c r="E70" s="4">
        <v>809</v>
      </c>
      <c r="F70" s="4">
        <v>40</v>
      </c>
      <c r="G70" s="4">
        <v>809</v>
      </c>
      <c r="H70" s="4">
        <v>12.6</v>
      </c>
      <c r="I70" s="4">
        <v>0.58199999999999996</v>
      </c>
      <c r="J70" s="4">
        <v>0.56599999999999995</v>
      </c>
      <c r="K70" s="4">
        <v>0.80300000000000005</v>
      </c>
      <c r="L70" s="4">
        <v>9.2999999999999999E-2</v>
      </c>
      <c r="M70" s="4">
        <v>2.4</v>
      </c>
      <c r="N70" s="4">
        <v>5.9</v>
      </c>
      <c r="O70" s="4">
        <v>18.5</v>
      </c>
      <c r="P70" s="4">
        <v>1.9</v>
      </c>
      <c r="Q70" s="4">
        <v>0.6</v>
      </c>
      <c r="R70" s="4">
        <v>18.100000000000001</v>
      </c>
      <c r="S70" s="4">
        <v>19.5</v>
      </c>
      <c r="T70" s="4">
        <v>106</v>
      </c>
      <c r="U70" s="4">
        <v>111</v>
      </c>
      <c r="V70" s="4"/>
      <c r="W70" s="4">
        <v>0.6</v>
      </c>
      <c r="X70" s="4">
        <v>0.8</v>
      </c>
      <c r="Y70" s="4">
        <v>1.4</v>
      </c>
      <c r="Z70" s="4">
        <v>7.0999999999999994E-2</v>
      </c>
      <c r="AA70" s="13">
        <f>(I70/TOTAL_BASIC!$D$301)*100</f>
        <v>103.66470825949541</v>
      </c>
      <c r="AB70" s="5">
        <f t="shared" si="21"/>
        <v>1.06</v>
      </c>
      <c r="AC70" s="3">
        <f t="shared" si="1"/>
        <v>-5</v>
      </c>
      <c r="AD70" s="9">
        <f t="shared" si="22"/>
        <v>1.1639999999999999</v>
      </c>
      <c r="AE70" s="16">
        <f t="shared" si="23"/>
        <v>0.94871794871794868</v>
      </c>
      <c r="AF70" s="16">
        <f t="shared" si="24"/>
        <v>1.0220994475138121</v>
      </c>
      <c r="AG70" s="9"/>
      <c r="AH70" s="9"/>
      <c r="AI70" s="12">
        <f t="shared" si="25"/>
        <v>63.9</v>
      </c>
      <c r="AJ70" s="12">
        <f t="shared" si="26"/>
        <v>63.3</v>
      </c>
      <c r="AK70" s="12">
        <f t="shared" si="26"/>
        <v>48.6</v>
      </c>
      <c r="AL70" s="12">
        <f t="shared" si="26"/>
        <v>67.2</v>
      </c>
      <c r="AM70" s="12">
        <f t="shared" si="26"/>
        <v>81.399999999999991</v>
      </c>
      <c r="AN70" s="12">
        <f t="shared" si="18"/>
        <v>99.4</v>
      </c>
      <c r="AO70" s="12">
        <f t="shared" si="14"/>
        <v>4.3</v>
      </c>
      <c r="AP70" s="12">
        <f t="shared" si="14"/>
        <v>25.6</v>
      </c>
      <c r="AQ70" s="12">
        <f t="shared" si="14"/>
        <v>20.200000000000003</v>
      </c>
      <c r="AR70" s="12">
        <f t="shared" si="14"/>
        <v>71.5</v>
      </c>
      <c r="AS70" s="12">
        <f t="shared" si="15"/>
        <v>57.9</v>
      </c>
      <c r="AT70" s="12">
        <f t="shared" si="15"/>
        <v>19.100000000000001</v>
      </c>
      <c r="AU70" s="12">
        <f t="shared" si="27"/>
        <v>24.099999999999994</v>
      </c>
      <c r="AV70" s="12">
        <f t="shared" si="15"/>
        <v>56.8</v>
      </c>
      <c r="AW70" s="12">
        <f t="shared" si="16"/>
        <v>45.9</v>
      </c>
      <c r="AX70" s="12">
        <f t="shared" si="28"/>
        <v>47</v>
      </c>
      <c r="AY70" s="9"/>
      <c r="AZ70" s="12">
        <f t="shared" si="17"/>
        <v>56.8</v>
      </c>
      <c r="BA70" s="12">
        <f t="shared" si="13"/>
        <v>59</v>
      </c>
      <c r="BB70" s="12">
        <f t="shared" si="13"/>
        <v>62.2</v>
      </c>
      <c r="BC70" s="12">
        <f t="shared" si="13"/>
        <v>49.7</v>
      </c>
      <c r="BD70" s="12">
        <f t="shared" si="13"/>
        <v>67.2</v>
      </c>
      <c r="BE70" s="12">
        <f t="shared" si="19"/>
        <v>45.9</v>
      </c>
      <c r="BF70" s="12">
        <f t="shared" si="19"/>
        <v>45.300000000000004</v>
      </c>
      <c r="BG70" s="12">
        <f t="shared" si="19"/>
        <v>67.2</v>
      </c>
      <c r="BH70" s="12">
        <f t="shared" si="19"/>
        <v>68.8</v>
      </c>
      <c r="BI70" s="12">
        <f t="shared" si="20"/>
        <v>51.9</v>
      </c>
    </row>
    <row r="71" spans="1:61" ht="15.75" customHeight="1" x14ac:dyDescent="0.25">
      <c r="A71" s="1" t="s">
        <v>256</v>
      </c>
      <c r="B71" s="3" t="s">
        <v>107</v>
      </c>
      <c r="C71" s="4" t="s">
        <v>8</v>
      </c>
      <c r="D71" s="4">
        <v>28</v>
      </c>
      <c r="E71" s="4">
        <v>794</v>
      </c>
      <c r="F71" s="4">
        <v>28</v>
      </c>
      <c r="G71" s="4">
        <v>794</v>
      </c>
      <c r="H71" s="4">
        <v>13.4</v>
      </c>
      <c r="I71" s="4">
        <v>0.51500000000000001</v>
      </c>
      <c r="J71" s="4">
        <v>0.48499999999999999</v>
      </c>
      <c r="K71" s="4">
        <v>0.33</v>
      </c>
      <c r="L71" s="4">
        <v>0.223</v>
      </c>
      <c r="M71" s="4">
        <v>2.2000000000000002</v>
      </c>
      <c r="N71" s="4">
        <v>4</v>
      </c>
      <c r="O71" s="4">
        <v>28.8</v>
      </c>
      <c r="P71" s="4">
        <v>3</v>
      </c>
      <c r="Q71" s="4">
        <v>1.1000000000000001</v>
      </c>
      <c r="R71" s="4">
        <v>16.2</v>
      </c>
      <c r="S71" s="4">
        <v>21.1</v>
      </c>
      <c r="T71" s="4">
        <v>100</v>
      </c>
      <c r="U71" s="4">
        <v>112</v>
      </c>
      <c r="V71" s="4"/>
      <c r="W71" s="4">
        <v>0</v>
      </c>
      <c r="X71" s="4">
        <v>0.6</v>
      </c>
      <c r="Y71" s="4">
        <v>0.6</v>
      </c>
      <c r="Z71" s="4">
        <v>3.1E-2</v>
      </c>
      <c r="AA71" s="13">
        <f>(I71/TOTAL_BASIC!$D$301)*100</f>
        <v>91.730798545773425</v>
      </c>
      <c r="AB71" s="5">
        <f t="shared" si="21"/>
        <v>1</v>
      </c>
      <c r="AC71" s="3">
        <f t="shared" si="1"/>
        <v>-12</v>
      </c>
      <c r="AD71" s="9">
        <f t="shared" si="22"/>
        <v>1.03</v>
      </c>
      <c r="AE71" s="16">
        <f t="shared" si="23"/>
        <v>1.3649289099526065</v>
      </c>
      <c r="AF71" s="16">
        <f t="shared" si="24"/>
        <v>1.7777777777777779</v>
      </c>
      <c r="AG71" s="9"/>
      <c r="AH71" s="9"/>
      <c r="AI71" s="12">
        <f t="shared" si="25"/>
        <v>25.1</v>
      </c>
      <c r="AJ71" s="12">
        <f t="shared" si="26"/>
        <v>62.8</v>
      </c>
      <c r="AK71" s="12">
        <f t="shared" si="26"/>
        <v>51.9</v>
      </c>
      <c r="AL71" s="12">
        <f t="shared" si="26"/>
        <v>28.9</v>
      </c>
      <c r="AM71" s="12">
        <f t="shared" si="26"/>
        <v>34.4</v>
      </c>
      <c r="AN71" s="12">
        <f t="shared" si="18"/>
        <v>32.700000000000003</v>
      </c>
      <c r="AO71" s="12">
        <f t="shared" si="14"/>
        <v>32.200000000000003</v>
      </c>
      <c r="AP71" s="12">
        <f t="shared" si="14"/>
        <v>19.600000000000001</v>
      </c>
      <c r="AQ71" s="12">
        <f t="shared" si="14"/>
        <v>3.8</v>
      </c>
      <c r="AR71" s="12">
        <f t="shared" si="14"/>
        <v>91.2</v>
      </c>
      <c r="AS71" s="12">
        <f t="shared" si="15"/>
        <v>95</v>
      </c>
      <c r="AT71" s="12">
        <f t="shared" si="15"/>
        <v>43.7</v>
      </c>
      <c r="AU71" s="12">
        <f t="shared" si="27"/>
        <v>38.800000000000004</v>
      </c>
      <c r="AV71" s="12">
        <f t="shared" si="15"/>
        <v>66.100000000000009</v>
      </c>
      <c r="AW71" s="12">
        <f t="shared" si="16"/>
        <v>23.400000000000002</v>
      </c>
      <c r="AX71" s="12">
        <f t="shared" si="28"/>
        <v>38.800000000000004</v>
      </c>
      <c r="AY71" s="9"/>
      <c r="AZ71" s="12">
        <f t="shared" si="17"/>
        <v>24.5</v>
      </c>
      <c r="BA71" s="12">
        <f t="shared" si="13"/>
        <v>47.5</v>
      </c>
      <c r="BB71" s="12">
        <f t="shared" si="13"/>
        <v>33.300000000000004</v>
      </c>
      <c r="BC71" s="12">
        <f t="shared" si="13"/>
        <v>23.400000000000002</v>
      </c>
      <c r="BD71" s="12">
        <f t="shared" si="13"/>
        <v>28.9</v>
      </c>
      <c r="BE71" s="12">
        <f t="shared" si="19"/>
        <v>23.400000000000002</v>
      </c>
      <c r="BF71" s="12">
        <f t="shared" si="19"/>
        <v>22.400000000000002</v>
      </c>
      <c r="BG71" s="12">
        <f t="shared" si="19"/>
        <v>28.9</v>
      </c>
      <c r="BH71" s="12">
        <f t="shared" si="19"/>
        <v>90.100000000000009</v>
      </c>
      <c r="BI71" s="12">
        <f t="shared" si="20"/>
        <v>89</v>
      </c>
    </row>
    <row r="72" spans="1:61" ht="15.75" customHeight="1" x14ac:dyDescent="0.25">
      <c r="A72" s="1" t="s">
        <v>211</v>
      </c>
      <c r="B72" s="3" t="s">
        <v>157</v>
      </c>
      <c r="C72" s="4" t="s">
        <v>8</v>
      </c>
      <c r="D72" s="4">
        <v>42</v>
      </c>
      <c r="E72" s="4">
        <v>792</v>
      </c>
      <c r="F72" s="4">
        <v>42</v>
      </c>
      <c r="G72" s="4">
        <v>792</v>
      </c>
      <c r="H72" s="4">
        <v>8.8000000000000007</v>
      </c>
      <c r="I72" s="4">
        <v>0.55400000000000005</v>
      </c>
      <c r="J72" s="4">
        <v>0.52200000000000002</v>
      </c>
      <c r="K72" s="4">
        <v>0.50800000000000001</v>
      </c>
      <c r="L72" s="4">
        <v>0.189</v>
      </c>
      <c r="M72" s="4">
        <v>6.1</v>
      </c>
      <c r="N72" s="4">
        <v>10.1</v>
      </c>
      <c r="O72" s="4">
        <v>5</v>
      </c>
      <c r="P72" s="4">
        <v>1.4</v>
      </c>
      <c r="Q72" s="4">
        <v>0.8</v>
      </c>
      <c r="R72" s="4">
        <v>13</v>
      </c>
      <c r="S72" s="4">
        <v>12.7</v>
      </c>
      <c r="T72" s="4">
        <v>110</v>
      </c>
      <c r="U72" s="4">
        <v>112</v>
      </c>
      <c r="V72" s="4"/>
      <c r="W72" s="4">
        <v>0.7</v>
      </c>
      <c r="X72" s="4">
        <v>0.6</v>
      </c>
      <c r="Y72" s="4">
        <v>1.3</v>
      </c>
      <c r="Z72" s="4">
        <v>6.7000000000000004E-2</v>
      </c>
      <c r="AA72" s="13">
        <f>(I72/TOTAL_BASIC!$D$301)*100</f>
        <v>98.677402707492206</v>
      </c>
      <c r="AB72" s="5">
        <f t="shared" si="21"/>
        <v>1.1000000000000001</v>
      </c>
      <c r="AC72" s="3">
        <f t="shared" si="1"/>
        <v>-2</v>
      </c>
      <c r="AD72" s="9">
        <f t="shared" si="22"/>
        <v>1.1080000000000001</v>
      </c>
      <c r="AE72" s="16">
        <f t="shared" si="23"/>
        <v>0.39370078740157483</v>
      </c>
      <c r="AF72" s="16">
        <f t="shared" si="24"/>
        <v>0.38461538461538464</v>
      </c>
      <c r="AG72" s="9"/>
      <c r="AH72" s="9"/>
      <c r="AI72" s="12">
        <f t="shared" si="25"/>
        <v>83</v>
      </c>
      <c r="AJ72" s="12">
        <f t="shared" si="26"/>
        <v>62.2</v>
      </c>
      <c r="AK72" s="12">
        <f t="shared" si="26"/>
        <v>16.3</v>
      </c>
      <c r="AL72" s="12">
        <f t="shared" si="26"/>
        <v>47.5</v>
      </c>
      <c r="AM72" s="12">
        <f t="shared" si="26"/>
        <v>56.2</v>
      </c>
      <c r="AN72" s="12">
        <f t="shared" si="18"/>
        <v>73.7</v>
      </c>
      <c r="AO72" s="12">
        <f t="shared" si="14"/>
        <v>22.900000000000002</v>
      </c>
      <c r="AP72" s="12">
        <f t="shared" si="14"/>
        <v>67.7</v>
      </c>
      <c r="AQ72" s="12">
        <f t="shared" si="14"/>
        <v>60.6</v>
      </c>
      <c r="AR72" s="12">
        <f t="shared" si="14"/>
        <v>1.6</v>
      </c>
      <c r="AS72" s="12">
        <f t="shared" si="15"/>
        <v>27.800000000000004</v>
      </c>
      <c r="AT72" s="12">
        <f t="shared" si="15"/>
        <v>28.4</v>
      </c>
      <c r="AU72" s="12">
        <f t="shared" si="27"/>
        <v>66.199999999999989</v>
      </c>
      <c r="AV72" s="12">
        <f t="shared" si="15"/>
        <v>9.8000000000000007</v>
      </c>
      <c r="AW72" s="12">
        <f t="shared" si="16"/>
        <v>60.099999999999994</v>
      </c>
      <c r="AX72" s="12">
        <f t="shared" si="28"/>
        <v>38.800000000000004</v>
      </c>
      <c r="AY72" s="9"/>
      <c r="AZ72" s="12">
        <f t="shared" si="17"/>
        <v>60.6</v>
      </c>
      <c r="BA72" s="12">
        <f t="shared" si="13"/>
        <v>47.5</v>
      </c>
      <c r="BB72" s="12">
        <f t="shared" si="13"/>
        <v>59.5</v>
      </c>
      <c r="BC72" s="12">
        <f t="shared" si="13"/>
        <v>44.2</v>
      </c>
      <c r="BD72" s="12">
        <f t="shared" si="13"/>
        <v>47.5</v>
      </c>
      <c r="BE72" s="12">
        <f t="shared" si="19"/>
        <v>60.099999999999994</v>
      </c>
      <c r="BF72" s="12">
        <f t="shared" si="19"/>
        <v>54</v>
      </c>
      <c r="BG72" s="12">
        <f t="shared" si="19"/>
        <v>47.5</v>
      </c>
      <c r="BH72" s="12">
        <f t="shared" si="19"/>
        <v>8.6999999999999993</v>
      </c>
      <c r="BI72" s="12">
        <f t="shared" si="20"/>
        <v>3.8</v>
      </c>
    </row>
    <row r="73" spans="1:61" ht="15.75" customHeight="1" x14ac:dyDescent="0.25">
      <c r="A73" s="1" t="s">
        <v>118</v>
      </c>
      <c r="B73" s="3" t="s">
        <v>93</v>
      </c>
      <c r="C73" s="4" t="s">
        <v>119</v>
      </c>
      <c r="D73" s="4">
        <v>35</v>
      </c>
      <c r="E73" s="4">
        <v>788</v>
      </c>
      <c r="F73" s="4">
        <v>35</v>
      </c>
      <c r="G73" s="4">
        <v>788</v>
      </c>
      <c r="H73" s="4">
        <v>20.3</v>
      </c>
      <c r="I73" s="4">
        <v>0.64400000000000002</v>
      </c>
      <c r="J73" s="4">
        <v>0.61</v>
      </c>
      <c r="K73" s="4">
        <v>4.2000000000000003E-2</v>
      </c>
      <c r="L73" s="4">
        <v>0.27700000000000002</v>
      </c>
      <c r="M73" s="4">
        <v>12</v>
      </c>
      <c r="N73" s="4">
        <v>18.2</v>
      </c>
      <c r="O73" s="4">
        <v>9</v>
      </c>
      <c r="P73" s="4">
        <v>1.9</v>
      </c>
      <c r="Q73" s="4">
        <v>5.5</v>
      </c>
      <c r="R73" s="4">
        <v>11.5</v>
      </c>
      <c r="S73" s="4">
        <v>15.5</v>
      </c>
      <c r="T73" s="4">
        <v>126</v>
      </c>
      <c r="U73" s="4">
        <v>106</v>
      </c>
      <c r="V73" s="4"/>
      <c r="W73" s="4">
        <v>2.2000000000000002</v>
      </c>
      <c r="X73" s="4">
        <v>1.3</v>
      </c>
      <c r="Y73" s="4">
        <v>3.6</v>
      </c>
      <c r="Z73" s="4">
        <v>0.182</v>
      </c>
      <c r="AA73" s="13">
        <f>(I73/TOTAL_BASIC!$D$301)*100</f>
        <v>114.70802769607396</v>
      </c>
      <c r="AB73" s="5">
        <f t="shared" si="21"/>
        <v>1.26</v>
      </c>
      <c r="AC73" s="3">
        <f t="shared" si="1"/>
        <v>20</v>
      </c>
      <c r="AD73" s="9">
        <f t="shared" si="22"/>
        <v>1.288</v>
      </c>
      <c r="AE73" s="16">
        <f t="shared" si="23"/>
        <v>0.58064516129032262</v>
      </c>
      <c r="AF73" s="16">
        <f t="shared" si="24"/>
        <v>0.78260869565217395</v>
      </c>
      <c r="AG73" s="9"/>
      <c r="AH73" s="9"/>
      <c r="AI73" s="12">
        <f t="shared" si="25"/>
        <v>43.7</v>
      </c>
      <c r="AJ73" s="12">
        <f t="shared" si="26"/>
        <v>61.199999999999996</v>
      </c>
      <c r="AK73" s="12">
        <f t="shared" si="26"/>
        <v>87.4</v>
      </c>
      <c r="AL73" s="12">
        <f t="shared" si="26"/>
        <v>94.5</v>
      </c>
      <c r="AM73" s="12">
        <f t="shared" si="26"/>
        <v>95.6</v>
      </c>
      <c r="AN73" s="12">
        <f t="shared" si="18"/>
        <v>7.1</v>
      </c>
      <c r="AO73" s="12">
        <f t="shared" si="14"/>
        <v>48.6</v>
      </c>
      <c r="AP73" s="12">
        <f t="shared" si="14"/>
        <v>95.6</v>
      </c>
      <c r="AQ73" s="12">
        <f t="shared" si="14"/>
        <v>93.899999999999991</v>
      </c>
      <c r="AR73" s="12">
        <f t="shared" si="14"/>
        <v>23.400000000000002</v>
      </c>
      <c r="AS73" s="12">
        <f t="shared" si="15"/>
        <v>57.9</v>
      </c>
      <c r="AT73" s="12">
        <f t="shared" si="15"/>
        <v>94.5</v>
      </c>
      <c r="AU73" s="12">
        <f t="shared" si="27"/>
        <v>77.099999999999994</v>
      </c>
      <c r="AV73" s="12">
        <f t="shared" si="15"/>
        <v>21.3</v>
      </c>
      <c r="AW73" s="12">
        <f t="shared" si="16"/>
        <v>96.1</v>
      </c>
      <c r="AX73" s="12">
        <f t="shared" si="28"/>
        <v>83.1</v>
      </c>
      <c r="AY73" s="9"/>
      <c r="AZ73" s="12">
        <f t="shared" si="17"/>
        <v>84.6</v>
      </c>
      <c r="BA73" s="12">
        <f t="shared" si="17"/>
        <v>76.5</v>
      </c>
      <c r="BB73" s="12">
        <f t="shared" si="17"/>
        <v>84.6</v>
      </c>
      <c r="BC73" s="12">
        <f t="shared" si="17"/>
        <v>89.600000000000009</v>
      </c>
      <c r="BD73" s="12">
        <f t="shared" si="17"/>
        <v>94.5</v>
      </c>
      <c r="BE73" s="12">
        <f t="shared" si="19"/>
        <v>96.1</v>
      </c>
      <c r="BF73" s="12">
        <f t="shared" si="19"/>
        <v>97.8</v>
      </c>
      <c r="BG73" s="12">
        <f t="shared" si="19"/>
        <v>94.5</v>
      </c>
      <c r="BH73" s="12">
        <f t="shared" si="19"/>
        <v>33.300000000000004</v>
      </c>
      <c r="BI73" s="12">
        <f t="shared" si="20"/>
        <v>32.200000000000003</v>
      </c>
    </row>
    <row r="74" spans="1:61" ht="15.75" customHeight="1" x14ac:dyDescent="0.25">
      <c r="A74" s="1" t="s">
        <v>212</v>
      </c>
      <c r="B74" s="3" t="s">
        <v>157</v>
      </c>
      <c r="C74" s="4" t="s">
        <v>119</v>
      </c>
      <c r="D74" s="4">
        <v>41</v>
      </c>
      <c r="E74" s="4">
        <v>788</v>
      </c>
      <c r="F74" s="4">
        <v>41</v>
      </c>
      <c r="G74" s="4">
        <v>788</v>
      </c>
      <c r="H74" s="4">
        <v>15</v>
      </c>
      <c r="I74" s="4">
        <v>0.66400000000000003</v>
      </c>
      <c r="J74" s="4">
        <v>0.64700000000000002</v>
      </c>
      <c r="K74" s="4">
        <v>0</v>
      </c>
      <c r="L74" s="4">
        <v>0.38700000000000001</v>
      </c>
      <c r="M74" s="4">
        <v>10.7</v>
      </c>
      <c r="N74" s="4">
        <v>16</v>
      </c>
      <c r="O74" s="4">
        <v>3.9</v>
      </c>
      <c r="P74" s="4">
        <v>1.6</v>
      </c>
      <c r="Q74" s="4">
        <v>3.6</v>
      </c>
      <c r="R74" s="4">
        <v>15</v>
      </c>
      <c r="S74" s="4">
        <v>11.5</v>
      </c>
      <c r="T74" s="4">
        <v>127</v>
      </c>
      <c r="U74" s="4">
        <v>109</v>
      </c>
      <c r="V74" s="4"/>
      <c r="W74" s="4">
        <v>1.8</v>
      </c>
      <c r="X74" s="4">
        <v>1.1000000000000001</v>
      </c>
      <c r="Y74" s="4">
        <v>2.8</v>
      </c>
      <c r="Z74" s="4">
        <v>0.14299999999999999</v>
      </c>
      <c r="AA74" s="13">
        <f>(I74/TOTAL_BASIC!$D$301)*100</f>
        <v>118.27038880464768</v>
      </c>
      <c r="AB74" s="5">
        <f t="shared" si="21"/>
        <v>1.27</v>
      </c>
      <c r="AC74" s="3">
        <f t="shared" si="1"/>
        <v>18</v>
      </c>
      <c r="AD74" s="9">
        <f t="shared" si="22"/>
        <v>1.3280000000000001</v>
      </c>
      <c r="AE74" s="16">
        <f t="shared" si="23"/>
        <v>0.33913043478260868</v>
      </c>
      <c r="AF74" s="16">
        <f t="shared" si="24"/>
        <v>0.26</v>
      </c>
      <c r="AG74" s="9"/>
      <c r="AH74" s="9"/>
      <c r="AI74" s="12">
        <f t="shared" si="25"/>
        <v>69.3</v>
      </c>
      <c r="AJ74" s="12">
        <f t="shared" si="26"/>
        <v>61.199999999999996</v>
      </c>
      <c r="AK74" s="12">
        <f t="shared" si="26"/>
        <v>61.199999999999996</v>
      </c>
      <c r="AL74" s="12">
        <f t="shared" si="26"/>
        <v>98.3</v>
      </c>
      <c r="AM74" s="12">
        <f t="shared" si="26"/>
        <v>98.3</v>
      </c>
      <c r="AN74" s="12">
        <f t="shared" si="18"/>
        <v>0</v>
      </c>
      <c r="AO74" s="12">
        <f t="shared" si="14"/>
        <v>74.8</v>
      </c>
      <c r="AP74" s="12">
        <f t="shared" si="14"/>
        <v>90.7</v>
      </c>
      <c r="AQ74" s="12">
        <f t="shared" si="14"/>
        <v>89.600000000000009</v>
      </c>
      <c r="AR74" s="12">
        <f t="shared" si="14"/>
        <v>0.5</v>
      </c>
      <c r="AS74" s="12">
        <f t="shared" si="15"/>
        <v>39.800000000000004</v>
      </c>
      <c r="AT74" s="12">
        <f t="shared" si="15"/>
        <v>86.3</v>
      </c>
      <c r="AU74" s="12">
        <f t="shared" si="27"/>
        <v>46</v>
      </c>
      <c r="AV74" s="12">
        <f t="shared" si="15"/>
        <v>6</v>
      </c>
      <c r="AW74" s="12">
        <f t="shared" si="16"/>
        <v>98.3</v>
      </c>
      <c r="AX74" s="12">
        <f t="shared" si="28"/>
        <v>66.199999999999989</v>
      </c>
      <c r="AY74" s="9"/>
      <c r="AZ74" s="12">
        <f t="shared" si="17"/>
        <v>80.300000000000011</v>
      </c>
      <c r="BA74" s="12">
        <f t="shared" si="17"/>
        <v>72.099999999999994</v>
      </c>
      <c r="BB74" s="12">
        <f t="shared" si="17"/>
        <v>75.900000000000006</v>
      </c>
      <c r="BC74" s="12">
        <f t="shared" si="17"/>
        <v>77.5</v>
      </c>
      <c r="BD74" s="12">
        <f t="shared" si="17"/>
        <v>98.3</v>
      </c>
      <c r="BE74" s="12">
        <f t="shared" si="19"/>
        <v>98.3</v>
      </c>
      <c r="BF74" s="12">
        <f t="shared" si="19"/>
        <v>96.1</v>
      </c>
      <c r="BG74" s="12">
        <f t="shared" si="19"/>
        <v>98.3</v>
      </c>
      <c r="BH74" s="12">
        <f t="shared" si="19"/>
        <v>3.2</v>
      </c>
      <c r="BI74" s="12">
        <f t="shared" si="20"/>
        <v>1</v>
      </c>
    </row>
    <row r="75" spans="1:61" ht="15.75" customHeight="1" x14ac:dyDescent="0.25">
      <c r="A75" s="1" t="s">
        <v>251</v>
      </c>
      <c r="B75" s="3" t="s">
        <v>131</v>
      </c>
      <c r="C75" s="4" t="s">
        <v>119</v>
      </c>
      <c r="D75" s="4">
        <v>32</v>
      </c>
      <c r="E75" s="4">
        <v>784</v>
      </c>
      <c r="F75" s="4">
        <v>32</v>
      </c>
      <c r="G75" s="4">
        <v>784</v>
      </c>
      <c r="H75" s="4">
        <v>13.8</v>
      </c>
      <c r="I75" s="4">
        <v>0.50900000000000001</v>
      </c>
      <c r="J75" s="4">
        <v>0.47199999999999998</v>
      </c>
      <c r="K75" s="4">
        <v>0.36299999999999999</v>
      </c>
      <c r="L75" s="4">
        <v>0.224</v>
      </c>
      <c r="M75" s="4">
        <v>6</v>
      </c>
      <c r="N75" s="4">
        <v>15</v>
      </c>
      <c r="O75" s="4">
        <v>14.2</v>
      </c>
      <c r="P75" s="4">
        <v>1.7</v>
      </c>
      <c r="Q75" s="4">
        <v>2.6</v>
      </c>
      <c r="R75" s="4">
        <v>13.5</v>
      </c>
      <c r="S75" s="4">
        <v>21.3</v>
      </c>
      <c r="T75" s="4">
        <v>99</v>
      </c>
      <c r="U75" s="4">
        <v>107</v>
      </c>
      <c r="V75" s="4"/>
      <c r="W75" s="4">
        <v>-0.2</v>
      </c>
      <c r="X75" s="4">
        <v>1.2</v>
      </c>
      <c r="Y75" s="4">
        <v>1</v>
      </c>
      <c r="Z75" s="4">
        <v>4.9000000000000002E-2</v>
      </c>
      <c r="AA75" s="13">
        <f>(I75/TOTAL_BASIC!$D$301)*100</f>
        <v>90.662090213201324</v>
      </c>
      <c r="AB75" s="5">
        <f t="shared" si="21"/>
        <v>0.99</v>
      </c>
      <c r="AC75" s="3">
        <f t="shared" si="1"/>
        <v>-8</v>
      </c>
      <c r="AD75" s="9">
        <f t="shared" si="22"/>
        <v>1.018</v>
      </c>
      <c r="AE75" s="16">
        <f t="shared" si="23"/>
        <v>0.66666666666666663</v>
      </c>
      <c r="AF75" s="16">
        <f t="shared" si="24"/>
        <v>1.0518518518518518</v>
      </c>
      <c r="AG75" s="9"/>
      <c r="AH75" s="9"/>
      <c r="AI75" s="12">
        <f t="shared" si="25"/>
        <v>35.5</v>
      </c>
      <c r="AJ75" s="12">
        <f t="shared" si="26"/>
        <v>60.6</v>
      </c>
      <c r="AK75" s="12">
        <f t="shared" si="26"/>
        <v>54.6</v>
      </c>
      <c r="AL75" s="12">
        <f t="shared" si="26"/>
        <v>26.200000000000003</v>
      </c>
      <c r="AM75" s="12">
        <f t="shared" si="26"/>
        <v>29.5</v>
      </c>
      <c r="AN75" s="12">
        <f t="shared" si="18"/>
        <v>39.800000000000004</v>
      </c>
      <c r="AO75" s="12">
        <f t="shared" si="14"/>
        <v>32.700000000000003</v>
      </c>
      <c r="AP75" s="12">
        <f t="shared" si="14"/>
        <v>65.5</v>
      </c>
      <c r="AQ75" s="12">
        <f t="shared" si="14"/>
        <v>83</v>
      </c>
      <c r="AR75" s="12">
        <f t="shared" si="14"/>
        <v>51.9</v>
      </c>
      <c r="AS75" s="12">
        <f t="shared" si="15"/>
        <v>43.7</v>
      </c>
      <c r="AT75" s="12">
        <f t="shared" si="15"/>
        <v>74.8</v>
      </c>
      <c r="AU75" s="12">
        <f t="shared" si="27"/>
        <v>62.9</v>
      </c>
      <c r="AV75" s="12">
        <f t="shared" si="15"/>
        <v>67.7</v>
      </c>
      <c r="AW75" s="12">
        <f t="shared" si="16"/>
        <v>22.400000000000002</v>
      </c>
      <c r="AX75" s="12">
        <f t="shared" si="28"/>
        <v>78.2</v>
      </c>
      <c r="AY75" s="9"/>
      <c r="AZ75" s="12">
        <f t="shared" si="17"/>
        <v>15.8</v>
      </c>
      <c r="BA75" s="12">
        <f t="shared" si="17"/>
        <v>74.8</v>
      </c>
      <c r="BB75" s="12">
        <f t="shared" si="17"/>
        <v>49.1</v>
      </c>
      <c r="BC75" s="12">
        <f t="shared" si="17"/>
        <v>35.5</v>
      </c>
      <c r="BD75" s="12">
        <f t="shared" si="17"/>
        <v>26.200000000000003</v>
      </c>
      <c r="BE75" s="12">
        <f t="shared" si="19"/>
        <v>22.400000000000002</v>
      </c>
      <c r="BF75" s="12">
        <f t="shared" si="19"/>
        <v>36.6</v>
      </c>
      <c r="BG75" s="12">
        <f t="shared" si="19"/>
        <v>26.200000000000003</v>
      </c>
      <c r="BH75" s="12">
        <f t="shared" si="19"/>
        <v>43.1</v>
      </c>
      <c r="BI75" s="12">
        <f t="shared" si="20"/>
        <v>56.2</v>
      </c>
    </row>
    <row r="76" spans="1:61" ht="15.75" customHeight="1" x14ac:dyDescent="0.25">
      <c r="A76" s="1" t="s">
        <v>230</v>
      </c>
      <c r="B76" s="3" t="s">
        <v>140</v>
      </c>
      <c r="C76" s="4" t="s">
        <v>8</v>
      </c>
      <c r="D76" s="4">
        <v>40</v>
      </c>
      <c r="E76" s="4">
        <v>777</v>
      </c>
      <c r="F76" s="4">
        <v>40</v>
      </c>
      <c r="G76" s="4">
        <v>777</v>
      </c>
      <c r="H76" s="4">
        <v>9.6</v>
      </c>
      <c r="I76" s="4">
        <v>0.48599999999999999</v>
      </c>
      <c r="J76" s="4">
        <v>0.44500000000000001</v>
      </c>
      <c r="K76" s="4">
        <v>0.35299999999999998</v>
      </c>
      <c r="L76" s="4">
        <v>0.45</v>
      </c>
      <c r="M76" s="4">
        <v>3.2</v>
      </c>
      <c r="N76" s="4">
        <v>9</v>
      </c>
      <c r="O76" s="4">
        <v>15.8</v>
      </c>
      <c r="P76" s="4">
        <v>1.4</v>
      </c>
      <c r="Q76" s="4">
        <v>0.7</v>
      </c>
      <c r="R76" s="4">
        <v>13.9</v>
      </c>
      <c r="S76" s="4">
        <v>17.399999999999999</v>
      </c>
      <c r="T76" s="4">
        <v>101</v>
      </c>
      <c r="U76" s="4">
        <v>106</v>
      </c>
      <c r="V76" s="4"/>
      <c r="W76" s="4">
        <v>0.1</v>
      </c>
      <c r="X76" s="4">
        <v>1.3</v>
      </c>
      <c r="Y76" s="4">
        <v>1.3</v>
      </c>
      <c r="Z76" s="4">
        <v>6.9000000000000006E-2</v>
      </c>
      <c r="AA76" s="13">
        <f>(I76/TOTAL_BASIC!$D$301)*100</f>
        <v>86.56537493834152</v>
      </c>
      <c r="AB76" s="5">
        <f t="shared" si="21"/>
        <v>1.01</v>
      </c>
      <c r="AC76" s="3">
        <f t="shared" si="1"/>
        <v>-5</v>
      </c>
      <c r="AD76" s="9">
        <f t="shared" si="22"/>
        <v>0.97199999999999998</v>
      </c>
      <c r="AE76" s="16">
        <f t="shared" si="23"/>
        <v>0.90804597701149437</v>
      </c>
      <c r="AF76" s="16">
        <f t="shared" si="24"/>
        <v>1.1366906474820144</v>
      </c>
      <c r="AG76" s="9"/>
      <c r="AH76" s="9"/>
      <c r="AI76" s="12">
        <f t="shared" si="25"/>
        <v>63.9</v>
      </c>
      <c r="AJ76" s="12">
        <f t="shared" si="26"/>
        <v>60.099999999999994</v>
      </c>
      <c r="AK76" s="12">
        <f t="shared" si="26"/>
        <v>21.8</v>
      </c>
      <c r="AL76" s="12">
        <f t="shared" si="26"/>
        <v>15.299999999999999</v>
      </c>
      <c r="AM76" s="12">
        <f t="shared" si="26"/>
        <v>16.3</v>
      </c>
      <c r="AN76" s="12">
        <f t="shared" si="18"/>
        <v>38.200000000000003</v>
      </c>
      <c r="AO76" s="12">
        <f t="shared" si="14"/>
        <v>85.7</v>
      </c>
      <c r="AP76" s="12">
        <f t="shared" si="14"/>
        <v>37.1</v>
      </c>
      <c r="AQ76" s="12">
        <f t="shared" si="14"/>
        <v>50.8</v>
      </c>
      <c r="AR76" s="12">
        <f t="shared" si="14"/>
        <v>61.7</v>
      </c>
      <c r="AS76" s="12">
        <f t="shared" si="15"/>
        <v>27.800000000000004</v>
      </c>
      <c r="AT76" s="12">
        <f t="shared" si="15"/>
        <v>24</v>
      </c>
      <c r="AU76" s="12">
        <f t="shared" si="27"/>
        <v>58</v>
      </c>
      <c r="AV76" s="12">
        <f t="shared" si="15"/>
        <v>39.300000000000004</v>
      </c>
      <c r="AW76" s="12">
        <f t="shared" si="16"/>
        <v>28.4</v>
      </c>
      <c r="AX76" s="12">
        <f t="shared" si="28"/>
        <v>83.1</v>
      </c>
      <c r="AY76" s="9"/>
      <c r="AZ76" s="12">
        <f t="shared" si="17"/>
        <v>31.1</v>
      </c>
      <c r="BA76" s="12">
        <f t="shared" si="17"/>
        <v>76.5</v>
      </c>
      <c r="BB76" s="12">
        <f t="shared" si="17"/>
        <v>59.5</v>
      </c>
      <c r="BC76" s="12">
        <f t="shared" si="17"/>
        <v>46.400000000000006</v>
      </c>
      <c r="BD76" s="12">
        <f t="shared" si="17"/>
        <v>15.299999999999999</v>
      </c>
      <c r="BE76" s="12">
        <f t="shared" si="19"/>
        <v>28.4</v>
      </c>
      <c r="BF76" s="12">
        <f t="shared" si="19"/>
        <v>45.300000000000004</v>
      </c>
      <c r="BG76" s="12">
        <f t="shared" si="19"/>
        <v>15.299999999999999</v>
      </c>
      <c r="BH76" s="12">
        <f t="shared" si="19"/>
        <v>66.600000000000009</v>
      </c>
      <c r="BI76" s="12">
        <f t="shared" si="20"/>
        <v>62.8</v>
      </c>
    </row>
    <row r="77" spans="1:61" ht="15.75" customHeight="1" x14ac:dyDescent="0.25">
      <c r="A77" s="1" t="s">
        <v>142</v>
      </c>
      <c r="B77" s="3" t="s">
        <v>232</v>
      </c>
      <c r="C77" s="4" t="s">
        <v>85</v>
      </c>
      <c r="D77" s="4">
        <v>42</v>
      </c>
      <c r="E77" s="4">
        <v>775</v>
      </c>
      <c r="F77" s="4">
        <v>42</v>
      </c>
      <c r="G77" s="4">
        <v>775</v>
      </c>
      <c r="H77" s="4">
        <v>6.1</v>
      </c>
      <c r="I77" s="4">
        <v>0.44800000000000001</v>
      </c>
      <c r="J77" s="4">
        <v>0.42499999999999999</v>
      </c>
      <c r="K77" s="4">
        <v>0.48399999999999999</v>
      </c>
      <c r="L77" s="4">
        <v>0.19400000000000001</v>
      </c>
      <c r="M77" s="4">
        <v>5.5</v>
      </c>
      <c r="N77" s="4">
        <v>7.4</v>
      </c>
      <c r="O77" s="4">
        <v>6.2</v>
      </c>
      <c r="P77" s="4">
        <v>2</v>
      </c>
      <c r="Q77" s="4">
        <v>0.8</v>
      </c>
      <c r="R77" s="4">
        <v>11.8</v>
      </c>
      <c r="S77" s="4">
        <v>13.2</v>
      </c>
      <c r="T77" s="4">
        <v>95</v>
      </c>
      <c r="U77" s="4">
        <v>117</v>
      </c>
      <c r="V77" s="4"/>
      <c r="W77" s="4">
        <v>-0.4</v>
      </c>
      <c r="X77" s="4">
        <v>0.1</v>
      </c>
      <c r="Y77" s="4">
        <v>-0.3</v>
      </c>
      <c r="Z77" s="4">
        <v>-1.7000000000000001E-2</v>
      </c>
      <c r="AA77" s="13">
        <f>(I77/TOTAL_BASIC!$D$301)*100</f>
        <v>79.796888832051451</v>
      </c>
      <c r="AB77" s="5">
        <f t="shared" si="21"/>
        <v>0.95</v>
      </c>
      <c r="AC77" s="3">
        <f t="shared" si="1"/>
        <v>-22</v>
      </c>
      <c r="AD77" s="9">
        <f t="shared" si="22"/>
        <v>0.89600000000000002</v>
      </c>
      <c r="AE77" s="16">
        <f t="shared" si="23"/>
        <v>0.46969696969696972</v>
      </c>
      <c r="AF77" s="16">
        <f t="shared" si="24"/>
        <v>0.52542372881355925</v>
      </c>
      <c r="AG77" s="9"/>
      <c r="AH77" s="9"/>
      <c r="AI77" s="12">
        <f t="shared" si="25"/>
        <v>83</v>
      </c>
      <c r="AJ77" s="12">
        <f t="shared" si="26"/>
        <v>59.5</v>
      </c>
      <c r="AK77" s="12">
        <f t="shared" si="26"/>
        <v>4.3</v>
      </c>
      <c r="AL77" s="12">
        <f t="shared" si="26"/>
        <v>6.5</v>
      </c>
      <c r="AM77" s="12">
        <f t="shared" si="26"/>
        <v>10.299999999999999</v>
      </c>
      <c r="AN77" s="12">
        <f t="shared" si="18"/>
        <v>65</v>
      </c>
      <c r="AO77" s="12">
        <f t="shared" si="14"/>
        <v>24</v>
      </c>
      <c r="AP77" s="12">
        <f t="shared" si="14"/>
        <v>61.199999999999996</v>
      </c>
      <c r="AQ77" s="12">
        <f t="shared" si="14"/>
        <v>37.700000000000003</v>
      </c>
      <c r="AR77" s="12">
        <f t="shared" si="14"/>
        <v>6</v>
      </c>
      <c r="AS77" s="12">
        <f t="shared" si="15"/>
        <v>64.400000000000006</v>
      </c>
      <c r="AT77" s="12">
        <f t="shared" si="15"/>
        <v>28.4</v>
      </c>
      <c r="AU77" s="12">
        <f t="shared" si="27"/>
        <v>75.5</v>
      </c>
      <c r="AV77" s="12">
        <f t="shared" si="15"/>
        <v>12</v>
      </c>
      <c r="AW77" s="12">
        <f t="shared" si="16"/>
        <v>10.9</v>
      </c>
      <c r="AX77" s="12">
        <f t="shared" si="28"/>
        <v>9.2999999999999972</v>
      </c>
      <c r="AY77" s="9"/>
      <c r="AZ77" s="12">
        <f t="shared" si="17"/>
        <v>6.5</v>
      </c>
      <c r="BA77" s="12">
        <f t="shared" si="17"/>
        <v>8.1</v>
      </c>
      <c r="BB77" s="12">
        <f t="shared" si="17"/>
        <v>3.8</v>
      </c>
      <c r="BC77" s="12">
        <f t="shared" si="17"/>
        <v>7.6</v>
      </c>
      <c r="BD77" s="12">
        <f t="shared" si="17"/>
        <v>6.5</v>
      </c>
      <c r="BE77" s="12">
        <f t="shared" si="19"/>
        <v>10.9</v>
      </c>
      <c r="BF77" s="12">
        <f t="shared" si="19"/>
        <v>6</v>
      </c>
      <c r="BG77" s="12">
        <f t="shared" si="19"/>
        <v>6.5</v>
      </c>
      <c r="BH77" s="12">
        <f t="shared" si="19"/>
        <v>15.8</v>
      </c>
      <c r="BI77" s="12">
        <f t="shared" si="20"/>
        <v>13.600000000000001</v>
      </c>
    </row>
    <row r="78" spans="1:61" ht="15.75" customHeight="1" x14ac:dyDescent="0.25">
      <c r="A78" s="1" t="s">
        <v>214</v>
      </c>
      <c r="B78" s="3" t="s">
        <v>157</v>
      </c>
      <c r="C78" s="4" t="s">
        <v>85</v>
      </c>
      <c r="D78" s="4">
        <v>41</v>
      </c>
      <c r="E78" s="4">
        <v>773</v>
      </c>
      <c r="F78" s="4">
        <v>41</v>
      </c>
      <c r="G78" s="4">
        <v>773</v>
      </c>
      <c r="H78" s="4">
        <v>16</v>
      </c>
      <c r="I78" s="4">
        <v>0.59799999999999998</v>
      </c>
      <c r="J78" s="4">
        <v>0.53400000000000003</v>
      </c>
      <c r="K78" s="4">
        <v>0.10199999999999999</v>
      </c>
      <c r="L78" s="4">
        <v>0.58199999999999996</v>
      </c>
      <c r="M78" s="4">
        <v>11.4</v>
      </c>
      <c r="N78" s="4">
        <v>15.3</v>
      </c>
      <c r="O78" s="4">
        <v>7.2</v>
      </c>
      <c r="P78" s="4">
        <v>2.2000000000000002</v>
      </c>
      <c r="Q78" s="4">
        <v>2.1</v>
      </c>
      <c r="R78" s="4">
        <v>12.6</v>
      </c>
      <c r="S78" s="4">
        <v>14.4</v>
      </c>
      <c r="T78" s="4">
        <v>124</v>
      </c>
      <c r="U78" s="4">
        <v>109</v>
      </c>
      <c r="V78" s="4"/>
      <c r="W78" s="4">
        <v>2</v>
      </c>
      <c r="X78" s="4">
        <v>1</v>
      </c>
      <c r="Y78" s="4">
        <v>3</v>
      </c>
      <c r="Z78" s="4">
        <v>0.155</v>
      </c>
      <c r="AA78" s="13">
        <f>(I78/TOTAL_BASIC!$D$301)*100</f>
        <v>106.51459714635439</v>
      </c>
      <c r="AB78" s="5">
        <f t="shared" si="21"/>
        <v>1.24</v>
      </c>
      <c r="AC78" s="3">
        <f t="shared" si="1"/>
        <v>15</v>
      </c>
      <c r="AD78" s="9">
        <f t="shared" si="22"/>
        <v>1.196</v>
      </c>
      <c r="AE78" s="16">
        <f t="shared" si="23"/>
        <v>0.5</v>
      </c>
      <c r="AF78" s="16">
        <f t="shared" si="24"/>
        <v>0.57142857142857151</v>
      </c>
      <c r="AG78" s="9"/>
      <c r="AH78" s="9"/>
      <c r="AI78" s="12">
        <f t="shared" si="25"/>
        <v>69.3</v>
      </c>
      <c r="AJ78" s="12">
        <f t="shared" si="26"/>
        <v>59</v>
      </c>
      <c r="AK78" s="12">
        <f t="shared" si="26"/>
        <v>68.300000000000011</v>
      </c>
      <c r="AL78" s="12">
        <f t="shared" si="26"/>
        <v>73.2</v>
      </c>
      <c r="AM78" s="12">
        <f t="shared" si="26"/>
        <v>63.9</v>
      </c>
      <c r="AN78" s="12">
        <f t="shared" si="18"/>
        <v>10.9</v>
      </c>
      <c r="AO78" s="12">
        <f t="shared" si="14"/>
        <v>96.1</v>
      </c>
      <c r="AP78" s="12">
        <f t="shared" si="14"/>
        <v>93.4</v>
      </c>
      <c r="AQ78" s="12">
        <f t="shared" si="14"/>
        <v>84.6</v>
      </c>
      <c r="AR78" s="12">
        <f t="shared" si="14"/>
        <v>9.8000000000000007</v>
      </c>
      <c r="AS78" s="12">
        <f t="shared" si="15"/>
        <v>74.3</v>
      </c>
      <c r="AT78" s="12">
        <f t="shared" si="15"/>
        <v>67.2</v>
      </c>
      <c r="AU78" s="12">
        <f t="shared" si="27"/>
        <v>70</v>
      </c>
      <c r="AV78" s="12">
        <f t="shared" si="15"/>
        <v>16.900000000000002</v>
      </c>
      <c r="AW78" s="12">
        <f t="shared" si="16"/>
        <v>92.800000000000011</v>
      </c>
      <c r="AX78" s="12">
        <f t="shared" si="28"/>
        <v>66.199999999999989</v>
      </c>
      <c r="AY78" s="9"/>
      <c r="AZ78" s="12">
        <f t="shared" si="17"/>
        <v>83</v>
      </c>
      <c r="BA78" s="12">
        <f t="shared" si="17"/>
        <v>67.7</v>
      </c>
      <c r="BB78" s="12">
        <f t="shared" si="17"/>
        <v>79.7</v>
      </c>
      <c r="BC78" s="12">
        <f t="shared" si="17"/>
        <v>81.899999999999991</v>
      </c>
      <c r="BD78" s="12">
        <f t="shared" si="17"/>
        <v>73.2</v>
      </c>
      <c r="BE78" s="12">
        <f t="shared" si="19"/>
        <v>92.800000000000011</v>
      </c>
      <c r="BF78" s="12">
        <f t="shared" si="19"/>
        <v>91.2</v>
      </c>
      <c r="BG78" s="12">
        <f t="shared" si="19"/>
        <v>73.2</v>
      </c>
      <c r="BH78" s="12">
        <f t="shared" si="19"/>
        <v>20.7</v>
      </c>
      <c r="BI78" s="12">
        <f t="shared" si="20"/>
        <v>16.900000000000002</v>
      </c>
    </row>
    <row r="79" spans="1:61" ht="15.75" customHeight="1" x14ac:dyDescent="0.25">
      <c r="A79" s="1" t="s">
        <v>220</v>
      </c>
      <c r="B79" s="3" t="s">
        <v>99</v>
      </c>
      <c r="C79" s="4" t="s">
        <v>85</v>
      </c>
      <c r="D79" s="4">
        <v>40</v>
      </c>
      <c r="E79" s="4">
        <v>733</v>
      </c>
      <c r="F79" s="4">
        <v>40</v>
      </c>
      <c r="G79" s="4">
        <v>733</v>
      </c>
      <c r="H79" s="4">
        <v>15.8</v>
      </c>
      <c r="I79" s="4">
        <v>0.60499999999999998</v>
      </c>
      <c r="J79" s="4">
        <v>0.57999999999999996</v>
      </c>
      <c r="K79" s="4">
        <v>0.42</v>
      </c>
      <c r="L79" s="4">
        <v>0.27100000000000002</v>
      </c>
      <c r="M79" s="4">
        <v>4.7</v>
      </c>
      <c r="N79" s="4">
        <v>12.6</v>
      </c>
      <c r="O79" s="4">
        <v>8</v>
      </c>
      <c r="P79" s="4">
        <v>1.5</v>
      </c>
      <c r="Q79" s="4">
        <v>8.5</v>
      </c>
      <c r="R79" s="4">
        <v>16.100000000000001</v>
      </c>
      <c r="S79" s="4">
        <v>14.7</v>
      </c>
      <c r="T79" s="4">
        <v>110</v>
      </c>
      <c r="U79" s="4">
        <v>103</v>
      </c>
      <c r="V79" s="4"/>
      <c r="W79" s="4">
        <v>0.7</v>
      </c>
      <c r="X79" s="4">
        <v>1.6</v>
      </c>
      <c r="Y79" s="4">
        <v>2.2999999999999998</v>
      </c>
      <c r="Z79" s="4">
        <v>0.127</v>
      </c>
      <c r="AA79" s="13">
        <f>(I79/TOTAL_BASIC!$D$301)*100</f>
        <v>107.76142353435519</v>
      </c>
      <c r="AB79" s="5">
        <f t="shared" si="21"/>
        <v>1.1000000000000001</v>
      </c>
      <c r="AC79" s="3">
        <f t="shared" si="1"/>
        <v>7</v>
      </c>
      <c r="AD79" s="9">
        <f t="shared" si="22"/>
        <v>1.21</v>
      </c>
      <c r="AE79" s="16">
        <f t="shared" si="23"/>
        <v>0.54421768707482998</v>
      </c>
      <c r="AF79" s="16">
        <f t="shared" si="24"/>
        <v>0.49689440993788814</v>
      </c>
      <c r="AG79" s="9"/>
      <c r="AH79" s="9"/>
      <c r="AI79" s="12">
        <f t="shared" si="25"/>
        <v>63.9</v>
      </c>
      <c r="AJ79" s="12">
        <f t="shared" si="26"/>
        <v>58.4</v>
      </c>
      <c r="AK79" s="12">
        <f t="shared" si="26"/>
        <v>66.100000000000009</v>
      </c>
      <c r="AL79" s="12">
        <f t="shared" si="26"/>
        <v>79.2</v>
      </c>
      <c r="AM79" s="12">
        <f t="shared" si="26"/>
        <v>87.9</v>
      </c>
      <c r="AN79" s="12">
        <f t="shared" si="18"/>
        <v>53</v>
      </c>
      <c r="AO79" s="12">
        <f t="shared" si="14"/>
        <v>45.9</v>
      </c>
      <c r="AP79" s="12">
        <f t="shared" si="14"/>
        <v>53.5</v>
      </c>
      <c r="AQ79" s="12">
        <f t="shared" si="14"/>
        <v>75.400000000000006</v>
      </c>
      <c r="AR79" s="12">
        <f t="shared" si="14"/>
        <v>15.8</v>
      </c>
      <c r="AS79" s="12">
        <f t="shared" si="15"/>
        <v>33.800000000000004</v>
      </c>
      <c r="AT79" s="12">
        <f t="shared" si="15"/>
        <v>100</v>
      </c>
      <c r="AU79" s="12">
        <f t="shared" si="27"/>
        <v>39.4</v>
      </c>
      <c r="AV79" s="12">
        <f t="shared" si="15"/>
        <v>18</v>
      </c>
      <c r="AW79" s="12">
        <f t="shared" si="16"/>
        <v>60.099999999999994</v>
      </c>
      <c r="AX79" s="12">
        <f t="shared" si="28"/>
        <v>92.4</v>
      </c>
      <c r="AY79" s="9"/>
      <c r="AZ79" s="12">
        <f t="shared" si="17"/>
        <v>60.6</v>
      </c>
      <c r="BA79" s="12">
        <f t="shared" si="17"/>
        <v>83</v>
      </c>
      <c r="BB79" s="12">
        <f t="shared" si="17"/>
        <v>73.2</v>
      </c>
      <c r="BC79" s="12">
        <f t="shared" si="17"/>
        <v>74.3</v>
      </c>
      <c r="BD79" s="12">
        <f t="shared" si="17"/>
        <v>79.2</v>
      </c>
      <c r="BE79" s="12">
        <f t="shared" si="19"/>
        <v>60.099999999999994</v>
      </c>
      <c r="BF79" s="12">
        <f t="shared" si="19"/>
        <v>74.8</v>
      </c>
      <c r="BG79" s="12">
        <f t="shared" si="19"/>
        <v>79.2</v>
      </c>
      <c r="BH79" s="12">
        <f t="shared" si="19"/>
        <v>24</v>
      </c>
      <c r="BI79" s="12">
        <f t="shared" si="20"/>
        <v>12</v>
      </c>
    </row>
    <row r="80" spans="1:61" ht="15.75" customHeight="1" x14ac:dyDescent="0.25">
      <c r="A80" s="1" t="s">
        <v>208</v>
      </c>
      <c r="B80" s="3" t="s">
        <v>140</v>
      </c>
      <c r="C80" s="4" t="s">
        <v>88</v>
      </c>
      <c r="D80" s="4">
        <v>42</v>
      </c>
      <c r="E80" s="4">
        <v>731</v>
      </c>
      <c r="F80" s="4">
        <v>42</v>
      </c>
      <c r="G80" s="4">
        <v>731</v>
      </c>
      <c r="H80" s="4">
        <v>17.2</v>
      </c>
      <c r="I80" s="4">
        <v>0.59199999999999997</v>
      </c>
      <c r="J80" s="4">
        <v>0.54700000000000004</v>
      </c>
      <c r="K80" s="4">
        <v>0</v>
      </c>
      <c r="L80" s="4">
        <v>0.437</v>
      </c>
      <c r="M80" s="4">
        <v>8.1</v>
      </c>
      <c r="N80" s="4">
        <v>15.5</v>
      </c>
      <c r="O80" s="4">
        <v>10.7</v>
      </c>
      <c r="P80" s="4">
        <v>1.7</v>
      </c>
      <c r="Q80" s="4">
        <v>4.3</v>
      </c>
      <c r="R80" s="4">
        <v>14.4</v>
      </c>
      <c r="S80" s="4">
        <v>16.2</v>
      </c>
      <c r="T80" s="4">
        <v>115</v>
      </c>
      <c r="U80" s="4">
        <v>101</v>
      </c>
      <c r="V80" s="4"/>
      <c r="W80" s="4">
        <v>1.2</v>
      </c>
      <c r="X80" s="4">
        <v>1.7</v>
      </c>
      <c r="Y80" s="4">
        <v>3</v>
      </c>
      <c r="Z80" s="4">
        <v>0.16400000000000001</v>
      </c>
      <c r="AA80" s="13">
        <f>(I80/TOTAL_BASIC!$D$301)*100</f>
        <v>105.44588881378228</v>
      </c>
      <c r="AB80" s="5">
        <f t="shared" si="21"/>
        <v>1.1499999999999999</v>
      </c>
      <c r="AC80" s="3">
        <f t="shared" si="1"/>
        <v>14</v>
      </c>
      <c r="AD80" s="9">
        <f t="shared" si="22"/>
        <v>1.1839999999999999</v>
      </c>
      <c r="AE80" s="16">
        <f t="shared" si="23"/>
        <v>0.66049382716049376</v>
      </c>
      <c r="AF80" s="16">
        <f t="shared" si="24"/>
        <v>0.74305555555555547</v>
      </c>
      <c r="AG80" s="9"/>
      <c r="AH80" s="9"/>
      <c r="AI80" s="12">
        <f t="shared" si="25"/>
        <v>83</v>
      </c>
      <c r="AJ80" s="12">
        <f t="shared" si="26"/>
        <v>57.9</v>
      </c>
      <c r="AK80" s="12">
        <f t="shared" si="26"/>
        <v>75.400000000000006</v>
      </c>
      <c r="AL80" s="12">
        <f t="shared" si="26"/>
        <v>72.099999999999994</v>
      </c>
      <c r="AM80" s="12">
        <f t="shared" si="26"/>
        <v>69.899999999999991</v>
      </c>
      <c r="AN80" s="12">
        <f t="shared" si="18"/>
        <v>0</v>
      </c>
      <c r="AO80" s="12">
        <f t="shared" si="14"/>
        <v>82.5</v>
      </c>
      <c r="AP80" s="12">
        <f t="shared" si="14"/>
        <v>80.300000000000011</v>
      </c>
      <c r="AQ80" s="12">
        <f t="shared" si="14"/>
        <v>85.7</v>
      </c>
      <c r="AR80" s="12">
        <f t="shared" si="14"/>
        <v>31.1</v>
      </c>
      <c r="AS80" s="12">
        <f t="shared" si="15"/>
        <v>43.7</v>
      </c>
      <c r="AT80" s="12">
        <f t="shared" si="15"/>
        <v>90.7</v>
      </c>
      <c r="AU80" s="12">
        <f t="shared" si="27"/>
        <v>54.699999999999996</v>
      </c>
      <c r="AV80" s="12">
        <f t="shared" si="15"/>
        <v>25.6</v>
      </c>
      <c r="AW80" s="12">
        <f t="shared" si="16"/>
        <v>73.7</v>
      </c>
      <c r="AX80" s="12">
        <f t="shared" si="28"/>
        <v>97.3</v>
      </c>
      <c r="AY80" s="9"/>
      <c r="AZ80" s="12">
        <f t="shared" si="17"/>
        <v>71.5</v>
      </c>
      <c r="BA80" s="12">
        <f t="shared" si="17"/>
        <v>84.6</v>
      </c>
      <c r="BB80" s="12">
        <f t="shared" si="17"/>
        <v>79.7</v>
      </c>
      <c r="BC80" s="12">
        <f t="shared" si="17"/>
        <v>84.6</v>
      </c>
      <c r="BD80" s="12">
        <f t="shared" si="17"/>
        <v>72.099999999999994</v>
      </c>
      <c r="BE80" s="12">
        <f t="shared" si="19"/>
        <v>73.7</v>
      </c>
      <c r="BF80" s="12">
        <f t="shared" si="19"/>
        <v>89</v>
      </c>
      <c r="BG80" s="12">
        <f t="shared" si="19"/>
        <v>72.099999999999994</v>
      </c>
      <c r="BH80" s="12">
        <f t="shared" si="19"/>
        <v>42</v>
      </c>
      <c r="BI80" s="12">
        <f t="shared" si="20"/>
        <v>28.9</v>
      </c>
    </row>
    <row r="81" spans="1:61" ht="15.75" customHeight="1" x14ac:dyDescent="0.25">
      <c r="A81" s="1" t="s">
        <v>167</v>
      </c>
      <c r="B81" s="3" t="s">
        <v>131</v>
      </c>
      <c r="C81" s="4" t="s">
        <v>8</v>
      </c>
      <c r="D81" s="4">
        <v>37</v>
      </c>
      <c r="E81" s="4">
        <v>718</v>
      </c>
      <c r="F81" s="4">
        <v>37</v>
      </c>
      <c r="G81" s="4">
        <v>718</v>
      </c>
      <c r="H81" s="4">
        <v>9.1999999999999993</v>
      </c>
      <c r="I81" s="4">
        <v>0.51500000000000001</v>
      </c>
      <c r="J81" s="4">
        <v>0.46100000000000002</v>
      </c>
      <c r="K81" s="4">
        <v>0.3</v>
      </c>
      <c r="L81" s="4">
        <v>0.28999999999999998</v>
      </c>
      <c r="M81" s="4">
        <v>4.0999999999999996</v>
      </c>
      <c r="N81" s="4">
        <v>8.6999999999999993</v>
      </c>
      <c r="O81" s="4">
        <v>6.8</v>
      </c>
      <c r="P81" s="4">
        <v>1.8</v>
      </c>
      <c r="Q81" s="4">
        <v>0.2</v>
      </c>
      <c r="R81" s="4">
        <v>14.9</v>
      </c>
      <c r="S81" s="4">
        <v>17.399999999999999</v>
      </c>
      <c r="T81" s="4">
        <v>95</v>
      </c>
      <c r="U81" s="4">
        <v>112</v>
      </c>
      <c r="V81" s="4"/>
      <c r="W81" s="4">
        <v>-0.4</v>
      </c>
      <c r="X81" s="4">
        <v>0.6</v>
      </c>
      <c r="Y81" s="4">
        <v>0.2</v>
      </c>
      <c r="Z81" s="4">
        <v>0.01</v>
      </c>
      <c r="AA81" s="13">
        <f>(I81/TOTAL_BASIC!$D$301)*100</f>
        <v>91.730798545773425</v>
      </c>
      <c r="AB81" s="5">
        <f t="shared" si="21"/>
        <v>0.95</v>
      </c>
      <c r="AC81" s="3">
        <f t="shared" si="1"/>
        <v>-17</v>
      </c>
      <c r="AD81" s="9">
        <f t="shared" si="22"/>
        <v>1.03</v>
      </c>
      <c r="AE81" s="16">
        <f t="shared" si="23"/>
        <v>0.39080459770114945</v>
      </c>
      <c r="AF81" s="16">
        <f t="shared" si="24"/>
        <v>0.45637583892617445</v>
      </c>
      <c r="AG81" s="9"/>
      <c r="AH81" s="9"/>
      <c r="AI81" s="12">
        <f t="shared" si="25"/>
        <v>48</v>
      </c>
      <c r="AJ81" s="12">
        <f t="shared" si="26"/>
        <v>57.3</v>
      </c>
      <c r="AK81" s="12">
        <f t="shared" si="26"/>
        <v>19.600000000000001</v>
      </c>
      <c r="AL81" s="12">
        <f t="shared" si="26"/>
        <v>28.9</v>
      </c>
      <c r="AM81" s="12">
        <f t="shared" si="26"/>
        <v>23.400000000000002</v>
      </c>
      <c r="AN81" s="12">
        <f t="shared" si="18"/>
        <v>29.5</v>
      </c>
      <c r="AO81" s="12">
        <f t="shared" si="14"/>
        <v>53.5</v>
      </c>
      <c r="AP81" s="12">
        <f t="shared" si="14"/>
        <v>47.5</v>
      </c>
      <c r="AQ81" s="12">
        <f t="shared" si="14"/>
        <v>48</v>
      </c>
      <c r="AR81" s="12">
        <f t="shared" si="14"/>
        <v>7.6</v>
      </c>
      <c r="AS81" s="12">
        <f t="shared" si="15"/>
        <v>49.7</v>
      </c>
      <c r="AT81" s="12">
        <f t="shared" si="15"/>
        <v>5.4</v>
      </c>
      <c r="AU81" s="12">
        <f t="shared" si="27"/>
        <v>48.699999999999996</v>
      </c>
      <c r="AV81" s="12">
        <f t="shared" si="15"/>
        <v>39.300000000000004</v>
      </c>
      <c r="AW81" s="12">
        <f t="shared" si="16"/>
        <v>10.9</v>
      </c>
      <c r="AX81" s="12">
        <f t="shared" si="28"/>
        <v>38.800000000000004</v>
      </c>
      <c r="AY81" s="9"/>
      <c r="AZ81" s="12">
        <f t="shared" si="17"/>
        <v>6.5</v>
      </c>
      <c r="BA81" s="12">
        <f t="shared" si="17"/>
        <v>47.5</v>
      </c>
      <c r="BB81" s="12">
        <f t="shared" si="17"/>
        <v>19.100000000000001</v>
      </c>
      <c r="BC81" s="12">
        <f t="shared" si="17"/>
        <v>14.2</v>
      </c>
      <c r="BD81" s="12">
        <f t="shared" si="17"/>
        <v>28.9</v>
      </c>
      <c r="BE81" s="12">
        <f t="shared" si="19"/>
        <v>10.9</v>
      </c>
      <c r="BF81" s="12">
        <f t="shared" si="19"/>
        <v>13.100000000000001</v>
      </c>
      <c r="BG81" s="12">
        <f t="shared" si="19"/>
        <v>28.9</v>
      </c>
      <c r="BH81" s="12">
        <f t="shared" si="19"/>
        <v>8.1</v>
      </c>
      <c r="BI81" s="12">
        <f t="shared" si="20"/>
        <v>7.6</v>
      </c>
    </row>
    <row r="82" spans="1:61" ht="15.75" customHeight="1" x14ac:dyDescent="0.25">
      <c r="A82" s="1" t="s">
        <v>236</v>
      </c>
      <c r="B82" s="3" t="s">
        <v>131</v>
      </c>
      <c r="C82" s="4" t="s">
        <v>8</v>
      </c>
      <c r="D82" s="4">
        <v>35</v>
      </c>
      <c r="E82" s="4">
        <v>713</v>
      </c>
      <c r="F82" s="4">
        <v>35</v>
      </c>
      <c r="G82" s="4">
        <v>713</v>
      </c>
      <c r="H82" s="4">
        <v>15.1</v>
      </c>
      <c r="I82" s="4">
        <v>0.54700000000000004</v>
      </c>
      <c r="J82" s="4">
        <v>0.51300000000000001</v>
      </c>
      <c r="K82" s="4">
        <v>0.53300000000000003</v>
      </c>
      <c r="L82" s="4">
        <v>0.23100000000000001</v>
      </c>
      <c r="M82" s="4">
        <v>1.9</v>
      </c>
      <c r="N82" s="4">
        <v>4.4000000000000004</v>
      </c>
      <c r="O82" s="4">
        <v>17.100000000000001</v>
      </c>
      <c r="P82" s="4">
        <v>1.6</v>
      </c>
      <c r="Q82" s="4">
        <v>1</v>
      </c>
      <c r="R82" s="4">
        <v>11.2</v>
      </c>
      <c r="S82" s="4">
        <v>29.5</v>
      </c>
      <c r="T82" s="4">
        <v>101</v>
      </c>
      <c r="U82" s="4">
        <v>113</v>
      </c>
      <c r="V82" s="4"/>
      <c r="W82" s="4">
        <v>0.1</v>
      </c>
      <c r="X82" s="4">
        <v>0.5</v>
      </c>
      <c r="Y82" s="4">
        <v>0.5</v>
      </c>
      <c r="Z82" s="4">
        <v>0.03</v>
      </c>
      <c r="AA82" s="13">
        <f>(I82/TOTAL_BASIC!$D$301)*100</f>
        <v>97.430576319491408</v>
      </c>
      <c r="AB82" s="5">
        <f t="shared" si="21"/>
        <v>1.01</v>
      </c>
      <c r="AC82" s="3">
        <f t="shared" si="1"/>
        <v>-12</v>
      </c>
      <c r="AD82" s="9">
        <f t="shared" si="22"/>
        <v>1.0940000000000001</v>
      </c>
      <c r="AE82" s="16">
        <f t="shared" si="23"/>
        <v>0.57966101694915262</v>
      </c>
      <c r="AF82" s="16">
        <f t="shared" si="24"/>
        <v>1.5267857142857144</v>
      </c>
      <c r="AG82" s="9"/>
      <c r="AH82" s="9"/>
      <c r="AI82" s="12">
        <f t="shared" si="25"/>
        <v>43.7</v>
      </c>
      <c r="AJ82" s="12">
        <f t="shared" si="26"/>
        <v>56.8</v>
      </c>
      <c r="AK82" s="12">
        <f t="shared" si="26"/>
        <v>61.7</v>
      </c>
      <c r="AL82" s="12">
        <f t="shared" si="26"/>
        <v>43.7</v>
      </c>
      <c r="AM82" s="12">
        <f t="shared" si="26"/>
        <v>51.300000000000004</v>
      </c>
      <c r="AN82" s="12">
        <f t="shared" si="18"/>
        <v>78.600000000000009</v>
      </c>
      <c r="AO82" s="12">
        <f t="shared" si="14"/>
        <v>35.5</v>
      </c>
      <c r="AP82" s="12">
        <f t="shared" si="14"/>
        <v>12.5</v>
      </c>
      <c r="AQ82" s="12">
        <f t="shared" si="14"/>
        <v>7.1</v>
      </c>
      <c r="AR82" s="12">
        <f t="shared" ref="AR82:AT141" si="29">(PERCENTRANK(O$3:O$298,O82))*100</f>
        <v>66.100000000000009</v>
      </c>
      <c r="AS82" s="12">
        <f t="shared" si="15"/>
        <v>39.800000000000004</v>
      </c>
      <c r="AT82" s="12">
        <f t="shared" si="15"/>
        <v>40.9</v>
      </c>
      <c r="AU82" s="12">
        <f t="shared" si="27"/>
        <v>80.400000000000006</v>
      </c>
      <c r="AV82" s="12">
        <f t="shared" ref="AV82:AW141" si="30">(PERCENTRANK(S$3:S$298,S82))*100</f>
        <v>97.2</v>
      </c>
      <c r="AW82" s="12">
        <f t="shared" si="16"/>
        <v>28.4</v>
      </c>
      <c r="AX82" s="12">
        <f t="shared" si="28"/>
        <v>29.600000000000009</v>
      </c>
      <c r="AY82" s="9"/>
      <c r="AZ82" s="12">
        <f t="shared" si="17"/>
        <v>31.1</v>
      </c>
      <c r="BA82" s="12">
        <f t="shared" si="17"/>
        <v>39.300000000000004</v>
      </c>
      <c r="BB82" s="12">
        <f t="shared" si="17"/>
        <v>30.599999999999998</v>
      </c>
      <c r="BC82" s="12">
        <f t="shared" si="17"/>
        <v>21.3</v>
      </c>
      <c r="BD82" s="12">
        <f t="shared" si="17"/>
        <v>43.7</v>
      </c>
      <c r="BE82" s="12">
        <f t="shared" si="19"/>
        <v>28.4</v>
      </c>
      <c r="BF82" s="12">
        <f t="shared" si="19"/>
        <v>22.400000000000002</v>
      </c>
      <c r="BG82" s="12">
        <f t="shared" si="19"/>
        <v>43.7</v>
      </c>
      <c r="BH82" s="12">
        <f t="shared" si="19"/>
        <v>32.700000000000003</v>
      </c>
      <c r="BI82" s="12">
        <f t="shared" si="20"/>
        <v>80.800000000000011</v>
      </c>
    </row>
    <row r="83" spans="1:61" ht="15.75" customHeight="1" x14ac:dyDescent="0.25">
      <c r="A83" s="1" t="s">
        <v>181</v>
      </c>
      <c r="B83" s="3" t="s">
        <v>117</v>
      </c>
      <c r="C83" s="4" t="s">
        <v>85</v>
      </c>
      <c r="D83" s="4">
        <v>42</v>
      </c>
      <c r="E83" s="4">
        <v>708</v>
      </c>
      <c r="F83" s="4">
        <v>42</v>
      </c>
      <c r="G83" s="4">
        <v>708</v>
      </c>
      <c r="H83" s="4">
        <v>8.8000000000000007</v>
      </c>
      <c r="I83" s="4">
        <v>0.53300000000000003</v>
      </c>
      <c r="J83" s="4">
        <v>0.51900000000000002</v>
      </c>
      <c r="K83" s="4">
        <v>0.55700000000000005</v>
      </c>
      <c r="L83" s="4">
        <v>0.13700000000000001</v>
      </c>
      <c r="M83" s="4">
        <v>5.6</v>
      </c>
      <c r="N83" s="4">
        <v>9.1999999999999993</v>
      </c>
      <c r="O83" s="4">
        <v>8.8000000000000007</v>
      </c>
      <c r="P83" s="4">
        <v>1.8</v>
      </c>
      <c r="Q83" s="4">
        <v>1.5</v>
      </c>
      <c r="R83" s="4">
        <v>17.8</v>
      </c>
      <c r="S83" s="4">
        <v>10.8</v>
      </c>
      <c r="T83" s="4">
        <v>105</v>
      </c>
      <c r="U83" s="4">
        <v>109</v>
      </c>
      <c r="V83" s="4"/>
      <c r="W83" s="4">
        <v>0.3</v>
      </c>
      <c r="X83" s="4">
        <v>0.9</v>
      </c>
      <c r="Y83" s="4">
        <v>1.2</v>
      </c>
      <c r="Z83" s="4">
        <v>6.7000000000000004E-2</v>
      </c>
      <c r="AA83" s="13">
        <f>(I83/TOTAL_BASIC!$D$301)*100</f>
        <v>94.936923543489797</v>
      </c>
      <c r="AB83" s="5">
        <f t="shared" si="21"/>
        <v>1.05</v>
      </c>
      <c r="AC83" s="3">
        <f t="shared" si="1"/>
        <v>-4</v>
      </c>
      <c r="AD83" s="9">
        <f t="shared" si="22"/>
        <v>1.0660000000000001</v>
      </c>
      <c r="AE83" s="16">
        <f t="shared" si="23"/>
        <v>0.81481481481481488</v>
      </c>
      <c r="AF83" s="16">
        <f t="shared" si="24"/>
        <v>0.49438202247191015</v>
      </c>
      <c r="AG83" s="9"/>
      <c r="AH83" s="9"/>
      <c r="AI83" s="12">
        <f t="shared" si="25"/>
        <v>83</v>
      </c>
      <c r="AJ83" s="12">
        <f t="shared" si="26"/>
        <v>56.2</v>
      </c>
      <c r="AK83" s="12">
        <f t="shared" si="26"/>
        <v>16.3</v>
      </c>
      <c r="AL83" s="12">
        <f t="shared" si="26"/>
        <v>37.1</v>
      </c>
      <c r="AM83" s="12">
        <f t="shared" si="26"/>
        <v>54</v>
      </c>
      <c r="AN83" s="12">
        <f t="shared" si="18"/>
        <v>82.5</v>
      </c>
      <c r="AO83" s="12">
        <f t="shared" si="18"/>
        <v>12</v>
      </c>
      <c r="AP83" s="12">
        <f t="shared" si="18"/>
        <v>61.7</v>
      </c>
      <c r="AQ83" s="12">
        <f t="shared" si="18"/>
        <v>51.9</v>
      </c>
      <c r="AR83" s="12">
        <f t="shared" si="29"/>
        <v>21.3</v>
      </c>
      <c r="AS83" s="12">
        <f t="shared" si="29"/>
        <v>49.7</v>
      </c>
      <c r="AT83" s="12">
        <f t="shared" si="29"/>
        <v>57.3</v>
      </c>
      <c r="AU83" s="12">
        <f t="shared" si="27"/>
        <v>26.299999999999997</v>
      </c>
      <c r="AV83" s="12">
        <f t="shared" si="30"/>
        <v>3.8</v>
      </c>
      <c r="AW83" s="12">
        <f t="shared" si="30"/>
        <v>39.800000000000004</v>
      </c>
      <c r="AX83" s="12">
        <f t="shared" si="28"/>
        <v>66.199999999999989</v>
      </c>
      <c r="AY83" s="9"/>
      <c r="AZ83" s="12">
        <f t="shared" ref="AZ83:BC141" si="31">(PERCENTRANK(W$3:W$298,W83))*100</f>
        <v>42</v>
      </c>
      <c r="BA83" s="12">
        <f t="shared" si="31"/>
        <v>62.8</v>
      </c>
      <c r="BB83" s="12">
        <f t="shared" si="31"/>
        <v>56.8</v>
      </c>
      <c r="BC83" s="12">
        <f t="shared" si="31"/>
        <v>44.2</v>
      </c>
      <c r="BD83" s="12">
        <f t="shared" ref="BD83:BI141" si="32">(PERCENTRANK(AA$3:AA$298,AA83))*100</f>
        <v>37.1</v>
      </c>
      <c r="BE83" s="12">
        <f t="shared" si="19"/>
        <v>39.800000000000004</v>
      </c>
      <c r="BF83" s="12">
        <f t="shared" si="19"/>
        <v>48.6</v>
      </c>
      <c r="BG83" s="12">
        <f t="shared" si="19"/>
        <v>37.1</v>
      </c>
      <c r="BH83" s="12">
        <f t="shared" si="19"/>
        <v>59.5</v>
      </c>
      <c r="BI83" s="12">
        <f t="shared" si="20"/>
        <v>10.299999999999999</v>
      </c>
    </row>
    <row r="84" spans="1:61" ht="15.75" customHeight="1" x14ac:dyDescent="0.25">
      <c r="A84" s="1" t="s">
        <v>257</v>
      </c>
      <c r="B84" s="3" t="s">
        <v>161</v>
      </c>
      <c r="C84" s="4" t="s">
        <v>85</v>
      </c>
      <c r="D84" s="4">
        <v>30</v>
      </c>
      <c r="E84" s="4">
        <v>707</v>
      </c>
      <c r="F84" s="4">
        <v>30</v>
      </c>
      <c r="G84" s="4">
        <v>707</v>
      </c>
      <c r="H84" s="4">
        <v>16.600000000000001</v>
      </c>
      <c r="I84" s="4">
        <v>0.50900000000000001</v>
      </c>
      <c r="J84" s="4">
        <v>0.46</v>
      </c>
      <c r="K84" s="4">
        <v>0.23699999999999999</v>
      </c>
      <c r="L84" s="4">
        <v>0.36199999999999999</v>
      </c>
      <c r="M84" s="4">
        <v>9.1999999999999993</v>
      </c>
      <c r="N84" s="4">
        <v>17.100000000000001</v>
      </c>
      <c r="O84" s="4">
        <v>12</v>
      </c>
      <c r="P84" s="4">
        <v>1.8</v>
      </c>
      <c r="Q84" s="4">
        <v>2.8</v>
      </c>
      <c r="R84" s="4">
        <v>12.1</v>
      </c>
      <c r="S84" s="4">
        <v>25.7</v>
      </c>
      <c r="T84" s="4">
        <v>102</v>
      </c>
      <c r="U84" s="4">
        <v>115</v>
      </c>
      <c r="V84" s="4"/>
      <c r="W84" s="4">
        <v>0.2</v>
      </c>
      <c r="X84" s="4">
        <v>0.3</v>
      </c>
      <c r="Y84" s="4">
        <v>0.5</v>
      </c>
      <c r="Z84" s="4">
        <v>3.1E-2</v>
      </c>
      <c r="AA84" s="13">
        <f>(I84/TOTAL_BASIC!$D$301)*100</f>
        <v>90.662090213201324</v>
      </c>
      <c r="AB84" s="5">
        <f t="shared" si="21"/>
        <v>1.02</v>
      </c>
      <c r="AC84" s="3">
        <f t="shared" si="1"/>
        <v>-13</v>
      </c>
      <c r="AD84" s="9">
        <f t="shared" si="22"/>
        <v>1.018</v>
      </c>
      <c r="AE84" s="16">
        <f t="shared" si="23"/>
        <v>0.46692607003891051</v>
      </c>
      <c r="AF84" s="16">
        <f t="shared" si="24"/>
        <v>0.99173553719008267</v>
      </c>
      <c r="AG84" s="9"/>
      <c r="AH84" s="9"/>
      <c r="AI84" s="12">
        <f t="shared" si="25"/>
        <v>30.599999999999998</v>
      </c>
      <c r="AJ84" s="12">
        <f t="shared" si="26"/>
        <v>55.7</v>
      </c>
      <c r="AK84" s="12">
        <f t="shared" si="26"/>
        <v>71</v>
      </c>
      <c r="AL84" s="12">
        <f t="shared" si="26"/>
        <v>26.200000000000003</v>
      </c>
      <c r="AM84" s="12">
        <f t="shared" si="26"/>
        <v>22.400000000000002</v>
      </c>
      <c r="AN84" s="12">
        <f t="shared" si="18"/>
        <v>20.200000000000003</v>
      </c>
      <c r="AO84" s="12">
        <f t="shared" si="18"/>
        <v>69.899999999999991</v>
      </c>
      <c r="AP84" s="12">
        <f t="shared" si="18"/>
        <v>87.4</v>
      </c>
      <c r="AQ84" s="12">
        <f t="shared" si="18"/>
        <v>92.300000000000011</v>
      </c>
      <c r="AR84" s="12">
        <f t="shared" si="29"/>
        <v>42</v>
      </c>
      <c r="AS84" s="12">
        <f t="shared" si="29"/>
        <v>49.7</v>
      </c>
      <c r="AT84" s="12">
        <f t="shared" si="29"/>
        <v>79.2</v>
      </c>
      <c r="AU84" s="12">
        <f t="shared" si="27"/>
        <v>73.3</v>
      </c>
      <c r="AV84" s="12">
        <f t="shared" si="30"/>
        <v>86.8</v>
      </c>
      <c r="AW84" s="12">
        <f t="shared" si="30"/>
        <v>32.700000000000003</v>
      </c>
      <c r="AX84" s="12">
        <f t="shared" si="28"/>
        <v>18.600000000000009</v>
      </c>
      <c r="AY84" s="9"/>
      <c r="AZ84" s="12">
        <f t="shared" si="31"/>
        <v>37.700000000000003</v>
      </c>
      <c r="BA84" s="12">
        <f t="shared" si="31"/>
        <v>28.4</v>
      </c>
      <c r="BB84" s="12">
        <f t="shared" si="31"/>
        <v>30.599999999999998</v>
      </c>
      <c r="BC84" s="12">
        <f t="shared" si="31"/>
        <v>23.400000000000002</v>
      </c>
      <c r="BD84" s="12">
        <f t="shared" si="32"/>
        <v>26.200000000000003</v>
      </c>
      <c r="BE84" s="12">
        <f t="shared" si="19"/>
        <v>32.700000000000003</v>
      </c>
      <c r="BF84" s="12">
        <f t="shared" si="19"/>
        <v>19.100000000000001</v>
      </c>
      <c r="BG84" s="12">
        <f t="shared" si="19"/>
        <v>26.200000000000003</v>
      </c>
      <c r="BH84" s="12">
        <f t="shared" si="19"/>
        <v>15.299999999999999</v>
      </c>
      <c r="BI84" s="12">
        <f t="shared" si="20"/>
        <v>48</v>
      </c>
    </row>
    <row r="85" spans="1:61" ht="15.75" customHeight="1" x14ac:dyDescent="0.25">
      <c r="A85" s="1" t="s">
        <v>184</v>
      </c>
      <c r="B85" s="3" t="s">
        <v>107</v>
      </c>
      <c r="C85" s="4" t="s">
        <v>88</v>
      </c>
      <c r="D85" s="4">
        <v>33</v>
      </c>
      <c r="E85" s="4">
        <v>700</v>
      </c>
      <c r="F85" s="4">
        <v>33</v>
      </c>
      <c r="G85" s="4">
        <v>700</v>
      </c>
      <c r="H85" s="4">
        <v>19</v>
      </c>
      <c r="I85" s="4">
        <v>0.61599999999999999</v>
      </c>
      <c r="J85" s="4">
        <v>0.57599999999999996</v>
      </c>
      <c r="K85" s="4">
        <v>8.9999999999999993E-3</v>
      </c>
      <c r="L85" s="4">
        <v>0.56699999999999995</v>
      </c>
      <c r="M85" s="4">
        <v>8.6999999999999993</v>
      </c>
      <c r="N85" s="4">
        <v>16.8</v>
      </c>
      <c r="O85" s="4">
        <v>14.2</v>
      </c>
      <c r="P85" s="4">
        <v>1.8</v>
      </c>
      <c r="Q85" s="4">
        <v>3.5</v>
      </c>
      <c r="R85" s="4">
        <v>16.399999999999999</v>
      </c>
      <c r="S85" s="4">
        <v>20.399999999999999</v>
      </c>
      <c r="T85" s="4">
        <v>113</v>
      </c>
      <c r="U85" s="4">
        <v>109</v>
      </c>
      <c r="V85" s="4"/>
      <c r="W85" s="4">
        <v>1.2</v>
      </c>
      <c r="X85" s="4">
        <v>0.9</v>
      </c>
      <c r="Y85" s="4">
        <v>2.2000000000000002</v>
      </c>
      <c r="Z85" s="4">
        <v>0.124</v>
      </c>
      <c r="AA85" s="13">
        <f>(I85/TOTAL_BASIC!$D$301)*100</f>
        <v>109.72072214407073</v>
      </c>
      <c r="AB85" s="5">
        <f t="shared" si="21"/>
        <v>1.1299999999999999</v>
      </c>
      <c r="AC85" s="3">
        <f t="shared" si="1"/>
        <v>4</v>
      </c>
      <c r="AD85" s="9">
        <f t="shared" si="22"/>
        <v>1.232</v>
      </c>
      <c r="AE85" s="16">
        <f t="shared" si="23"/>
        <v>0.69607843137254899</v>
      </c>
      <c r="AF85" s="16">
        <f t="shared" si="24"/>
        <v>0.86585365853658536</v>
      </c>
      <c r="AG85" s="9"/>
      <c r="AH85" s="9"/>
      <c r="AI85" s="12">
        <f t="shared" si="25"/>
        <v>38.200000000000003</v>
      </c>
      <c r="AJ85" s="12">
        <f t="shared" si="26"/>
        <v>55.1</v>
      </c>
      <c r="AK85" s="12">
        <f t="shared" si="26"/>
        <v>79.7</v>
      </c>
      <c r="AL85" s="12">
        <f t="shared" si="26"/>
        <v>86.3</v>
      </c>
      <c r="AM85" s="12">
        <f t="shared" si="26"/>
        <v>86.3</v>
      </c>
      <c r="AN85" s="12">
        <f t="shared" si="18"/>
        <v>3.2</v>
      </c>
      <c r="AO85" s="12">
        <f t="shared" si="18"/>
        <v>95</v>
      </c>
      <c r="AP85" s="12">
        <f t="shared" si="18"/>
        <v>83</v>
      </c>
      <c r="AQ85" s="12">
        <f t="shared" si="18"/>
        <v>91.8</v>
      </c>
      <c r="AR85" s="12">
        <f t="shared" si="29"/>
        <v>51.9</v>
      </c>
      <c r="AS85" s="12">
        <f t="shared" si="29"/>
        <v>49.7</v>
      </c>
      <c r="AT85" s="12">
        <f t="shared" si="29"/>
        <v>84.6</v>
      </c>
      <c r="AU85" s="12">
        <f t="shared" si="27"/>
        <v>37.200000000000003</v>
      </c>
      <c r="AV85" s="12">
        <f t="shared" si="30"/>
        <v>62.8</v>
      </c>
      <c r="AW85" s="12">
        <f t="shared" si="30"/>
        <v>69.899999999999991</v>
      </c>
      <c r="AX85" s="12">
        <f t="shared" si="28"/>
        <v>66.199999999999989</v>
      </c>
      <c r="AY85" s="9"/>
      <c r="AZ85" s="12">
        <f t="shared" si="31"/>
        <v>71.5</v>
      </c>
      <c r="BA85" s="12">
        <f t="shared" si="31"/>
        <v>62.8</v>
      </c>
      <c r="BB85" s="12">
        <f t="shared" si="31"/>
        <v>72.099999999999994</v>
      </c>
      <c r="BC85" s="12">
        <f t="shared" si="31"/>
        <v>72.099999999999994</v>
      </c>
      <c r="BD85" s="12">
        <f t="shared" si="32"/>
        <v>86.3</v>
      </c>
      <c r="BE85" s="12">
        <f t="shared" si="19"/>
        <v>69.899999999999991</v>
      </c>
      <c r="BF85" s="12">
        <f t="shared" si="19"/>
        <v>69.3</v>
      </c>
      <c r="BG85" s="12">
        <f t="shared" si="19"/>
        <v>86.3</v>
      </c>
      <c r="BH85" s="12">
        <f t="shared" si="19"/>
        <v>47.5</v>
      </c>
      <c r="BI85" s="12">
        <f t="shared" si="20"/>
        <v>37.1</v>
      </c>
    </row>
    <row r="86" spans="1:61" ht="15.75" customHeight="1" x14ac:dyDescent="0.25">
      <c r="A86" s="1" t="s">
        <v>209</v>
      </c>
      <c r="B86" s="3" t="s">
        <v>131</v>
      </c>
      <c r="C86" s="4" t="s">
        <v>183</v>
      </c>
      <c r="D86" s="4">
        <v>42</v>
      </c>
      <c r="E86" s="4">
        <v>699</v>
      </c>
      <c r="F86" s="4">
        <v>42</v>
      </c>
      <c r="G86" s="4">
        <v>699</v>
      </c>
      <c r="H86" s="4">
        <v>12.7</v>
      </c>
      <c r="I86" s="4">
        <v>0.47099999999999997</v>
      </c>
      <c r="J86" s="4">
        <v>0.46200000000000002</v>
      </c>
      <c r="K86" s="4">
        <v>0</v>
      </c>
      <c r="L86" s="4">
        <v>0.48899999999999999</v>
      </c>
      <c r="M86" s="4">
        <v>8.4</v>
      </c>
      <c r="N86" s="4">
        <v>11.9</v>
      </c>
      <c r="O86" s="4">
        <v>12.3</v>
      </c>
      <c r="P86" s="4">
        <v>1.7</v>
      </c>
      <c r="Q86" s="4">
        <v>4.5999999999999996</v>
      </c>
      <c r="R86" s="4">
        <v>12.7</v>
      </c>
      <c r="S86" s="4">
        <v>16.100000000000001</v>
      </c>
      <c r="T86" s="4">
        <v>99</v>
      </c>
      <c r="U86" s="4">
        <v>109</v>
      </c>
      <c r="V86" s="4"/>
      <c r="W86" s="4">
        <v>-0.2</v>
      </c>
      <c r="X86" s="4">
        <v>0.9</v>
      </c>
      <c r="Y86" s="4">
        <v>0.8</v>
      </c>
      <c r="Z86" s="4">
        <v>4.4999999999999998E-2</v>
      </c>
      <c r="AA86" s="13">
        <f>(I86/TOTAL_BASIC!$D$301)*100</f>
        <v>83.893604106911241</v>
      </c>
      <c r="AB86" s="5">
        <f t="shared" si="21"/>
        <v>0.99</v>
      </c>
      <c r="AC86" s="3">
        <f t="shared" si="1"/>
        <v>-10</v>
      </c>
      <c r="AD86" s="9">
        <f t="shared" si="22"/>
        <v>0.94199999999999995</v>
      </c>
      <c r="AE86" s="16">
        <f t="shared" si="23"/>
        <v>0.7639751552795031</v>
      </c>
      <c r="AF86" s="16">
        <f t="shared" si="24"/>
        <v>0.96850393700787407</v>
      </c>
      <c r="AG86" s="9"/>
      <c r="AH86" s="9"/>
      <c r="AI86" s="12">
        <f t="shared" si="25"/>
        <v>83</v>
      </c>
      <c r="AJ86" s="12">
        <f t="shared" si="26"/>
        <v>54.6</v>
      </c>
      <c r="AK86" s="12">
        <f t="shared" si="26"/>
        <v>49.7</v>
      </c>
      <c r="AL86" s="12">
        <f t="shared" si="26"/>
        <v>9.1999999999999993</v>
      </c>
      <c r="AM86" s="12">
        <f t="shared" si="26"/>
        <v>24</v>
      </c>
      <c r="AN86" s="12">
        <f t="shared" si="18"/>
        <v>0</v>
      </c>
      <c r="AO86" s="12">
        <f t="shared" si="18"/>
        <v>92.800000000000011</v>
      </c>
      <c r="AP86" s="12">
        <f t="shared" si="18"/>
        <v>81.899999999999991</v>
      </c>
      <c r="AQ86" s="12">
        <f t="shared" si="18"/>
        <v>73.7</v>
      </c>
      <c r="AR86" s="12">
        <f t="shared" si="29"/>
        <v>44.2</v>
      </c>
      <c r="AS86" s="12">
        <f t="shared" si="29"/>
        <v>43.7</v>
      </c>
      <c r="AT86" s="12">
        <f t="shared" si="29"/>
        <v>91.8</v>
      </c>
      <c r="AU86" s="12">
        <f t="shared" si="27"/>
        <v>69.400000000000006</v>
      </c>
      <c r="AV86" s="12">
        <f t="shared" si="30"/>
        <v>24.5</v>
      </c>
      <c r="AW86" s="12">
        <f t="shared" si="30"/>
        <v>22.400000000000002</v>
      </c>
      <c r="AX86" s="12">
        <f t="shared" si="28"/>
        <v>66.199999999999989</v>
      </c>
      <c r="AY86" s="9"/>
      <c r="AZ86" s="12">
        <f t="shared" si="31"/>
        <v>15.8</v>
      </c>
      <c r="BA86" s="12">
        <f t="shared" si="31"/>
        <v>62.8</v>
      </c>
      <c r="BB86" s="12">
        <f t="shared" si="31"/>
        <v>40.400000000000006</v>
      </c>
      <c r="BC86" s="12">
        <f t="shared" si="31"/>
        <v>33.800000000000004</v>
      </c>
      <c r="BD86" s="12">
        <f t="shared" si="32"/>
        <v>9.1999999999999993</v>
      </c>
      <c r="BE86" s="12">
        <f t="shared" si="19"/>
        <v>22.400000000000002</v>
      </c>
      <c r="BF86" s="12">
        <f t="shared" si="19"/>
        <v>30.599999999999998</v>
      </c>
      <c r="BG86" s="12">
        <f t="shared" si="19"/>
        <v>9.1999999999999993</v>
      </c>
      <c r="BH86" s="12">
        <f t="shared" si="19"/>
        <v>56.2</v>
      </c>
      <c r="BI86" s="12">
        <f t="shared" si="20"/>
        <v>46.9</v>
      </c>
    </row>
    <row r="87" spans="1:61" ht="15.75" customHeight="1" x14ac:dyDescent="0.25">
      <c r="A87" s="1" t="s">
        <v>199</v>
      </c>
      <c r="B87" s="3" t="s">
        <v>161</v>
      </c>
      <c r="C87" s="4" t="s">
        <v>8</v>
      </c>
      <c r="D87" s="4">
        <v>26</v>
      </c>
      <c r="E87" s="4">
        <v>697</v>
      </c>
      <c r="F87" s="4">
        <v>26</v>
      </c>
      <c r="G87" s="4">
        <v>697</v>
      </c>
      <c r="H87" s="4">
        <v>16.5</v>
      </c>
      <c r="I87" s="4">
        <v>0.59599999999999997</v>
      </c>
      <c r="J87" s="4">
        <v>0.52700000000000002</v>
      </c>
      <c r="K87" s="4">
        <v>0.27500000000000002</v>
      </c>
      <c r="L87" s="4">
        <v>0.41299999999999998</v>
      </c>
      <c r="M87" s="4">
        <v>5</v>
      </c>
      <c r="N87" s="4">
        <v>8</v>
      </c>
      <c r="O87" s="4">
        <v>21.9</v>
      </c>
      <c r="P87" s="4">
        <v>1.4</v>
      </c>
      <c r="Q87" s="4">
        <v>0.7</v>
      </c>
      <c r="R87" s="4">
        <v>14</v>
      </c>
      <c r="S87" s="4">
        <v>20.9</v>
      </c>
      <c r="T87" s="4">
        <v>118</v>
      </c>
      <c r="U87" s="4">
        <v>121</v>
      </c>
      <c r="V87" s="4"/>
      <c r="W87" s="4">
        <v>1.8</v>
      </c>
      <c r="X87" s="4">
        <v>-0.3</v>
      </c>
      <c r="Y87" s="4">
        <v>1.5</v>
      </c>
      <c r="Z87" s="4">
        <v>8.5999999999999993E-2</v>
      </c>
      <c r="AA87" s="13">
        <f>(I87/TOTAL_BASIC!$D$301)*100</f>
        <v>106.15836103549701</v>
      </c>
      <c r="AB87" s="5">
        <f t="shared" si="21"/>
        <v>1.18</v>
      </c>
      <c r="AC87" s="3">
        <f t="shared" si="1"/>
        <v>-3</v>
      </c>
      <c r="AD87" s="9">
        <f t="shared" si="22"/>
        <v>1.1919999999999999</v>
      </c>
      <c r="AE87" s="16">
        <f t="shared" si="23"/>
        <v>1.0478468899521531</v>
      </c>
      <c r="AF87" s="16">
        <f t="shared" si="24"/>
        <v>1.5642857142857143</v>
      </c>
      <c r="AG87" s="9"/>
      <c r="AH87" s="9"/>
      <c r="AI87" s="12">
        <f t="shared" si="25"/>
        <v>23.400000000000002</v>
      </c>
      <c r="AJ87" s="12">
        <f t="shared" si="26"/>
        <v>54</v>
      </c>
      <c r="AK87" s="12">
        <f t="shared" si="26"/>
        <v>70.399999999999991</v>
      </c>
      <c r="AL87" s="12">
        <f t="shared" si="26"/>
        <v>72.599999999999994</v>
      </c>
      <c r="AM87" s="12">
        <f t="shared" si="26"/>
        <v>61.199999999999996</v>
      </c>
      <c r="AN87" s="12">
        <f t="shared" si="18"/>
        <v>26.200000000000003</v>
      </c>
      <c r="AO87" s="12">
        <f t="shared" si="18"/>
        <v>80.300000000000011</v>
      </c>
      <c r="AP87" s="12">
        <f t="shared" si="18"/>
        <v>56.2</v>
      </c>
      <c r="AQ87" s="12">
        <f t="shared" si="18"/>
        <v>43.7</v>
      </c>
      <c r="AR87" s="12">
        <f t="shared" si="29"/>
        <v>79.7</v>
      </c>
      <c r="AS87" s="12">
        <f t="shared" si="29"/>
        <v>27.800000000000004</v>
      </c>
      <c r="AT87" s="12">
        <f t="shared" si="29"/>
        <v>24</v>
      </c>
      <c r="AU87" s="12">
        <f t="shared" si="27"/>
        <v>56.3</v>
      </c>
      <c r="AV87" s="12">
        <f t="shared" si="30"/>
        <v>65.5</v>
      </c>
      <c r="AW87" s="12">
        <f t="shared" si="30"/>
        <v>81.899999999999991</v>
      </c>
      <c r="AX87" s="12">
        <f t="shared" si="28"/>
        <v>1.7000000000000028</v>
      </c>
      <c r="AY87" s="9"/>
      <c r="AZ87" s="12">
        <f t="shared" si="31"/>
        <v>80.300000000000011</v>
      </c>
      <c r="BA87" s="12">
        <f t="shared" si="31"/>
        <v>0.5</v>
      </c>
      <c r="BB87" s="12">
        <f t="shared" si="31"/>
        <v>62.8</v>
      </c>
      <c r="BC87" s="12">
        <f t="shared" si="31"/>
        <v>56.2</v>
      </c>
      <c r="BD87" s="12">
        <f t="shared" si="32"/>
        <v>72.599999999999994</v>
      </c>
      <c r="BE87" s="12">
        <f t="shared" si="19"/>
        <v>81.899999999999991</v>
      </c>
      <c r="BF87" s="12">
        <f t="shared" si="19"/>
        <v>51.9</v>
      </c>
      <c r="BG87" s="12">
        <f t="shared" si="19"/>
        <v>72.599999999999994</v>
      </c>
      <c r="BH87" s="12">
        <f t="shared" si="19"/>
        <v>75.400000000000006</v>
      </c>
      <c r="BI87" s="12">
        <f t="shared" si="20"/>
        <v>83</v>
      </c>
    </row>
    <row r="88" spans="1:61" ht="15.75" customHeight="1" x14ac:dyDescent="0.25">
      <c r="A88" s="1" t="s">
        <v>235</v>
      </c>
      <c r="B88" s="3" t="s">
        <v>91</v>
      </c>
      <c r="C88" s="4" t="s">
        <v>8</v>
      </c>
      <c r="D88" s="4">
        <v>40</v>
      </c>
      <c r="E88" s="4">
        <v>674</v>
      </c>
      <c r="F88" s="4">
        <v>40</v>
      </c>
      <c r="G88" s="4">
        <v>674</v>
      </c>
      <c r="H88" s="4">
        <v>20.100000000000001</v>
      </c>
      <c r="I88" s="4">
        <v>0.58199999999999996</v>
      </c>
      <c r="J88" s="4">
        <v>0.51700000000000002</v>
      </c>
      <c r="K88" s="4">
        <v>0.33300000000000002</v>
      </c>
      <c r="L88" s="4">
        <v>0.47299999999999998</v>
      </c>
      <c r="M88" s="4">
        <v>3.9</v>
      </c>
      <c r="N88" s="4">
        <v>7.6</v>
      </c>
      <c r="O88" s="4">
        <v>28.5</v>
      </c>
      <c r="P88" s="4">
        <v>2.5</v>
      </c>
      <c r="Q88" s="4">
        <v>1.2</v>
      </c>
      <c r="R88" s="4">
        <v>13.3</v>
      </c>
      <c r="S88" s="4">
        <v>24.7</v>
      </c>
      <c r="T88" s="4">
        <v>117</v>
      </c>
      <c r="U88" s="4">
        <v>101</v>
      </c>
      <c r="V88" s="4"/>
      <c r="W88" s="4">
        <v>2</v>
      </c>
      <c r="X88" s="4">
        <v>1.6</v>
      </c>
      <c r="Y88" s="4">
        <v>3.6</v>
      </c>
      <c r="Z88" s="4">
        <v>0.21099999999999999</v>
      </c>
      <c r="AA88" s="13">
        <f>(I88/TOTAL_BASIC!$D$301)*100</f>
        <v>103.66470825949541</v>
      </c>
      <c r="AB88" s="5">
        <f t="shared" si="21"/>
        <v>1.17</v>
      </c>
      <c r="AC88" s="3">
        <f t="shared" si="1"/>
        <v>16</v>
      </c>
      <c r="AD88" s="9">
        <f t="shared" si="22"/>
        <v>1.1639999999999999</v>
      </c>
      <c r="AE88" s="16">
        <f t="shared" si="23"/>
        <v>1.153846153846154</v>
      </c>
      <c r="AF88" s="16">
        <f t="shared" si="24"/>
        <v>2.1428571428571428</v>
      </c>
      <c r="AG88" s="9"/>
      <c r="AH88" s="9"/>
      <c r="AI88" s="12">
        <f t="shared" si="25"/>
        <v>63.9</v>
      </c>
      <c r="AJ88" s="12">
        <f t="shared" si="26"/>
        <v>53.5</v>
      </c>
      <c r="AK88" s="12">
        <f t="shared" si="26"/>
        <v>86.3</v>
      </c>
      <c r="AL88" s="12">
        <f t="shared" si="26"/>
        <v>67.2</v>
      </c>
      <c r="AM88" s="12">
        <f t="shared" si="26"/>
        <v>51.9</v>
      </c>
      <c r="AN88" s="12">
        <f t="shared" si="18"/>
        <v>33.300000000000004</v>
      </c>
      <c r="AO88" s="12">
        <f t="shared" si="18"/>
        <v>90.100000000000009</v>
      </c>
      <c r="AP88" s="12">
        <f t="shared" si="18"/>
        <v>44.800000000000004</v>
      </c>
      <c r="AQ88" s="12">
        <f t="shared" si="18"/>
        <v>39.300000000000004</v>
      </c>
      <c r="AR88" s="12">
        <f t="shared" si="29"/>
        <v>90.100000000000009</v>
      </c>
      <c r="AS88" s="12">
        <f t="shared" si="29"/>
        <v>84.1</v>
      </c>
      <c r="AT88" s="12">
        <f t="shared" si="29"/>
        <v>46.400000000000006</v>
      </c>
      <c r="AU88" s="12">
        <f t="shared" si="27"/>
        <v>64.5</v>
      </c>
      <c r="AV88" s="12">
        <f t="shared" si="30"/>
        <v>82.5</v>
      </c>
      <c r="AW88" s="12">
        <f t="shared" si="30"/>
        <v>78.600000000000009</v>
      </c>
      <c r="AX88" s="12">
        <f t="shared" si="28"/>
        <v>97.3</v>
      </c>
      <c r="AY88" s="9"/>
      <c r="AZ88" s="12">
        <f t="shared" si="31"/>
        <v>83</v>
      </c>
      <c r="BA88" s="12">
        <f t="shared" si="31"/>
        <v>83</v>
      </c>
      <c r="BB88" s="12">
        <f t="shared" si="31"/>
        <v>84.6</v>
      </c>
      <c r="BC88" s="12">
        <f t="shared" si="31"/>
        <v>97.2</v>
      </c>
      <c r="BD88" s="12">
        <f t="shared" si="32"/>
        <v>67.2</v>
      </c>
      <c r="BE88" s="12">
        <f t="shared" si="19"/>
        <v>78.600000000000009</v>
      </c>
      <c r="BF88" s="12">
        <f t="shared" si="19"/>
        <v>92.800000000000011</v>
      </c>
      <c r="BG88" s="12">
        <f t="shared" si="19"/>
        <v>67.2</v>
      </c>
      <c r="BH88" s="12">
        <f t="shared" si="19"/>
        <v>82.5</v>
      </c>
      <c r="BI88" s="12">
        <f t="shared" si="20"/>
        <v>96.1</v>
      </c>
    </row>
    <row r="89" spans="1:61" ht="15.75" customHeight="1" x14ac:dyDescent="0.25">
      <c r="A89" s="1" t="s">
        <v>247</v>
      </c>
      <c r="B89" s="4" t="s">
        <v>91</v>
      </c>
      <c r="C89" s="4" t="s">
        <v>85</v>
      </c>
      <c r="D89" s="4">
        <v>35</v>
      </c>
      <c r="E89" s="4">
        <v>670</v>
      </c>
      <c r="F89" s="4">
        <v>35</v>
      </c>
      <c r="G89" s="4">
        <v>670</v>
      </c>
      <c r="H89" s="4">
        <v>12.1</v>
      </c>
      <c r="I89" s="4">
        <v>0.50600000000000001</v>
      </c>
      <c r="J89" s="4">
        <v>0.47899999999999998</v>
      </c>
      <c r="K89" s="4">
        <v>0.502</v>
      </c>
      <c r="L89" s="4">
        <v>0.14299999999999999</v>
      </c>
      <c r="M89" s="4">
        <v>1.9</v>
      </c>
      <c r="N89" s="4">
        <v>6.9</v>
      </c>
      <c r="O89" s="4">
        <v>16.8</v>
      </c>
      <c r="P89" s="4">
        <v>2.4</v>
      </c>
      <c r="Q89" s="4">
        <v>0.9</v>
      </c>
      <c r="R89" s="4">
        <v>13.6</v>
      </c>
      <c r="S89" s="4">
        <v>24.4</v>
      </c>
      <c r="T89" s="4">
        <v>98</v>
      </c>
      <c r="U89" s="4">
        <v>102</v>
      </c>
      <c r="V89" s="4"/>
      <c r="W89" s="4">
        <v>-0.3</v>
      </c>
      <c r="X89" s="4">
        <v>1.5</v>
      </c>
      <c r="Y89" s="4">
        <v>1.2</v>
      </c>
      <c r="Z89" s="4">
        <v>7.2999999999999995E-2</v>
      </c>
      <c r="AA89" s="13">
        <f>(I89/TOTAL_BASIC!$D$301)*100</f>
        <v>90.127736046915246</v>
      </c>
      <c r="AB89" s="5">
        <f t="shared" si="21"/>
        <v>0.98</v>
      </c>
      <c r="AC89" s="3">
        <f t="shared" si="1"/>
        <v>-4</v>
      </c>
      <c r="AD89" s="9">
        <f t="shared" si="22"/>
        <v>1.012</v>
      </c>
      <c r="AE89" s="16">
        <f t="shared" si="23"/>
        <v>0.68852459016393452</v>
      </c>
      <c r="AF89" s="16">
        <f t="shared" si="24"/>
        <v>1.2352941176470589</v>
      </c>
      <c r="AG89" s="9"/>
      <c r="AH89" s="9"/>
      <c r="AI89" s="12">
        <f t="shared" si="25"/>
        <v>43.7</v>
      </c>
      <c r="AJ89" s="12">
        <f t="shared" si="26"/>
        <v>53</v>
      </c>
      <c r="AK89" s="12">
        <f t="shared" si="26"/>
        <v>44.2</v>
      </c>
      <c r="AL89" s="12">
        <f t="shared" si="26"/>
        <v>23.400000000000002</v>
      </c>
      <c r="AM89" s="12">
        <f t="shared" si="26"/>
        <v>31.6</v>
      </c>
      <c r="AN89" s="12">
        <f t="shared" si="18"/>
        <v>71.5</v>
      </c>
      <c r="AO89" s="12">
        <f t="shared" si="18"/>
        <v>14.2</v>
      </c>
      <c r="AP89" s="12">
        <f t="shared" si="18"/>
        <v>12.5</v>
      </c>
      <c r="AQ89" s="12">
        <f t="shared" si="18"/>
        <v>32.700000000000003</v>
      </c>
      <c r="AR89" s="12">
        <f t="shared" si="29"/>
        <v>65.5</v>
      </c>
      <c r="AS89" s="12">
        <f t="shared" si="29"/>
        <v>79.7</v>
      </c>
      <c r="AT89" s="12">
        <f t="shared" si="29"/>
        <v>34.4</v>
      </c>
      <c r="AU89" s="12">
        <f t="shared" si="27"/>
        <v>61.3</v>
      </c>
      <c r="AV89" s="12">
        <f t="shared" si="30"/>
        <v>80.300000000000011</v>
      </c>
      <c r="AW89" s="12">
        <f t="shared" si="30"/>
        <v>18</v>
      </c>
      <c r="AX89" s="12">
        <f t="shared" si="28"/>
        <v>94.6</v>
      </c>
      <c r="AY89" s="9"/>
      <c r="AZ89" s="12">
        <f t="shared" si="31"/>
        <v>10.9</v>
      </c>
      <c r="BA89" s="12">
        <f t="shared" si="31"/>
        <v>81.399999999999991</v>
      </c>
      <c r="BB89" s="12">
        <f t="shared" si="31"/>
        <v>56.8</v>
      </c>
      <c r="BC89" s="12">
        <f t="shared" si="31"/>
        <v>51.9</v>
      </c>
      <c r="BD89" s="12">
        <f t="shared" si="32"/>
        <v>23.400000000000002</v>
      </c>
      <c r="BE89" s="12">
        <f t="shared" si="19"/>
        <v>18</v>
      </c>
      <c r="BF89" s="12">
        <f t="shared" si="19"/>
        <v>48.6</v>
      </c>
      <c r="BG89" s="12">
        <f t="shared" si="19"/>
        <v>23.400000000000002</v>
      </c>
      <c r="BH89" s="12">
        <f t="shared" si="19"/>
        <v>46.400000000000006</v>
      </c>
      <c r="BI89" s="12">
        <f t="shared" si="20"/>
        <v>68.8</v>
      </c>
    </row>
    <row r="90" spans="1:61" ht="15.75" customHeight="1" x14ac:dyDescent="0.25">
      <c r="A90" s="1" t="s">
        <v>141</v>
      </c>
      <c r="B90" s="3" t="s">
        <v>114</v>
      </c>
      <c r="C90" s="4" t="s">
        <v>88</v>
      </c>
      <c r="D90" s="4">
        <v>43</v>
      </c>
      <c r="E90" s="4">
        <v>654</v>
      </c>
      <c r="F90" s="4">
        <v>43</v>
      </c>
      <c r="G90" s="4">
        <v>654</v>
      </c>
      <c r="H90" s="4">
        <v>8.1999999999999993</v>
      </c>
      <c r="I90" s="4">
        <v>0.61</v>
      </c>
      <c r="J90" s="4">
        <v>0.55800000000000005</v>
      </c>
      <c r="K90" s="4">
        <v>0.55300000000000005</v>
      </c>
      <c r="L90" s="4">
        <v>0.33</v>
      </c>
      <c r="M90" s="4">
        <v>4.5</v>
      </c>
      <c r="N90" s="4">
        <v>9.1999999999999993</v>
      </c>
      <c r="O90" s="4">
        <v>11.8</v>
      </c>
      <c r="P90" s="4">
        <v>0.9</v>
      </c>
      <c r="Q90" s="4">
        <v>2.7</v>
      </c>
      <c r="R90" s="4">
        <v>24.4</v>
      </c>
      <c r="S90" s="4">
        <v>10.4</v>
      </c>
      <c r="T90" s="4">
        <v>107</v>
      </c>
      <c r="U90" s="4">
        <v>113</v>
      </c>
      <c r="V90" s="4"/>
      <c r="W90" s="4">
        <v>0.4</v>
      </c>
      <c r="X90" s="4">
        <v>0.5</v>
      </c>
      <c r="Y90" s="4">
        <v>0.8</v>
      </c>
      <c r="Z90" s="4">
        <v>5.1999999999999998E-2</v>
      </c>
      <c r="AA90" s="13">
        <f>(I90/TOTAL_BASIC!$D$301)*100</f>
        <v>108.65201381149862</v>
      </c>
      <c r="AB90" s="5">
        <f t="shared" si="21"/>
        <v>1.07</v>
      </c>
      <c r="AC90" s="3">
        <f t="shared" si="1"/>
        <v>-6</v>
      </c>
      <c r="AD90" s="9">
        <f t="shared" si="22"/>
        <v>1.22</v>
      </c>
      <c r="AE90" s="16">
        <f t="shared" si="23"/>
        <v>1.1346153846153846</v>
      </c>
      <c r="AF90" s="16">
        <f t="shared" si="24"/>
        <v>0.48360655737704922</v>
      </c>
      <c r="AG90" s="9"/>
      <c r="AH90" s="9"/>
      <c r="AI90" s="12">
        <f t="shared" si="25"/>
        <v>96.7</v>
      </c>
      <c r="AJ90" s="12">
        <f t="shared" si="26"/>
        <v>52.400000000000006</v>
      </c>
      <c r="AK90" s="12">
        <f t="shared" si="26"/>
        <v>13.100000000000001</v>
      </c>
      <c r="AL90" s="12">
        <f t="shared" si="26"/>
        <v>83</v>
      </c>
      <c r="AM90" s="12">
        <f t="shared" si="26"/>
        <v>77.5</v>
      </c>
      <c r="AN90" s="12">
        <f t="shared" si="18"/>
        <v>81.399999999999991</v>
      </c>
      <c r="AO90" s="12">
        <f t="shared" si="18"/>
        <v>61.7</v>
      </c>
      <c r="AP90" s="12">
        <f t="shared" si="18"/>
        <v>51.300000000000004</v>
      </c>
      <c r="AQ90" s="12">
        <f t="shared" si="18"/>
        <v>51.9</v>
      </c>
      <c r="AR90" s="12">
        <f t="shared" si="29"/>
        <v>38.200000000000003</v>
      </c>
      <c r="AS90" s="12">
        <f t="shared" si="29"/>
        <v>6.5</v>
      </c>
      <c r="AT90" s="12">
        <f t="shared" si="29"/>
        <v>78.100000000000009</v>
      </c>
      <c r="AU90" s="12">
        <f t="shared" si="27"/>
        <v>3.9000000000000057</v>
      </c>
      <c r="AV90" s="12">
        <f t="shared" si="30"/>
        <v>2.7</v>
      </c>
      <c r="AW90" s="12">
        <f t="shared" si="30"/>
        <v>50.8</v>
      </c>
      <c r="AX90" s="12">
        <f t="shared" si="28"/>
        <v>29.600000000000009</v>
      </c>
      <c r="AY90" s="9"/>
      <c r="AZ90" s="12">
        <f t="shared" si="31"/>
        <v>48.6</v>
      </c>
      <c r="BA90" s="12">
        <f t="shared" si="31"/>
        <v>39.300000000000004</v>
      </c>
      <c r="BB90" s="12">
        <f t="shared" si="31"/>
        <v>40.400000000000006</v>
      </c>
      <c r="BC90" s="12">
        <f t="shared" si="31"/>
        <v>36.6</v>
      </c>
      <c r="BD90" s="12">
        <f t="shared" si="32"/>
        <v>83</v>
      </c>
      <c r="BE90" s="12">
        <f t="shared" si="19"/>
        <v>50.8</v>
      </c>
      <c r="BF90" s="12">
        <f t="shared" si="19"/>
        <v>41.5</v>
      </c>
      <c r="BG90" s="12">
        <f t="shared" si="19"/>
        <v>83</v>
      </c>
      <c r="BH90" s="12">
        <f t="shared" si="19"/>
        <v>80.800000000000011</v>
      </c>
      <c r="BI90" s="12">
        <f t="shared" si="20"/>
        <v>9.8000000000000007</v>
      </c>
    </row>
    <row r="91" spans="1:61" ht="15.75" customHeight="1" x14ac:dyDescent="0.25">
      <c r="A91" s="1" t="s">
        <v>193</v>
      </c>
      <c r="B91" s="3" t="s">
        <v>91</v>
      </c>
      <c r="C91" s="4" t="s">
        <v>8</v>
      </c>
      <c r="D91" s="4">
        <v>42</v>
      </c>
      <c r="E91" s="4">
        <v>643</v>
      </c>
      <c r="F91" s="4">
        <v>42</v>
      </c>
      <c r="G91" s="4">
        <v>643</v>
      </c>
      <c r="H91" s="4">
        <v>14.6</v>
      </c>
      <c r="I91" s="4">
        <v>0.60499999999999998</v>
      </c>
      <c r="J91" s="4">
        <v>0.58799999999999997</v>
      </c>
      <c r="K91" s="4">
        <v>0.3</v>
      </c>
      <c r="L91" s="4">
        <v>0.185</v>
      </c>
      <c r="M91" s="4">
        <v>2.4</v>
      </c>
      <c r="N91" s="4">
        <v>4.4000000000000004</v>
      </c>
      <c r="O91" s="4">
        <v>23.8</v>
      </c>
      <c r="P91" s="4">
        <v>1</v>
      </c>
      <c r="Q91" s="4">
        <v>0.2</v>
      </c>
      <c r="R91" s="4">
        <v>16.600000000000001</v>
      </c>
      <c r="S91" s="4">
        <v>21.2</v>
      </c>
      <c r="T91" s="4">
        <v>111</v>
      </c>
      <c r="U91" s="4">
        <v>107</v>
      </c>
      <c r="V91" s="4"/>
      <c r="W91" s="4">
        <v>1</v>
      </c>
      <c r="X91" s="4">
        <v>1</v>
      </c>
      <c r="Y91" s="4">
        <v>2</v>
      </c>
      <c r="Z91" s="4">
        <v>0.123</v>
      </c>
      <c r="AA91" s="13">
        <f>(I91/TOTAL_BASIC!$D$301)*100</f>
        <v>107.76142353435519</v>
      </c>
      <c r="AB91" s="5">
        <f t="shared" si="21"/>
        <v>1.1100000000000001</v>
      </c>
      <c r="AC91" s="3">
        <f t="shared" si="1"/>
        <v>4</v>
      </c>
      <c r="AD91" s="9">
        <f t="shared" si="22"/>
        <v>1.21</v>
      </c>
      <c r="AE91" s="16">
        <f t="shared" si="23"/>
        <v>1.1226415094339623</v>
      </c>
      <c r="AF91" s="16">
        <f t="shared" si="24"/>
        <v>1.433734939759036</v>
      </c>
      <c r="AG91" s="9"/>
      <c r="AH91" s="9"/>
      <c r="AI91" s="12">
        <f t="shared" si="25"/>
        <v>83</v>
      </c>
      <c r="AJ91" s="12">
        <f t="shared" si="26"/>
        <v>51.9</v>
      </c>
      <c r="AK91" s="12">
        <f t="shared" si="26"/>
        <v>59</v>
      </c>
      <c r="AL91" s="12">
        <f t="shared" si="26"/>
        <v>79.2</v>
      </c>
      <c r="AM91" s="12">
        <f t="shared" si="26"/>
        <v>90.100000000000009</v>
      </c>
      <c r="AN91" s="12">
        <f t="shared" si="18"/>
        <v>29.5</v>
      </c>
      <c r="AO91" s="12">
        <f t="shared" si="18"/>
        <v>21.8</v>
      </c>
      <c r="AP91" s="12">
        <f t="shared" si="18"/>
        <v>25.6</v>
      </c>
      <c r="AQ91" s="12">
        <f t="shared" si="18"/>
        <v>7.1</v>
      </c>
      <c r="AR91" s="12">
        <f t="shared" si="29"/>
        <v>83</v>
      </c>
      <c r="AS91" s="12">
        <f t="shared" si="29"/>
        <v>10.9</v>
      </c>
      <c r="AT91" s="12">
        <f t="shared" si="29"/>
        <v>5.4</v>
      </c>
      <c r="AU91" s="12">
        <f t="shared" si="27"/>
        <v>35</v>
      </c>
      <c r="AV91" s="12">
        <f t="shared" si="30"/>
        <v>66.600000000000009</v>
      </c>
      <c r="AW91" s="12">
        <f t="shared" si="30"/>
        <v>65</v>
      </c>
      <c r="AX91" s="12">
        <f t="shared" si="28"/>
        <v>78.2</v>
      </c>
      <c r="AY91" s="9"/>
      <c r="AZ91" s="12">
        <f t="shared" si="31"/>
        <v>67.7</v>
      </c>
      <c r="BA91" s="12">
        <f t="shared" si="31"/>
        <v>67.7</v>
      </c>
      <c r="BB91" s="12">
        <f t="shared" si="31"/>
        <v>69.3</v>
      </c>
      <c r="BC91" s="12">
        <f t="shared" si="31"/>
        <v>71.5</v>
      </c>
      <c r="BD91" s="12">
        <f t="shared" si="32"/>
        <v>79.2</v>
      </c>
      <c r="BE91" s="12">
        <f t="shared" si="19"/>
        <v>65</v>
      </c>
      <c r="BF91" s="12">
        <f t="shared" si="19"/>
        <v>69.3</v>
      </c>
      <c r="BG91" s="12">
        <f t="shared" si="19"/>
        <v>79.2</v>
      </c>
      <c r="BH91" s="12">
        <f t="shared" si="19"/>
        <v>78.100000000000009</v>
      </c>
      <c r="BI91" s="12">
        <f t="shared" si="20"/>
        <v>77.5</v>
      </c>
    </row>
    <row r="92" spans="1:61" ht="15.75" customHeight="1" x14ac:dyDescent="0.25">
      <c r="A92" s="1" t="s">
        <v>146</v>
      </c>
      <c r="B92" s="3" t="s">
        <v>232</v>
      </c>
      <c r="C92" s="4" t="s">
        <v>8</v>
      </c>
      <c r="D92" s="4">
        <v>26</v>
      </c>
      <c r="E92" s="4">
        <v>642</v>
      </c>
      <c r="F92" s="4">
        <v>26</v>
      </c>
      <c r="G92" s="4">
        <v>642</v>
      </c>
      <c r="H92" s="4">
        <v>14.6</v>
      </c>
      <c r="I92" s="4">
        <v>0.60299999999999998</v>
      </c>
      <c r="J92" s="4">
        <v>0.58599999999999997</v>
      </c>
      <c r="K92" s="4">
        <v>0.41899999999999998</v>
      </c>
      <c r="L92" s="4">
        <v>0.16300000000000001</v>
      </c>
      <c r="M92" s="4">
        <v>4.0999999999999996</v>
      </c>
      <c r="N92" s="4">
        <v>11.5</v>
      </c>
      <c r="O92" s="4">
        <v>16.5</v>
      </c>
      <c r="P92" s="4">
        <v>1.8</v>
      </c>
      <c r="Q92" s="4">
        <v>1.4</v>
      </c>
      <c r="R92" s="4">
        <v>18.399999999999999</v>
      </c>
      <c r="S92" s="4">
        <v>19.7</v>
      </c>
      <c r="T92" s="4">
        <v>106</v>
      </c>
      <c r="U92" s="4">
        <v>114</v>
      </c>
      <c r="V92" s="4"/>
      <c r="W92" s="4">
        <v>0.5</v>
      </c>
      <c r="X92" s="4">
        <v>0.3</v>
      </c>
      <c r="Y92" s="4">
        <v>0.9</v>
      </c>
      <c r="Z92" s="4">
        <v>5.3999999999999999E-2</v>
      </c>
      <c r="AA92" s="13">
        <f>(I92/TOTAL_BASIC!$D$301)*100</f>
        <v>107.40518742349782</v>
      </c>
      <c r="AB92" s="5">
        <f t="shared" si="21"/>
        <v>1.06</v>
      </c>
      <c r="AC92" s="3">
        <f t="shared" si="1"/>
        <v>-8</v>
      </c>
      <c r="AD92" s="9">
        <f t="shared" si="22"/>
        <v>1.206</v>
      </c>
      <c r="AE92" s="16">
        <f t="shared" si="23"/>
        <v>0.83756345177664981</v>
      </c>
      <c r="AF92" s="16">
        <f t="shared" si="24"/>
        <v>0.89673913043478271</v>
      </c>
      <c r="AG92" s="9"/>
      <c r="AH92" s="9"/>
      <c r="AI92" s="12">
        <f t="shared" si="25"/>
        <v>23.400000000000002</v>
      </c>
      <c r="AJ92" s="12">
        <f t="shared" si="26"/>
        <v>51.300000000000004</v>
      </c>
      <c r="AK92" s="12">
        <f t="shared" si="26"/>
        <v>59</v>
      </c>
      <c r="AL92" s="12">
        <f t="shared" si="26"/>
        <v>77</v>
      </c>
      <c r="AM92" s="12">
        <f t="shared" si="26"/>
        <v>89</v>
      </c>
      <c r="AN92" s="12">
        <f t="shared" si="18"/>
        <v>51.9</v>
      </c>
      <c r="AO92" s="12">
        <f t="shared" si="18"/>
        <v>16.3</v>
      </c>
      <c r="AP92" s="12">
        <f t="shared" si="18"/>
        <v>47.5</v>
      </c>
      <c r="AQ92" s="12">
        <f t="shared" si="18"/>
        <v>70.399999999999991</v>
      </c>
      <c r="AR92" s="12">
        <f t="shared" si="29"/>
        <v>62.8</v>
      </c>
      <c r="AS92" s="12">
        <f t="shared" si="29"/>
        <v>49.7</v>
      </c>
      <c r="AT92" s="12">
        <f t="shared" si="29"/>
        <v>53.5</v>
      </c>
      <c r="AU92" s="12">
        <f t="shared" si="27"/>
        <v>21.399999999999991</v>
      </c>
      <c r="AV92" s="12">
        <f t="shared" si="30"/>
        <v>59</v>
      </c>
      <c r="AW92" s="12">
        <f t="shared" si="30"/>
        <v>45.9</v>
      </c>
      <c r="AX92" s="12">
        <f t="shared" si="28"/>
        <v>25.700000000000003</v>
      </c>
      <c r="AY92" s="9"/>
      <c r="AZ92" s="12">
        <f t="shared" si="31"/>
        <v>51.9</v>
      </c>
      <c r="BA92" s="12">
        <f t="shared" si="31"/>
        <v>28.4</v>
      </c>
      <c r="BB92" s="12">
        <f t="shared" si="31"/>
        <v>44.2</v>
      </c>
      <c r="BC92" s="12">
        <f t="shared" si="31"/>
        <v>37.700000000000003</v>
      </c>
      <c r="BD92" s="12">
        <f t="shared" si="32"/>
        <v>77</v>
      </c>
      <c r="BE92" s="12">
        <f t="shared" si="19"/>
        <v>45.9</v>
      </c>
      <c r="BF92" s="12">
        <f t="shared" si="19"/>
        <v>36.6</v>
      </c>
      <c r="BG92" s="12">
        <f t="shared" si="19"/>
        <v>77</v>
      </c>
      <c r="BH92" s="12">
        <f t="shared" si="19"/>
        <v>62.2</v>
      </c>
      <c r="BI92" s="12">
        <f t="shared" si="20"/>
        <v>41.5</v>
      </c>
    </row>
    <row r="93" spans="1:61" ht="15.75" customHeight="1" x14ac:dyDescent="0.25">
      <c r="A93" s="1" t="s">
        <v>237</v>
      </c>
      <c r="B93" s="3" t="s">
        <v>240</v>
      </c>
      <c r="C93" s="4" t="s">
        <v>8</v>
      </c>
      <c r="D93" s="4">
        <v>41</v>
      </c>
      <c r="E93" s="4">
        <v>634</v>
      </c>
      <c r="F93" s="4">
        <v>41</v>
      </c>
      <c r="G93" s="4">
        <v>634</v>
      </c>
      <c r="H93" s="4">
        <v>9.6</v>
      </c>
      <c r="I93" s="4">
        <v>0.52</v>
      </c>
      <c r="J93" s="4">
        <v>0.48199999999999998</v>
      </c>
      <c r="K93" s="4">
        <v>0.505</v>
      </c>
      <c r="L93" s="4">
        <v>0.17899999999999999</v>
      </c>
      <c r="M93" s="4">
        <v>2.9</v>
      </c>
      <c r="N93" s="4">
        <v>4.3</v>
      </c>
      <c r="O93" s="4">
        <v>15.6</v>
      </c>
      <c r="P93" s="4">
        <v>1.7</v>
      </c>
      <c r="Q93" s="4">
        <v>0.9</v>
      </c>
      <c r="R93" s="4">
        <v>14.6</v>
      </c>
      <c r="S93" s="4">
        <v>17.7</v>
      </c>
      <c r="T93" s="4">
        <v>100</v>
      </c>
      <c r="U93" s="4">
        <v>115</v>
      </c>
      <c r="V93" s="4"/>
      <c r="W93" s="4">
        <v>-0.1</v>
      </c>
      <c r="X93" s="4">
        <v>0.3</v>
      </c>
      <c r="Y93" s="4">
        <v>0.2</v>
      </c>
      <c r="Z93" s="4">
        <v>1.4E-2</v>
      </c>
      <c r="AA93" s="13">
        <f>(I93/TOTAL_BASIC!$D$301)*100</f>
        <v>92.621388822916856</v>
      </c>
      <c r="AB93" s="5">
        <f t="shared" si="21"/>
        <v>1</v>
      </c>
      <c r="AC93" s="3">
        <f t="shared" si="1"/>
        <v>-15</v>
      </c>
      <c r="AD93" s="9">
        <f t="shared" si="22"/>
        <v>1.04</v>
      </c>
      <c r="AE93" s="16">
        <f t="shared" si="23"/>
        <v>0.88135593220338981</v>
      </c>
      <c r="AF93" s="16">
        <f t="shared" si="24"/>
        <v>1.0684931506849316</v>
      </c>
      <c r="AG93" s="9"/>
      <c r="AH93" s="9"/>
      <c r="AI93" s="12">
        <f t="shared" si="25"/>
        <v>69.3</v>
      </c>
      <c r="AJ93" s="12">
        <f t="shared" si="26"/>
        <v>50.8</v>
      </c>
      <c r="AK93" s="12">
        <f t="shared" si="26"/>
        <v>21.8</v>
      </c>
      <c r="AL93" s="12">
        <f t="shared" si="26"/>
        <v>33.300000000000004</v>
      </c>
      <c r="AM93" s="12">
        <f t="shared" si="26"/>
        <v>33.300000000000004</v>
      </c>
      <c r="AN93" s="12">
        <f t="shared" si="18"/>
        <v>73.2</v>
      </c>
      <c r="AO93" s="12">
        <f t="shared" si="18"/>
        <v>20.7</v>
      </c>
      <c r="AP93" s="12">
        <f t="shared" si="18"/>
        <v>32.200000000000003</v>
      </c>
      <c r="AQ93" s="12">
        <f t="shared" si="18"/>
        <v>6.5</v>
      </c>
      <c r="AR93" s="12">
        <f t="shared" si="29"/>
        <v>60.6</v>
      </c>
      <c r="AS93" s="12">
        <f t="shared" si="29"/>
        <v>43.7</v>
      </c>
      <c r="AT93" s="12">
        <f t="shared" si="29"/>
        <v>34.4</v>
      </c>
      <c r="AU93" s="12">
        <f t="shared" si="27"/>
        <v>51.4</v>
      </c>
      <c r="AV93" s="12">
        <f t="shared" si="30"/>
        <v>43.7</v>
      </c>
      <c r="AW93" s="12">
        <f t="shared" si="30"/>
        <v>23.400000000000002</v>
      </c>
      <c r="AX93" s="12">
        <f t="shared" si="28"/>
        <v>18.600000000000009</v>
      </c>
      <c r="AY93" s="9"/>
      <c r="AZ93" s="12">
        <f t="shared" si="31"/>
        <v>20.7</v>
      </c>
      <c r="BA93" s="12">
        <f t="shared" si="31"/>
        <v>28.4</v>
      </c>
      <c r="BB93" s="12">
        <f t="shared" si="31"/>
        <v>19.100000000000001</v>
      </c>
      <c r="BC93" s="12">
        <f t="shared" si="31"/>
        <v>16.3</v>
      </c>
      <c r="BD93" s="12">
        <f t="shared" si="32"/>
        <v>33.300000000000004</v>
      </c>
      <c r="BE93" s="12">
        <f t="shared" si="19"/>
        <v>23.400000000000002</v>
      </c>
      <c r="BF93" s="12">
        <f t="shared" si="19"/>
        <v>16.3</v>
      </c>
      <c r="BG93" s="12">
        <f t="shared" si="19"/>
        <v>33.300000000000004</v>
      </c>
      <c r="BH93" s="12">
        <f t="shared" si="19"/>
        <v>65</v>
      </c>
      <c r="BI93" s="12">
        <f t="shared" si="20"/>
        <v>59.5</v>
      </c>
    </row>
    <row r="94" spans="1:61" ht="15.75" customHeight="1" x14ac:dyDescent="0.25">
      <c r="A94" s="1" t="s">
        <v>186</v>
      </c>
      <c r="B94" s="3" t="s">
        <v>114</v>
      </c>
      <c r="C94" s="4" t="s">
        <v>85</v>
      </c>
      <c r="D94" s="4">
        <v>36</v>
      </c>
      <c r="E94" s="4">
        <v>628</v>
      </c>
      <c r="F94" s="4">
        <v>36</v>
      </c>
      <c r="G94" s="4">
        <v>628</v>
      </c>
      <c r="H94" s="4">
        <v>9.3000000000000007</v>
      </c>
      <c r="I94" s="4">
        <v>0.439</v>
      </c>
      <c r="J94" s="4">
        <v>0.40799999999999997</v>
      </c>
      <c r="K94" s="4">
        <v>0.34100000000000003</v>
      </c>
      <c r="L94" s="4">
        <v>0.214</v>
      </c>
      <c r="M94" s="4">
        <v>5.9</v>
      </c>
      <c r="N94" s="4">
        <v>11.5</v>
      </c>
      <c r="O94" s="4">
        <v>11.9</v>
      </c>
      <c r="P94" s="4">
        <v>2.9</v>
      </c>
      <c r="Q94" s="4">
        <v>2.7</v>
      </c>
      <c r="R94" s="4">
        <v>18.899999999999999</v>
      </c>
      <c r="S94" s="4">
        <v>16.2</v>
      </c>
      <c r="T94" s="4">
        <v>87</v>
      </c>
      <c r="U94" s="4">
        <v>107</v>
      </c>
      <c r="V94" s="4"/>
      <c r="W94" s="4">
        <v>-1</v>
      </c>
      <c r="X94" s="4">
        <v>1</v>
      </c>
      <c r="Y94" s="4">
        <v>-0.1</v>
      </c>
      <c r="Z94" s="4">
        <v>-4.0000000000000001E-3</v>
      </c>
      <c r="AA94" s="13">
        <f>(I94/TOTAL_BASIC!$D$301)*100</f>
        <v>78.193826333193272</v>
      </c>
      <c r="AB94" s="5">
        <f t="shared" si="21"/>
        <v>0.87</v>
      </c>
      <c r="AC94" s="3">
        <f t="shared" si="1"/>
        <v>-20</v>
      </c>
      <c r="AD94" s="9">
        <f t="shared" si="22"/>
        <v>0.878</v>
      </c>
      <c r="AE94" s="16">
        <f t="shared" si="23"/>
        <v>0.73456790123456794</v>
      </c>
      <c r="AF94" s="16">
        <f t="shared" si="24"/>
        <v>0.62962962962962965</v>
      </c>
      <c r="AG94" s="9"/>
      <c r="AH94" s="9"/>
      <c r="AI94" s="12">
        <f t="shared" si="25"/>
        <v>45.300000000000004</v>
      </c>
      <c r="AJ94" s="12">
        <f t="shared" si="26"/>
        <v>50.2</v>
      </c>
      <c r="AK94" s="12">
        <f t="shared" si="26"/>
        <v>21.3</v>
      </c>
      <c r="AL94" s="12">
        <f t="shared" si="26"/>
        <v>5.4</v>
      </c>
      <c r="AM94" s="12">
        <f t="shared" si="26"/>
        <v>6</v>
      </c>
      <c r="AN94" s="12">
        <f t="shared" si="18"/>
        <v>35.5</v>
      </c>
      <c r="AO94" s="12">
        <f t="shared" si="18"/>
        <v>28.4</v>
      </c>
      <c r="AP94" s="12">
        <f t="shared" si="18"/>
        <v>63.9</v>
      </c>
      <c r="AQ94" s="12">
        <f t="shared" si="18"/>
        <v>70.399999999999991</v>
      </c>
      <c r="AR94" s="12">
        <f t="shared" si="29"/>
        <v>40.400000000000006</v>
      </c>
      <c r="AS94" s="12">
        <f t="shared" si="29"/>
        <v>93.899999999999991</v>
      </c>
      <c r="AT94" s="12">
        <f t="shared" si="29"/>
        <v>78.100000000000009</v>
      </c>
      <c r="AU94" s="12">
        <f t="shared" si="27"/>
        <v>18.100000000000009</v>
      </c>
      <c r="AV94" s="12">
        <f t="shared" si="30"/>
        <v>25.6</v>
      </c>
      <c r="AW94" s="12">
        <f t="shared" si="30"/>
        <v>3.2</v>
      </c>
      <c r="AX94" s="12">
        <f t="shared" si="28"/>
        <v>78.2</v>
      </c>
      <c r="AY94" s="9"/>
      <c r="AZ94" s="12">
        <f t="shared" si="31"/>
        <v>0.5</v>
      </c>
      <c r="BA94" s="12">
        <f t="shared" si="31"/>
        <v>67.7</v>
      </c>
      <c r="BB94" s="12">
        <f t="shared" si="31"/>
        <v>9.1999999999999993</v>
      </c>
      <c r="BC94" s="12">
        <f t="shared" si="31"/>
        <v>11.4</v>
      </c>
      <c r="BD94" s="12">
        <f t="shared" si="32"/>
        <v>5.4</v>
      </c>
      <c r="BE94" s="12">
        <f t="shared" si="19"/>
        <v>3.2</v>
      </c>
      <c r="BF94" s="12">
        <f t="shared" si="19"/>
        <v>7.6</v>
      </c>
      <c r="BG94" s="12">
        <f t="shared" si="19"/>
        <v>5.4</v>
      </c>
      <c r="BH94" s="12">
        <f t="shared" si="19"/>
        <v>53.5</v>
      </c>
      <c r="BI94" s="12">
        <f t="shared" si="20"/>
        <v>21.8</v>
      </c>
    </row>
    <row r="95" spans="1:61" ht="15.75" customHeight="1" x14ac:dyDescent="0.25">
      <c r="A95" s="1" t="s">
        <v>179</v>
      </c>
      <c r="B95" s="3" t="s">
        <v>114</v>
      </c>
      <c r="C95" s="4" t="s">
        <v>8</v>
      </c>
      <c r="D95" s="4">
        <v>41</v>
      </c>
      <c r="E95" s="4">
        <v>616</v>
      </c>
      <c r="F95" s="4">
        <v>41</v>
      </c>
      <c r="G95" s="4">
        <v>616</v>
      </c>
      <c r="H95" s="4">
        <v>9.6</v>
      </c>
      <c r="I95" s="4">
        <v>0.47099999999999997</v>
      </c>
      <c r="J95" s="4">
        <v>0.40400000000000003</v>
      </c>
      <c r="K95" s="4">
        <v>0.38200000000000001</v>
      </c>
      <c r="L95" s="4">
        <v>0.34399999999999997</v>
      </c>
      <c r="M95" s="4">
        <v>3.5</v>
      </c>
      <c r="N95" s="4">
        <v>6.3</v>
      </c>
      <c r="O95" s="4">
        <v>12.5</v>
      </c>
      <c r="P95" s="4">
        <v>1.3</v>
      </c>
      <c r="Q95" s="4">
        <v>0.2</v>
      </c>
      <c r="R95" s="4">
        <v>11.8</v>
      </c>
      <c r="S95" s="4">
        <v>26.3</v>
      </c>
      <c r="T95" s="4">
        <v>94</v>
      </c>
      <c r="U95" s="4">
        <v>115</v>
      </c>
      <c r="V95" s="4"/>
      <c r="W95" s="4">
        <v>-0.7</v>
      </c>
      <c r="X95" s="4">
        <v>0.3</v>
      </c>
      <c r="Y95" s="4">
        <v>-0.5</v>
      </c>
      <c r="Z95" s="4">
        <v>-3.1E-2</v>
      </c>
      <c r="AA95" s="13">
        <f>(I95/TOTAL_BASIC!$D$301)*100</f>
        <v>83.893604106911241</v>
      </c>
      <c r="AB95" s="5">
        <f t="shared" si="21"/>
        <v>0.94</v>
      </c>
      <c r="AC95" s="3">
        <f t="shared" si="1"/>
        <v>-21</v>
      </c>
      <c r="AD95" s="9">
        <f t="shared" si="22"/>
        <v>0.94199999999999995</v>
      </c>
      <c r="AE95" s="16">
        <f t="shared" si="23"/>
        <v>0.47528517110266161</v>
      </c>
      <c r="AF95" s="16">
        <f t="shared" si="24"/>
        <v>1.0593220338983049</v>
      </c>
      <c r="AG95" s="9"/>
      <c r="AH95" s="9"/>
      <c r="AI95" s="12">
        <f t="shared" si="25"/>
        <v>69.3</v>
      </c>
      <c r="AJ95" s="12">
        <f t="shared" si="26"/>
        <v>49.7</v>
      </c>
      <c r="AK95" s="12">
        <f t="shared" si="26"/>
        <v>21.8</v>
      </c>
      <c r="AL95" s="12">
        <f t="shared" si="26"/>
        <v>9.1999999999999993</v>
      </c>
      <c r="AM95" s="12">
        <f t="shared" si="26"/>
        <v>5.4</v>
      </c>
      <c r="AN95" s="12">
        <f t="shared" si="18"/>
        <v>43.1</v>
      </c>
      <c r="AO95" s="12">
        <f t="shared" si="18"/>
        <v>66.100000000000009</v>
      </c>
      <c r="AP95" s="12">
        <f t="shared" si="18"/>
        <v>40.400000000000006</v>
      </c>
      <c r="AQ95" s="12">
        <f t="shared" si="18"/>
        <v>24</v>
      </c>
      <c r="AR95" s="12">
        <f t="shared" si="29"/>
        <v>45.9</v>
      </c>
      <c r="AS95" s="12">
        <f t="shared" si="29"/>
        <v>22.900000000000002</v>
      </c>
      <c r="AT95" s="12">
        <f t="shared" si="29"/>
        <v>5.4</v>
      </c>
      <c r="AU95" s="12">
        <f t="shared" si="27"/>
        <v>75.5</v>
      </c>
      <c r="AV95" s="12">
        <f t="shared" si="30"/>
        <v>89</v>
      </c>
      <c r="AW95" s="12">
        <f t="shared" si="30"/>
        <v>8.1</v>
      </c>
      <c r="AX95" s="12">
        <f t="shared" si="28"/>
        <v>18.600000000000009</v>
      </c>
      <c r="AY95" s="9"/>
      <c r="AZ95" s="12">
        <f t="shared" si="31"/>
        <v>3.2</v>
      </c>
      <c r="BA95" s="12">
        <f t="shared" si="31"/>
        <v>28.4</v>
      </c>
      <c r="BB95" s="12">
        <f t="shared" si="31"/>
        <v>1.6</v>
      </c>
      <c r="BC95" s="12">
        <f t="shared" si="31"/>
        <v>6.5</v>
      </c>
      <c r="BD95" s="12">
        <f t="shared" si="32"/>
        <v>9.1999999999999993</v>
      </c>
      <c r="BE95" s="12">
        <f t="shared" si="19"/>
        <v>8.1</v>
      </c>
      <c r="BF95" s="12">
        <f t="shared" si="19"/>
        <v>7.1</v>
      </c>
      <c r="BG95" s="12">
        <f t="shared" si="19"/>
        <v>9.1999999999999993</v>
      </c>
      <c r="BH95" s="12">
        <f t="shared" si="19"/>
        <v>16.3</v>
      </c>
      <c r="BI95" s="12">
        <f t="shared" si="20"/>
        <v>57.3</v>
      </c>
    </row>
    <row r="96" spans="1:61" ht="15.75" customHeight="1" x14ac:dyDescent="0.25">
      <c r="A96" s="1" t="s">
        <v>252</v>
      </c>
      <c r="B96" s="4" t="s">
        <v>240</v>
      </c>
      <c r="C96" s="4" t="s">
        <v>8</v>
      </c>
      <c r="D96" s="4">
        <v>28</v>
      </c>
      <c r="E96" s="4">
        <v>611</v>
      </c>
      <c r="F96" s="4">
        <v>28</v>
      </c>
      <c r="G96" s="4">
        <v>611</v>
      </c>
      <c r="H96" s="4">
        <v>9</v>
      </c>
      <c r="I96" s="4">
        <v>0.55500000000000005</v>
      </c>
      <c r="J96" s="4">
        <v>0.497</v>
      </c>
      <c r="K96" s="4">
        <v>0.42099999999999999</v>
      </c>
      <c r="L96" s="4">
        <v>0.32700000000000001</v>
      </c>
      <c r="M96" s="4">
        <v>1</v>
      </c>
      <c r="N96" s="4">
        <v>5</v>
      </c>
      <c r="O96" s="4">
        <v>17.100000000000001</v>
      </c>
      <c r="P96" s="4">
        <v>2.2000000000000002</v>
      </c>
      <c r="Q96" s="4">
        <v>1.2</v>
      </c>
      <c r="R96" s="4">
        <v>22.3</v>
      </c>
      <c r="S96" s="4">
        <v>18.5</v>
      </c>
      <c r="T96" s="4">
        <v>95</v>
      </c>
      <c r="U96" s="4">
        <v>112</v>
      </c>
      <c r="V96" s="4"/>
      <c r="W96" s="4">
        <v>-0.4</v>
      </c>
      <c r="X96" s="4">
        <v>0.5</v>
      </c>
      <c r="Y96" s="4">
        <v>0.1</v>
      </c>
      <c r="Z96" s="4">
        <v>4.0000000000000001E-3</v>
      </c>
      <c r="AA96" s="13">
        <f>(I96/TOTAL_BASIC!$D$301)*100</f>
        <v>98.855520762920889</v>
      </c>
      <c r="AB96" s="5">
        <f t="shared" si="21"/>
        <v>0.95</v>
      </c>
      <c r="AC96" s="3">
        <f t="shared" si="1"/>
        <v>-17</v>
      </c>
      <c r="AD96" s="9">
        <f t="shared" si="22"/>
        <v>1.1100000000000001</v>
      </c>
      <c r="AE96" s="16">
        <f t="shared" si="23"/>
        <v>0.92432432432432443</v>
      </c>
      <c r="AF96" s="16">
        <f t="shared" si="24"/>
        <v>0.76681614349775784</v>
      </c>
      <c r="AG96" s="9"/>
      <c r="AH96" s="9"/>
      <c r="AI96" s="12">
        <f t="shared" si="25"/>
        <v>25.1</v>
      </c>
      <c r="AJ96" s="12">
        <f t="shared" si="26"/>
        <v>49.1</v>
      </c>
      <c r="AK96" s="12">
        <f t="shared" si="26"/>
        <v>18.5</v>
      </c>
      <c r="AL96" s="12">
        <f t="shared" si="26"/>
        <v>48</v>
      </c>
      <c r="AM96" s="12">
        <f t="shared" si="26"/>
        <v>42.6</v>
      </c>
      <c r="AN96" s="12">
        <f t="shared" si="18"/>
        <v>53.5</v>
      </c>
      <c r="AO96" s="12">
        <f t="shared" si="18"/>
        <v>60.6</v>
      </c>
      <c r="AP96" s="12">
        <f t="shared" si="18"/>
        <v>4.3</v>
      </c>
      <c r="AQ96" s="12">
        <f t="shared" si="18"/>
        <v>12</v>
      </c>
      <c r="AR96" s="12">
        <f t="shared" si="29"/>
        <v>66.100000000000009</v>
      </c>
      <c r="AS96" s="12">
        <f t="shared" si="29"/>
        <v>74.3</v>
      </c>
      <c r="AT96" s="12">
        <f t="shared" si="29"/>
        <v>46.400000000000006</v>
      </c>
      <c r="AU96" s="12">
        <f t="shared" si="27"/>
        <v>6.5999999999999943</v>
      </c>
      <c r="AV96" s="12">
        <f t="shared" si="30"/>
        <v>51.300000000000004</v>
      </c>
      <c r="AW96" s="12">
        <f t="shared" si="30"/>
        <v>10.9</v>
      </c>
      <c r="AX96" s="12">
        <f t="shared" si="28"/>
        <v>38.800000000000004</v>
      </c>
      <c r="AY96" s="9"/>
      <c r="AZ96" s="12">
        <f t="shared" si="31"/>
        <v>6.5</v>
      </c>
      <c r="BA96" s="12">
        <f t="shared" si="31"/>
        <v>39.300000000000004</v>
      </c>
      <c r="BB96" s="12">
        <f t="shared" si="31"/>
        <v>13.600000000000001</v>
      </c>
      <c r="BC96" s="12">
        <f t="shared" si="31"/>
        <v>13.100000000000001</v>
      </c>
      <c r="BD96" s="12">
        <f t="shared" si="32"/>
        <v>48</v>
      </c>
      <c r="BE96" s="12">
        <f t="shared" si="19"/>
        <v>10.9</v>
      </c>
      <c r="BF96" s="12">
        <f t="shared" si="19"/>
        <v>13.100000000000001</v>
      </c>
      <c r="BG96" s="12">
        <f t="shared" si="19"/>
        <v>48</v>
      </c>
      <c r="BH96" s="12">
        <f t="shared" si="19"/>
        <v>68.300000000000011</v>
      </c>
      <c r="BI96" s="12">
        <f t="shared" si="20"/>
        <v>31.1</v>
      </c>
    </row>
    <row r="97" spans="1:61" ht="15.75" customHeight="1" x14ac:dyDescent="0.25">
      <c r="A97" s="1" t="s">
        <v>108</v>
      </c>
      <c r="B97" s="3" t="s">
        <v>84</v>
      </c>
      <c r="C97" s="4" t="s">
        <v>8</v>
      </c>
      <c r="D97" s="4">
        <v>41</v>
      </c>
      <c r="E97" s="4">
        <v>610</v>
      </c>
      <c r="F97" s="4">
        <v>41</v>
      </c>
      <c r="G97" s="4">
        <v>610</v>
      </c>
      <c r="H97" s="4">
        <v>14.1</v>
      </c>
      <c r="I97" s="4">
        <v>0.59</v>
      </c>
      <c r="J97" s="4">
        <v>0.53500000000000003</v>
      </c>
      <c r="K97" s="4">
        <v>0.28299999999999997</v>
      </c>
      <c r="L97" s="4">
        <v>0.27</v>
      </c>
      <c r="M97" s="4">
        <v>7.9</v>
      </c>
      <c r="N97" s="4">
        <v>9.9</v>
      </c>
      <c r="O97" s="4">
        <v>12.7</v>
      </c>
      <c r="P97" s="4">
        <v>1.7</v>
      </c>
      <c r="Q97" s="4">
        <v>1.2</v>
      </c>
      <c r="R97" s="4">
        <v>12.8</v>
      </c>
      <c r="S97" s="4">
        <v>14.9</v>
      </c>
      <c r="T97" s="4">
        <v>121</v>
      </c>
      <c r="U97" s="4">
        <v>110</v>
      </c>
      <c r="V97" s="4"/>
      <c r="W97" s="4">
        <v>1.4</v>
      </c>
      <c r="X97" s="4">
        <v>0.7</v>
      </c>
      <c r="Y97" s="4">
        <v>2.1</v>
      </c>
      <c r="Z97" s="4">
        <v>0.13500000000000001</v>
      </c>
      <c r="AA97" s="13">
        <f>(I97/TOTAL_BASIC!$D$301)*100</f>
        <v>105.08965270292489</v>
      </c>
      <c r="AB97" s="5">
        <f t="shared" si="21"/>
        <v>1.21</v>
      </c>
      <c r="AC97" s="3">
        <f t="shared" si="1"/>
        <v>11</v>
      </c>
      <c r="AD97" s="9">
        <f t="shared" si="22"/>
        <v>1.18</v>
      </c>
      <c r="AE97" s="16">
        <f t="shared" si="23"/>
        <v>0.85234899328859048</v>
      </c>
      <c r="AF97" s="16">
        <f t="shared" si="24"/>
        <v>0.99218749999999989</v>
      </c>
      <c r="AG97" s="9"/>
      <c r="AH97" s="9"/>
      <c r="AI97" s="12">
        <f t="shared" si="25"/>
        <v>69.3</v>
      </c>
      <c r="AJ97" s="12">
        <f t="shared" si="26"/>
        <v>48.6</v>
      </c>
      <c r="AK97" s="12">
        <f t="shared" si="26"/>
        <v>55.7</v>
      </c>
      <c r="AL97" s="12">
        <f t="shared" si="26"/>
        <v>71.5</v>
      </c>
      <c r="AM97" s="12">
        <f t="shared" si="26"/>
        <v>65</v>
      </c>
      <c r="AN97" s="12">
        <f t="shared" si="18"/>
        <v>27.800000000000004</v>
      </c>
      <c r="AO97" s="12">
        <f t="shared" si="18"/>
        <v>44.800000000000004</v>
      </c>
      <c r="AP97" s="12">
        <f t="shared" si="18"/>
        <v>78.100000000000009</v>
      </c>
      <c r="AQ97" s="12">
        <f t="shared" si="18"/>
        <v>58.4</v>
      </c>
      <c r="AR97" s="12">
        <f t="shared" si="29"/>
        <v>48</v>
      </c>
      <c r="AS97" s="12">
        <f t="shared" si="29"/>
        <v>43.7</v>
      </c>
      <c r="AT97" s="12">
        <f t="shared" si="29"/>
        <v>46.400000000000006</v>
      </c>
      <c r="AU97" s="12">
        <f t="shared" si="27"/>
        <v>68.400000000000006</v>
      </c>
      <c r="AV97" s="12">
        <f t="shared" si="30"/>
        <v>19.100000000000001</v>
      </c>
      <c r="AW97" s="12">
        <f t="shared" si="30"/>
        <v>87.4</v>
      </c>
      <c r="AX97" s="12">
        <f t="shared" si="28"/>
        <v>56.3</v>
      </c>
      <c r="AY97" s="9"/>
      <c r="AZ97" s="12">
        <f t="shared" si="31"/>
        <v>75.900000000000006</v>
      </c>
      <c r="BA97" s="12">
        <f t="shared" si="31"/>
        <v>53.5</v>
      </c>
      <c r="BB97" s="12">
        <f t="shared" si="31"/>
        <v>71</v>
      </c>
      <c r="BC97" s="12">
        <f t="shared" si="31"/>
        <v>75.900000000000006</v>
      </c>
      <c r="BD97" s="12">
        <f t="shared" si="32"/>
        <v>71.5</v>
      </c>
      <c r="BE97" s="12">
        <f t="shared" si="19"/>
        <v>87.4</v>
      </c>
      <c r="BF97" s="12">
        <f t="shared" si="19"/>
        <v>81.399999999999991</v>
      </c>
      <c r="BG97" s="12">
        <f t="shared" si="19"/>
        <v>71.5</v>
      </c>
      <c r="BH97" s="12">
        <f t="shared" si="19"/>
        <v>63.3</v>
      </c>
      <c r="BI97" s="12">
        <f t="shared" si="20"/>
        <v>49.1</v>
      </c>
    </row>
    <row r="98" spans="1:61" ht="15.75" customHeight="1" x14ac:dyDescent="0.25">
      <c r="A98" s="1" t="s">
        <v>123</v>
      </c>
      <c r="B98" s="3" t="s">
        <v>240</v>
      </c>
      <c r="C98" s="4" t="s">
        <v>85</v>
      </c>
      <c r="D98" s="4">
        <v>27</v>
      </c>
      <c r="E98" s="4">
        <v>599</v>
      </c>
      <c r="F98" s="4">
        <v>27</v>
      </c>
      <c r="G98" s="4">
        <v>599</v>
      </c>
      <c r="H98" s="4">
        <v>17.600000000000001</v>
      </c>
      <c r="I98" s="4">
        <v>0.49199999999999999</v>
      </c>
      <c r="J98" s="4">
        <v>0.46500000000000002</v>
      </c>
      <c r="K98" s="4">
        <v>0.311</v>
      </c>
      <c r="L98" s="4">
        <v>0.25900000000000001</v>
      </c>
      <c r="M98" s="4">
        <v>13.4</v>
      </c>
      <c r="N98" s="4">
        <v>22.7</v>
      </c>
      <c r="O98" s="4">
        <v>12.2</v>
      </c>
      <c r="P98" s="4">
        <v>2</v>
      </c>
      <c r="Q98" s="4">
        <v>2.1</v>
      </c>
      <c r="R98" s="4">
        <v>12.3</v>
      </c>
      <c r="S98" s="4">
        <v>25.2</v>
      </c>
      <c r="T98" s="4">
        <v>100</v>
      </c>
      <c r="U98" s="4">
        <v>109</v>
      </c>
      <c r="V98" s="4"/>
      <c r="W98" s="4">
        <v>-0.1</v>
      </c>
      <c r="X98" s="4">
        <v>0.8</v>
      </c>
      <c r="Y98" s="4">
        <v>0.7</v>
      </c>
      <c r="Z98" s="4">
        <v>4.7E-2</v>
      </c>
      <c r="AA98" s="13">
        <f>(I98/TOTAL_BASIC!$D$301)*100</f>
        <v>87.634083270913649</v>
      </c>
      <c r="AB98" s="5">
        <f t="shared" si="21"/>
        <v>1</v>
      </c>
      <c r="AC98" s="3">
        <f t="shared" si="1"/>
        <v>-9</v>
      </c>
      <c r="AD98" s="9">
        <f t="shared" si="22"/>
        <v>0.98399999999999999</v>
      </c>
      <c r="AE98" s="16">
        <f t="shared" si="23"/>
        <v>0.48412698412698413</v>
      </c>
      <c r="AF98" s="16">
        <f t="shared" si="24"/>
        <v>0.99186991869918684</v>
      </c>
      <c r="AG98" s="9"/>
      <c r="AH98" s="9"/>
      <c r="AI98" s="12">
        <f t="shared" si="25"/>
        <v>24.5</v>
      </c>
      <c r="AJ98" s="12">
        <f t="shared" si="26"/>
        <v>48</v>
      </c>
      <c r="AK98" s="12">
        <f t="shared" si="26"/>
        <v>76.5</v>
      </c>
      <c r="AL98" s="12">
        <f t="shared" si="26"/>
        <v>16.900000000000002</v>
      </c>
      <c r="AM98" s="12">
        <f t="shared" si="26"/>
        <v>26.200000000000003</v>
      </c>
      <c r="AN98" s="12">
        <f t="shared" si="18"/>
        <v>31.6</v>
      </c>
      <c r="AO98" s="12">
        <f t="shared" si="18"/>
        <v>42.6</v>
      </c>
      <c r="AP98" s="12">
        <f t="shared" si="18"/>
        <v>96.7</v>
      </c>
      <c r="AQ98" s="12">
        <f t="shared" si="18"/>
        <v>99.4</v>
      </c>
      <c r="AR98" s="12">
        <f t="shared" si="29"/>
        <v>43.7</v>
      </c>
      <c r="AS98" s="12">
        <f t="shared" si="29"/>
        <v>64.400000000000006</v>
      </c>
      <c r="AT98" s="12">
        <f t="shared" si="29"/>
        <v>67.2</v>
      </c>
      <c r="AU98" s="12">
        <f t="shared" si="27"/>
        <v>72.199999999999989</v>
      </c>
      <c r="AV98" s="12">
        <f t="shared" si="30"/>
        <v>84.6</v>
      </c>
      <c r="AW98" s="12">
        <f t="shared" si="30"/>
        <v>23.400000000000002</v>
      </c>
      <c r="AX98" s="12">
        <f t="shared" si="28"/>
        <v>66.199999999999989</v>
      </c>
      <c r="AY98" s="9"/>
      <c r="AZ98" s="12">
        <f t="shared" si="31"/>
        <v>20.7</v>
      </c>
      <c r="BA98" s="12">
        <f t="shared" si="31"/>
        <v>59</v>
      </c>
      <c r="BB98" s="12">
        <f t="shared" si="31"/>
        <v>37.1</v>
      </c>
      <c r="BC98" s="12">
        <f t="shared" si="31"/>
        <v>34.9</v>
      </c>
      <c r="BD98" s="12">
        <f t="shared" si="32"/>
        <v>16.900000000000002</v>
      </c>
      <c r="BE98" s="12">
        <f t="shared" si="19"/>
        <v>23.400000000000002</v>
      </c>
      <c r="BF98" s="12">
        <f t="shared" si="19"/>
        <v>33.800000000000004</v>
      </c>
      <c r="BG98" s="12">
        <f t="shared" si="19"/>
        <v>16.900000000000002</v>
      </c>
      <c r="BH98" s="12">
        <f t="shared" si="19"/>
        <v>17.399999999999999</v>
      </c>
      <c r="BI98" s="12">
        <f t="shared" si="20"/>
        <v>48.6</v>
      </c>
    </row>
    <row r="99" spans="1:61" ht="15.75" customHeight="1" x14ac:dyDescent="0.25">
      <c r="A99" s="1" t="s">
        <v>215</v>
      </c>
      <c r="B99" s="4" t="s">
        <v>137</v>
      </c>
      <c r="C99" s="4" t="s">
        <v>85</v>
      </c>
      <c r="D99" s="4">
        <v>31</v>
      </c>
      <c r="E99" s="4">
        <v>595</v>
      </c>
      <c r="F99" s="4">
        <v>31</v>
      </c>
      <c r="G99" s="4">
        <v>595</v>
      </c>
      <c r="H99" s="4">
        <v>15.8</v>
      </c>
      <c r="I99" s="4">
        <v>0.57699999999999996</v>
      </c>
      <c r="J99" s="4">
        <v>0.52700000000000002</v>
      </c>
      <c r="K99" s="4">
        <v>0.40500000000000003</v>
      </c>
      <c r="L99" s="4">
        <v>0.377</v>
      </c>
      <c r="M99" s="4">
        <v>9.1</v>
      </c>
      <c r="N99" s="4">
        <v>15.7</v>
      </c>
      <c r="O99" s="4">
        <v>12.5</v>
      </c>
      <c r="P99" s="4">
        <v>1.6</v>
      </c>
      <c r="Q99" s="4">
        <v>8.4</v>
      </c>
      <c r="R99" s="4">
        <v>22.6</v>
      </c>
      <c r="S99" s="4">
        <v>24.4</v>
      </c>
      <c r="T99" s="4">
        <v>98</v>
      </c>
      <c r="U99" s="4">
        <v>107</v>
      </c>
      <c r="V99" s="4"/>
      <c r="W99" s="4">
        <v>-0.3</v>
      </c>
      <c r="X99" s="4">
        <v>0.9</v>
      </c>
      <c r="Y99" s="4">
        <v>0.7</v>
      </c>
      <c r="Z99" s="4">
        <v>4.4999999999999998E-2</v>
      </c>
      <c r="AA99" s="13">
        <f>(I99/TOTAL_BASIC!$D$301)*100</f>
        <v>102.77411798235197</v>
      </c>
      <c r="AB99" s="5">
        <f t="shared" si="21"/>
        <v>0.98</v>
      </c>
      <c r="AC99" s="3">
        <f t="shared" si="1"/>
        <v>-9</v>
      </c>
      <c r="AD99" s="9">
        <f t="shared" si="22"/>
        <v>1.1539999999999999</v>
      </c>
      <c r="AE99" s="16">
        <f t="shared" si="23"/>
        <v>0.51229508196721318</v>
      </c>
      <c r="AF99" s="16">
        <f t="shared" si="24"/>
        <v>0.55309734513274333</v>
      </c>
      <c r="AG99" s="9"/>
      <c r="AH99" s="9"/>
      <c r="AI99" s="12">
        <f t="shared" si="25"/>
        <v>33.800000000000004</v>
      </c>
      <c r="AJ99" s="12">
        <f t="shared" si="26"/>
        <v>47.5</v>
      </c>
      <c r="AK99" s="12">
        <f t="shared" si="26"/>
        <v>66.100000000000009</v>
      </c>
      <c r="AL99" s="12">
        <f t="shared" si="26"/>
        <v>65</v>
      </c>
      <c r="AM99" s="12">
        <f t="shared" si="26"/>
        <v>61.199999999999996</v>
      </c>
      <c r="AN99" s="12">
        <f t="shared" si="18"/>
        <v>49.7</v>
      </c>
      <c r="AO99" s="12">
        <f t="shared" si="18"/>
        <v>72.599999999999994</v>
      </c>
      <c r="AP99" s="12">
        <f t="shared" si="18"/>
        <v>86.8</v>
      </c>
      <c r="AQ99" s="12">
        <f t="shared" si="18"/>
        <v>86.8</v>
      </c>
      <c r="AR99" s="12">
        <f t="shared" si="29"/>
        <v>45.9</v>
      </c>
      <c r="AS99" s="12">
        <f t="shared" si="29"/>
        <v>39.800000000000004</v>
      </c>
      <c r="AT99" s="12">
        <f t="shared" si="29"/>
        <v>99.4</v>
      </c>
      <c r="AU99" s="12">
        <f t="shared" si="27"/>
        <v>6.1000000000000085</v>
      </c>
      <c r="AV99" s="12">
        <f t="shared" si="30"/>
        <v>80.300000000000011</v>
      </c>
      <c r="AW99" s="12">
        <f t="shared" si="30"/>
        <v>18</v>
      </c>
      <c r="AX99" s="12">
        <f t="shared" si="28"/>
        <v>78.2</v>
      </c>
      <c r="AY99" s="9"/>
      <c r="AZ99" s="12">
        <f t="shared" si="31"/>
        <v>10.9</v>
      </c>
      <c r="BA99" s="12">
        <f t="shared" si="31"/>
        <v>62.8</v>
      </c>
      <c r="BB99" s="12">
        <f t="shared" si="31"/>
        <v>37.1</v>
      </c>
      <c r="BC99" s="12">
        <f t="shared" si="31"/>
        <v>33.800000000000004</v>
      </c>
      <c r="BD99" s="12">
        <f t="shared" si="32"/>
        <v>65</v>
      </c>
      <c r="BE99" s="12">
        <f t="shared" si="19"/>
        <v>18</v>
      </c>
      <c r="BF99" s="12">
        <f t="shared" si="19"/>
        <v>33.800000000000004</v>
      </c>
      <c r="BG99" s="12">
        <f t="shared" si="19"/>
        <v>65</v>
      </c>
      <c r="BH99" s="12">
        <f t="shared" si="19"/>
        <v>21.8</v>
      </c>
      <c r="BI99" s="12">
        <f t="shared" si="20"/>
        <v>15.299999999999999</v>
      </c>
    </row>
    <row r="100" spans="1:61" ht="15.75" customHeight="1" x14ac:dyDescent="0.25">
      <c r="A100" s="1" t="s">
        <v>248</v>
      </c>
      <c r="B100" s="3" t="s">
        <v>84</v>
      </c>
      <c r="C100" s="4" t="s">
        <v>85</v>
      </c>
      <c r="D100" s="4">
        <v>20</v>
      </c>
      <c r="E100" s="4">
        <v>587</v>
      </c>
      <c r="F100" s="4">
        <v>20</v>
      </c>
      <c r="G100" s="4">
        <v>587</v>
      </c>
      <c r="H100" s="4">
        <v>10.9</v>
      </c>
      <c r="I100" s="4">
        <v>0.60099999999999998</v>
      </c>
      <c r="J100" s="4">
        <v>0.56200000000000006</v>
      </c>
      <c r="K100" s="4">
        <v>0.60899999999999999</v>
      </c>
      <c r="L100" s="4">
        <v>0.246</v>
      </c>
      <c r="M100" s="4">
        <v>5.2</v>
      </c>
      <c r="N100" s="4">
        <v>6.4</v>
      </c>
      <c r="O100" s="4">
        <v>11.1</v>
      </c>
      <c r="P100" s="4">
        <v>2</v>
      </c>
      <c r="Q100" s="4">
        <v>0.3</v>
      </c>
      <c r="R100" s="4">
        <v>18.2</v>
      </c>
      <c r="S100" s="4">
        <v>14.2</v>
      </c>
      <c r="T100" s="4">
        <v>112</v>
      </c>
      <c r="U100" s="4">
        <v>111</v>
      </c>
      <c r="V100" s="4"/>
      <c r="W100" s="4">
        <v>0.7</v>
      </c>
      <c r="X100" s="4">
        <v>0.6</v>
      </c>
      <c r="Y100" s="4">
        <v>1.3</v>
      </c>
      <c r="Z100" s="4">
        <v>8.5999999999999993E-2</v>
      </c>
      <c r="AA100" s="13">
        <f>(I100/TOTAL_BASIC!$D$301)*100</f>
        <v>107.04895131264045</v>
      </c>
      <c r="AB100" s="5">
        <f t="shared" si="21"/>
        <v>1.1200000000000001</v>
      </c>
      <c r="AC100" s="3">
        <f t="shared" si="1"/>
        <v>1</v>
      </c>
      <c r="AD100" s="9">
        <f t="shared" si="22"/>
        <v>1.202</v>
      </c>
      <c r="AE100" s="16">
        <f t="shared" si="23"/>
        <v>0.78169014084507049</v>
      </c>
      <c r="AF100" s="16">
        <f t="shared" si="24"/>
        <v>0.60989010989010994</v>
      </c>
      <c r="AG100" s="9"/>
      <c r="AH100" s="9"/>
      <c r="AI100" s="12">
        <f t="shared" si="25"/>
        <v>16.3</v>
      </c>
      <c r="AJ100" s="12">
        <f t="shared" si="26"/>
        <v>46.9</v>
      </c>
      <c r="AK100" s="12">
        <f t="shared" si="26"/>
        <v>37.1</v>
      </c>
      <c r="AL100" s="12">
        <f t="shared" si="26"/>
        <v>75.900000000000006</v>
      </c>
      <c r="AM100" s="12">
        <f t="shared" si="26"/>
        <v>79.7</v>
      </c>
      <c r="AN100" s="12">
        <f t="shared" si="18"/>
        <v>85.2</v>
      </c>
      <c r="AO100" s="12">
        <f t="shared" si="18"/>
        <v>38.700000000000003</v>
      </c>
      <c r="AP100" s="12">
        <f t="shared" si="18"/>
        <v>60.099999999999994</v>
      </c>
      <c r="AQ100" s="12">
        <f t="shared" si="18"/>
        <v>26.200000000000003</v>
      </c>
      <c r="AR100" s="12">
        <f t="shared" si="29"/>
        <v>32.700000000000003</v>
      </c>
      <c r="AS100" s="12">
        <f t="shared" si="29"/>
        <v>64.400000000000006</v>
      </c>
      <c r="AT100" s="12">
        <f t="shared" si="29"/>
        <v>9.1999999999999993</v>
      </c>
      <c r="AU100" s="12">
        <f t="shared" si="27"/>
        <v>23</v>
      </c>
      <c r="AV100" s="12">
        <f t="shared" si="30"/>
        <v>15.299999999999999</v>
      </c>
      <c r="AW100" s="12">
        <f t="shared" si="30"/>
        <v>67.2</v>
      </c>
      <c r="AX100" s="12">
        <f t="shared" si="28"/>
        <v>47</v>
      </c>
      <c r="AY100" s="9"/>
      <c r="AZ100" s="12">
        <f t="shared" si="31"/>
        <v>60.6</v>
      </c>
      <c r="BA100" s="12">
        <f t="shared" si="31"/>
        <v>47.5</v>
      </c>
      <c r="BB100" s="12">
        <f t="shared" si="31"/>
        <v>59.5</v>
      </c>
      <c r="BC100" s="12">
        <f t="shared" si="31"/>
        <v>56.2</v>
      </c>
      <c r="BD100" s="12">
        <f t="shared" si="32"/>
        <v>75.900000000000006</v>
      </c>
      <c r="BE100" s="12">
        <f t="shared" si="19"/>
        <v>67.2</v>
      </c>
      <c r="BF100" s="12">
        <f t="shared" si="19"/>
        <v>63.3</v>
      </c>
      <c r="BG100" s="12">
        <f t="shared" si="19"/>
        <v>75.900000000000006</v>
      </c>
      <c r="BH100" s="12">
        <f t="shared" si="19"/>
        <v>56.8</v>
      </c>
      <c r="BI100" s="12">
        <f t="shared" si="20"/>
        <v>20.200000000000003</v>
      </c>
    </row>
    <row r="101" spans="1:61" ht="15.75" customHeight="1" x14ac:dyDescent="0.25">
      <c r="A101" s="1" t="s">
        <v>203</v>
      </c>
      <c r="B101" s="3" t="s">
        <v>232</v>
      </c>
      <c r="C101" s="4" t="s">
        <v>119</v>
      </c>
      <c r="D101" s="4">
        <v>38</v>
      </c>
      <c r="E101" s="4">
        <v>586</v>
      </c>
      <c r="F101" s="4">
        <v>38</v>
      </c>
      <c r="G101" s="4">
        <v>586</v>
      </c>
      <c r="H101" s="4">
        <v>11.3</v>
      </c>
      <c r="I101" s="4">
        <v>0.57099999999999995</v>
      </c>
      <c r="J101" s="4">
        <v>0.52400000000000002</v>
      </c>
      <c r="K101" s="4">
        <v>0.503</v>
      </c>
      <c r="L101" s="4">
        <v>0.254</v>
      </c>
      <c r="M101" s="4">
        <v>5.8</v>
      </c>
      <c r="N101" s="4">
        <v>8.6</v>
      </c>
      <c r="O101" s="4">
        <v>8.1</v>
      </c>
      <c r="P101" s="4">
        <v>1.1000000000000001</v>
      </c>
      <c r="Q101" s="4">
        <v>0.3</v>
      </c>
      <c r="R101" s="4">
        <v>13.9</v>
      </c>
      <c r="S101" s="4">
        <v>18.7</v>
      </c>
      <c r="T101" s="4">
        <v>108</v>
      </c>
      <c r="U101" s="4">
        <v>119</v>
      </c>
      <c r="V101" s="4"/>
      <c r="W101" s="4">
        <v>0.5</v>
      </c>
      <c r="X101" s="4">
        <v>-0.1</v>
      </c>
      <c r="Y101" s="4">
        <v>0.5</v>
      </c>
      <c r="Z101" s="4">
        <v>3.3000000000000002E-2</v>
      </c>
      <c r="AA101" s="13">
        <f>(I101/TOTAL_BASIC!$D$301)*100</f>
        <v>101.70540964977985</v>
      </c>
      <c r="AB101" s="5">
        <f t="shared" si="21"/>
        <v>1.08</v>
      </c>
      <c r="AC101" s="3">
        <f t="shared" ref="AC101:AC164" si="33">T101-U101</f>
        <v>-11</v>
      </c>
      <c r="AD101" s="9">
        <f t="shared" si="22"/>
        <v>1.1419999999999999</v>
      </c>
      <c r="AE101" s="16">
        <f t="shared" si="23"/>
        <v>0.43315508021390375</v>
      </c>
      <c r="AF101" s="16">
        <f t="shared" si="24"/>
        <v>0.58273381294964022</v>
      </c>
      <c r="AG101" s="9"/>
      <c r="AH101" s="9"/>
      <c r="AI101" s="12">
        <f t="shared" si="25"/>
        <v>53</v>
      </c>
      <c r="AJ101" s="12">
        <f t="shared" si="26"/>
        <v>46.400000000000006</v>
      </c>
      <c r="AK101" s="12">
        <f t="shared" si="26"/>
        <v>39.300000000000004</v>
      </c>
      <c r="AL101" s="12">
        <f t="shared" si="26"/>
        <v>62.2</v>
      </c>
      <c r="AM101" s="12">
        <f t="shared" si="26"/>
        <v>59</v>
      </c>
      <c r="AN101" s="12">
        <f t="shared" si="18"/>
        <v>72.099999999999994</v>
      </c>
      <c r="AO101" s="12">
        <f t="shared" si="18"/>
        <v>42</v>
      </c>
      <c r="AP101" s="12">
        <f t="shared" si="18"/>
        <v>62.8</v>
      </c>
      <c r="AQ101" s="12">
        <f t="shared" si="18"/>
        <v>47.5</v>
      </c>
      <c r="AR101" s="12">
        <f t="shared" si="29"/>
        <v>16.3</v>
      </c>
      <c r="AS101" s="12">
        <f t="shared" si="29"/>
        <v>14.7</v>
      </c>
      <c r="AT101" s="12">
        <f t="shared" si="29"/>
        <v>9.1999999999999993</v>
      </c>
      <c r="AU101" s="12">
        <f t="shared" si="27"/>
        <v>58</v>
      </c>
      <c r="AV101" s="12">
        <f t="shared" si="30"/>
        <v>53.5</v>
      </c>
      <c r="AW101" s="12">
        <f t="shared" si="30"/>
        <v>54.6</v>
      </c>
      <c r="AX101" s="12">
        <f t="shared" si="28"/>
        <v>5</v>
      </c>
      <c r="AY101" s="9"/>
      <c r="AZ101" s="12">
        <f t="shared" si="31"/>
        <v>51.9</v>
      </c>
      <c r="BA101" s="12">
        <f t="shared" si="31"/>
        <v>2.7</v>
      </c>
      <c r="BB101" s="12">
        <f t="shared" si="31"/>
        <v>30.599999999999998</v>
      </c>
      <c r="BC101" s="12">
        <f t="shared" si="31"/>
        <v>25.6</v>
      </c>
      <c r="BD101" s="12">
        <f t="shared" si="32"/>
        <v>62.2</v>
      </c>
      <c r="BE101" s="12">
        <f t="shared" si="19"/>
        <v>54.6</v>
      </c>
      <c r="BF101" s="12">
        <f t="shared" si="19"/>
        <v>26.700000000000003</v>
      </c>
      <c r="BG101" s="12">
        <f t="shared" si="19"/>
        <v>62.2</v>
      </c>
      <c r="BH101" s="12">
        <f t="shared" si="19"/>
        <v>12</v>
      </c>
      <c r="BI101" s="12">
        <f t="shared" si="20"/>
        <v>17.399999999999999</v>
      </c>
    </row>
    <row r="102" spans="1:61" ht="15.75" customHeight="1" x14ac:dyDescent="0.25">
      <c r="A102" s="1" t="s">
        <v>210</v>
      </c>
      <c r="B102" s="3" t="s">
        <v>96</v>
      </c>
      <c r="C102" s="4" t="s">
        <v>8</v>
      </c>
      <c r="D102" s="4">
        <v>42</v>
      </c>
      <c r="E102" s="4">
        <v>584</v>
      </c>
      <c r="F102" s="4">
        <v>42</v>
      </c>
      <c r="G102" s="4">
        <v>584</v>
      </c>
      <c r="H102" s="4">
        <v>10.5</v>
      </c>
      <c r="I102" s="4">
        <v>0.497</v>
      </c>
      <c r="J102" s="4">
        <v>0.46500000000000002</v>
      </c>
      <c r="K102" s="4">
        <v>0.5</v>
      </c>
      <c r="L102" s="4">
        <v>0.17299999999999999</v>
      </c>
      <c r="M102" s="4">
        <v>7.5</v>
      </c>
      <c r="N102" s="4">
        <v>9.6999999999999993</v>
      </c>
      <c r="O102" s="4">
        <v>10.1</v>
      </c>
      <c r="P102" s="4">
        <v>2.4</v>
      </c>
      <c r="Q102" s="4">
        <v>1.2</v>
      </c>
      <c r="R102" s="4">
        <v>15.2</v>
      </c>
      <c r="S102" s="4">
        <v>14.9</v>
      </c>
      <c r="T102" s="4">
        <v>105</v>
      </c>
      <c r="U102" s="4">
        <v>107</v>
      </c>
      <c r="V102" s="4"/>
      <c r="W102" s="4">
        <v>0.3</v>
      </c>
      <c r="X102" s="4">
        <v>0.9</v>
      </c>
      <c r="Y102" s="4">
        <v>1.2</v>
      </c>
      <c r="Z102" s="4">
        <v>8.1000000000000003E-2</v>
      </c>
      <c r="AA102" s="13">
        <f>(I102/TOTAL_BASIC!$D$301)*100</f>
        <v>88.524673548057081</v>
      </c>
      <c r="AB102" s="5">
        <f t="shared" si="21"/>
        <v>1.05</v>
      </c>
      <c r="AC102" s="3">
        <f t="shared" si="33"/>
        <v>-2</v>
      </c>
      <c r="AD102" s="9">
        <f t="shared" si="22"/>
        <v>0.99399999999999999</v>
      </c>
      <c r="AE102" s="16">
        <f t="shared" si="23"/>
        <v>0.6778523489932885</v>
      </c>
      <c r="AF102" s="16">
        <f t="shared" si="24"/>
        <v>0.66447368421052633</v>
      </c>
      <c r="AG102" s="9"/>
      <c r="AH102" s="9"/>
      <c r="AI102" s="12">
        <f t="shared" si="25"/>
        <v>83</v>
      </c>
      <c r="AJ102" s="12">
        <f t="shared" si="26"/>
        <v>45.9</v>
      </c>
      <c r="AK102" s="12">
        <f t="shared" si="26"/>
        <v>31.6</v>
      </c>
      <c r="AL102" s="12">
        <f t="shared" si="26"/>
        <v>19.600000000000001</v>
      </c>
      <c r="AM102" s="12">
        <f t="shared" si="26"/>
        <v>26.200000000000003</v>
      </c>
      <c r="AN102" s="12">
        <f t="shared" si="18"/>
        <v>69.3</v>
      </c>
      <c r="AO102" s="12">
        <f t="shared" si="18"/>
        <v>19.600000000000001</v>
      </c>
      <c r="AP102" s="12">
        <f t="shared" si="18"/>
        <v>74.3</v>
      </c>
      <c r="AQ102" s="12">
        <f t="shared" si="18"/>
        <v>56.8</v>
      </c>
      <c r="AR102" s="12">
        <f t="shared" si="29"/>
        <v>27.3</v>
      </c>
      <c r="AS102" s="12">
        <f t="shared" si="29"/>
        <v>79.7</v>
      </c>
      <c r="AT102" s="12">
        <f t="shared" si="29"/>
        <v>46.400000000000006</v>
      </c>
      <c r="AU102" s="12">
        <f t="shared" si="27"/>
        <v>44.3</v>
      </c>
      <c r="AV102" s="12">
        <f t="shared" si="30"/>
        <v>19.100000000000001</v>
      </c>
      <c r="AW102" s="12">
        <f t="shared" si="30"/>
        <v>39.800000000000004</v>
      </c>
      <c r="AX102" s="12">
        <f t="shared" si="28"/>
        <v>78.2</v>
      </c>
      <c r="AY102" s="9"/>
      <c r="AZ102" s="12">
        <f t="shared" si="31"/>
        <v>42</v>
      </c>
      <c r="BA102" s="12">
        <f t="shared" si="31"/>
        <v>62.8</v>
      </c>
      <c r="BB102" s="12">
        <f t="shared" si="31"/>
        <v>56.8</v>
      </c>
      <c r="BC102" s="12">
        <f t="shared" si="31"/>
        <v>55.1</v>
      </c>
      <c r="BD102" s="12">
        <f t="shared" si="32"/>
        <v>19.600000000000001</v>
      </c>
      <c r="BE102" s="12">
        <f t="shared" si="19"/>
        <v>39.800000000000004</v>
      </c>
      <c r="BF102" s="12">
        <f t="shared" si="19"/>
        <v>54</v>
      </c>
      <c r="BG102" s="12">
        <f t="shared" si="19"/>
        <v>19.600000000000001</v>
      </c>
      <c r="BH102" s="12">
        <f t="shared" si="19"/>
        <v>44.800000000000004</v>
      </c>
      <c r="BI102" s="12">
        <f t="shared" si="20"/>
        <v>23.400000000000002</v>
      </c>
    </row>
    <row r="103" spans="1:61" ht="15.75" customHeight="1" x14ac:dyDescent="0.25">
      <c r="A103" s="1" t="s">
        <v>162</v>
      </c>
      <c r="B103" s="3" t="s">
        <v>84</v>
      </c>
      <c r="C103" s="4" t="s">
        <v>88</v>
      </c>
      <c r="D103" s="4">
        <v>43</v>
      </c>
      <c r="E103" s="4">
        <v>583</v>
      </c>
      <c r="F103" s="4">
        <v>43</v>
      </c>
      <c r="G103" s="4">
        <v>583</v>
      </c>
      <c r="H103" s="4">
        <v>18.600000000000001</v>
      </c>
      <c r="I103" s="4">
        <v>0.623</v>
      </c>
      <c r="J103" s="4">
        <v>0.59799999999999998</v>
      </c>
      <c r="K103" s="4">
        <v>0.442</v>
      </c>
      <c r="L103" s="4">
        <v>0.16600000000000001</v>
      </c>
      <c r="M103" s="4">
        <v>7.4</v>
      </c>
      <c r="N103" s="4">
        <v>11</v>
      </c>
      <c r="O103" s="4">
        <v>8.8000000000000007</v>
      </c>
      <c r="P103" s="4">
        <v>1.1000000000000001</v>
      </c>
      <c r="Q103" s="4">
        <v>4.2</v>
      </c>
      <c r="R103" s="4">
        <v>8.1999999999999993</v>
      </c>
      <c r="S103" s="4">
        <v>17.8</v>
      </c>
      <c r="T103" s="4">
        <v>124</v>
      </c>
      <c r="U103" s="4">
        <v>109</v>
      </c>
      <c r="V103" s="4"/>
      <c r="W103" s="4">
        <v>1.6</v>
      </c>
      <c r="X103" s="4">
        <v>0.8</v>
      </c>
      <c r="Y103" s="4">
        <v>2.4</v>
      </c>
      <c r="Z103" s="4">
        <v>0.16600000000000001</v>
      </c>
      <c r="AA103" s="13">
        <f>(I103/TOTAL_BASIC!$D$301)*100</f>
        <v>110.96754853207153</v>
      </c>
      <c r="AB103" s="5">
        <f t="shared" si="21"/>
        <v>1.24</v>
      </c>
      <c r="AC103" s="3">
        <f t="shared" si="33"/>
        <v>15</v>
      </c>
      <c r="AD103" s="9">
        <f t="shared" si="22"/>
        <v>1.246</v>
      </c>
      <c r="AE103" s="16">
        <f t="shared" si="23"/>
        <v>0.49438202247191015</v>
      </c>
      <c r="AF103" s="16">
        <f t="shared" si="24"/>
        <v>1.0731707317073174</v>
      </c>
      <c r="AG103" s="9"/>
      <c r="AH103" s="9"/>
      <c r="AI103" s="12">
        <f t="shared" si="25"/>
        <v>96.7</v>
      </c>
      <c r="AJ103" s="12">
        <f t="shared" si="26"/>
        <v>45.300000000000004</v>
      </c>
      <c r="AK103" s="12">
        <f t="shared" si="26"/>
        <v>78.100000000000009</v>
      </c>
      <c r="AL103" s="12">
        <f t="shared" si="26"/>
        <v>89</v>
      </c>
      <c r="AM103" s="12">
        <f t="shared" si="26"/>
        <v>92.300000000000011</v>
      </c>
      <c r="AN103" s="12">
        <f t="shared" si="18"/>
        <v>59</v>
      </c>
      <c r="AO103" s="12">
        <f t="shared" si="18"/>
        <v>17.399999999999999</v>
      </c>
      <c r="AP103" s="12">
        <f t="shared" si="18"/>
        <v>73.2</v>
      </c>
      <c r="AQ103" s="12">
        <f t="shared" si="18"/>
        <v>65</v>
      </c>
      <c r="AR103" s="12">
        <f t="shared" si="29"/>
        <v>21.3</v>
      </c>
      <c r="AS103" s="12">
        <f t="shared" si="29"/>
        <v>14.7</v>
      </c>
      <c r="AT103" s="12">
        <f t="shared" si="29"/>
        <v>89.600000000000009</v>
      </c>
      <c r="AU103" s="12">
        <f t="shared" si="27"/>
        <v>94</v>
      </c>
      <c r="AV103" s="12">
        <f t="shared" si="30"/>
        <v>44.800000000000004</v>
      </c>
      <c r="AW103" s="12">
        <f t="shared" si="30"/>
        <v>92.800000000000011</v>
      </c>
      <c r="AX103" s="12">
        <f t="shared" si="28"/>
        <v>66.199999999999989</v>
      </c>
      <c r="AY103" s="9"/>
      <c r="AZ103" s="12">
        <f t="shared" si="31"/>
        <v>78.100000000000009</v>
      </c>
      <c r="BA103" s="12">
        <f t="shared" si="31"/>
        <v>59</v>
      </c>
      <c r="BB103" s="12">
        <f t="shared" si="31"/>
        <v>74.3</v>
      </c>
      <c r="BC103" s="12">
        <f t="shared" si="31"/>
        <v>85.7</v>
      </c>
      <c r="BD103" s="12">
        <f t="shared" si="32"/>
        <v>89</v>
      </c>
      <c r="BE103" s="12">
        <f t="shared" si="19"/>
        <v>92.800000000000011</v>
      </c>
      <c r="BF103" s="12">
        <f t="shared" si="19"/>
        <v>91.2</v>
      </c>
      <c r="BG103" s="12">
        <f t="shared" si="19"/>
        <v>89</v>
      </c>
      <c r="BH103" s="12">
        <f t="shared" si="19"/>
        <v>20.200000000000003</v>
      </c>
      <c r="BI103" s="12">
        <f t="shared" si="20"/>
        <v>60.6</v>
      </c>
    </row>
    <row r="104" spans="1:61" ht="15.75" customHeight="1" x14ac:dyDescent="0.25">
      <c r="A104" s="1" t="s">
        <v>196</v>
      </c>
      <c r="B104" s="3" t="s">
        <v>99</v>
      </c>
      <c r="C104" s="4" t="s">
        <v>85</v>
      </c>
      <c r="D104" s="4">
        <v>40</v>
      </c>
      <c r="E104" s="4">
        <v>581</v>
      </c>
      <c r="F104" s="4">
        <v>40</v>
      </c>
      <c r="G104" s="4">
        <v>581</v>
      </c>
      <c r="H104" s="4">
        <v>16.8</v>
      </c>
      <c r="I104" s="4">
        <v>0.57699999999999996</v>
      </c>
      <c r="J104" s="4">
        <v>0.55500000000000005</v>
      </c>
      <c r="K104" s="4">
        <v>0.38600000000000001</v>
      </c>
      <c r="L104" s="4">
        <v>0.13800000000000001</v>
      </c>
      <c r="M104" s="4">
        <v>7.4</v>
      </c>
      <c r="N104" s="4">
        <v>10.8</v>
      </c>
      <c r="O104" s="4">
        <v>9.3000000000000007</v>
      </c>
      <c r="P104" s="4">
        <v>1.4</v>
      </c>
      <c r="Q104" s="4">
        <v>2.2999999999999998</v>
      </c>
      <c r="R104" s="4">
        <v>5.0999999999999996</v>
      </c>
      <c r="S104" s="4">
        <v>18</v>
      </c>
      <c r="T104" s="4">
        <v>122</v>
      </c>
      <c r="U104" s="4">
        <v>109</v>
      </c>
      <c r="V104" s="4"/>
      <c r="W104" s="4">
        <v>1.5</v>
      </c>
      <c r="X104" s="4">
        <v>0.8</v>
      </c>
      <c r="Y104" s="4">
        <v>2.2999999999999998</v>
      </c>
      <c r="Z104" s="4">
        <v>0.156</v>
      </c>
      <c r="AA104" s="13">
        <f>(I104/TOTAL_BASIC!$D$301)*100</f>
        <v>102.77411798235197</v>
      </c>
      <c r="AB104" s="5">
        <f t="shared" si="21"/>
        <v>1.22</v>
      </c>
      <c r="AC104" s="3">
        <f t="shared" si="33"/>
        <v>13</v>
      </c>
      <c r="AD104" s="9">
        <f t="shared" si="22"/>
        <v>1.1539999999999999</v>
      </c>
      <c r="AE104" s="16">
        <f t="shared" si="23"/>
        <v>0.51666666666666672</v>
      </c>
      <c r="AF104" s="16">
        <f t="shared" si="24"/>
        <v>1.8235294117647061</v>
      </c>
      <c r="AG104" s="9"/>
      <c r="AH104" s="9"/>
      <c r="AI104" s="12">
        <f t="shared" si="25"/>
        <v>63.9</v>
      </c>
      <c r="AJ104" s="12">
        <f t="shared" si="26"/>
        <v>44.800000000000004</v>
      </c>
      <c r="AK104" s="12">
        <f t="shared" si="26"/>
        <v>73.2</v>
      </c>
      <c r="AL104" s="12">
        <f t="shared" si="26"/>
        <v>65</v>
      </c>
      <c r="AM104" s="12">
        <f t="shared" si="26"/>
        <v>76.5</v>
      </c>
      <c r="AN104" s="12">
        <f t="shared" si="18"/>
        <v>44.2</v>
      </c>
      <c r="AO104" s="12">
        <f t="shared" si="18"/>
        <v>12.5</v>
      </c>
      <c r="AP104" s="12">
        <f t="shared" si="18"/>
        <v>73.2</v>
      </c>
      <c r="AQ104" s="12">
        <f t="shared" si="18"/>
        <v>64.400000000000006</v>
      </c>
      <c r="AR104" s="12">
        <f t="shared" si="29"/>
        <v>25.6</v>
      </c>
      <c r="AS104" s="12">
        <f t="shared" si="29"/>
        <v>27.800000000000004</v>
      </c>
      <c r="AT104" s="12">
        <f t="shared" si="29"/>
        <v>69.899999999999991</v>
      </c>
      <c r="AU104" s="12">
        <f t="shared" si="27"/>
        <v>100</v>
      </c>
      <c r="AV104" s="12">
        <f t="shared" si="30"/>
        <v>46.9</v>
      </c>
      <c r="AW104" s="12">
        <f t="shared" si="30"/>
        <v>89</v>
      </c>
      <c r="AX104" s="12">
        <f t="shared" si="28"/>
        <v>66.199999999999989</v>
      </c>
      <c r="AY104" s="9"/>
      <c r="AZ104" s="12">
        <f t="shared" si="31"/>
        <v>76.5</v>
      </c>
      <c r="BA104" s="12">
        <f t="shared" si="31"/>
        <v>59</v>
      </c>
      <c r="BB104" s="12">
        <f t="shared" si="31"/>
        <v>73.2</v>
      </c>
      <c r="BC104" s="12">
        <f t="shared" si="31"/>
        <v>82.5</v>
      </c>
      <c r="BD104" s="12">
        <f t="shared" si="32"/>
        <v>65</v>
      </c>
      <c r="BE104" s="12">
        <f t="shared" si="19"/>
        <v>89</v>
      </c>
      <c r="BF104" s="12">
        <f t="shared" si="19"/>
        <v>87.9</v>
      </c>
      <c r="BG104" s="12">
        <f t="shared" si="19"/>
        <v>65</v>
      </c>
      <c r="BH104" s="12">
        <f t="shared" si="19"/>
        <v>22.900000000000002</v>
      </c>
      <c r="BI104" s="12">
        <f t="shared" si="20"/>
        <v>90.100000000000009</v>
      </c>
    </row>
    <row r="105" spans="1:61" ht="15.75" customHeight="1" x14ac:dyDescent="0.25">
      <c r="A105" s="1" t="s">
        <v>231</v>
      </c>
      <c r="B105" s="3" t="s">
        <v>107</v>
      </c>
      <c r="C105" s="4" t="s">
        <v>85</v>
      </c>
      <c r="D105" s="4">
        <v>28</v>
      </c>
      <c r="E105" s="4">
        <v>575</v>
      </c>
      <c r="F105" s="4">
        <v>28</v>
      </c>
      <c r="G105" s="4">
        <v>575</v>
      </c>
      <c r="H105" s="4">
        <v>17</v>
      </c>
      <c r="I105" s="4">
        <v>0.58599999999999997</v>
      </c>
      <c r="J105" s="4">
        <v>0.54700000000000004</v>
      </c>
      <c r="K105" s="4">
        <v>6.7000000000000004E-2</v>
      </c>
      <c r="L105" s="4">
        <v>0.39300000000000002</v>
      </c>
      <c r="M105" s="4">
        <v>7.6</v>
      </c>
      <c r="N105" s="4">
        <v>13</v>
      </c>
      <c r="O105" s="4">
        <v>9.1</v>
      </c>
      <c r="P105" s="4">
        <v>1.9</v>
      </c>
      <c r="Q105" s="4">
        <v>1.5</v>
      </c>
      <c r="R105" s="4">
        <v>14.9</v>
      </c>
      <c r="S105" s="4">
        <v>23.6</v>
      </c>
      <c r="T105" s="4">
        <v>106</v>
      </c>
      <c r="U105" s="4">
        <v>111</v>
      </c>
      <c r="V105" s="4"/>
      <c r="W105" s="4">
        <v>0.5</v>
      </c>
      <c r="X105" s="4">
        <v>0.6</v>
      </c>
      <c r="Y105" s="4">
        <v>1</v>
      </c>
      <c r="Z105" s="4">
        <v>7.1999999999999995E-2</v>
      </c>
      <c r="AA105" s="13">
        <f>(I105/TOTAL_BASIC!$D$301)*100</f>
        <v>104.37718048121015</v>
      </c>
      <c r="AB105" s="5">
        <f t="shared" si="21"/>
        <v>1.06</v>
      </c>
      <c r="AC105" s="3">
        <f t="shared" si="33"/>
        <v>-5</v>
      </c>
      <c r="AD105" s="9">
        <f t="shared" si="22"/>
        <v>1.1719999999999999</v>
      </c>
      <c r="AE105" s="16">
        <f t="shared" si="23"/>
        <v>0.38559322033898302</v>
      </c>
      <c r="AF105" s="16">
        <f t="shared" si="24"/>
        <v>0.61073825503355705</v>
      </c>
      <c r="AG105" s="9"/>
      <c r="AH105" s="9"/>
      <c r="AI105" s="12">
        <f t="shared" si="25"/>
        <v>25.1</v>
      </c>
      <c r="AJ105" s="12">
        <f t="shared" si="26"/>
        <v>44.2</v>
      </c>
      <c r="AK105" s="12">
        <f t="shared" si="26"/>
        <v>74.3</v>
      </c>
      <c r="AL105" s="12">
        <f t="shared" si="26"/>
        <v>69.3</v>
      </c>
      <c r="AM105" s="12">
        <f t="shared" si="26"/>
        <v>69.899999999999991</v>
      </c>
      <c r="AN105" s="12">
        <f t="shared" si="18"/>
        <v>8.6999999999999993</v>
      </c>
      <c r="AO105" s="12">
        <f t="shared" si="18"/>
        <v>75.400000000000006</v>
      </c>
      <c r="AP105" s="12">
        <f t="shared" si="18"/>
        <v>75.900000000000006</v>
      </c>
      <c r="AQ105" s="12">
        <f t="shared" si="18"/>
        <v>76.5</v>
      </c>
      <c r="AR105" s="12">
        <f t="shared" si="29"/>
        <v>25.1</v>
      </c>
      <c r="AS105" s="12">
        <f t="shared" si="29"/>
        <v>57.9</v>
      </c>
      <c r="AT105" s="12">
        <f t="shared" si="29"/>
        <v>57.3</v>
      </c>
      <c r="AU105" s="12">
        <f t="shared" si="27"/>
        <v>48.699999999999996</v>
      </c>
      <c r="AV105" s="12">
        <f t="shared" si="30"/>
        <v>79.2</v>
      </c>
      <c r="AW105" s="12">
        <f t="shared" si="30"/>
        <v>45.9</v>
      </c>
      <c r="AX105" s="12">
        <f t="shared" si="28"/>
        <v>47</v>
      </c>
      <c r="AY105" s="9"/>
      <c r="AZ105" s="12">
        <f t="shared" si="31"/>
        <v>51.9</v>
      </c>
      <c r="BA105" s="12">
        <f t="shared" si="31"/>
        <v>47.5</v>
      </c>
      <c r="BB105" s="12">
        <f t="shared" si="31"/>
        <v>49.1</v>
      </c>
      <c r="BC105" s="12">
        <f t="shared" si="31"/>
        <v>50.2</v>
      </c>
      <c r="BD105" s="12">
        <f t="shared" si="32"/>
        <v>69.3</v>
      </c>
      <c r="BE105" s="12">
        <f t="shared" si="19"/>
        <v>45.9</v>
      </c>
      <c r="BF105" s="12">
        <f t="shared" si="19"/>
        <v>45.300000000000004</v>
      </c>
      <c r="BG105" s="12">
        <f t="shared" si="19"/>
        <v>69.3</v>
      </c>
      <c r="BH105" s="12">
        <f t="shared" si="19"/>
        <v>6.5</v>
      </c>
      <c r="BI105" s="12">
        <f t="shared" si="20"/>
        <v>20.7</v>
      </c>
    </row>
    <row r="106" spans="1:61" ht="15.75" customHeight="1" x14ac:dyDescent="0.25">
      <c r="A106" s="1" t="s">
        <v>180</v>
      </c>
      <c r="B106" s="3" t="s">
        <v>161</v>
      </c>
      <c r="C106" s="4" t="s">
        <v>85</v>
      </c>
      <c r="D106" s="4">
        <v>24</v>
      </c>
      <c r="E106" s="4">
        <v>573</v>
      </c>
      <c r="F106" s="4">
        <v>24</v>
      </c>
      <c r="G106" s="4">
        <v>573</v>
      </c>
      <c r="H106" s="4">
        <v>19.8</v>
      </c>
      <c r="I106" s="4">
        <v>0.61199999999999999</v>
      </c>
      <c r="J106" s="4">
        <v>0.57599999999999996</v>
      </c>
      <c r="K106" s="4">
        <v>0.249</v>
      </c>
      <c r="L106" s="4">
        <v>0.4</v>
      </c>
      <c r="M106" s="4">
        <v>9</v>
      </c>
      <c r="N106" s="4">
        <v>13.3</v>
      </c>
      <c r="O106" s="4">
        <v>12.9</v>
      </c>
      <c r="P106" s="4">
        <v>2.1</v>
      </c>
      <c r="Q106" s="4">
        <v>3.4</v>
      </c>
      <c r="R106" s="4">
        <v>13.6</v>
      </c>
      <c r="S106" s="4">
        <v>21.5</v>
      </c>
      <c r="T106" s="4">
        <v>116</v>
      </c>
      <c r="U106" s="4">
        <v>116</v>
      </c>
      <c r="V106" s="4"/>
      <c r="W106" s="4">
        <v>1.3</v>
      </c>
      <c r="X106" s="4">
        <v>0.2</v>
      </c>
      <c r="Y106" s="4">
        <v>1.5</v>
      </c>
      <c r="Z106" s="4">
        <v>0.107</v>
      </c>
      <c r="AA106" s="13">
        <f>(I106/TOTAL_BASIC!$D$301)*100</f>
        <v>109.008249922356</v>
      </c>
      <c r="AB106" s="5">
        <f t="shared" si="21"/>
        <v>1.1599999999999999</v>
      </c>
      <c r="AC106" s="3">
        <f t="shared" si="33"/>
        <v>0</v>
      </c>
      <c r="AD106" s="9">
        <f t="shared" si="22"/>
        <v>1.224</v>
      </c>
      <c r="AE106" s="16">
        <f t="shared" si="23"/>
        <v>0.6</v>
      </c>
      <c r="AF106" s="16">
        <f t="shared" si="24"/>
        <v>0.94852941176470595</v>
      </c>
      <c r="AG106" s="9"/>
      <c r="AH106" s="9"/>
      <c r="AI106" s="12">
        <f t="shared" si="25"/>
        <v>20.7</v>
      </c>
      <c r="AJ106" s="12">
        <f t="shared" si="26"/>
        <v>43.7</v>
      </c>
      <c r="AK106" s="12">
        <f t="shared" si="26"/>
        <v>84.1</v>
      </c>
      <c r="AL106" s="12">
        <f t="shared" si="26"/>
        <v>84.6</v>
      </c>
      <c r="AM106" s="12">
        <f t="shared" si="26"/>
        <v>86.3</v>
      </c>
      <c r="AN106" s="12">
        <f t="shared" si="18"/>
        <v>21.8</v>
      </c>
      <c r="AO106" s="12">
        <f t="shared" si="18"/>
        <v>75.900000000000006</v>
      </c>
      <c r="AP106" s="12">
        <f t="shared" si="18"/>
        <v>86.3</v>
      </c>
      <c r="AQ106" s="12">
        <f t="shared" si="18"/>
        <v>78.100000000000009</v>
      </c>
      <c r="AR106" s="12">
        <f t="shared" si="29"/>
        <v>48.6</v>
      </c>
      <c r="AS106" s="12">
        <f t="shared" si="29"/>
        <v>70.399999999999991</v>
      </c>
      <c r="AT106" s="12">
        <f t="shared" si="29"/>
        <v>84.1</v>
      </c>
      <c r="AU106" s="12">
        <f t="shared" si="27"/>
        <v>61.3</v>
      </c>
      <c r="AV106" s="12">
        <f t="shared" si="30"/>
        <v>69.899999999999991</v>
      </c>
      <c r="AW106" s="12">
        <f t="shared" si="30"/>
        <v>75.900000000000006</v>
      </c>
      <c r="AX106" s="12">
        <f t="shared" si="28"/>
        <v>14.299999999999997</v>
      </c>
      <c r="AY106" s="9"/>
      <c r="AZ106" s="12">
        <f t="shared" si="31"/>
        <v>73.2</v>
      </c>
      <c r="BA106" s="12">
        <f t="shared" si="31"/>
        <v>19.600000000000001</v>
      </c>
      <c r="BB106" s="12">
        <f t="shared" si="31"/>
        <v>62.8</v>
      </c>
      <c r="BC106" s="12">
        <f t="shared" si="31"/>
        <v>67.7</v>
      </c>
      <c r="BD106" s="12">
        <f t="shared" si="32"/>
        <v>84.6</v>
      </c>
      <c r="BE106" s="12">
        <f t="shared" si="19"/>
        <v>75.900000000000006</v>
      </c>
      <c r="BF106" s="12">
        <f t="shared" si="19"/>
        <v>60.099999999999994</v>
      </c>
      <c r="BG106" s="12">
        <f t="shared" si="19"/>
        <v>84.6</v>
      </c>
      <c r="BH106" s="12">
        <f t="shared" si="19"/>
        <v>35.5</v>
      </c>
      <c r="BI106" s="12">
        <f t="shared" si="20"/>
        <v>45.9</v>
      </c>
    </row>
    <row r="107" spans="1:61" ht="15.75" customHeight="1" x14ac:dyDescent="0.25">
      <c r="A107" s="1" t="s">
        <v>134</v>
      </c>
      <c r="B107" s="3" t="s">
        <v>99</v>
      </c>
      <c r="C107" s="4" t="s">
        <v>85</v>
      </c>
      <c r="D107" s="4">
        <v>32</v>
      </c>
      <c r="E107" s="4">
        <v>572</v>
      </c>
      <c r="F107" s="4">
        <v>32</v>
      </c>
      <c r="G107" s="4">
        <v>572</v>
      </c>
      <c r="H107" s="4">
        <v>11.8</v>
      </c>
      <c r="I107" s="4">
        <v>0.53500000000000003</v>
      </c>
      <c r="J107" s="4">
        <v>0.51200000000000001</v>
      </c>
      <c r="K107" s="4">
        <v>0.42099999999999999</v>
      </c>
      <c r="L107" s="4">
        <v>0.22600000000000001</v>
      </c>
      <c r="M107" s="4">
        <v>7.5</v>
      </c>
      <c r="N107" s="4">
        <v>13</v>
      </c>
      <c r="O107" s="4">
        <v>8.3000000000000007</v>
      </c>
      <c r="P107" s="4">
        <v>2</v>
      </c>
      <c r="Q107" s="4">
        <v>2.4</v>
      </c>
      <c r="R107" s="4">
        <v>17.399999999999999</v>
      </c>
      <c r="S107" s="4">
        <v>17</v>
      </c>
      <c r="T107" s="4">
        <v>101</v>
      </c>
      <c r="U107" s="4">
        <v>106</v>
      </c>
      <c r="V107" s="4"/>
      <c r="W107" s="4">
        <v>0</v>
      </c>
      <c r="X107" s="4">
        <v>1</v>
      </c>
      <c r="Y107" s="4">
        <v>1</v>
      </c>
      <c r="Z107" s="4">
        <v>6.9000000000000006E-2</v>
      </c>
      <c r="AA107" s="13">
        <f>(I107/TOTAL_BASIC!$D$301)*100</f>
        <v>95.293159654347164</v>
      </c>
      <c r="AB107" s="5">
        <f t="shared" si="21"/>
        <v>1.01</v>
      </c>
      <c r="AC107" s="3">
        <f t="shared" si="33"/>
        <v>-5</v>
      </c>
      <c r="AD107" s="9">
        <f t="shared" si="22"/>
        <v>1.07</v>
      </c>
      <c r="AE107" s="16">
        <f t="shared" si="23"/>
        <v>0.4882352941176471</v>
      </c>
      <c r="AF107" s="16">
        <f t="shared" si="24"/>
        <v>0.47701149425287365</v>
      </c>
      <c r="AG107" s="9"/>
      <c r="AH107" s="9"/>
      <c r="AI107" s="12">
        <f t="shared" si="25"/>
        <v>35.5</v>
      </c>
      <c r="AJ107" s="12">
        <f t="shared" si="26"/>
        <v>43.1</v>
      </c>
      <c r="AK107" s="12">
        <f t="shared" si="26"/>
        <v>43.1</v>
      </c>
      <c r="AL107" s="12">
        <f t="shared" si="26"/>
        <v>39.300000000000004</v>
      </c>
      <c r="AM107" s="12">
        <f t="shared" si="26"/>
        <v>50.8</v>
      </c>
      <c r="AN107" s="12">
        <f t="shared" si="18"/>
        <v>53.5</v>
      </c>
      <c r="AO107" s="12">
        <f t="shared" si="18"/>
        <v>33.800000000000004</v>
      </c>
      <c r="AP107" s="12">
        <f t="shared" si="18"/>
        <v>74.3</v>
      </c>
      <c r="AQ107" s="12">
        <f t="shared" si="18"/>
        <v>76.5</v>
      </c>
      <c r="AR107" s="12">
        <f t="shared" si="29"/>
        <v>18</v>
      </c>
      <c r="AS107" s="12">
        <f t="shared" si="29"/>
        <v>64.400000000000006</v>
      </c>
      <c r="AT107" s="12">
        <f t="shared" si="29"/>
        <v>72.599999999999994</v>
      </c>
      <c r="AU107" s="12">
        <f t="shared" si="27"/>
        <v>30.100000000000009</v>
      </c>
      <c r="AV107" s="12">
        <f t="shared" si="30"/>
        <v>32.200000000000003</v>
      </c>
      <c r="AW107" s="12">
        <f t="shared" si="30"/>
        <v>28.4</v>
      </c>
      <c r="AX107" s="12">
        <f t="shared" si="28"/>
        <v>83.1</v>
      </c>
      <c r="AY107" s="9"/>
      <c r="AZ107" s="12">
        <f t="shared" si="31"/>
        <v>24.5</v>
      </c>
      <c r="BA107" s="12">
        <f t="shared" si="31"/>
        <v>67.7</v>
      </c>
      <c r="BB107" s="12">
        <f t="shared" si="31"/>
        <v>49.1</v>
      </c>
      <c r="BC107" s="12">
        <f t="shared" si="31"/>
        <v>46.400000000000006</v>
      </c>
      <c r="BD107" s="12">
        <f t="shared" si="32"/>
        <v>39.300000000000004</v>
      </c>
      <c r="BE107" s="12">
        <f t="shared" si="19"/>
        <v>28.4</v>
      </c>
      <c r="BF107" s="12">
        <f t="shared" si="19"/>
        <v>45.300000000000004</v>
      </c>
      <c r="BG107" s="12">
        <f t="shared" si="19"/>
        <v>39.300000000000004</v>
      </c>
      <c r="BH107" s="12">
        <f t="shared" si="19"/>
        <v>19.600000000000001</v>
      </c>
      <c r="BI107" s="12">
        <f t="shared" si="20"/>
        <v>8.6999999999999993</v>
      </c>
    </row>
    <row r="108" spans="1:61" ht="15.75" customHeight="1" x14ac:dyDescent="0.25">
      <c r="A108" s="1" t="s">
        <v>243</v>
      </c>
      <c r="B108" s="3" t="s">
        <v>128</v>
      </c>
      <c r="C108" s="4" t="s">
        <v>8</v>
      </c>
      <c r="D108" s="4">
        <v>43</v>
      </c>
      <c r="E108" s="4">
        <v>560</v>
      </c>
      <c r="F108" s="4">
        <v>43</v>
      </c>
      <c r="G108" s="4">
        <v>560</v>
      </c>
      <c r="H108" s="4">
        <v>9.6999999999999993</v>
      </c>
      <c r="I108" s="4">
        <v>0.53400000000000003</v>
      </c>
      <c r="J108" s="4">
        <v>0.48899999999999999</v>
      </c>
      <c r="K108" s="4">
        <v>0.38100000000000001</v>
      </c>
      <c r="L108" s="4">
        <v>0.216</v>
      </c>
      <c r="M108" s="4">
        <v>2.2000000000000002</v>
      </c>
      <c r="N108" s="4">
        <v>6.6</v>
      </c>
      <c r="O108" s="4">
        <v>12.3</v>
      </c>
      <c r="P108" s="4">
        <v>1.1000000000000001</v>
      </c>
      <c r="Q108" s="4">
        <v>0.7</v>
      </c>
      <c r="R108" s="4">
        <v>14.2</v>
      </c>
      <c r="S108" s="4">
        <v>17</v>
      </c>
      <c r="T108" s="4">
        <v>105</v>
      </c>
      <c r="U108" s="4">
        <v>109</v>
      </c>
      <c r="V108" s="4"/>
      <c r="W108" s="4">
        <v>0.3</v>
      </c>
      <c r="X108" s="4">
        <v>0.7</v>
      </c>
      <c r="Y108" s="4">
        <v>1</v>
      </c>
      <c r="Z108" s="4">
        <v>7.1999999999999995E-2</v>
      </c>
      <c r="AA108" s="13">
        <f>(I108/TOTAL_BASIC!$D$301)*100</f>
        <v>95.115041598918467</v>
      </c>
      <c r="AB108" s="5">
        <f t="shared" si="21"/>
        <v>1.05</v>
      </c>
      <c r="AC108" s="3">
        <f t="shared" si="33"/>
        <v>-4</v>
      </c>
      <c r="AD108" s="9">
        <f t="shared" si="22"/>
        <v>1.0680000000000001</v>
      </c>
      <c r="AE108" s="16">
        <f t="shared" si="23"/>
        <v>0.72352941176470598</v>
      </c>
      <c r="AF108" s="16">
        <f t="shared" si="24"/>
        <v>0.86619718309859162</v>
      </c>
      <c r="AG108" s="9"/>
      <c r="AH108" s="9"/>
      <c r="AI108" s="12">
        <f t="shared" si="25"/>
        <v>96.7</v>
      </c>
      <c r="AJ108" s="12">
        <f t="shared" si="26"/>
        <v>42.6</v>
      </c>
      <c r="AK108" s="12">
        <f t="shared" si="26"/>
        <v>24</v>
      </c>
      <c r="AL108" s="12">
        <f t="shared" si="26"/>
        <v>37.700000000000003</v>
      </c>
      <c r="AM108" s="12">
        <f t="shared" si="26"/>
        <v>37.700000000000003</v>
      </c>
      <c r="AN108" s="12">
        <f t="shared" si="18"/>
        <v>42.6</v>
      </c>
      <c r="AO108" s="12">
        <f t="shared" si="18"/>
        <v>30</v>
      </c>
      <c r="AP108" s="12">
        <f t="shared" si="18"/>
        <v>19.600000000000001</v>
      </c>
      <c r="AQ108" s="12">
        <f t="shared" si="18"/>
        <v>28.4</v>
      </c>
      <c r="AR108" s="12">
        <f t="shared" si="29"/>
        <v>44.2</v>
      </c>
      <c r="AS108" s="12">
        <f t="shared" si="29"/>
        <v>14.7</v>
      </c>
      <c r="AT108" s="12">
        <f t="shared" si="29"/>
        <v>24</v>
      </c>
      <c r="AU108" s="12">
        <f t="shared" si="27"/>
        <v>55.199999999999996</v>
      </c>
      <c r="AV108" s="12">
        <f t="shared" si="30"/>
        <v>32.200000000000003</v>
      </c>
      <c r="AW108" s="12">
        <f t="shared" si="30"/>
        <v>39.800000000000004</v>
      </c>
      <c r="AX108" s="12">
        <f t="shared" si="28"/>
        <v>66.199999999999989</v>
      </c>
      <c r="AY108" s="9"/>
      <c r="AZ108" s="12">
        <f t="shared" si="31"/>
        <v>42</v>
      </c>
      <c r="BA108" s="12">
        <f t="shared" si="31"/>
        <v>53.5</v>
      </c>
      <c r="BB108" s="12">
        <f t="shared" si="31"/>
        <v>49.1</v>
      </c>
      <c r="BC108" s="12">
        <f t="shared" si="31"/>
        <v>50.2</v>
      </c>
      <c r="BD108" s="12">
        <f t="shared" si="32"/>
        <v>37.700000000000003</v>
      </c>
      <c r="BE108" s="12">
        <f t="shared" si="19"/>
        <v>39.800000000000004</v>
      </c>
      <c r="BF108" s="12">
        <f t="shared" si="19"/>
        <v>48.6</v>
      </c>
      <c r="BG108" s="12">
        <f t="shared" si="19"/>
        <v>37.700000000000003</v>
      </c>
      <c r="BH108" s="12">
        <f t="shared" si="19"/>
        <v>50.8</v>
      </c>
      <c r="BI108" s="12">
        <f t="shared" si="20"/>
        <v>37.700000000000003</v>
      </c>
    </row>
    <row r="109" spans="1:61" ht="15.75" customHeight="1" x14ac:dyDescent="0.25">
      <c r="A109" s="1" t="s">
        <v>228</v>
      </c>
      <c r="B109" s="3" t="s">
        <v>161</v>
      </c>
      <c r="C109" s="4" t="s">
        <v>8</v>
      </c>
      <c r="D109" s="4">
        <v>41</v>
      </c>
      <c r="E109" s="4">
        <v>559</v>
      </c>
      <c r="F109" s="4">
        <v>41</v>
      </c>
      <c r="G109" s="4">
        <v>559</v>
      </c>
      <c r="H109" s="4">
        <v>9.9</v>
      </c>
      <c r="I109" s="4">
        <v>0.51900000000000002</v>
      </c>
      <c r="J109" s="4">
        <v>0.46</v>
      </c>
      <c r="K109" s="4">
        <v>0.72699999999999998</v>
      </c>
      <c r="L109" s="4">
        <v>0.27800000000000002</v>
      </c>
      <c r="M109" s="4">
        <v>1.9</v>
      </c>
      <c r="N109" s="4">
        <v>5</v>
      </c>
      <c r="O109" s="4">
        <v>11.7</v>
      </c>
      <c r="P109" s="4">
        <v>1.3</v>
      </c>
      <c r="Q109" s="4">
        <v>0</v>
      </c>
      <c r="R109" s="4">
        <v>8.6999999999999993</v>
      </c>
      <c r="S109" s="4">
        <v>18.100000000000001</v>
      </c>
      <c r="T109" s="4">
        <v>108</v>
      </c>
      <c r="U109" s="4">
        <v>122</v>
      </c>
      <c r="V109" s="4"/>
      <c r="W109" s="4">
        <v>0.5</v>
      </c>
      <c r="X109" s="4">
        <v>-0.4</v>
      </c>
      <c r="Y109" s="4">
        <v>0.2</v>
      </c>
      <c r="Z109" s="4">
        <v>1.2E-2</v>
      </c>
      <c r="AA109" s="13">
        <f>(I109/TOTAL_BASIC!$D$301)*100</f>
        <v>92.443270767488173</v>
      </c>
      <c r="AB109" s="5">
        <f t="shared" si="21"/>
        <v>1.08</v>
      </c>
      <c r="AC109" s="3">
        <f t="shared" si="33"/>
        <v>-14</v>
      </c>
      <c r="AD109" s="9">
        <f t="shared" si="22"/>
        <v>1.038</v>
      </c>
      <c r="AE109" s="16">
        <f t="shared" si="23"/>
        <v>0.64640883977900543</v>
      </c>
      <c r="AF109" s="16">
        <f t="shared" si="24"/>
        <v>1.3448275862068966</v>
      </c>
      <c r="AG109" s="9"/>
      <c r="AH109" s="9"/>
      <c r="AI109" s="12">
        <f t="shared" si="25"/>
        <v>69.3</v>
      </c>
      <c r="AJ109" s="12">
        <f t="shared" si="26"/>
        <v>42</v>
      </c>
      <c r="AK109" s="12">
        <f t="shared" si="26"/>
        <v>25.1</v>
      </c>
      <c r="AL109" s="12">
        <f t="shared" si="26"/>
        <v>32.700000000000003</v>
      </c>
      <c r="AM109" s="12">
        <f t="shared" si="26"/>
        <v>22.400000000000002</v>
      </c>
      <c r="AN109" s="12">
        <f t="shared" si="18"/>
        <v>95.6</v>
      </c>
      <c r="AO109" s="12">
        <f t="shared" si="18"/>
        <v>49.1</v>
      </c>
      <c r="AP109" s="12">
        <f t="shared" si="18"/>
        <v>12.5</v>
      </c>
      <c r="AQ109" s="12">
        <f t="shared" si="18"/>
        <v>12</v>
      </c>
      <c r="AR109" s="12">
        <f t="shared" si="29"/>
        <v>37.1</v>
      </c>
      <c r="AS109" s="12">
        <f t="shared" si="29"/>
        <v>22.900000000000002</v>
      </c>
      <c r="AT109" s="12">
        <f t="shared" si="29"/>
        <v>0</v>
      </c>
      <c r="AU109" s="12">
        <f t="shared" si="27"/>
        <v>90.8</v>
      </c>
      <c r="AV109" s="12">
        <f t="shared" si="30"/>
        <v>48.6</v>
      </c>
      <c r="AW109" s="12">
        <f t="shared" si="30"/>
        <v>54.6</v>
      </c>
      <c r="AX109" s="12">
        <f t="shared" si="28"/>
        <v>1.0999999999999943</v>
      </c>
      <c r="AY109" s="9"/>
      <c r="AZ109" s="12">
        <f t="shared" si="31"/>
        <v>51.9</v>
      </c>
      <c r="BA109" s="12">
        <f t="shared" si="31"/>
        <v>0</v>
      </c>
      <c r="BB109" s="12">
        <f t="shared" si="31"/>
        <v>19.100000000000001</v>
      </c>
      <c r="BC109" s="12">
        <f t="shared" si="31"/>
        <v>15.299999999999999</v>
      </c>
      <c r="BD109" s="12">
        <f t="shared" si="32"/>
        <v>32.700000000000003</v>
      </c>
      <c r="BE109" s="12">
        <f t="shared" si="19"/>
        <v>54.6</v>
      </c>
      <c r="BF109" s="12">
        <f t="shared" si="19"/>
        <v>17.399999999999999</v>
      </c>
      <c r="BG109" s="12">
        <f t="shared" si="19"/>
        <v>32.700000000000003</v>
      </c>
      <c r="BH109" s="12">
        <f t="shared" si="19"/>
        <v>39.800000000000004</v>
      </c>
      <c r="BI109" s="12">
        <f t="shared" si="20"/>
        <v>73.2</v>
      </c>
    </row>
    <row r="110" spans="1:61" ht="15.75" customHeight="1" x14ac:dyDescent="0.25">
      <c r="A110" s="1" t="s">
        <v>225</v>
      </c>
      <c r="B110" s="3" t="s">
        <v>93</v>
      </c>
      <c r="C110" s="4" t="s">
        <v>85</v>
      </c>
      <c r="D110" s="4">
        <v>34</v>
      </c>
      <c r="E110" s="4">
        <v>557</v>
      </c>
      <c r="F110" s="4">
        <v>34</v>
      </c>
      <c r="G110" s="4">
        <v>557</v>
      </c>
      <c r="H110" s="4">
        <v>11.7</v>
      </c>
      <c r="I110" s="4">
        <v>0.57599999999999996</v>
      </c>
      <c r="J110" s="4">
        <v>0.442</v>
      </c>
      <c r="K110" s="4">
        <v>0.496</v>
      </c>
      <c r="L110" s="4">
        <v>0.85399999999999998</v>
      </c>
      <c r="M110" s="4">
        <v>5</v>
      </c>
      <c r="N110" s="4">
        <v>10.3</v>
      </c>
      <c r="O110" s="4">
        <v>11.9</v>
      </c>
      <c r="P110" s="4">
        <v>1.5</v>
      </c>
      <c r="Q110" s="4">
        <v>1.4</v>
      </c>
      <c r="R110" s="4">
        <v>19.600000000000001</v>
      </c>
      <c r="S110" s="4">
        <v>19.100000000000001</v>
      </c>
      <c r="T110" s="4">
        <v>105</v>
      </c>
      <c r="U110" s="4">
        <v>111</v>
      </c>
      <c r="V110" s="4"/>
      <c r="W110" s="4">
        <v>0.4</v>
      </c>
      <c r="X110" s="4">
        <v>0.5</v>
      </c>
      <c r="Y110" s="4">
        <v>0.9</v>
      </c>
      <c r="Z110" s="4">
        <v>6.2E-2</v>
      </c>
      <c r="AA110" s="13">
        <f>(I110/TOTAL_BASIC!$D$301)*100</f>
        <v>102.59599992692327</v>
      </c>
      <c r="AB110" s="5">
        <f t="shared" si="21"/>
        <v>1.05</v>
      </c>
      <c r="AC110" s="3">
        <f t="shared" si="33"/>
        <v>-6</v>
      </c>
      <c r="AD110" s="9">
        <f t="shared" si="22"/>
        <v>1.1519999999999999</v>
      </c>
      <c r="AE110" s="16">
        <f t="shared" si="23"/>
        <v>0.62303664921465962</v>
      </c>
      <c r="AF110" s="16">
        <f t="shared" si="24"/>
        <v>0.6071428571428571</v>
      </c>
      <c r="AG110" s="9"/>
      <c r="AH110" s="9"/>
      <c r="AI110" s="12">
        <f t="shared" si="25"/>
        <v>39.300000000000004</v>
      </c>
      <c r="AJ110" s="12">
        <f t="shared" si="26"/>
        <v>41.5</v>
      </c>
      <c r="AK110" s="12">
        <f t="shared" si="26"/>
        <v>42</v>
      </c>
      <c r="AL110" s="12">
        <f t="shared" si="26"/>
        <v>63.9</v>
      </c>
      <c r="AM110" s="12">
        <f t="shared" si="26"/>
        <v>15.299999999999999</v>
      </c>
      <c r="AN110" s="12">
        <f t="shared" si="18"/>
        <v>68.300000000000011</v>
      </c>
      <c r="AO110" s="12">
        <f t="shared" si="18"/>
        <v>99.4</v>
      </c>
      <c r="AP110" s="12">
        <f t="shared" si="18"/>
        <v>56.2</v>
      </c>
      <c r="AQ110" s="12">
        <f t="shared" si="18"/>
        <v>62.2</v>
      </c>
      <c r="AR110" s="12">
        <f t="shared" si="29"/>
        <v>40.400000000000006</v>
      </c>
      <c r="AS110" s="12">
        <f t="shared" si="29"/>
        <v>33.800000000000004</v>
      </c>
      <c r="AT110" s="12">
        <f t="shared" si="29"/>
        <v>53.5</v>
      </c>
      <c r="AU110" s="12">
        <f t="shared" si="27"/>
        <v>15.400000000000006</v>
      </c>
      <c r="AV110" s="12">
        <f t="shared" si="30"/>
        <v>55.1</v>
      </c>
      <c r="AW110" s="12">
        <f t="shared" si="30"/>
        <v>39.800000000000004</v>
      </c>
      <c r="AX110" s="12">
        <f t="shared" si="28"/>
        <v>47</v>
      </c>
      <c r="AY110" s="9"/>
      <c r="AZ110" s="12">
        <f t="shared" si="31"/>
        <v>48.6</v>
      </c>
      <c r="BA110" s="12">
        <f t="shared" si="31"/>
        <v>39.300000000000004</v>
      </c>
      <c r="BB110" s="12">
        <f t="shared" si="31"/>
        <v>44.2</v>
      </c>
      <c r="BC110" s="12">
        <f t="shared" si="31"/>
        <v>40.400000000000006</v>
      </c>
      <c r="BD110" s="12">
        <f t="shared" si="32"/>
        <v>63.9</v>
      </c>
      <c r="BE110" s="12">
        <f t="shared" si="19"/>
        <v>39.800000000000004</v>
      </c>
      <c r="BF110" s="12">
        <f t="shared" si="19"/>
        <v>41.5</v>
      </c>
      <c r="BG110" s="12">
        <f t="shared" si="19"/>
        <v>63.9</v>
      </c>
      <c r="BH110" s="12">
        <f t="shared" si="19"/>
        <v>37.700000000000003</v>
      </c>
      <c r="BI110" s="12">
        <f t="shared" si="20"/>
        <v>19.600000000000001</v>
      </c>
    </row>
    <row r="111" spans="1:61" ht="15.75" customHeight="1" x14ac:dyDescent="0.25">
      <c r="A111" s="1" t="s">
        <v>147</v>
      </c>
      <c r="B111" s="3" t="s">
        <v>131</v>
      </c>
      <c r="C111" s="4" t="s">
        <v>8</v>
      </c>
      <c r="D111" s="4">
        <v>19</v>
      </c>
      <c r="E111" s="4">
        <v>553</v>
      </c>
      <c r="F111" s="4">
        <v>19</v>
      </c>
      <c r="G111" s="4">
        <v>553</v>
      </c>
      <c r="H111" s="4">
        <v>15.6</v>
      </c>
      <c r="I111" s="4">
        <v>0.51500000000000001</v>
      </c>
      <c r="J111" s="4">
        <v>0.45</v>
      </c>
      <c r="K111" s="4">
        <v>0.30599999999999999</v>
      </c>
      <c r="L111" s="4">
        <v>0.40100000000000002</v>
      </c>
      <c r="M111" s="4">
        <v>2.7</v>
      </c>
      <c r="N111" s="4">
        <v>6.2</v>
      </c>
      <c r="O111" s="4">
        <v>27.7</v>
      </c>
      <c r="P111" s="4">
        <v>1.6</v>
      </c>
      <c r="Q111" s="4">
        <v>1.7</v>
      </c>
      <c r="R111" s="4">
        <v>11.2</v>
      </c>
      <c r="S111" s="4">
        <v>23.1</v>
      </c>
      <c r="T111" s="4">
        <v>106</v>
      </c>
      <c r="U111" s="4">
        <v>112</v>
      </c>
      <c r="V111" s="4"/>
      <c r="W111" s="4">
        <v>0.6</v>
      </c>
      <c r="X111" s="4">
        <v>0.4</v>
      </c>
      <c r="Y111" s="4">
        <v>1</v>
      </c>
      <c r="Z111" s="4">
        <v>7.1999999999999995E-2</v>
      </c>
      <c r="AA111" s="13">
        <f>(I111/TOTAL_BASIC!$D$301)*100</f>
        <v>91.730798545773425</v>
      </c>
      <c r="AB111" s="5">
        <f t="shared" si="21"/>
        <v>1.06</v>
      </c>
      <c r="AC111" s="3">
        <f t="shared" si="33"/>
        <v>-6</v>
      </c>
      <c r="AD111" s="9">
        <f t="shared" si="22"/>
        <v>1.03</v>
      </c>
      <c r="AE111" s="16">
        <f t="shared" si="23"/>
        <v>1.1991341991341991</v>
      </c>
      <c r="AF111" s="16">
        <f t="shared" si="24"/>
        <v>2.4732142857142856</v>
      </c>
      <c r="AG111" s="9"/>
      <c r="AH111" s="9"/>
      <c r="AI111" s="12">
        <f t="shared" si="25"/>
        <v>14.2</v>
      </c>
      <c r="AJ111" s="12">
        <f t="shared" si="26"/>
        <v>40.9</v>
      </c>
      <c r="AK111" s="12">
        <f t="shared" si="26"/>
        <v>64.400000000000006</v>
      </c>
      <c r="AL111" s="12">
        <f t="shared" si="26"/>
        <v>28.9</v>
      </c>
      <c r="AM111" s="12">
        <f t="shared" si="26"/>
        <v>18</v>
      </c>
      <c r="AN111" s="12">
        <f t="shared" si="18"/>
        <v>31.1</v>
      </c>
      <c r="AO111" s="12">
        <f t="shared" si="18"/>
        <v>76.5</v>
      </c>
      <c r="AP111" s="12">
        <f t="shared" si="18"/>
        <v>29.5</v>
      </c>
      <c r="AQ111" s="12">
        <f t="shared" si="18"/>
        <v>22.900000000000002</v>
      </c>
      <c r="AR111" s="12">
        <f t="shared" si="29"/>
        <v>89.600000000000009</v>
      </c>
      <c r="AS111" s="12">
        <f t="shared" si="29"/>
        <v>39.800000000000004</v>
      </c>
      <c r="AT111" s="12">
        <f t="shared" si="29"/>
        <v>61.199999999999996</v>
      </c>
      <c r="AU111" s="12">
        <f t="shared" si="27"/>
        <v>80.400000000000006</v>
      </c>
      <c r="AV111" s="12">
        <f t="shared" si="30"/>
        <v>77.5</v>
      </c>
      <c r="AW111" s="12">
        <f t="shared" si="30"/>
        <v>45.9</v>
      </c>
      <c r="AX111" s="12">
        <f t="shared" si="28"/>
        <v>38.800000000000004</v>
      </c>
      <c r="AY111" s="9"/>
      <c r="AZ111" s="12">
        <f t="shared" si="31"/>
        <v>56.8</v>
      </c>
      <c r="BA111" s="12">
        <f t="shared" si="31"/>
        <v>34.4</v>
      </c>
      <c r="BB111" s="12">
        <f t="shared" si="31"/>
        <v>49.1</v>
      </c>
      <c r="BC111" s="12">
        <f t="shared" si="31"/>
        <v>50.2</v>
      </c>
      <c r="BD111" s="12">
        <f t="shared" si="32"/>
        <v>28.9</v>
      </c>
      <c r="BE111" s="12">
        <f t="shared" si="19"/>
        <v>45.9</v>
      </c>
      <c r="BF111" s="12">
        <f t="shared" si="19"/>
        <v>41.5</v>
      </c>
      <c r="BG111" s="12">
        <f t="shared" si="19"/>
        <v>28.9</v>
      </c>
      <c r="BH111" s="12">
        <f t="shared" si="19"/>
        <v>84.6</v>
      </c>
      <c r="BI111" s="12">
        <f t="shared" si="20"/>
        <v>98.3</v>
      </c>
    </row>
    <row r="112" spans="1:61" ht="15.75" customHeight="1" x14ac:dyDescent="0.25">
      <c r="A112" s="1" t="s">
        <v>262</v>
      </c>
      <c r="B112" s="3" t="s">
        <v>131</v>
      </c>
      <c r="C112" s="4" t="s">
        <v>8</v>
      </c>
      <c r="D112" s="4">
        <v>25</v>
      </c>
      <c r="E112" s="4">
        <v>552</v>
      </c>
      <c r="F112" s="4">
        <v>25</v>
      </c>
      <c r="G112" s="4">
        <v>552</v>
      </c>
      <c r="H112" s="4">
        <v>16.7</v>
      </c>
      <c r="I112" s="4">
        <v>0.55500000000000005</v>
      </c>
      <c r="J112" s="4">
        <v>0.503</v>
      </c>
      <c r="K112" s="4">
        <v>0.32</v>
      </c>
      <c r="L112" s="4">
        <v>0.35399999999999998</v>
      </c>
      <c r="M112" s="4">
        <v>2</v>
      </c>
      <c r="N112" s="4">
        <v>7.6</v>
      </c>
      <c r="O112" s="4">
        <v>38.299999999999997</v>
      </c>
      <c r="P112" s="4">
        <v>2.6</v>
      </c>
      <c r="Q112" s="4">
        <v>1.1000000000000001</v>
      </c>
      <c r="R112" s="4">
        <v>20.2</v>
      </c>
      <c r="S112" s="4">
        <v>20.6</v>
      </c>
      <c r="T112" s="4">
        <v>106</v>
      </c>
      <c r="U112" s="4">
        <v>110</v>
      </c>
      <c r="V112" s="4"/>
      <c r="W112" s="4">
        <v>0.5</v>
      </c>
      <c r="X112" s="4">
        <v>0.7</v>
      </c>
      <c r="Y112" s="4">
        <v>1.2</v>
      </c>
      <c r="Z112" s="4">
        <v>8.5999999999999993E-2</v>
      </c>
      <c r="AA112" s="13">
        <f>(I112/TOTAL_BASIC!$D$301)*100</f>
        <v>98.855520762920889</v>
      </c>
      <c r="AB112" s="5">
        <f t="shared" si="21"/>
        <v>1.06</v>
      </c>
      <c r="AC112" s="3">
        <f t="shared" si="33"/>
        <v>-4</v>
      </c>
      <c r="AD112" s="9">
        <f t="shared" si="22"/>
        <v>1.1100000000000001</v>
      </c>
      <c r="AE112" s="16">
        <f t="shared" si="23"/>
        <v>1.8592233009708736</v>
      </c>
      <c r="AF112" s="16">
        <f t="shared" si="24"/>
        <v>1.8960396039603959</v>
      </c>
      <c r="AG112" s="9"/>
      <c r="AH112" s="9"/>
      <c r="AI112" s="12">
        <f t="shared" si="25"/>
        <v>21.8</v>
      </c>
      <c r="AJ112" s="12">
        <f t="shared" si="26"/>
        <v>40.400000000000006</v>
      </c>
      <c r="AK112" s="12">
        <f t="shared" si="26"/>
        <v>71.5</v>
      </c>
      <c r="AL112" s="12">
        <f t="shared" si="26"/>
        <v>48</v>
      </c>
      <c r="AM112" s="12">
        <f t="shared" si="26"/>
        <v>47.5</v>
      </c>
      <c r="AN112" s="12">
        <f t="shared" si="18"/>
        <v>32.200000000000003</v>
      </c>
      <c r="AO112" s="12">
        <f t="shared" si="18"/>
        <v>68.300000000000011</v>
      </c>
      <c r="AP112" s="12">
        <f t="shared" si="18"/>
        <v>15.299999999999999</v>
      </c>
      <c r="AQ112" s="12">
        <f t="shared" si="18"/>
        <v>39.300000000000004</v>
      </c>
      <c r="AR112" s="12">
        <f t="shared" si="29"/>
        <v>97.2</v>
      </c>
      <c r="AS112" s="12">
        <f t="shared" si="29"/>
        <v>87.9</v>
      </c>
      <c r="AT112" s="12">
        <f t="shared" si="29"/>
        <v>43.7</v>
      </c>
      <c r="AU112" s="12">
        <f t="shared" si="27"/>
        <v>12.599999999999994</v>
      </c>
      <c r="AV112" s="12">
        <f t="shared" si="30"/>
        <v>64.400000000000006</v>
      </c>
      <c r="AW112" s="12">
        <f t="shared" si="30"/>
        <v>45.9</v>
      </c>
      <c r="AX112" s="12">
        <f t="shared" si="28"/>
        <v>56.3</v>
      </c>
      <c r="AY112" s="9"/>
      <c r="AZ112" s="12">
        <f t="shared" si="31"/>
        <v>51.9</v>
      </c>
      <c r="BA112" s="12">
        <f t="shared" si="31"/>
        <v>53.5</v>
      </c>
      <c r="BB112" s="12">
        <f t="shared" si="31"/>
        <v>56.8</v>
      </c>
      <c r="BC112" s="12">
        <f t="shared" si="31"/>
        <v>56.2</v>
      </c>
      <c r="BD112" s="12">
        <f t="shared" si="32"/>
        <v>48</v>
      </c>
      <c r="BE112" s="12">
        <f t="shared" si="19"/>
        <v>45.9</v>
      </c>
      <c r="BF112" s="12">
        <f t="shared" si="19"/>
        <v>48.6</v>
      </c>
      <c r="BG112" s="12">
        <f t="shared" si="19"/>
        <v>48</v>
      </c>
      <c r="BH112" s="12">
        <f t="shared" si="19"/>
        <v>97.8</v>
      </c>
      <c r="BI112" s="12">
        <f t="shared" si="20"/>
        <v>92.300000000000011</v>
      </c>
    </row>
    <row r="113" spans="1:61" ht="15.75" customHeight="1" x14ac:dyDescent="0.25">
      <c r="A113" s="1" t="s">
        <v>136</v>
      </c>
      <c r="B113" s="3" t="s">
        <v>240</v>
      </c>
      <c r="C113" s="4" t="s">
        <v>8</v>
      </c>
      <c r="D113" s="4">
        <v>17</v>
      </c>
      <c r="E113" s="4">
        <v>519</v>
      </c>
      <c r="F113" s="4">
        <v>17</v>
      </c>
      <c r="G113" s="4">
        <v>519</v>
      </c>
      <c r="H113" s="4">
        <v>21.8</v>
      </c>
      <c r="I113" s="4">
        <v>0.64700000000000002</v>
      </c>
      <c r="J113" s="4">
        <v>0.60099999999999998</v>
      </c>
      <c r="K113" s="4">
        <v>0.436</v>
      </c>
      <c r="L113" s="4">
        <v>0.374</v>
      </c>
      <c r="M113" s="4">
        <v>0.7</v>
      </c>
      <c r="N113" s="4">
        <v>4.0999999999999996</v>
      </c>
      <c r="O113" s="4">
        <v>32.799999999999997</v>
      </c>
      <c r="P113" s="4">
        <v>1.6</v>
      </c>
      <c r="Q113" s="4">
        <v>0</v>
      </c>
      <c r="R113" s="4">
        <v>14.5</v>
      </c>
      <c r="S113" s="4">
        <v>28.2</v>
      </c>
      <c r="T113" s="4">
        <v>117</v>
      </c>
      <c r="U113" s="4">
        <v>116</v>
      </c>
      <c r="V113" s="4"/>
      <c r="W113" s="4">
        <v>1.7</v>
      </c>
      <c r="X113" s="4">
        <v>0.2</v>
      </c>
      <c r="Y113" s="4">
        <v>1.9</v>
      </c>
      <c r="Z113" s="4">
        <v>0.14499999999999999</v>
      </c>
      <c r="AA113" s="13">
        <f>(I113/TOTAL_BASIC!$D$301)*100</f>
        <v>115.24238186236002</v>
      </c>
      <c r="AB113" s="5">
        <f t="shared" si="21"/>
        <v>1.17</v>
      </c>
      <c r="AC113" s="3">
        <f t="shared" si="33"/>
        <v>1</v>
      </c>
      <c r="AD113" s="9">
        <f t="shared" si="22"/>
        <v>1.294</v>
      </c>
      <c r="AE113" s="16">
        <f t="shared" si="23"/>
        <v>1.1631205673758864</v>
      </c>
      <c r="AF113" s="16">
        <f t="shared" si="24"/>
        <v>2.262068965517241</v>
      </c>
      <c r="AG113" s="9"/>
      <c r="AH113" s="9"/>
      <c r="AI113" s="12">
        <f t="shared" si="25"/>
        <v>9.8000000000000007</v>
      </c>
      <c r="AJ113" s="12">
        <f t="shared" si="26"/>
        <v>39.800000000000004</v>
      </c>
      <c r="AK113" s="12">
        <f t="shared" si="26"/>
        <v>92.300000000000011</v>
      </c>
      <c r="AL113" s="12">
        <f t="shared" si="26"/>
        <v>96.1</v>
      </c>
      <c r="AM113" s="12">
        <f t="shared" si="26"/>
        <v>93.899999999999991</v>
      </c>
      <c r="AN113" s="12">
        <f t="shared" si="18"/>
        <v>56.8</v>
      </c>
      <c r="AO113" s="12">
        <f t="shared" si="18"/>
        <v>71.5</v>
      </c>
      <c r="AP113" s="12">
        <f t="shared" si="18"/>
        <v>1</v>
      </c>
      <c r="AQ113" s="12">
        <f t="shared" si="18"/>
        <v>4.9000000000000004</v>
      </c>
      <c r="AR113" s="12">
        <f t="shared" si="29"/>
        <v>95</v>
      </c>
      <c r="AS113" s="12">
        <f t="shared" si="29"/>
        <v>39.800000000000004</v>
      </c>
      <c r="AT113" s="12">
        <f t="shared" si="29"/>
        <v>0</v>
      </c>
      <c r="AU113" s="12">
        <f t="shared" si="27"/>
        <v>53.599999999999994</v>
      </c>
      <c r="AV113" s="12">
        <f t="shared" si="30"/>
        <v>93.4</v>
      </c>
      <c r="AW113" s="12">
        <f t="shared" si="30"/>
        <v>78.600000000000009</v>
      </c>
      <c r="AX113" s="12">
        <f t="shared" si="28"/>
        <v>14.299999999999997</v>
      </c>
      <c r="AY113" s="9"/>
      <c r="AZ113" s="12">
        <f t="shared" si="31"/>
        <v>79.2</v>
      </c>
      <c r="BA113" s="12">
        <f t="shared" si="31"/>
        <v>19.600000000000001</v>
      </c>
      <c r="BB113" s="12">
        <f t="shared" si="31"/>
        <v>67.7</v>
      </c>
      <c r="BC113" s="12">
        <f t="shared" si="31"/>
        <v>79.2</v>
      </c>
      <c r="BD113" s="12">
        <f t="shared" si="32"/>
        <v>96.1</v>
      </c>
      <c r="BE113" s="12">
        <f t="shared" si="19"/>
        <v>78.600000000000009</v>
      </c>
      <c r="BF113" s="12">
        <f t="shared" si="19"/>
        <v>63.3</v>
      </c>
      <c r="BG113" s="12">
        <f t="shared" si="19"/>
        <v>96.1</v>
      </c>
      <c r="BH113" s="12">
        <f t="shared" si="19"/>
        <v>83</v>
      </c>
      <c r="BI113" s="12">
        <f t="shared" si="20"/>
        <v>97.8</v>
      </c>
    </row>
    <row r="114" spans="1:61" ht="15.75" customHeight="1" x14ac:dyDescent="0.25">
      <c r="A114" s="1" t="s">
        <v>187</v>
      </c>
      <c r="B114" s="3" t="s">
        <v>117</v>
      </c>
      <c r="C114" s="4" t="s">
        <v>119</v>
      </c>
      <c r="D114" s="4">
        <v>39</v>
      </c>
      <c r="E114" s="4">
        <v>516</v>
      </c>
      <c r="F114" s="4">
        <v>39</v>
      </c>
      <c r="G114" s="4">
        <v>516</v>
      </c>
      <c r="H114" s="4">
        <v>5.4</v>
      </c>
      <c r="I114" s="4">
        <v>0.57499999999999996</v>
      </c>
      <c r="J114" s="4">
        <v>0.56599999999999995</v>
      </c>
      <c r="K114" s="4">
        <v>0</v>
      </c>
      <c r="L114" s="4">
        <v>3.7999999999999999E-2</v>
      </c>
      <c r="M114" s="4">
        <v>5</v>
      </c>
      <c r="N114" s="4">
        <v>10.1</v>
      </c>
      <c r="O114" s="4">
        <v>2</v>
      </c>
      <c r="P114" s="4">
        <v>1.1000000000000001</v>
      </c>
      <c r="Q114" s="4">
        <v>3.8</v>
      </c>
      <c r="R114" s="4">
        <v>31.7</v>
      </c>
      <c r="S114" s="4">
        <v>6.9</v>
      </c>
      <c r="T114" s="4">
        <v>90</v>
      </c>
      <c r="U114" s="4">
        <v>108</v>
      </c>
      <c r="V114" s="4"/>
      <c r="W114" s="4">
        <v>-0.3</v>
      </c>
      <c r="X114" s="4">
        <v>0.7</v>
      </c>
      <c r="Y114" s="4">
        <v>0.4</v>
      </c>
      <c r="Z114" s="4">
        <v>3.4000000000000002E-2</v>
      </c>
      <c r="AA114" s="13">
        <f>(I114/TOTAL_BASIC!$D$301)*100</f>
        <v>102.41788187149461</v>
      </c>
      <c r="AB114" s="5">
        <f t="shared" si="21"/>
        <v>0.9</v>
      </c>
      <c r="AC114" s="3">
        <f t="shared" si="33"/>
        <v>-18</v>
      </c>
      <c r="AD114" s="9">
        <f t="shared" si="22"/>
        <v>1.1499999999999999</v>
      </c>
      <c r="AE114" s="16">
        <f t="shared" si="23"/>
        <v>0.28985507246376813</v>
      </c>
      <c r="AF114" s="16">
        <f t="shared" si="24"/>
        <v>6.3091482649842268E-2</v>
      </c>
      <c r="AG114" s="9"/>
      <c r="AH114" s="9"/>
      <c r="AI114" s="12">
        <f t="shared" si="25"/>
        <v>60.6</v>
      </c>
      <c r="AJ114" s="12">
        <f t="shared" si="26"/>
        <v>39.300000000000004</v>
      </c>
      <c r="AK114" s="12">
        <f t="shared" si="26"/>
        <v>2.7</v>
      </c>
      <c r="AL114" s="12">
        <f t="shared" si="26"/>
        <v>62.8</v>
      </c>
      <c r="AM114" s="12">
        <f t="shared" si="26"/>
        <v>81.399999999999991</v>
      </c>
      <c r="AN114" s="12">
        <f t="shared" si="18"/>
        <v>0</v>
      </c>
      <c r="AO114" s="12">
        <f t="shared" si="18"/>
        <v>0.5</v>
      </c>
      <c r="AP114" s="12">
        <f t="shared" si="18"/>
        <v>56.2</v>
      </c>
      <c r="AQ114" s="12">
        <f t="shared" si="18"/>
        <v>60.6</v>
      </c>
      <c r="AR114" s="12">
        <f t="shared" si="29"/>
        <v>0</v>
      </c>
      <c r="AS114" s="12">
        <f t="shared" si="29"/>
        <v>14.7</v>
      </c>
      <c r="AT114" s="12">
        <f t="shared" si="29"/>
        <v>86.8</v>
      </c>
      <c r="AU114" s="12">
        <f t="shared" si="27"/>
        <v>0</v>
      </c>
      <c r="AV114" s="12">
        <f t="shared" si="30"/>
        <v>0</v>
      </c>
      <c r="AW114" s="12">
        <f t="shared" si="30"/>
        <v>6</v>
      </c>
      <c r="AX114" s="12">
        <f t="shared" si="28"/>
        <v>71.099999999999994</v>
      </c>
      <c r="AY114" s="9"/>
      <c r="AZ114" s="12">
        <f t="shared" si="31"/>
        <v>10.9</v>
      </c>
      <c r="BA114" s="12">
        <f t="shared" si="31"/>
        <v>53.5</v>
      </c>
      <c r="BB114" s="12">
        <f t="shared" si="31"/>
        <v>28.4</v>
      </c>
      <c r="BC114" s="12">
        <f t="shared" si="31"/>
        <v>26.200000000000003</v>
      </c>
      <c r="BD114" s="12">
        <f t="shared" si="32"/>
        <v>62.8</v>
      </c>
      <c r="BE114" s="12">
        <f t="shared" si="19"/>
        <v>6</v>
      </c>
      <c r="BF114" s="12">
        <f t="shared" si="19"/>
        <v>12</v>
      </c>
      <c r="BG114" s="12">
        <f t="shared" si="19"/>
        <v>62.8</v>
      </c>
      <c r="BH114" s="12">
        <f t="shared" si="19"/>
        <v>1</v>
      </c>
      <c r="BI114" s="12">
        <f t="shared" si="20"/>
        <v>0</v>
      </c>
    </row>
    <row r="115" spans="1:61" ht="15.75" customHeight="1" x14ac:dyDescent="0.25">
      <c r="A115" s="1" t="s">
        <v>213</v>
      </c>
      <c r="B115" s="3" t="s">
        <v>131</v>
      </c>
      <c r="C115" s="4" t="s">
        <v>8</v>
      </c>
      <c r="D115" s="4">
        <v>38</v>
      </c>
      <c r="E115" s="4">
        <v>514</v>
      </c>
      <c r="F115" s="4">
        <v>38</v>
      </c>
      <c r="G115" s="4">
        <v>514</v>
      </c>
      <c r="H115" s="4">
        <v>7.9</v>
      </c>
      <c r="I115" s="4">
        <v>0.499</v>
      </c>
      <c r="J115" s="4">
        <v>0.48</v>
      </c>
      <c r="K115" s="4">
        <v>0.72899999999999998</v>
      </c>
      <c r="L115" s="4">
        <v>0.107</v>
      </c>
      <c r="M115" s="4">
        <v>0.7</v>
      </c>
      <c r="N115" s="4">
        <v>5.0999999999999996</v>
      </c>
      <c r="O115" s="4">
        <v>14.6</v>
      </c>
      <c r="P115" s="4">
        <v>1</v>
      </c>
      <c r="Q115" s="4">
        <v>1.3</v>
      </c>
      <c r="R115" s="4">
        <v>13.5</v>
      </c>
      <c r="S115" s="4">
        <v>18.100000000000001</v>
      </c>
      <c r="T115" s="4">
        <v>94</v>
      </c>
      <c r="U115" s="4">
        <v>114</v>
      </c>
      <c r="V115" s="4"/>
      <c r="W115" s="4">
        <v>-0.4</v>
      </c>
      <c r="X115" s="4">
        <v>0.3</v>
      </c>
      <c r="Y115" s="4">
        <v>-0.1</v>
      </c>
      <c r="Z115" s="4">
        <v>-8.9999999999999993E-3</v>
      </c>
      <c r="AA115" s="13">
        <f>(I115/TOTAL_BASIC!$D$301)*100</f>
        <v>88.880909658914447</v>
      </c>
      <c r="AB115" s="5">
        <f t="shared" si="21"/>
        <v>0.94</v>
      </c>
      <c r="AC115" s="3">
        <f t="shared" si="33"/>
        <v>-20</v>
      </c>
      <c r="AD115" s="9">
        <f t="shared" si="22"/>
        <v>0.998</v>
      </c>
      <c r="AE115" s="16">
        <f t="shared" si="23"/>
        <v>0.80662983425414359</v>
      </c>
      <c r="AF115" s="16">
        <f t="shared" si="24"/>
        <v>1.0814814814814815</v>
      </c>
      <c r="AG115" s="9"/>
      <c r="AH115" s="9"/>
      <c r="AI115" s="12">
        <f t="shared" si="25"/>
        <v>53</v>
      </c>
      <c r="AJ115" s="12">
        <f t="shared" si="26"/>
        <v>38.700000000000003</v>
      </c>
      <c r="AK115" s="12">
        <f t="shared" si="26"/>
        <v>11.4</v>
      </c>
      <c r="AL115" s="12">
        <f t="shared" si="26"/>
        <v>21.3</v>
      </c>
      <c r="AM115" s="12">
        <f t="shared" si="26"/>
        <v>32.200000000000003</v>
      </c>
      <c r="AN115" s="12">
        <f t="shared" si="18"/>
        <v>96.7</v>
      </c>
      <c r="AO115" s="12">
        <f t="shared" si="18"/>
        <v>7.1</v>
      </c>
      <c r="AP115" s="12">
        <f t="shared" si="18"/>
        <v>1</v>
      </c>
      <c r="AQ115" s="12">
        <f t="shared" si="18"/>
        <v>14.2</v>
      </c>
      <c r="AR115" s="12">
        <f t="shared" si="29"/>
        <v>56.2</v>
      </c>
      <c r="AS115" s="12">
        <f t="shared" si="29"/>
        <v>10.9</v>
      </c>
      <c r="AT115" s="12">
        <f t="shared" si="29"/>
        <v>50.8</v>
      </c>
      <c r="AU115" s="12">
        <f t="shared" si="27"/>
        <v>62.9</v>
      </c>
      <c r="AV115" s="12">
        <f t="shared" si="30"/>
        <v>48.6</v>
      </c>
      <c r="AW115" s="12">
        <f t="shared" si="30"/>
        <v>8.1</v>
      </c>
      <c r="AX115" s="12">
        <f t="shared" si="28"/>
        <v>25.700000000000003</v>
      </c>
      <c r="AY115" s="9"/>
      <c r="AZ115" s="12">
        <f t="shared" si="31"/>
        <v>6.5</v>
      </c>
      <c r="BA115" s="12">
        <f t="shared" si="31"/>
        <v>28.4</v>
      </c>
      <c r="BB115" s="12">
        <f t="shared" si="31"/>
        <v>9.1999999999999993</v>
      </c>
      <c r="BC115" s="12">
        <f t="shared" si="31"/>
        <v>8.6999999999999993</v>
      </c>
      <c r="BD115" s="12">
        <f t="shared" si="32"/>
        <v>21.3</v>
      </c>
      <c r="BE115" s="12">
        <f t="shared" si="19"/>
        <v>8.1</v>
      </c>
      <c r="BF115" s="12">
        <f t="shared" si="19"/>
        <v>7.6</v>
      </c>
      <c r="BG115" s="12">
        <f t="shared" si="19"/>
        <v>21.3</v>
      </c>
      <c r="BH115" s="12">
        <f t="shared" si="19"/>
        <v>58.4</v>
      </c>
      <c r="BI115" s="12">
        <f t="shared" si="20"/>
        <v>61.199999999999996</v>
      </c>
    </row>
    <row r="116" spans="1:61" ht="15.75" customHeight="1" x14ac:dyDescent="0.25">
      <c r="A116" s="1" t="s">
        <v>221</v>
      </c>
      <c r="B116" s="3" t="s">
        <v>157</v>
      </c>
      <c r="C116" s="4" t="s">
        <v>8</v>
      </c>
      <c r="D116" s="4">
        <v>37</v>
      </c>
      <c r="E116" s="4">
        <v>507</v>
      </c>
      <c r="F116" s="4">
        <v>37</v>
      </c>
      <c r="G116" s="4">
        <v>507</v>
      </c>
      <c r="H116" s="4">
        <v>11.6</v>
      </c>
      <c r="I116" s="4">
        <v>0.56699999999999995</v>
      </c>
      <c r="J116" s="4">
        <v>0.52400000000000002</v>
      </c>
      <c r="K116" s="4">
        <v>0.54</v>
      </c>
      <c r="L116" s="4">
        <v>0.218</v>
      </c>
      <c r="M116" s="4">
        <v>1.6</v>
      </c>
      <c r="N116" s="4">
        <v>4.8</v>
      </c>
      <c r="O116" s="4">
        <v>19.600000000000001</v>
      </c>
      <c r="P116" s="4">
        <v>1</v>
      </c>
      <c r="Q116" s="4">
        <v>0.8</v>
      </c>
      <c r="R116" s="4">
        <v>12.3</v>
      </c>
      <c r="S116" s="4">
        <v>13.4</v>
      </c>
      <c r="T116" s="4">
        <v>122</v>
      </c>
      <c r="U116" s="4">
        <v>115</v>
      </c>
      <c r="V116" s="4"/>
      <c r="W116" s="4">
        <v>1.1000000000000001</v>
      </c>
      <c r="X116" s="4">
        <v>0.2</v>
      </c>
      <c r="Y116" s="4">
        <v>1.3</v>
      </c>
      <c r="Z116" s="4">
        <v>0.10100000000000001</v>
      </c>
      <c r="AA116" s="13">
        <f>(I116/TOTAL_BASIC!$D$301)*100</f>
        <v>100.9929374280651</v>
      </c>
      <c r="AB116" s="5">
        <f t="shared" si="21"/>
        <v>1.22</v>
      </c>
      <c r="AC116" s="3">
        <f t="shared" si="33"/>
        <v>7</v>
      </c>
      <c r="AD116" s="9">
        <f t="shared" si="22"/>
        <v>1.1339999999999999</v>
      </c>
      <c r="AE116" s="16">
        <f t="shared" si="23"/>
        <v>1.4626865671641791</v>
      </c>
      <c r="AF116" s="16">
        <f t="shared" si="24"/>
        <v>1.5934959349593496</v>
      </c>
      <c r="AG116" s="9"/>
      <c r="AH116" s="9"/>
      <c r="AI116" s="12">
        <f t="shared" si="25"/>
        <v>48</v>
      </c>
      <c r="AJ116" s="12">
        <f t="shared" si="26"/>
        <v>38.200000000000003</v>
      </c>
      <c r="AK116" s="12">
        <f t="shared" si="26"/>
        <v>40.400000000000006</v>
      </c>
      <c r="AL116" s="12">
        <f t="shared" si="26"/>
        <v>60.099999999999994</v>
      </c>
      <c r="AM116" s="12">
        <f t="shared" si="26"/>
        <v>59</v>
      </c>
      <c r="AN116" s="12">
        <f t="shared" si="18"/>
        <v>79.2</v>
      </c>
      <c r="AO116" s="12">
        <f t="shared" si="18"/>
        <v>30.599999999999998</v>
      </c>
      <c r="AP116" s="12">
        <f t="shared" si="18"/>
        <v>11.4</v>
      </c>
      <c r="AQ116" s="12">
        <f t="shared" si="18"/>
        <v>9.8000000000000007</v>
      </c>
      <c r="AR116" s="12">
        <f t="shared" si="29"/>
        <v>74.8</v>
      </c>
      <c r="AS116" s="12">
        <f t="shared" si="29"/>
        <v>10.9</v>
      </c>
      <c r="AT116" s="12">
        <f t="shared" si="29"/>
        <v>28.4</v>
      </c>
      <c r="AU116" s="12">
        <f t="shared" si="27"/>
        <v>72.199999999999989</v>
      </c>
      <c r="AV116" s="12">
        <f t="shared" si="30"/>
        <v>13.100000000000001</v>
      </c>
      <c r="AW116" s="12">
        <f t="shared" si="30"/>
        <v>89</v>
      </c>
      <c r="AX116" s="12">
        <f t="shared" si="28"/>
        <v>18.600000000000009</v>
      </c>
      <c r="AY116" s="9"/>
      <c r="AZ116" s="12">
        <f t="shared" si="31"/>
        <v>70.399999999999991</v>
      </c>
      <c r="BA116" s="12">
        <f t="shared" si="31"/>
        <v>19.600000000000001</v>
      </c>
      <c r="BB116" s="12">
        <f t="shared" si="31"/>
        <v>59.5</v>
      </c>
      <c r="BC116" s="12">
        <f t="shared" si="31"/>
        <v>64.400000000000006</v>
      </c>
      <c r="BD116" s="12">
        <f t="shared" si="32"/>
        <v>60.099999999999994</v>
      </c>
      <c r="BE116" s="12">
        <f t="shared" si="19"/>
        <v>89</v>
      </c>
      <c r="BF116" s="12">
        <f t="shared" si="19"/>
        <v>74.8</v>
      </c>
      <c r="BG116" s="12">
        <f t="shared" si="19"/>
        <v>60.099999999999994</v>
      </c>
      <c r="BH116" s="12">
        <f t="shared" si="19"/>
        <v>91.8</v>
      </c>
      <c r="BI116" s="12">
        <f t="shared" si="20"/>
        <v>83.6</v>
      </c>
    </row>
    <row r="117" spans="1:61" ht="15.75" customHeight="1" x14ac:dyDescent="0.25">
      <c r="A117" s="1" t="s">
        <v>264</v>
      </c>
      <c r="B117" s="3" t="s">
        <v>84</v>
      </c>
      <c r="C117" s="4" t="s">
        <v>112</v>
      </c>
      <c r="D117" s="4">
        <v>28</v>
      </c>
      <c r="E117" s="4">
        <v>504</v>
      </c>
      <c r="F117" s="4">
        <v>28</v>
      </c>
      <c r="G117" s="4">
        <v>504</v>
      </c>
      <c r="H117" s="4">
        <v>10.4</v>
      </c>
      <c r="I117" s="4">
        <v>0.57999999999999996</v>
      </c>
      <c r="J117" s="4">
        <v>0.56000000000000005</v>
      </c>
      <c r="K117" s="4">
        <v>0.68400000000000005</v>
      </c>
      <c r="L117" s="4">
        <v>0.113</v>
      </c>
      <c r="M117" s="4">
        <v>4</v>
      </c>
      <c r="N117" s="4">
        <v>8.1999999999999993</v>
      </c>
      <c r="O117" s="4">
        <v>5.4</v>
      </c>
      <c r="P117" s="4">
        <v>1.5</v>
      </c>
      <c r="Q117" s="4">
        <v>2.1</v>
      </c>
      <c r="R117" s="4">
        <v>10.9</v>
      </c>
      <c r="S117" s="4">
        <v>13.9</v>
      </c>
      <c r="T117" s="4">
        <v>112</v>
      </c>
      <c r="U117" s="4">
        <v>110</v>
      </c>
      <c r="V117" s="4"/>
      <c r="W117" s="4">
        <v>0.5</v>
      </c>
      <c r="X117" s="4">
        <v>0.6</v>
      </c>
      <c r="Y117" s="4">
        <v>1.1000000000000001</v>
      </c>
      <c r="Z117" s="4">
        <v>8.8999999999999996E-2</v>
      </c>
      <c r="AA117" s="13">
        <f>(I117/TOTAL_BASIC!$D$301)*100</f>
        <v>103.30847214863803</v>
      </c>
      <c r="AB117" s="5">
        <f t="shared" si="21"/>
        <v>1.1200000000000001</v>
      </c>
      <c r="AC117" s="3">
        <f t="shared" si="33"/>
        <v>2</v>
      </c>
      <c r="AD117" s="9">
        <f t="shared" si="22"/>
        <v>1.1599999999999999</v>
      </c>
      <c r="AE117" s="16">
        <f t="shared" si="23"/>
        <v>0.38848920863309355</v>
      </c>
      <c r="AF117" s="16">
        <f t="shared" si="24"/>
        <v>0.49541284403669728</v>
      </c>
      <c r="AG117" s="9"/>
      <c r="AH117" s="9"/>
      <c r="AI117" s="12">
        <f t="shared" si="25"/>
        <v>25.1</v>
      </c>
      <c r="AJ117" s="12">
        <f t="shared" si="26"/>
        <v>37.1</v>
      </c>
      <c r="AK117" s="12">
        <f t="shared" si="26"/>
        <v>31.1</v>
      </c>
      <c r="AL117" s="12">
        <f t="shared" si="26"/>
        <v>66.600000000000009</v>
      </c>
      <c r="AM117" s="12">
        <f t="shared" si="26"/>
        <v>78.100000000000009</v>
      </c>
      <c r="AN117" s="12">
        <f t="shared" si="18"/>
        <v>91.8</v>
      </c>
      <c r="AO117" s="12">
        <f t="shared" si="18"/>
        <v>8.1</v>
      </c>
      <c r="AP117" s="12">
        <f t="shared" si="18"/>
        <v>46.9</v>
      </c>
      <c r="AQ117" s="12">
        <f t="shared" si="18"/>
        <v>45.9</v>
      </c>
      <c r="AR117" s="12">
        <f t="shared" si="29"/>
        <v>2.7</v>
      </c>
      <c r="AS117" s="12">
        <f t="shared" si="29"/>
        <v>33.800000000000004</v>
      </c>
      <c r="AT117" s="12">
        <f t="shared" si="29"/>
        <v>67.2</v>
      </c>
      <c r="AU117" s="12">
        <f t="shared" si="27"/>
        <v>84.2</v>
      </c>
      <c r="AV117" s="12">
        <f t="shared" si="30"/>
        <v>14.7</v>
      </c>
      <c r="AW117" s="12">
        <f t="shared" si="30"/>
        <v>67.2</v>
      </c>
      <c r="AX117" s="12">
        <f t="shared" si="28"/>
        <v>56.3</v>
      </c>
      <c r="AY117" s="9"/>
      <c r="AZ117" s="12">
        <f t="shared" si="31"/>
        <v>51.9</v>
      </c>
      <c r="BA117" s="12">
        <f t="shared" si="31"/>
        <v>47.5</v>
      </c>
      <c r="BB117" s="12">
        <f t="shared" si="31"/>
        <v>53</v>
      </c>
      <c r="BC117" s="12">
        <f t="shared" si="31"/>
        <v>60.099999999999994</v>
      </c>
      <c r="BD117" s="12">
        <f t="shared" si="32"/>
        <v>66.600000000000009</v>
      </c>
      <c r="BE117" s="12">
        <f t="shared" si="19"/>
        <v>67.2</v>
      </c>
      <c r="BF117" s="12">
        <f t="shared" si="19"/>
        <v>65</v>
      </c>
      <c r="BG117" s="12">
        <f t="shared" si="19"/>
        <v>66.600000000000009</v>
      </c>
      <c r="BH117" s="12">
        <f t="shared" si="19"/>
        <v>7.6</v>
      </c>
      <c r="BI117" s="12">
        <f t="shared" si="20"/>
        <v>10.9</v>
      </c>
    </row>
    <row r="118" spans="1:61" ht="15.75" customHeight="1" x14ac:dyDescent="0.25">
      <c r="A118" s="1" t="s">
        <v>234</v>
      </c>
      <c r="B118" s="3" t="s">
        <v>232</v>
      </c>
      <c r="C118" s="4" t="s">
        <v>85</v>
      </c>
      <c r="D118" s="4">
        <v>38</v>
      </c>
      <c r="E118" s="4">
        <v>504</v>
      </c>
      <c r="F118" s="4">
        <v>38</v>
      </c>
      <c r="G118" s="4">
        <v>504</v>
      </c>
      <c r="H118" s="4">
        <v>12.2</v>
      </c>
      <c r="I118" s="4">
        <v>0.57599999999999996</v>
      </c>
      <c r="J118" s="4">
        <v>0.55300000000000005</v>
      </c>
      <c r="K118" s="4">
        <v>1.6E-2</v>
      </c>
      <c r="L118" s="4">
        <v>0.42599999999999999</v>
      </c>
      <c r="M118" s="4">
        <v>8.6999999999999993</v>
      </c>
      <c r="N118" s="4">
        <v>13.2</v>
      </c>
      <c r="O118" s="4">
        <v>5.8</v>
      </c>
      <c r="P118" s="4">
        <v>1.9</v>
      </c>
      <c r="Q118" s="4">
        <v>3.1</v>
      </c>
      <c r="R118" s="4">
        <v>17.2</v>
      </c>
      <c r="S118" s="4">
        <v>15.6</v>
      </c>
      <c r="T118" s="4">
        <v>106</v>
      </c>
      <c r="U118" s="4">
        <v>113</v>
      </c>
      <c r="V118" s="4"/>
      <c r="W118" s="4">
        <v>0.3</v>
      </c>
      <c r="X118" s="4">
        <v>0.3</v>
      </c>
      <c r="Y118" s="4">
        <v>0.6</v>
      </c>
      <c r="Z118" s="4">
        <v>0.05</v>
      </c>
      <c r="AA118" s="13">
        <f>(I118/TOTAL_BASIC!$D$301)*100</f>
        <v>102.59599992692327</v>
      </c>
      <c r="AB118" s="5">
        <f t="shared" si="21"/>
        <v>1.06</v>
      </c>
      <c r="AC118" s="3">
        <f t="shared" si="33"/>
        <v>-7</v>
      </c>
      <c r="AD118" s="9">
        <f t="shared" si="22"/>
        <v>1.1519999999999999</v>
      </c>
      <c r="AE118" s="16">
        <f t="shared" si="23"/>
        <v>0.37179487179487181</v>
      </c>
      <c r="AF118" s="16">
        <f t="shared" si="24"/>
        <v>0.33720930232558138</v>
      </c>
      <c r="AG118" s="9"/>
      <c r="AH118" s="9"/>
      <c r="AI118" s="12">
        <f t="shared" si="25"/>
        <v>53</v>
      </c>
      <c r="AJ118" s="12">
        <f t="shared" si="26"/>
        <v>37.1</v>
      </c>
      <c r="AK118" s="12">
        <f t="shared" si="26"/>
        <v>44.800000000000004</v>
      </c>
      <c r="AL118" s="12">
        <f t="shared" si="26"/>
        <v>63.9</v>
      </c>
      <c r="AM118" s="12">
        <f t="shared" si="26"/>
        <v>75.400000000000006</v>
      </c>
      <c r="AN118" s="12">
        <f t="shared" si="18"/>
        <v>3.8</v>
      </c>
      <c r="AO118" s="12">
        <f t="shared" si="18"/>
        <v>81.399999999999991</v>
      </c>
      <c r="AP118" s="12">
        <f t="shared" si="18"/>
        <v>83</v>
      </c>
      <c r="AQ118" s="12">
        <f t="shared" si="18"/>
        <v>77.5</v>
      </c>
      <c r="AR118" s="12">
        <f t="shared" si="29"/>
        <v>3.8</v>
      </c>
      <c r="AS118" s="12">
        <f t="shared" si="29"/>
        <v>57.9</v>
      </c>
      <c r="AT118" s="12">
        <f t="shared" si="29"/>
        <v>81.399999999999991</v>
      </c>
      <c r="AU118" s="12">
        <f t="shared" si="27"/>
        <v>31.200000000000003</v>
      </c>
      <c r="AV118" s="12">
        <f t="shared" si="30"/>
        <v>21.8</v>
      </c>
      <c r="AW118" s="12">
        <f t="shared" si="30"/>
        <v>45.9</v>
      </c>
      <c r="AX118" s="12">
        <f t="shared" si="28"/>
        <v>29.600000000000009</v>
      </c>
      <c r="AY118" s="9"/>
      <c r="AZ118" s="12">
        <f t="shared" si="31"/>
        <v>42</v>
      </c>
      <c r="BA118" s="12">
        <f t="shared" si="31"/>
        <v>28.4</v>
      </c>
      <c r="BB118" s="12">
        <f t="shared" si="31"/>
        <v>33.300000000000004</v>
      </c>
      <c r="BC118" s="12">
        <f t="shared" si="31"/>
        <v>36</v>
      </c>
      <c r="BD118" s="12">
        <f t="shared" si="32"/>
        <v>63.9</v>
      </c>
      <c r="BE118" s="12">
        <f t="shared" si="19"/>
        <v>45.9</v>
      </c>
      <c r="BF118" s="12">
        <f t="shared" si="19"/>
        <v>38.200000000000003</v>
      </c>
      <c r="BG118" s="12">
        <f t="shared" si="19"/>
        <v>63.9</v>
      </c>
      <c r="BH118" s="12">
        <f t="shared" si="19"/>
        <v>5.4</v>
      </c>
      <c r="BI118" s="12">
        <f t="shared" si="20"/>
        <v>1.6</v>
      </c>
    </row>
    <row r="119" spans="1:61" ht="15.75" customHeight="1" x14ac:dyDescent="0.25">
      <c r="A119" s="1" t="s">
        <v>160</v>
      </c>
      <c r="B119" s="3" t="s">
        <v>161</v>
      </c>
      <c r="C119" s="4" t="s">
        <v>8</v>
      </c>
      <c r="D119" s="4">
        <v>17</v>
      </c>
      <c r="E119" s="4">
        <v>500</v>
      </c>
      <c r="F119" s="4">
        <v>17</v>
      </c>
      <c r="G119" s="4">
        <v>500</v>
      </c>
      <c r="H119" s="4">
        <v>19</v>
      </c>
      <c r="I119" s="4">
        <v>0.54300000000000004</v>
      </c>
      <c r="J119" s="4">
        <v>0.45100000000000001</v>
      </c>
      <c r="K119" s="4">
        <v>0.254</v>
      </c>
      <c r="L119" s="4">
        <v>0.439</v>
      </c>
      <c r="M119" s="4">
        <v>3.9</v>
      </c>
      <c r="N119" s="4">
        <v>7.1</v>
      </c>
      <c r="O119" s="4">
        <v>21.2</v>
      </c>
      <c r="P119" s="4">
        <v>2</v>
      </c>
      <c r="Q119" s="4">
        <v>1.5</v>
      </c>
      <c r="R119" s="4">
        <v>11</v>
      </c>
      <c r="S119" s="4">
        <v>28.8</v>
      </c>
      <c r="T119" s="4">
        <v>110</v>
      </c>
      <c r="U119" s="4">
        <v>119</v>
      </c>
      <c r="V119" s="4"/>
      <c r="W119" s="4">
        <v>1</v>
      </c>
      <c r="X119" s="4">
        <v>-0.1</v>
      </c>
      <c r="Y119" s="4">
        <v>0.9</v>
      </c>
      <c r="Z119" s="4">
        <v>6.9000000000000006E-2</v>
      </c>
      <c r="AA119" s="13">
        <f>(I119/TOTAL_BASIC!$D$301)*100</f>
        <v>96.718104097776646</v>
      </c>
      <c r="AB119" s="5">
        <f t="shared" si="21"/>
        <v>1.1000000000000001</v>
      </c>
      <c r="AC119" s="3">
        <f t="shared" si="33"/>
        <v>-9</v>
      </c>
      <c r="AD119" s="9">
        <f t="shared" si="22"/>
        <v>1.0860000000000001</v>
      </c>
      <c r="AE119" s="16">
        <f t="shared" si="23"/>
        <v>0.73611111111111105</v>
      </c>
      <c r="AF119" s="16">
        <f t="shared" si="24"/>
        <v>1.9272727272727272</v>
      </c>
      <c r="AG119" s="9"/>
      <c r="AH119" s="9"/>
      <c r="AI119" s="12">
        <f t="shared" si="25"/>
        <v>9.8000000000000007</v>
      </c>
      <c r="AJ119" s="12">
        <f t="shared" si="26"/>
        <v>36.6</v>
      </c>
      <c r="AK119" s="12">
        <f t="shared" si="26"/>
        <v>79.7</v>
      </c>
      <c r="AL119" s="12">
        <f t="shared" si="26"/>
        <v>42</v>
      </c>
      <c r="AM119" s="12">
        <f t="shared" si="26"/>
        <v>19.100000000000001</v>
      </c>
      <c r="AN119" s="12">
        <f t="shared" si="18"/>
        <v>22.900000000000002</v>
      </c>
      <c r="AO119" s="12">
        <f t="shared" si="18"/>
        <v>83</v>
      </c>
      <c r="AP119" s="12">
        <f t="shared" si="18"/>
        <v>44.800000000000004</v>
      </c>
      <c r="AQ119" s="12">
        <f t="shared" si="18"/>
        <v>36</v>
      </c>
      <c r="AR119" s="12">
        <f t="shared" si="29"/>
        <v>78.600000000000009</v>
      </c>
      <c r="AS119" s="12">
        <f t="shared" si="29"/>
        <v>64.400000000000006</v>
      </c>
      <c r="AT119" s="12">
        <f t="shared" si="29"/>
        <v>57.3</v>
      </c>
      <c r="AU119" s="12">
        <f t="shared" si="27"/>
        <v>83.1</v>
      </c>
      <c r="AV119" s="12">
        <f t="shared" si="30"/>
        <v>95.6</v>
      </c>
      <c r="AW119" s="12">
        <f t="shared" si="30"/>
        <v>60.099999999999994</v>
      </c>
      <c r="AX119" s="12">
        <f t="shared" si="28"/>
        <v>5</v>
      </c>
      <c r="AY119" s="9"/>
      <c r="AZ119" s="12">
        <f t="shared" si="31"/>
        <v>67.7</v>
      </c>
      <c r="BA119" s="12">
        <f t="shared" si="31"/>
        <v>2.7</v>
      </c>
      <c r="BB119" s="12">
        <f t="shared" si="31"/>
        <v>44.2</v>
      </c>
      <c r="BC119" s="12">
        <f t="shared" si="31"/>
        <v>46.400000000000006</v>
      </c>
      <c r="BD119" s="12">
        <f t="shared" si="32"/>
        <v>42</v>
      </c>
      <c r="BE119" s="12">
        <f t="shared" si="19"/>
        <v>60.099999999999994</v>
      </c>
      <c r="BF119" s="12">
        <f t="shared" si="19"/>
        <v>33.800000000000004</v>
      </c>
      <c r="BG119" s="12">
        <f t="shared" si="19"/>
        <v>42</v>
      </c>
      <c r="BH119" s="12">
        <f t="shared" si="19"/>
        <v>54</v>
      </c>
      <c r="BI119" s="12">
        <f t="shared" si="20"/>
        <v>93.4</v>
      </c>
    </row>
    <row r="120" spans="1:61" ht="15.75" customHeight="1" x14ac:dyDescent="0.25">
      <c r="A120" s="1" t="s">
        <v>206</v>
      </c>
      <c r="B120" s="3" t="s">
        <v>157</v>
      </c>
      <c r="C120" s="4" t="s">
        <v>85</v>
      </c>
      <c r="D120" s="4">
        <v>36</v>
      </c>
      <c r="E120" s="4">
        <v>496</v>
      </c>
      <c r="F120" s="4">
        <v>36</v>
      </c>
      <c r="G120" s="4">
        <v>496</v>
      </c>
      <c r="H120" s="4">
        <v>10.5</v>
      </c>
      <c r="I120" s="4">
        <v>0.54200000000000004</v>
      </c>
      <c r="J120" s="4">
        <v>0.52300000000000002</v>
      </c>
      <c r="K120" s="4">
        <v>0.20699999999999999</v>
      </c>
      <c r="L120" s="4">
        <v>0.27900000000000003</v>
      </c>
      <c r="M120" s="4">
        <v>5.8</v>
      </c>
      <c r="N120" s="4">
        <v>15</v>
      </c>
      <c r="O120" s="4">
        <v>14.4</v>
      </c>
      <c r="P120" s="4">
        <v>1.7</v>
      </c>
      <c r="Q120" s="4">
        <v>2.4</v>
      </c>
      <c r="R120" s="4">
        <v>23.8</v>
      </c>
      <c r="S120" s="4">
        <v>14.4</v>
      </c>
      <c r="T120" s="4">
        <v>101</v>
      </c>
      <c r="U120" s="4">
        <v>108</v>
      </c>
      <c r="V120" s="4"/>
      <c r="W120" s="4">
        <v>0.1</v>
      </c>
      <c r="X120" s="4">
        <v>0.7</v>
      </c>
      <c r="Y120" s="4">
        <v>0.7</v>
      </c>
      <c r="Z120" s="4">
        <v>5.8999999999999997E-2</v>
      </c>
      <c r="AA120" s="13">
        <f>(I120/TOTAL_BASIC!$D$301)*100</f>
        <v>96.539986042347977</v>
      </c>
      <c r="AB120" s="5">
        <f t="shared" si="21"/>
        <v>1.01</v>
      </c>
      <c r="AC120" s="3">
        <f t="shared" si="33"/>
        <v>-7</v>
      </c>
      <c r="AD120" s="9">
        <f t="shared" si="22"/>
        <v>1.0840000000000001</v>
      </c>
      <c r="AE120" s="16">
        <f t="shared" si="23"/>
        <v>1</v>
      </c>
      <c r="AF120" s="16">
        <f t="shared" si="24"/>
        <v>0.60504201680672265</v>
      </c>
      <c r="AG120" s="9"/>
      <c r="AH120" s="9"/>
      <c r="AI120" s="12">
        <f t="shared" si="25"/>
        <v>45.300000000000004</v>
      </c>
      <c r="AJ120" s="12">
        <f t="shared" si="26"/>
        <v>36</v>
      </c>
      <c r="AK120" s="12">
        <f t="shared" si="26"/>
        <v>31.6</v>
      </c>
      <c r="AL120" s="12">
        <f t="shared" si="26"/>
        <v>41.5</v>
      </c>
      <c r="AM120" s="12">
        <f t="shared" si="26"/>
        <v>57.3</v>
      </c>
      <c r="AN120" s="12">
        <f t="shared" si="18"/>
        <v>16.3</v>
      </c>
      <c r="AO120" s="12">
        <f t="shared" si="18"/>
        <v>49.7</v>
      </c>
      <c r="AP120" s="12">
        <f t="shared" si="18"/>
        <v>62.8</v>
      </c>
      <c r="AQ120" s="12">
        <f t="shared" si="18"/>
        <v>83</v>
      </c>
      <c r="AR120" s="12">
        <f t="shared" si="29"/>
        <v>55.1</v>
      </c>
      <c r="AS120" s="12">
        <f t="shared" si="29"/>
        <v>43.7</v>
      </c>
      <c r="AT120" s="12">
        <f t="shared" si="29"/>
        <v>72.599999999999994</v>
      </c>
      <c r="AU120" s="12">
        <f t="shared" si="27"/>
        <v>4.4000000000000057</v>
      </c>
      <c r="AV120" s="12">
        <f t="shared" si="30"/>
        <v>16.900000000000002</v>
      </c>
      <c r="AW120" s="12">
        <f t="shared" si="30"/>
        <v>28.4</v>
      </c>
      <c r="AX120" s="12">
        <f t="shared" si="28"/>
        <v>71.099999999999994</v>
      </c>
      <c r="AY120" s="9"/>
      <c r="AZ120" s="12">
        <f t="shared" si="31"/>
        <v>31.1</v>
      </c>
      <c r="BA120" s="12">
        <f t="shared" si="31"/>
        <v>53.5</v>
      </c>
      <c r="BB120" s="12">
        <f t="shared" si="31"/>
        <v>37.1</v>
      </c>
      <c r="BC120" s="12">
        <f t="shared" si="31"/>
        <v>39.800000000000004</v>
      </c>
      <c r="BD120" s="12">
        <f t="shared" si="32"/>
        <v>41.5</v>
      </c>
      <c r="BE120" s="12">
        <f t="shared" si="19"/>
        <v>28.4</v>
      </c>
      <c r="BF120" s="12">
        <f t="shared" si="19"/>
        <v>38.200000000000003</v>
      </c>
      <c r="BG120" s="12">
        <f t="shared" si="19"/>
        <v>41.5</v>
      </c>
      <c r="BH120" s="12">
        <f t="shared" si="19"/>
        <v>72.599999999999994</v>
      </c>
      <c r="BI120" s="12">
        <f t="shared" si="20"/>
        <v>18</v>
      </c>
    </row>
    <row r="121" spans="1:61" ht="15.75" customHeight="1" x14ac:dyDescent="0.25">
      <c r="A121" s="1" t="s">
        <v>254</v>
      </c>
      <c r="B121" s="3" t="s">
        <v>232</v>
      </c>
      <c r="C121" s="4" t="s">
        <v>8</v>
      </c>
      <c r="D121" s="4">
        <v>31</v>
      </c>
      <c r="E121" s="4">
        <v>494</v>
      </c>
      <c r="F121" s="4">
        <v>31</v>
      </c>
      <c r="G121" s="4">
        <v>494</v>
      </c>
      <c r="H121" s="4">
        <v>10</v>
      </c>
      <c r="I121" s="4">
        <v>0.55800000000000005</v>
      </c>
      <c r="J121" s="4">
        <v>0.496</v>
      </c>
      <c r="K121" s="4">
        <v>0.84199999999999997</v>
      </c>
      <c r="L121" s="4">
        <v>0.308</v>
      </c>
      <c r="M121" s="4">
        <v>3.8</v>
      </c>
      <c r="N121" s="4">
        <v>6</v>
      </c>
      <c r="O121" s="4">
        <v>7.6</v>
      </c>
      <c r="P121" s="4">
        <v>1.8</v>
      </c>
      <c r="Q121" s="4">
        <v>0.6</v>
      </c>
      <c r="R121" s="4">
        <v>7.5</v>
      </c>
      <c r="S121" s="4">
        <v>13.4</v>
      </c>
      <c r="T121" s="4">
        <v>118</v>
      </c>
      <c r="U121" s="4">
        <v>118</v>
      </c>
      <c r="V121" s="4"/>
      <c r="W121" s="4">
        <v>0.8</v>
      </c>
      <c r="X121" s="4">
        <v>0</v>
      </c>
      <c r="Y121" s="4">
        <v>0.8</v>
      </c>
      <c r="Z121" s="4">
        <v>6.2E-2</v>
      </c>
      <c r="AA121" s="13">
        <f>(I121/TOTAL_BASIC!$D$301)*100</f>
        <v>99.38987492920694</v>
      </c>
      <c r="AB121" s="5">
        <f t="shared" si="21"/>
        <v>1.18</v>
      </c>
      <c r="AC121" s="3">
        <f t="shared" si="33"/>
        <v>0</v>
      </c>
      <c r="AD121" s="9">
        <f t="shared" si="22"/>
        <v>1.1160000000000001</v>
      </c>
      <c r="AE121" s="16">
        <f t="shared" si="23"/>
        <v>0.56716417910447758</v>
      </c>
      <c r="AF121" s="16">
        <f t="shared" si="24"/>
        <v>1.0133333333333332</v>
      </c>
      <c r="AG121" s="9"/>
      <c r="AH121" s="9"/>
      <c r="AI121" s="12">
        <f t="shared" si="25"/>
        <v>33.800000000000004</v>
      </c>
      <c r="AJ121" s="12">
        <f t="shared" si="26"/>
        <v>35.5</v>
      </c>
      <c r="AK121" s="12">
        <f t="shared" si="26"/>
        <v>27.800000000000004</v>
      </c>
      <c r="AL121" s="12">
        <f t="shared" si="26"/>
        <v>51.300000000000004</v>
      </c>
      <c r="AM121" s="12">
        <f t="shared" si="26"/>
        <v>41.5</v>
      </c>
      <c r="AN121" s="12">
        <f t="shared" si="18"/>
        <v>100</v>
      </c>
      <c r="AO121" s="12">
        <f t="shared" si="18"/>
        <v>56.2</v>
      </c>
      <c r="AP121" s="12">
        <f t="shared" si="18"/>
        <v>43.1</v>
      </c>
      <c r="AQ121" s="12">
        <f t="shared" si="18"/>
        <v>20.7</v>
      </c>
      <c r="AR121" s="12">
        <f t="shared" si="29"/>
        <v>13.100000000000001</v>
      </c>
      <c r="AS121" s="12">
        <f t="shared" si="29"/>
        <v>49.7</v>
      </c>
      <c r="AT121" s="12">
        <f t="shared" si="29"/>
        <v>19.100000000000001</v>
      </c>
      <c r="AU121" s="12">
        <f t="shared" si="27"/>
        <v>96.8</v>
      </c>
      <c r="AV121" s="12">
        <f t="shared" si="30"/>
        <v>13.100000000000001</v>
      </c>
      <c r="AW121" s="12">
        <f t="shared" si="30"/>
        <v>81.899999999999991</v>
      </c>
      <c r="AX121" s="12">
        <f t="shared" si="28"/>
        <v>7.1999999999999886</v>
      </c>
      <c r="AY121" s="9"/>
      <c r="AZ121" s="12">
        <f t="shared" si="31"/>
        <v>63.9</v>
      </c>
      <c r="BA121" s="12">
        <f t="shared" si="31"/>
        <v>5.4</v>
      </c>
      <c r="BB121" s="12">
        <f t="shared" si="31"/>
        <v>40.400000000000006</v>
      </c>
      <c r="BC121" s="12">
        <f t="shared" si="31"/>
        <v>40.400000000000006</v>
      </c>
      <c r="BD121" s="12">
        <f t="shared" si="32"/>
        <v>51.300000000000004</v>
      </c>
      <c r="BE121" s="12">
        <f t="shared" si="19"/>
        <v>81.899999999999991</v>
      </c>
      <c r="BF121" s="12">
        <f t="shared" si="19"/>
        <v>60.099999999999994</v>
      </c>
      <c r="BG121" s="12">
        <f t="shared" si="19"/>
        <v>51.300000000000004</v>
      </c>
      <c r="BH121" s="12">
        <f t="shared" si="19"/>
        <v>28.4</v>
      </c>
      <c r="BI121" s="12">
        <f t="shared" si="20"/>
        <v>50.8</v>
      </c>
    </row>
    <row r="122" spans="1:61" ht="15.75" customHeight="1" x14ac:dyDescent="0.25">
      <c r="A122" s="1" t="s">
        <v>249</v>
      </c>
      <c r="B122" s="3" t="s">
        <v>114</v>
      </c>
      <c r="C122" s="4" t="s">
        <v>8</v>
      </c>
      <c r="D122" s="4">
        <v>32</v>
      </c>
      <c r="E122" s="4">
        <v>491</v>
      </c>
      <c r="F122" s="4">
        <v>32</v>
      </c>
      <c r="G122" s="4">
        <v>491</v>
      </c>
      <c r="H122" s="4">
        <v>11.3</v>
      </c>
      <c r="I122" s="4">
        <v>0.55300000000000005</v>
      </c>
      <c r="J122" s="4">
        <v>0.51700000000000002</v>
      </c>
      <c r="K122" s="4">
        <v>0.69799999999999995</v>
      </c>
      <c r="L122" s="4">
        <v>0.24099999999999999</v>
      </c>
      <c r="M122" s="4">
        <v>2.8</v>
      </c>
      <c r="N122" s="4">
        <v>7.8</v>
      </c>
      <c r="O122" s="4">
        <v>8.3000000000000007</v>
      </c>
      <c r="P122" s="4">
        <v>2.6</v>
      </c>
      <c r="Q122" s="4">
        <v>0.6</v>
      </c>
      <c r="R122" s="4">
        <v>10.5</v>
      </c>
      <c r="S122" s="4">
        <v>12.7</v>
      </c>
      <c r="T122" s="4">
        <v>110</v>
      </c>
      <c r="U122" s="4">
        <v>110</v>
      </c>
      <c r="V122" s="4"/>
      <c r="W122" s="4">
        <v>0.4</v>
      </c>
      <c r="X122" s="4">
        <v>0.5</v>
      </c>
      <c r="Y122" s="4">
        <v>0.9</v>
      </c>
      <c r="Z122" s="4">
        <v>7.4999999999999997E-2</v>
      </c>
      <c r="AA122" s="13">
        <f>(I122/TOTAL_BASIC!$D$301)*100</f>
        <v>98.499284652063508</v>
      </c>
      <c r="AB122" s="5">
        <f t="shared" si="21"/>
        <v>1.1000000000000001</v>
      </c>
      <c r="AC122" s="3">
        <f t="shared" si="33"/>
        <v>0</v>
      </c>
      <c r="AD122" s="9">
        <f t="shared" si="22"/>
        <v>1.1060000000000001</v>
      </c>
      <c r="AE122" s="16">
        <f t="shared" si="23"/>
        <v>0.65354330708661423</v>
      </c>
      <c r="AF122" s="16">
        <f t="shared" si="24"/>
        <v>0.79047619047619055</v>
      </c>
      <c r="AG122" s="9"/>
      <c r="AH122" s="9"/>
      <c r="AI122" s="12">
        <f t="shared" si="25"/>
        <v>35.5</v>
      </c>
      <c r="AJ122" s="12">
        <f t="shared" si="26"/>
        <v>34.4</v>
      </c>
      <c r="AK122" s="12">
        <f t="shared" si="26"/>
        <v>39.300000000000004</v>
      </c>
      <c r="AL122" s="12">
        <f t="shared" si="26"/>
        <v>46.400000000000006</v>
      </c>
      <c r="AM122" s="12">
        <f t="shared" si="26"/>
        <v>51.9</v>
      </c>
      <c r="AN122" s="12">
        <f t="shared" si="18"/>
        <v>92.800000000000011</v>
      </c>
      <c r="AO122" s="12">
        <f t="shared" si="18"/>
        <v>38.200000000000003</v>
      </c>
      <c r="AP122" s="12">
        <f t="shared" si="18"/>
        <v>30</v>
      </c>
      <c r="AQ122" s="12">
        <f t="shared" si="18"/>
        <v>42</v>
      </c>
      <c r="AR122" s="12">
        <f t="shared" si="29"/>
        <v>18</v>
      </c>
      <c r="AS122" s="12">
        <f t="shared" si="29"/>
        <v>87.9</v>
      </c>
      <c r="AT122" s="12">
        <f t="shared" si="29"/>
        <v>19.100000000000001</v>
      </c>
      <c r="AU122" s="12">
        <f t="shared" si="27"/>
        <v>85.3</v>
      </c>
      <c r="AV122" s="12">
        <f t="shared" si="30"/>
        <v>9.8000000000000007</v>
      </c>
      <c r="AW122" s="12">
        <f t="shared" si="30"/>
        <v>60.099999999999994</v>
      </c>
      <c r="AX122" s="12">
        <f t="shared" si="28"/>
        <v>56.3</v>
      </c>
      <c r="AY122" s="9"/>
      <c r="AZ122" s="12">
        <f t="shared" si="31"/>
        <v>48.6</v>
      </c>
      <c r="BA122" s="12">
        <f t="shared" si="31"/>
        <v>39.300000000000004</v>
      </c>
      <c r="BB122" s="12">
        <f t="shared" si="31"/>
        <v>44.2</v>
      </c>
      <c r="BC122" s="12">
        <f t="shared" si="31"/>
        <v>53</v>
      </c>
      <c r="BD122" s="12">
        <f t="shared" si="32"/>
        <v>46.400000000000006</v>
      </c>
      <c r="BE122" s="12">
        <f t="shared" si="19"/>
        <v>60.099999999999994</v>
      </c>
      <c r="BF122" s="12">
        <f t="shared" si="19"/>
        <v>60.099999999999994</v>
      </c>
      <c r="BG122" s="12">
        <f t="shared" si="19"/>
        <v>46.400000000000006</v>
      </c>
      <c r="BH122" s="12">
        <f t="shared" si="19"/>
        <v>41.5</v>
      </c>
      <c r="BI122" s="12">
        <f t="shared" si="20"/>
        <v>33.300000000000004</v>
      </c>
    </row>
    <row r="123" spans="1:61" ht="15.75" customHeight="1" x14ac:dyDescent="0.25">
      <c r="A123" s="1" t="s">
        <v>133</v>
      </c>
      <c r="B123" s="3" t="s">
        <v>99</v>
      </c>
      <c r="C123" s="4" t="s">
        <v>8</v>
      </c>
      <c r="D123" s="4">
        <v>34</v>
      </c>
      <c r="E123" s="4">
        <v>491</v>
      </c>
      <c r="F123" s="4">
        <v>34</v>
      </c>
      <c r="G123" s="4">
        <v>491</v>
      </c>
      <c r="H123" s="4">
        <v>9.1999999999999993</v>
      </c>
      <c r="I123" s="4">
        <v>0.48499999999999999</v>
      </c>
      <c r="J123" s="4">
        <v>0.43099999999999999</v>
      </c>
      <c r="K123" s="4">
        <v>0.33800000000000002</v>
      </c>
      <c r="L123" s="4">
        <v>0.26200000000000001</v>
      </c>
      <c r="M123" s="4">
        <v>1.2</v>
      </c>
      <c r="N123" s="4">
        <v>4</v>
      </c>
      <c r="O123" s="4">
        <v>20</v>
      </c>
      <c r="P123" s="4">
        <v>1.8</v>
      </c>
      <c r="Q123" s="4">
        <v>0.4</v>
      </c>
      <c r="R123" s="4">
        <v>17.399999999999999</v>
      </c>
      <c r="S123" s="4">
        <v>17.8</v>
      </c>
      <c r="T123" s="4">
        <v>98</v>
      </c>
      <c r="U123" s="4">
        <v>111</v>
      </c>
      <c r="V123" s="4"/>
      <c r="W123" s="4">
        <v>-0.2</v>
      </c>
      <c r="X123" s="4">
        <v>0.5</v>
      </c>
      <c r="Y123" s="4">
        <v>0.3</v>
      </c>
      <c r="Z123" s="4">
        <v>2.4E-2</v>
      </c>
      <c r="AA123" s="13">
        <f>(I123/TOTAL_BASIC!$D$301)*100</f>
        <v>86.387256882912851</v>
      </c>
      <c r="AB123" s="5">
        <f t="shared" si="21"/>
        <v>0.98</v>
      </c>
      <c r="AC123" s="3">
        <f t="shared" si="33"/>
        <v>-13</v>
      </c>
      <c r="AD123" s="9">
        <f t="shared" si="22"/>
        <v>0.97</v>
      </c>
      <c r="AE123" s="16">
        <f t="shared" si="23"/>
        <v>1.1235955056179774</v>
      </c>
      <c r="AF123" s="16">
        <f t="shared" si="24"/>
        <v>1.149425287356322</v>
      </c>
      <c r="AG123" s="9"/>
      <c r="AH123" s="9"/>
      <c r="AI123" s="12">
        <f t="shared" si="25"/>
        <v>39.300000000000004</v>
      </c>
      <c r="AJ123" s="12">
        <f t="shared" si="26"/>
        <v>34.4</v>
      </c>
      <c r="AK123" s="12">
        <f t="shared" si="26"/>
        <v>19.600000000000001</v>
      </c>
      <c r="AL123" s="12">
        <f t="shared" si="26"/>
        <v>14.2</v>
      </c>
      <c r="AM123" s="12">
        <f t="shared" si="26"/>
        <v>10.9</v>
      </c>
      <c r="AN123" s="12">
        <f t="shared" si="18"/>
        <v>34.4</v>
      </c>
      <c r="AO123" s="12">
        <f t="shared" si="18"/>
        <v>43.7</v>
      </c>
      <c r="AP123" s="12">
        <f t="shared" si="18"/>
        <v>7.6</v>
      </c>
      <c r="AQ123" s="12">
        <f t="shared" si="18"/>
        <v>3.8</v>
      </c>
      <c r="AR123" s="12">
        <f t="shared" si="29"/>
        <v>75.400000000000006</v>
      </c>
      <c r="AS123" s="12">
        <f t="shared" si="29"/>
        <v>49.7</v>
      </c>
      <c r="AT123" s="12">
        <f t="shared" si="29"/>
        <v>14.2</v>
      </c>
      <c r="AU123" s="12">
        <f t="shared" si="27"/>
        <v>30.100000000000009</v>
      </c>
      <c r="AV123" s="12">
        <f t="shared" si="30"/>
        <v>44.800000000000004</v>
      </c>
      <c r="AW123" s="12">
        <f t="shared" si="30"/>
        <v>18</v>
      </c>
      <c r="AX123" s="12">
        <f t="shared" si="28"/>
        <v>47</v>
      </c>
      <c r="AY123" s="9"/>
      <c r="AZ123" s="12">
        <f t="shared" si="31"/>
        <v>15.8</v>
      </c>
      <c r="BA123" s="12">
        <f t="shared" si="31"/>
        <v>39.300000000000004</v>
      </c>
      <c r="BB123" s="12">
        <f t="shared" si="31"/>
        <v>24.5</v>
      </c>
      <c r="BC123" s="12">
        <f t="shared" si="31"/>
        <v>19.100000000000001</v>
      </c>
      <c r="BD123" s="12">
        <f t="shared" si="32"/>
        <v>14.2</v>
      </c>
      <c r="BE123" s="12">
        <f t="shared" si="19"/>
        <v>18</v>
      </c>
      <c r="BF123" s="12">
        <f t="shared" si="19"/>
        <v>19.100000000000001</v>
      </c>
      <c r="BG123" s="12">
        <f t="shared" si="19"/>
        <v>14.2</v>
      </c>
      <c r="BH123" s="12">
        <f t="shared" si="19"/>
        <v>78.600000000000009</v>
      </c>
      <c r="BI123" s="12">
        <f t="shared" si="20"/>
        <v>63.9</v>
      </c>
    </row>
    <row r="124" spans="1:61" ht="15.75" customHeight="1" x14ac:dyDescent="0.25">
      <c r="A124" s="1" t="s">
        <v>100</v>
      </c>
      <c r="B124" s="3" t="s">
        <v>240</v>
      </c>
      <c r="C124" s="4" t="s">
        <v>94</v>
      </c>
      <c r="D124" s="4">
        <v>28</v>
      </c>
      <c r="E124" s="4">
        <v>464</v>
      </c>
      <c r="F124" s="4">
        <v>28</v>
      </c>
      <c r="G124" s="4">
        <v>464</v>
      </c>
      <c r="H124" s="4">
        <v>7.8</v>
      </c>
      <c r="I124" s="4">
        <v>0.503</v>
      </c>
      <c r="J124" s="4">
        <v>0.442</v>
      </c>
      <c r="K124" s="4">
        <v>0.5</v>
      </c>
      <c r="L124" s="4">
        <v>0.33</v>
      </c>
      <c r="M124" s="4">
        <v>2.2000000000000002</v>
      </c>
      <c r="N124" s="4">
        <v>7.3</v>
      </c>
      <c r="O124" s="4">
        <v>18</v>
      </c>
      <c r="P124" s="4">
        <v>1.1000000000000001</v>
      </c>
      <c r="Q124" s="4">
        <v>0.8</v>
      </c>
      <c r="R124" s="4">
        <v>21.4</v>
      </c>
      <c r="S124" s="4">
        <v>15.7</v>
      </c>
      <c r="T124" s="4">
        <v>97</v>
      </c>
      <c r="U124" s="4">
        <v>110</v>
      </c>
      <c r="V124" s="4"/>
      <c r="W124" s="4">
        <v>-0.2</v>
      </c>
      <c r="X124" s="4">
        <v>0.5</v>
      </c>
      <c r="Y124" s="4">
        <v>0.4</v>
      </c>
      <c r="Z124" s="4">
        <v>0.03</v>
      </c>
      <c r="AA124" s="13">
        <f>(I124/TOTAL_BASIC!$D$301)*100</f>
        <v>89.593381880629195</v>
      </c>
      <c r="AB124" s="5">
        <f t="shared" si="21"/>
        <v>0.97</v>
      </c>
      <c r="AC124" s="3">
        <f t="shared" si="33"/>
        <v>-13</v>
      </c>
      <c r="AD124" s="9">
        <f t="shared" si="22"/>
        <v>1.006</v>
      </c>
      <c r="AE124" s="16">
        <f t="shared" si="23"/>
        <v>1.1464968152866242</v>
      </c>
      <c r="AF124" s="16">
        <f t="shared" si="24"/>
        <v>0.8411214953271029</v>
      </c>
      <c r="AG124" s="9"/>
      <c r="AH124" s="9"/>
      <c r="AI124" s="12">
        <f t="shared" si="25"/>
        <v>25.1</v>
      </c>
      <c r="AJ124" s="12">
        <f t="shared" si="26"/>
        <v>33.800000000000004</v>
      </c>
      <c r="AK124" s="12">
        <f t="shared" si="26"/>
        <v>9.8000000000000007</v>
      </c>
      <c r="AL124" s="12">
        <f t="shared" si="26"/>
        <v>22.900000000000002</v>
      </c>
      <c r="AM124" s="12">
        <f t="shared" si="26"/>
        <v>15.299999999999999</v>
      </c>
      <c r="AN124" s="12">
        <f t="shared" si="18"/>
        <v>69.3</v>
      </c>
      <c r="AO124" s="12">
        <f t="shared" si="18"/>
        <v>61.7</v>
      </c>
      <c r="AP124" s="12">
        <f t="shared" si="18"/>
        <v>19.600000000000001</v>
      </c>
      <c r="AQ124" s="12">
        <f t="shared" si="18"/>
        <v>37.1</v>
      </c>
      <c r="AR124" s="12">
        <f t="shared" si="29"/>
        <v>70.399999999999991</v>
      </c>
      <c r="AS124" s="12">
        <f t="shared" si="29"/>
        <v>14.7</v>
      </c>
      <c r="AT124" s="12">
        <f t="shared" si="29"/>
        <v>28.4</v>
      </c>
      <c r="AU124" s="12">
        <f t="shared" si="27"/>
        <v>9.2999999999999972</v>
      </c>
      <c r="AV124" s="12">
        <f t="shared" si="30"/>
        <v>24</v>
      </c>
      <c r="AW124" s="12">
        <f t="shared" si="30"/>
        <v>16.3</v>
      </c>
      <c r="AX124" s="12">
        <f t="shared" si="28"/>
        <v>56.3</v>
      </c>
      <c r="AY124" s="9"/>
      <c r="AZ124" s="12">
        <f t="shared" si="31"/>
        <v>15.8</v>
      </c>
      <c r="BA124" s="12">
        <f t="shared" si="31"/>
        <v>39.300000000000004</v>
      </c>
      <c r="BB124" s="12">
        <f t="shared" si="31"/>
        <v>28.4</v>
      </c>
      <c r="BC124" s="12">
        <f t="shared" si="31"/>
        <v>21.3</v>
      </c>
      <c r="BD124" s="12">
        <f t="shared" si="32"/>
        <v>22.900000000000002</v>
      </c>
      <c r="BE124" s="12">
        <f t="shared" si="19"/>
        <v>16.3</v>
      </c>
      <c r="BF124" s="12">
        <f t="shared" si="19"/>
        <v>19.100000000000001</v>
      </c>
      <c r="BG124" s="12">
        <f t="shared" si="19"/>
        <v>22.900000000000002</v>
      </c>
      <c r="BH124" s="12">
        <f t="shared" si="19"/>
        <v>81.899999999999991</v>
      </c>
      <c r="BI124" s="12">
        <f t="shared" si="20"/>
        <v>35.5</v>
      </c>
    </row>
    <row r="125" spans="1:61" ht="15.75" customHeight="1" x14ac:dyDescent="0.25">
      <c r="A125" s="1" t="s">
        <v>233</v>
      </c>
      <c r="B125" s="3" t="s">
        <v>107</v>
      </c>
      <c r="C125" s="4" t="s">
        <v>85</v>
      </c>
      <c r="D125" s="4">
        <v>38</v>
      </c>
      <c r="E125" s="4">
        <v>462</v>
      </c>
      <c r="F125" s="4">
        <v>38</v>
      </c>
      <c r="G125" s="4">
        <v>462</v>
      </c>
      <c r="H125" s="4">
        <v>10.1</v>
      </c>
      <c r="I125" s="4">
        <v>0.47899999999999998</v>
      </c>
      <c r="J125" s="4">
        <v>0.42299999999999999</v>
      </c>
      <c r="K125" s="4">
        <v>0.23400000000000001</v>
      </c>
      <c r="L125" s="4">
        <v>0.48199999999999998</v>
      </c>
      <c r="M125" s="4">
        <v>7.5</v>
      </c>
      <c r="N125" s="4">
        <v>9.3000000000000007</v>
      </c>
      <c r="O125" s="4">
        <v>11.1</v>
      </c>
      <c r="P125" s="4">
        <v>2.2999999999999998</v>
      </c>
      <c r="Q125" s="4">
        <v>2.1</v>
      </c>
      <c r="R125" s="4">
        <v>14.9</v>
      </c>
      <c r="S125" s="4">
        <v>18.600000000000001</v>
      </c>
      <c r="T125" s="4">
        <v>96</v>
      </c>
      <c r="U125" s="4">
        <v>112</v>
      </c>
      <c r="V125" s="4"/>
      <c r="W125" s="4">
        <v>-0.3</v>
      </c>
      <c r="X125" s="4">
        <v>0.4</v>
      </c>
      <c r="Y125" s="4">
        <v>0.1</v>
      </c>
      <c r="Z125" s="4">
        <v>0.01</v>
      </c>
      <c r="AA125" s="13">
        <f>(I125/TOTAL_BASIC!$D$301)*100</f>
        <v>85.318548550340722</v>
      </c>
      <c r="AB125" s="5">
        <f t="shared" si="21"/>
        <v>0.96</v>
      </c>
      <c r="AC125" s="3">
        <f t="shared" si="33"/>
        <v>-16</v>
      </c>
      <c r="AD125" s="9">
        <f t="shared" si="22"/>
        <v>0.95799999999999996</v>
      </c>
      <c r="AE125" s="16">
        <f t="shared" si="23"/>
        <v>0.59677419354838701</v>
      </c>
      <c r="AF125" s="16">
        <f t="shared" si="24"/>
        <v>0.74496644295302006</v>
      </c>
      <c r="AG125" s="9"/>
      <c r="AH125" s="9"/>
      <c r="AI125" s="12">
        <f t="shared" si="25"/>
        <v>53</v>
      </c>
      <c r="AJ125" s="12">
        <f t="shared" si="26"/>
        <v>33.300000000000004</v>
      </c>
      <c r="AK125" s="12">
        <f t="shared" si="26"/>
        <v>28.9</v>
      </c>
      <c r="AL125" s="12">
        <f t="shared" si="26"/>
        <v>12.5</v>
      </c>
      <c r="AM125" s="12">
        <f t="shared" si="26"/>
        <v>9.1999999999999993</v>
      </c>
      <c r="AN125" s="12">
        <f t="shared" si="18"/>
        <v>19.600000000000001</v>
      </c>
      <c r="AO125" s="12">
        <f t="shared" si="18"/>
        <v>91.2</v>
      </c>
      <c r="AP125" s="12">
        <f t="shared" si="18"/>
        <v>74.3</v>
      </c>
      <c r="AQ125" s="12">
        <f t="shared" si="18"/>
        <v>53</v>
      </c>
      <c r="AR125" s="12">
        <f t="shared" si="29"/>
        <v>32.700000000000003</v>
      </c>
      <c r="AS125" s="12">
        <f t="shared" si="29"/>
        <v>78.600000000000009</v>
      </c>
      <c r="AT125" s="12">
        <f t="shared" si="29"/>
        <v>67.2</v>
      </c>
      <c r="AU125" s="12">
        <f t="shared" si="27"/>
        <v>48.699999999999996</v>
      </c>
      <c r="AV125" s="12">
        <f t="shared" si="30"/>
        <v>53</v>
      </c>
      <c r="AW125" s="12">
        <f t="shared" si="30"/>
        <v>13.100000000000001</v>
      </c>
      <c r="AX125" s="12">
        <f t="shared" si="28"/>
        <v>38.800000000000004</v>
      </c>
      <c r="AY125" s="9"/>
      <c r="AZ125" s="12">
        <f t="shared" si="31"/>
        <v>10.9</v>
      </c>
      <c r="BA125" s="12">
        <f t="shared" si="31"/>
        <v>34.4</v>
      </c>
      <c r="BB125" s="12">
        <f t="shared" si="31"/>
        <v>13.600000000000001</v>
      </c>
      <c r="BC125" s="12">
        <f t="shared" si="31"/>
        <v>14.2</v>
      </c>
      <c r="BD125" s="12">
        <f t="shared" si="32"/>
        <v>12.5</v>
      </c>
      <c r="BE125" s="12">
        <f t="shared" si="19"/>
        <v>13.100000000000001</v>
      </c>
      <c r="BF125" s="12">
        <f t="shared" si="19"/>
        <v>15.299999999999999</v>
      </c>
      <c r="BG125" s="12">
        <f t="shared" si="19"/>
        <v>12.5</v>
      </c>
      <c r="BH125" s="12">
        <f t="shared" si="19"/>
        <v>34.9</v>
      </c>
      <c r="BI125" s="12">
        <f t="shared" si="20"/>
        <v>29.5</v>
      </c>
    </row>
    <row r="126" spans="1:61" ht="15.75" customHeight="1" x14ac:dyDescent="0.25">
      <c r="A126" s="1" t="s">
        <v>172</v>
      </c>
      <c r="B126" s="3" t="s">
        <v>107</v>
      </c>
      <c r="C126" s="4" t="s">
        <v>88</v>
      </c>
      <c r="D126" s="4">
        <v>18</v>
      </c>
      <c r="E126" s="4">
        <v>455</v>
      </c>
      <c r="F126" s="4">
        <v>18</v>
      </c>
      <c r="G126" s="4">
        <v>455</v>
      </c>
      <c r="H126" s="4">
        <v>20</v>
      </c>
      <c r="I126" s="4">
        <v>0.56100000000000005</v>
      </c>
      <c r="J126" s="4">
        <v>0.53</v>
      </c>
      <c r="K126" s="4">
        <v>2.1999999999999999E-2</v>
      </c>
      <c r="L126" s="4">
        <v>0.34799999999999998</v>
      </c>
      <c r="M126" s="4">
        <v>8.8000000000000007</v>
      </c>
      <c r="N126" s="4">
        <v>14</v>
      </c>
      <c r="O126" s="4">
        <v>19.5</v>
      </c>
      <c r="P126" s="4">
        <v>0.9</v>
      </c>
      <c r="Q126" s="4">
        <v>6.7</v>
      </c>
      <c r="R126" s="4">
        <v>13.1</v>
      </c>
      <c r="S126" s="4">
        <v>23.6</v>
      </c>
      <c r="T126" s="4">
        <v>108</v>
      </c>
      <c r="U126" s="4">
        <v>110</v>
      </c>
      <c r="V126" s="4"/>
      <c r="W126" s="4">
        <v>0.6</v>
      </c>
      <c r="X126" s="4">
        <v>0.5</v>
      </c>
      <c r="Y126" s="4">
        <v>1.1000000000000001</v>
      </c>
      <c r="Z126" s="4">
        <v>9.6000000000000002E-2</v>
      </c>
      <c r="AA126" s="13">
        <f>(I126/TOTAL_BASIC!$D$301)*100</f>
        <v>99.924229095493018</v>
      </c>
      <c r="AB126" s="5">
        <f t="shared" si="21"/>
        <v>1.08</v>
      </c>
      <c r="AC126" s="3">
        <f t="shared" si="33"/>
        <v>-2</v>
      </c>
      <c r="AD126" s="9">
        <f t="shared" si="22"/>
        <v>1.1220000000000001</v>
      </c>
      <c r="AE126" s="16">
        <f t="shared" si="23"/>
        <v>0.82627118644067787</v>
      </c>
      <c r="AF126" s="16">
        <f t="shared" si="24"/>
        <v>1.4885496183206108</v>
      </c>
      <c r="AG126" s="9"/>
      <c r="AH126" s="9"/>
      <c r="AI126" s="12">
        <f t="shared" si="25"/>
        <v>12.5</v>
      </c>
      <c r="AJ126" s="12">
        <f t="shared" si="26"/>
        <v>32.700000000000003</v>
      </c>
      <c r="AK126" s="12">
        <f t="shared" si="26"/>
        <v>85.2</v>
      </c>
      <c r="AL126" s="12">
        <f t="shared" si="26"/>
        <v>55.7</v>
      </c>
      <c r="AM126" s="12">
        <f t="shared" si="26"/>
        <v>63.3</v>
      </c>
      <c r="AN126" s="12">
        <f t="shared" si="18"/>
        <v>4.3</v>
      </c>
      <c r="AO126" s="12">
        <f t="shared" si="18"/>
        <v>67.2</v>
      </c>
      <c r="AP126" s="12">
        <f t="shared" si="18"/>
        <v>84.6</v>
      </c>
      <c r="AQ126" s="12">
        <f t="shared" si="18"/>
        <v>79.7</v>
      </c>
      <c r="AR126" s="12">
        <f t="shared" si="29"/>
        <v>73.7</v>
      </c>
      <c r="AS126" s="12">
        <f t="shared" si="29"/>
        <v>6.5</v>
      </c>
      <c r="AT126" s="12">
        <f t="shared" si="29"/>
        <v>97.2</v>
      </c>
      <c r="AU126" s="12">
        <f t="shared" si="27"/>
        <v>65.099999999999994</v>
      </c>
      <c r="AV126" s="12">
        <f t="shared" si="30"/>
        <v>79.2</v>
      </c>
      <c r="AW126" s="12">
        <f t="shared" si="30"/>
        <v>54.6</v>
      </c>
      <c r="AX126" s="12">
        <f t="shared" si="28"/>
        <v>56.3</v>
      </c>
      <c r="AY126" s="9"/>
      <c r="AZ126" s="12">
        <f t="shared" si="31"/>
        <v>56.8</v>
      </c>
      <c r="BA126" s="12">
        <f t="shared" si="31"/>
        <v>39.300000000000004</v>
      </c>
      <c r="BB126" s="12">
        <f t="shared" si="31"/>
        <v>53</v>
      </c>
      <c r="BC126" s="12">
        <f t="shared" si="31"/>
        <v>62.2</v>
      </c>
      <c r="BD126" s="12">
        <f t="shared" si="32"/>
        <v>55.7</v>
      </c>
      <c r="BE126" s="12">
        <f t="shared" si="19"/>
        <v>54.6</v>
      </c>
      <c r="BF126" s="12">
        <f t="shared" si="19"/>
        <v>54</v>
      </c>
      <c r="BG126" s="12">
        <f t="shared" si="19"/>
        <v>55.7</v>
      </c>
      <c r="BH126" s="12">
        <f t="shared" si="19"/>
        <v>60.6</v>
      </c>
      <c r="BI126" s="12">
        <f t="shared" si="20"/>
        <v>78.600000000000009</v>
      </c>
    </row>
    <row r="127" spans="1:61" ht="15.75" customHeight="1" x14ac:dyDescent="0.25">
      <c r="A127" s="1" t="s">
        <v>195</v>
      </c>
      <c r="B127" s="3" t="s">
        <v>99</v>
      </c>
      <c r="C127" s="4" t="s">
        <v>8</v>
      </c>
      <c r="D127" s="4">
        <v>38</v>
      </c>
      <c r="E127" s="4">
        <v>448</v>
      </c>
      <c r="F127" s="4">
        <v>38</v>
      </c>
      <c r="G127" s="4">
        <v>448</v>
      </c>
      <c r="H127" s="4">
        <v>16.7</v>
      </c>
      <c r="I127" s="4">
        <v>0.47499999999999998</v>
      </c>
      <c r="J127" s="4">
        <v>0.42399999999999999</v>
      </c>
      <c r="K127" s="4">
        <v>0.28199999999999997</v>
      </c>
      <c r="L127" s="4">
        <v>0.31</v>
      </c>
      <c r="M127" s="4">
        <v>5.9</v>
      </c>
      <c r="N127" s="4">
        <v>11.9</v>
      </c>
      <c r="O127" s="4">
        <v>16.5</v>
      </c>
      <c r="P127" s="4">
        <v>4</v>
      </c>
      <c r="Q127" s="4">
        <v>1.8</v>
      </c>
      <c r="R127" s="4">
        <v>10.199999999999999</v>
      </c>
      <c r="S127" s="4">
        <v>27.2</v>
      </c>
      <c r="T127" s="4">
        <v>100</v>
      </c>
      <c r="U127" s="4">
        <v>102</v>
      </c>
      <c r="V127" s="4"/>
      <c r="W127" s="4">
        <v>-0.1</v>
      </c>
      <c r="X127" s="4">
        <v>1</v>
      </c>
      <c r="Y127" s="4">
        <v>0.9</v>
      </c>
      <c r="Z127" s="4">
        <v>8.2000000000000003E-2</v>
      </c>
      <c r="AA127" s="13">
        <f>(I127/TOTAL_BASIC!$D$301)*100</f>
        <v>84.606076328625974</v>
      </c>
      <c r="AB127" s="5">
        <f t="shared" si="21"/>
        <v>1</v>
      </c>
      <c r="AC127" s="3">
        <f t="shared" si="33"/>
        <v>-2</v>
      </c>
      <c r="AD127" s="9">
        <f t="shared" si="22"/>
        <v>0.95</v>
      </c>
      <c r="AE127" s="16">
        <f t="shared" si="23"/>
        <v>0.60661764705882359</v>
      </c>
      <c r="AF127" s="16">
        <f t="shared" si="24"/>
        <v>1.6176470588235294</v>
      </c>
      <c r="AG127" s="9"/>
      <c r="AH127" s="9"/>
      <c r="AI127" s="12">
        <f t="shared" si="25"/>
        <v>53</v>
      </c>
      <c r="AJ127" s="12">
        <f t="shared" si="26"/>
        <v>32.200000000000003</v>
      </c>
      <c r="AK127" s="12">
        <f t="shared" si="26"/>
        <v>71.5</v>
      </c>
      <c r="AL127" s="12">
        <f t="shared" si="26"/>
        <v>10.299999999999999</v>
      </c>
      <c r="AM127" s="12">
        <f t="shared" si="26"/>
        <v>9.8000000000000007</v>
      </c>
      <c r="AN127" s="12">
        <f t="shared" ref="AN127:AT142" si="34">(PERCENTRANK(K$3:K$298,K127))*100</f>
        <v>27.3</v>
      </c>
      <c r="AO127" s="12">
        <f t="shared" si="34"/>
        <v>56.8</v>
      </c>
      <c r="AP127" s="12">
        <f t="shared" si="34"/>
        <v>63.9</v>
      </c>
      <c r="AQ127" s="12">
        <f t="shared" si="34"/>
        <v>73.7</v>
      </c>
      <c r="AR127" s="12">
        <f t="shared" si="29"/>
        <v>62.8</v>
      </c>
      <c r="AS127" s="12">
        <f t="shared" si="29"/>
        <v>100</v>
      </c>
      <c r="AT127" s="12">
        <f t="shared" si="29"/>
        <v>62.2</v>
      </c>
      <c r="AU127" s="12">
        <f t="shared" si="27"/>
        <v>88</v>
      </c>
      <c r="AV127" s="12">
        <f t="shared" si="30"/>
        <v>90.100000000000009</v>
      </c>
      <c r="AW127" s="12">
        <f t="shared" si="30"/>
        <v>23.400000000000002</v>
      </c>
      <c r="AX127" s="12">
        <f t="shared" si="28"/>
        <v>94.6</v>
      </c>
      <c r="AY127" s="9"/>
      <c r="AZ127" s="12">
        <f t="shared" si="31"/>
        <v>20.7</v>
      </c>
      <c r="BA127" s="12">
        <f t="shared" si="31"/>
        <v>67.7</v>
      </c>
      <c r="BB127" s="12">
        <f t="shared" si="31"/>
        <v>44.2</v>
      </c>
      <c r="BC127" s="12">
        <f t="shared" si="31"/>
        <v>55.7</v>
      </c>
      <c r="BD127" s="12">
        <f t="shared" si="32"/>
        <v>10.299999999999999</v>
      </c>
      <c r="BE127" s="12">
        <f t="shared" si="19"/>
        <v>23.400000000000002</v>
      </c>
      <c r="BF127" s="12">
        <f t="shared" si="19"/>
        <v>54</v>
      </c>
      <c r="BG127" s="12">
        <f t="shared" si="19"/>
        <v>10.299999999999999</v>
      </c>
      <c r="BH127" s="12">
        <f t="shared" si="19"/>
        <v>36</v>
      </c>
      <c r="BI127" s="12">
        <f t="shared" si="20"/>
        <v>85.7</v>
      </c>
    </row>
    <row r="128" spans="1:61" ht="15.75" customHeight="1" x14ac:dyDescent="0.25">
      <c r="A128" s="1" t="s">
        <v>178</v>
      </c>
      <c r="B128" s="4" t="s">
        <v>91</v>
      </c>
      <c r="C128" s="4" t="s">
        <v>85</v>
      </c>
      <c r="D128" s="4">
        <v>37</v>
      </c>
      <c r="E128" s="4">
        <v>445</v>
      </c>
      <c r="F128" s="4">
        <v>37</v>
      </c>
      <c r="G128" s="4">
        <v>445</v>
      </c>
      <c r="H128" s="4">
        <v>17.100000000000001</v>
      </c>
      <c r="I128" s="4">
        <v>0.54800000000000004</v>
      </c>
      <c r="J128" s="4">
        <v>0.52300000000000002</v>
      </c>
      <c r="K128" s="4">
        <v>0.155</v>
      </c>
      <c r="L128" s="4">
        <v>0.5</v>
      </c>
      <c r="M128" s="4">
        <v>12.2</v>
      </c>
      <c r="N128" s="4">
        <v>15.9</v>
      </c>
      <c r="O128" s="4">
        <v>14.2</v>
      </c>
      <c r="P128" s="4">
        <v>2.2000000000000002</v>
      </c>
      <c r="Q128" s="4">
        <v>7.1</v>
      </c>
      <c r="R128" s="4">
        <v>17.8</v>
      </c>
      <c r="S128" s="4">
        <v>17</v>
      </c>
      <c r="T128" s="4">
        <v>110</v>
      </c>
      <c r="U128" s="4">
        <v>96</v>
      </c>
      <c r="V128" s="4"/>
      <c r="W128" s="4">
        <v>0.6</v>
      </c>
      <c r="X128" s="4">
        <v>1.4</v>
      </c>
      <c r="Y128" s="4">
        <v>1.9</v>
      </c>
      <c r="Z128" s="4">
        <v>0.17299999999999999</v>
      </c>
      <c r="AA128" s="13">
        <f>(I128/TOTAL_BASIC!$D$301)*100</f>
        <v>97.608694374920077</v>
      </c>
      <c r="AB128" s="5">
        <f t="shared" si="21"/>
        <v>1.1000000000000001</v>
      </c>
      <c r="AC128" s="3">
        <f t="shared" si="33"/>
        <v>14</v>
      </c>
      <c r="AD128" s="9">
        <f t="shared" si="22"/>
        <v>1.0960000000000001</v>
      </c>
      <c r="AE128" s="16">
        <f t="shared" si="23"/>
        <v>0.83529411764705874</v>
      </c>
      <c r="AF128" s="16">
        <f t="shared" si="24"/>
        <v>0.797752808988764</v>
      </c>
      <c r="AG128" s="9"/>
      <c r="AH128" s="9"/>
      <c r="AI128" s="12">
        <f t="shared" si="25"/>
        <v>48</v>
      </c>
      <c r="AJ128" s="12">
        <f t="shared" si="26"/>
        <v>31.6</v>
      </c>
      <c r="AK128" s="12">
        <f t="shared" si="26"/>
        <v>74.8</v>
      </c>
      <c r="AL128" s="12">
        <f t="shared" si="26"/>
        <v>44.2</v>
      </c>
      <c r="AM128" s="12">
        <f t="shared" si="26"/>
        <v>57.3</v>
      </c>
      <c r="AN128" s="12">
        <f t="shared" si="34"/>
        <v>13.100000000000001</v>
      </c>
      <c r="AO128" s="12">
        <f t="shared" si="34"/>
        <v>93.4</v>
      </c>
      <c r="AP128" s="12">
        <f t="shared" si="34"/>
        <v>96.1</v>
      </c>
      <c r="AQ128" s="12">
        <f t="shared" si="34"/>
        <v>89</v>
      </c>
      <c r="AR128" s="12">
        <f t="shared" si="29"/>
        <v>51.9</v>
      </c>
      <c r="AS128" s="12">
        <f t="shared" si="29"/>
        <v>74.3</v>
      </c>
      <c r="AT128" s="12">
        <f t="shared" si="29"/>
        <v>98.3</v>
      </c>
      <c r="AU128" s="12">
        <f t="shared" si="27"/>
        <v>26.299999999999997</v>
      </c>
      <c r="AV128" s="12">
        <f t="shared" si="30"/>
        <v>32.200000000000003</v>
      </c>
      <c r="AW128" s="12">
        <f t="shared" si="30"/>
        <v>60.099999999999994</v>
      </c>
      <c r="AX128" s="12">
        <f t="shared" si="28"/>
        <v>100</v>
      </c>
      <c r="AY128" s="9"/>
      <c r="AZ128" s="12">
        <f t="shared" si="31"/>
        <v>56.8</v>
      </c>
      <c r="BA128" s="12">
        <f t="shared" si="31"/>
        <v>78.100000000000009</v>
      </c>
      <c r="BB128" s="12">
        <f t="shared" si="31"/>
        <v>67.7</v>
      </c>
      <c r="BC128" s="12">
        <f t="shared" si="31"/>
        <v>86.8</v>
      </c>
      <c r="BD128" s="12">
        <f t="shared" si="32"/>
        <v>44.2</v>
      </c>
      <c r="BE128" s="12">
        <f t="shared" si="19"/>
        <v>60.099999999999994</v>
      </c>
      <c r="BF128" s="12">
        <f t="shared" si="19"/>
        <v>89</v>
      </c>
      <c r="BG128" s="12">
        <f t="shared" si="19"/>
        <v>44.2</v>
      </c>
      <c r="BH128" s="12">
        <f t="shared" si="19"/>
        <v>61.7</v>
      </c>
      <c r="BI128" s="12">
        <f t="shared" si="20"/>
        <v>33.800000000000004</v>
      </c>
    </row>
    <row r="129" spans="1:61" ht="15.75" customHeight="1" x14ac:dyDescent="0.25">
      <c r="A129" s="1" t="s">
        <v>258</v>
      </c>
      <c r="B129" s="3" t="s">
        <v>161</v>
      </c>
      <c r="C129" s="4" t="s">
        <v>88</v>
      </c>
      <c r="D129" s="4">
        <v>25</v>
      </c>
      <c r="E129" s="4">
        <v>444</v>
      </c>
      <c r="F129" s="4">
        <v>25</v>
      </c>
      <c r="G129" s="4">
        <v>444</v>
      </c>
      <c r="H129" s="4">
        <v>10.5</v>
      </c>
      <c r="I129" s="4">
        <v>0.55600000000000005</v>
      </c>
      <c r="J129" s="4">
        <v>0.54700000000000004</v>
      </c>
      <c r="K129" s="4">
        <v>0.27100000000000002</v>
      </c>
      <c r="L129" s="4">
        <v>0.27100000000000002</v>
      </c>
      <c r="M129" s="4">
        <v>8.6999999999999993</v>
      </c>
      <c r="N129" s="4">
        <v>11.6</v>
      </c>
      <c r="O129" s="4">
        <v>8.9</v>
      </c>
      <c r="P129" s="4">
        <v>1.5</v>
      </c>
      <c r="Q129" s="4">
        <v>1.7</v>
      </c>
      <c r="R129" s="4">
        <v>19.5</v>
      </c>
      <c r="S129" s="4">
        <v>16.3</v>
      </c>
      <c r="T129" s="4">
        <v>101</v>
      </c>
      <c r="U129" s="4">
        <v>119</v>
      </c>
      <c r="V129" s="4"/>
      <c r="W129" s="4">
        <v>0</v>
      </c>
      <c r="X129" s="4">
        <v>-0.1</v>
      </c>
      <c r="Y129" s="4">
        <v>0</v>
      </c>
      <c r="Z129" s="4">
        <v>-3.0000000000000001E-3</v>
      </c>
      <c r="AA129" s="13">
        <f>(I129/TOTAL_BASIC!$D$301)*100</f>
        <v>99.033638818349573</v>
      </c>
      <c r="AB129" s="5">
        <f t="shared" si="21"/>
        <v>1.01</v>
      </c>
      <c r="AC129" s="3">
        <f t="shared" si="33"/>
        <v>-18</v>
      </c>
      <c r="AD129" s="9">
        <f t="shared" si="22"/>
        <v>1.1120000000000001</v>
      </c>
      <c r="AE129" s="16">
        <f t="shared" si="23"/>
        <v>0.54601226993865026</v>
      </c>
      <c r="AF129" s="16">
        <f t="shared" si="24"/>
        <v>0.45641025641025645</v>
      </c>
      <c r="AG129" s="9"/>
      <c r="AH129" s="9"/>
      <c r="AI129" s="12">
        <f t="shared" si="25"/>
        <v>21.8</v>
      </c>
      <c r="AJ129" s="12">
        <f t="shared" si="26"/>
        <v>31.1</v>
      </c>
      <c r="AK129" s="12">
        <f t="shared" si="26"/>
        <v>31.6</v>
      </c>
      <c r="AL129" s="12">
        <f t="shared" si="26"/>
        <v>49.7</v>
      </c>
      <c r="AM129" s="12">
        <f t="shared" si="26"/>
        <v>69.899999999999991</v>
      </c>
      <c r="AN129" s="12">
        <f t="shared" si="34"/>
        <v>25.6</v>
      </c>
      <c r="AO129" s="12">
        <f t="shared" si="34"/>
        <v>45.9</v>
      </c>
      <c r="AP129" s="12">
        <f t="shared" si="34"/>
        <v>83</v>
      </c>
      <c r="AQ129" s="12">
        <f t="shared" si="34"/>
        <v>72.099999999999994</v>
      </c>
      <c r="AR129" s="12">
        <f t="shared" si="29"/>
        <v>22.900000000000002</v>
      </c>
      <c r="AS129" s="12">
        <f t="shared" si="29"/>
        <v>33.800000000000004</v>
      </c>
      <c r="AT129" s="12">
        <f t="shared" si="29"/>
        <v>61.199999999999996</v>
      </c>
      <c r="AU129" s="12">
        <f t="shared" si="27"/>
        <v>15.900000000000006</v>
      </c>
      <c r="AV129" s="12">
        <f t="shared" si="30"/>
        <v>27.3</v>
      </c>
      <c r="AW129" s="12">
        <f t="shared" si="30"/>
        <v>28.4</v>
      </c>
      <c r="AX129" s="12">
        <f t="shared" si="28"/>
        <v>5</v>
      </c>
      <c r="AY129" s="9"/>
      <c r="AZ129" s="12">
        <f t="shared" si="31"/>
        <v>24.5</v>
      </c>
      <c r="BA129" s="12">
        <f t="shared" si="31"/>
        <v>2.7</v>
      </c>
      <c r="BB129" s="12">
        <f t="shared" si="31"/>
        <v>10.9</v>
      </c>
      <c r="BC129" s="12">
        <f t="shared" si="31"/>
        <v>12</v>
      </c>
      <c r="BD129" s="12">
        <f t="shared" si="32"/>
        <v>49.7</v>
      </c>
      <c r="BE129" s="12">
        <f t="shared" si="19"/>
        <v>28.4</v>
      </c>
      <c r="BF129" s="12">
        <f t="shared" si="19"/>
        <v>12</v>
      </c>
      <c r="BG129" s="12">
        <f t="shared" si="19"/>
        <v>49.7</v>
      </c>
      <c r="BH129" s="12">
        <f t="shared" si="19"/>
        <v>25.1</v>
      </c>
      <c r="BI129" s="12">
        <f t="shared" si="20"/>
        <v>8.1</v>
      </c>
    </row>
    <row r="130" spans="1:61" ht="15.75" customHeight="1" x14ac:dyDescent="0.25">
      <c r="A130" s="1" t="s">
        <v>217</v>
      </c>
      <c r="B130" s="3" t="s">
        <v>137</v>
      </c>
      <c r="C130" s="4" t="s">
        <v>8</v>
      </c>
      <c r="D130" s="4">
        <v>38</v>
      </c>
      <c r="E130" s="4">
        <v>435</v>
      </c>
      <c r="F130" s="4">
        <v>38</v>
      </c>
      <c r="G130" s="4">
        <v>435</v>
      </c>
      <c r="H130" s="4">
        <v>7.8</v>
      </c>
      <c r="I130" s="4">
        <v>0.56200000000000006</v>
      </c>
      <c r="J130" s="4">
        <v>0.52100000000000002</v>
      </c>
      <c r="K130" s="4">
        <v>0.76300000000000001</v>
      </c>
      <c r="L130" s="4">
        <v>0.22700000000000001</v>
      </c>
      <c r="M130" s="4">
        <v>2.8</v>
      </c>
      <c r="N130" s="4">
        <v>5.8</v>
      </c>
      <c r="O130" s="4">
        <v>12.1</v>
      </c>
      <c r="P130" s="4">
        <v>0.7</v>
      </c>
      <c r="Q130" s="4">
        <v>0.2</v>
      </c>
      <c r="R130" s="4">
        <v>17.7</v>
      </c>
      <c r="S130" s="4">
        <v>13.1</v>
      </c>
      <c r="T130" s="4">
        <v>105</v>
      </c>
      <c r="U130" s="4">
        <v>118</v>
      </c>
      <c r="V130" s="4"/>
      <c r="W130" s="4">
        <v>0.2</v>
      </c>
      <c r="X130" s="4">
        <v>0</v>
      </c>
      <c r="Y130" s="4">
        <v>0.2</v>
      </c>
      <c r="Z130" s="4">
        <v>1.7999999999999999E-2</v>
      </c>
      <c r="AA130" s="13">
        <f>(I130/TOTAL_BASIC!$D$301)*100</f>
        <v>100.1023471509217</v>
      </c>
      <c r="AB130" s="5">
        <f t="shared" si="21"/>
        <v>1.05</v>
      </c>
      <c r="AC130" s="3">
        <f t="shared" si="33"/>
        <v>-13</v>
      </c>
      <c r="AD130" s="9">
        <f t="shared" si="22"/>
        <v>1.1240000000000001</v>
      </c>
      <c r="AE130" s="16">
        <f t="shared" si="23"/>
        <v>0.92366412213740456</v>
      </c>
      <c r="AF130" s="16">
        <f t="shared" si="24"/>
        <v>0.68361581920903958</v>
      </c>
      <c r="AG130" s="9"/>
      <c r="AH130" s="9"/>
      <c r="AI130" s="12">
        <f t="shared" si="25"/>
        <v>53</v>
      </c>
      <c r="AJ130" s="12">
        <f t="shared" si="26"/>
        <v>30.599999999999998</v>
      </c>
      <c r="AK130" s="12">
        <f t="shared" si="26"/>
        <v>9.8000000000000007</v>
      </c>
      <c r="AL130" s="12">
        <f t="shared" si="26"/>
        <v>57.3</v>
      </c>
      <c r="AM130" s="12">
        <f t="shared" si="26"/>
        <v>55.7</v>
      </c>
      <c r="AN130" s="12">
        <f t="shared" si="34"/>
        <v>98.3</v>
      </c>
      <c r="AO130" s="12">
        <f t="shared" si="34"/>
        <v>34.4</v>
      </c>
      <c r="AP130" s="12">
        <f t="shared" si="34"/>
        <v>30</v>
      </c>
      <c r="AQ130" s="12">
        <f t="shared" si="34"/>
        <v>19.100000000000001</v>
      </c>
      <c r="AR130" s="12">
        <f t="shared" si="29"/>
        <v>42.6</v>
      </c>
      <c r="AS130" s="12">
        <f t="shared" si="29"/>
        <v>4.3</v>
      </c>
      <c r="AT130" s="12">
        <f t="shared" si="29"/>
        <v>5.4</v>
      </c>
      <c r="AU130" s="12">
        <f t="shared" si="27"/>
        <v>27.900000000000006</v>
      </c>
      <c r="AV130" s="12">
        <f t="shared" si="30"/>
        <v>11.4</v>
      </c>
      <c r="AW130" s="12">
        <f t="shared" si="30"/>
        <v>39.800000000000004</v>
      </c>
      <c r="AX130" s="12">
        <f t="shared" si="28"/>
        <v>7.1999999999999886</v>
      </c>
      <c r="AY130" s="9"/>
      <c r="AZ130" s="12">
        <f t="shared" si="31"/>
        <v>37.700000000000003</v>
      </c>
      <c r="BA130" s="12">
        <f t="shared" si="31"/>
        <v>5.4</v>
      </c>
      <c r="BB130" s="12">
        <f t="shared" si="31"/>
        <v>19.100000000000001</v>
      </c>
      <c r="BC130" s="12">
        <f t="shared" si="31"/>
        <v>17.399999999999999</v>
      </c>
      <c r="BD130" s="12">
        <f t="shared" si="32"/>
        <v>57.3</v>
      </c>
      <c r="BE130" s="12">
        <f t="shared" si="19"/>
        <v>39.800000000000004</v>
      </c>
      <c r="BF130" s="12">
        <f t="shared" si="19"/>
        <v>19.100000000000001</v>
      </c>
      <c r="BG130" s="12">
        <f t="shared" si="19"/>
        <v>57.3</v>
      </c>
      <c r="BH130" s="12">
        <f t="shared" si="19"/>
        <v>67.7</v>
      </c>
      <c r="BI130" s="12">
        <f t="shared" si="20"/>
        <v>25.1</v>
      </c>
    </row>
    <row r="131" spans="1:61" ht="15.75" customHeight="1" x14ac:dyDescent="0.25">
      <c r="A131" s="1" t="s">
        <v>273</v>
      </c>
      <c r="B131" s="3" t="s">
        <v>96</v>
      </c>
      <c r="C131" s="4" t="s">
        <v>85</v>
      </c>
      <c r="D131" s="4">
        <v>14</v>
      </c>
      <c r="E131" s="4">
        <v>431</v>
      </c>
      <c r="F131" s="4">
        <v>14</v>
      </c>
      <c r="G131" s="4">
        <v>431</v>
      </c>
      <c r="H131" s="4">
        <v>21.8</v>
      </c>
      <c r="I131" s="4">
        <v>0.60399999999999998</v>
      </c>
      <c r="J131" s="4">
        <v>0.56100000000000005</v>
      </c>
      <c r="K131" s="4">
        <v>0.26100000000000001</v>
      </c>
      <c r="L131" s="4">
        <v>0.26100000000000001</v>
      </c>
      <c r="M131" s="4">
        <v>4.5</v>
      </c>
      <c r="N131" s="4">
        <v>14</v>
      </c>
      <c r="O131" s="4">
        <v>14.1</v>
      </c>
      <c r="P131" s="4">
        <v>2.2000000000000002</v>
      </c>
      <c r="Q131" s="4">
        <v>3.2</v>
      </c>
      <c r="R131" s="4">
        <v>13.6</v>
      </c>
      <c r="S131" s="4">
        <v>24.7</v>
      </c>
      <c r="T131" s="4">
        <v>114</v>
      </c>
      <c r="U131" s="4">
        <v>103</v>
      </c>
      <c r="V131" s="4"/>
      <c r="W131" s="4">
        <v>0.9</v>
      </c>
      <c r="X131" s="4">
        <v>0.9</v>
      </c>
      <c r="Y131" s="4">
        <v>1.9</v>
      </c>
      <c r="Z131" s="4">
        <v>0.17299999999999999</v>
      </c>
      <c r="AA131" s="13">
        <f>(I131/TOTAL_BASIC!$D$301)*100</f>
        <v>107.58330547892649</v>
      </c>
      <c r="AB131" s="5">
        <f t="shared" si="21"/>
        <v>1.1399999999999999</v>
      </c>
      <c r="AC131" s="3">
        <f t="shared" si="33"/>
        <v>11</v>
      </c>
      <c r="AD131" s="9">
        <f t="shared" si="22"/>
        <v>1.208</v>
      </c>
      <c r="AE131" s="16">
        <f t="shared" si="23"/>
        <v>0.57085020242914974</v>
      </c>
      <c r="AF131" s="16">
        <f t="shared" si="24"/>
        <v>1.036764705882353</v>
      </c>
      <c r="AG131" s="9"/>
      <c r="AH131" s="9"/>
      <c r="AI131" s="12">
        <f t="shared" si="25"/>
        <v>6.5</v>
      </c>
      <c r="AJ131" s="12">
        <f t="shared" si="26"/>
        <v>30</v>
      </c>
      <c r="AK131" s="12">
        <f t="shared" si="26"/>
        <v>92.300000000000011</v>
      </c>
      <c r="AL131" s="12">
        <f t="shared" si="26"/>
        <v>77.5</v>
      </c>
      <c r="AM131" s="12">
        <f t="shared" ref="AM131:AT159" si="35">(PERCENTRANK(J$3:J$298,J131))*100</f>
        <v>78.600000000000009</v>
      </c>
      <c r="AN131" s="12">
        <f t="shared" si="34"/>
        <v>23.400000000000002</v>
      </c>
      <c r="AO131" s="12">
        <f t="shared" si="34"/>
        <v>43.1</v>
      </c>
      <c r="AP131" s="12">
        <f t="shared" si="34"/>
        <v>51.300000000000004</v>
      </c>
      <c r="AQ131" s="12">
        <f t="shared" si="34"/>
        <v>79.7</v>
      </c>
      <c r="AR131" s="12">
        <f t="shared" si="29"/>
        <v>50.2</v>
      </c>
      <c r="AS131" s="12">
        <f t="shared" si="29"/>
        <v>74.3</v>
      </c>
      <c r="AT131" s="12">
        <f t="shared" si="29"/>
        <v>81.899999999999991</v>
      </c>
      <c r="AU131" s="12">
        <f t="shared" si="27"/>
        <v>61.3</v>
      </c>
      <c r="AV131" s="12">
        <f t="shared" si="30"/>
        <v>82.5</v>
      </c>
      <c r="AW131" s="12">
        <f t="shared" si="30"/>
        <v>71</v>
      </c>
      <c r="AX131" s="12">
        <f t="shared" si="28"/>
        <v>92.4</v>
      </c>
      <c r="AY131" s="9"/>
      <c r="AZ131" s="12">
        <f t="shared" si="31"/>
        <v>66.100000000000009</v>
      </c>
      <c r="BA131" s="12">
        <f t="shared" si="31"/>
        <v>62.8</v>
      </c>
      <c r="BB131" s="12">
        <f t="shared" si="31"/>
        <v>67.7</v>
      </c>
      <c r="BC131" s="12">
        <f t="shared" si="31"/>
        <v>86.8</v>
      </c>
      <c r="BD131" s="12">
        <f t="shared" si="32"/>
        <v>77.5</v>
      </c>
      <c r="BE131" s="12">
        <f t="shared" si="32"/>
        <v>71</v>
      </c>
      <c r="BF131" s="12">
        <f t="shared" si="32"/>
        <v>81.399999999999991</v>
      </c>
      <c r="BG131" s="12">
        <f t="shared" si="32"/>
        <v>77.5</v>
      </c>
      <c r="BH131" s="12">
        <f t="shared" si="32"/>
        <v>30</v>
      </c>
      <c r="BI131" s="12">
        <f t="shared" si="32"/>
        <v>55.1</v>
      </c>
    </row>
    <row r="132" spans="1:61" ht="15.75" customHeight="1" x14ac:dyDescent="0.25">
      <c r="A132" s="1" t="s">
        <v>216</v>
      </c>
      <c r="B132" s="3" t="s">
        <v>107</v>
      </c>
      <c r="C132" s="4" t="s">
        <v>85</v>
      </c>
      <c r="D132" s="4">
        <v>36</v>
      </c>
      <c r="E132" s="4">
        <v>426</v>
      </c>
      <c r="F132" s="4">
        <v>36</v>
      </c>
      <c r="G132" s="4">
        <v>426</v>
      </c>
      <c r="H132" s="4">
        <v>11.6</v>
      </c>
      <c r="I132" s="4">
        <v>0.55100000000000005</v>
      </c>
      <c r="J132" s="4">
        <v>0.5</v>
      </c>
      <c r="K132" s="4">
        <v>5.7000000000000002E-2</v>
      </c>
      <c r="L132" s="4">
        <v>0.54700000000000004</v>
      </c>
      <c r="M132" s="4">
        <v>11.6</v>
      </c>
      <c r="N132" s="4">
        <v>15.7</v>
      </c>
      <c r="O132" s="4">
        <v>11.7</v>
      </c>
      <c r="P132" s="4">
        <v>1.9</v>
      </c>
      <c r="Q132" s="4">
        <v>2</v>
      </c>
      <c r="R132" s="4">
        <v>20.5</v>
      </c>
      <c r="S132" s="4">
        <v>17.100000000000001</v>
      </c>
      <c r="T132" s="4">
        <v>103</v>
      </c>
      <c r="U132" s="4">
        <v>110</v>
      </c>
      <c r="V132" s="4"/>
      <c r="W132" s="4">
        <v>0.1</v>
      </c>
      <c r="X132" s="4">
        <v>0.5</v>
      </c>
      <c r="Y132" s="4">
        <v>0.6</v>
      </c>
      <c r="Z132" s="4">
        <v>5.5E-2</v>
      </c>
      <c r="AA132" s="13">
        <f>(I132/TOTAL_BASIC!$D$301)*100</f>
        <v>98.143048541206142</v>
      </c>
      <c r="AB132" s="5">
        <f t="shared" ref="AB132:AB180" si="36">(T132/100)</f>
        <v>1.03</v>
      </c>
      <c r="AC132" s="3">
        <f t="shared" si="33"/>
        <v>-7</v>
      </c>
      <c r="AD132" s="9">
        <f t="shared" ref="AD132:AD180" si="37">2*I132</f>
        <v>1.1020000000000001</v>
      </c>
      <c r="AE132" s="16">
        <f t="shared" ref="AE132:AE180" si="38">IF(S132=0,0,O132/S132)</f>
        <v>0.68421052631578938</v>
      </c>
      <c r="AF132" s="16">
        <f t="shared" ref="AF132:AF180" si="39">IF(R132=0,0,O132/R132)</f>
        <v>0.57073170731707312</v>
      </c>
      <c r="AG132" s="9"/>
      <c r="AH132" s="9"/>
      <c r="AI132" s="12">
        <f t="shared" ref="AI132:AL159" si="40">(PERCENTRANK(F$3:F$298,F132))*100</f>
        <v>45.300000000000004</v>
      </c>
      <c r="AJ132" s="12">
        <f t="shared" ref="AJ132:AL147" si="41">(PERCENTRANK(G$3:G$298,G132))*100</f>
        <v>29.5</v>
      </c>
      <c r="AK132" s="12">
        <f t="shared" si="41"/>
        <v>40.400000000000006</v>
      </c>
      <c r="AL132" s="12">
        <f t="shared" si="41"/>
        <v>45.300000000000004</v>
      </c>
      <c r="AM132" s="12">
        <f t="shared" si="35"/>
        <v>44.2</v>
      </c>
      <c r="AN132" s="12">
        <f t="shared" si="34"/>
        <v>7.6</v>
      </c>
      <c r="AO132" s="12">
        <f t="shared" si="34"/>
        <v>94.5</v>
      </c>
      <c r="AP132" s="12">
        <f t="shared" si="34"/>
        <v>94.5</v>
      </c>
      <c r="AQ132" s="12">
        <f t="shared" si="34"/>
        <v>86.8</v>
      </c>
      <c r="AR132" s="12">
        <f t="shared" si="29"/>
        <v>37.1</v>
      </c>
      <c r="AS132" s="12">
        <f t="shared" si="29"/>
        <v>57.9</v>
      </c>
      <c r="AT132" s="12">
        <f t="shared" si="29"/>
        <v>65</v>
      </c>
      <c r="AU132" s="12">
        <f t="shared" ref="AU132:AU157" si="42">100-(PERCENTRANK(R$3:R$298,R132))*100</f>
        <v>11.5</v>
      </c>
      <c r="AV132" s="12">
        <f t="shared" si="30"/>
        <v>34.9</v>
      </c>
      <c r="AW132" s="12">
        <f t="shared" si="30"/>
        <v>34.4</v>
      </c>
      <c r="AX132" s="12">
        <f t="shared" ref="AX132:AX176" si="43">100-(PERCENTRANK(U$3:U$298,U132))*100</f>
        <v>56.3</v>
      </c>
      <c r="AY132" s="9"/>
      <c r="AZ132" s="12">
        <f t="shared" si="31"/>
        <v>31.1</v>
      </c>
      <c r="BA132" s="12">
        <f t="shared" si="31"/>
        <v>39.300000000000004</v>
      </c>
      <c r="BB132" s="12">
        <f t="shared" si="31"/>
        <v>33.300000000000004</v>
      </c>
      <c r="BC132" s="12">
        <f t="shared" si="31"/>
        <v>38.700000000000003</v>
      </c>
      <c r="BD132" s="12">
        <f t="shared" si="32"/>
        <v>45.300000000000004</v>
      </c>
      <c r="BE132" s="12">
        <f t="shared" si="32"/>
        <v>34.4</v>
      </c>
      <c r="BF132" s="12">
        <f t="shared" si="32"/>
        <v>38.200000000000003</v>
      </c>
      <c r="BG132" s="12">
        <f t="shared" si="32"/>
        <v>45.300000000000004</v>
      </c>
      <c r="BH132" s="12">
        <f t="shared" si="32"/>
        <v>45.9</v>
      </c>
      <c r="BI132" s="12">
        <f t="shared" si="32"/>
        <v>16.3</v>
      </c>
    </row>
    <row r="133" spans="1:61" ht="15.75" customHeight="1" x14ac:dyDescent="0.25">
      <c r="A133" s="1" t="s">
        <v>192</v>
      </c>
      <c r="B133" s="3" t="s">
        <v>96</v>
      </c>
      <c r="C133" s="4" t="s">
        <v>8</v>
      </c>
      <c r="D133" s="4">
        <v>37</v>
      </c>
      <c r="E133" s="4">
        <v>423</v>
      </c>
      <c r="F133" s="4">
        <v>37</v>
      </c>
      <c r="G133" s="4">
        <v>423</v>
      </c>
      <c r="H133" s="4">
        <v>9.9</v>
      </c>
      <c r="I133" s="4">
        <v>0.61</v>
      </c>
      <c r="J133" s="4">
        <v>0.59399999999999997</v>
      </c>
      <c r="K133" s="4">
        <v>0.68200000000000005</v>
      </c>
      <c r="L133" s="4">
        <v>7.0999999999999994E-2</v>
      </c>
      <c r="M133" s="4">
        <v>2</v>
      </c>
      <c r="N133" s="4">
        <v>3.8</v>
      </c>
      <c r="O133" s="4">
        <v>12.5</v>
      </c>
      <c r="P133" s="4">
        <v>1.9</v>
      </c>
      <c r="Q133" s="4">
        <v>0</v>
      </c>
      <c r="R133" s="4">
        <v>13.8</v>
      </c>
      <c r="S133" s="4">
        <v>10.6</v>
      </c>
      <c r="T133" s="4">
        <v>122</v>
      </c>
      <c r="U133" s="4">
        <v>111</v>
      </c>
      <c r="V133" s="4"/>
      <c r="W133" s="4">
        <v>0.7</v>
      </c>
      <c r="X133" s="4">
        <v>0.4</v>
      </c>
      <c r="Y133" s="4">
        <v>1.1000000000000001</v>
      </c>
      <c r="Z133" s="4">
        <v>0.105</v>
      </c>
      <c r="AA133" s="13">
        <f>(I133/TOTAL_BASIC!$D$301)*100</f>
        <v>108.65201381149862</v>
      </c>
      <c r="AB133" s="5">
        <f t="shared" si="36"/>
        <v>1.22</v>
      </c>
      <c r="AC133" s="3">
        <f t="shared" si="33"/>
        <v>11</v>
      </c>
      <c r="AD133" s="9">
        <f t="shared" si="37"/>
        <v>1.22</v>
      </c>
      <c r="AE133" s="16">
        <f t="shared" si="38"/>
        <v>1.179245283018868</v>
      </c>
      <c r="AF133" s="16">
        <f t="shared" si="39"/>
        <v>0.90579710144927528</v>
      </c>
      <c r="AG133" s="9"/>
      <c r="AH133" s="9"/>
      <c r="AI133" s="12">
        <f t="shared" si="40"/>
        <v>48</v>
      </c>
      <c r="AJ133" s="12">
        <f t="shared" si="41"/>
        <v>28.9</v>
      </c>
      <c r="AK133" s="12">
        <f t="shared" si="41"/>
        <v>25.1</v>
      </c>
      <c r="AL133" s="12">
        <f t="shared" si="41"/>
        <v>83</v>
      </c>
      <c r="AM133" s="12">
        <f t="shared" si="35"/>
        <v>91.8</v>
      </c>
      <c r="AN133" s="12">
        <f t="shared" si="34"/>
        <v>91.2</v>
      </c>
      <c r="AO133" s="12">
        <f t="shared" si="34"/>
        <v>2.7</v>
      </c>
      <c r="AP133" s="12">
        <f t="shared" si="34"/>
        <v>15.299999999999999</v>
      </c>
      <c r="AQ133" s="12">
        <f t="shared" si="34"/>
        <v>2.7</v>
      </c>
      <c r="AR133" s="12">
        <f t="shared" si="29"/>
        <v>45.9</v>
      </c>
      <c r="AS133" s="12">
        <f t="shared" si="29"/>
        <v>57.9</v>
      </c>
      <c r="AT133" s="12">
        <f t="shared" si="29"/>
        <v>0</v>
      </c>
      <c r="AU133" s="12">
        <f t="shared" si="42"/>
        <v>58.5</v>
      </c>
      <c r="AV133" s="12">
        <f t="shared" si="30"/>
        <v>3.2</v>
      </c>
      <c r="AW133" s="12">
        <f t="shared" si="30"/>
        <v>89</v>
      </c>
      <c r="AX133" s="12">
        <f t="shared" si="43"/>
        <v>47</v>
      </c>
      <c r="AY133" s="9"/>
      <c r="AZ133" s="12">
        <f t="shared" si="31"/>
        <v>60.6</v>
      </c>
      <c r="BA133" s="12">
        <f t="shared" si="31"/>
        <v>34.4</v>
      </c>
      <c r="BB133" s="12">
        <f t="shared" si="31"/>
        <v>53</v>
      </c>
      <c r="BC133" s="12">
        <f t="shared" si="31"/>
        <v>66.600000000000009</v>
      </c>
      <c r="BD133" s="12">
        <f t="shared" si="32"/>
        <v>83</v>
      </c>
      <c r="BE133" s="12">
        <f t="shared" si="32"/>
        <v>89</v>
      </c>
      <c r="BF133" s="12">
        <f t="shared" si="32"/>
        <v>81.399999999999991</v>
      </c>
      <c r="BG133" s="12">
        <f t="shared" si="32"/>
        <v>83</v>
      </c>
      <c r="BH133" s="12">
        <f t="shared" si="32"/>
        <v>84.1</v>
      </c>
      <c r="BI133" s="12">
        <f t="shared" si="32"/>
        <v>42</v>
      </c>
    </row>
    <row r="134" spans="1:61" ht="15.75" customHeight="1" x14ac:dyDescent="0.25">
      <c r="A134" s="1" t="s">
        <v>229</v>
      </c>
      <c r="B134" s="3" t="s">
        <v>131</v>
      </c>
      <c r="C134" s="4" t="s">
        <v>8</v>
      </c>
      <c r="D134" s="4">
        <v>30</v>
      </c>
      <c r="E134" s="4">
        <v>407</v>
      </c>
      <c r="F134" s="4">
        <v>30</v>
      </c>
      <c r="G134" s="4">
        <v>407</v>
      </c>
      <c r="H134" s="4">
        <v>12.8</v>
      </c>
      <c r="I134" s="4">
        <v>0.55900000000000005</v>
      </c>
      <c r="J134" s="4">
        <v>0.441</v>
      </c>
      <c r="K134" s="4">
        <v>0.2</v>
      </c>
      <c r="L134" s="4">
        <v>0.59099999999999997</v>
      </c>
      <c r="M134" s="4">
        <v>4.4000000000000004</v>
      </c>
      <c r="N134" s="4">
        <v>11.2</v>
      </c>
      <c r="O134" s="4">
        <v>6.8</v>
      </c>
      <c r="P134" s="4">
        <v>2.4</v>
      </c>
      <c r="Q134" s="4">
        <v>1.5</v>
      </c>
      <c r="R134" s="4">
        <v>13.7</v>
      </c>
      <c r="S134" s="4">
        <v>17.2</v>
      </c>
      <c r="T134" s="4">
        <v>107</v>
      </c>
      <c r="U134" s="4">
        <v>108</v>
      </c>
      <c r="V134" s="4"/>
      <c r="W134" s="4">
        <v>0.3</v>
      </c>
      <c r="X134" s="4">
        <v>0.6</v>
      </c>
      <c r="Y134" s="4">
        <v>0.9</v>
      </c>
      <c r="Z134" s="4">
        <v>8.6999999999999994E-2</v>
      </c>
      <c r="AA134" s="13">
        <f>(I134/TOTAL_BASIC!$D$301)*100</f>
        <v>99.567992984635637</v>
      </c>
      <c r="AB134" s="5">
        <f t="shared" si="36"/>
        <v>1.07</v>
      </c>
      <c r="AC134" s="3">
        <f t="shared" si="33"/>
        <v>-1</v>
      </c>
      <c r="AD134" s="9">
        <f t="shared" si="37"/>
        <v>1.1180000000000001</v>
      </c>
      <c r="AE134" s="16">
        <f t="shared" si="38"/>
        <v>0.39534883720930231</v>
      </c>
      <c r="AF134" s="16">
        <f t="shared" si="39"/>
        <v>0.49635036496350365</v>
      </c>
      <c r="AG134" s="9"/>
      <c r="AH134" s="9"/>
      <c r="AI134" s="12">
        <f t="shared" si="40"/>
        <v>30.599999999999998</v>
      </c>
      <c r="AJ134" s="12">
        <f t="shared" si="41"/>
        <v>28.4</v>
      </c>
      <c r="AK134" s="12">
        <f t="shared" si="41"/>
        <v>50.8</v>
      </c>
      <c r="AL134" s="12">
        <f t="shared" si="41"/>
        <v>53</v>
      </c>
      <c r="AM134" s="12">
        <f t="shared" si="35"/>
        <v>14.2</v>
      </c>
      <c r="AN134" s="12">
        <f t="shared" si="34"/>
        <v>15.299999999999999</v>
      </c>
      <c r="AO134" s="12">
        <f t="shared" si="34"/>
        <v>96.7</v>
      </c>
      <c r="AP134" s="12">
        <f t="shared" si="34"/>
        <v>50.2</v>
      </c>
      <c r="AQ134" s="12">
        <f t="shared" si="34"/>
        <v>67.2</v>
      </c>
      <c r="AR134" s="12">
        <f t="shared" si="29"/>
        <v>7.6</v>
      </c>
      <c r="AS134" s="12">
        <f t="shared" si="29"/>
        <v>79.7</v>
      </c>
      <c r="AT134" s="12">
        <f t="shared" si="29"/>
        <v>57.3</v>
      </c>
      <c r="AU134" s="12">
        <f t="shared" si="42"/>
        <v>59.599999999999994</v>
      </c>
      <c r="AV134" s="12">
        <f t="shared" si="30"/>
        <v>36</v>
      </c>
      <c r="AW134" s="12">
        <f t="shared" si="30"/>
        <v>50.8</v>
      </c>
      <c r="AX134" s="12">
        <f t="shared" si="43"/>
        <v>71.099999999999994</v>
      </c>
      <c r="AY134" s="9"/>
      <c r="AZ134" s="12">
        <f t="shared" si="31"/>
        <v>42</v>
      </c>
      <c r="BA134" s="12">
        <f t="shared" si="31"/>
        <v>47.5</v>
      </c>
      <c r="BB134" s="12">
        <f t="shared" si="31"/>
        <v>44.2</v>
      </c>
      <c r="BC134" s="12">
        <f t="shared" si="31"/>
        <v>59</v>
      </c>
      <c r="BD134" s="12">
        <f t="shared" si="32"/>
        <v>53</v>
      </c>
      <c r="BE134" s="12">
        <f t="shared" si="32"/>
        <v>50.8</v>
      </c>
      <c r="BF134" s="12">
        <f t="shared" si="32"/>
        <v>58.4</v>
      </c>
      <c r="BG134" s="12">
        <f t="shared" si="32"/>
        <v>53</v>
      </c>
      <c r="BH134" s="12">
        <f t="shared" si="32"/>
        <v>9.1999999999999993</v>
      </c>
      <c r="BI134" s="12">
        <f t="shared" si="32"/>
        <v>11.4</v>
      </c>
    </row>
    <row r="135" spans="1:61" ht="15.75" customHeight="1" x14ac:dyDescent="0.25">
      <c r="A135" s="1" t="s">
        <v>253</v>
      </c>
      <c r="B135" s="3" t="s">
        <v>140</v>
      </c>
      <c r="C135" s="4" t="s">
        <v>8</v>
      </c>
      <c r="D135" s="4">
        <v>33</v>
      </c>
      <c r="E135" s="4">
        <v>404</v>
      </c>
      <c r="F135" s="4">
        <v>33</v>
      </c>
      <c r="G135" s="4">
        <v>404</v>
      </c>
      <c r="H135" s="4">
        <v>7.6</v>
      </c>
      <c r="I135" s="4">
        <v>0.42199999999999999</v>
      </c>
      <c r="J135" s="4">
        <v>0.39200000000000002</v>
      </c>
      <c r="K135" s="4">
        <v>0.36699999999999999</v>
      </c>
      <c r="L135" s="4">
        <v>0.33300000000000002</v>
      </c>
      <c r="M135" s="4">
        <v>3.4</v>
      </c>
      <c r="N135" s="4">
        <v>6.9</v>
      </c>
      <c r="O135" s="4">
        <v>26.2</v>
      </c>
      <c r="P135" s="4">
        <v>2.7</v>
      </c>
      <c r="Q135" s="4">
        <v>1.2</v>
      </c>
      <c r="R135" s="4">
        <v>22.1</v>
      </c>
      <c r="S135" s="4">
        <v>19.5</v>
      </c>
      <c r="T135" s="4">
        <v>87</v>
      </c>
      <c r="U135" s="4">
        <v>104</v>
      </c>
      <c r="V135" s="4"/>
      <c r="W135" s="4">
        <v>-0.8</v>
      </c>
      <c r="X135" s="4">
        <v>0.8</v>
      </c>
      <c r="Y135" s="4">
        <v>0</v>
      </c>
      <c r="Z135" s="4">
        <v>1E-3</v>
      </c>
      <c r="AA135" s="13">
        <f>(I135/TOTAL_BASIC!$D$301)*100</f>
        <v>75.165819390905611</v>
      </c>
      <c r="AB135" s="5">
        <f t="shared" si="36"/>
        <v>0.87</v>
      </c>
      <c r="AC135" s="3">
        <f t="shared" si="33"/>
        <v>-17</v>
      </c>
      <c r="AD135" s="9">
        <f t="shared" si="37"/>
        <v>0.84399999999999997</v>
      </c>
      <c r="AE135" s="16">
        <f t="shared" si="38"/>
        <v>1.3435897435897435</v>
      </c>
      <c r="AF135" s="16">
        <f t="shared" si="39"/>
        <v>1.18552036199095</v>
      </c>
      <c r="AG135" s="9"/>
      <c r="AH135" s="9"/>
      <c r="AI135" s="12">
        <f t="shared" si="40"/>
        <v>38.200000000000003</v>
      </c>
      <c r="AJ135" s="12">
        <f t="shared" si="41"/>
        <v>27.800000000000004</v>
      </c>
      <c r="AK135" s="12">
        <f t="shared" si="41"/>
        <v>8.1</v>
      </c>
      <c r="AL135" s="12">
        <f t="shared" si="41"/>
        <v>3.8</v>
      </c>
      <c r="AM135" s="12">
        <f t="shared" si="35"/>
        <v>3.8</v>
      </c>
      <c r="AN135" s="12">
        <f t="shared" si="34"/>
        <v>41.5</v>
      </c>
      <c r="AO135" s="12">
        <f t="shared" si="34"/>
        <v>62.8</v>
      </c>
      <c r="AP135" s="12">
        <f t="shared" si="34"/>
        <v>38.700000000000003</v>
      </c>
      <c r="AQ135" s="12">
        <f t="shared" si="34"/>
        <v>32.700000000000003</v>
      </c>
      <c r="AR135" s="12">
        <f t="shared" si="29"/>
        <v>87.4</v>
      </c>
      <c r="AS135" s="12">
        <f t="shared" si="29"/>
        <v>90.7</v>
      </c>
      <c r="AT135" s="12">
        <f t="shared" si="29"/>
        <v>46.400000000000006</v>
      </c>
      <c r="AU135" s="12">
        <f t="shared" si="42"/>
        <v>7.1999999999999886</v>
      </c>
      <c r="AV135" s="12">
        <f t="shared" si="30"/>
        <v>56.8</v>
      </c>
      <c r="AW135" s="12">
        <f t="shared" si="30"/>
        <v>3.2</v>
      </c>
      <c r="AX135" s="12">
        <f t="shared" si="43"/>
        <v>88</v>
      </c>
      <c r="AY135" s="9"/>
      <c r="AZ135" s="12">
        <f t="shared" si="31"/>
        <v>2.7</v>
      </c>
      <c r="BA135" s="12">
        <f t="shared" si="31"/>
        <v>59</v>
      </c>
      <c r="BB135" s="12">
        <f t="shared" si="31"/>
        <v>10.9</v>
      </c>
      <c r="BC135" s="12">
        <f t="shared" si="31"/>
        <v>12.5</v>
      </c>
      <c r="BD135" s="12">
        <f t="shared" si="32"/>
        <v>3.8</v>
      </c>
      <c r="BE135" s="12">
        <f t="shared" si="32"/>
        <v>3.2</v>
      </c>
      <c r="BF135" s="12">
        <f t="shared" si="32"/>
        <v>13.100000000000001</v>
      </c>
      <c r="BG135" s="12">
        <f t="shared" si="32"/>
        <v>3.8</v>
      </c>
      <c r="BH135" s="12">
        <f t="shared" si="32"/>
        <v>87.9</v>
      </c>
      <c r="BI135" s="12">
        <f t="shared" si="32"/>
        <v>65.5</v>
      </c>
    </row>
    <row r="136" spans="1:61" ht="15.75" customHeight="1" x14ac:dyDescent="0.25">
      <c r="A136" s="1" t="s">
        <v>226</v>
      </c>
      <c r="B136" s="3" t="s">
        <v>157</v>
      </c>
      <c r="C136" s="4" t="s">
        <v>8</v>
      </c>
      <c r="D136" s="4">
        <v>37</v>
      </c>
      <c r="E136" s="4">
        <v>394</v>
      </c>
      <c r="F136" s="4">
        <v>37</v>
      </c>
      <c r="G136" s="4">
        <v>394</v>
      </c>
      <c r="H136" s="4">
        <v>8.4</v>
      </c>
      <c r="I136" s="4">
        <v>0.47</v>
      </c>
      <c r="J136" s="4">
        <v>0.45300000000000001</v>
      </c>
      <c r="K136" s="4">
        <v>0.40500000000000003</v>
      </c>
      <c r="L136" s="4">
        <v>0.10299999999999999</v>
      </c>
      <c r="M136" s="4">
        <v>6</v>
      </c>
      <c r="N136" s="4">
        <v>10</v>
      </c>
      <c r="O136" s="4">
        <v>14.8</v>
      </c>
      <c r="P136" s="4">
        <v>1.5</v>
      </c>
      <c r="Q136" s="4">
        <v>1.1000000000000001</v>
      </c>
      <c r="R136" s="4">
        <v>18.8</v>
      </c>
      <c r="S136" s="4">
        <v>16.600000000000001</v>
      </c>
      <c r="T136" s="4">
        <v>96</v>
      </c>
      <c r="U136" s="4">
        <v>112</v>
      </c>
      <c r="V136" s="4"/>
      <c r="W136" s="4">
        <v>-0.2</v>
      </c>
      <c r="X136" s="4">
        <v>0.3</v>
      </c>
      <c r="Y136" s="4">
        <v>0.1</v>
      </c>
      <c r="Z136" s="4">
        <v>1.2999999999999999E-2</v>
      </c>
      <c r="AA136" s="13">
        <f>(I136/TOTAL_BASIC!$D$301)*100</f>
        <v>83.715486051482543</v>
      </c>
      <c r="AB136" s="5">
        <f t="shared" si="36"/>
        <v>0.96</v>
      </c>
      <c r="AC136" s="3">
        <f t="shared" si="33"/>
        <v>-16</v>
      </c>
      <c r="AD136" s="9">
        <f t="shared" si="37"/>
        <v>0.94</v>
      </c>
      <c r="AE136" s="16">
        <f t="shared" si="38"/>
        <v>0.89156626506024095</v>
      </c>
      <c r="AF136" s="16">
        <f t="shared" si="39"/>
        <v>0.78723404255319152</v>
      </c>
      <c r="AG136" s="9"/>
      <c r="AH136" s="9"/>
      <c r="AI136" s="12">
        <f t="shared" si="40"/>
        <v>48</v>
      </c>
      <c r="AJ136" s="12">
        <f t="shared" si="41"/>
        <v>27.3</v>
      </c>
      <c r="AK136" s="12">
        <f t="shared" si="41"/>
        <v>15.299999999999999</v>
      </c>
      <c r="AL136" s="12">
        <f t="shared" si="41"/>
        <v>8.6999999999999993</v>
      </c>
      <c r="AM136" s="12">
        <f t="shared" si="35"/>
        <v>20.200000000000003</v>
      </c>
      <c r="AN136" s="12">
        <f t="shared" si="34"/>
        <v>49.7</v>
      </c>
      <c r="AO136" s="12">
        <f t="shared" si="34"/>
        <v>6.5</v>
      </c>
      <c r="AP136" s="12">
        <f t="shared" si="34"/>
        <v>65.5</v>
      </c>
      <c r="AQ136" s="12">
        <f t="shared" si="34"/>
        <v>59.5</v>
      </c>
      <c r="AR136" s="12">
        <f t="shared" si="29"/>
        <v>58.4</v>
      </c>
      <c r="AS136" s="12">
        <f t="shared" si="29"/>
        <v>33.800000000000004</v>
      </c>
      <c r="AT136" s="12">
        <f t="shared" si="29"/>
        <v>43.7</v>
      </c>
      <c r="AU136" s="12">
        <f t="shared" si="42"/>
        <v>19.199999999999989</v>
      </c>
      <c r="AV136" s="12">
        <f t="shared" si="30"/>
        <v>30</v>
      </c>
      <c r="AW136" s="12">
        <f t="shared" si="30"/>
        <v>13.100000000000001</v>
      </c>
      <c r="AX136" s="12">
        <f t="shared" si="43"/>
        <v>38.800000000000004</v>
      </c>
      <c r="AY136" s="9"/>
      <c r="AZ136" s="12">
        <f t="shared" si="31"/>
        <v>15.8</v>
      </c>
      <c r="BA136" s="12">
        <f t="shared" si="31"/>
        <v>28.4</v>
      </c>
      <c r="BB136" s="12">
        <f t="shared" si="31"/>
        <v>13.600000000000001</v>
      </c>
      <c r="BC136" s="12">
        <f t="shared" si="31"/>
        <v>15.8</v>
      </c>
      <c r="BD136" s="12">
        <f t="shared" si="32"/>
        <v>8.6999999999999993</v>
      </c>
      <c r="BE136" s="12">
        <f t="shared" si="32"/>
        <v>13.100000000000001</v>
      </c>
      <c r="BF136" s="12">
        <f t="shared" si="32"/>
        <v>15.299999999999999</v>
      </c>
      <c r="BG136" s="12">
        <f t="shared" si="32"/>
        <v>8.6999999999999993</v>
      </c>
      <c r="BH136" s="12">
        <f t="shared" si="32"/>
        <v>66.100000000000009</v>
      </c>
      <c r="BI136" s="12">
        <f t="shared" si="32"/>
        <v>32.700000000000003</v>
      </c>
    </row>
    <row r="137" spans="1:61" ht="15.75" customHeight="1" x14ac:dyDescent="0.25">
      <c r="A137" s="1" t="s">
        <v>204</v>
      </c>
      <c r="B137" s="3" t="s">
        <v>128</v>
      </c>
      <c r="C137" s="4" t="s">
        <v>8</v>
      </c>
      <c r="D137" s="4">
        <v>34</v>
      </c>
      <c r="E137" s="4">
        <v>392</v>
      </c>
      <c r="F137" s="4">
        <v>34</v>
      </c>
      <c r="G137" s="4">
        <v>392</v>
      </c>
      <c r="H137" s="4">
        <v>8.3000000000000007</v>
      </c>
      <c r="I137" s="4">
        <v>0.50600000000000001</v>
      </c>
      <c r="J137" s="4">
        <v>0.48799999999999999</v>
      </c>
      <c r="K137" s="4">
        <v>0.65</v>
      </c>
      <c r="L137" s="4">
        <v>8.1000000000000003E-2</v>
      </c>
      <c r="M137" s="4">
        <v>1.5</v>
      </c>
      <c r="N137" s="4">
        <v>4.2</v>
      </c>
      <c r="O137" s="4">
        <v>16.600000000000001</v>
      </c>
      <c r="P137" s="4">
        <v>0.8</v>
      </c>
      <c r="Q137" s="4">
        <v>0.7</v>
      </c>
      <c r="R137" s="4">
        <v>11.8</v>
      </c>
      <c r="S137" s="4">
        <v>15.6</v>
      </c>
      <c r="T137" s="4">
        <v>107</v>
      </c>
      <c r="U137" s="4">
        <v>111</v>
      </c>
      <c r="V137" s="4"/>
      <c r="W137" s="4">
        <v>0.3</v>
      </c>
      <c r="X137" s="4">
        <v>0.4</v>
      </c>
      <c r="Y137" s="4">
        <v>0.7</v>
      </c>
      <c r="Z137" s="4">
        <v>7.0000000000000007E-2</v>
      </c>
      <c r="AA137" s="13">
        <f>(I137/TOTAL_BASIC!$D$301)*100</f>
        <v>90.127736046915246</v>
      </c>
      <c r="AB137" s="5">
        <f t="shared" si="36"/>
        <v>1.07</v>
      </c>
      <c r="AC137" s="3">
        <f t="shared" si="33"/>
        <v>-4</v>
      </c>
      <c r="AD137" s="9">
        <f t="shared" si="37"/>
        <v>1.012</v>
      </c>
      <c r="AE137" s="16">
        <f t="shared" si="38"/>
        <v>1.0641025641025643</v>
      </c>
      <c r="AF137" s="16">
        <f t="shared" si="39"/>
        <v>1.4067796610169492</v>
      </c>
      <c r="AG137" s="9"/>
      <c r="AH137" s="9"/>
      <c r="AI137" s="12">
        <f t="shared" si="40"/>
        <v>39.300000000000004</v>
      </c>
      <c r="AJ137" s="12">
        <f t="shared" si="41"/>
        <v>26.700000000000003</v>
      </c>
      <c r="AK137" s="12">
        <f t="shared" si="41"/>
        <v>14.7</v>
      </c>
      <c r="AL137" s="12">
        <f t="shared" si="41"/>
        <v>23.400000000000002</v>
      </c>
      <c r="AM137" s="12">
        <f t="shared" si="35"/>
        <v>36</v>
      </c>
      <c r="AN137" s="12">
        <f t="shared" si="34"/>
        <v>88.5</v>
      </c>
      <c r="AO137" s="12">
        <f t="shared" si="34"/>
        <v>3.8</v>
      </c>
      <c r="AP137" s="12">
        <f t="shared" si="34"/>
        <v>9.8000000000000007</v>
      </c>
      <c r="AQ137" s="12">
        <f t="shared" si="34"/>
        <v>5.4</v>
      </c>
      <c r="AR137" s="12">
        <f t="shared" si="29"/>
        <v>63.9</v>
      </c>
      <c r="AS137" s="12">
        <f t="shared" si="29"/>
        <v>4.9000000000000004</v>
      </c>
      <c r="AT137" s="12">
        <f t="shared" si="29"/>
        <v>24</v>
      </c>
      <c r="AU137" s="12">
        <f t="shared" si="42"/>
        <v>75.5</v>
      </c>
      <c r="AV137" s="12">
        <f t="shared" si="30"/>
        <v>21.8</v>
      </c>
      <c r="AW137" s="12">
        <f t="shared" si="30"/>
        <v>50.8</v>
      </c>
      <c r="AX137" s="12">
        <f t="shared" si="43"/>
        <v>47</v>
      </c>
      <c r="AY137" s="9"/>
      <c r="AZ137" s="12">
        <f t="shared" si="31"/>
        <v>42</v>
      </c>
      <c r="BA137" s="12">
        <f t="shared" si="31"/>
        <v>34.4</v>
      </c>
      <c r="BB137" s="12">
        <f t="shared" si="31"/>
        <v>37.1</v>
      </c>
      <c r="BC137" s="12">
        <f t="shared" si="31"/>
        <v>49.1</v>
      </c>
      <c r="BD137" s="12">
        <f t="shared" si="32"/>
        <v>23.400000000000002</v>
      </c>
      <c r="BE137" s="12">
        <f t="shared" si="32"/>
        <v>50.8</v>
      </c>
      <c r="BF137" s="12">
        <f t="shared" si="32"/>
        <v>48.6</v>
      </c>
      <c r="BG137" s="12">
        <f t="shared" si="32"/>
        <v>23.400000000000002</v>
      </c>
      <c r="BH137" s="12">
        <f t="shared" si="32"/>
        <v>76.5</v>
      </c>
      <c r="BI137" s="12">
        <f t="shared" si="32"/>
        <v>75.900000000000006</v>
      </c>
    </row>
    <row r="138" spans="1:61" ht="15.75" customHeight="1" x14ac:dyDescent="0.25">
      <c r="A138" s="1" t="s">
        <v>227</v>
      </c>
      <c r="B138" s="3" t="s">
        <v>161</v>
      </c>
      <c r="C138" s="4" t="s">
        <v>85</v>
      </c>
      <c r="D138" s="4">
        <v>37</v>
      </c>
      <c r="E138" s="4">
        <v>391</v>
      </c>
      <c r="F138" s="4">
        <v>37</v>
      </c>
      <c r="G138" s="4">
        <v>391</v>
      </c>
      <c r="H138" s="4">
        <v>7.7</v>
      </c>
      <c r="I138" s="4">
        <v>0.41</v>
      </c>
      <c r="J138" s="4">
        <v>0.39200000000000002</v>
      </c>
      <c r="K138" s="4">
        <v>0.24099999999999999</v>
      </c>
      <c r="L138" s="4">
        <v>0.26500000000000001</v>
      </c>
      <c r="M138" s="4">
        <v>9.5</v>
      </c>
      <c r="N138" s="4">
        <v>11.2</v>
      </c>
      <c r="O138" s="4">
        <v>6.9</v>
      </c>
      <c r="P138" s="4">
        <v>2.1</v>
      </c>
      <c r="Q138" s="4">
        <v>4.3</v>
      </c>
      <c r="R138" s="4">
        <v>17</v>
      </c>
      <c r="S138" s="4">
        <v>12.6</v>
      </c>
      <c r="T138" s="4">
        <v>90</v>
      </c>
      <c r="U138" s="4">
        <v>117</v>
      </c>
      <c r="V138" s="4"/>
      <c r="W138" s="4">
        <v>-0.4</v>
      </c>
      <c r="X138" s="4">
        <v>0.1</v>
      </c>
      <c r="Y138" s="4">
        <v>-0.3</v>
      </c>
      <c r="Z138" s="4">
        <v>-3.3000000000000002E-2</v>
      </c>
      <c r="AA138" s="13">
        <f>(I138/TOTAL_BASIC!$D$301)*100</f>
        <v>73.028402725761367</v>
      </c>
      <c r="AB138" s="5">
        <f t="shared" si="36"/>
        <v>0.9</v>
      </c>
      <c r="AC138" s="3">
        <f t="shared" si="33"/>
        <v>-27</v>
      </c>
      <c r="AD138" s="9">
        <f t="shared" si="37"/>
        <v>0.82</v>
      </c>
      <c r="AE138" s="16">
        <f t="shared" si="38"/>
        <v>0.54761904761904767</v>
      </c>
      <c r="AF138" s="16">
        <f t="shared" si="39"/>
        <v>0.40588235294117647</v>
      </c>
      <c r="AG138" s="9"/>
      <c r="AH138" s="9"/>
      <c r="AI138" s="12">
        <f t="shared" si="40"/>
        <v>48</v>
      </c>
      <c r="AJ138" s="12">
        <f t="shared" si="41"/>
        <v>26.200000000000003</v>
      </c>
      <c r="AK138" s="12">
        <f t="shared" si="41"/>
        <v>8.6999999999999993</v>
      </c>
      <c r="AL138" s="12">
        <f t="shared" si="41"/>
        <v>2.7</v>
      </c>
      <c r="AM138" s="12">
        <f t="shared" si="35"/>
        <v>3.8</v>
      </c>
      <c r="AN138" s="12">
        <f t="shared" si="34"/>
        <v>21.3</v>
      </c>
      <c r="AO138" s="12">
        <f t="shared" si="34"/>
        <v>44.2</v>
      </c>
      <c r="AP138" s="12">
        <f t="shared" si="34"/>
        <v>89</v>
      </c>
      <c r="AQ138" s="12">
        <f t="shared" si="34"/>
        <v>67.2</v>
      </c>
      <c r="AR138" s="12">
        <f t="shared" si="29"/>
        <v>8.6999999999999993</v>
      </c>
      <c r="AS138" s="12">
        <f t="shared" si="29"/>
        <v>70.399999999999991</v>
      </c>
      <c r="AT138" s="12">
        <f t="shared" si="29"/>
        <v>90.7</v>
      </c>
      <c r="AU138" s="12">
        <f t="shared" si="42"/>
        <v>32.299999999999997</v>
      </c>
      <c r="AV138" s="12">
        <f t="shared" si="30"/>
        <v>8.1</v>
      </c>
      <c r="AW138" s="12">
        <f t="shared" si="30"/>
        <v>6</v>
      </c>
      <c r="AX138" s="12">
        <f t="shared" si="43"/>
        <v>9.2999999999999972</v>
      </c>
      <c r="AY138" s="9"/>
      <c r="AZ138" s="12">
        <f t="shared" si="31"/>
        <v>6.5</v>
      </c>
      <c r="BA138" s="12">
        <f t="shared" si="31"/>
        <v>8.1</v>
      </c>
      <c r="BB138" s="12">
        <f t="shared" si="31"/>
        <v>3.8</v>
      </c>
      <c r="BC138" s="12">
        <f t="shared" si="31"/>
        <v>5.4</v>
      </c>
      <c r="BD138" s="12">
        <f t="shared" si="32"/>
        <v>2.7</v>
      </c>
      <c r="BE138" s="12">
        <f t="shared" si="32"/>
        <v>6</v>
      </c>
      <c r="BF138" s="12">
        <f t="shared" si="32"/>
        <v>3.2</v>
      </c>
      <c r="BG138" s="12">
        <f t="shared" si="32"/>
        <v>2.7</v>
      </c>
      <c r="BH138" s="12">
        <f t="shared" si="32"/>
        <v>26.200000000000003</v>
      </c>
      <c r="BI138" s="12">
        <f t="shared" si="32"/>
        <v>4.3</v>
      </c>
    </row>
    <row r="139" spans="1:61" ht="15.75" customHeight="1" x14ac:dyDescent="0.25">
      <c r="A139" s="1" t="s">
        <v>238</v>
      </c>
      <c r="B139" s="4" t="s">
        <v>232</v>
      </c>
      <c r="C139" s="4" t="s">
        <v>8</v>
      </c>
      <c r="D139" s="4">
        <v>29</v>
      </c>
      <c r="E139" s="4">
        <v>388</v>
      </c>
      <c r="F139" s="4">
        <v>29</v>
      </c>
      <c r="G139" s="4">
        <v>388</v>
      </c>
      <c r="H139" s="4">
        <v>9.9</v>
      </c>
      <c r="I139" s="4">
        <v>0.50700000000000001</v>
      </c>
      <c r="J139" s="4">
        <v>0.49</v>
      </c>
      <c r="K139" s="4">
        <v>0.39700000000000002</v>
      </c>
      <c r="L139" s="4">
        <v>0.11899999999999999</v>
      </c>
      <c r="M139" s="4">
        <v>4.9000000000000004</v>
      </c>
      <c r="N139" s="4">
        <v>7.5</v>
      </c>
      <c r="O139" s="4">
        <v>40.1</v>
      </c>
      <c r="P139" s="4">
        <v>2.5</v>
      </c>
      <c r="Q139" s="4">
        <v>0.3</v>
      </c>
      <c r="R139" s="4">
        <v>31.2</v>
      </c>
      <c r="S139" s="4">
        <v>26.7</v>
      </c>
      <c r="T139" s="4">
        <v>89</v>
      </c>
      <c r="U139" s="4">
        <v>116</v>
      </c>
      <c r="V139" s="4"/>
      <c r="W139" s="4">
        <v>-1</v>
      </c>
      <c r="X139" s="4">
        <v>0.1</v>
      </c>
      <c r="Y139" s="4">
        <v>-0.9</v>
      </c>
      <c r="Z139" s="4">
        <v>-8.7999999999999995E-2</v>
      </c>
      <c r="AA139" s="13">
        <f>(I139/TOTAL_BASIC!$D$301)*100</f>
        <v>90.305854102343943</v>
      </c>
      <c r="AB139" s="5">
        <f t="shared" si="36"/>
        <v>0.89</v>
      </c>
      <c r="AC139" s="3">
        <f t="shared" si="33"/>
        <v>-27</v>
      </c>
      <c r="AD139" s="9">
        <f t="shared" si="37"/>
        <v>1.014</v>
      </c>
      <c r="AE139" s="16">
        <f t="shared" si="38"/>
        <v>1.5018726591760301</v>
      </c>
      <c r="AF139" s="16">
        <f t="shared" si="39"/>
        <v>1.2852564102564104</v>
      </c>
      <c r="AG139" s="9"/>
      <c r="AH139" s="9"/>
      <c r="AI139" s="12">
        <f t="shared" si="40"/>
        <v>28.9</v>
      </c>
      <c r="AJ139" s="12">
        <f t="shared" si="41"/>
        <v>25.6</v>
      </c>
      <c r="AK139" s="12">
        <f t="shared" si="41"/>
        <v>25.1</v>
      </c>
      <c r="AL139" s="12">
        <f t="shared" si="41"/>
        <v>25.6</v>
      </c>
      <c r="AM139" s="12">
        <f t="shared" si="35"/>
        <v>38.700000000000003</v>
      </c>
      <c r="AN139" s="12">
        <f t="shared" si="34"/>
        <v>48</v>
      </c>
      <c r="AO139" s="12">
        <f t="shared" si="34"/>
        <v>8.6999999999999993</v>
      </c>
      <c r="AP139" s="12">
        <f t="shared" si="34"/>
        <v>55.7</v>
      </c>
      <c r="AQ139" s="12">
        <f t="shared" si="34"/>
        <v>38.700000000000003</v>
      </c>
      <c r="AR139" s="12">
        <f t="shared" si="29"/>
        <v>97.8</v>
      </c>
      <c r="AS139" s="12">
        <f t="shared" si="29"/>
        <v>84.1</v>
      </c>
      <c r="AT139" s="12">
        <f t="shared" si="29"/>
        <v>9.1999999999999993</v>
      </c>
      <c r="AU139" s="12">
        <f t="shared" si="42"/>
        <v>0.59999999999999432</v>
      </c>
      <c r="AV139" s="12">
        <f t="shared" si="30"/>
        <v>89.600000000000009</v>
      </c>
      <c r="AW139" s="12">
        <f t="shared" si="30"/>
        <v>4.9000000000000004</v>
      </c>
      <c r="AX139" s="12">
        <f t="shared" si="43"/>
        <v>14.299999999999997</v>
      </c>
      <c r="AY139" s="9"/>
      <c r="AZ139" s="12">
        <f t="shared" si="31"/>
        <v>0.5</v>
      </c>
      <c r="BA139" s="12">
        <f t="shared" si="31"/>
        <v>8.1</v>
      </c>
      <c r="BB139" s="12">
        <f t="shared" si="31"/>
        <v>0</v>
      </c>
      <c r="BC139" s="12">
        <f t="shared" si="31"/>
        <v>0.5</v>
      </c>
      <c r="BD139" s="12">
        <f t="shared" si="32"/>
        <v>25.6</v>
      </c>
      <c r="BE139" s="12">
        <f t="shared" si="32"/>
        <v>4.9000000000000004</v>
      </c>
      <c r="BF139" s="12">
        <f t="shared" si="32"/>
        <v>3.2</v>
      </c>
      <c r="BG139" s="12">
        <f t="shared" si="32"/>
        <v>25.6</v>
      </c>
      <c r="BH139" s="12">
        <f t="shared" si="32"/>
        <v>93.899999999999991</v>
      </c>
      <c r="BI139" s="12">
        <f t="shared" si="32"/>
        <v>71.5</v>
      </c>
    </row>
    <row r="140" spans="1:61" ht="15.75" customHeight="1" x14ac:dyDescent="0.25">
      <c r="A140" s="1" t="s">
        <v>223</v>
      </c>
      <c r="B140" s="3" t="s">
        <v>128</v>
      </c>
      <c r="C140" s="4" t="s">
        <v>88</v>
      </c>
      <c r="D140" s="4">
        <v>41</v>
      </c>
      <c r="E140" s="4">
        <v>379</v>
      </c>
      <c r="F140" s="4">
        <v>41</v>
      </c>
      <c r="G140" s="4">
        <v>379</v>
      </c>
      <c r="H140" s="4">
        <v>19.100000000000001</v>
      </c>
      <c r="I140" s="4">
        <v>0.62</v>
      </c>
      <c r="J140" s="4">
        <v>0.57999999999999996</v>
      </c>
      <c r="K140" s="4">
        <v>5.8000000000000003E-2</v>
      </c>
      <c r="L140" s="4">
        <v>0.35899999999999999</v>
      </c>
      <c r="M140" s="4">
        <v>14.5</v>
      </c>
      <c r="N140" s="4">
        <v>22</v>
      </c>
      <c r="O140" s="4">
        <v>5.3</v>
      </c>
      <c r="P140" s="4">
        <v>1.8</v>
      </c>
      <c r="Q140" s="4">
        <v>3</v>
      </c>
      <c r="R140" s="4">
        <v>21.7</v>
      </c>
      <c r="S140" s="4">
        <v>25.7</v>
      </c>
      <c r="T140" s="4">
        <v>104</v>
      </c>
      <c r="U140" s="4">
        <v>102</v>
      </c>
      <c r="V140" s="4"/>
      <c r="W140" s="4">
        <v>0.2</v>
      </c>
      <c r="X140" s="4">
        <v>0.9</v>
      </c>
      <c r="Y140" s="4">
        <v>1.1000000000000001</v>
      </c>
      <c r="Z140" s="4">
        <v>0.114</v>
      </c>
      <c r="AA140" s="13">
        <f>(I140/TOTAL_BASIC!$D$301)*100</f>
        <v>110.4331943657855</v>
      </c>
      <c r="AB140" s="5">
        <f t="shared" si="36"/>
        <v>1.04</v>
      </c>
      <c r="AC140" s="3">
        <f t="shared" si="33"/>
        <v>2</v>
      </c>
      <c r="AD140" s="9">
        <f t="shared" si="37"/>
        <v>1.24</v>
      </c>
      <c r="AE140" s="16">
        <f t="shared" si="38"/>
        <v>0.20622568093385213</v>
      </c>
      <c r="AF140" s="16">
        <f t="shared" si="39"/>
        <v>0.24423963133640553</v>
      </c>
      <c r="AG140" s="9"/>
      <c r="AH140" s="9"/>
      <c r="AI140" s="12">
        <f t="shared" si="40"/>
        <v>69.3</v>
      </c>
      <c r="AJ140" s="12">
        <f t="shared" si="41"/>
        <v>25.1</v>
      </c>
      <c r="AK140" s="12">
        <f t="shared" si="41"/>
        <v>80.800000000000011</v>
      </c>
      <c r="AL140" s="12">
        <f t="shared" si="41"/>
        <v>87.4</v>
      </c>
      <c r="AM140" s="12">
        <f t="shared" si="35"/>
        <v>87.9</v>
      </c>
      <c r="AN140" s="12">
        <f t="shared" si="34"/>
        <v>8.1</v>
      </c>
      <c r="AO140" s="12">
        <f t="shared" si="34"/>
        <v>68.8</v>
      </c>
      <c r="AP140" s="12">
        <f t="shared" si="34"/>
        <v>99.4</v>
      </c>
      <c r="AQ140" s="12">
        <f t="shared" si="34"/>
        <v>98.9</v>
      </c>
      <c r="AR140" s="12">
        <f t="shared" si="29"/>
        <v>2.1</v>
      </c>
      <c r="AS140" s="12">
        <f t="shared" si="29"/>
        <v>49.7</v>
      </c>
      <c r="AT140" s="12">
        <f t="shared" si="29"/>
        <v>80.300000000000011</v>
      </c>
      <c r="AU140" s="12">
        <f t="shared" si="42"/>
        <v>8.2000000000000028</v>
      </c>
      <c r="AV140" s="12">
        <f t="shared" si="30"/>
        <v>86.8</v>
      </c>
      <c r="AW140" s="12">
        <f t="shared" si="30"/>
        <v>37.700000000000003</v>
      </c>
      <c r="AX140" s="12">
        <f t="shared" si="43"/>
        <v>94.6</v>
      </c>
      <c r="AY140" s="9"/>
      <c r="AZ140" s="12">
        <f t="shared" si="31"/>
        <v>37.700000000000003</v>
      </c>
      <c r="BA140" s="12">
        <f t="shared" si="31"/>
        <v>62.8</v>
      </c>
      <c r="BB140" s="12">
        <f t="shared" si="31"/>
        <v>53</v>
      </c>
      <c r="BC140" s="12">
        <f t="shared" si="31"/>
        <v>69.3</v>
      </c>
      <c r="BD140" s="12">
        <f t="shared" si="32"/>
        <v>87.4</v>
      </c>
      <c r="BE140" s="12">
        <f t="shared" si="32"/>
        <v>37.700000000000003</v>
      </c>
      <c r="BF140" s="12">
        <f t="shared" si="32"/>
        <v>65</v>
      </c>
      <c r="BG140" s="12">
        <f t="shared" si="32"/>
        <v>87.4</v>
      </c>
      <c r="BH140" s="12">
        <f t="shared" si="32"/>
        <v>0</v>
      </c>
      <c r="BI140" s="12">
        <f t="shared" si="32"/>
        <v>0.5</v>
      </c>
    </row>
    <row r="141" spans="1:61" ht="15.75" customHeight="1" x14ac:dyDescent="0.25">
      <c r="A141" s="1" t="s">
        <v>189</v>
      </c>
      <c r="B141" s="3" t="s">
        <v>140</v>
      </c>
      <c r="C141" s="4" t="s">
        <v>8</v>
      </c>
      <c r="D141" s="4">
        <v>37</v>
      </c>
      <c r="E141" s="4">
        <v>363</v>
      </c>
      <c r="F141" s="4">
        <v>37</v>
      </c>
      <c r="G141" s="4">
        <v>363</v>
      </c>
      <c r="H141" s="4">
        <v>1.2</v>
      </c>
      <c r="I141" s="4">
        <v>0.36299999999999999</v>
      </c>
      <c r="J141" s="4">
        <v>0.34699999999999998</v>
      </c>
      <c r="K141" s="4">
        <v>0.41599999999999998</v>
      </c>
      <c r="L141" s="4">
        <v>0.17799999999999999</v>
      </c>
      <c r="M141" s="4">
        <v>8.3000000000000007</v>
      </c>
      <c r="N141" s="4">
        <v>6.3</v>
      </c>
      <c r="O141" s="4">
        <v>7.3</v>
      </c>
      <c r="P141" s="4">
        <v>1.3</v>
      </c>
      <c r="Q141" s="4">
        <v>0.8</v>
      </c>
      <c r="R141" s="4">
        <v>16.8</v>
      </c>
      <c r="S141" s="4">
        <v>16.100000000000001</v>
      </c>
      <c r="T141" s="4">
        <v>80</v>
      </c>
      <c r="U141" s="4">
        <v>109</v>
      </c>
      <c r="V141" s="4"/>
      <c r="W141" s="4">
        <v>-0.9</v>
      </c>
      <c r="X141" s="4">
        <v>0.5</v>
      </c>
      <c r="Y141" s="4">
        <v>-0.4</v>
      </c>
      <c r="Z141" s="4">
        <v>-4.3999999999999997E-2</v>
      </c>
      <c r="AA141" s="13">
        <f>(I141/TOTAL_BASIC!$D$301)*100</f>
        <v>64.656854120613119</v>
      </c>
      <c r="AB141" s="5">
        <f t="shared" si="36"/>
        <v>0.8</v>
      </c>
      <c r="AC141" s="3">
        <f t="shared" si="33"/>
        <v>-29</v>
      </c>
      <c r="AD141" s="9">
        <f t="shared" si="37"/>
        <v>0.72599999999999998</v>
      </c>
      <c r="AE141" s="16">
        <f t="shared" si="38"/>
        <v>0.45341614906832295</v>
      </c>
      <c r="AF141" s="16">
        <f t="shared" si="39"/>
        <v>0.43452380952380948</v>
      </c>
      <c r="AG141" s="9"/>
      <c r="AH141" s="9"/>
      <c r="AI141" s="12">
        <f t="shared" si="40"/>
        <v>48</v>
      </c>
      <c r="AJ141" s="12">
        <f t="shared" si="41"/>
        <v>24.5</v>
      </c>
      <c r="AK141" s="12">
        <f t="shared" si="41"/>
        <v>0.5</v>
      </c>
      <c r="AL141" s="12">
        <f t="shared" si="41"/>
        <v>0.5</v>
      </c>
      <c r="AM141" s="12">
        <f t="shared" si="35"/>
        <v>0.5</v>
      </c>
      <c r="AN141" s="12">
        <f t="shared" si="34"/>
        <v>51.300000000000004</v>
      </c>
      <c r="AO141" s="12">
        <f t="shared" si="34"/>
        <v>20.200000000000003</v>
      </c>
      <c r="AP141" s="12">
        <f t="shared" si="34"/>
        <v>81.399999999999991</v>
      </c>
      <c r="AQ141" s="12">
        <f t="shared" si="34"/>
        <v>24</v>
      </c>
      <c r="AR141" s="12">
        <f t="shared" si="29"/>
        <v>10.299999999999999</v>
      </c>
      <c r="AS141" s="12">
        <f t="shared" si="29"/>
        <v>22.900000000000002</v>
      </c>
      <c r="AT141" s="12">
        <f t="shared" si="29"/>
        <v>28.4</v>
      </c>
      <c r="AU141" s="12">
        <f t="shared" si="42"/>
        <v>32.799999999999997</v>
      </c>
      <c r="AV141" s="12">
        <f t="shared" si="30"/>
        <v>24.5</v>
      </c>
      <c r="AW141" s="12">
        <f t="shared" si="30"/>
        <v>1</v>
      </c>
      <c r="AX141" s="12">
        <f t="shared" si="43"/>
        <v>66.199999999999989</v>
      </c>
      <c r="AY141" s="9"/>
      <c r="AZ141" s="12">
        <f t="shared" si="31"/>
        <v>1.6</v>
      </c>
      <c r="BA141" s="12">
        <f t="shared" si="31"/>
        <v>39.300000000000004</v>
      </c>
      <c r="BB141" s="12">
        <f t="shared" si="31"/>
        <v>2.7</v>
      </c>
      <c r="BC141" s="12">
        <f t="shared" si="31"/>
        <v>2.7</v>
      </c>
      <c r="BD141" s="12">
        <f t="shared" si="32"/>
        <v>0.5</v>
      </c>
      <c r="BE141" s="12">
        <f t="shared" si="32"/>
        <v>1</v>
      </c>
      <c r="BF141" s="12">
        <f t="shared" si="32"/>
        <v>2.1</v>
      </c>
      <c r="BG141" s="12">
        <f t="shared" si="32"/>
        <v>0.5</v>
      </c>
      <c r="BH141" s="12">
        <f t="shared" si="32"/>
        <v>14.2</v>
      </c>
      <c r="BI141" s="12">
        <f t="shared" si="32"/>
        <v>5.4</v>
      </c>
    </row>
    <row r="142" spans="1:61" ht="15.75" customHeight="1" x14ac:dyDescent="0.25">
      <c r="A142" s="1" t="s">
        <v>135</v>
      </c>
      <c r="B142" s="4" t="s">
        <v>232</v>
      </c>
      <c r="C142" s="4" t="s">
        <v>88</v>
      </c>
      <c r="D142" s="4">
        <v>21</v>
      </c>
      <c r="E142" s="4">
        <v>348</v>
      </c>
      <c r="F142" s="4">
        <v>21</v>
      </c>
      <c r="G142" s="4">
        <v>348</v>
      </c>
      <c r="H142" s="4">
        <v>5.8</v>
      </c>
      <c r="I142" s="4">
        <v>0.441</v>
      </c>
      <c r="J142" s="4">
        <v>0.41</v>
      </c>
      <c r="K142" s="4">
        <v>0.55000000000000004</v>
      </c>
      <c r="L142" s="4">
        <v>0.15</v>
      </c>
      <c r="M142" s="4">
        <v>3.6</v>
      </c>
      <c r="N142" s="4">
        <v>10</v>
      </c>
      <c r="O142" s="4">
        <v>11.8</v>
      </c>
      <c r="P142" s="4">
        <v>1</v>
      </c>
      <c r="Q142" s="4">
        <v>2.2999999999999998</v>
      </c>
      <c r="R142" s="4">
        <v>15.1</v>
      </c>
      <c r="S142" s="4">
        <v>16.2</v>
      </c>
      <c r="T142" s="4">
        <v>91</v>
      </c>
      <c r="U142" s="4">
        <v>116</v>
      </c>
      <c r="V142" s="4"/>
      <c r="W142" s="4">
        <v>-0.4</v>
      </c>
      <c r="X142" s="4">
        <v>0.1</v>
      </c>
      <c r="Y142" s="4">
        <v>-0.3</v>
      </c>
      <c r="Z142" s="4">
        <v>-3.5999999999999997E-2</v>
      </c>
      <c r="AA142" s="13">
        <f>(I142/TOTAL_BASIC!$D$301)*100</f>
        <v>78.550062444050653</v>
      </c>
      <c r="AB142" s="5">
        <f t="shared" si="36"/>
        <v>0.91</v>
      </c>
      <c r="AC142" s="3">
        <f t="shared" si="33"/>
        <v>-25</v>
      </c>
      <c r="AD142" s="9">
        <f t="shared" si="37"/>
        <v>0.88200000000000001</v>
      </c>
      <c r="AE142" s="16">
        <f t="shared" si="38"/>
        <v>0.72839506172839519</v>
      </c>
      <c r="AF142" s="16">
        <f t="shared" si="39"/>
        <v>0.78145695364238421</v>
      </c>
      <c r="AG142" s="9"/>
      <c r="AH142" s="9"/>
      <c r="AI142" s="12">
        <f t="shared" si="40"/>
        <v>18</v>
      </c>
      <c r="AJ142" s="12">
        <f t="shared" si="41"/>
        <v>24</v>
      </c>
      <c r="AK142" s="12">
        <f t="shared" si="41"/>
        <v>3.8</v>
      </c>
      <c r="AL142" s="12">
        <f t="shared" si="41"/>
        <v>6</v>
      </c>
      <c r="AM142" s="12">
        <f t="shared" si="35"/>
        <v>6.5</v>
      </c>
      <c r="AN142" s="12">
        <f t="shared" si="34"/>
        <v>80.800000000000011</v>
      </c>
      <c r="AO142" s="12">
        <f t="shared" si="34"/>
        <v>15.299999999999999</v>
      </c>
      <c r="AP142" s="12">
        <f t="shared" si="34"/>
        <v>41.5</v>
      </c>
      <c r="AQ142" s="12">
        <f t="shared" si="34"/>
        <v>59.5</v>
      </c>
      <c r="AR142" s="12">
        <f t="shared" si="34"/>
        <v>38.200000000000003</v>
      </c>
      <c r="AS142" s="12">
        <f t="shared" si="34"/>
        <v>10.9</v>
      </c>
      <c r="AT142" s="12">
        <f t="shared" si="34"/>
        <v>69.899999999999991</v>
      </c>
      <c r="AU142" s="12">
        <f t="shared" si="42"/>
        <v>45.4</v>
      </c>
      <c r="AV142" s="12">
        <f t="shared" ref="AV142:AW159" si="44">(PERCENTRANK(S$3:S$298,S142))*100</f>
        <v>25.6</v>
      </c>
      <c r="AW142" s="12">
        <f t="shared" si="44"/>
        <v>7.1</v>
      </c>
      <c r="AX142" s="12">
        <f t="shared" si="43"/>
        <v>14.299999999999997</v>
      </c>
      <c r="AY142" s="9"/>
      <c r="AZ142" s="12">
        <f t="shared" ref="AZ142:BI159" si="45">(PERCENTRANK(W$3:W$298,W142))*100</f>
        <v>6.5</v>
      </c>
      <c r="BA142" s="12">
        <f t="shared" si="45"/>
        <v>8.1</v>
      </c>
      <c r="BB142" s="12">
        <f t="shared" si="45"/>
        <v>3.8</v>
      </c>
      <c r="BC142" s="12">
        <f t="shared" si="45"/>
        <v>4.3</v>
      </c>
      <c r="BD142" s="12">
        <f t="shared" si="45"/>
        <v>6</v>
      </c>
      <c r="BE142" s="12">
        <f t="shared" si="45"/>
        <v>7.1</v>
      </c>
      <c r="BF142" s="12">
        <f t="shared" si="45"/>
        <v>4.9000000000000004</v>
      </c>
      <c r="BG142" s="12">
        <f t="shared" si="45"/>
        <v>6</v>
      </c>
      <c r="BH142" s="12">
        <f t="shared" si="45"/>
        <v>52.400000000000006</v>
      </c>
      <c r="BI142" s="12">
        <f t="shared" si="45"/>
        <v>31.6</v>
      </c>
    </row>
    <row r="143" spans="1:61" ht="15.75" customHeight="1" x14ac:dyDescent="0.25">
      <c r="A143" s="1" t="s">
        <v>272</v>
      </c>
      <c r="B143" s="3" t="s">
        <v>93</v>
      </c>
      <c r="C143" s="4" t="s">
        <v>8</v>
      </c>
      <c r="D143" s="4">
        <v>20</v>
      </c>
      <c r="E143" s="4">
        <v>347</v>
      </c>
      <c r="F143" s="4">
        <v>20</v>
      </c>
      <c r="G143" s="4">
        <v>347</v>
      </c>
      <c r="H143" s="4">
        <v>8.1</v>
      </c>
      <c r="I143" s="4">
        <v>0.47599999999999998</v>
      </c>
      <c r="J143" s="4">
        <v>0.435</v>
      </c>
      <c r="K143" s="4">
        <v>0.75900000000000001</v>
      </c>
      <c r="L143" s="4">
        <v>0.13900000000000001</v>
      </c>
      <c r="M143" s="4">
        <v>2.5</v>
      </c>
      <c r="N143" s="4">
        <v>6</v>
      </c>
      <c r="O143" s="4">
        <v>20.2</v>
      </c>
      <c r="P143" s="4">
        <v>1.8</v>
      </c>
      <c r="Q143" s="4">
        <v>0.6</v>
      </c>
      <c r="R143" s="4">
        <v>16.7</v>
      </c>
      <c r="S143" s="4">
        <v>18</v>
      </c>
      <c r="T143" s="4">
        <v>94</v>
      </c>
      <c r="U143" s="4">
        <v>113</v>
      </c>
      <c r="V143" s="4"/>
      <c r="W143" s="4">
        <v>-0.3</v>
      </c>
      <c r="X143" s="4">
        <v>0.2</v>
      </c>
      <c r="Y143" s="4">
        <v>0</v>
      </c>
      <c r="Z143" s="4">
        <v>-5.0000000000000001E-3</v>
      </c>
      <c r="AA143" s="13">
        <f>(I143/TOTAL_BASIC!$D$301)*100</f>
        <v>84.784194384054658</v>
      </c>
      <c r="AB143" s="5">
        <f t="shared" si="36"/>
        <v>0.94</v>
      </c>
      <c r="AC143" s="3">
        <f t="shared" si="33"/>
        <v>-19</v>
      </c>
      <c r="AD143" s="9">
        <f t="shared" si="37"/>
        <v>0.95199999999999996</v>
      </c>
      <c r="AE143" s="16">
        <f t="shared" si="38"/>
        <v>1.1222222222222222</v>
      </c>
      <c r="AF143" s="16">
        <f t="shared" si="39"/>
        <v>1.2095808383233533</v>
      </c>
      <c r="AG143" s="9"/>
      <c r="AH143" s="9"/>
      <c r="AI143" s="12">
        <f t="shared" si="40"/>
        <v>16.3</v>
      </c>
      <c r="AJ143" s="12">
        <f t="shared" si="41"/>
        <v>23.400000000000002</v>
      </c>
      <c r="AK143" s="12">
        <f t="shared" si="41"/>
        <v>12</v>
      </c>
      <c r="AL143" s="12">
        <f t="shared" si="41"/>
        <v>10.9</v>
      </c>
      <c r="AM143" s="12">
        <f t="shared" si="35"/>
        <v>12</v>
      </c>
      <c r="AN143" s="12">
        <f t="shared" si="35"/>
        <v>97.8</v>
      </c>
      <c r="AO143" s="12">
        <f t="shared" si="35"/>
        <v>13.100000000000001</v>
      </c>
      <c r="AP143" s="12">
        <f t="shared" si="35"/>
        <v>27.800000000000004</v>
      </c>
      <c r="AQ143" s="12">
        <f t="shared" si="35"/>
        <v>20.7</v>
      </c>
      <c r="AR143" s="12">
        <f t="shared" si="35"/>
        <v>77</v>
      </c>
      <c r="AS143" s="12">
        <f t="shared" si="35"/>
        <v>49.7</v>
      </c>
      <c r="AT143" s="12">
        <f t="shared" si="35"/>
        <v>19.100000000000001</v>
      </c>
      <c r="AU143" s="12">
        <f t="shared" si="42"/>
        <v>33.899999999999991</v>
      </c>
      <c r="AV143" s="12">
        <f t="shared" si="44"/>
        <v>46.9</v>
      </c>
      <c r="AW143" s="12">
        <f t="shared" si="44"/>
        <v>8.1</v>
      </c>
      <c r="AX143" s="12">
        <f t="shared" si="43"/>
        <v>29.600000000000009</v>
      </c>
      <c r="AY143" s="9"/>
      <c r="AZ143" s="12">
        <f t="shared" si="45"/>
        <v>10.9</v>
      </c>
      <c r="BA143" s="12">
        <f t="shared" si="45"/>
        <v>19.600000000000001</v>
      </c>
      <c r="BB143" s="12">
        <f t="shared" si="45"/>
        <v>10.9</v>
      </c>
      <c r="BC143" s="12">
        <f t="shared" si="45"/>
        <v>10.299999999999999</v>
      </c>
      <c r="BD143" s="12">
        <f t="shared" si="45"/>
        <v>10.9</v>
      </c>
      <c r="BE143" s="12">
        <f t="shared" si="45"/>
        <v>8.1</v>
      </c>
      <c r="BF143" s="12">
        <f t="shared" si="45"/>
        <v>9.8000000000000007</v>
      </c>
      <c r="BG143" s="12">
        <f t="shared" si="45"/>
        <v>10.9</v>
      </c>
      <c r="BH143" s="12">
        <f t="shared" si="45"/>
        <v>77.5</v>
      </c>
      <c r="BI143" s="12">
        <f t="shared" si="45"/>
        <v>67.2</v>
      </c>
    </row>
    <row r="144" spans="1:61" ht="15.75" customHeight="1" x14ac:dyDescent="0.25">
      <c r="A144" s="1" t="s">
        <v>239</v>
      </c>
      <c r="B144" s="3" t="s">
        <v>99</v>
      </c>
      <c r="C144" s="4" t="s">
        <v>85</v>
      </c>
      <c r="D144" s="4">
        <v>30</v>
      </c>
      <c r="E144" s="4">
        <v>342</v>
      </c>
      <c r="F144" s="4">
        <v>30</v>
      </c>
      <c r="G144" s="4">
        <v>342</v>
      </c>
      <c r="H144" s="4">
        <v>7.1</v>
      </c>
      <c r="I144" s="4">
        <v>0.56100000000000005</v>
      </c>
      <c r="J144" s="4">
        <v>0.52500000000000002</v>
      </c>
      <c r="K144" s="4">
        <v>0.67800000000000005</v>
      </c>
      <c r="L144" s="4">
        <v>0.441</v>
      </c>
      <c r="M144" s="4">
        <v>3.8</v>
      </c>
      <c r="N144" s="4">
        <v>8.8000000000000007</v>
      </c>
      <c r="O144" s="4">
        <v>7.8</v>
      </c>
      <c r="P144" s="4">
        <v>0.9</v>
      </c>
      <c r="Q144" s="4">
        <v>2.1</v>
      </c>
      <c r="R144" s="4">
        <v>17.600000000000001</v>
      </c>
      <c r="S144" s="4">
        <v>11.1</v>
      </c>
      <c r="T144" s="4">
        <v>107</v>
      </c>
      <c r="U144" s="4">
        <v>110</v>
      </c>
      <c r="V144" s="4"/>
      <c r="W144" s="4">
        <v>0.2</v>
      </c>
      <c r="X144" s="4">
        <v>0.4</v>
      </c>
      <c r="Y144" s="4">
        <v>0.6</v>
      </c>
      <c r="Z144" s="4">
        <v>6.5000000000000002E-2</v>
      </c>
      <c r="AA144" s="13">
        <f>(I144/TOTAL_BASIC!$D$301)*100</f>
        <v>99.924229095493018</v>
      </c>
      <c r="AB144" s="5">
        <f t="shared" si="36"/>
        <v>1.07</v>
      </c>
      <c r="AC144" s="3">
        <f t="shared" si="33"/>
        <v>-3</v>
      </c>
      <c r="AD144" s="9">
        <f t="shared" si="37"/>
        <v>1.1220000000000001</v>
      </c>
      <c r="AE144" s="16">
        <f t="shared" si="38"/>
        <v>0.70270270270270274</v>
      </c>
      <c r="AF144" s="16">
        <f t="shared" si="39"/>
        <v>0.44318181818181812</v>
      </c>
      <c r="AG144" s="9"/>
      <c r="AH144" s="9"/>
      <c r="AI144" s="12">
        <f t="shared" si="40"/>
        <v>30.599999999999998</v>
      </c>
      <c r="AJ144" s="12">
        <f t="shared" si="41"/>
        <v>22.900000000000002</v>
      </c>
      <c r="AK144" s="12">
        <f t="shared" si="41"/>
        <v>6.5</v>
      </c>
      <c r="AL144" s="12">
        <f t="shared" si="41"/>
        <v>55.7</v>
      </c>
      <c r="AM144" s="12">
        <f t="shared" si="35"/>
        <v>60.099999999999994</v>
      </c>
      <c r="AN144" s="12">
        <f t="shared" si="35"/>
        <v>90.7</v>
      </c>
      <c r="AO144" s="12">
        <f t="shared" si="35"/>
        <v>84.1</v>
      </c>
      <c r="AP144" s="12">
        <f t="shared" si="35"/>
        <v>43.1</v>
      </c>
      <c r="AQ144" s="12">
        <f t="shared" si="35"/>
        <v>48.6</v>
      </c>
      <c r="AR144" s="12">
        <f t="shared" si="35"/>
        <v>14.2</v>
      </c>
      <c r="AS144" s="12">
        <f t="shared" si="35"/>
        <v>6.5</v>
      </c>
      <c r="AT144" s="12">
        <f t="shared" si="35"/>
        <v>67.2</v>
      </c>
      <c r="AU144" s="12">
        <f t="shared" si="42"/>
        <v>29</v>
      </c>
      <c r="AV144" s="12">
        <f t="shared" si="44"/>
        <v>4.3</v>
      </c>
      <c r="AW144" s="12">
        <f t="shared" si="44"/>
        <v>50.8</v>
      </c>
      <c r="AX144" s="12">
        <f t="shared" si="43"/>
        <v>56.3</v>
      </c>
      <c r="AY144" s="9"/>
      <c r="AZ144" s="12">
        <f t="shared" si="45"/>
        <v>37.700000000000003</v>
      </c>
      <c r="BA144" s="12">
        <f t="shared" si="45"/>
        <v>34.4</v>
      </c>
      <c r="BB144" s="12">
        <f t="shared" si="45"/>
        <v>33.300000000000004</v>
      </c>
      <c r="BC144" s="12">
        <f t="shared" si="45"/>
        <v>43.1</v>
      </c>
      <c r="BD144" s="12">
        <f t="shared" si="45"/>
        <v>55.7</v>
      </c>
      <c r="BE144" s="12">
        <f t="shared" si="45"/>
        <v>50.8</v>
      </c>
      <c r="BF144" s="12">
        <f t="shared" si="45"/>
        <v>51.9</v>
      </c>
      <c r="BG144" s="12">
        <f t="shared" si="45"/>
        <v>55.7</v>
      </c>
      <c r="BH144" s="12">
        <f t="shared" si="45"/>
        <v>48</v>
      </c>
      <c r="BI144" s="12">
        <f t="shared" si="45"/>
        <v>6.5</v>
      </c>
    </row>
    <row r="145" spans="1:61" ht="15.75" customHeight="1" x14ac:dyDescent="0.25">
      <c r="A145" s="1" t="s">
        <v>246</v>
      </c>
      <c r="B145" s="3" t="s">
        <v>99</v>
      </c>
      <c r="C145" s="4" t="s">
        <v>88</v>
      </c>
      <c r="D145" s="4">
        <v>32</v>
      </c>
      <c r="E145" s="4">
        <v>334</v>
      </c>
      <c r="F145" s="4">
        <v>32</v>
      </c>
      <c r="G145" s="4">
        <v>334</v>
      </c>
      <c r="H145" s="4">
        <v>11.7</v>
      </c>
      <c r="I145" s="4">
        <v>0.53200000000000003</v>
      </c>
      <c r="J145" s="4">
        <v>0.438</v>
      </c>
      <c r="K145" s="4">
        <v>0.438</v>
      </c>
      <c r="L145" s="4">
        <v>0.66300000000000003</v>
      </c>
      <c r="M145" s="4">
        <v>10.4</v>
      </c>
      <c r="N145" s="4">
        <v>16.100000000000001</v>
      </c>
      <c r="O145" s="4">
        <v>5.7</v>
      </c>
      <c r="P145" s="4">
        <v>0.6</v>
      </c>
      <c r="Q145" s="4">
        <v>3</v>
      </c>
      <c r="R145" s="4">
        <v>15.5</v>
      </c>
      <c r="S145" s="4">
        <v>16.3</v>
      </c>
      <c r="T145" s="4">
        <v>108</v>
      </c>
      <c r="U145" s="4">
        <v>108</v>
      </c>
      <c r="V145" s="4"/>
      <c r="W145" s="4">
        <v>0.3</v>
      </c>
      <c r="X145" s="4">
        <v>0.5</v>
      </c>
      <c r="Y145" s="4">
        <v>0.8</v>
      </c>
      <c r="Z145" s="4">
        <v>9.2999999999999999E-2</v>
      </c>
      <c r="AA145" s="13">
        <f>(I145/TOTAL_BASIC!$D$301)*100</f>
        <v>94.7588054880611</v>
      </c>
      <c r="AB145" s="5">
        <f t="shared" si="36"/>
        <v>1.08</v>
      </c>
      <c r="AC145" s="3">
        <f t="shared" si="33"/>
        <v>0</v>
      </c>
      <c r="AD145" s="9">
        <f t="shared" si="37"/>
        <v>1.0640000000000001</v>
      </c>
      <c r="AE145" s="16">
        <f t="shared" si="38"/>
        <v>0.34969325153374231</v>
      </c>
      <c r="AF145" s="16">
        <f t="shared" si="39"/>
        <v>0.36774193548387096</v>
      </c>
      <c r="AG145" s="9"/>
      <c r="AH145" s="9"/>
      <c r="AI145" s="12">
        <f t="shared" si="40"/>
        <v>35.5</v>
      </c>
      <c r="AJ145" s="12">
        <f t="shared" si="41"/>
        <v>22.400000000000002</v>
      </c>
      <c r="AK145" s="12">
        <f t="shared" si="41"/>
        <v>42</v>
      </c>
      <c r="AL145" s="12">
        <f t="shared" si="41"/>
        <v>36.6</v>
      </c>
      <c r="AM145" s="12">
        <f t="shared" si="35"/>
        <v>13.100000000000001</v>
      </c>
      <c r="AN145" s="12">
        <f t="shared" si="35"/>
        <v>58.4</v>
      </c>
      <c r="AO145" s="12">
        <f t="shared" si="35"/>
        <v>98.3</v>
      </c>
      <c r="AP145" s="12">
        <f t="shared" si="35"/>
        <v>89.600000000000009</v>
      </c>
      <c r="AQ145" s="12">
        <f t="shared" si="35"/>
        <v>90.100000000000009</v>
      </c>
      <c r="AR145" s="12">
        <f t="shared" si="35"/>
        <v>3.2</v>
      </c>
      <c r="AS145" s="12">
        <f t="shared" si="35"/>
        <v>2.1</v>
      </c>
      <c r="AT145" s="12">
        <f t="shared" si="35"/>
        <v>80.300000000000011</v>
      </c>
      <c r="AU145" s="12">
        <f t="shared" si="42"/>
        <v>43.8</v>
      </c>
      <c r="AV145" s="12">
        <f t="shared" si="44"/>
        <v>27.3</v>
      </c>
      <c r="AW145" s="12">
        <f t="shared" si="44"/>
        <v>54.6</v>
      </c>
      <c r="AX145" s="12">
        <f t="shared" si="43"/>
        <v>71.099999999999994</v>
      </c>
      <c r="AY145" s="9"/>
      <c r="AZ145" s="12">
        <f t="shared" si="45"/>
        <v>42</v>
      </c>
      <c r="BA145" s="12">
        <f t="shared" si="45"/>
        <v>39.300000000000004</v>
      </c>
      <c r="BB145" s="12">
        <f t="shared" si="45"/>
        <v>40.400000000000006</v>
      </c>
      <c r="BC145" s="12">
        <f t="shared" si="45"/>
        <v>61.199999999999996</v>
      </c>
      <c r="BD145" s="12">
        <f t="shared" si="45"/>
        <v>36.6</v>
      </c>
      <c r="BE145" s="12">
        <f t="shared" si="45"/>
        <v>54.6</v>
      </c>
      <c r="BF145" s="12">
        <f t="shared" si="45"/>
        <v>60.099999999999994</v>
      </c>
      <c r="BG145" s="12">
        <f t="shared" si="45"/>
        <v>36.6</v>
      </c>
      <c r="BH145" s="12">
        <f t="shared" si="45"/>
        <v>4.3</v>
      </c>
      <c r="BI145" s="12">
        <f t="shared" si="45"/>
        <v>3.2</v>
      </c>
    </row>
    <row r="146" spans="1:61" ht="15.75" customHeight="1" x14ac:dyDescent="0.25">
      <c r="A146" s="1" t="s">
        <v>218</v>
      </c>
      <c r="B146" s="3" t="s">
        <v>140</v>
      </c>
      <c r="C146" s="4" t="s">
        <v>85</v>
      </c>
      <c r="D146" s="4">
        <v>36</v>
      </c>
      <c r="E146" s="4">
        <v>326</v>
      </c>
      <c r="F146" s="4">
        <v>36</v>
      </c>
      <c r="G146" s="4">
        <v>326</v>
      </c>
      <c r="H146" s="4">
        <v>11.1</v>
      </c>
      <c r="I146" s="4">
        <v>0.49</v>
      </c>
      <c r="J146" s="4">
        <v>0.45700000000000002</v>
      </c>
      <c r="K146" s="4">
        <v>0.34799999999999998</v>
      </c>
      <c r="L146" s="4">
        <v>0.27200000000000002</v>
      </c>
      <c r="M146" s="4">
        <v>7.7</v>
      </c>
      <c r="N146" s="4">
        <v>15.5</v>
      </c>
      <c r="O146" s="4">
        <v>11.1</v>
      </c>
      <c r="P146" s="4">
        <v>1.9</v>
      </c>
      <c r="Q146" s="4">
        <v>2</v>
      </c>
      <c r="R146" s="4">
        <v>18.3</v>
      </c>
      <c r="S146" s="4">
        <v>17.3</v>
      </c>
      <c r="T146" s="4">
        <v>96</v>
      </c>
      <c r="U146" s="4">
        <v>102</v>
      </c>
      <c r="V146" s="4"/>
      <c r="W146" s="4">
        <v>-0.2</v>
      </c>
      <c r="X146" s="4">
        <v>0.7</v>
      </c>
      <c r="Y146" s="4">
        <v>0.6</v>
      </c>
      <c r="Z146" s="4">
        <v>6.9000000000000006E-2</v>
      </c>
      <c r="AA146" s="13">
        <f>(I146/TOTAL_BASIC!$D$301)*100</f>
        <v>87.277847160056282</v>
      </c>
      <c r="AB146" s="5">
        <f t="shared" si="36"/>
        <v>0.96</v>
      </c>
      <c r="AC146" s="3">
        <f t="shared" si="33"/>
        <v>-6</v>
      </c>
      <c r="AD146" s="9">
        <f t="shared" si="37"/>
        <v>0.98</v>
      </c>
      <c r="AE146" s="16">
        <f t="shared" si="38"/>
        <v>0.64161849710982655</v>
      </c>
      <c r="AF146" s="16">
        <f t="shared" si="39"/>
        <v>0.60655737704918034</v>
      </c>
      <c r="AG146" s="9"/>
      <c r="AH146" s="9"/>
      <c r="AI146" s="12">
        <f t="shared" si="40"/>
        <v>45.300000000000004</v>
      </c>
      <c r="AJ146" s="12">
        <f t="shared" si="41"/>
        <v>21.8</v>
      </c>
      <c r="AK146" s="12">
        <f t="shared" si="41"/>
        <v>38.200000000000003</v>
      </c>
      <c r="AL146" s="12">
        <f t="shared" si="41"/>
        <v>15.8</v>
      </c>
      <c r="AM146" s="12">
        <f t="shared" si="35"/>
        <v>21.3</v>
      </c>
      <c r="AN146" s="12">
        <f t="shared" si="35"/>
        <v>36</v>
      </c>
      <c r="AO146" s="12">
        <f t="shared" si="35"/>
        <v>46.9</v>
      </c>
      <c r="AP146" s="12">
        <f t="shared" si="35"/>
        <v>77</v>
      </c>
      <c r="AQ146" s="12">
        <f t="shared" si="35"/>
        <v>85.7</v>
      </c>
      <c r="AR146" s="12">
        <f t="shared" si="35"/>
        <v>32.700000000000003</v>
      </c>
      <c r="AS146" s="12">
        <f t="shared" si="35"/>
        <v>57.9</v>
      </c>
      <c r="AT146" s="12">
        <f t="shared" si="35"/>
        <v>65</v>
      </c>
      <c r="AU146" s="12">
        <f t="shared" si="42"/>
        <v>21.899999999999991</v>
      </c>
      <c r="AV146" s="12">
        <f t="shared" si="44"/>
        <v>38.200000000000003</v>
      </c>
      <c r="AW146" s="12">
        <f t="shared" si="44"/>
        <v>13.100000000000001</v>
      </c>
      <c r="AX146" s="12">
        <f t="shared" si="43"/>
        <v>94.6</v>
      </c>
      <c r="AY146" s="9"/>
      <c r="AZ146" s="12">
        <f t="shared" si="45"/>
        <v>15.8</v>
      </c>
      <c r="BA146" s="12">
        <f t="shared" si="45"/>
        <v>53.5</v>
      </c>
      <c r="BB146" s="12">
        <f t="shared" si="45"/>
        <v>33.300000000000004</v>
      </c>
      <c r="BC146" s="12">
        <f t="shared" si="45"/>
        <v>46.400000000000006</v>
      </c>
      <c r="BD146" s="12">
        <f t="shared" si="45"/>
        <v>15.8</v>
      </c>
      <c r="BE146" s="12">
        <f t="shared" si="45"/>
        <v>13.100000000000001</v>
      </c>
      <c r="BF146" s="12">
        <f t="shared" si="45"/>
        <v>41.5</v>
      </c>
      <c r="BG146" s="12">
        <f t="shared" si="45"/>
        <v>15.8</v>
      </c>
      <c r="BH146" s="12">
        <f t="shared" si="45"/>
        <v>38.700000000000003</v>
      </c>
      <c r="BI146" s="12">
        <f t="shared" si="45"/>
        <v>19.100000000000001</v>
      </c>
    </row>
    <row r="147" spans="1:61" ht="15.75" customHeight="1" x14ac:dyDescent="0.25">
      <c r="A147" s="1" t="s">
        <v>269</v>
      </c>
      <c r="B147" s="3" t="s">
        <v>232</v>
      </c>
      <c r="C147" s="4" t="s">
        <v>8</v>
      </c>
      <c r="D147" s="4">
        <v>29</v>
      </c>
      <c r="E147" s="4">
        <v>325</v>
      </c>
      <c r="F147" s="4">
        <v>29</v>
      </c>
      <c r="G147" s="4">
        <v>325</v>
      </c>
      <c r="H147" s="4">
        <v>10.9</v>
      </c>
      <c r="I147" s="4">
        <v>0.49299999999999999</v>
      </c>
      <c r="J147" s="4">
        <v>0.439</v>
      </c>
      <c r="K147" s="4">
        <v>0.495</v>
      </c>
      <c r="L147" s="4">
        <v>0.224</v>
      </c>
      <c r="M147" s="4">
        <v>3.9</v>
      </c>
      <c r="N147" s="4">
        <v>7.8</v>
      </c>
      <c r="O147" s="4">
        <v>25.1</v>
      </c>
      <c r="P147" s="4">
        <v>2.5</v>
      </c>
      <c r="Q147" s="4">
        <v>0.3</v>
      </c>
      <c r="R147" s="4">
        <v>20.9</v>
      </c>
      <c r="S147" s="4">
        <v>20.5</v>
      </c>
      <c r="T147" s="4">
        <v>97</v>
      </c>
      <c r="U147" s="4">
        <v>116</v>
      </c>
      <c r="V147" s="4"/>
      <c r="W147" s="4">
        <v>-0.2</v>
      </c>
      <c r="X147" s="4">
        <v>0.1</v>
      </c>
      <c r="Y147" s="4">
        <v>-0.1</v>
      </c>
      <c r="Z147" s="4">
        <v>-7.0000000000000001E-3</v>
      </c>
      <c r="AA147" s="13">
        <f>(I147/TOTAL_BASIC!$D$301)*100</f>
        <v>87.812201326342333</v>
      </c>
      <c r="AB147" s="5">
        <f t="shared" si="36"/>
        <v>0.97</v>
      </c>
      <c r="AC147" s="3">
        <f t="shared" si="33"/>
        <v>-19</v>
      </c>
      <c r="AD147" s="9">
        <f t="shared" si="37"/>
        <v>0.98599999999999999</v>
      </c>
      <c r="AE147" s="16">
        <f t="shared" si="38"/>
        <v>1.224390243902439</v>
      </c>
      <c r="AF147" s="16">
        <f t="shared" si="39"/>
        <v>1.2009569377990432</v>
      </c>
      <c r="AG147" s="9"/>
      <c r="AH147" s="9"/>
      <c r="AI147" s="12">
        <f t="shared" si="40"/>
        <v>28.9</v>
      </c>
      <c r="AJ147" s="12">
        <f t="shared" si="41"/>
        <v>21.3</v>
      </c>
      <c r="AK147" s="12">
        <f t="shared" si="41"/>
        <v>37.1</v>
      </c>
      <c r="AL147" s="12">
        <f t="shared" si="41"/>
        <v>18</v>
      </c>
      <c r="AM147" s="12">
        <f t="shared" si="35"/>
        <v>13.600000000000001</v>
      </c>
      <c r="AN147" s="12">
        <f t="shared" si="35"/>
        <v>67.7</v>
      </c>
      <c r="AO147" s="12">
        <f t="shared" si="35"/>
        <v>32.700000000000003</v>
      </c>
      <c r="AP147" s="12">
        <f t="shared" si="35"/>
        <v>44.800000000000004</v>
      </c>
      <c r="AQ147" s="12">
        <f t="shared" si="35"/>
        <v>42</v>
      </c>
      <c r="AR147" s="12">
        <f t="shared" si="35"/>
        <v>85.2</v>
      </c>
      <c r="AS147" s="12">
        <f t="shared" si="35"/>
        <v>84.1</v>
      </c>
      <c r="AT147" s="12">
        <f t="shared" si="35"/>
        <v>9.1999999999999993</v>
      </c>
      <c r="AU147" s="12">
        <f t="shared" si="42"/>
        <v>9.8999999999999915</v>
      </c>
      <c r="AV147" s="12">
        <f t="shared" si="44"/>
        <v>63.3</v>
      </c>
      <c r="AW147" s="12">
        <f t="shared" si="44"/>
        <v>16.3</v>
      </c>
      <c r="AX147" s="12">
        <f t="shared" si="43"/>
        <v>14.299999999999997</v>
      </c>
      <c r="AY147" s="9"/>
      <c r="AZ147" s="12">
        <f t="shared" si="45"/>
        <v>15.8</v>
      </c>
      <c r="BA147" s="12">
        <f t="shared" si="45"/>
        <v>8.1</v>
      </c>
      <c r="BB147" s="12">
        <f t="shared" si="45"/>
        <v>9.1999999999999993</v>
      </c>
      <c r="BC147" s="12">
        <f t="shared" si="45"/>
        <v>9.1999999999999993</v>
      </c>
      <c r="BD147" s="12">
        <f t="shared" si="45"/>
        <v>18</v>
      </c>
      <c r="BE147" s="12">
        <f t="shared" si="45"/>
        <v>16.3</v>
      </c>
      <c r="BF147" s="12">
        <f t="shared" si="45"/>
        <v>9.8000000000000007</v>
      </c>
      <c r="BG147" s="12">
        <f t="shared" si="45"/>
        <v>18</v>
      </c>
      <c r="BH147" s="12">
        <f t="shared" si="45"/>
        <v>85.2</v>
      </c>
      <c r="BI147" s="12">
        <f t="shared" si="45"/>
        <v>66.600000000000009</v>
      </c>
    </row>
    <row r="148" spans="1:61" ht="15.75" customHeight="1" x14ac:dyDescent="0.25">
      <c r="A148" s="1" t="s">
        <v>205</v>
      </c>
      <c r="B148" s="3" t="s">
        <v>117</v>
      </c>
      <c r="C148" s="4" t="s">
        <v>85</v>
      </c>
      <c r="D148" s="4">
        <v>29</v>
      </c>
      <c r="E148" s="4">
        <v>324</v>
      </c>
      <c r="F148" s="4">
        <v>29</v>
      </c>
      <c r="G148" s="4">
        <v>324</v>
      </c>
      <c r="H148" s="4">
        <v>21.6</v>
      </c>
      <c r="I148" s="4">
        <v>0.63100000000000001</v>
      </c>
      <c r="J148" s="4">
        <v>0.56799999999999995</v>
      </c>
      <c r="K148" s="4">
        <v>0.16500000000000001</v>
      </c>
      <c r="L148" s="4">
        <v>0.54400000000000004</v>
      </c>
      <c r="M148" s="4">
        <v>11.4</v>
      </c>
      <c r="N148" s="4">
        <v>16.3</v>
      </c>
      <c r="O148" s="4">
        <v>9</v>
      </c>
      <c r="P148" s="4">
        <v>2</v>
      </c>
      <c r="Q148" s="4">
        <v>5.8</v>
      </c>
      <c r="R148" s="4">
        <v>11.8</v>
      </c>
      <c r="S148" s="4">
        <v>20.100000000000001</v>
      </c>
      <c r="T148" s="4">
        <v>124</v>
      </c>
      <c r="U148" s="4">
        <v>103</v>
      </c>
      <c r="V148" s="4"/>
      <c r="W148" s="4">
        <v>1.1000000000000001</v>
      </c>
      <c r="X148" s="4">
        <v>0.7</v>
      </c>
      <c r="Y148" s="4">
        <v>1.8</v>
      </c>
      <c r="Z148" s="4">
        <v>0.222</v>
      </c>
      <c r="AA148" s="13">
        <f>(I148/TOTAL_BASIC!$D$301)*100</f>
        <v>112.39249297550104</v>
      </c>
      <c r="AB148" s="5">
        <f t="shared" si="36"/>
        <v>1.24</v>
      </c>
      <c r="AC148" s="3">
        <f t="shared" si="33"/>
        <v>21</v>
      </c>
      <c r="AD148" s="9">
        <f t="shared" si="37"/>
        <v>1.262</v>
      </c>
      <c r="AE148" s="16">
        <f t="shared" si="38"/>
        <v>0.44776119402985071</v>
      </c>
      <c r="AF148" s="16">
        <f t="shared" si="39"/>
        <v>0.76271186440677963</v>
      </c>
      <c r="AG148" s="9"/>
      <c r="AH148" s="9"/>
      <c r="AI148" s="12">
        <f t="shared" si="40"/>
        <v>28.9</v>
      </c>
      <c r="AJ148" s="12">
        <f t="shared" si="40"/>
        <v>20.7</v>
      </c>
      <c r="AK148" s="12">
        <f t="shared" si="40"/>
        <v>91.8</v>
      </c>
      <c r="AL148" s="12">
        <f t="shared" si="40"/>
        <v>92.300000000000011</v>
      </c>
      <c r="AM148" s="12">
        <f t="shared" si="35"/>
        <v>82.5</v>
      </c>
      <c r="AN148" s="12">
        <f t="shared" si="35"/>
        <v>14.2</v>
      </c>
      <c r="AO148" s="12">
        <f t="shared" si="35"/>
        <v>93.899999999999991</v>
      </c>
      <c r="AP148" s="12">
        <f t="shared" si="35"/>
        <v>93.4</v>
      </c>
      <c r="AQ148" s="12">
        <f t="shared" si="35"/>
        <v>90.7</v>
      </c>
      <c r="AR148" s="12">
        <f t="shared" si="35"/>
        <v>23.400000000000002</v>
      </c>
      <c r="AS148" s="12">
        <f t="shared" si="35"/>
        <v>64.400000000000006</v>
      </c>
      <c r="AT148" s="12">
        <f t="shared" si="35"/>
        <v>96.7</v>
      </c>
      <c r="AU148" s="12">
        <f t="shared" si="42"/>
        <v>75.5</v>
      </c>
      <c r="AV148" s="12">
        <f t="shared" si="44"/>
        <v>61.7</v>
      </c>
      <c r="AW148" s="12">
        <f t="shared" si="44"/>
        <v>92.800000000000011</v>
      </c>
      <c r="AX148" s="12">
        <f t="shared" si="43"/>
        <v>92.4</v>
      </c>
      <c r="AY148" s="9"/>
      <c r="AZ148" s="12">
        <f t="shared" si="45"/>
        <v>70.399999999999991</v>
      </c>
      <c r="BA148" s="12">
        <f t="shared" si="45"/>
        <v>53.5</v>
      </c>
      <c r="BB148" s="12">
        <f t="shared" si="45"/>
        <v>66.600000000000009</v>
      </c>
      <c r="BC148" s="12">
        <f t="shared" si="45"/>
        <v>98.3</v>
      </c>
      <c r="BD148" s="12">
        <f t="shared" si="45"/>
        <v>92.300000000000011</v>
      </c>
      <c r="BE148" s="12">
        <f t="shared" si="45"/>
        <v>92.800000000000011</v>
      </c>
      <c r="BF148" s="12">
        <f t="shared" si="45"/>
        <v>98.3</v>
      </c>
      <c r="BG148" s="12">
        <f t="shared" si="45"/>
        <v>92.300000000000011</v>
      </c>
      <c r="BH148" s="12">
        <f t="shared" si="45"/>
        <v>13.100000000000001</v>
      </c>
      <c r="BI148" s="12">
        <f t="shared" si="45"/>
        <v>30</v>
      </c>
    </row>
    <row r="149" spans="1:61" ht="15.75" customHeight="1" x14ac:dyDescent="0.25">
      <c r="A149" s="1" t="s">
        <v>201</v>
      </c>
      <c r="B149" s="3" t="s">
        <v>107</v>
      </c>
      <c r="C149" s="4" t="s">
        <v>8</v>
      </c>
      <c r="D149" s="4">
        <v>34</v>
      </c>
      <c r="E149" s="4">
        <v>323</v>
      </c>
      <c r="F149" s="4">
        <v>34</v>
      </c>
      <c r="G149" s="4">
        <v>323</v>
      </c>
      <c r="H149" s="4">
        <v>8.1999999999999993</v>
      </c>
      <c r="I149" s="4">
        <v>0.47799999999999998</v>
      </c>
      <c r="J149" s="4">
        <v>0.41899999999999998</v>
      </c>
      <c r="K149" s="4">
        <v>0.52400000000000002</v>
      </c>
      <c r="L149" s="4">
        <v>0.219</v>
      </c>
      <c r="M149" s="4">
        <v>5</v>
      </c>
      <c r="N149" s="4">
        <v>8.1</v>
      </c>
      <c r="O149" s="4">
        <v>7.7</v>
      </c>
      <c r="P149" s="4">
        <v>0.9</v>
      </c>
      <c r="Q149" s="4">
        <v>0.9</v>
      </c>
      <c r="R149" s="4">
        <v>6.5</v>
      </c>
      <c r="S149" s="4">
        <v>16.8</v>
      </c>
      <c r="T149" s="4">
        <v>103</v>
      </c>
      <c r="U149" s="4">
        <v>116</v>
      </c>
      <c r="V149" s="4"/>
      <c r="W149" s="4">
        <v>0.1</v>
      </c>
      <c r="X149" s="4">
        <v>0.1</v>
      </c>
      <c r="Y149" s="4">
        <v>0.2</v>
      </c>
      <c r="Z149" s="4">
        <v>2.5999999999999999E-2</v>
      </c>
      <c r="AA149" s="13">
        <f>(I149/TOTAL_BASIC!$D$301)*100</f>
        <v>85.140430494912039</v>
      </c>
      <c r="AB149" s="5">
        <f t="shared" si="36"/>
        <v>1.03</v>
      </c>
      <c r="AC149" s="3">
        <f t="shared" si="33"/>
        <v>-13</v>
      </c>
      <c r="AD149" s="9">
        <f t="shared" si="37"/>
        <v>0.95599999999999996</v>
      </c>
      <c r="AE149" s="16">
        <f t="shared" si="38"/>
        <v>0.45833333333333331</v>
      </c>
      <c r="AF149" s="16">
        <f t="shared" si="39"/>
        <v>1.1846153846153846</v>
      </c>
      <c r="AG149" s="9"/>
      <c r="AH149" s="9"/>
      <c r="AI149" s="12">
        <f t="shared" si="40"/>
        <v>39.300000000000004</v>
      </c>
      <c r="AJ149" s="12">
        <f t="shared" si="40"/>
        <v>19.600000000000001</v>
      </c>
      <c r="AK149" s="12">
        <f t="shared" si="40"/>
        <v>13.100000000000001</v>
      </c>
      <c r="AL149" s="12">
        <f t="shared" si="40"/>
        <v>12</v>
      </c>
      <c r="AM149" s="12">
        <f t="shared" si="35"/>
        <v>8.6999999999999993</v>
      </c>
      <c r="AN149" s="12">
        <f t="shared" si="35"/>
        <v>75.900000000000006</v>
      </c>
      <c r="AO149" s="12">
        <f t="shared" si="35"/>
        <v>31.1</v>
      </c>
      <c r="AP149" s="12">
        <f t="shared" si="35"/>
        <v>56.2</v>
      </c>
      <c r="AQ149" s="12">
        <f t="shared" si="35"/>
        <v>44.800000000000004</v>
      </c>
      <c r="AR149" s="12">
        <f t="shared" si="35"/>
        <v>13.600000000000001</v>
      </c>
      <c r="AS149" s="12">
        <f t="shared" si="35"/>
        <v>6.5</v>
      </c>
      <c r="AT149" s="12">
        <f t="shared" si="35"/>
        <v>34.4</v>
      </c>
      <c r="AU149" s="12">
        <f t="shared" si="42"/>
        <v>99.5</v>
      </c>
      <c r="AV149" s="12">
        <f t="shared" si="44"/>
        <v>31.6</v>
      </c>
      <c r="AW149" s="12">
        <f t="shared" si="44"/>
        <v>34.4</v>
      </c>
      <c r="AX149" s="12">
        <f t="shared" si="43"/>
        <v>14.299999999999997</v>
      </c>
      <c r="AY149" s="9"/>
      <c r="AZ149" s="12">
        <f t="shared" si="45"/>
        <v>31.1</v>
      </c>
      <c r="BA149" s="12">
        <f t="shared" si="45"/>
        <v>8.1</v>
      </c>
      <c r="BB149" s="12">
        <f t="shared" si="45"/>
        <v>19.100000000000001</v>
      </c>
      <c r="BC149" s="12">
        <f t="shared" si="45"/>
        <v>20.7</v>
      </c>
      <c r="BD149" s="12">
        <f t="shared" si="45"/>
        <v>12</v>
      </c>
      <c r="BE149" s="12">
        <f t="shared" si="45"/>
        <v>34.4</v>
      </c>
      <c r="BF149" s="12">
        <f t="shared" si="45"/>
        <v>19.100000000000001</v>
      </c>
      <c r="BG149" s="12">
        <f t="shared" si="45"/>
        <v>12</v>
      </c>
      <c r="BH149" s="12">
        <f t="shared" si="45"/>
        <v>14.7</v>
      </c>
      <c r="BI149" s="12">
        <f t="shared" si="45"/>
        <v>65</v>
      </c>
    </row>
    <row r="150" spans="1:61" ht="15.75" customHeight="1" x14ac:dyDescent="0.25">
      <c r="A150" s="1" t="s">
        <v>150</v>
      </c>
      <c r="B150" s="3" t="s">
        <v>93</v>
      </c>
      <c r="C150" s="4" t="s">
        <v>8</v>
      </c>
      <c r="D150" s="4">
        <v>16</v>
      </c>
      <c r="E150" s="4">
        <v>323</v>
      </c>
      <c r="F150" s="4">
        <v>16</v>
      </c>
      <c r="G150" s="4">
        <v>323</v>
      </c>
      <c r="H150" s="4">
        <v>13.5</v>
      </c>
      <c r="I150" s="4">
        <v>0.61199999999999999</v>
      </c>
      <c r="J150" s="4">
        <v>0.55500000000000005</v>
      </c>
      <c r="K150" s="4">
        <v>0.63900000000000001</v>
      </c>
      <c r="L150" s="4">
        <v>0.31900000000000001</v>
      </c>
      <c r="M150" s="4">
        <v>2.6</v>
      </c>
      <c r="N150" s="4">
        <v>3.2</v>
      </c>
      <c r="O150" s="4">
        <v>14.1</v>
      </c>
      <c r="P150" s="4">
        <v>1.6</v>
      </c>
      <c r="Q150" s="4">
        <v>0</v>
      </c>
      <c r="R150" s="4">
        <v>14.5</v>
      </c>
      <c r="S150" s="4">
        <v>22.3</v>
      </c>
      <c r="T150" s="4">
        <v>109</v>
      </c>
      <c r="U150" s="4">
        <v>115</v>
      </c>
      <c r="V150" s="4"/>
      <c r="W150" s="4">
        <v>0.4</v>
      </c>
      <c r="X150" s="4">
        <v>0.1</v>
      </c>
      <c r="Y150" s="4">
        <v>0.6</v>
      </c>
      <c r="Z150" s="4">
        <v>6.9000000000000006E-2</v>
      </c>
      <c r="AA150" s="13">
        <f>(I150/TOTAL_BASIC!$D$301)*100</f>
        <v>109.008249922356</v>
      </c>
      <c r="AB150" s="5">
        <f t="shared" si="36"/>
        <v>1.0900000000000001</v>
      </c>
      <c r="AC150" s="3">
        <f t="shared" si="33"/>
        <v>-6</v>
      </c>
      <c r="AD150" s="9">
        <f t="shared" si="37"/>
        <v>1.224</v>
      </c>
      <c r="AE150" s="16">
        <f t="shared" si="38"/>
        <v>0.63228699551569501</v>
      </c>
      <c r="AF150" s="16">
        <f t="shared" si="39"/>
        <v>0.97241379310344822</v>
      </c>
      <c r="AG150" s="9"/>
      <c r="AH150" s="9"/>
      <c r="AI150" s="12">
        <f t="shared" si="40"/>
        <v>8.1</v>
      </c>
      <c r="AJ150" s="12">
        <f t="shared" si="40"/>
        <v>19.600000000000001</v>
      </c>
      <c r="AK150" s="12">
        <f t="shared" si="40"/>
        <v>52.400000000000006</v>
      </c>
      <c r="AL150" s="12">
        <f t="shared" si="40"/>
        <v>84.6</v>
      </c>
      <c r="AM150" s="12">
        <f t="shared" si="35"/>
        <v>76.5</v>
      </c>
      <c r="AN150" s="12">
        <f t="shared" si="35"/>
        <v>87.9</v>
      </c>
      <c r="AO150" s="12">
        <f t="shared" si="35"/>
        <v>59</v>
      </c>
      <c r="AP150" s="12">
        <f t="shared" si="35"/>
        <v>28.9</v>
      </c>
      <c r="AQ150" s="12">
        <f t="shared" si="35"/>
        <v>0.5</v>
      </c>
      <c r="AR150" s="12">
        <f t="shared" si="35"/>
        <v>50.2</v>
      </c>
      <c r="AS150" s="12">
        <f t="shared" si="35"/>
        <v>39.800000000000004</v>
      </c>
      <c r="AT150" s="12">
        <f t="shared" si="35"/>
        <v>0</v>
      </c>
      <c r="AU150" s="12">
        <f t="shared" si="42"/>
        <v>53.599999999999994</v>
      </c>
      <c r="AV150" s="12">
        <f t="shared" si="44"/>
        <v>73.7</v>
      </c>
      <c r="AW150" s="12">
        <f t="shared" si="44"/>
        <v>58.4</v>
      </c>
      <c r="AX150" s="12">
        <f t="shared" si="43"/>
        <v>18.600000000000009</v>
      </c>
      <c r="AY150" s="9"/>
      <c r="AZ150" s="12">
        <f t="shared" si="45"/>
        <v>48.6</v>
      </c>
      <c r="BA150" s="12">
        <f t="shared" si="45"/>
        <v>8.1</v>
      </c>
      <c r="BB150" s="12">
        <f t="shared" si="45"/>
        <v>33.300000000000004</v>
      </c>
      <c r="BC150" s="12">
        <f t="shared" si="45"/>
        <v>46.400000000000006</v>
      </c>
      <c r="BD150" s="12">
        <f t="shared" si="45"/>
        <v>84.6</v>
      </c>
      <c r="BE150" s="12">
        <f t="shared" si="45"/>
        <v>58.4</v>
      </c>
      <c r="BF150" s="12">
        <f t="shared" si="45"/>
        <v>41.5</v>
      </c>
      <c r="BG150" s="12">
        <f t="shared" si="45"/>
        <v>84.6</v>
      </c>
      <c r="BH150" s="12">
        <f t="shared" si="45"/>
        <v>38.200000000000003</v>
      </c>
      <c r="BI150" s="12">
        <f t="shared" si="45"/>
        <v>47.5</v>
      </c>
    </row>
    <row r="151" spans="1:61" ht="15.75" customHeight="1" x14ac:dyDescent="0.25">
      <c r="A151" s="1" t="s">
        <v>171</v>
      </c>
      <c r="B151" s="3" t="s">
        <v>107</v>
      </c>
      <c r="C151" s="4" t="s">
        <v>8</v>
      </c>
      <c r="D151" s="4">
        <v>21</v>
      </c>
      <c r="E151" s="4">
        <v>321</v>
      </c>
      <c r="F151" s="4">
        <v>21</v>
      </c>
      <c r="G151" s="4">
        <v>321</v>
      </c>
      <c r="H151" s="4">
        <v>9.9</v>
      </c>
      <c r="I151" s="4">
        <v>0.49</v>
      </c>
      <c r="J151" s="4">
        <v>0.46200000000000002</v>
      </c>
      <c r="K151" s="4">
        <v>0.33700000000000002</v>
      </c>
      <c r="L151" s="4">
        <v>0.13500000000000001</v>
      </c>
      <c r="M151" s="4">
        <v>2.1</v>
      </c>
      <c r="N151" s="4">
        <v>5.0999999999999996</v>
      </c>
      <c r="O151" s="4">
        <v>20.6</v>
      </c>
      <c r="P151" s="4">
        <v>2.4</v>
      </c>
      <c r="Q151" s="4">
        <v>1.2</v>
      </c>
      <c r="R151" s="4">
        <v>17.3</v>
      </c>
      <c r="S151" s="4">
        <v>18.2</v>
      </c>
      <c r="T151" s="4">
        <v>94</v>
      </c>
      <c r="U151" s="4">
        <v>113</v>
      </c>
      <c r="V151" s="4"/>
      <c r="W151" s="4">
        <v>-0.3</v>
      </c>
      <c r="X151" s="4">
        <v>0.2</v>
      </c>
      <c r="Y151" s="4">
        <v>0</v>
      </c>
      <c r="Z151" s="4">
        <v>-5.0000000000000001E-3</v>
      </c>
      <c r="AA151" s="13">
        <f>(I151/TOTAL_BASIC!$D$301)*100</f>
        <v>87.277847160056282</v>
      </c>
      <c r="AB151" s="5">
        <f t="shared" si="36"/>
        <v>0.94</v>
      </c>
      <c r="AC151" s="3">
        <f t="shared" si="33"/>
        <v>-19</v>
      </c>
      <c r="AD151" s="9">
        <f t="shared" si="37"/>
        <v>0.98</v>
      </c>
      <c r="AE151" s="16">
        <f t="shared" si="38"/>
        <v>1.1318681318681321</v>
      </c>
      <c r="AF151" s="16">
        <f t="shared" si="39"/>
        <v>1.1907514450867052</v>
      </c>
      <c r="AG151" s="9"/>
      <c r="AH151" s="9"/>
      <c r="AI151" s="12">
        <f t="shared" si="40"/>
        <v>18</v>
      </c>
      <c r="AJ151" s="12">
        <f t="shared" si="40"/>
        <v>19.100000000000001</v>
      </c>
      <c r="AK151" s="12">
        <f t="shared" si="40"/>
        <v>25.1</v>
      </c>
      <c r="AL151" s="12">
        <f t="shared" si="40"/>
        <v>15.8</v>
      </c>
      <c r="AM151" s="12">
        <f t="shared" si="35"/>
        <v>24</v>
      </c>
      <c r="AN151" s="12">
        <f t="shared" si="35"/>
        <v>33.800000000000004</v>
      </c>
      <c r="AO151" s="12">
        <f t="shared" si="35"/>
        <v>11.4</v>
      </c>
      <c r="AP151" s="12">
        <f t="shared" si="35"/>
        <v>18.5</v>
      </c>
      <c r="AQ151" s="12">
        <f t="shared" si="35"/>
        <v>14.2</v>
      </c>
      <c r="AR151" s="12">
        <f t="shared" si="35"/>
        <v>77.5</v>
      </c>
      <c r="AS151" s="12">
        <f t="shared" si="35"/>
        <v>79.7</v>
      </c>
      <c r="AT151" s="12">
        <f t="shared" si="35"/>
        <v>46.400000000000006</v>
      </c>
      <c r="AU151" s="12">
        <f t="shared" si="42"/>
        <v>30.700000000000003</v>
      </c>
      <c r="AV151" s="12">
        <f t="shared" si="44"/>
        <v>50.2</v>
      </c>
      <c r="AW151" s="12">
        <f t="shared" si="44"/>
        <v>8.1</v>
      </c>
      <c r="AX151" s="12">
        <f t="shared" si="43"/>
        <v>29.600000000000009</v>
      </c>
      <c r="AY151" s="9"/>
      <c r="AZ151" s="12">
        <f t="shared" si="45"/>
        <v>10.9</v>
      </c>
      <c r="BA151" s="12">
        <f t="shared" si="45"/>
        <v>19.600000000000001</v>
      </c>
      <c r="BB151" s="12">
        <f t="shared" si="45"/>
        <v>10.9</v>
      </c>
      <c r="BC151" s="12">
        <f t="shared" si="45"/>
        <v>10.299999999999999</v>
      </c>
      <c r="BD151" s="12">
        <f t="shared" si="45"/>
        <v>15.8</v>
      </c>
      <c r="BE151" s="12">
        <f t="shared" si="45"/>
        <v>8.1</v>
      </c>
      <c r="BF151" s="12">
        <f t="shared" si="45"/>
        <v>9.8000000000000007</v>
      </c>
      <c r="BG151" s="12">
        <f t="shared" si="45"/>
        <v>15.8</v>
      </c>
      <c r="BH151" s="12">
        <f t="shared" si="45"/>
        <v>80.300000000000011</v>
      </c>
      <c r="BI151" s="12">
        <f t="shared" si="45"/>
        <v>66.100000000000009</v>
      </c>
    </row>
    <row r="152" spans="1:61" ht="15.75" customHeight="1" x14ac:dyDescent="0.25">
      <c r="A152" s="1" t="s">
        <v>255</v>
      </c>
      <c r="B152" s="3" t="s">
        <v>137</v>
      </c>
      <c r="C152" s="4" t="s">
        <v>8</v>
      </c>
      <c r="D152" s="4">
        <v>34</v>
      </c>
      <c r="E152" s="4">
        <v>311</v>
      </c>
      <c r="F152" s="4">
        <v>34</v>
      </c>
      <c r="G152" s="4">
        <v>311</v>
      </c>
      <c r="H152" s="4">
        <v>7.3</v>
      </c>
      <c r="I152" s="4">
        <v>0.49199999999999999</v>
      </c>
      <c r="J152" s="4">
        <v>0.47</v>
      </c>
      <c r="K152" s="4">
        <v>0.49299999999999999</v>
      </c>
      <c r="L152" s="4">
        <v>0.313</v>
      </c>
      <c r="M152" s="4">
        <v>3.9</v>
      </c>
      <c r="N152" s="4">
        <v>6.6</v>
      </c>
      <c r="O152" s="4">
        <v>8.3000000000000007</v>
      </c>
      <c r="P152" s="4">
        <v>2.2000000000000002</v>
      </c>
      <c r="Q152" s="4">
        <v>0.3</v>
      </c>
      <c r="R152" s="4">
        <v>11.6</v>
      </c>
      <c r="S152" s="4">
        <v>12.2</v>
      </c>
      <c r="T152" s="4">
        <v>101</v>
      </c>
      <c r="U152" s="4">
        <v>114</v>
      </c>
      <c r="V152" s="4"/>
      <c r="W152" s="4">
        <v>0</v>
      </c>
      <c r="X152" s="4">
        <v>0.2</v>
      </c>
      <c r="Y152" s="4">
        <v>0.2</v>
      </c>
      <c r="Z152" s="4">
        <v>2.3E-2</v>
      </c>
      <c r="AA152" s="13">
        <f>(I152/TOTAL_BASIC!$D$301)*100</f>
        <v>87.634083270913649</v>
      </c>
      <c r="AB152" s="5">
        <f t="shared" si="36"/>
        <v>1.01</v>
      </c>
      <c r="AC152" s="3">
        <f t="shared" si="33"/>
        <v>-13</v>
      </c>
      <c r="AD152" s="9">
        <f t="shared" si="37"/>
        <v>0.98399999999999999</v>
      </c>
      <c r="AE152" s="16">
        <f t="shared" si="38"/>
        <v>0.68032786885245911</v>
      </c>
      <c r="AF152" s="16">
        <f t="shared" si="39"/>
        <v>0.71551724137931039</v>
      </c>
      <c r="AG152" s="9"/>
      <c r="AH152" s="9"/>
      <c r="AI152" s="12">
        <f t="shared" si="40"/>
        <v>39.300000000000004</v>
      </c>
      <c r="AJ152" s="12">
        <f t="shared" si="40"/>
        <v>18.5</v>
      </c>
      <c r="AK152" s="12">
        <f t="shared" si="40"/>
        <v>7.1</v>
      </c>
      <c r="AL152" s="12">
        <f t="shared" si="40"/>
        <v>16.900000000000002</v>
      </c>
      <c r="AM152" s="12">
        <f t="shared" si="35"/>
        <v>28.4</v>
      </c>
      <c r="AN152" s="12">
        <f t="shared" si="35"/>
        <v>67.2</v>
      </c>
      <c r="AO152" s="12">
        <f t="shared" si="35"/>
        <v>57.9</v>
      </c>
      <c r="AP152" s="12">
        <f t="shared" si="35"/>
        <v>44.800000000000004</v>
      </c>
      <c r="AQ152" s="12">
        <f t="shared" si="35"/>
        <v>28.4</v>
      </c>
      <c r="AR152" s="12">
        <f t="shared" si="35"/>
        <v>18</v>
      </c>
      <c r="AS152" s="12">
        <f t="shared" si="35"/>
        <v>74.3</v>
      </c>
      <c r="AT152" s="12">
        <f t="shared" si="35"/>
        <v>9.1999999999999993</v>
      </c>
      <c r="AU152" s="12">
        <f t="shared" si="42"/>
        <v>76.599999999999994</v>
      </c>
      <c r="AV152" s="12">
        <f t="shared" si="44"/>
        <v>7.1</v>
      </c>
      <c r="AW152" s="12">
        <f t="shared" si="44"/>
        <v>28.4</v>
      </c>
      <c r="AX152" s="12">
        <f t="shared" si="43"/>
        <v>25.700000000000003</v>
      </c>
      <c r="AY152" s="9"/>
      <c r="AZ152" s="12">
        <f t="shared" si="45"/>
        <v>24.5</v>
      </c>
      <c r="BA152" s="12">
        <f t="shared" si="45"/>
        <v>19.600000000000001</v>
      </c>
      <c r="BB152" s="12">
        <f t="shared" si="45"/>
        <v>19.100000000000001</v>
      </c>
      <c r="BC152" s="12">
        <f t="shared" si="45"/>
        <v>18.5</v>
      </c>
      <c r="BD152" s="12">
        <f t="shared" si="45"/>
        <v>16.900000000000002</v>
      </c>
      <c r="BE152" s="12">
        <f t="shared" si="45"/>
        <v>28.4</v>
      </c>
      <c r="BF152" s="12">
        <f t="shared" si="45"/>
        <v>19.100000000000001</v>
      </c>
      <c r="BG152" s="12">
        <f t="shared" si="45"/>
        <v>16.900000000000002</v>
      </c>
      <c r="BH152" s="12">
        <f t="shared" si="45"/>
        <v>45.300000000000004</v>
      </c>
      <c r="BI152" s="12">
        <f t="shared" si="45"/>
        <v>27.3</v>
      </c>
    </row>
    <row r="153" spans="1:61" ht="15.75" customHeight="1" x14ac:dyDescent="0.25">
      <c r="A153" s="1" t="s">
        <v>190</v>
      </c>
      <c r="B153" s="3" t="s">
        <v>240</v>
      </c>
      <c r="C153" s="4" t="s">
        <v>8</v>
      </c>
      <c r="D153" s="4">
        <v>24</v>
      </c>
      <c r="E153" s="4">
        <v>310</v>
      </c>
      <c r="F153" s="4">
        <v>24</v>
      </c>
      <c r="G153" s="4">
        <v>310</v>
      </c>
      <c r="H153" s="4">
        <v>5.4</v>
      </c>
      <c r="I153" s="4">
        <v>0.46500000000000002</v>
      </c>
      <c r="J153" s="4">
        <v>0.44500000000000001</v>
      </c>
      <c r="K153" s="4">
        <v>0.67</v>
      </c>
      <c r="L153" s="4">
        <v>0.12</v>
      </c>
      <c r="M153" s="4">
        <v>0.4</v>
      </c>
      <c r="N153" s="4">
        <v>2</v>
      </c>
      <c r="O153" s="4">
        <v>14.2</v>
      </c>
      <c r="P153" s="4">
        <v>1.4</v>
      </c>
      <c r="Q153" s="4">
        <v>0.3</v>
      </c>
      <c r="R153" s="4">
        <v>16</v>
      </c>
      <c r="S153" s="4">
        <v>17.899999999999999</v>
      </c>
      <c r="T153" s="4">
        <v>88</v>
      </c>
      <c r="U153" s="4">
        <v>118</v>
      </c>
      <c r="V153" s="4"/>
      <c r="W153" s="4">
        <v>-0.5</v>
      </c>
      <c r="X153" s="4">
        <v>0</v>
      </c>
      <c r="Y153" s="4">
        <v>-0.5</v>
      </c>
      <c r="Z153" s="4">
        <v>-6.0999999999999999E-2</v>
      </c>
      <c r="AA153" s="13">
        <f>(I153/TOTAL_BASIC!$D$301)*100</f>
        <v>82.824895774339126</v>
      </c>
      <c r="AB153" s="5">
        <f t="shared" si="36"/>
        <v>0.88</v>
      </c>
      <c r="AC153" s="3">
        <f t="shared" si="33"/>
        <v>-30</v>
      </c>
      <c r="AD153" s="9">
        <f t="shared" si="37"/>
        <v>0.93</v>
      </c>
      <c r="AE153" s="16">
        <f t="shared" si="38"/>
        <v>0.79329608938547491</v>
      </c>
      <c r="AF153" s="16">
        <f t="shared" si="39"/>
        <v>0.88749999999999996</v>
      </c>
      <c r="AG153" s="9"/>
      <c r="AH153" s="9"/>
      <c r="AI153" s="12">
        <f t="shared" si="40"/>
        <v>20.7</v>
      </c>
      <c r="AJ153" s="12">
        <f t="shared" si="40"/>
        <v>18</v>
      </c>
      <c r="AK153" s="12">
        <f t="shared" si="40"/>
        <v>2.7</v>
      </c>
      <c r="AL153" s="12">
        <f t="shared" si="40"/>
        <v>8.1</v>
      </c>
      <c r="AM153" s="12">
        <f t="shared" si="35"/>
        <v>16.3</v>
      </c>
      <c r="AN153" s="12">
        <f t="shared" si="35"/>
        <v>89.600000000000009</v>
      </c>
      <c r="AO153" s="12">
        <f t="shared" si="35"/>
        <v>9.1999999999999993</v>
      </c>
      <c r="AP153" s="12">
        <f t="shared" si="35"/>
        <v>0.5</v>
      </c>
      <c r="AQ153" s="12">
        <f t="shared" si="35"/>
        <v>0</v>
      </c>
      <c r="AR153" s="12">
        <f t="shared" si="35"/>
        <v>51.9</v>
      </c>
      <c r="AS153" s="12">
        <f t="shared" si="35"/>
        <v>27.800000000000004</v>
      </c>
      <c r="AT153" s="12">
        <f t="shared" si="35"/>
        <v>9.1999999999999993</v>
      </c>
      <c r="AU153" s="12">
        <f t="shared" si="42"/>
        <v>39.900000000000006</v>
      </c>
      <c r="AV153" s="12">
        <f t="shared" si="44"/>
        <v>46.400000000000006</v>
      </c>
      <c r="AW153" s="12">
        <f t="shared" si="44"/>
        <v>4.3</v>
      </c>
      <c r="AX153" s="12">
        <f t="shared" si="43"/>
        <v>7.1999999999999886</v>
      </c>
      <c r="AY153" s="9"/>
      <c r="AZ153" s="12">
        <f t="shared" si="45"/>
        <v>6</v>
      </c>
      <c r="BA153" s="12">
        <f t="shared" si="45"/>
        <v>5.4</v>
      </c>
      <c r="BB153" s="12">
        <f t="shared" si="45"/>
        <v>1.6</v>
      </c>
      <c r="BC153" s="12">
        <f t="shared" si="45"/>
        <v>1.6</v>
      </c>
      <c r="BD153" s="12">
        <f t="shared" si="45"/>
        <v>8.1</v>
      </c>
      <c r="BE153" s="12">
        <f t="shared" si="45"/>
        <v>4.3</v>
      </c>
      <c r="BF153" s="12">
        <f t="shared" si="45"/>
        <v>1</v>
      </c>
      <c r="BG153" s="12">
        <f t="shared" si="45"/>
        <v>8.1</v>
      </c>
      <c r="BH153" s="12">
        <f t="shared" si="45"/>
        <v>57.3</v>
      </c>
      <c r="BI153" s="12">
        <f t="shared" si="45"/>
        <v>40.400000000000006</v>
      </c>
    </row>
    <row r="154" spans="1:61" ht="15.75" customHeight="1" x14ac:dyDescent="0.25">
      <c r="A154" s="1" t="s">
        <v>241</v>
      </c>
      <c r="B154" s="3" t="s">
        <v>96</v>
      </c>
      <c r="C154" s="4" t="s">
        <v>85</v>
      </c>
      <c r="D154" s="4">
        <v>30</v>
      </c>
      <c r="E154" s="4">
        <v>307</v>
      </c>
      <c r="F154" s="4">
        <v>30</v>
      </c>
      <c r="G154" s="4">
        <v>307</v>
      </c>
      <c r="H154" s="4">
        <v>16</v>
      </c>
      <c r="I154" s="4">
        <v>0.55900000000000005</v>
      </c>
      <c r="J154" s="4">
        <v>0.48799999999999999</v>
      </c>
      <c r="K154" s="4">
        <v>3.6999999999999998E-2</v>
      </c>
      <c r="L154" s="4">
        <v>0.40200000000000002</v>
      </c>
      <c r="M154" s="4">
        <v>13.9</v>
      </c>
      <c r="N154" s="4">
        <v>11.4</v>
      </c>
      <c r="O154" s="4">
        <v>9</v>
      </c>
      <c r="P154" s="4">
        <v>2.8</v>
      </c>
      <c r="Q154" s="4">
        <v>3.8</v>
      </c>
      <c r="R154" s="4">
        <v>16.399999999999999</v>
      </c>
      <c r="S154" s="4">
        <v>16.5</v>
      </c>
      <c r="T154" s="4">
        <v>115</v>
      </c>
      <c r="U154" s="4">
        <v>106</v>
      </c>
      <c r="V154" s="4"/>
      <c r="W154" s="4">
        <v>0.6</v>
      </c>
      <c r="X154" s="4">
        <v>0.5</v>
      </c>
      <c r="Y154" s="4">
        <v>1.1000000000000001</v>
      </c>
      <c r="Z154" s="4">
        <v>0.14499999999999999</v>
      </c>
      <c r="AA154" s="13">
        <f>(I154/TOTAL_BASIC!$D$301)*100</f>
        <v>99.567992984635637</v>
      </c>
      <c r="AB154" s="5">
        <f t="shared" si="36"/>
        <v>1.1499999999999999</v>
      </c>
      <c r="AC154" s="3">
        <f t="shared" si="33"/>
        <v>9</v>
      </c>
      <c r="AD154" s="9">
        <f t="shared" si="37"/>
        <v>1.1180000000000001</v>
      </c>
      <c r="AE154" s="16">
        <f t="shared" si="38"/>
        <v>0.54545454545454541</v>
      </c>
      <c r="AF154" s="16">
        <f t="shared" si="39"/>
        <v>0.54878048780487809</v>
      </c>
      <c r="AG154" s="9"/>
      <c r="AH154" s="9"/>
      <c r="AI154" s="12">
        <f t="shared" si="40"/>
        <v>30.599999999999998</v>
      </c>
      <c r="AJ154" s="12">
        <f t="shared" si="40"/>
        <v>17.399999999999999</v>
      </c>
      <c r="AK154" s="12">
        <f t="shared" si="40"/>
        <v>68.300000000000011</v>
      </c>
      <c r="AL154" s="12">
        <f t="shared" si="40"/>
        <v>53</v>
      </c>
      <c r="AM154" s="12">
        <f t="shared" si="35"/>
        <v>36</v>
      </c>
      <c r="AN154" s="12">
        <f t="shared" si="35"/>
        <v>6</v>
      </c>
      <c r="AO154" s="12">
        <f t="shared" si="35"/>
        <v>77</v>
      </c>
      <c r="AP154" s="12">
        <f t="shared" si="35"/>
        <v>98.3</v>
      </c>
      <c r="AQ154" s="12">
        <f t="shared" si="35"/>
        <v>69.3</v>
      </c>
      <c r="AR154" s="12">
        <f t="shared" si="35"/>
        <v>23.400000000000002</v>
      </c>
      <c r="AS154" s="12">
        <f t="shared" si="35"/>
        <v>92.300000000000011</v>
      </c>
      <c r="AT154" s="12">
        <f t="shared" si="35"/>
        <v>86.8</v>
      </c>
      <c r="AU154" s="12">
        <f t="shared" si="42"/>
        <v>37.200000000000003</v>
      </c>
      <c r="AV154" s="12">
        <f t="shared" si="44"/>
        <v>28.9</v>
      </c>
      <c r="AW154" s="12">
        <f t="shared" si="44"/>
        <v>73.7</v>
      </c>
      <c r="AX154" s="12">
        <f t="shared" si="43"/>
        <v>83.1</v>
      </c>
      <c r="AY154" s="9"/>
      <c r="AZ154" s="12">
        <f t="shared" si="45"/>
        <v>56.8</v>
      </c>
      <c r="BA154" s="12">
        <f t="shared" si="45"/>
        <v>39.300000000000004</v>
      </c>
      <c r="BB154" s="12">
        <f t="shared" si="45"/>
        <v>53</v>
      </c>
      <c r="BC154" s="12">
        <f t="shared" si="45"/>
        <v>79.2</v>
      </c>
      <c r="BD154" s="12">
        <f t="shared" si="45"/>
        <v>53</v>
      </c>
      <c r="BE154" s="12">
        <f t="shared" si="45"/>
        <v>73.7</v>
      </c>
      <c r="BF154" s="12">
        <f t="shared" si="45"/>
        <v>77</v>
      </c>
      <c r="BG154" s="12">
        <f t="shared" si="45"/>
        <v>53</v>
      </c>
      <c r="BH154" s="12">
        <f t="shared" si="45"/>
        <v>24.5</v>
      </c>
      <c r="BI154" s="12">
        <f t="shared" si="45"/>
        <v>14.7</v>
      </c>
    </row>
    <row r="155" spans="1:61" ht="15.75" customHeight="1" x14ac:dyDescent="0.25">
      <c r="A155" s="1" t="s">
        <v>275</v>
      </c>
      <c r="B155" s="3" t="s">
        <v>114</v>
      </c>
      <c r="C155" s="4" t="s">
        <v>119</v>
      </c>
      <c r="D155" s="4">
        <v>14</v>
      </c>
      <c r="E155" s="4">
        <v>286</v>
      </c>
      <c r="F155" s="4">
        <v>14</v>
      </c>
      <c r="G155" s="4">
        <v>286</v>
      </c>
      <c r="H155" s="4">
        <v>11.9</v>
      </c>
      <c r="I155" s="4">
        <v>0.48</v>
      </c>
      <c r="J155" s="4">
        <v>0.441</v>
      </c>
      <c r="K155" s="4">
        <v>0.28000000000000003</v>
      </c>
      <c r="L155" s="4">
        <v>0.17199999999999999</v>
      </c>
      <c r="M155" s="4">
        <v>2.8</v>
      </c>
      <c r="N155" s="4">
        <v>11.2</v>
      </c>
      <c r="O155" s="4">
        <v>14.5</v>
      </c>
      <c r="P155" s="4">
        <v>1.9</v>
      </c>
      <c r="Q155" s="4">
        <v>5.6</v>
      </c>
      <c r="R155" s="4">
        <v>13</v>
      </c>
      <c r="S155" s="4">
        <v>17.5</v>
      </c>
      <c r="T155" s="4">
        <v>96</v>
      </c>
      <c r="U155" s="4">
        <v>107</v>
      </c>
      <c r="V155" s="4"/>
      <c r="W155" s="4">
        <v>-0.1</v>
      </c>
      <c r="X155" s="4">
        <v>0.4</v>
      </c>
      <c r="Y155" s="4">
        <v>0.3</v>
      </c>
      <c r="Z155" s="4">
        <v>4.2000000000000003E-2</v>
      </c>
      <c r="AA155" s="13">
        <f>(I155/TOTAL_BASIC!$D$301)*100</f>
        <v>85.496666605769406</v>
      </c>
      <c r="AB155" s="5">
        <f t="shared" si="36"/>
        <v>0.96</v>
      </c>
      <c r="AC155" s="3">
        <f t="shared" si="33"/>
        <v>-11</v>
      </c>
      <c r="AD155" s="9">
        <f t="shared" si="37"/>
        <v>0.96</v>
      </c>
      <c r="AE155" s="16">
        <f t="shared" si="38"/>
        <v>0.82857142857142863</v>
      </c>
      <c r="AF155" s="16">
        <f t="shared" si="39"/>
        <v>1.1153846153846154</v>
      </c>
      <c r="AG155" s="9"/>
      <c r="AH155" s="9"/>
      <c r="AI155" s="12">
        <f t="shared" si="40"/>
        <v>6.5</v>
      </c>
      <c r="AJ155" s="12">
        <f t="shared" si="40"/>
        <v>16.900000000000002</v>
      </c>
      <c r="AK155" s="12">
        <f t="shared" si="40"/>
        <v>43.7</v>
      </c>
      <c r="AL155" s="12">
        <f t="shared" si="40"/>
        <v>13.100000000000001</v>
      </c>
      <c r="AM155" s="12">
        <f t="shared" si="35"/>
        <v>14.2</v>
      </c>
      <c r="AN155" s="12">
        <f t="shared" si="35"/>
        <v>26.700000000000003</v>
      </c>
      <c r="AO155" s="12">
        <f t="shared" si="35"/>
        <v>19.100000000000001</v>
      </c>
      <c r="AP155" s="12">
        <f t="shared" si="35"/>
        <v>30</v>
      </c>
      <c r="AQ155" s="12">
        <f t="shared" si="35"/>
        <v>67.2</v>
      </c>
      <c r="AR155" s="12">
        <f t="shared" si="35"/>
        <v>55.7</v>
      </c>
      <c r="AS155" s="12">
        <f t="shared" si="35"/>
        <v>57.9</v>
      </c>
      <c r="AT155" s="12">
        <f t="shared" si="35"/>
        <v>95</v>
      </c>
      <c r="AU155" s="12">
        <f t="shared" si="42"/>
        <v>66.199999999999989</v>
      </c>
      <c r="AV155" s="12">
        <f t="shared" si="44"/>
        <v>42</v>
      </c>
      <c r="AW155" s="12">
        <f t="shared" si="44"/>
        <v>13.100000000000001</v>
      </c>
      <c r="AX155" s="12">
        <f t="shared" si="43"/>
        <v>78.2</v>
      </c>
      <c r="AY155" s="9"/>
      <c r="AZ155" s="12">
        <f t="shared" si="45"/>
        <v>20.7</v>
      </c>
      <c r="BA155" s="12">
        <f t="shared" si="45"/>
        <v>34.4</v>
      </c>
      <c r="BB155" s="12">
        <f t="shared" si="45"/>
        <v>24.5</v>
      </c>
      <c r="BC155" s="12">
        <f t="shared" si="45"/>
        <v>31.1</v>
      </c>
      <c r="BD155" s="12">
        <f t="shared" si="45"/>
        <v>13.100000000000001</v>
      </c>
      <c r="BE155" s="12">
        <f t="shared" si="45"/>
        <v>13.100000000000001</v>
      </c>
      <c r="BF155" s="12">
        <f t="shared" si="45"/>
        <v>26.700000000000003</v>
      </c>
      <c r="BG155" s="12">
        <f t="shared" si="45"/>
        <v>13.100000000000001</v>
      </c>
      <c r="BH155" s="12">
        <f t="shared" si="45"/>
        <v>61.199999999999996</v>
      </c>
      <c r="BI155" s="12">
        <f t="shared" si="45"/>
        <v>62.2</v>
      </c>
    </row>
    <row r="156" spans="1:61" ht="15.75" customHeight="1" x14ac:dyDescent="0.25">
      <c r="A156" s="1" t="s">
        <v>197</v>
      </c>
      <c r="B156" s="3" t="s">
        <v>114</v>
      </c>
      <c r="C156" s="4" t="s">
        <v>85</v>
      </c>
      <c r="D156" s="4">
        <v>28</v>
      </c>
      <c r="E156" s="4">
        <v>283</v>
      </c>
      <c r="F156" s="4">
        <v>28</v>
      </c>
      <c r="G156" s="4">
        <v>283</v>
      </c>
      <c r="H156" s="4">
        <v>15.7</v>
      </c>
      <c r="I156" s="4">
        <v>0.63</v>
      </c>
      <c r="J156" s="4">
        <v>0.60699999999999998</v>
      </c>
      <c r="K156" s="4">
        <v>0.23200000000000001</v>
      </c>
      <c r="L156" s="4">
        <v>0.30399999999999999</v>
      </c>
      <c r="M156" s="4">
        <v>11.2</v>
      </c>
      <c r="N156" s="4">
        <v>16.7</v>
      </c>
      <c r="O156" s="4">
        <v>8.5</v>
      </c>
      <c r="P156" s="4">
        <v>3.2</v>
      </c>
      <c r="Q156" s="4">
        <v>2</v>
      </c>
      <c r="R156" s="4">
        <v>17</v>
      </c>
      <c r="S156" s="4">
        <v>11.8</v>
      </c>
      <c r="T156" s="4">
        <v>120</v>
      </c>
      <c r="U156" s="4">
        <v>105</v>
      </c>
      <c r="V156" s="4"/>
      <c r="W156" s="4">
        <v>0.5</v>
      </c>
      <c r="X156" s="4">
        <v>0.5</v>
      </c>
      <c r="Y156" s="4">
        <v>1</v>
      </c>
      <c r="Z156" s="4">
        <v>0.14299999999999999</v>
      </c>
      <c r="AA156" s="13">
        <f>(I156/TOTAL_BASIC!$D$301)*100</f>
        <v>112.21437492007236</v>
      </c>
      <c r="AB156" s="5">
        <f t="shared" si="36"/>
        <v>1.2</v>
      </c>
      <c r="AC156" s="3">
        <f t="shared" si="33"/>
        <v>15</v>
      </c>
      <c r="AD156" s="9">
        <f t="shared" si="37"/>
        <v>1.26</v>
      </c>
      <c r="AE156" s="16">
        <f t="shared" si="38"/>
        <v>0.72033898305084743</v>
      </c>
      <c r="AF156" s="16">
        <f t="shared" si="39"/>
        <v>0.5</v>
      </c>
      <c r="AG156" s="9"/>
      <c r="AH156" s="9"/>
      <c r="AI156" s="12">
        <f t="shared" si="40"/>
        <v>25.1</v>
      </c>
      <c r="AJ156" s="12">
        <f t="shared" si="40"/>
        <v>16.3</v>
      </c>
      <c r="AK156" s="12">
        <f t="shared" si="40"/>
        <v>65</v>
      </c>
      <c r="AL156" s="12">
        <f t="shared" si="40"/>
        <v>91.8</v>
      </c>
      <c r="AM156" s="12">
        <f t="shared" si="35"/>
        <v>95</v>
      </c>
      <c r="AN156" s="12">
        <f t="shared" si="35"/>
        <v>19.100000000000001</v>
      </c>
      <c r="AO156" s="12">
        <f t="shared" si="35"/>
        <v>55.7</v>
      </c>
      <c r="AP156" s="12">
        <f t="shared" si="35"/>
        <v>92.300000000000011</v>
      </c>
      <c r="AQ156" s="12">
        <f t="shared" si="35"/>
        <v>91.2</v>
      </c>
      <c r="AR156" s="12">
        <f t="shared" si="35"/>
        <v>19.600000000000001</v>
      </c>
      <c r="AS156" s="12">
        <f t="shared" si="35"/>
        <v>98.3</v>
      </c>
      <c r="AT156" s="12">
        <f t="shared" si="35"/>
        <v>65</v>
      </c>
      <c r="AU156" s="12">
        <f t="shared" si="42"/>
        <v>32.299999999999997</v>
      </c>
      <c r="AV156" s="12">
        <f t="shared" si="44"/>
        <v>6.5</v>
      </c>
      <c r="AW156" s="12">
        <f t="shared" si="44"/>
        <v>85.2</v>
      </c>
      <c r="AX156" s="12">
        <f t="shared" si="43"/>
        <v>85.8</v>
      </c>
      <c r="AY156" s="9"/>
      <c r="AZ156" s="12">
        <f t="shared" si="45"/>
        <v>51.9</v>
      </c>
      <c r="BA156" s="12">
        <f t="shared" si="45"/>
        <v>39.300000000000004</v>
      </c>
      <c r="BB156" s="12">
        <f t="shared" si="45"/>
        <v>49.1</v>
      </c>
      <c r="BC156" s="12">
        <f t="shared" si="45"/>
        <v>77.5</v>
      </c>
      <c r="BD156" s="12">
        <f t="shared" si="45"/>
        <v>91.8</v>
      </c>
      <c r="BE156" s="12">
        <f t="shared" si="45"/>
        <v>85.2</v>
      </c>
      <c r="BF156" s="12">
        <f t="shared" si="45"/>
        <v>91.2</v>
      </c>
      <c r="BG156" s="12">
        <f t="shared" si="45"/>
        <v>91.8</v>
      </c>
      <c r="BH156" s="12">
        <f t="shared" si="45"/>
        <v>50.2</v>
      </c>
      <c r="BI156" s="12">
        <f t="shared" si="45"/>
        <v>12.5</v>
      </c>
    </row>
    <row r="157" spans="1:61" ht="15.75" customHeight="1" x14ac:dyDescent="0.25">
      <c r="A157" s="1" t="s">
        <v>266</v>
      </c>
      <c r="B157" s="3" t="s">
        <v>96</v>
      </c>
      <c r="C157" s="4" t="s">
        <v>85</v>
      </c>
      <c r="D157" s="4">
        <v>19</v>
      </c>
      <c r="E157" s="4">
        <v>278</v>
      </c>
      <c r="F157" s="4">
        <v>19</v>
      </c>
      <c r="G157" s="4">
        <v>278</v>
      </c>
      <c r="H157" s="4">
        <v>10.3</v>
      </c>
      <c r="I157" s="4">
        <v>0.495</v>
      </c>
      <c r="J157" s="4">
        <v>0.5</v>
      </c>
      <c r="K157" s="4">
        <v>0.67600000000000005</v>
      </c>
      <c r="L157" s="4">
        <v>5.8999999999999997E-2</v>
      </c>
      <c r="M157" s="4">
        <v>3.1</v>
      </c>
      <c r="N157" s="4">
        <v>11.1</v>
      </c>
      <c r="O157" s="4">
        <v>11</v>
      </c>
      <c r="P157" s="4">
        <v>0.9</v>
      </c>
      <c r="Q157" s="4">
        <v>4.2</v>
      </c>
      <c r="R157" s="4">
        <v>12.5</v>
      </c>
      <c r="S157" s="4">
        <v>12.6</v>
      </c>
      <c r="T157" s="4">
        <v>104</v>
      </c>
      <c r="U157" s="4">
        <v>107</v>
      </c>
      <c r="V157" s="4"/>
      <c r="W157" s="4">
        <v>0.1</v>
      </c>
      <c r="X157" s="4">
        <v>0.4</v>
      </c>
      <c r="Y157" s="4">
        <v>0.5</v>
      </c>
      <c r="Z157" s="4">
        <v>7.8E-2</v>
      </c>
      <c r="AA157" s="13">
        <f>(I157/TOTAL_BASIC!$D$301)*100</f>
        <v>88.1684374371997</v>
      </c>
      <c r="AB157" s="5">
        <f t="shared" si="36"/>
        <v>1.04</v>
      </c>
      <c r="AC157" s="3">
        <f t="shared" si="33"/>
        <v>-3</v>
      </c>
      <c r="AD157" s="9">
        <f t="shared" si="37"/>
        <v>0.99</v>
      </c>
      <c r="AE157" s="16">
        <f t="shared" si="38"/>
        <v>0.87301587301587302</v>
      </c>
      <c r="AF157" s="16">
        <f t="shared" si="39"/>
        <v>0.88</v>
      </c>
      <c r="AG157" s="9"/>
      <c r="AH157" s="9"/>
      <c r="AI157" s="12">
        <f t="shared" si="40"/>
        <v>14.2</v>
      </c>
      <c r="AJ157" s="12">
        <f t="shared" si="40"/>
        <v>15.8</v>
      </c>
      <c r="AK157" s="12">
        <f t="shared" si="40"/>
        <v>30.599999999999998</v>
      </c>
      <c r="AL157" s="12">
        <f t="shared" si="40"/>
        <v>19.100000000000001</v>
      </c>
      <c r="AM157" s="12">
        <f t="shared" si="35"/>
        <v>44.2</v>
      </c>
      <c r="AN157" s="12">
        <f t="shared" si="35"/>
        <v>90.100000000000009</v>
      </c>
      <c r="AO157" s="12">
        <f t="shared" si="35"/>
        <v>1.6</v>
      </c>
      <c r="AP157" s="12">
        <f t="shared" si="35"/>
        <v>34.9</v>
      </c>
      <c r="AQ157" s="12">
        <f t="shared" si="35"/>
        <v>66.100000000000009</v>
      </c>
      <c r="AR157" s="12">
        <f t="shared" si="35"/>
        <v>32.200000000000003</v>
      </c>
      <c r="AS157" s="12">
        <f t="shared" si="35"/>
        <v>6.5</v>
      </c>
      <c r="AT157" s="12">
        <f t="shared" si="35"/>
        <v>89.600000000000009</v>
      </c>
      <c r="AU157" s="12">
        <f t="shared" si="42"/>
        <v>70.5</v>
      </c>
      <c r="AV157" s="12">
        <f t="shared" si="44"/>
        <v>8.1</v>
      </c>
      <c r="AW157" s="12">
        <f t="shared" si="44"/>
        <v>37.700000000000003</v>
      </c>
      <c r="AX157" s="12">
        <f t="shared" si="43"/>
        <v>78.2</v>
      </c>
      <c r="AY157" s="9"/>
      <c r="AZ157" s="12">
        <f t="shared" si="45"/>
        <v>31.1</v>
      </c>
      <c r="BA157" s="12">
        <f t="shared" si="45"/>
        <v>34.4</v>
      </c>
      <c r="BB157" s="12">
        <f t="shared" si="45"/>
        <v>30.599999999999998</v>
      </c>
      <c r="BC157" s="12">
        <f t="shared" si="45"/>
        <v>54</v>
      </c>
      <c r="BD157" s="12">
        <f t="shared" si="45"/>
        <v>19.100000000000001</v>
      </c>
      <c r="BE157" s="12">
        <f t="shared" si="45"/>
        <v>37.700000000000003</v>
      </c>
      <c r="BF157" s="12">
        <f t="shared" si="45"/>
        <v>51.9</v>
      </c>
      <c r="BG157" s="12">
        <f t="shared" si="45"/>
        <v>19.100000000000001</v>
      </c>
      <c r="BH157" s="12">
        <f t="shared" si="45"/>
        <v>63.9</v>
      </c>
      <c r="BI157" s="12">
        <f t="shared" si="45"/>
        <v>38.700000000000003</v>
      </c>
    </row>
    <row r="158" spans="1:61" ht="15.75" customHeight="1" x14ac:dyDescent="0.25">
      <c r="A158" s="1" t="s">
        <v>202</v>
      </c>
      <c r="B158" s="3" t="s">
        <v>117</v>
      </c>
      <c r="C158" s="4" t="s">
        <v>85</v>
      </c>
      <c r="D158" s="4">
        <v>28</v>
      </c>
      <c r="E158" s="4">
        <v>270</v>
      </c>
      <c r="F158" s="4">
        <v>28</v>
      </c>
      <c r="G158" s="4">
        <v>270</v>
      </c>
      <c r="H158" s="4">
        <v>4.2</v>
      </c>
      <c r="I158" s="4">
        <v>0.375</v>
      </c>
      <c r="J158" s="4">
        <v>0.36199999999999999</v>
      </c>
      <c r="K158" s="4">
        <v>0.72499999999999998</v>
      </c>
      <c r="L158" s="4">
        <v>5.8000000000000003E-2</v>
      </c>
      <c r="M158" s="4">
        <v>4.5999999999999996</v>
      </c>
      <c r="N158" s="4">
        <v>8.9</v>
      </c>
      <c r="O158" s="4">
        <v>7.9</v>
      </c>
      <c r="P158" s="4">
        <v>1.1000000000000001</v>
      </c>
      <c r="Q158" s="4">
        <v>3.3</v>
      </c>
      <c r="R158" s="4">
        <v>16.5</v>
      </c>
      <c r="S158" s="4">
        <v>14.2</v>
      </c>
      <c r="T158" s="4">
        <v>80</v>
      </c>
      <c r="U158" s="4">
        <v>109</v>
      </c>
      <c r="V158" s="4"/>
      <c r="W158" s="4">
        <v>-0.6</v>
      </c>
      <c r="X158" s="4">
        <v>0.3</v>
      </c>
      <c r="Y158" s="4">
        <v>-0.2</v>
      </c>
      <c r="Z158" s="4">
        <v>-3.3000000000000002E-2</v>
      </c>
      <c r="AA158" s="13">
        <f>(I158/TOTAL_BASIC!$D$301)*100</f>
        <v>66.794270785757348</v>
      </c>
      <c r="AB158" s="5">
        <f t="shared" si="36"/>
        <v>0.8</v>
      </c>
      <c r="AC158" s="3">
        <f t="shared" si="33"/>
        <v>-29</v>
      </c>
      <c r="AD158" s="9">
        <f t="shared" si="37"/>
        <v>0.75</v>
      </c>
      <c r="AE158" s="16">
        <f t="shared" si="38"/>
        <v>0.55633802816901412</v>
      </c>
      <c r="AF158" s="16">
        <f t="shared" si="39"/>
        <v>0.47878787878787882</v>
      </c>
      <c r="AG158" s="9"/>
      <c r="AH158" s="9"/>
      <c r="AI158" s="12">
        <f t="shared" si="40"/>
        <v>25.1</v>
      </c>
      <c r="AJ158" s="12">
        <f t="shared" si="40"/>
        <v>15.299999999999999</v>
      </c>
      <c r="AK158" s="12">
        <f t="shared" si="40"/>
        <v>1.6</v>
      </c>
      <c r="AL158" s="12">
        <f t="shared" si="40"/>
        <v>1.6</v>
      </c>
      <c r="AM158" s="12">
        <f t="shared" si="35"/>
        <v>1</v>
      </c>
      <c r="AN158" s="12">
        <f t="shared" si="35"/>
        <v>95</v>
      </c>
      <c r="AO158" s="12">
        <f t="shared" si="35"/>
        <v>1</v>
      </c>
      <c r="AP158" s="12">
        <f t="shared" si="35"/>
        <v>53</v>
      </c>
      <c r="AQ158" s="12">
        <f t="shared" si="35"/>
        <v>49.7</v>
      </c>
      <c r="AR158" s="12">
        <f t="shared" si="35"/>
        <v>15.299999999999999</v>
      </c>
      <c r="AS158" s="12">
        <f t="shared" si="35"/>
        <v>14.7</v>
      </c>
      <c r="AT158" s="12">
        <f t="shared" si="35"/>
        <v>83</v>
      </c>
      <c r="AU158" s="12">
        <f>100-(PERCENTRANK(R$3:R$298,R158))*100</f>
        <v>35.599999999999994</v>
      </c>
      <c r="AV158" s="12">
        <f t="shared" si="44"/>
        <v>15.299999999999999</v>
      </c>
      <c r="AW158" s="12">
        <f t="shared" si="44"/>
        <v>1</v>
      </c>
      <c r="AX158" s="12">
        <f t="shared" si="43"/>
        <v>66.199999999999989</v>
      </c>
      <c r="AY158" s="9"/>
      <c r="AZ158" s="12">
        <f t="shared" si="45"/>
        <v>4.9000000000000004</v>
      </c>
      <c r="BA158" s="12">
        <f t="shared" si="45"/>
        <v>28.4</v>
      </c>
      <c r="BB158" s="12">
        <f t="shared" si="45"/>
        <v>6.5</v>
      </c>
      <c r="BC158" s="12">
        <f t="shared" si="45"/>
        <v>5.4</v>
      </c>
      <c r="BD158" s="12">
        <f t="shared" si="45"/>
        <v>1.6</v>
      </c>
      <c r="BE158" s="12">
        <f t="shared" si="45"/>
        <v>1</v>
      </c>
      <c r="BF158" s="12">
        <f t="shared" si="45"/>
        <v>2.1</v>
      </c>
      <c r="BG158" s="12">
        <f t="shared" si="45"/>
        <v>1.6</v>
      </c>
      <c r="BH158" s="12">
        <f t="shared" si="45"/>
        <v>27.800000000000004</v>
      </c>
      <c r="BI158" s="12">
        <f t="shared" si="45"/>
        <v>9.1999999999999993</v>
      </c>
    </row>
    <row r="159" spans="1:61" ht="15.75" customHeight="1" x14ac:dyDescent="0.25">
      <c r="A159" s="1" t="s">
        <v>222</v>
      </c>
      <c r="B159" s="3" t="s">
        <v>240</v>
      </c>
      <c r="C159" s="4" t="s">
        <v>8</v>
      </c>
      <c r="D159" s="4">
        <v>25</v>
      </c>
      <c r="E159" s="4">
        <v>257</v>
      </c>
      <c r="F159" s="4">
        <v>25</v>
      </c>
      <c r="G159" s="4">
        <v>257</v>
      </c>
      <c r="H159" s="4">
        <v>11.6</v>
      </c>
      <c r="I159" s="4">
        <v>0.52400000000000002</v>
      </c>
      <c r="J159" s="4">
        <v>0.50700000000000001</v>
      </c>
      <c r="K159" s="4">
        <v>0.35099999999999998</v>
      </c>
      <c r="L159" s="4">
        <v>0.189</v>
      </c>
      <c r="M159" s="4">
        <v>1</v>
      </c>
      <c r="N159" s="4">
        <v>4.9000000000000004</v>
      </c>
      <c r="O159" s="4">
        <v>29.8</v>
      </c>
      <c r="P159" s="4">
        <v>1.8</v>
      </c>
      <c r="Q159" s="4">
        <v>0.7</v>
      </c>
      <c r="R159" s="4">
        <v>20.8</v>
      </c>
      <c r="S159" s="4">
        <v>17.600000000000001</v>
      </c>
      <c r="T159" s="4">
        <v>103</v>
      </c>
      <c r="U159" s="4">
        <v>112</v>
      </c>
      <c r="V159" s="4"/>
      <c r="W159" s="4">
        <v>0.1</v>
      </c>
      <c r="X159" s="4">
        <v>0.2</v>
      </c>
      <c r="Y159" s="4">
        <v>0.3</v>
      </c>
      <c r="Z159" s="4">
        <v>4.2999999999999997E-2</v>
      </c>
      <c r="AA159" s="13">
        <f>(I159/TOTAL_BASIC!$D$301)*100</f>
        <v>93.333861044631604</v>
      </c>
      <c r="AB159" s="5">
        <f t="shared" si="36"/>
        <v>1.03</v>
      </c>
      <c r="AC159" s="3">
        <f t="shared" si="33"/>
        <v>-9</v>
      </c>
      <c r="AD159" s="9">
        <f t="shared" si="37"/>
        <v>1.048</v>
      </c>
      <c r="AE159" s="16">
        <f t="shared" si="38"/>
        <v>1.6931818181818181</v>
      </c>
      <c r="AF159" s="16">
        <f t="shared" si="39"/>
        <v>1.4326923076923077</v>
      </c>
      <c r="AG159" s="9"/>
      <c r="AH159" s="9"/>
      <c r="AI159" s="12">
        <f t="shared" si="40"/>
        <v>21.8</v>
      </c>
      <c r="AJ159" s="12">
        <f t="shared" si="40"/>
        <v>14.7</v>
      </c>
      <c r="AK159" s="12">
        <f t="shared" si="40"/>
        <v>40.400000000000006</v>
      </c>
      <c r="AL159" s="12">
        <f t="shared" si="40"/>
        <v>33.800000000000004</v>
      </c>
      <c r="AM159" s="12">
        <f t="shared" si="35"/>
        <v>48.6</v>
      </c>
      <c r="AN159" s="12">
        <f t="shared" si="35"/>
        <v>37.1</v>
      </c>
      <c r="AO159" s="12">
        <f t="shared" si="35"/>
        <v>22.900000000000002</v>
      </c>
      <c r="AP159" s="12">
        <f t="shared" si="35"/>
        <v>4.3</v>
      </c>
      <c r="AQ159" s="12">
        <f t="shared" si="35"/>
        <v>10.9</v>
      </c>
      <c r="AR159" s="12">
        <f t="shared" si="35"/>
        <v>93.4</v>
      </c>
      <c r="AS159" s="12">
        <f t="shared" si="35"/>
        <v>49.7</v>
      </c>
      <c r="AT159" s="12">
        <f t="shared" si="35"/>
        <v>24</v>
      </c>
      <c r="AU159" s="12">
        <f t="shared" ref="AU159:AU176" si="46">100-(PERCENTRANK(R$3:R$298,R159))*100</f>
        <v>10.399999999999991</v>
      </c>
      <c r="AV159" s="12">
        <f t="shared" si="44"/>
        <v>42.6</v>
      </c>
      <c r="AW159" s="12">
        <f t="shared" si="44"/>
        <v>34.4</v>
      </c>
      <c r="AX159" s="12">
        <f t="shared" si="43"/>
        <v>38.800000000000004</v>
      </c>
      <c r="AY159" s="9"/>
      <c r="AZ159" s="12">
        <f t="shared" si="45"/>
        <v>31.1</v>
      </c>
      <c r="BA159" s="12">
        <f t="shared" si="45"/>
        <v>19.600000000000001</v>
      </c>
      <c r="BB159" s="12">
        <f t="shared" si="45"/>
        <v>24.5</v>
      </c>
      <c r="BC159" s="12">
        <f t="shared" si="45"/>
        <v>32.200000000000003</v>
      </c>
      <c r="BD159" s="12">
        <f t="shared" si="45"/>
        <v>33.800000000000004</v>
      </c>
      <c r="BE159" s="12">
        <f t="shared" si="45"/>
        <v>34.4</v>
      </c>
      <c r="BF159" s="12">
        <f t="shared" si="45"/>
        <v>33.800000000000004</v>
      </c>
      <c r="BG159" s="12">
        <f t="shared" si="45"/>
        <v>33.800000000000004</v>
      </c>
      <c r="BH159" s="12">
        <f t="shared" si="45"/>
        <v>96.7</v>
      </c>
      <c r="BI159" s="12">
        <f t="shared" si="45"/>
        <v>77</v>
      </c>
    </row>
    <row r="160" spans="1:61" ht="15.75" customHeight="1" x14ac:dyDescent="0.25">
      <c r="A160" t="s">
        <v>270</v>
      </c>
      <c r="B160" s="3" t="s">
        <v>84</v>
      </c>
      <c r="C160" s="3" t="s">
        <v>8</v>
      </c>
      <c r="D160" s="3">
        <v>20</v>
      </c>
      <c r="E160" s="3">
        <v>243</v>
      </c>
      <c r="F160" s="3">
        <v>20</v>
      </c>
      <c r="G160" s="3">
        <v>243</v>
      </c>
      <c r="H160" s="3">
        <v>9.6</v>
      </c>
      <c r="I160" s="3">
        <v>0.53400000000000003</v>
      </c>
      <c r="J160" s="3">
        <v>0.5</v>
      </c>
      <c r="K160" s="3">
        <v>0.59699999999999998</v>
      </c>
      <c r="L160" s="3">
        <v>0.40300000000000002</v>
      </c>
      <c r="M160" s="3">
        <v>3.1</v>
      </c>
      <c r="N160" s="3">
        <v>9.6999999999999993</v>
      </c>
      <c r="O160" s="3">
        <v>22</v>
      </c>
      <c r="P160" s="3">
        <v>0.6</v>
      </c>
      <c r="Q160" s="3">
        <v>0</v>
      </c>
      <c r="R160" s="3">
        <v>23.2</v>
      </c>
      <c r="S160" s="3">
        <v>17.399999999999999</v>
      </c>
      <c r="T160" s="3">
        <v>101</v>
      </c>
      <c r="U160" s="3">
        <v>112</v>
      </c>
      <c r="V160" s="3"/>
      <c r="W160" s="3">
        <v>0</v>
      </c>
      <c r="X160" s="3">
        <v>0.2</v>
      </c>
      <c r="Y160" s="3">
        <v>0.2</v>
      </c>
      <c r="Z160" s="3">
        <v>3.5000000000000003E-2</v>
      </c>
      <c r="AA160" s="13">
        <f>(I160/TOTAL_BASIC!$D$301)*100</f>
        <v>95.115041598918467</v>
      </c>
      <c r="AB160" s="5">
        <f t="shared" si="36"/>
        <v>1.01</v>
      </c>
      <c r="AC160" s="3">
        <f t="shared" si="33"/>
        <v>-11</v>
      </c>
      <c r="AD160" s="9">
        <f t="shared" si="37"/>
        <v>1.0680000000000001</v>
      </c>
      <c r="AE160" s="16">
        <f t="shared" si="38"/>
        <v>1.264367816091954</v>
      </c>
      <c r="AF160" s="16">
        <f t="shared" si="39"/>
        <v>0.94827586206896552</v>
      </c>
      <c r="AG160" s="9"/>
      <c r="AH160" s="9"/>
      <c r="AI160" s="12">
        <f t="shared" ref="AI160:AT176" si="47">(PERCENTRANK(F$3:F$298,F160))*100</f>
        <v>16.3</v>
      </c>
      <c r="AJ160" s="12">
        <f t="shared" si="47"/>
        <v>14.2</v>
      </c>
      <c r="AK160" s="12">
        <f t="shared" si="47"/>
        <v>21.8</v>
      </c>
      <c r="AL160" s="12">
        <f t="shared" si="47"/>
        <v>37.700000000000003</v>
      </c>
      <c r="AM160" s="12">
        <f t="shared" si="47"/>
        <v>44.2</v>
      </c>
      <c r="AN160" s="12">
        <f t="shared" si="47"/>
        <v>83.6</v>
      </c>
      <c r="AO160" s="12">
        <f t="shared" si="47"/>
        <v>77.5</v>
      </c>
      <c r="AP160" s="12">
        <f t="shared" si="47"/>
        <v>34.9</v>
      </c>
      <c r="AQ160" s="12">
        <f t="shared" si="47"/>
        <v>56.8</v>
      </c>
      <c r="AR160" s="12">
        <f t="shared" si="47"/>
        <v>80.300000000000011</v>
      </c>
      <c r="AS160" s="12">
        <f t="shared" si="47"/>
        <v>2.1</v>
      </c>
      <c r="AT160" s="12">
        <f t="shared" si="47"/>
        <v>0</v>
      </c>
      <c r="AU160" s="12">
        <f t="shared" si="46"/>
        <v>5.5</v>
      </c>
      <c r="AV160" s="12">
        <f t="shared" ref="AV160:AW176" si="48">(PERCENTRANK(S$3:S$298,S160))*100</f>
        <v>39.300000000000004</v>
      </c>
      <c r="AW160" s="12">
        <f t="shared" si="48"/>
        <v>28.4</v>
      </c>
      <c r="AX160" s="12">
        <f t="shared" si="43"/>
        <v>38.800000000000004</v>
      </c>
      <c r="AY160" s="9"/>
      <c r="AZ160" s="12">
        <f t="shared" ref="AZ160:BI175" si="49">(PERCENTRANK(W$3:W$298,W160))*100</f>
        <v>24.5</v>
      </c>
      <c r="BA160" s="12">
        <f t="shared" si="49"/>
        <v>19.600000000000001</v>
      </c>
      <c r="BB160" s="12">
        <f t="shared" si="49"/>
        <v>19.100000000000001</v>
      </c>
      <c r="BC160" s="12">
        <f t="shared" si="49"/>
        <v>27.800000000000004</v>
      </c>
      <c r="BD160" s="12">
        <f t="shared" si="49"/>
        <v>37.700000000000003</v>
      </c>
      <c r="BE160" s="12">
        <f t="shared" si="49"/>
        <v>28.4</v>
      </c>
      <c r="BF160" s="12">
        <f t="shared" si="49"/>
        <v>26.700000000000003</v>
      </c>
      <c r="BG160" s="12">
        <f t="shared" si="49"/>
        <v>37.700000000000003</v>
      </c>
      <c r="BH160" s="12">
        <f t="shared" si="49"/>
        <v>86.3</v>
      </c>
      <c r="BI160" s="12">
        <f t="shared" si="49"/>
        <v>45.300000000000004</v>
      </c>
    </row>
    <row r="161" spans="1:61" ht="15.75" customHeight="1" x14ac:dyDescent="0.25">
      <c r="A161" t="s">
        <v>155</v>
      </c>
      <c r="B161" s="3" t="s">
        <v>117</v>
      </c>
      <c r="C161" s="3" t="s">
        <v>8</v>
      </c>
      <c r="D161" s="3">
        <v>13</v>
      </c>
      <c r="E161" s="3">
        <v>220</v>
      </c>
      <c r="F161" s="3">
        <v>13</v>
      </c>
      <c r="G161" s="3">
        <v>220</v>
      </c>
      <c r="H161" s="3">
        <v>24.4</v>
      </c>
      <c r="I161" s="3">
        <v>0.68400000000000005</v>
      </c>
      <c r="J161" s="3">
        <v>0.65500000000000003</v>
      </c>
      <c r="K161" s="3">
        <v>0.21</v>
      </c>
      <c r="L161" s="3">
        <v>0.37</v>
      </c>
      <c r="M161" s="3">
        <v>5</v>
      </c>
      <c r="N161" s="3">
        <v>6.3</v>
      </c>
      <c r="O161" s="3">
        <v>14.1</v>
      </c>
      <c r="P161" s="3">
        <v>2.5</v>
      </c>
      <c r="Q161" s="3">
        <v>1.6</v>
      </c>
      <c r="R161" s="3">
        <v>12.8</v>
      </c>
      <c r="S161" s="3">
        <v>27.3</v>
      </c>
      <c r="T161" s="3">
        <v>121</v>
      </c>
      <c r="U161" s="3">
        <v>109</v>
      </c>
      <c r="V161" s="3"/>
      <c r="W161" s="3">
        <v>0.8</v>
      </c>
      <c r="X161" s="3">
        <v>0.3</v>
      </c>
      <c r="Y161" s="3">
        <v>1.1000000000000001</v>
      </c>
      <c r="Z161" s="3">
        <v>0.19800000000000001</v>
      </c>
      <c r="AA161" s="13">
        <f>(I161/TOTAL_BASIC!$D$301)*100</f>
        <v>121.83274991322142</v>
      </c>
      <c r="AB161" s="5">
        <f t="shared" si="36"/>
        <v>1.21</v>
      </c>
      <c r="AC161" s="3">
        <f t="shared" si="33"/>
        <v>12</v>
      </c>
      <c r="AD161" s="9">
        <f t="shared" si="37"/>
        <v>1.3680000000000001</v>
      </c>
      <c r="AE161" s="16">
        <f t="shared" si="38"/>
        <v>0.51648351648351642</v>
      </c>
      <c r="AF161" s="16">
        <f t="shared" si="39"/>
        <v>1.1015625</v>
      </c>
      <c r="AG161" s="9"/>
      <c r="AH161" s="9"/>
      <c r="AI161" s="12">
        <f t="shared" si="47"/>
        <v>4.9000000000000004</v>
      </c>
      <c r="AJ161" s="12">
        <f t="shared" si="47"/>
        <v>13.100000000000001</v>
      </c>
      <c r="AK161" s="12">
        <f t="shared" si="47"/>
        <v>99.4</v>
      </c>
      <c r="AL161" s="12">
        <f t="shared" si="47"/>
        <v>98.9</v>
      </c>
      <c r="AM161" s="12">
        <f t="shared" si="47"/>
        <v>99.4</v>
      </c>
      <c r="AN161" s="12">
        <f t="shared" si="47"/>
        <v>16.900000000000002</v>
      </c>
      <c r="AO161" s="12">
        <f t="shared" si="47"/>
        <v>71</v>
      </c>
      <c r="AP161" s="12">
        <f t="shared" si="47"/>
        <v>56.2</v>
      </c>
      <c r="AQ161" s="12">
        <f t="shared" si="47"/>
        <v>24</v>
      </c>
      <c r="AR161" s="12">
        <f t="shared" si="47"/>
        <v>50.2</v>
      </c>
      <c r="AS161" s="12">
        <f t="shared" si="47"/>
        <v>84.1</v>
      </c>
      <c r="AT161" s="12">
        <f t="shared" si="47"/>
        <v>60.099999999999994</v>
      </c>
      <c r="AU161" s="12">
        <f t="shared" si="46"/>
        <v>68.400000000000006</v>
      </c>
      <c r="AV161" s="12">
        <f t="shared" si="48"/>
        <v>91.8</v>
      </c>
      <c r="AW161" s="12">
        <f t="shared" si="48"/>
        <v>87.4</v>
      </c>
      <c r="AX161" s="12">
        <f t="shared" si="43"/>
        <v>66.199999999999989</v>
      </c>
      <c r="AY161" s="9"/>
      <c r="AZ161" s="12">
        <f t="shared" si="49"/>
        <v>63.9</v>
      </c>
      <c r="BA161" s="12">
        <f t="shared" si="49"/>
        <v>28.4</v>
      </c>
      <c r="BB161" s="12">
        <f t="shared" si="49"/>
        <v>53</v>
      </c>
      <c r="BC161" s="12">
        <f t="shared" si="49"/>
        <v>92.800000000000011</v>
      </c>
      <c r="BD161" s="12">
        <f t="shared" si="49"/>
        <v>98.9</v>
      </c>
      <c r="BE161" s="12">
        <f t="shared" si="49"/>
        <v>87.4</v>
      </c>
      <c r="BF161" s="12">
        <f t="shared" si="49"/>
        <v>84.6</v>
      </c>
      <c r="BG161" s="12">
        <f t="shared" si="49"/>
        <v>98.9</v>
      </c>
      <c r="BH161" s="12">
        <f t="shared" si="49"/>
        <v>22.400000000000002</v>
      </c>
      <c r="BI161" s="12">
        <f t="shared" si="49"/>
        <v>61.7</v>
      </c>
    </row>
    <row r="162" spans="1:61" ht="15.75" customHeight="1" x14ac:dyDescent="0.25">
      <c r="A162" t="s">
        <v>281</v>
      </c>
      <c r="B162" s="3" t="s">
        <v>107</v>
      </c>
      <c r="C162" s="3" t="s">
        <v>8</v>
      </c>
      <c r="D162" s="3">
        <v>17</v>
      </c>
      <c r="E162" s="3">
        <v>220</v>
      </c>
      <c r="F162" s="3">
        <v>17</v>
      </c>
      <c r="G162" s="3">
        <v>220</v>
      </c>
      <c r="H162" s="3">
        <v>4.8</v>
      </c>
      <c r="I162" s="3">
        <v>0.41199999999999998</v>
      </c>
      <c r="J162" s="3">
        <v>0.41799999999999998</v>
      </c>
      <c r="K162" s="3">
        <v>0.72699999999999998</v>
      </c>
      <c r="L162" s="3">
        <v>3.5999999999999997E-2</v>
      </c>
      <c r="M162" s="3">
        <v>1</v>
      </c>
      <c r="N162" s="3">
        <v>5.8</v>
      </c>
      <c r="O162" s="3">
        <v>8.5</v>
      </c>
      <c r="P162" s="3">
        <v>1.8</v>
      </c>
      <c r="Q162" s="3">
        <v>0.4</v>
      </c>
      <c r="R162" s="3">
        <v>11.1</v>
      </c>
      <c r="S162" s="3">
        <v>12.6</v>
      </c>
      <c r="T162" s="3">
        <v>84</v>
      </c>
      <c r="U162" s="3">
        <v>114</v>
      </c>
      <c r="V162" s="3"/>
      <c r="W162" s="3">
        <v>-0.3</v>
      </c>
      <c r="X162" s="3">
        <v>0.1</v>
      </c>
      <c r="Y162" s="3">
        <v>-0.2</v>
      </c>
      <c r="Z162" s="3">
        <v>-3.4000000000000002E-2</v>
      </c>
      <c r="AA162" s="13">
        <f>(I162/TOTAL_BASIC!$D$301)*100</f>
        <v>73.384638836618748</v>
      </c>
      <c r="AB162" s="5">
        <f t="shared" si="36"/>
        <v>0.84</v>
      </c>
      <c r="AC162" s="3">
        <f t="shared" si="33"/>
        <v>-30</v>
      </c>
      <c r="AD162" s="9">
        <f t="shared" si="37"/>
        <v>0.82399999999999995</v>
      </c>
      <c r="AE162" s="16">
        <f t="shared" si="38"/>
        <v>0.67460317460317465</v>
      </c>
      <c r="AF162" s="16">
        <f t="shared" si="39"/>
        <v>0.76576576576576583</v>
      </c>
      <c r="AG162" s="9"/>
      <c r="AH162" s="9"/>
      <c r="AI162" s="12">
        <f t="shared" si="47"/>
        <v>9.8000000000000007</v>
      </c>
      <c r="AJ162" s="12">
        <f t="shared" si="47"/>
        <v>13.100000000000001</v>
      </c>
      <c r="AK162" s="12">
        <f t="shared" si="47"/>
        <v>2.1</v>
      </c>
      <c r="AL162" s="12">
        <f t="shared" si="47"/>
        <v>3.2</v>
      </c>
      <c r="AM162" s="12">
        <f t="shared" si="47"/>
        <v>7.6</v>
      </c>
      <c r="AN162" s="12">
        <f t="shared" si="47"/>
        <v>95.6</v>
      </c>
      <c r="AO162" s="12">
        <f t="shared" si="47"/>
        <v>0</v>
      </c>
      <c r="AP162" s="12">
        <f t="shared" si="47"/>
        <v>4.3</v>
      </c>
      <c r="AQ162" s="12">
        <f t="shared" si="47"/>
        <v>19.100000000000001</v>
      </c>
      <c r="AR162" s="12">
        <f t="shared" si="47"/>
        <v>19.600000000000001</v>
      </c>
      <c r="AS162" s="12">
        <f t="shared" si="47"/>
        <v>49.7</v>
      </c>
      <c r="AT162" s="12">
        <f t="shared" si="47"/>
        <v>14.2</v>
      </c>
      <c r="AU162" s="12">
        <f t="shared" si="46"/>
        <v>82</v>
      </c>
      <c r="AV162" s="12">
        <f t="shared" si="48"/>
        <v>8.1</v>
      </c>
      <c r="AW162" s="12">
        <f t="shared" si="48"/>
        <v>2.1</v>
      </c>
      <c r="AX162" s="12">
        <f t="shared" si="43"/>
        <v>25.700000000000003</v>
      </c>
      <c r="AY162" s="9"/>
      <c r="AZ162" s="12">
        <f t="shared" si="49"/>
        <v>10.9</v>
      </c>
      <c r="BA162" s="12">
        <f t="shared" si="49"/>
        <v>8.1</v>
      </c>
      <c r="BB162" s="12">
        <f t="shared" si="49"/>
        <v>6.5</v>
      </c>
      <c r="BC162" s="12">
        <f t="shared" si="49"/>
        <v>4.9000000000000004</v>
      </c>
      <c r="BD162" s="12">
        <f t="shared" si="49"/>
        <v>3.2</v>
      </c>
      <c r="BE162" s="12">
        <f t="shared" si="49"/>
        <v>2.1</v>
      </c>
      <c r="BF162" s="12">
        <f t="shared" si="49"/>
        <v>1</v>
      </c>
      <c r="BG162" s="12">
        <f t="shared" si="49"/>
        <v>3.2</v>
      </c>
      <c r="BH162" s="12">
        <f t="shared" si="49"/>
        <v>43.7</v>
      </c>
      <c r="BI162" s="12">
        <f t="shared" si="49"/>
        <v>30.599999999999998</v>
      </c>
    </row>
    <row r="163" spans="1:61" ht="15.75" customHeight="1" x14ac:dyDescent="0.25">
      <c r="A163" t="s">
        <v>242</v>
      </c>
      <c r="B163" s="3" t="s">
        <v>84</v>
      </c>
      <c r="C163" s="3" t="s">
        <v>85</v>
      </c>
      <c r="D163" s="3">
        <v>13</v>
      </c>
      <c r="E163" s="3">
        <v>218</v>
      </c>
      <c r="F163" s="3">
        <v>13</v>
      </c>
      <c r="G163" s="3">
        <v>218</v>
      </c>
      <c r="H163" s="3">
        <v>15.9</v>
      </c>
      <c r="I163" s="3">
        <v>0.60899999999999999</v>
      </c>
      <c r="J163" s="3">
        <v>0.56100000000000005</v>
      </c>
      <c r="K163" s="3">
        <v>0.53100000000000003</v>
      </c>
      <c r="L163" s="3">
        <v>0.29599999999999999</v>
      </c>
      <c r="M163" s="3">
        <v>2.9</v>
      </c>
      <c r="N163" s="3">
        <v>9.9</v>
      </c>
      <c r="O163" s="3">
        <v>20.100000000000001</v>
      </c>
      <c r="P163" s="3">
        <v>0.2</v>
      </c>
      <c r="Q163" s="3">
        <v>0.8</v>
      </c>
      <c r="R163" s="3">
        <v>16.600000000000001</v>
      </c>
      <c r="S163" s="3">
        <v>27.2</v>
      </c>
      <c r="T163" s="3">
        <v>110</v>
      </c>
      <c r="U163" s="3">
        <v>112</v>
      </c>
      <c r="V163" s="3"/>
      <c r="W163" s="3">
        <v>0.4</v>
      </c>
      <c r="X163" s="3">
        <v>0.2</v>
      </c>
      <c r="Y163" s="3">
        <v>0.6</v>
      </c>
      <c r="Z163" s="3">
        <v>0.10299999999999999</v>
      </c>
      <c r="AA163" s="13">
        <f>(I163/TOTAL_BASIC!$D$301)*100</f>
        <v>108.47389575606994</v>
      </c>
      <c r="AB163" s="5">
        <f t="shared" si="36"/>
        <v>1.1000000000000001</v>
      </c>
      <c r="AC163" s="3">
        <f t="shared" si="33"/>
        <v>-2</v>
      </c>
      <c r="AD163" s="9">
        <f t="shared" si="37"/>
        <v>1.218</v>
      </c>
      <c r="AE163" s="16">
        <f t="shared" si="38"/>
        <v>0.73897058823529416</v>
      </c>
      <c r="AF163" s="16">
        <f t="shared" si="39"/>
        <v>1.2108433734939759</v>
      </c>
      <c r="AG163" s="9"/>
      <c r="AH163" s="9"/>
      <c r="AI163" s="12">
        <f t="shared" si="47"/>
        <v>4.9000000000000004</v>
      </c>
      <c r="AJ163" s="12">
        <f t="shared" si="47"/>
        <v>12.5</v>
      </c>
      <c r="AK163" s="12">
        <f t="shared" si="47"/>
        <v>67.2</v>
      </c>
      <c r="AL163" s="12">
        <f t="shared" si="47"/>
        <v>82.5</v>
      </c>
      <c r="AM163" s="12">
        <f t="shared" si="47"/>
        <v>78.600000000000009</v>
      </c>
      <c r="AN163" s="12">
        <f t="shared" si="47"/>
        <v>77.5</v>
      </c>
      <c r="AO163" s="12">
        <f t="shared" si="47"/>
        <v>54.6</v>
      </c>
      <c r="AP163" s="12">
        <f t="shared" si="47"/>
        <v>32.200000000000003</v>
      </c>
      <c r="AQ163" s="12">
        <f t="shared" si="47"/>
        <v>58.4</v>
      </c>
      <c r="AR163" s="12">
        <f t="shared" si="47"/>
        <v>76.5</v>
      </c>
      <c r="AS163" s="12">
        <f t="shared" si="47"/>
        <v>0</v>
      </c>
      <c r="AT163" s="12">
        <f t="shared" si="47"/>
        <v>28.4</v>
      </c>
      <c r="AU163" s="12">
        <f t="shared" si="46"/>
        <v>35</v>
      </c>
      <c r="AV163" s="12">
        <f t="shared" si="48"/>
        <v>90.100000000000009</v>
      </c>
      <c r="AW163" s="12">
        <f t="shared" si="48"/>
        <v>60.099999999999994</v>
      </c>
      <c r="AX163" s="12">
        <f t="shared" si="43"/>
        <v>38.800000000000004</v>
      </c>
      <c r="AY163" s="9"/>
      <c r="AZ163" s="12">
        <f t="shared" si="49"/>
        <v>48.6</v>
      </c>
      <c r="BA163" s="12">
        <f t="shared" si="49"/>
        <v>19.600000000000001</v>
      </c>
      <c r="BB163" s="12">
        <f t="shared" si="49"/>
        <v>33.300000000000004</v>
      </c>
      <c r="BC163" s="12">
        <f t="shared" si="49"/>
        <v>65.5</v>
      </c>
      <c r="BD163" s="12">
        <f t="shared" si="49"/>
        <v>82.5</v>
      </c>
      <c r="BE163" s="12">
        <f t="shared" si="49"/>
        <v>60.099999999999994</v>
      </c>
      <c r="BF163" s="12">
        <f t="shared" si="49"/>
        <v>54</v>
      </c>
      <c r="BG163" s="12">
        <f t="shared" si="49"/>
        <v>82.5</v>
      </c>
      <c r="BH163" s="12">
        <f t="shared" si="49"/>
        <v>54.6</v>
      </c>
      <c r="BI163" s="12">
        <f t="shared" si="49"/>
        <v>67.7</v>
      </c>
    </row>
    <row r="164" spans="1:61" ht="15.75" customHeight="1" x14ac:dyDescent="0.25">
      <c r="A164" t="s">
        <v>279</v>
      </c>
      <c r="B164" s="3" t="s">
        <v>232</v>
      </c>
      <c r="C164" s="3" t="s">
        <v>8</v>
      </c>
      <c r="D164" s="3">
        <v>15</v>
      </c>
      <c r="E164" s="3">
        <v>210</v>
      </c>
      <c r="F164" s="3">
        <v>15</v>
      </c>
      <c r="G164" s="3">
        <v>210</v>
      </c>
      <c r="H164" s="3">
        <v>12.5</v>
      </c>
      <c r="I164" s="3">
        <v>0.54</v>
      </c>
      <c r="J164" s="3">
        <v>0.48299999999999998</v>
      </c>
      <c r="K164" s="3">
        <v>0.36199999999999999</v>
      </c>
      <c r="L164" s="3">
        <v>0.44800000000000001</v>
      </c>
      <c r="M164" s="3">
        <v>4.2</v>
      </c>
      <c r="N164" s="3">
        <v>7.8</v>
      </c>
      <c r="O164" s="3">
        <v>42.8</v>
      </c>
      <c r="P164" s="3">
        <v>2.7</v>
      </c>
      <c r="Q164" s="3">
        <v>0.5</v>
      </c>
      <c r="R164" s="3">
        <v>30.9</v>
      </c>
      <c r="S164" s="3">
        <v>21.5</v>
      </c>
      <c r="T164" s="3">
        <v>100</v>
      </c>
      <c r="U164" s="3">
        <v>115</v>
      </c>
      <c r="V164" s="3"/>
      <c r="W164" s="3">
        <v>0</v>
      </c>
      <c r="X164" s="3">
        <v>0.1</v>
      </c>
      <c r="Y164" s="3">
        <v>0.1</v>
      </c>
      <c r="Z164" s="3">
        <v>1.6E-2</v>
      </c>
      <c r="AA164" s="13">
        <f>(I164/TOTAL_BASIC!$D$301)*100</f>
        <v>96.183749931490595</v>
      </c>
      <c r="AB164" s="5">
        <f t="shared" si="36"/>
        <v>1</v>
      </c>
      <c r="AC164" s="3">
        <f t="shared" si="33"/>
        <v>-15</v>
      </c>
      <c r="AD164" s="9">
        <f t="shared" si="37"/>
        <v>1.08</v>
      </c>
      <c r="AE164" s="16">
        <f t="shared" si="38"/>
        <v>1.9906976744186045</v>
      </c>
      <c r="AF164" s="16">
        <f t="shared" si="39"/>
        <v>1.3851132686084142</v>
      </c>
      <c r="AG164" s="9"/>
      <c r="AH164" s="9"/>
      <c r="AI164" s="12">
        <f t="shared" si="47"/>
        <v>7.6</v>
      </c>
      <c r="AJ164" s="12">
        <f t="shared" si="47"/>
        <v>12</v>
      </c>
      <c r="AK164" s="12">
        <f t="shared" si="47"/>
        <v>46.9</v>
      </c>
      <c r="AL164" s="12">
        <f t="shared" si="47"/>
        <v>40.9</v>
      </c>
      <c r="AM164" s="12">
        <f t="shared" si="47"/>
        <v>33.800000000000004</v>
      </c>
      <c r="AN164" s="12">
        <f t="shared" si="47"/>
        <v>39.300000000000004</v>
      </c>
      <c r="AO164" s="12">
        <f t="shared" si="47"/>
        <v>85.2</v>
      </c>
      <c r="AP164" s="12">
        <f t="shared" si="47"/>
        <v>49.1</v>
      </c>
      <c r="AQ164" s="12">
        <f t="shared" si="47"/>
        <v>42</v>
      </c>
      <c r="AR164" s="12">
        <f t="shared" si="47"/>
        <v>98.9</v>
      </c>
      <c r="AS164" s="12">
        <f t="shared" si="47"/>
        <v>90.7</v>
      </c>
      <c r="AT164" s="12">
        <f t="shared" si="47"/>
        <v>16.3</v>
      </c>
      <c r="AU164" s="12">
        <f t="shared" si="46"/>
        <v>1.0999999999999943</v>
      </c>
      <c r="AV164" s="12">
        <f t="shared" si="48"/>
        <v>69.899999999999991</v>
      </c>
      <c r="AW164" s="12">
        <f t="shared" si="48"/>
        <v>23.400000000000002</v>
      </c>
      <c r="AX164" s="12">
        <f t="shared" si="43"/>
        <v>18.600000000000009</v>
      </c>
      <c r="AY164" s="9"/>
      <c r="AZ164" s="12">
        <f t="shared" si="49"/>
        <v>24.5</v>
      </c>
      <c r="BA164" s="12">
        <f t="shared" si="49"/>
        <v>8.1</v>
      </c>
      <c r="BB164" s="12">
        <f t="shared" si="49"/>
        <v>13.600000000000001</v>
      </c>
      <c r="BC164" s="12">
        <f t="shared" si="49"/>
        <v>16.900000000000002</v>
      </c>
      <c r="BD164" s="12">
        <f t="shared" si="49"/>
        <v>40.9</v>
      </c>
      <c r="BE164" s="12">
        <f t="shared" si="49"/>
        <v>23.400000000000002</v>
      </c>
      <c r="BF164" s="12">
        <f t="shared" si="49"/>
        <v>16.3</v>
      </c>
      <c r="BG164" s="12">
        <f t="shared" si="49"/>
        <v>40.9</v>
      </c>
      <c r="BH164" s="12">
        <f t="shared" si="49"/>
        <v>98.3</v>
      </c>
      <c r="BI164" s="12">
        <f t="shared" si="49"/>
        <v>74.8</v>
      </c>
    </row>
    <row r="165" spans="1:61" ht="15.75" customHeight="1" x14ac:dyDescent="0.25">
      <c r="A165" t="s">
        <v>207</v>
      </c>
      <c r="B165" s="3" t="s">
        <v>93</v>
      </c>
      <c r="C165" s="3" t="s">
        <v>88</v>
      </c>
      <c r="D165" s="3">
        <v>19</v>
      </c>
      <c r="E165" s="3">
        <v>202</v>
      </c>
      <c r="F165" s="3">
        <v>19</v>
      </c>
      <c r="G165" s="3">
        <v>202</v>
      </c>
      <c r="H165" s="3">
        <v>10.6</v>
      </c>
      <c r="I165" s="3">
        <v>0.435</v>
      </c>
      <c r="J165" s="3">
        <v>0.38800000000000001</v>
      </c>
      <c r="K165" s="3">
        <v>0.44800000000000001</v>
      </c>
      <c r="L165" s="3">
        <v>0.29299999999999998</v>
      </c>
      <c r="M165" s="3">
        <v>7.8</v>
      </c>
      <c r="N165" s="3">
        <v>13.6</v>
      </c>
      <c r="O165" s="3">
        <v>9.4</v>
      </c>
      <c r="P165" s="3">
        <v>2.5</v>
      </c>
      <c r="Q165" s="3">
        <v>6.8</v>
      </c>
      <c r="R165" s="3">
        <v>14.4</v>
      </c>
      <c r="S165" s="3">
        <v>17.2</v>
      </c>
      <c r="T165" s="3">
        <v>91</v>
      </c>
      <c r="U165" s="3">
        <v>105</v>
      </c>
      <c r="V165" s="3"/>
      <c r="W165" s="3">
        <v>-0.2</v>
      </c>
      <c r="X165" s="3">
        <v>0.4</v>
      </c>
      <c r="Y165" s="3">
        <v>0.1</v>
      </c>
      <c r="Z165" s="3">
        <v>2.5000000000000001E-2</v>
      </c>
      <c r="AA165" s="13">
        <f>(I165/TOTAL_BASIC!$D$301)*100</f>
        <v>77.481354111478524</v>
      </c>
      <c r="AB165" s="5">
        <f t="shared" si="36"/>
        <v>0.91</v>
      </c>
      <c r="AC165" s="3">
        <f t="shared" ref="AC165:AC180" si="50">T165-U165</f>
        <v>-14</v>
      </c>
      <c r="AD165" s="9">
        <f t="shared" si="37"/>
        <v>0.87</v>
      </c>
      <c r="AE165" s="16">
        <f t="shared" si="38"/>
        <v>0.54651162790697683</v>
      </c>
      <c r="AF165" s="16">
        <f t="shared" si="39"/>
        <v>0.65277777777777779</v>
      </c>
      <c r="AG165" s="9"/>
      <c r="AH165" s="9"/>
      <c r="AI165" s="12">
        <f t="shared" si="47"/>
        <v>14.2</v>
      </c>
      <c r="AJ165" s="12">
        <f t="shared" si="47"/>
        <v>11.4</v>
      </c>
      <c r="AK165" s="12">
        <f t="shared" si="47"/>
        <v>33.800000000000004</v>
      </c>
      <c r="AL165" s="12">
        <f t="shared" si="47"/>
        <v>4.3</v>
      </c>
      <c r="AM165" s="12">
        <f t="shared" si="47"/>
        <v>3.2</v>
      </c>
      <c r="AN165" s="12">
        <f t="shared" si="47"/>
        <v>59.5</v>
      </c>
      <c r="AO165" s="12">
        <f t="shared" si="47"/>
        <v>54</v>
      </c>
      <c r="AP165" s="12">
        <f t="shared" si="47"/>
        <v>77.5</v>
      </c>
      <c r="AQ165" s="12">
        <f t="shared" si="47"/>
        <v>78.600000000000009</v>
      </c>
      <c r="AR165" s="12">
        <f t="shared" si="47"/>
        <v>26.200000000000003</v>
      </c>
      <c r="AS165" s="12">
        <f t="shared" si="47"/>
        <v>84.1</v>
      </c>
      <c r="AT165" s="12">
        <f t="shared" si="47"/>
        <v>97.8</v>
      </c>
      <c r="AU165" s="12">
        <f t="shared" si="46"/>
        <v>54.699999999999996</v>
      </c>
      <c r="AV165" s="12">
        <f t="shared" si="48"/>
        <v>36</v>
      </c>
      <c r="AW165" s="12">
        <f t="shared" si="48"/>
        <v>7.1</v>
      </c>
      <c r="AX165" s="12">
        <f t="shared" si="43"/>
        <v>85.8</v>
      </c>
      <c r="AY165" s="9"/>
      <c r="AZ165" s="12">
        <f t="shared" si="49"/>
        <v>15.8</v>
      </c>
      <c r="BA165" s="12">
        <f t="shared" si="49"/>
        <v>34.4</v>
      </c>
      <c r="BB165" s="12">
        <f t="shared" si="49"/>
        <v>13.600000000000001</v>
      </c>
      <c r="BC165" s="12">
        <f t="shared" si="49"/>
        <v>19.600000000000001</v>
      </c>
      <c r="BD165" s="12">
        <f t="shared" si="49"/>
        <v>4.3</v>
      </c>
      <c r="BE165" s="12">
        <f t="shared" si="49"/>
        <v>7.1</v>
      </c>
      <c r="BF165" s="12">
        <f t="shared" si="49"/>
        <v>17.399999999999999</v>
      </c>
      <c r="BG165" s="12">
        <f t="shared" si="49"/>
        <v>4.3</v>
      </c>
      <c r="BH165" s="12">
        <f t="shared" si="49"/>
        <v>25.6</v>
      </c>
      <c r="BI165" s="12">
        <f t="shared" si="49"/>
        <v>22.900000000000002</v>
      </c>
    </row>
    <row r="166" spans="1:61" ht="15.75" customHeight="1" x14ac:dyDescent="0.25">
      <c r="A166" t="s">
        <v>271</v>
      </c>
      <c r="B166" s="3" t="s">
        <v>117</v>
      </c>
      <c r="C166" s="3" t="s">
        <v>8</v>
      </c>
      <c r="D166" s="3">
        <v>13</v>
      </c>
      <c r="E166" s="3">
        <v>200</v>
      </c>
      <c r="F166" s="3">
        <v>13</v>
      </c>
      <c r="G166" s="3">
        <v>200</v>
      </c>
      <c r="H166" s="3">
        <v>3</v>
      </c>
      <c r="I166" s="3">
        <v>0.371</v>
      </c>
      <c r="J166" s="3">
        <v>0.36299999999999999</v>
      </c>
      <c r="K166" s="3">
        <v>0.48399999999999999</v>
      </c>
      <c r="L166" s="3">
        <v>9.7000000000000003E-2</v>
      </c>
      <c r="M166" s="3">
        <v>0</v>
      </c>
      <c r="N166" s="3">
        <v>5.7</v>
      </c>
      <c r="O166" s="3">
        <v>17.7</v>
      </c>
      <c r="P166" s="3">
        <v>0.8</v>
      </c>
      <c r="Q166" s="3">
        <v>0.9</v>
      </c>
      <c r="R166" s="3">
        <v>18.8</v>
      </c>
      <c r="S166" s="3">
        <v>18</v>
      </c>
      <c r="T166" s="3">
        <v>77</v>
      </c>
      <c r="U166" s="3">
        <v>112</v>
      </c>
      <c r="V166" s="3"/>
      <c r="W166" s="3">
        <v>-0.6</v>
      </c>
      <c r="X166" s="3">
        <v>0.2</v>
      </c>
      <c r="Y166" s="3">
        <v>-0.4</v>
      </c>
      <c r="Z166" s="3">
        <v>-8.6999999999999994E-2</v>
      </c>
      <c r="AA166" s="13">
        <f>(I166/TOTAL_BASIC!$D$301)*100</f>
        <v>66.0817985640426</v>
      </c>
      <c r="AB166" s="5">
        <f t="shared" si="36"/>
        <v>0.77</v>
      </c>
      <c r="AC166" s="3">
        <f t="shared" si="50"/>
        <v>-35</v>
      </c>
      <c r="AD166" s="9">
        <f t="shared" si="37"/>
        <v>0.74199999999999999</v>
      </c>
      <c r="AE166" s="16">
        <f t="shared" si="38"/>
        <v>0.98333333333333328</v>
      </c>
      <c r="AF166" s="16">
        <f t="shared" si="39"/>
        <v>0.9414893617021276</v>
      </c>
      <c r="AG166" s="9"/>
      <c r="AH166" s="9"/>
      <c r="AI166" s="12">
        <f t="shared" si="47"/>
        <v>4.9000000000000004</v>
      </c>
      <c r="AJ166" s="12">
        <f t="shared" si="47"/>
        <v>10.9</v>
      </c>
      <c r="AK166" s="12">
        <f t="shared" si="47"/>
        <v>1</v>
      </c>
      <c r="AL166" s="12">
        <f t="shared" si="47"/>
        <v>1</v>
      </c>
      <c r="AM166" s="12">
        <f t="shared" si="47"/>
        <v>1.6</v>
      </c>
      <c r="AN166" s="12">
        <f t="shared" si="47"/>
        <v>65</v>
      </c>
      <c r="AO166" s="12">
        <f t="shared" si="47"/>
        <v>6</v>
      </c>
      <c r="AP166" s="12">
        <f t="shared" si="47"/>
        <v>0</v>
      </c>
      <c r="AQ166" s="12">
        <f t="shared" si="47"/>
        <v>17.399999999999999</v>
      </c>
      <c r="AR166" s="12">
        <f t="shared" si="47"/>
        <v>68.8</v>
      </c>
      <c r="AS166" s="12">
        <f t="shared" si="47"/>
        <v>4.9000000000000004</v>
      </c>
      <c r="AT166" s="12">
        <f t="shared" si="47"/>
        <v>34.4</v>
      </c>
      <c r="AU166" s="12">
        <f t="shared" si="46"/>
        <v>19.199999999999989</v>
      </c>
      <c r="AV166" s="12">
        <f t="shared" si="48"/>
        <v>46.9</v>
      </c>
      <c r="AW166" s="12">
        <f t="shared" si="48"/>
        <v>0.5</v>
      </c>
      <c r="AX166" s="12">
        <f t="shared" si="43"/>
        <v>38.800000000000004</v>
      </c>
      <c r="AY166" s="9"/>
      <c r="AZ166" s="12">
        <f t="shared" si="49"/>
        <v>4.9000000000000004</v>
      </c>
      <c r="BA166" s="12">
        <f t="shared" si="49"/>
        <v>19.600000000000001</v>
      </c>
      <c r="BB166" s="12">
        <f t="shared" si="49"/>
        <v>2.7</v>
      </c>
      <c r="BC166" s="12">
        <f t="shared" si="49"/>
        <v>1</v>
      </c>
      <c r="BD166" s="12">
        <f t="shared" si="49"/>
        <v>1</v>
      </c>
      <c r="BE166" s="12">
        <f t="shared" si="49"/>
        <v>0.5</v>
      </c>
      <c r="BF166" s="12">
        <f t="shared" si="49"/>
        <v>0.5</v>
      </c>
      <c r="BG166" s="12">
        <f t="shared" si="49"/>
        <v>1</v>
      </c>
      <c r="BH166" s="12">
        <f t="shared" si="49"/>
        <v>71.5</v>
      </c>
      <c r="BI166" s="12">
        <f t="shared" si="49"/>
        <v>44.2</v>
      </c>
    </row>
    <row r="167" spans="1:61" ht="15.75" customHeight="1" x14ac:dyDescent="0.25">
      <c r="A167" t="s">
        <v>280</v>
      </c>
      <c r="B167" s="3" t="s">
        <v>117</v>
      </c>
      <c r="C167" s="3" t="s">
        <v>8</v>
      </c>
      <c r="D167" s="3">
        <v>12</v>
      </c>
      <c r="E167" s="3">
        <v>188</v>
      </c>
      <c r="F167" s="3">
        <v>12</v>
      </c>
      <c r="G167" s="3">
        <v>188</v>
      </c>
      <c r="H167" s="3">
        <v>12.5</v>
      </c>
      <c r="I167" s="3">
        <v>0.56000000000000005</v>
      </c>
      <c r="J167" s="3">
        <v>0.51800000000000002</v>
      </c>
      <c r="K167" s="3">
        <v>0.69099999999999995</v>
      </c>
      <c r="L167" s="3">
        <v>0.16400000000000001</v>
      </c>
      <c r="M167" s="3">
        <v>2</v>
      </c>
      <c r="N167" s="3">
        <v>4.5</v>
      </c>
      <c r="O167" s="3">
        <v>14.3</v>
      </c>
      <c r="P167" s="3">
        <v>2.4</v>
      </c>
      <c r="Q167" s="3">
        <v>0</v>
      </c>
      <c r="R167" s="3">
        <v>9.1999999999999993</v>
      </c>
      <c r="S167" s="3">
        <v>15.6</v>
      </c>
      <c r="T167" s="3">
        <v>116</v>
      </c>
      <c r="U167" s="3">
        <v>110</v>
      </c>
      <c r="V167" s="3"/>
      <c r="W167" s="3">
        <v>0.3</v>
      </c>
      <c r="X167" s="3">
        <v>0.2</v>
      </c>
      <c r="Y167" s="3">
        <v>0.5</v>
      </c>
      <c r="Z167" s="3">
        <v>0.111</v>
      </c>
      <c r="AA167" s="13">
        <f>(I167/TOTAL_BASIC!$D$301)*100</f>
        <v>99.746111040064321</v>
      </c>
      <c r="AB167" s="5">
        <f t="shared" si="36"/>
        <v>1.1599999999999999</v>
      </c>
      <c r="AC167" s="3">
        <f t="shared" si="50"/>
        <v>6</v>
      </c>
      <c r="AD167" s="9">
        <f t="shared" si="37"/>
        <v>1.1200000000000001</v>
      </c>
      <c r="AE167" s="16">
        <f t="shared" si="38"/>
        <v>0.91666666666666674</v>
      </c>
      <c r="AF167" s="16">
        <f t="shared" si="39"/>
        <v>1.5543478260869568</v>
      </c>
      <c r="AG167" s="9"/>
      <c r="AH167" s="9"/>
      <c r="AI167" s="12">
        <f t="shared" si="47"/>
        <v>3.8</v>
      </c>
      <c r="AJ167" s="12">
        <f t="shared" si="47"/>
        <v>10.299999999999999</v>
      </c>
      <c r="AK167" s="12">
        <f t="shared" si="47"/>
        <v>46.9</v>
      </c>
      <c r="AL167" s="12">
        <f t="shared" si="47"/>
        <v>54.6</v>
      </c>
      <c r="AM167" s="12">
        <f t="shared" si="47"/>
        <v>53.5</v>
      </c>
      <c r="AN167" s="12">
        <f t="shared" si="47"/>
        <v>92.300000000000011</v>
      </c>
      <c r="AO167" s="12">
        <f t="shared" si="47"/>
        <v>16.900000000000002</v>
      </c>
      <c r="AP167" s="12">
        <f t="shared" si="47"/>
        <v>15.299999999999999</v>
      </c>
      <c r="AQ167" s="12">
        <f t="shared" si="47"/>
        <v>8.1</v>
      </c>
      <c r="AR167" s="12">
        <f t="shared" si="47"/>
        <v>54.6</v>
      </c>
      <c r="AS167" s="12">
        <f t="shared" si="47"/>
        <v>79.7</v>
      </c>
      <c r="AT167" s="12">
        <f t="shared" si="47"/>
        <v>0</v>
      </c>
      <c r="AU167" s="12">
        <f t="shared" si="46"/>
        <v>89.7</v>
      </c>
      <c r="AV167" s="12">
        <f t="shared" si="48"/>
        <v>21.8</v>
      </c>
      <c r="AW167" s="12">
        <f t="shared" si="48"/>
        <v>75.900000000000006</v>
      </c>
      <c r="AX167" s="12">
        <f t="shared" si="43"/>
        <v>56.3</v>
      </c>
      <c r="AY167" s="9"/>
      <c r="AZ167" s="12">
        <f t="shared" si="49"/>
        <v>42</v>
      </c>
      <c r="BA167" s="12">
        <f t="shared" si="49"/>
        <v>19.600000000000001</v>
      </c>
      <c r="BB167" s="12">
        <f t="shared" si="49"/>
        <v>30.599999999999998</v>
      </c>
      <c r="BC167" s="12">
        <f t="shared" si="49"/>
        <v>68.8</v>
      </c>
      <c r="BD167" s="12">
        <f t="shared" si="49"/>
        <v>54.6</v>
      </c>
      <c r="BE167" s="12">
        <f t="shared" si="49"/>
        <v>75.900000000000006</v>
      </c>
      <c r="BF167" s="12">
        <f t="shared" si="49"/>
        <v>72.599999999999994</v>
      </c>
      <c r="BG167" s="12">
        <f t="shared" si="49"/>
        <v>54.6</v>
      </c>
      <c r="BH167" s="12">
        <f t="shared" si="49"/>
        <v>67.2</v>
      </c>
      <c r="BI167" s="12">
        <f t="shared" si="49"/>
        <v>81.399999999999991</v>
      </c>
    </row>
    <row r="168" spans="1:61" ht="15.75" customHeight="1" x14ac:dyDescent="0.25">
      <c r="A168" t="s">
        <v>276</v>
      </c>
      <c r="B168" s="3" t="s">
        <v>131</v>
      </c>
      <c r="C168" s="3" t="s">
        <v>94</v>
      </c>
      <c r="D168" s="3">
        <v>11</v>
      </c>
      <c r="E168" s="3">
        <v>178</v>
      </c>
      <c r="F168" s="3">
        <v>11</v>
      </c>
      <c r="G168" s="3">
        <v>178</v>
      </c>
      <c r="H168" s="3">
        <v>10</v>
      </c>
      <c r="I168" s="3">
        <v>0.438</v>
      </c>
      <c r="J168" s="3">
        <v>0.36699999999999999</v>
      </c>
      <c r="K168" s="3">
        <v>0.26600000000000001</v>
      </c>
      <c r="L168" s="3">
        <v>0.40400000000000003</v>
      </c>
      <c r="M168" s="3">
        <v>3.2</v>
      </c>
      <c r="N168" s="3">
        <v>11</v>
      </c>
      <c r="O168" s="3">
        <v>6.7</v>
      </c>
      <c r="P168" s="3">
        <v>1.9</v>
      </c>
      <c r="Q168" s="3">
        <v>1</v>
      </c>
      <c r="R168" s="3">
        <v>7.5</v>
      </c>
      <c r="S168" s="3">
        <v>29.2</v>
      </c>
      <c r="T168" s="3">
        <v>89</v>
      </c>
      <c r="U168" s="3">
        <v>109</v>
      </c>
      <c r="V168" s="3"/>
      <c r="W168" s="3">
        <v>-0.4</v>
      </c>
      <c r="X168" s="3">
        <v>0.2</v>
      </c>
      <c r="Y168" s="3">
        <v>-0.2</v>
      </c>
      <c r="Z168" s="3">
        <v>-4.2000000000000003E-2</v>
      </c>
      <c r="AA168" s="13">
        <f>(I168/TOTAL_BASIC!$D$301)*100</f>
        <v>78.015708277764588</v>
      </c>
      <c r="AB168" s="5">
        <f t="shared" si="36"/>
        <v>0.89</v>
      </c>
      <c r="AC168" s="3">
        <f t="shared" si="50"/>
        <v>-20</v>
      </c>
      <c r="AD168" s="9">
        <f t="shared" si="37"/>
        <v>0.876</v>
      </c>
      <c r="AE168" s="16">
        <f t="shared" si="38"/>
        <v>0.22945205479452055</v>
      </c>
      <c r="AF168" s="16">
        <f t="shared" si="39"/>
        <v>0.89333333333333331</v>
      </c>
      <c r="AG168" s="9"/>
      <c r="AH168" s="9"/>
      <c r="AI168" s="12">
        <f t="shared" si="47"/>
        <v>3.2</v>
      </c>
      <c r="AJ168" s="12">
        <f t="shared" si="47"/>
        <v>9.1999999999999993</v>
      </c>
      <c r="AK168" s="12">
        <f t="shared" si="47"/>
        <v>27.800000000000004</v>
      </c>
      <c r="AL168" s="12">
        <f t="shared" si="47"/>
        <v>4.9000000000000004</v>
      </c>
      <c r="AM168" s="12">
        <f t="shared" si="47"/>
        <v>2.7</v>
      </c>
      <c r="AN168" s="12">
        <f t="shared" si="47"/>
        <v>25.1</v>
      </c>
      <c r="AO168" s="12">
        <f t="shared" si="47"/>
        <v>78.100000000000009</v>
      </c>
      <c r="AP168" s="12">
        <f t="shared" si="47"/>
        <v>37.1</v>
      </c>
      <c r="AQ168" s="12">
        <f t="shared" si="47"/>
        <v>65</v>
      </c>
      <c r="AR168" s="12">
        <f t="shared" si="47"/>
        <v>6.5</v>
      </c>
      <c r="AS168" s="12">
        <f t="shared" si="47"/>
        <v>57.9</v>
      </c>
      <c r="AT168" s="12">
        <f t="shared" si="47"/>
        <v>40.9</v>
      </c>
      <c r="AU168" s="12">
        <f t="shared" si="46"/>
        <v>96.8</v>
      </c>
      <c r="AV168" s="12">
        <f t="shared" si="48"/>
        <v>96.7</v>
      </c>
      <c r="AW168" s="12">
        <f t="shared" si="48"/>
        <v>4.9000000000000004</v>
      </c>
      <c r="AX168" s="12">
        <f t="shared" si="43"/>
        <v>66.199999999999989</v>
      </c>
      <c r="AY168" s="9"/>
      <c r="AZ168" s="12">
        <f t="shared" si="49"/>
        <v>6.5</v>
      </c>
      <c r="BA168" s="12">
        <f t="shared" si="49"/>
        <v>19.600000000000001</v>
      </c>
      <c r="BB168" s="12">
        <f t="shared" si="49"/>
        <v>6.5</v>
      </c>
      <c r="BC168" s="12">
        <f t="shared" si="49"/>
        <v>3.8</v>
      </c>
      <c r="BD168" s="12">
        <f t="shared" si="49"/>
        <v>4.9000000000000004</v>
      </c>
      <c r="BE168" s="12">
        <f t="shared" si="49"/>
        <v>4.9000000000000004</v>
      </c>
      <c r="BF168" s="12">
        <f t="shared" si="49"/>
        <v>7.6</v>
      </c>
      <c r="BG168" s="12">
        <f t="shared" si="49"/>
        <v>4.9000000000000004</v>
      </c>
      <c r="BH168" s="12">
        <f t="shared" si="49"/>
        <v>0.5</v>
      </c>
      <c r="BI168" s="12">
        <f t="shared" si="49"/>
        <v>40.9</v>
      </c>
    </row>
    <row r="169" spans="1:61" ht="15.75" customHeight="1" x14ac:dyDescent="0.25">
      <c r="A169" t="s">
        <v>260</v>
      </c>
      <c r="B169" s="3" t="s">
        <v>161</v>
      </c>
      <c r="C169" s="3" t="s">
        <v>8</v>
      </c>
      <c r="D169" s="3">
        <v>19</v>
      </c>
      <c r="E169" s="3">
        <v>178</v>
      </c>
      <c r="F169" s="3">
        <v>19</v>
      </c>
      <c r="G169" s="3">
        <v>178</v>
      </c>
      <c r="H169" s="3">
        <v>6.2</v>
      </c>
      <c r="I169" s="3">
        <v>0.47699999999999998</v>
      </c>
      <c r="J169" s="3">
        <v>0.41799999999999998</v>
      </c>
      <c r="K169" s="3">
        <v>0.47299999999999998</v>
      </c>
      <c r="L169" s="3">
        <v>0.32700000000000001</v>
      </c>
      <c r="M169" s="3">
        <v>4.0999999999999996</v>
      </c>
      <c r="N169" s="3">
        <v>5.4</v>
      </c>
      <c r="O169" s="3">
        <v>19.5</v>
      </c>
      <c r="P169" s="3">
        <v>1.1000000000000001</v>
      </c>
      <c r="Q169" s="3">
        <v>0</v>
      </c>
      <c r="R169" s="3">
        <v>18.2</v>
      </c>
      <c r="S169" s="3">
        <v>19.100000000000001</v>
      </c>
      <c r="T169" s="3">
        <v>96</v>
      </c>
      <c r="U169" s="3">
        <v>123</v>
      </c>
      <c r="V169" s="3"/>
      <c r="W169" s="3">
        <v>-0.1</v>
      </c>
      <c r="X169" s="3">
        <v>-0.1</v>
      </c>
      <c r="Y169" s="3">
        <v>-0.2</v>
      </c>
      <c r="Z169" s="3">
        <v>-5.0999999999999997E-2</v>
      </c>
      <c r="AA169" s="13">
        <f>(I169/TOTAL_BASIC!$D$301)*100</f>
        <v>84.962312439483341</v>
      </c>
      <c r="AB169" s="5">
        <f t="shared" si="36"/>
        <v>0.96</v>
      </c>
      <c r="AC169" s="3">
        <f t="shared" si="50"/>
        <v>-27</v>
      </c>
      <c r="AD169" s="9">
        <f t="shared" si="37"/>
        <v>0.95399999999999996</v>
      </c>
      <c r="AE169" s="16">
        <f t="shared" si="38"/>
        <v>1.0209424083769634</v>
      </c>
      <c r="AF169" s="16">
        <f t="shared" si="39"/>
        <v>1.0714285714285714</v>
      </c>
      <c r="AG169" s="9"/>
      <c r="AH169" s="9"/>
      <c r="AI169" s="12">
        <f t="shared" si="47"/>
        <v>14.2</v>
      </c>
      <c r="AJ169" s="12">
        <f t="shared" si="47"/>
        <v>9.1999999999999993</v>
      </c>
      <c r="AK169" s="12">
        <f t="shared" si="47"/>
        <v>4.9000000000000004</v>
      </c>
      <c r="AL169" s="12">
        <f t="shared" si="47"/>
        <v>11.4</v>
      </c>
      <c r="AM169" s="12">
        <f t="shared" si="47"/>
        <v>7.6</v>
      </c>
      <c r="AN169" s="12">
        <f t="shared" si="47"/>
        <v>62.2</v>
      </c>
      <c r="AO169" s="12">
        <f t="shared" si="47"/>
        <v>60.6</v>
      </c>
      <c r="AP169" s="12">
        <f t="shared" si="47"/>
        <v>47.5</v>
      </c>
      <c r="AQ169" s="12">
        <f t="shared" si="47"/>
        <v>16.900000000000002</v>
      </c>
      <c r="AR169" s="12">
        <f t="shared" si="47"/>
        <v>73.7</v>
      </c>
      <c r="AS169" s="12">
        <f t="shared" si="47"/>
        <v>14.7</v>
      </c>
      <c r="AT169" s="12">
        <f t="shared" si="47"/>
        <v>0</v>
      </c>
      <c r="AU169" s="12">
        <f t="shared" si="46"/>
        <v>23</v>
      </c>
      <c r="AV169" s="12">
        <f t="shared" si="48"/>
        <v>55.1</v>
      </c>
      <c r="AW169" s="12">
        <f t="shared" si="48"/>
        <v>13.100000000000001</v>
      </c>
      <c r="AX169" s="12">
        <f t="shared" si="43"/>
        <v>0.59999999999999432</v>
      </c>
      <c r="AY169" s="9"/>
      <c r="AZ169" s="12">
        <f t="shared" si="49"/>
        <v>20.7</v>
      </c>
      <c r="BA169" s="12">
        <f t="shared" si="49"/>
        <v>2.7</v>
      </c>
      <c r="BB169" s="12">
        <f t="shared" si="49"/>
        <v>6.5</v>
      </c>
      <c r="BC169" s="12">
        <f t="shared" si="49"/>
        <v>2.1</v>
      </c>
      <c r="BD169" s="12">
        <f t="shared" si="49"/>
        <v>11.4</v>
      </c>
      <c r="BE169" s="12">
        <f t="shared" si="49"/>
        <v>13.100000000000001</v>
      </c>
      <c r="BF169" s="12">
        <f t="shared" si="49"/>
        <v>3.2</v>
      </c>
      <c r="BG169" s="12">
        <f t="shared" si="49"/>
        <v>11.4</v>
      </c>
      <c r="BH169" s="12">
        <f t="shared" si="49"/>
        <v>73.7</v>
      </c>
      <c r="BI169" s="12">
        <f t="shared" si="49"/>
        <v>60.099999999999994</v>
      </c>
    </row>
    <row r="170" spans="1:61" ht="15.75" customHeight="1" x14ac:dyDescent="0.25">
      <c r="A170" t="s">
        <v>261</v>
      </c>
      <c r="B170" s="3" t="s">
        <v>128</v>
      </c>
      <c r="C170" s="3" t="s">
        <v>85</v>
      </c>
      <c r="D170" s="3">
        <v>34</v>
      </c>
      <c r="E170" s="3">
        <v>173</v>
      </c>
      <c r="F170" s="3">
        <v>34</v>
      </c>
      <c r="G170" s="3">
        <v>173</v>
      </c>
      <c r="H170" s="3">
        <v>6.3</v>
      </c>
      <c r="I170" s="3">
        <v>0.44800000000000001</v>
      </c>
      <c r="J170" s="3">
        <v>0.39300000000000002</v>
      </c>
      <c r="K170" s="3">
        <v>0.47499999999999998</v>
      </c>
      <c r="L170" s="3">
        <v>0.34399999999999997</v>
      </c>
      <c r="M170" s="3">
        <v>9.3000000000000007</v>
      </c>
      <c r="N170" s="3">
        <v>12.6</v>
      </c>
      <c r="O170" s="3">
        <v>6.1</v>
      </c>
      <c r="P170" s="3">
        <v>0.6</v>
      </c>
      <c r="Q170" s="3">
        <v>0</v>
      </c>
      <c r="R170" s="3">
        <v>11.4</v>
      </c>
      <c r="S170" s="3">
        <v>19.399999999999999</v>
      </c>
      <c r="T170" s="3">
        <v>98</v>
      </c>
      <c r="U170" s="3">
        <v>110</v>
      </c>
      <c r="V170" s="3"/>
      <c r="W170" s="3">
        <v>-0.1</v>
      </c>
      <c r="X170" s="3">
        <v>0.2</v>
      </c>
      <c r="Y170" s="3">
        <v>0.1</v>
      </c>
      <c r="Z170" s="3">
        <v>3.2000000000000001E-2</v>
      </c>
      <c r="AA170" s="13">
        <f>(I170/TOTAL_BASIC!$D$301)*100</f>
        <v>79.796888832051451</v>
      </c>
      <c r="AB170" s="5">
        <f t="shared" si="36"/>
        <v>0.98</v>
      </c>
      <c r="AC170" s="3">
        <f t="shared" si="50"/>
        <v>-12</v>
      </c>
      <c r="AD170" s="9">
        <f t="shared" si="37"/>
        <v>0.89600000000000002</v>
      </c>
      <c r="AE170" s="16">
        <f t="shared" si="38"/>
        <v>0.31443298969072164</v>
      </c>
      <c r="AF170" s="16">
        <f t="shared" si="39"/>
        <v>0.53508771929824561</v>
      </c>
      <c r="AG170" s="9"/>
      <c r="AH170" s="9"/>
      <c r="AI170" s="12">
        <f t="shared" si="47"/>
        <v>39.300000000000004</v>
      </c>
      <c r="AJ170" s="12">
        <f t="shared" si="47"/>
        <v>8.6999999999999993</v>
      </c>
      <c r="AK170" s="12">
        <f t="shared" si="47"/>
        <v>5.4</v>
      </c>
      <c r="AL170" s="12">
        <f t="shared" si="47"/>
        <v>6.5</v>
      </c>
      <c r="AM170" s="12">
        <f t="shared" si="47"/>
        <v>4.9000000000000004</v>
      </c>
      <c r="AN170" s="12">
        <f t="shared" si="47"/>
        <v>62.8</v>
      </c>
      <c r="AO170" s="12">
        <f t="shared" si="47"/>
        <v>66.100000000000009</v>
      </c>
      <c r="AP170" s="12">
        <f t="shared" si="47"/>
        <v>87.9</v>
      </c>
      <c r="AQ170" s="12">
        <f t="shared" si="47"/>
        <v>75.400000000000006</v>
      </c>
      <c r="AR170" s="12">
        <f t="shared" si="47"/>
        <v>5.4</v>
      </c>
      <c r="AS170" s="12">
        <f t="shared" si="47"/>
        <v>2.1</v>
      </c>
      <c r="AT170" s="12">
        <f t="shared" si="47"/>
        <v>0</v>
      </c>
      <c r="AU170" s="12">
        <f t="shared" si="46"/>
        <v>78.2</v>
      </c>
      <c r="AV170" s="12">
        <f t="shared" si="48"/>
        <v>56.2</v>
      </c>
      <c r="AW170" s="12">
        <f t="shared" si="48"/>
        <v>18</v>
      </c>
      <c r="AX170" s="12">
        <f t="shared" si="43"/>
        <v>56.3</v>
      </c>
      <c r="AY170" s="9"/>
      <c r="AZ170" s="12">
        <f t="shared" si="49"/>
        <v>20.7</v>
      </c>
      <c r="BA170" s="12">
        <f t="shared" si="49"/>
        <v>19.600000000000001</v>
      </c>
      <c r="BB170" s="12">
        <f t="shared" si="49"/>
        <v>13.600000000000001</v>
      </c>
      <c r="BC170" s="12">
        <f t="shared" si="49"/>
        <v>25.1</v>
      </c>
      <c r="BD170" s="12">
        <f t="shared" si="49"/>
        <v>6.5</v>
      </c>
      <c r="BE170" s="12">
        <f t="shared" si="49"/>
        <v>18</v>
      </c>
      <c r="BF170" s="12">
        <f t="shared" si="49"/>
        <v>22.400000000000002</v>
      </c>
      <c r="BG170" s="12">
        <f t="shared" si="49"/>
        <v>6.5</v>
      </c>
      <c r="BH170" s="12">
        <f t="shared" si="49"/>
        <v>2.1</v>
      </c>
      <c r="BI170" s="12">
        <f t="shared" si="49"/>
        <v>14.2</v>
      </c>
    </row>
    <row r="171" spans="1:61" ht="15.75" customHeight="1" x14ac:dyDescent="0.25">
      <c r="A171" t="s">
        <v>284</v>
      </c>
      <c r="B171" s="3" t="s">
        <v>161</v>
      </c>
      <c r="C171" s="3" t="s">
        <v>85</v>
      </c>
      <c r="D171" s="3">
        <v>12</v>
      </c>
      <c r="E171" s="3">
        <v>168</v>
      </c>
      <c r="F171" s="3">
        <v>12</v>
      </c>
      <c r="G171" s="3">
        <v>168</v>
      </c>
      <c r="H171" s="3">
        <v>7.8</v>
      </c>
      <c r="I171" s="3">
        <v>0.627</v>
      </c>
      <c r="J171" s="3">
        <v>0.58899999999999997</v>
      </c>
      <c r="K171" s="3">
        <v>0.39300000000000002</v>
      </c>
      <c r="L171" s="3">
        <v>0.25</v>
      </c>
      <c r="M171" s="3">
        <v>7.2</v>
      </c>
      <c r="N171" s="3">
        <v>8.3000000000000007</v>
      </c>
      <c r="O171" s="3">
        <v>11.8</v>
      </c>
      <c r="P171" s="3">
        <v>0.6</v>
      </c>
      <c r="Q171" s="3">
        <v>0</v>
      </c>
      <c r="R171" s="3">
        <v>11.4</v>
      </c>
      <c r="S171" s="3">
        <v>9.1999999999999993</v>
      </c>
      <c r="T171" s="3">
        <v>133</v>
      </c>
      <c r="U171" s="3">
        <v>123</v>
      </c>
      <c r="V171" s="3"/>
      <c r="W171" s="3">
        <v>0.4</v>
      </c>
      <c r="X171" s="3">
        <v>-0.1</v>
      </c>
      <c r="Y171" s="3">
        <v>0.3</v>
      </c>
      <c r="Z171" s="3">
        <v>6.2E-2</v>
      </c>
      <c r="AA171" s="13">
        <f>(I171/TOTAL_BASIC!$D$301)*100</f>
        <v>111.68002075378629</v>
      </c>
      <c r="AB171" s="5">
        <f t="shared" si="36"/>
        <v>1.33</v>
      </c>
      <c r="AC171" s="3">
        <f t="shared" si="50"/>
        <v>10</v>
      </c>
      <c r="AD171" s="9">
        <f t="shared" si="37"/>
        <v>1.254</v>
      </c>
      <c r="AE171" s="16">
        <f t="shared" si="38"/>
        <v>1.2826086956521741</v>
      </c>
      <c r="AF171" s="16">
        <f t="shared" si="39"/>
        <v>1.0350877192982457</v>
      </c>
      <c r="AG171" s="9"/>
      <c r="AH171" s="9"/>
      <c r="AI171" s="12">
        <f t="shared" si="47"/>
        <v>3.8</v>
      </c>
      <c r="AJ171" s="12">
        <f t="shared" si="47"/>
        <v>8.1</v>
      </c>
      <c r="AK171" s="12">
        <f t="shared" si="47"/>
        <v>9.8000000000000007</v>
      </c>
      <c r="AL171" s="12">
        <f t="shared" si="47"/>
        <v>90.100000000000009</v>
      </c>
      <c r="AM171" s="12">
        <f t="shared" si="47"/>
        <v>91.2</v>
      </c>
      <c r="AN171" s="12">
        <f t="shared" si="47"/>
        <v>45.9</v>
      </c>
      <c r="AO171" s="12">
        <f t="shared" si="47"/>
        <v>39.300000000000004</v>
      </c>
      <c r="AP171" s="12">
        <f t="shared" si="47"/>
        <v>72.099999999999994</v>
      </c>
      <c r="AQ171" s="12">
        <f t="shared" si="47"/>
        <v>46.9</v>
      </c>
      <c r="AR171" s="12">
        <f t="shared" si="47"/>
        <v>38.200000000000003</v>
      </c>
      <c r="AS171" s="12">
        <f t="shared" si="47"/>
        <v>2.1</v>
      </c>
      <c r="AT171" s="12">
        <f t="shared" si="47"/>
        <v>0</v>
      </c>
      <c r="AU171" s="12">
        <f t="shared" si="46"/>
        <v>78.2</v>
      </c>
      <c r="AV171" s="12">
        <f t="shared" si="48"/>
        <v>1</v>
      </c>
      <c r="AW171" s="12">
        <f t="shared" si="48"/>
        <v>100</v>
      </c>
      <c r="AX171" s="12">
        <f t="shared" si="43"/>
        <v>0.59999999999999432</v>
      </c>
      <c r="AY171" s="9"/>
      <c r="AZ171" s="12">
        <f t="shared" si="49"/>
        <v>48.6</v>
      </c>
      <c r="BA171" s="12">
        <f t="shared" si="49"/>
        <v>2.7</v>
      </c>
      <c r="BB171" s="12">
        <f t="shared" si="49"/>
        <v>24.5</v>
      </c>
      <c r="BC171" s="12">
        <f t="shared" si="49"/>
        <v>40.400000000000006</v>
      </c>
      <c r="BD171" s="12">
        <f t="shared" si="49"/>
        <v>90.100000000000009</v>
      </c>
      <c r="BE171" s="12">
        <f t="shared" si="49"/>
        <v>100</v>
      </c>
      <c r="BF171" s="12">
        <f t="shared" si="49"/>
        <v>78.100000000000009</v>
      </c>
      <c r="BG171" s="12">
        <f t="shared" si="49"/>
        <v>90.100000000000009</v>
      </c>
      <c r="BH171" s="12">
        <f t="shared" si="49"/>
        <v>86.8</v>
      </c>
      <c r="BI171" s="12">
        <f t="shared" si="49"/>
        <v>54.6</v>
      </c>
    </row>
    <row r="172" spans="1:61" ht="15.75" customHeight="1" x14ac:dyDescent="0.25">
      <c r="A172" t="s">
        <v>265</v>
      </c>
      <c r="B172" s="3" t="s">
        <v>93</v>
      </c>
      <c r="C172" s="3" t="s">
        <v>85</v>
      </c>
      <c r="D172" s="3">
        <v>18</v>
      </c>
      <c r="E172" s="3">
        <v>163</v>
      </c>
      <c r="F172" s="3">
        <v>18</v>
      </c>
      <c r="G172" s="3">
        <v>163</v>
      </c>
      <c r="H172" s="3">
        <v>7.4</v>
      </c>
      <c r="I172" s="3">
        <v>0.52600000000000002</v>
      </c>
      <c r="J172" s="3">
        <v>0.49</v>
      </c>
      <c r="K172" s="3">
        <v>0.34</v>
      </c>
      <c r="L172" s="3">
        <v>0.32</v>
      </c>
      <c r="M172" s="3">
        <v>6.7</v>
      </c>
      <c r="N172" s="3">
        <v>9.8000000000000007</v>
      </c>
      <c r="O172" s="3">
        <v>7.3</v>
      </c>
      <c r="P172" s="3">
        <v>1.2</v>
      </c>
      <c r="Q172" s="3">
        <v>0.6</v>
      </c>
      <c r="R172" s="3">
        <v>16.2</v>
      </c>
      <c r="S172" s="3">
        <v>18.899999999999999</v>
      </c>
      <c r="T172" s="3">
        <v>96</v>
      </c>
      <c r="U172" s="3">
        <v>113</v>
      </c>
      <c r="V172" s="3"/>
      <c r="W172" s="3">
        <v>-0.1</v>
      </c>
      <c r="X172" s="3">
        <v>0.1</v>
      </c>
      <c r="Y172" s="3">
        <v>0</v>
      </c>
      <c r="Z172" s="3">
        <v>5.0000000000000001E-3</v>
      </c>
      <c r="AA172" s="13">
        <f>(I172/TOTAL_BASIC!$D$301)*100</f>
        <v>93.690097155488985</v>
      </c>
      <c r="AB172" s="5">
        <f t="shared" si="36"/>
        <v>0.96</v>
      </c>
      <c r="AC172" s="3">
        <f t="shared" si="50"/>
        <v>-17</v>
      </c>
      <c r="AD172" s="9">
        <f t="shared" si="37"/>
        <v>1.052</v>
      </c>
      <c r="AE172" s="16">
        <f t="shared" si="38"/>
        <v>0.38624338624338628</v>
      </c>
      <c r="AF172" s="16">
        <f t="shared" si="39"/>
        <v>0.45061728395061729</v>
      </c>
      <c r="AG172" s="9"/>
      <c r="AH172" s="9"/>
      <c r="AI172" s="12">
        <f t="shared" si="47"/>
        <v>12.5</v>
      </c>
      <c r="AJ172" s="12">
        <f t="shared" si="47"/>
        <v>7.6</v>
      </c>
      <c r="AK172" s="12">
        <f t="shared" si="47"/>
        <v>7.6</v>
      </c>
      <c r="AL172" s="12">
        <f t="shared" si="47"/>
        <v>34.9</v>
      </c>
      <c r="AM172" s="12">
        <f t="shared" si="47"/>
        <v>38.700000000000003</v>
      </c>
      <c r="AN172" s="12">
        <f t="shared" si="47"/>
        <v>34.9</v>
      </c>
      <c r="AO172" s="12">
        <f t="shared" si="47"/>
        <v>59.5</v>
      </c>
      <c r="AP172" s="12">
        <f t="shared" si="47"/>
        <v>69.899999999999991</v>
      </c>
      <c r="AQ172" s="12">
        <f t="shared" si="47"/>
        <v>57.9</v>
      </c>
      <c r="AR172" s="12">
        <f t="shared" si="47"/>
        <v>10.299999999999999</v>
      </c>
      <c r="AS172" s="12">
        <f t="shared" si="47"/>
        <v>20.200000000000003</v>
      </c>
      <c r="AT172" s="12">
        <f t="shared" si="47"/>
        <v>19.100000000000001</v>
      </c>
      <c r="AU172" s="12">
        <f t="shared" si="46"/>
        <v>38.800000000000004</v>
      </c>
      <c r="AV172" s="12">
        <f t="shared" si="48"/>
        <v>54.6</v>
      </c>
      <c r="AW172" s="12">
        <f t="shared" si="48"/>
        <v>13.100000000000001</v>
      </c>
      <c r="AX172" s="12">
        <f t="shared" si="43"/>
        <v>29.600000000000009</v>
      </c>
      <c r="AY172" s="9"/>
      <c r="AZ172" s="12">
        <f t="shared" si="49"/>
        <v>20.7</v>
      </c>
      <c r="BA172" s="12">
        <f t="shared" si="49"/>
        <v>8.1</v>
      </c>
      <c r="BB172" s="12">
        <f t="shared" si="49"/>
        <v>10.9</v>
      </c>
      <c r="BC172" s="12">
        <f t="shared" si="49"/>
        <v>13.600000000000001</v>
      </c>
      <c r="BD172" s="12">
        <f t="shared" si="49"/>
        <v>34.9</v>
      </c>
      <c r="BE172" s="12">
        <f t="shared" si="49"/>
        <v>13.100000000000001</v>
      </c>
      <c r="BF172" s="12">
        <f t="shared" si="49"/>
        <v>13.100000000000001</v>
      </c>
      <c r="BG172" s="12">
        <f t="shared" si="49"/>
        <v>34.9</v>
      </c>
      <c r="BH172" s="12">
        <f t="shared" si="49"/>
        <v>7.1</v>
      </c>
      <c r="BI172" s="12">
        <f t="shared" si="49"/>
        <v>7.1</v>
      </c>
    </row>
    <row r="173" spans="1:61" ht="15.75" customHeight="1" x14ac:dyDescent="0.25">
      <c r="A173" t="s">
        <v>285</v>
      </c>
      <c r="B173" s="3" t="s">
        <v>137</v>
      </c>
      <c r="C173" s="3" t="s">
        <v>8</v>
      </c>
      <c r="D173" s="3">
        <v>10</v>
      </c>
      <c r="E173" s="3">
        <v>159</v>
      </c>
      <c r="F173" s="3">
        <v>10</v>
      </c>
      <c r="G173" s="3">
        <v>159</v>
      </c>
      <c r="H173" s="3">
        <v>10.8</v>
      </c>
      <c r="I173" s="3">
        <v>0.57899999999999996</v>
      </c>
      <c r="J173" s="3">
        <v>0.54100000000000004</v>
      </c>
      <c r="K173" s="3">
        <v>0.216</v>
      </c>
      <c r="L173" s="3">
        <v>0.378</v>
      </c>
      <c r="M173" s="3">
        <v>1.5</v>
      </c>
      <c r="N173" s="3">
        <v>4.5</v>
      </c>
      <c r="O173" s="3">
        <v>24.5</v>
      </c>
      <c r="P173" s="3">
        <v>3.1</v>
      </c>
      <c r="Q173" s="3">
        <v>0.6</v>
      </c>
      <c r="R173" s="3">
        <v>28.3</v>
      </c>
      <c r="S173" s="3">
        <v>16.600000000000001</v>
      </c>
      <c r="T173" s="3">
        <v>98</v>
      </c>
      <c r="U173" s="3">
        <v>112</v>
      </c>
      <c r="V173" s="3"/>
      <c r="W173" s="3">
        <v>0</v>
      </c>
      <c r="X173" s="3">
        <v>0.1</v>
      </c>
      <c r="Y173" s="3">
        <v>0.1</v>
      </c>
      <c r="Z173" s="3">
        <v>0.02</v>
      </c>
      <c r="AA173" s="13">
        <f>(I173/TOTAL_BASIC!$D$301)*100</f>
        <v>103.13035409320935</v>
      </c>
      <c r="AB173" s="5">
        <f t="shared" si="36"/>
        <v>0.98</v>
      </c>
      <c r="AC173" s="3">
        <f t="shared" si="50"/>
        <v>-14</v>
      </c>
      <c r="AD173" s="9">
        <f t="shared" si="37"/>
        <v>1.1579999999999999</v>
      </c>
      <c r="AE173" s="16">
        <f t="shared" si="38"/>
        <v>1.4759036144578312</v>
      </c>
      <c r="AF173" s="16">
        <f t="shared" si="39"/>
        <v>0.86572438162544163</v>
      </c>
      <c r="AG173" s="9"/>
      <c r="AH173" s="9"/>
      <c r="AI173" s="12">
        <f t="shared" si="47"/>
        <v>2.1</v>
      </c>
      <c r="AJ173" s="12">
        <f t="shared" si="47"/>
        <v>7.1</v>
      </c>
      <c r="AK173" s="12">
        <f t="shared" si="47"/>
        <v>36.6</v>
      </c>
      <c r="AL173" s="12">
        <f t="shared" si="47"/>
        <v>66.100000000000009</v>
      </c>
      <c r="AM173" s="12">
        <f t="shared" si="47"/>
        <v>67.2</v>
      </c>
      <c r="AN173" s="12">
        <f t="shared" si="47"/>
        <v>17.399999999999999</v>
      </c>
      <c r="AO173" s="12">
        <f t="shared" si="47"/>
        <v>73.2</v>
      </c>
      <c r="AP173" s="12">
        <f t="shared" si="47"/>
        <v>9.8000000000000007</v>
      </c>
      <c r="AQ173" s="12">
        <f t="shared" si="47"/>
        <v>8.1</v>
      </c>
      <c r="AR173" s="12">
        <f t="shared" si="47"/>
        <v>84.1</v>
      </c>
      <c r="AS173" s="12">
        <f t="shared" si="47"/>
        <v>97.2</v>
      </c>
      <c r="AT173" s="12">
        <f t="shared" si="47"/>
        <v>19.100000000000001</v>
      </c>
      <c r="AU173" s="12">
        <f t="shared" si="46"/>
        <v>1.7000000000000028</v>
      </c>
      <c r="AV173" s="12">
        <f t="shared" si="48"/>
        <v>30</v>
      </c>
      <c r="AW173" s="12">
        <f t="shared" si="48"/>
        <v>18</v>
      </c>
      <c r="AX173" s="12">
        <f t="shared" si="43"/>
        <v>38.800000000000004</v>
      </c>
      <c r="AY173" s="9"/>
      <c r="AZ173" s="12">
        <f t="shared" si="49"/>
        <v>24.5</v>
      </c>
      <c r="BA173" s="12">
        <f t="shared" si="49"/>
        <v>8.1</v>
      </c>
      <c r="BB173" s="12">
        <f t="shared" si="49"/>
        <v>13.600000000000001</v>
      </c>
      <c r="BC173" s="12">
        <f t="shared" si="49"/>
        <v>18</v>
      </c>
      <c r="BD173" s="12">
        <f t="shared" si="49"/>
        <v>66.100000000000009</v>
      </c>
      <c r="BE173" s="12">
        <f t="shared" si="49"/>
        <v>18</v>
      </c>
      <c r="BF173" s="12">
        <f t="shared" si="49"/>
        <v>17.399999999999999</v>
      </c>
      <c r="BG173" s="12">
        <f t="shared" si="49"/>
        <v>66.100000000000009</v>
      </c>
      <c r="BH173" s="12">
        <f t="shared" si="49"/>
        <v>92.300000000000011</v>
      </c>
      <c r="BI173" s="12">
        <f t="shared" si="49"/>
        <v>36.6</v>
      </c>
    </row>
    <row r="174" spans="1:61" ht="15.75" customHeight="1" x14ac:dyDescent="0.25">
      <c r="A174" t="s">
        <v>288</v>
      </c>
      <c r="B174" s="3" t="s">
        <v>114</v>
      </c>
      <c r="C174" s="3" t="s">
        <v>94</v>
      </c>
      <c r="D174" s="3">
        <v>16</v>
      </c>
      <c r="E174" s="3">
        <v>153</v>
      </c>
      <c r="F174" s="3">
        <v>16</v>
      </c>
      <c r="G174" s="3">
        <v>153</v>
      </c>
      <c r="H174" s="3">
        <v>7.7</v>
      </c>
      <c r="I174" s="3">
        <v>0.46</v>
      </c>
      <c r="J174" s="3">
        <v>0.41699999999999998</v>
      </c>
      <c r="K174" s="3">
        <v>0.5</v>
      </c>
      <c r="L174" s="3">
        <v>0.2</v>
      </c>
      <c r="M174" s="3">
        <v>10.4</v>
      </c>
      <c r="N174" s="3">
        <v>10.4</v>
      </c>
      <c r="O174" s="3">
        <v>5.9</v>
      </c>
      <c r="P174" s="3">
        <v>1</v>
      </c>
      <c r="Q174" s="3">
        <v>0</v>
      </c>
      <c r="R174" s="3">
        <v>8.4</v>
      </c>
      <c r="S174" s="3">
        <v>10.199999999999999</v>
      </c>
      <c r="T174" s="3">
        <v>110</v>
      </c>
      <c r="U174" s="3">
        <v>115</v>
      </c>
      <c r="V174" s="3"/>
      <c r="W174" s="3">
        <v>0.1</v>
      </c>
      <c r="X174" s="3">
        <v>0.1</v>
      </c>
      <c r="Y174" s="3">
        <v>0.2</v>
      </c>
      <c r="Z174" s="3">
        <v>4.2999999999999997E-2</v>
      </c>
      <c r="AA174" s="13">
        <f>(I174/TOTAL_BASIC!$D$301)*100</f>
        <v>81.934305497195695</v>
      </c>
      <c r="AB174" s="5">
        <f t="shared" si="36"/>
        <v>1.1000000000000001</v>
      </c>
      <c r="AC174" s="3">
        <f t="shared" si="50"/>
        <v>-5</v>
      </c>
      <c r="AD174" s="9">
        <f t="shared" si="37"/>
        <v>0.92</v>
      </c>
      <c r="AE174" s="16">
        <f t="shared" si="38"/>
        <v>0.57843137254901966</v>
      </c>
      <c r="AF174" s="16">
        <f t="shared" si="39"/>
        <v>0.70238095238095244</v>
      </c>
      <c r="AG174" s="9"/>
      <c r="AH174" s="9"/>
      <c r="AI174" s="12">
        <f t="shared" si="47"/>
        <v>8.1</v>
      </c>
      <c r="AJ174" s="12">
        <f t="shared" si="47"/>
        <v>6.5</v>
      </c>
      <c r="AK174" s="12">
        <f t="shared" si="47"/>
        <v>8.6999999999999993</v>
      </c>
      <c r="AL174" s="12">
        <f t="shared" si="47"/>
        <v>7.6</v>
      </c>
      <c r="AM174" s="12">
        <f t="shared" si="47"/>
        <v>7.1</v>
      </c>
      <c r="AN174" s="12">
        <f t="shared" si="47"/>
        <v>69.3</v>
      </c>
      <c r="AO174" s="12">
        <f t="shared" si="47"/>
        <v>26.200000000000003</v>
      </c>
      <c r="AP174" s="12">
        <f t="shared" si="47"/>
        <v>89.600000000000009</v>
      </c>
      <c r="AQ174" s="12">
        <f t="shared" si="47"/>
        <v>63.3</v>
      </c>
      <c r="AR174" s="12">
        <f t="shared" si="47"/>
        <v>4.3</v>
      </c>
      <c r="AS174" s="12">
        <f t="shared" si="47"/>
        <v>10.9</v>
      </c>
      <c r="AT174" s="12">
        <f t="shared" si="47"/>
        <v>0</v>
      </c>
      <c r="AU174" s="12">
        <f t="shared" si="46"/>
        <v>92.9</v>
      </c>
      <c r="AV174" s="12">
        <f t="shared" si="48"/>
        <v>2.1</v>
      </c>
      <c r="AW174" s="12">
        <f t="shared" si="48"/>
        <v>60.099999999999994</v>
      </c>
      <c r="AX174" s="12">
        <f t="shared" si="43"/>
        <v>18.600000000000009</v>
      </c>
      <c r="AY174" s="9"/>
      <c r="AZ174" s="12">
        <f t="shared" si="49"/>
        <v>31.1</v>
      </c>
      <c r="BA174" s="12">
        <f t="shared" si="49"/>
        <v>8.1</v>
      </c>
      <c r="BB174" s="12">
        <f t="shared" si="49"/>
        <v>19.100000000000001</v>
      </c>
      <c r="BC174" s="12">
        <f t="shared" si="49"/>
        <v>32.200000000000003</v>
      </c>
      <c r="BD174" s="12">
        <f t="shared" si="49"/>
        <v>7.6</v>
      </c>
      <c r="BE174" s="12">
        <f t="shared" si="49"/>
        <v>60.099999999999994</v>
      </c>
      <c r="BF174" s="12">
        <f t="shared" si="49"/>
        <v>45.300000000000004</v>
      </c>
      <c r="BG174" s="12">
        <f t="shared" si="49"/>
        <v>7.6</v>
      </c>
      <c r="BH174" s="12">
        <f t="shared" si="49"/>
        <v>32.200000000000003</v>
      </c>
      <c r="BI174" s="12">
        <f t="shared" si="49"/>
        <v>25.6</v>
      </c>
    </row>
    <row r="175" spans="1:61" ht="15.75" customHeight="1" x14ac:dyDescent="0.25">
      <c r="A175" t="s">
        <v>274</v>
      </c>
      <c r="B175" s="3" t="s">
        <v>128</v>
      </c>
      <c r="C175" s="3" t="s">
        <v>85</v>
      </c>
      <c r="D175" s="3">
        <v>9</v>
      </c>
      <c r="E175" s="3">
        <v>152</v>
      </c>
      <c r="F175" s="3">
        <v>9</v>
      </c>
      <c r="G175" s="3">
        <v>152</v>
      </c>
      <c r="H175" s="3">
        <v>21.8</v>
      </c>
      <c r="I175" s="3">
        <v>0.60399999999999998</v>
      </c>
      <c r="J175" s="3">
        <v>0.52900000000000003</v>
      </c>
      <c r="K175" s="3">
        <v>0.115</v>
      </c>
      <c r="L175" s="3">
        <v>0.40400000000000003</v>
      </c>
      <c r="M175" s="3">
        <v>13.5</v>
      </c>
      <c r="N175" s="3">
        <v>19.899999999999999</v>
      </c>
      <c r="O175" s="3">
        <v>19.399999999999999</v>
      </c>
      <c r="P175" s="3">
        <v>1</v>
      </c>
      <c r="Q175" s="3">
        <v>3.8</v>
      </c>
      <c r="R175" s="3">
        <v>12.8</v>
      </c>
      <c r="S175" s="3">
        <v>19.5</v>
      </c>
      <c r="T175" s="3">
        <v>127</v>
      </c>
      <c r="U175" s="3">
        <v>104</v>
      </c>
      <c r="V175" s="3"/>
      <c r="W175" s="3">
        <v>0.6</v>
      </c>
      <c r="X175" s="3">
        <v>0.3</v>
      </c>
      <c r="Y175" s="3">
        <v>0.9</v>
      </c>
      <c r="Z175" s="3">
        <v>0.23200000000000001</v>
      </c>
      <c r="AA175" s="13">
        <f>(I175/TOTAL_BASIC!$D$301)*100</f>
        <v>107.58330547892649</v>
      </c>
      <c r="AB175" s="5">
        <f t="shared" si="36"/>
        <v>1.27</v>
      </c>
      <c r="AC175" s="3">
        <f t="shared" si="50"/>
        <v>23</v>
      </c>
      <c r="AD175" s="9">
        <f t="shared" si="37"/>
        <v>1.208</v>
      </c>
      <c r="AE175" s="16">
        <f t="shared" si="38"/>
        <v>0.99487179487179478</v>
      </c>
      <c r="AF175" s="16">
        <f t="shared" si="39"/>
        <v>1.5156249999999998</v>
      </c>
      <c r="AG175" s="9"/>
      <c r="AH175" s="9"/>
      <c r="AI175" s="12">
        <f t="shared" si="47"/>
        <v>1</v>
      </c>
      <c r="AJ175" s="12">
        <f t="shared" si="47"/>
        <v>6</v>
      </c>
      <c r="AK175" s="12">
        <f t="shared" si="47"/>
        <v>92.300000000000011</v>
      </c>
      <c r="AL175" s="12">
        <f t="shared" si="47"/>
        <v>77.5</v>
      </c>
      <c r="AM175" s="12">
        <f t="shared" si="47"/>
        <v>62.8</v>
      </c>
      <c r="AN175" s="12">
        <f t="shared" si="47"/>
        <v>12</v>
      </c>
      <c r="AO175" s="12">
        <f t="shared" si="47"/>
        <v>78.100000000000009</v>
      </c>
      <c r="AP175" s="12">
        <f t="shared" si="47"/>
        <v>97.2</v>
      </c>
      <c r="AQ175" s="12">
        <f t="shared" si="47"/>
        <v>97.2</v>
      </c>
      <c r="AR175" s="12">
        <f t="shared" si="47"/>
        <v>73.2</v>
      </c>
      <c r="AS175" s="12">
        <f t="shared" si="47"/>
        <v>10.9</v>
      </c>
      <c r="AT175" s="12">
        <f t="shared" si="47"/>
        <v>86.8</v>
      </c>
      <c r="AU175" s="12">
        <f t="shared" si="46"/>
        <v>68.400000000000006</v>
      </c>
      <c r="AV175" s="12">
        <f t="shared" si="48"/>
        <v>56.8</v>
      </c>
      <c r="AW175" s="12">
        <f t="shared" si="48"/>
        <v>98.3</v>
      </c>
      <c r="AX175" s="12">
        <f t="shared" si="43"/>
        <v>88</v>
      </c>
      <c r="AY175" s="9"/>
      <c r="AZ175" s="12">
        <f t="shared" si="49"/>
        <v>56.8</v>
      </c>
      <c r="BA175" s="12">
        <f t="shared" si="49"/>
        <v>28.4</v>
      </c>
      <c r="BB175" s="12">
        <f t="shared" si="49"/>
        <v>44.2</v>
      </c>
      <c r="BC175" s="12">
        <f t="shared" si="49"/>
        <v>98.9</v>
      </c>
      <c r="BD175" s="12">
        <f t="shared" si="49"/>
        <v>77.5</v>
      </c>
      <c r="BE175" s="12">
        <f t="shared" si="49"/>
        <v>98.3</v>
      </c>
      <c r="BF175" s="12">
        <f t="shared" si="49"/>
        <v>99.4</v>
      </c>
      <c r="BG175" s="12">
        <f t="shared" si="49"/>
        <v>77.5</v>
      </c>
      <c r="BH175" s="12">
        <f t="shared" si="49"/>
        <v>72.099999999999994</v>
      </c>
      <c r="BI175" s="12">
        <f t="shared" si="49"/>
        <v>79.2</v>
      </c>
    </row>
    <row r="176" spans="1:61" ht="15.75" customHeight="1" x14ac:dyDescent="0.25">
      <c r="A176" t="s">
        <v>164</v>
      </c>
      <c r="B176" s="3" t="s">
        <v>114</v>
      </c>
      <c r="C176" s="3" t="s">
        <v>8</v>
      </c>
      <c r="D176" s="3">
        <v>10</v>
      </c>
      <c r="E176" s="3">
        <v>148</v>
      </c>
      <c r="F176" s="3">
        <v>10</v>
      </c>
      <c r="G176" s="3">
        <v>148</v>
      </c>
      <c r="H176" s="3">
        <v>8.1</v>
      </c>
      <c r="I176" s="3">
        <v>0.66300000000000003</v>
      </c>
      <c r="J176" s="3">
        <v>0.63500000000000001</v>
      </c>
      <c r="K176" s="3">
        <v>0.76900000000000002</v>
      </c>
      <c r="L176" s="3">
        <v>0.23100000000000001</v>
      </c>
      <c r="M176" s="3">
        <v>0.8</v>
      </c>
      <c r="N176" s="3">
        <v>5</v>
      </c>
      <c r="O176" s="3">
        <v>11.4</v>
      </c>
      <c r="P176" s="3">
        <v>1.7</v>
      </c>
      <c r="Q176" s="3">
        <v>0.6</v>
      </c>
      <c r="R176" s="3">
        <v>25.9</v>
      </c>
      <c r="S176" s="3">
        <v>11.4</v>
      </c>
      <c r="T176" s="3">
        <v>104</v>
      </c>
      <c r="U176" s="3">
        <v>114</v>
      </c>
      <c r="V176" s="3"/>
      <c r="W176" s="3">
        <v>0</v>
      </c>
      <c r="X176" s="3">
        <v>0.1</v>
      </c>
      <c r="Y176" s="3">
        <v>0.1</v>
      </c>
      <c r="Z176" s="3">
        <v>3.5999999999999997E-2</v>
      </c>
      <c r="AA176" s="13">
        <f>(I176/TOTAL_BASIC!$D$301)*100</f>
        <v>118.092270749219</v>
      </c>
      <c r="AB176" s="5">
        <f t="shared" si="36"/>
        <v>1.04</v>
      </c>
      <c r="AC176" s="3">
        <f t="shared" si="50"/>
        <v>-10</v>
      </c>
      <c r="AD176" s="9">
        <f t="shared" si="37"/>
        <v>1.3260000000000001</v>
      </c>
      <c r="AE176" s="16">
        <f t="shared" si="38"/>
        <v>1</v>
      </c>
      <c r="AF176" s="16">
        <f t="shared" si="39"/>
        <v>0.44015444015444022</v>
      </c>
      <c r="AG176" s="9"/>
      <c r="AH176" s="9"/>
      <c r="AI176" s="12">
        <f t="shared" si="47"/>
        <v>2.1</v>
      </c>
      <c r="AJ176" s="12">
        <f t="shared" si="47"/>
        <v>5.4</v>
      </c>
      <c r="AK176" s="12">
        <f t="shared" si="47"/>
        <v>12</v>
      </c>
      <c r="AL176" s="12">
        <f t="shared" si="47"/>
        <v>97.2</v>
      </c>
      <c r="AM176" s="12">
        <f t="shared" si="47"/>
        <v>97.2</v>
      </c>
      <c r="AN176" s="12">
        <f t="shared" si="47"/>
        <v>98.9</v>
      </c>
      <c r="AO176" s="12">
        <f t="shared" si="47"/>
        <v>35.5</v>
      </c>
      <c r="AP176" s="12">
        <f t="shared" si="47"/>
        <v>2.1</v>
      </c>
      <c r="AQ176" s="12">
        <f t="shared" si="47"/>
        <v>12</v>
      </c>
      <c r="AR176" s="12">
        <f t="shared" si="47"/>
        <v>36.6</v>
      </c>
      <c r="AS176" s="12">
        <f t="shared" si="47"/>
        <v>43.7</v>
      </c>
      <c r="AT176" s="12">
        <f t="shared" si="47"/>
        <v>19.100000000000001</v>
      </c>
      <c r="AU176" s="12">
        <f t="shared" si="46"/>
        <v>2.7999999999999972</v>
      </c>
      <c r="AV176" s="12">
        <f t="shared" si="48"/>
        <v>5.4</v>
      </c>
      <c r="AW176" s="12">
        <f t="shared" si="48"/>
        <v>37.700000000000003</v>
      </c>
      <c r="AX176" s="12">
        <f t="shared" si="43"/>
        <v>25.700000000000003</v>
      </c>
      <c r="AY176" s="9"/>
      <c r="AZ176" s="12">
        <f t="shared" ref="AZ176" si="51">(PERCENTRANK(W$3:W$298,W176))*100</f>
        <v>24.5</v>
      </c>
      <c r="BA176" s="12">
        <f t="shared" ref="BA176" si="52">(PERCENTRANK(X$3:X$298,X176))*100</f>
        <v>8.1</v>
      </c>
      <c r="BB176" s="12">
        <f t="shared" ref="BB176" si="53">(PERCENTRANK(Y$3:Y$298,Y176))*100</f>
        <v>13.600000000000001</v>
      </c>
      <c r="BC176" s="12">
        <f t="shared" ref="BC176" si="54">(PERCENTRANK(Z$3:Z$298,Z176))*100</f>
        <v>28.9</v>
      </c>
      <c r="BD176" s="12">
        <f t="shared" ref="BD176" si="55">(PERCENTRANK(AA$3:AA$298,AA176))*100</f>
        <v>97.2</v>
      </c>
      <c r="BE176" s="12">
        <f t="shared" ref="BE176" si="56">(PERCENTRANK(AB$3:AB$298,AB176))*100</f>
        <v>37.700000000000003</v>
      </c>
      <c r="BF176" s="12">
        <f t="shared" ref="BF176" si="57">(PERCENTRANK(AC$3:AC$298,AC176))*100</f>
        <v>30.599999999999998</v>
      </c>
      <c r="BG176" s="12">
        <f t="shared" ref="BG176" si="58">(PERCENTRANK(AD$3:AD$298,AD176))*100</f>
        <v>97.2</v>
      </c>
      <c r="BH176" s="12">
        <f t="shared" ref="BH176" si="59">(PERCENTRANK(AE$3:AE$298,AE176))*100</f>
        <v>72.599999999999994</v>
      </c>
      <c r="BI176" s="12">
        <f t="shared" ref="BI176" si="60">(PERCENTRANK(AF$3:AF$298,AF176))*100</f>
        <v>6</v>
      </c>
    </row>
    <row r="177" spans="1:61" ht="15.75" customHeight="1" x14ac:dyDescent="0.25">
      <c r="A177" t="s">
        <v>259</v>
      </c>
      <c r="B177" s="3" t="s">
        <v>140</v>
      </c>
      <c r="C177" s="3" t="s">
        <v>8</v>
      </c>
      <c r="D177" s="3">
        <v>21</v>
      </c>
      <c r="E177" s="3">
        <v>143</v>
      </c>
      <c r="F177" s="3">
        <v>21</v>
      </c>
      <c r="G177" s="3">
        <v>143</v>
      </c>
      <c r="H177" s="3">
        <v>10.5</v>
      </c>
      <c r="I177" s="3">
        <v>0.56299999999999994</v>
      </c>
      <c r="J177" s="3">
        <v>0.52300000000000002</v>
      </c>
      <c r="K177" s="3">
        <v>0.47699999999999998</v>
      </c>
      <c r="L177" s="3">
        <v>0.25</v>
      </c>
      <c r="M177" s="3">
        <v>0.9</v>
      </c>
      <c r="N177" s="3">
        <v>4.5999999999999996</v>
      </c>
      <c r="O177" s="3">
        <v>21.1</v>
      </c>
      <c r="P177" s="3">
        <v>1.4</v>
      </c>
      <c r="Q177" s="3">
        <v>0.7</v>
      </c>
      <c r="R177" s="3">
        <v>18.399999999999999</v>
      </c>
      <c r="S177" s="3">
        <v>18.7</v>
      </c>
      <c r="T177" s="3">
        <v>106</v>
      </c>
      <c r="U177" s="3">
        <v>108</v>
      </c>
      <c r="V177" s="3"/>
      <c r="W177" s="3">
        <v>0.1</v>
      </c>
      <c r="X177" s="3">
        <v>0.2</v>
      </c>
      <c r="Y177" s="3">
        <v>0.3</v>
      </c>
      <c r="Z177" s="3">
        <v>8.5999999999999993E-2</v>
      </c>
      <c r="AA177" s="13">
        <f>(I177/TOTAL_BASIC!$D$301)*100</f>
        <v>100.28046520635037</v>
      </c>
      <c r="AB177" s="5">
        <f t="shared" si="36"/>
        <v>1.06</v>
      </c>
      <c r="AC177" s="3">
        <f t="shared" si="50"/>
        <v>-2</v>
      </c>
      <c r="AD177" s="9">
        <f t="shared" si="37"/>
        <v>1.1259999999999999</v>
      </c>
      <c r="AE177" s="16">
        <f t="shared" si="38"/>
        <v>1.1283422459893049</v>
      </c>
      <c r="AF177" s="16">
        <f t="shared" si="39"/>
        <v>1.1467391304347827</v>
      </c>
      <c r="AG177" s="9"/>
      <c r="AH177" s="9"/>
      <c r="AI177" s="12">
        <f t="shared" ref="AI177:AI180" si="61">(PERCENTRANK(F$3:F$298,F177))*100</f>
        <v>18</v>
      </c>
      <c r="AJ177" s="12">
        <f t="shared" ref="AJ177:AJ180" si="62">(PERCENTRANK(G$3:G$298,G177))*100</f>
        <v>4.9000000000000004</v>
      </c>
      <c r="AK177" s="12">
        <f t="shared" ref="AK177:AK180" si="63">(PERCENTRANK(H$3:H$298,H177))*100</f>
        <v>31.6</v>
      </c>
      <c r="AL177" s="12">
        <f t="shared" ref="AL177:AL180" si="64">(PERCENTRANK(I$3:I$298,I177))*100</f>
        <v>57.9</v>
      </c>
      <c r="AM177" s="12">
        <f t="shared" ref="AM177:AM180" si="65">(PERCENTRANK(J$3:J$298,J177))*100</f>
        <v>57.3</v>
      </c>
      <c r="AN177" s="12">
        <f t="shared" ref="AN177:AN180" si="66">(PERCENTRANK(K$3:K$298,K177))*100</f>
        <v>63.3</v>
      </c>
      <c r="AO177" s="12">
        <f t="shared" ref="AO177:AO180" si="67">(PERCENTRANK(L$3:L$298,L177))*100</f>
        <v>39.300000000000004</v>
      </c>
      <c r="AP177" s="12">
        <f t="shared" ref="AP177:AP180" si="68">(PERCENTRANK(M$3:M$298,M177))*100</f>
        <v>2.7</v>
      </c>
      <c r="AQ177" s="12">
        <f t="shared" ref="AQ177:AQ180" si="69">(PERCENTRANK(N$3:N$298,N177))*100</f>
        <v>9.1999999999999993</v>
      </c>
      <c r="AR177" s="12">
        <f t="shared" ref="AR177:AR180" si="70">(PERCENTRANK(O$3:O$298,O177))*100</f>
        <v>78.100000000000009</v>
      </c>
      <c r="AS177" s="12">
        <f t="shared" ref="AS177:AS180" si="71">(PERCENTRANK(P$3:P$298,P177))*100</f>
        <v>27.800000000000004</v>
      </c>
      <c r="AT177" s="12">
        <f t="shared" ref="AT177:AT180" si="72">(PERCENTRANK(Q$3:Q$298,Q177))*100</f>
        <v>24</v>
      </c>
      <c r="AU177" s="12">
        <f t="shared" ref="AU177:AU180" si="73">100-(PERCENTRANK(R$3:R$298,R177))*100</f>
        <v>21.399999999999991</v>
      </c>
      <c r="AV177" s="12">
        <f t="shared" ref="AV177:AV180" si="74">(PERCENTRANK(S$3:S$298,S177))*100</f>
        <v>53.5</v>
      </c>
      <c r="AW177" s="12">
        <f t="shared" ref="AW177:AW180" si="75">(PERCENTRANK(T$3:T$298,T177))*100</f>
        <v>45.9</v>
      </c>
      <c r="AX177" s="12">
        <f t="shared" ref="AX177:AX180" si="76">100-(PERCENTRANK(U$3:U$298,U177))*100</f>
        <v>71.099999999999994</v>
      </c>
      <c r="AY177" s="9"/>
      <c r="AZ177" s="12">
        <f t="shared" ref="AZ177:AZ180" si="77">(PERCENTRANK(W$3:W$298,W177))*100</f>
        <v>31.1</v>
      </c>
      <c r="BA177" s="12">
        <f t="shared" ref="BA177:BA180" si="78">(PERCENTRANK(X$3:X$298,X177))*100</f>
        <v>19.600000000000001</v>
      </c>
      <c r="BB177" s="12">
        <f t="shared" ref="BB177:BB180" si="79">(PERCENTRANK(Y$3:Y$298,Y177))*100</f>
        <v>24.5</v>
      </c>
      <c r="BC177" s="12">
        <f t="shared" ref="BC177:BC180" si="80">(PERCENTRANK(Z$3:Z$298,Z177))*100</f>
        <v>56.2</v>
      </c>
      <c r="BD177" s="12">
        <f t="shared" ref="BD177:BD180" si="81">(PERCENTRANK(AA$3:AA$298,AA177))*100</f>
        <v>57.9</v>
      </c>
      <c r="BE177" s="12">
        <f t="shared" ref="BE177:BE180" si="82">(PERCENTRANK(AB$3:AB$298,AB177))*100</f>
        <v>45.9</v>
      </c>
      <c r="BF177" s="12">
        <f t="shared" ref="BF177:BF180" si="83">(PERCENTRANK(AC$3:AC$298,AC177))*100</f>
        <v>54</v>
      </c>
      <c r="BG177" s="12">
        <f t="shared" ref="BG177:BG180" si="84">(PERCENTRANK(AD$3:AD$298,AD177))*100</f>
        <v>57.9</v>
      </c>
      <c r="BH177" s="12">
        <f t="shared" ref="BH177:BH180" si="85">(PERCENTRANK(AE$3:AE$298,AE177))*100</f>
        <v>79.7</v>
      </c>
      <c r="BI177" s="12">
        <f t="shared" ref="BI177:BI180" si="86">(PERCENTRANK(AF$3:AF$298,AF177))*100</f>
        <v>63.3</v>
      </c>
    </row>
    <row r="178" spans="1:61" ht="15.75" customHeight="1" x14ac:dyDescent="0.25">
      <c r="A178" t="s">
        <v>286</v>
      </c>
      <c r="B178" s="3" t="s">
        <v>91</v>
      </c>
      <c r="C178" s="3" t="s">
        <v>94</v>
      </c>
      <c r="D178" s="3">
        <v>16</v>
      </c>
      <c r="E178" s="3">
        <v>129</v>
      </c>
      <c r="F178" s="3">
        <v>16</v>
      </c>
      <c r="G178" s="3">
        <v>129</v>
      </c>
      <c r="H178" s="3">
        <v>10.199999999999999</v>
      </c>
      <c r="I178" s="3">
        <v>0.51400000000000001</v>
      </c>
      <c r="J178" s="3">
        <v>0.48899999999999999</v>
      </c>
      <c r="K178" s="3">
        <v>0.56499999999999995</v>
      </c>
      <c r="L178" s="3">
        <v>0.13</v>
      </c>
      <c r="M178" s="3">
        <v>3.7</v>
      </c>
      <c r="N178" s="3">
        <v>5.7</v>
      </c>
      <c r="O178" s="3">
        <v>22.4</v>
      </c>
      <c r="P178" s="3">
        <v>1.2</v>
      </c>
      <c r="Q178" s="3">
        <v>0.8</v>
      </c>
      <c r="R178" s="3">
        <v>18.399999999999999</v>
      </c>
      <c r="S178" s="3">
        <v>21.4</v>
      </c>
      <c r="T178" s="3">
        <v>100</v>
      </c>
      <c r="U178" s="3">
        <v>106</v>
      </c>
      <c r="V178" s="3"/>
      <c r="W178" s="3">
        <v>0</v>
      </c>
      <c r="X178" s="3">
        <v>0.2</v>
      </c>
      <c r="Y178" s="3">
        <v>0.2</v>
      </c>
      <c r="Z178" s="3">
        <v>6.3E-2</v>
      </c>
      <c r="AA178" s="13">
        <f>(I178/TOTAL_BASIC!$D$301)*100</f>
        <v>91.552680490344756</v>
      </c>
      <c r="AB178" s="5">
        <f t="shared" si="36"/>
        <v>1</v>
      </c>
      <c r="AC178" s="3">
        <f t="shared" si="50"/>
        <v>-6</v>
      </c>
      <c r="AD178" s="9">
        <f t="shared" si="37"/>
        <v>1.028</v>
      </c>
      <c r="AE178" s="16">
        <f t="shared" si="38"/>
        <v>1.0467289719626167</v>
      </c>
      <c r="AF178" s="16">
        <f t="shared" si="39"/>
        <v>1.2173913043478262</v>
      </c>
      <c r="AG178" s="9"/>
      <c r="AH178" s="9"/>
      <c r="AI178" s="12">
        <f t="shared" si="61"/>
        <v>8.1</v>
      </c>
      <c r="AJ178" s="12">
        <f t="shared" si="62"/>
        <v>4.3</v>
      </c>
      <c r="AK178" s="12">
        <f t="shared" si="63"/>
        <v>29.5</v>
      </c>
      <c r="AL178" s="12">
        <f t="shared" si="64"/>
        <v>28.4</v>
      </c>
      <c r="AM178" s="12">
        <f t="shared" si="65"/>
        <v>37.700000000000003</v>
      </c>
      <c r="AN178" s="12">
        <f t="shared" si="66"/>
        <v>83</v>
      </c>
      <c r="AO178" s="12">
        <f t="shared" si="67"/>
        <v>10.9</v>
      </c>
      <c r="AP178" s="12">
        <f t="shared" si="68"/>
        <v>42</v>
      </c>
      <c r="AQ178" s="12">
        <f t="shared" si="69"/>
        <v>17.399999999999999</v>
      </c>
      <c r="AR178" s="12">
        <f t="shared" si="70"/>
        <v>80.800000000000011</v>
      </c>
      <c r="AS178" s="12">
        <f t="shared" si="71"/>
        <v>20.200000000000003</v>
      </c>
      <c r="AT178" s="12">
        <f t="shared" si="72"/>
        <v>28.4</v>
      </c>
      <c r="AU178" s="12">
        <f t="shared" si="73"/>
        <v>21.399999999999991</v>
      </c>
      <c r="AV178" s="12">
        <f t="shared" si="74"/>
        <v>68.300000000000011</v>
      </c>
      <c r="AW178" s="12">
        <f t="shared" si="75"/>
        <v>23.400000000000002</v>
      </c>
      <c r="AX178" s="12">
        <f t="shared" si="76"/>
        <v>83.1</v>
      </c>
      <c r="AY178" s="9"/>
      <c r="AZ178" s="12">
        <f t="shared" si="77"/>
        <v>24.5</v>
      </c>
      <c r="BA178" s="12">
        <f t="shared" si="78"/>
        <v>19.600000000000001</v>
      </c>
      <c r="BB178" s="12">
        <f t="shared" si="79"/>
        <v>19.100000000000001</v>
      </c>
      <c r="BC178" s="12">
        <f t="shared" si="80"/>
        <v>42.6</v>
      </c>
      <c r="BD178" s="12">
        <f t="shared" si="81"/>
        <v>28.4</v>
      </c>
      <c r="BE178" s="12">
        <f t="shared" si="82"/>
        <v>23.400000000000002</v>
      </c>
      <c r="BF178" s="12">
        <f t="shared" si="83"/>
        <v>41.5</v>
      </c>
      <c r="BG178" s="12">
        <f t="shared" si="84"/>
        <v>28.4</v>
      </c>
      <c r="BH178" s="12">
        <f t="shared" si="85"/>
        <v>74.8</v>
      </c>
      <c r="BI178" s="12">
        <f t="shared" si="86"/>
        <v>68.300000000000011</v>
      </c>
    </row>
    <row r="179" spans="1:61" ht="15.75" customHeight="1" x14ac:dyDescent="0.25">
      <c r="A179" t="s">
        <v>277</v>
      </c>
      <c r="B179" s="3" t="s">
        <v>84</v>
      </c>
      <c r="C179" s="3" t="s">
        <v>88</v>
      </c>
      <c r="D179" s="3">
        <v>23</v>
      </c>
      <c r="E179" s="3">
        <v>126</v>
      </c>
      <c r="F179" s="3">
        <v>23</v>
      </c>
      <c r="G179" s="3">
        <v>126</v>
      </c>
      <c r="H179" s="3">
        <v>9.9</v>
      </c>
      <c r="I179" s="3">
        <v>0.61299999999999999</v>
      </c>
      <c r="J179" s="3">
        <v>0.6</v>
      </c>
      <c r="K179" s="3">
        <v>0.4</v>
      </c>
      <c r="L179" s="3">
        <v>0.6</v>
      </c>
      <c r="M179" s="3">
        <v>8.1</v>
      </c>
      <c r="N179" s="3">
        <v>11.5</v>
      </c>
      <c r="O179" s="3">
        <v>8.1</v>
      </c>
      <c r="P179" s="3">
        <v>1.2</v>
      </c>
      <c r="Q179" s="3">
        <v>1.4</v>
      </c>
      <c r="R179" s="3">
        <v>19.2</v>
      </c>
      <c r="S179" s="3">
        <v>11.1</v>
      </c>
      <c r="T179" s="3">
        <v>116</v>
      </c>
      <c r="U179" s="3">
        <v>110</v>
      </c>
      <c r="V179" s="3"/>
      <c r="W179" s="3">
        <v>0.2</v>
      </c>
      <c r="X179" s="3">
        <v>0.1</v>
      </c>
      <c r="Y179" s="3">
        <v>0.3</v>
      </c>
      <c r="Z179" s="3">
        <v>9.7000000000000003E-2</v>
      </c>
      <c r="AA179" s="13">
        <f>(I179/TOTAL_BASIC!$D$301)*100</f>
        <v>109.1863679777847</v>
      </c>
      <c r="AB179" s="5">
        <f t="shared" si="36"/>
        <v>1.1599999999999999</v>
      </c>
      <c r="AC179" s="3">
        <f t="shared" si="50"/>
        <v>6</v>
      </c>
      <c r="AD179" s="9">
        <f t="shared" si="37"/>
        <v>1.226</v>
      </c>
      <c r="AE179" s="16">
        <f t="shared" si="38"/>
        <v>0.72972972972972971</v>
      </c>
      <c r="AF179" s="16">
        <f t="shared" si="39"/>
        <v>0.421875</v>
      </c>
      <c r="AG179" s="9"/>
      <c r="AH179" s="9"/>
      <c r="AI179" s="12">
        <f t="shared" si="61"/>
        <v>20.200000000000003</v>
      </c>
      <c r="AJ179" s="12">
        <f t="shared" si="62"/>
        <v>3.8</v>
      </c>
      <c r="AK179" s="12">
        <f t="shared" si="63"/>
        <v>25.1</v>
      </c>
      <c r="AL179" s="12">
        <f t="shared" si="64"/>
        <v>85.7</v>
      </c>
      <c r="AM179" s="12">
        <f t="shared" si="65"/>
        <v>93.4</v>
      </c>
      <c r="AN179" s="12">
        <f t="shared" si="66"/>
        <v>49.1</v>
      </c>
      <c r="AO179" s="12">
        <f t="shared" si="67"/>
        <v>97.2</v>
      </c>
      <c r="AP179" s="12">
        <f t="shared" si="68"/>
        <v>80.300000000000011</v>
      </c>
      <c r="AQ179" s="12">
        <f t="shared" si="69"/>
        <v>70.399999999999991</v>
      </c>
      <c r="AR179" s="12">
        <f t="shared" si="70"/>
        <v>16.3</v>
      </c>
      <c r="AS179" s="12">
        <f t="shared" si="71"/>
        <v>20.200000000000003</v>
      </c>
      <c r="AT179" s="12">
        <f t="shared" si="72"/>
        <v>53.5</v>
      </c>
      <c r="AU179" s="12">
        <f t="shared" si="73"/>
        <v>17</v>
      </c>
      <c r="AV179" s="12">
        <f t="shared" si="74"/>
        <v>4.3</v>
      </c>
      <c r="AW179" s="12">
        <f t="shared" si="75"/>
        <v>75.900000000000006</v>
      </c>
      <c r="AX179" s="12">
        <f t="shared" si="76"/>
        <v>56.3</v>
      </c>
      <c r="AY179" s="9"/>
      <c r="AZ179" s="12">
        <f t="shared" si="77"/>
        <v>37.700000000000003</v>
      </c>
      <c r="BA179" s="12">
        <f t="shared" si="78"/>
        <v>8.1</v>
      </c>
      <c r="BB179" s="12">
        <f t="shared" si="79"/>
        <v>24.5</v>
      </c>
      <c r="BC179" s="12">
        <f t="shared" si="80"/>
        <v>63.3</v>
      </c>
      <c r="BD179" s="12">
        <f t="shared" si="81"/>
        <v>85.7</v>
      </c>
      <c r="BE179" s="12">
        <f t="shared" si="82"/>
        <v>75.900000000000006</v>
      </c>
      <c r="BF179" s="12">
        <f t="shared" si="83"/>
        <v>72.599999999999994</v>
      </c>
      <c r="BG179" s="12">
        <f t="shared" si="84"/>
        <v>85.7</v>
      </c>
      <c r="BH179" s="12">
        <f t="shared" si="85"/>
        <v>53</v>
      </c>
      <c r="BI179" s="12">
        <f t="shared" si="86"/>
        <v>4.9000000000000004</v>
      </c>
    </row>
    <row r="180" spans="1:61" ht="15.75" customHeight="1" x14ac:dyDescent="0.25">
      <c r="A180" t="s">
        <v>282</v>
      </c>
      <c r="B180" s="3" t="s">
        <v>137</v>
      </c>
      <c r="C180" s="3" t="s">
        <v>85</v>
      </c>
      <c r="D180" s="3">
        <v>17</v>
      </c>
      <c r="E180" s="3">
        <v>123</v>
      </c>
      <c r="F180" s="3">
        <v>17</v>
      </c>
      <c r="G180" s="3">
        <v>123</v>
      </c>
      <c r="H180" s="3">
        <v>14.8</v>
      </c>
      <c r="I180" s="3">
        <v>0.70799999999999996</v>
      </c>
      <c r="J180" s="3">
        <v>0.65</v>
      </c>
      <c r="K180" s="3">
        <v>0.6</v>
      </c>
      <c r="L180" s="3">
        <v>0.57499999999999996</v>
      </c>
      <c r="M180" s="3">
        <v>8.8000000000000007</v>
      </c>
      <c r="N180" s="3">
        <v>11.7</v>
      </c>
      <c r="O180" s="3">
        <v>7.8</v>
      </c>
      <c r="P180" s="3">
        <v>0.4</v>
      </c>
      <c r="Q180" s="3">
        <v>1.5</v>
      </c>
      <c r="R180" s="3">
        <v>21.8</v>
      </c>
      <c r="S180" s="3">
        <v>22.9</v>
      </c>
      <c r="T180" s="3">
        <v>114</v>
      </c>
      <c r="U180" s="3">
        <v>116</v>
      </c>
      <c r="V180" s="3"/>
      <c r="W180" s="3">
        <v>0.3</v>
      </c>
      <c r="X180" s="3">
        <v>0</v>
      </c>
      <c r="Y180" s="3">
        <v>0.3</v>
      </c>
      <c r="Z180" s="3">
        <v>9.7000000000000003E-2</v>
      </c>
      <c r="AA180" s="13">
        <f>(I180/TOTAL_BASIC!$D$301)*100</f>
        <v>126.10758324350988</v>
      </c>
      <c r="AB180" s="5">
        <f t="shared" si="36"/>
        <v>1.1399999999999999</v>
      </c>
      <c r="AC180" s="3">
        <f t="shared" si="50"/>
        <v>-2</v>
      </c>
      <c r="AD180" s="9">
        <f t="shared" si="37"/>
        <v>1.4159999999999999</v>
      </c>
      <c r="AE180" s="16">
        <f t="shared" si="38"/>
        <v>0.34061135371179041</v>
      </c>
      <c r="AF180" s="16">
        <f t="shared" si="39"/>
        <v>0.35779816513761464</v>
      </c>
      <c r="AG180" s="9"/>
      <c r="AH180" s="9"/>
      <c r="AI180" s="12">
        <f t="shared" si="61"/>
        <v>9.8000000000000007</v>
      </c>
      <c r="AJ180" s="12">
        <f t="shared" si="62"/>
        <v>3.2</v>
      </c>
      <c r="AK180" s="12">
        <f t="shared" si="63"/>
        <v>60.6</v>
      </c>
      <c r="AL180" s="12">
        <f t="shared" si="64"/>
        <v>100</v>
      </c>
      <c r="AM180" s="12">
        <f t="shared" si="65"/>
        <v>98.9</v>
      </c>
      <c r="AN180" s="12">
        <f t="shared" si="66"/>
        <v>84.6</v>
      </c>
      <c r="AO180" s="12">
        <f t="shared" si="67"/>
        <v>95.6</v>
      </c>
      <c r="AP180" s="12">
        <f t="shared" si="68"/>
        <v>84.6</v>
      </c>
      <c r="AQ180" s="12">
        <f t="shared" si="69"/>
        <v>72.599999999999994</v>
      </c>
      <c r="AR180" s="12">
        <f t="shared" si="70"/>
        <v>14.2</v>
      </c>
      <c r="AS180" s="12">
        <f t="shared" si="71"/>
        <v>0.5</v>
      </c>
      <c r="AT180" s="12">
        <f t="shared" si="72"/>
        <v>57.3</v>
      </c>
      <c r="AU180" s="12">
        <f t="shared" si="73"/>
        <v>7.6999999999999886</v>
      </c>
      <c r="AV180" s="12">
        <f t="shared" si="74"/>
        <v>75.900000000000006</v>
      </c>
      <c r="AW180" s="12">
        <f t="shared" si="75"/>
        <v>71</v>
      </c>
      <c r="AX180" s="12">
        <f t="shared" si="76"/>
        <v>14.299999999999997</v>
      </c>
      <c r="AY180" s="9"/>
      <c r="AZ180" s="12">
        <f t="shared" si="77"/>
        <v>42</v>
      </c>
      <c r="BA180" s="12">
        <f t="shared" si="78"/>
        <v>5.4</v>
      </c>
      <c r="BB180" s="12">
        <f t="shared" si="79"/>
        <v>24.5</v>
      </c>
      <c r="BC180" s="12">
        <f t="shared" si="80"/>
        <v>63.3</v>
      </c>
      <c r="BD180" s="12">
        <f t="shared" si="81"/>
        <v>100</v>
      </c>
      <c r="BE180" s="12">
        <f t="shared" si="82"/>
        <v>71</v>
      </c>
      <c r="BF180" s="12">
        <f t="shared" si="83"/>
        <v>54</v>
      </c>
      <c r="BG180" s="12">
        <f t="shared" si="84"/>
        <v>100</v>
      </c>
      <c r="BH180" s="12">
        <f t="shared" si="85"/>
        <v>3.8</v>
      </c>
      <c r="BI180" s="12">
        <f t="shared" si="86"/>
        <v>2.7</v>
      </c>
    </row>
    <row r="181" spans="1:61" ht="15.75" customHeight="1" x14ac:dyDescent="0.25">
      <c r="A181" t="s">
        <v>263</v>
      </c>
      <c r="B181" s="3" t="s">
        <v>137</v>
      </c>
      <c r="C181" s="3" t="s">
        <v>8</v>
      </c>
      <c r="D181" s="3">
        <v>17</v>
      </c>
      <c r="E181" s="3">
        <v>120</v>
      </c>
      <c r="F181" s="3">
        <v>17</v>
      </c>
      <c r="G181" s="3">
        <v>120</v>
      </c>
      <c r="H181" s="3">
        <v>10.6</v>
      </c>
      <c r="I181" s="3">
        <v>0.50600000000000001</v>
      </c>
      <c r="J181" s="3">
        <v>0.48599999999999999</v>
      </c>
      <c r="K181" s="3">
        <v>0.74299999999999999</v>
      </c>
      <c r="L181" s="3">
        <v>0.22900000000000001</v>
      </c>
      <c r="M181" s="3">
        <v>5</v>
      </c>
      <c r="N181" s="3">
        <v>9.5</v>
      </c>
      <c r="O181" s="3">
        <v>7.4</v>
      </c>
      <c r="P181" s="3">
        <v>2</v>
      </c>
      <c r="Q181" s="3">
        <v>2.2999999999999998</v>
      </c>
      <c r="R181" s="3">
        <v>7.2</v>
      </c>
      <c r="S181" s="3">
        <v>15.2</v>
      </c>
      <c r="T181" s="3">
        <v>105</v>
      </c>
      <c r="U181" s="3">
        <v>112</v>
      </c>
      <c r="V181" s="3"/>
      <c r="W181" s="3">
        <v>0.1</v>
      </c>
      <c r="X181" s="3">
        <v>0.1</v>
      </c>
      <c r="Y181" s="3">
        <v>0.2</v>
      </c>
      <c r="Z181" s="3">
        <v>5.5E-2</v>
      </c>
      <c r="AA181" s="13">
        <f>(I181/TOTAL_BASIC!$D$301)*100</f>
        <v>90.127736046915246</v>
      </c>
      <c r="AB181" s="5">
        <f t="shared" ref="AB181:AB182" si="87">(T181/100)</f>
        <v>1.05</v>
      </c>
      <c r="AC181" s="3">
        <f t="shared" ref="AC181:AC182" si="88">T181-U181</f>
        <v>-7</v>
      </c>
      <c r="AD181" s="9">
        <f t="shared" ref="AD181:AD182" si="89">2*I181</f>
        <v>1.012</v>
      </c>
      <c r="AE181" s="16">
        <f t="shared" ref="AE181:AE182" si="90">IF(S181=0,0,O181/S181)</f>
        <v>0.48684210526315796</v>
      </c>
      <c r="AF181" s="16">
        <f t="shared" ref="AF181:AF182" si="91">IF(R181=0,0,O181/R181)</f>
        <v>1.0277777777777779</v>
      </c>
      <c r="AG181" s="9"/>
      <c r="AH181" s="9"/>
      <c r="AI181" s="12">
        <f t="shared" ref="AI181:AI182" si="92">(PERCENTRANK(F$3:F$298,F181))*100</f>
        <v>9.8000000000000007</v>
      </c>
      <c r="AJ181" s="12">
        <f t="shared" ref="AJ181:AJ182" si="93">(PERCENTRANK(G$3:G$298,G181))*100</f>
        <v>2.7</v>
      </c>
      <c r="AK181" s="12">
        <f t="shared" ref="AK181:AK182" si="94">(PERCENTRANK(H$3:H$298,H181))*100</f>
        <v>33.800000000000004</v>
      </c>
      <c r="AL181" s="12">
        <f t="shared" ref="AL181:AL182" si="95">(PERCENTRANK(I$3:I$298,I181))*100</f>
        <v>23.400000000000002</v>
      </c>
      <c r="AM181" s="12">
        <f t="shared" ref="AM181:AM182" si="96">(PERCENTRANK(J$3:J$298,J181))*100</f>
        <v>35.5</v>
      </c>
      <c r="AN181" s="12">
        <f t="shared" ref="AN181:AN182" si="97">(PERCENTRANK(K$3:K$298,K181))*100</f>
        <v>97.2</v>
      </c>
      <c r="AO181" s="12">
        <f t="shared" ref="AO181:AO182" si="98">(PERCENTRANK(L$3:L$298,L181))*100</f>
        <v>34.9</v>
      </c>
      <c r="AP181" s="12">
        <f t="shared" ref="AP181:AP182" si="99">(PERCENTRANK(M$3:M$298,M181))*100</f>
        <v>56.2</v>
      </c>
      <c r="AQ181" s="12">
        <f t="shared" ref="AQ181:AQ182" si="100">(PERCENTRANK(N$3:N$298,N181))*100</f>
        <v>54.6</v>
      </c>
      <c r="AR181" s="12">
        <f t="shared" ref="AR181:AR182" si="101">(PERCENTRANK(O$3:O$298,O181))*100</f>
        <v>11.4</v>
      </c>
      <c r="AS181" s="12">
        <f t="shared" ref="AS181:AS182" si="102">(PERCENTRANK(P$3:P$298,P181))*100</f>
        <v>64.400000000000006</v>
      </c>
      <c r="AT181" s="12">
        <f t="shared" ref="AT181:AT182" si="103">(PERCENTRANK(Q$3:Q$298,Q181))*100</f>
        <v>69.899999999999991</v>
      </c>
      <c r="AU181" s="12">
        <f t="shared" ref="AU181:AU182" si="104">100-(PERCENTRANK(R$3:R$298,R181))*100</f>
        <v>97.9</v>
      </c>
      <c r="AV181" s="12">
        <f t="shared" ref="AV181:AV182" si="105">(PERCENTRANK(S$3:S$298,S181))*100</f>
        <v>20.7</v>
      </c>
      <c r="AW181" s="12">
        <f t="shared" ref="AW181:AW182" si="106">(PERCENTRANK(T$3:T$298,T181))*100</f>
        <v>39.800000000000004</v>
      </c>
      <c r="AX181" s="12">
        <f t="shared" ref="AX181:AX182" si="107">100-(PERCENTRANK(U$3:U$298,U181))*100</f>
        <v>38.800000000000004</v>
      </c>
      <c r="AY181" s="9"/>
      <c r="AZ181" s="12">
        <f t="shared" ref="AZ181:AZ182" si="108">(PERCENTRANK(W$3:W$298,W181))*100</f>
        <v>31.1</v>
      </c>
      <c r="BA181" s="12">
        <f t="shared" ref="BA181:BA182" si="109">(PERCENTRANK(X$3:X$298,X181))*100</f>
        <v>8.1</v>
      </c>
      <c r="BB181" s="12">
        <f t="shared" ref="BB181:BB182" si="110">(PERCENTRANK(Y$3:Y$298,Y181))*100</f>
        <v>19.100000000000001</v>
      </c>
      <c r="BC181" s="12">
        <f t="shared" ref="BC181:BC182" si="111">(PERCENTRANK(Z$3:Z$298,Z181))*100</f>
        <v>38.700000000000003</v>
      </c>
      <c r="BD181" s="12">
        <f t="shared" ref="BD181:BD182" si="112">(PERCENTRANK(AA$3:AA$298,AA181))*100</f>
        <v>23.400000000000002</v>
      </c>
      <c r="BE181" s="12">
        <f t="shared" ref="BE181:BE182" si="113">(PERCENTRANK(AB$3:AB$298,AB181))*100</f>
        <v>39.800000000000004</v>
      </c>
      <c r="BF181" s="12">
        <f t="shared" ref="BF181:BF182" si="114">(PERCENTRANK(AC$3:AC$298,AC181))*100</f>
        <v>38.200000000000003</v>
      </c>
      <c r="BG181" s="12">
        <f t="shared" ref="BG181:BG182" si="115">(PERCENTRANK(AD$3:AD$298,AD181))*100</f>
        <v>23.400000000000002</v>
      </c>
      <c r="BH181" s="12">
        <f t="shared" ref="BH181:BH182" si="116">(PERCENTRANK(AE$3:AE$298,AE181))*100</f>
        <v>19.100000000000001</v>
      </c>
      <c r="BI181" s="12">
        <f t="shared" ref="BI181:BI182" si="117">(PERCENTRANK(AF$3:AF$298,AF181))*100</f>
        <v>53.5</v>
      </c>
    </row>
    <row r="182" spans="1:61" ht="15.75" customHeight="1" x14ac:dyDescent="0.25">
      <c r="A182" t="s">
        <v>130</v>
      </c>
      <c r="B182" s="3" t="s">
        <v>131</v>
      </c>
      <c r="C182" s="3" t="s">
        <v>85</v>
      </c>
      <c r="D182" s="3">
        <v>4</v>
      </c>
      <c r="E182" s="3">
        <v>118</v>
      </c>
      <c r="F182" s="3">
        <v>4</v>
      </c>
      <c r="G182" s="3">
        <v>118</v>
      </c>
      <c r="H182" s="3">
        <v>16</v>
      </c>
      <c r="I182" s="3">
        <v>0.51700000000000002</v>
      </c>
      <c r="J182" s="3">
        <v>0.45</v>
      </c>
      <c r="K182" s="3">
        <v>0.35</v>
      </c>
      <c r="L182" s="3">
        <v>0.36699999999999999</v>
      </c>
      <c r="M182" s="3">
        <v>3.8</v>
      </c>
      <c r="N182" s="3">
        <v>9.3000000000000007</v>
      </c>
      <c r="O182" s="3">
        <v>12.1</v>
      </c>
      <c r="P182" s="3">
        <v>0.4</v>
      </c>
      <c r="Q182" s="3">
        <v>5.0999999999999996</v>
      </c>
      <c r="R182" s="3">
        <v>10.3</v>
      </c>
      <c r="S182" s="3">
        <v>28.6</v>
      </c>
      <c r="T182" s="3">
        <v>100</v>
      </c>
      <c r="U182" s="3">
        <v>111</v>
      </c>
      <c r="V182" s="3"/>
      <c r="W182" s="3">
        <v>0</v>
      </c>
      <c r="X182" s="3">
        <v>0.1</v>
      </c>
      <c r="Y182" s="3">
        <v>0.1</v>
      </c>
      <c r="Z182" s="3">
        <v>3.1E-2</v>
      </c>
      <c r="AA182" s="13">
        <f>(I182/TOTAL_BASIC!$D$301)*100</f>
        <v>92.087034656630806</v>
      </c>
      <c r="AB182" s="5">
        <f t="shared" si="87"/>
        <v>1</v>
      </c>
      <c r="AC182" s="3">
        <f t="shared" si="88"/>
        <v>-11</v>
      </c>
      <c r="AD182" s="9">
        <f t="shared" si="89"/>
        <v>1.034</v>
      </c>
      <c r="AE182" s="16">
        <f t="shared" si="90"/>
        <v>0.42307692307692302</v>
      </c>
      <c r="AF182" s="16">
        <f t="shared" si="91"/>
        <v>1.174757281553398</v>
      </c>
      <c r="AG182" s="9"/>
      <c r="AH182" s="9"/>
      <c r="AI182" s="12">
        <f t="shared" si="92"/>
        <v>0</v>
      </c>
      <c r="AJ182" s="12">
        <f t="shared" si="93"/>
        <v>2.1</v>
      </c>
      <c r="AK182" s="12">
        <f t="shared" si="94"/>
        <v>68.300000000000011</v>
      </c>
      <c r="AL182" s="12">
        <f t="shared" si="95"/>
        <v>31.1</v>
      </c>
      <c r="AM182" s="12">
        <f t="shared" si="96"/>
        <v>18</v>
      </c>
      <c r="AN182" s="12">
        <f t="shared" si="97"/>
        <v>36.6</v>
      </c>
      <c r="AO182" s="12">
        <f t="shared" si="98"/>
        <v>70.399999999999991</v>
      </c>
      <c r="AP182" s="12">
        <f t="shared" si="99"/>
        <v>43.1</v>
      </c>
      <c r="AQ182" s="12">
        <f t="shared" si="100"/>
        <v>53</v>
      </c>
      <c r="AR182" s="12">
        <f t="shared" si="101"/>
        <v>42.6</v>
      </c>
      <c r="AS182" s="12">
        <f t="shared" si="102"/>
        <v>0.5</v>
      </c>
      <c r="AT182" s="12">
        <f t="shared" si="103"/>
        <v>93.899999999999991</v>
      </c>
      <c r="AU182" s="12">
        <f t="shared" si="104"/>
        <v>86.4</v>
      </c>
      <c r="AV182" s="12">
        <f t="shared" si="105"/>
        <v>94.5</v>
      </c>
      <c r="AW182" s="12">
        <f t="shared" si="106"/>
        <v>23.400000000000002</v>
      </c>
      <c r="AX182" s="12">
        <f t="shared" si="107"/>
        <v>47</v>
      </c>
      <c r="AY182" s="9"/>
      <c r="AZ182" s="12">
        <f t="shared" si="108"/>
        <v>24.5</v>
      </c>
      <c r="BA182" s="12">
        <f t="shared" si="109"/>
        <v>8.1</v>
      </c>
      <c r="BB182" s="12">
        <f t="shared" si="110"/>
        <v>13.600000000000001</v>
      </c>
      <c r="BC182" s="12">
        <f t="shared" si="111"/>
        <v>23.400000000000002</v>
      </c>
      <c r="BD182" s="12">
        <f t="shared" si="112"/>
        <v>31.1</v>
      </c>
      <c r="BE182" s="12">
        <f t="shared" si="113"/>
        <v>23.400000000000002</v>
      </c>
      <c r="BF182" s="12">
        <f t="shared" si="114"/>
        <v>26.700000000000003</v>
      </c>
      <c r="BG182" s="12">
        <f t="shared" si="115"/>
        <v>31.1</v>
      </c>
      <c r="BH182" s="12">
        <f t="shared" si="116"/>
        <v>10.9</v>
      </c>
      <c r="BI182" s="12">
        <f t="shared" si="117"/>
        <v>64.400000000000006</v>
      </c>
    </row>
    <row r="183" spans="1:61" ht="15.75" customHeight="1" x14ac:dyDescent="0.25">
      <c r="A183" t="s">
        <v>287</v>
      </c>
      <c r="B183" s="3" t="s">
        <v>96</v>
      </c>
      <c r="C183" s="3" t="s">
        <v>8</v>
      </c>
      <c r="D183" s="3">
        <v>21</v>
      </c>
      <c r="E183" s="3">
        <v>112</v>
      </c>
      <c r="F183" s="3">
        <v>21</v>
      </c>
      <c r="G183" s="3">
        <v>112</v>
      </c>
      <c r="H183" s="3">
        <v>14.2</v>
      </c>
      <c r="I183" s="3">
        <v>0.55800000000000005</v>
      </c>
      <c r="J183" s="3">
        <v>0.435</v>
      </c>
      <c r="K183" s="3">
        <v>0.26100000000000001</v>
      </c>
      <c r="L183" s="3">
        <v>0.91300000000000003</v>
      </c>
      <c r="M183" s="3">
        <v>7.6</v>
      </c>
      <c r="N183" s="3">
        <v>11.7</v>
      </c>
      <c r="O183" s="3">
        <v>27.1</v>
      </c>
      <c r="P183" s="3">
        <v>1.4</v>
      </c>
      <c r="Q183" s="3">
        <v>2.6</v>
      </c>
      <c r="R183" s="3">
        <v>25.4</v>
      </c>
      <c r="S183" s="3">
        <v>17</v>
      </c>
      <c r="T183" s="3">
        <v>112</v>
      </c>
      <c r="U183" s="3">
        <v>107</v>
      </c>
      <c r="V183" s="3"/>
      <c r="W183" s="3">
        <v>0.2</v>
      </c>
      <c r="X183" s="3">
        <v>0.2</v>
      </c>
      <c r="Y183" s="3">
        <v>0.4</v>
      </c>
      <c r="Z183" s="3">
        <v>0.126</v>
      </c>
      <c r="AA183" s="13">
        <f>(I183/TOTAL_BASIC!$D$301)*100</f>
        <v>99.38987492920694</v>
      </c>
      <c r="AB183" s="5">
        <f t="shared" ref="AB183:AB184" si="118">(T183/100)</f>
        <v>1.1200000000000001</v>
      </c>
      <c r="AC183" s="3">
        <f t="shared" ref="AC183:AC184" si="119">T183-U183</f>
        <v>5</v>
      </c>
      <c r="AD183" s="9">
        <f t="shared" ref="AD183:AD184" si="120">2*I183</f>
        <v>1.1160000000000001</v>
      </c>
      <c r="AE183" s="16">
        <f t="shared" ref="AE183:AE184" si="121">IF(S183=0,0,O183/S183)</f>
        <v>1.5941176470588236</v>
      </c>
      <c r="AF183" s="16">
        <f t="shared" ref="AF183:AF184" si="122">IF(R183=0,0,O183/R183)</f>
        <v>1.0669291338582678</v>
      </c>
      <c r="AG183" s="9"/>
      <c r="AH183" s="9"/>
      <c r="AI183" s="12">
        <f t="shared" ref="AI183:AI184" si="123">(PERCENTRANK(F$3:F$298,F183))*100</f>
        <v>18</v>
      </c>
      <c r="AJ183" s="12">
        <f t="shared" ref="AJ183:AJ184" si="124">(PERCENTRANK(G$3:G$298,G183))*100</f>
        <v>1.6</v>
      </c>
      <c r="AK183" s="12">
        <f t="shared" ref="AK183:AK184" si="125">(PERCENTRANK(H$3:H$298,H183))*100</f>
        <v>56.2</v>
      </c>
      <c r="AL183" s="12">
        <f t="shared" ref="AL183:AL184" si="126">(PERCENTRANK(I$3:I$298,I183))*100</f>
        <v>51.300000000000004</v>
      </c>
      <c r="AM183" s="12">
        <f t="shared" ref="AM183:AM184" si="127">(PERCENTRANK(J$3:J$298,J183))*100</f>
        <v>12</v>
      </c>
      <c r="AN183" s="12">
        <f t="shared" ref="AN183:AN184" si="128">(PERCENTRANK(K$3:K$298,K183))*100</f>
        <v>23.400000000000002</v>
      </c>
      <c r="AO183" s="12">
        <f t="shared" ref="AO183:AO184" si="129">(PERCENTRANK(L$3:L$298,L183))*100</f>
        <v>100</v>
      </c>
      <c r="AP183" s="12">
        <f t="shared" ref="AP183:AP184" si="130">(PERCENTRANK(M$3:M$298,M183))*100</f>
        <v>75.900000000000006</v>
      </c>
      <c r="AQ183" s="12">
        <f t="shared" ref="AQ183:AQ184" si="131">(PERCENTRANK(N$3:N$298,N183))*100</f>
        <v>72.599999999999994</v>
      </c>
      <c r="AR183" s="12">
        <f t="shared" ref="AR183:AR184" si="132">(PERCENTRANK(O$3:O$298,O183))*100</f>
        <v>88.5</v>
      </c>
      <c r="AS183" s="12">
        <f t="shared" ref="AS183:AS184" si="133">(PERCENTRANK(P$3:P$298,P183))*100</f>
        <v>27.800000000000004</v>
      </c>
      <c r="AT183" s="12">
        <f t="shared" ref="AT183:AT184" si="134">(PERCENTRANK(Q$3:Q$298,Q183))*100</f>
        <v>74.8</v>
      </c>
      <c r="AU183" s="12">
        <f t="shared" ref="AU183:AU184" si="135">100-(PERCENTRANK(R$3:R$298,R183))*100</f>
        <v>3.2999999999999972</v>
      </c>
      <c r="AV183" s="12">
        <f t="shared" ref="AV183:AV184" si="136">(PERCENTRANK(S$3:S$298,S183))*100</f>
        <v>32.200000000000003</v>
      </c>
      <c r="AW183" s="12">
        <f t="shared" ref="AW183:AW184" si="137">(PERCENTRANK(T$3:T$298,T183))*100</f>
        <v>67.2</v>
      </c>
      <c r="AX183" s="12">
        <f t="shared" ref="AX183:AX184" si="138">100-(PERCENTRANK(U$3:U$298,U183))*100</f>
        <v>78.2</v>
      </c>
      <c r="AY183" s="9"/>
      <c r="AZ183" s="12">
        <f t="shared" ref="AZ183:AZ184" si="139">(PERCENTRANK(W$3:W$298,W183))*100</f>
        <v>37.700000000000003</v>
      </c>
      <c r="BA183" s="12">
        <f t="shared" ref="BA183:BA184" si="140">(PERCENTRANK(X$3:X$298,X183))*100</f>
        <v>19.600000000000001</v>
      </c>
      <c r="BB183" s="12">
        <f t="shared" ref="BB183:BB184" si="141">(PERCENTRANK(Y$3:Y$298,Y183))*100</f>
        <v>28.4</v>
      </c>
      <c r="BC183" s="12">
        <f t="shared" ref="BC183:BC184" si="142">(PERCENTRANK(Z$3:Z$298,Z183))*100</f>
        <v>72.599999999999994</v>
      </c>
      <c r="BD183" s="12">
        <f t="shared" ref="BD183:BD184" si="143">(PERCENTRANK(AA$3:AA$298,AA183))*100</f>
        <v>51.300000000000004</v>
      </c>
      <c r="BE183" s="12">
        <f t="shared" ref="BE183:BE184" si="144">(PERCENTRANK(AB$3:AB$298,AB183))*100</f>
        <v>67.2</v>
      </c>
      <c r="BF183" s="12">
        <f t="shared" ref="BF183:BF184" si="145">(PERCENTRANK(AC$3:AC$298,AC183))*100</f>
        <v>70.399999999999991</v>
      </c>
      <c r="BG183" s="12">
        <f t="shared" ref="BG183:BG184" si="146">(PERCENTRANK(AD$3:AD$298,AD183))*100</f>
        <v>51.300000000000004</v>
      </c>
      <c r="BH183" s="12">
        <f t="shared" ref="BH183:BH184" si="147">(PERCENTRANK(AE$3:AE$298,AE183))*100</f>
        <v>95</v>
      </c>
      <c r="BI183" s="12">
        <f t="shared" ref="BI183:BI184" si="148">(PERCENTRANK(AF$3:AF$298,AF183))*100</f>
        <v>58.4</v>
      </c>
    </row>
    <row r="184" spans="1:61" ht="15.75" customHeight="1" x14ac:dyDescent="0.25">
      <c r="A184" t="s">
        <v>289</v>
      </c>
      <c r="B184" s="3" t="s">
        <v>240</v>
      </c>
      <c r="C184" s="3" t="s">
        <v>85</v>
      </c>
      <c r="D184" s="3">
        <v>9</v>
      </c>
      <c r="E184" s="3">
        <v>107</v>
      </c>
      <c r="F184" s="3">
        <v>9</v>
      </c>
      <c r="G184" s="3">
        <v>107</v>
      </c>
      <c r="H184" s="3">
        <v>0.4</v>
      </c>
      <c r="I184" s="3">
        <v>0.33200000000000002</v>
      </c>
      <c r="J184" s="3">
        <v>0.25</v>
      </c>
      <c r="K184" s="3">
        <v>0.46200000000000002</v>
      </c>
      <c r="L184" s="3">
        <v>0.23100000000000001</v>
      </c>
      <c r="M184" s="3">
        <v>4.4000000000000004</v>
      </c>
      <c r="N184" s="3">
        <v>9</v>
      </c>
      <c r="O184" s="3">
        <v>6.7</v>
      </c>
      <c r="P184" s="3">
        <v>1.9</v>
      </c>
      <c r="Q184" s="3">
        <v>1.8</v>
      </c>
      <c r="R184" s="3">
        <v>19.600000000000001</v>
      </c>
      <c r="S184" s="3">
        <v>15</v>
      </c>
      <c r="T184" s="3">
        <v>69</v>
      </c>
      <c r="U184" s="3">
        <v>111</v>
      </c>
      <c r="V184" s="3"/>
      <c r="W184" s="3">
        <v>-0.4</v>
      </c>
      <c r="X184" s="3">
        <v>0.1</v>
      </c>
      <c r="Y184" s="3">
        <v>-0.3</v>
      </c>
      <c r="Z184" s="3">
        <v>-9.4E-2</v>
      </c>
      <c r="AA184" s="13">
        <f>(I184/TOTAL_BASIC!$D$301)*100</f>
        <v>59.13519440232384</v>
      </c>
      <c r="AB184" s="5">
        <f t="shared" si="118"/>
        <v>0.69</v>
      </c>
      <c r="AC184" s="3">
        <f t="shared" si="119"/>
        <v>-42</v>
      </c>
      <c r="AD184" s="9">
        <f t="shared" si="120"/>
        <v>0.66400000000000003</v>
      </c>
      <c r="AE184" s="16">
        <f t="shared" si="121"/>
        <v>0.44666666666666666</v>
      </c>
      <c r="AF184" s="16">
        <f t="shared" si="122"/>
        <v>0.34183673469387754</v>
      </c>
      <c r="AG184" s="9"/>
      <c r="AH184" s="9"/>
      <c r="AI184" s="12">
        <f t="shared" si="123"/>
        <v>1</v>
      </c>
      <c r="AJ184" s="12">
        <f t="shared" si="124"/>
        <v>1</v>
      </c>
      <c r="AK184" s="12">
        <f t="shared" si="125"/>
        <v>0</v>
      </c>
      <c r="AL184" s="12">
        <f t="shared" si="126"/>
        <v>0</v>
      </c>
      <c r="AM184" s="12">
        <f t="shared" si="127"/>
        <v>0</v>
      </c>
      <c r="AN184" s="12">
        <f t="shared" si="128"/>
        <v>61.7</v>
      </c>
      <c r="AO184" s="12">
        <f t="shared" si="129"/>
        <v>35.5</v>
      </c>
      <c r="AP184" s="12">
        <f t="shared" si="130"/>
        <v>50.2</v>
      </c>
      <c r="AQ184" s="12">
        <f t="shared" si="131"/>
        <v>50.8</v>
      </c>
      <c r="AR184" s="12">
        <f t="shared" si="132"/>
        <v>6.5</v>
      </c>
      <c r="AS184" s="12">
        <f t="shared" si="133"/>
        <v>57.9</v>
      </c>
      <c r="AT184" s="12">
        <f t="shared" si="134"/>
        <v>62.2</v>
      </c>
      <c r="AU184" s="12">
        <f t="shared" si="135"/>
        <v>15.400000000000006</v>
      </c>
      <c r="AV184" s="12">
        <f t="shared" si="136"/>
        <v>20.200000000000003</v>
      </c>
      <c r="AW184" s="12">
        <f t="shared" si="137"/>
        <v>0</v>
      </c>
      <c r="AX184" s="12">
        <f t="shared" si="138"/>
        <v>47</v>
      </c>
      <c r="AY184" s="9"/>
      <c r="AZ184" s="12">
        <f t="shared" si="139"/>
        <v>6.5</v>
      </c>
      <c r="BA184" s="12">
        <f t="shared" si="140"/>
        <v>8.1</v>
      </c>
      <c r="BB184" s="12">
        <f t="shared" si="141"/>
        <v>3.8</v>
      </c>
      <c r="BC184" s="12">
        <f t="shared" si="142"/>
        <v>0</v>
      </c>
      <c r="BD184" s="12">
        <f t="shared" si="143"/>
        <v>0</v>
      </c>
      <c r="BE184" s="12">
        <f t="shared" si="144"/>
        <v>0</v>
      </c>
      <c r="BF184" s="12">
        <f t="shared" si="145"/>
        <v>0</v>
      </c>
      <c r="BG184" s="12">
        <f t="shared" si="146"/>
        <v>0</v>
      </c>
      <c r="BH184" s="12">
        <f t="shared" si="147"/>
        <v>12.5</v>
      </c>
      <c r="BI184" s="12">
        <f t="shared" si="148"/>
        <v>2.1</v>
      </c>
    </row>
    <row r="185" spans="1:61" ht="15.75" customHeight="1" x14ac:dyDescent="0.25">
      <c r="A185" t="s">
        <v>290</v>
      </c>
      <c r="B185" s="3" t="s">
        <v>93</v>
      </c>
      <c r="C185" s="3" t="s">
        <v>8</v>
      </c>
      <c r="D185" s="3">
        <v>7</v>
      </c>
      <c r="E185" s="3">
        <v>106</v>
      </c>
      <c r="F185" s="3">
        <v>7</v>
      </c>
      <c r="G185" s="3">
        <v>106</v>
      </c>
      <c r="H185" s="3">
        <v>17.5</v>
      </c>
      <c r="I185" s="3">
        <v>0.64700000000000002</v>
      </c>
      <c r="J185" s="3">
        <v>0.57099999999999995</v>
      </c>
      <c r="K185" s="3">
        <v>0.42899999999999999</v>
      </c>
      <c r="L185" s="3">
        <v>0.48599999999999999</v>
      </c>
      <c r="M185" s="3">
        <v>2.2999999999999998</v>
      </c>
      <c r="N185" s="3">
        <v>6.9</v>
      </c>
      <c r="O185" s="3">
        <v>20</v>
      </c>
      <c r="P185" s="3">
        <v>1.4</v>
      </c>
      <c r="Q185" s="3">
        <v>1.9</v>
      </c>
      <c r="R185" s="3">
        <v>12.4</v>
      </c>
      <c r="S185" s="3">
        <v>20.7</v>
      </c>
      <c r="T185" s="3">
        <v>122</v>
      </c>
      <c r="U185" s="3">
        <v>112</v>
      </c>
      <c r="V185" s="3"/>
      <c r="W185" s="3">
        <v>0.3</v>
      </c>
      <c r="X185" s="3">
        <v>0.1</v>
      </c>
      <c r="Y185" s="3">
        <v>0.4</v>
      </c>
      <c r="Z185" s="3">
        <v>0.158</v>
      </c>
      <c r="AA185" s="13">
        <f>(I185/TOTAL_BASIC!$D$301)*100</f>
        <v>115.24238186236002</v>
      </c>
      <c r="AB185" s="5">
        <f t="shared" ref="AB185:AB186" si="149">(T185/100)</f>
        <v>1.22</v>
      </c>
      <c r="AC185" s="3">
        <f t="shared" ref="AC185:AC186" si="150">T185-U185</f>
        <v>10</v>
      </c>
      <c r="AD185" s="9">
        <f t="shared" ref="AD185:AD186" si="151">2*I185</f>
        <v>1.294</v>
      </c>
      <c r="AE185" s="16">
        <f t="shared" ref="AE185:AE186" si="152">IF(S185=0,0,O185/S185)</f>
        <v>0.96618357487922713</v>
      </c>
      <c r="AF185" s="16">
        <f t="shared" ref="AF185:AF186" si="153">IF(R185=0,0,O185/R185)</f>
        <v>1.6129032258064515</v>
      </c>
      <c r="AG185" s="9"/>
      <c r="AH185" s="9"/>
      <c r="AI185" s="12">
        <f t="shared" ref="AI185:AI186" si="154">(PERCENTRANK(F$3:F$298,F185))*100</f>
        <v>0.5</v>
      </c>
      <c r="AJ185" s="12">
        <f t="shared" ref="AJ185:AJ186" si="155">(PERCENTRANK(G$3:G$298,G185))*100</f>
        <v>0.5</v>
      </c>
      <c r="AK185" s="12">
        <f t="shared" ref="AK185:AK186" si="156">(PERCENTRANK(H$3:H$298,H185))*100</f>
        <v>75.900000000000006</v>
      </c>
      <c r="AL185" s="12">
        <f t="shared" ref="AL185:AL186" si="157">(PERCENTRANK(I$3:I$298,I185))*100</f>
        <v>96.1</v>
      </c>
      <c r="AM185" s="12">
        <f t="shared" ref="AM185:AM186" si="158">(PERCENTRANK(J$3:J$298,J185))*100</f>
        <v>84.6</v>
      </c>
      <c r="AN185" s="12">
        <f t="shared" ref="AN185:AN186" si="159">(PERCENTRANK(K$3:K$298,K185))*100</f>
        <v>55.7</v>
      </c>
      <c r="AO185" s="12">
        <f t="shared" ref="AO185:AO186" si="160">(PERCENTRANK(L$3:L$298,L185))*100</f>
        <v>91.8</v>
      </c>
      <c r="AP185" s="12">
        <f t="shared" ref="AP185:AP186" si="161">(PERCENTRANK(M$3:M$298,M185))*100</f>
        <v>22.900000000000002</v>
      </c>
      <c r="AQ185" s="12">
        <f t="shared" ref="AQ185:AQ186" si="162">(PERCENTRANK(N$3:N$298,N185))*100</f>
        <v>32.700000000000003</v>
      </c>
      <c r="AR185" s="12">
        <f t="shared" ref="AR185:AR186" si="163">(PERCENTRANK(O$3:O$298,O185))*100</f>
        <v>75.400000000000006</v>
      </c>
      <c r="AS185" s="12">
        <f t="shared" ref="AS185:AS186" si="164">(PERCENTRANK(P$3:P$298,P185))*100</f>
        <v>27.800000000000004</v>
      </c>
      <c r="AT185" s="12">
        <f t="shared" ref="AT185:AT186" si="165">(PERCENTRANK(Q$3:Q$298,Q185))*100</f>
        <v>63.9</v>
      </c>
      <c r="AU185" s="12">
        <f t="shared" ref="AU185:AU186" si="166">100-(PERCENTRANK(R$3:R$298,R185))*100</f>
        <v>71.099999999999994</v>
      </c>
      <c r="AV185" s="12">
        <f t="shared" ref="AV185:AV186" si="167">(PERCENTRANK(S$3:S$298,S185))*100</f>
        <v>65</v>
      </c>
      <c r="AW185" s="12">
        <f t="shared" ref="AW185:AW186" si="168">(PERCENTRANK(T$3:T$298,T185))*100</f>
        <v>89</v>
      </c>
      <c r="AX185" s="12">
        <f t="shared" ref="AX185:AX186" si="169">100-(PERCENTRANK(U$3:U$298,U185))*100</f>
        <v>38.800000000000004</v>
      </c>
      <c r="AY185" s="9"/>
      <c r="AZ185" s="12">
        <f t="shared" ref="AZ185:AZ186" si="170">(PERCENTRANK(W$3:W$298,W185))*100</f>
        <v>42</v>
      </c>
      <c r="BA185" s="12">
        <f t="shared" ref="BA185:BA186" si="171">(PERCENTRANK(X$3:X$298,X185))*100</f>
        <v>8.1</v>
      </c>
      <c r="BB185" s="12">
        <f t="shared" ref="BB185:BB186" si="172">(PERCENTRANK(Y$3:Y$298,Y185))*100</f>
        <v>28.4</v>
      </c>
      <c r="BC185" s="12">
        <f t="shared" ref="BC185:BC186" si="173">(PERCENTRANK(Z$3:Z$298,Z185))*100</f>
        <v>83.6</v>
      </c>
      <c r="BD185" s="12">
        <f t="shared" ref="BD185:BD186" si="174">(PERCENTRANK(AA$3:AA$298,AA185))*100</f>
        <v>96.1</v>
      </c>
      <c r="BE185" s="12">
        <f t="shared" ref="BE185:BE186" si="175">(PERCENTRANK(AB$3:AB$298,AB185))*100</f>
        <v>89</v>
      </c>
      <c r="BF185" s="12">
        <f t="shared" ref="BF185:BF186" si="176">(PERCENTRANK(AC$3:AC$298,AC185))*100</f>
        <v>78.100000000000009</v>
      </c>
      <c r="BG185" s="12">
        <f t="shared" ref="BG185:BG186" si="177">(PERCENTRANK(AD$3:AD$298,AD185))*100</f>
        <v>96.1</v>
      </c>
      <c r="BH185" s="12">
        <f t="shared" ref="BH185:BH186" si="178">(PERCENTRANK(AE$3:AE$298,AE185))*100</f>
        <v>70.399999999999991</v>
      </c>
      <c r="BI185" s="12">
        <f t="shared" ref="BI185:BI186" si="179">(PERCENTRANK(AF$3:AF$298,AF185))*100</f>
        <v>85.2</v>
      </c>
    </row>
    <row r="186" spans="1:61" ht="15.75" customHeight="1" x14ac:dyDescent="0.25">
      <c r="A186" t="s">
        <v>283</v>
      </c>
      <c r="B186" s="3" t="s">
        <v>240</v>
      </c>
      <c r="C186" s="3" t="s">
        <v>8</v>
      </c>
      <c r="D186" s="3">
        <v>18</v>
      </c>
      <c r="E186" s="3">
        <v>103</v>
      </c>
      <c r="F186" s="3">
        <v>18</v>
      </c>
      <c r="G186" s="3">
        <v>103</v>
      </c>
      <c r="H186" s="3">
        <v>13.1</v>
      </c>
      <c r="I186" s="3">
        <v>0.60399999999999998</v>
      </c>
      <c r="J186" s="3">
        <v>0.5</v>
      </c>
      <c r="K186" s="3">
        <v>0.29399999999999998</v>
      </c>
      <c r="L186" s="3">
        <v>0.82399999999999995</v>
      </c>
      <c r="M186" s="3">
        <v>4.7</v>
      </c>
      <c r="N186" s="3">
        <v>8.8000000000000007</v>
      </c>
      <c r="O186" s="3">
        <v>10.5</v>
      </c>
      <c r="P186" s="3">
        <v>0.5</v>
      </c>
      <c r="Q186" s="3">
        <v>0.9</v>
      </c>
      <c r="R186" s="3">
        <v>20.6</v>
      </c>
      <c r="S186" s="3">
        <v>25.2</v>
      </c>
      <c r="T186" s="3">
        <v>103</v>
      </c>
      <c r="U186" s="3">
        <v>114</v>
      </c>
      <c r="V186" s="3"/>
      <c r="W186" s="3">
        <v>0.1</v>
      </c>
      <c r="X186" s="3">
        <v>0.1</v>
      </c>
      <c r="Y186" s="3">
        <v>0.1</v>
      </c>
      <c r="Z186" s="3">
        <v>4.2000000000000003E-2</v>
      </c>
      <c r="AA186" s="13">
        <f>(I186/TOTAL_BASIC!$D$301)*100</f>
        <v>107.58330547892649</v>
      </c>
      <c r="AB186" s="5">
        <f t="shared" si="149"/>
        <v>1.03</v>
      </c>
      <c r="AC186" s="3">
        <f t="shared" si="150"/>
        <v>-11</v>
      </c>
      <c r="AD186" s="9">
        <f t="shared" si="151"/>
        <v>1.208</v>
      </c>
      <c r="AE186" s="16">
        <f t="shared" si="152"/>
        <v>0.41666666666666669</v>
      </c>
      <c r="AF186" s="16">
        <f t="shared" si="153"/>
        <v>0.50970873786407767</v>
      </c>
      <c r="AG186" s="9"/>
      <c r="AH186" s="9"/>
      <c r="AI186" s="12">
        <f t="shared" si="154"/>
        <v>12.5</v>
      </c>
      <c r="AJ186" s="12">
        <f t="shared" si="155"/>
        <v>0</v>
      </c>
      <c r="AK186" s="12">
        <f t="shared" si="156"/>
        <v>51.300000000000004</v>
      </c>
      <c r="AL186" s="12">
        <f t="shared" si="157"/>
        <v>77.5</v>
      </c>
      <c r="AM186" s="12">
        <f t="shared" si="158"/>
        <v>44.2</v>
      </c>
      <c r="AN186" s="12">
        <f t="shared" si="159"/>
        <v>28.9</v>
      </c>
      <c r="AO186" s="12">
        <f t="shared" si="160"/>
        <v>98.9</v>
      </c>
      <c r="AP186" s="12">
        <f t="shared" si="161"/>
        <v>53.5</v>
      </c>
      <c r="AQ186" s="12">
        <f t="shared" si="162"/>
        <v>48.6</v>
      </c>
      <c r="AR186" s="12">
        <f t="shared" si="163"/>
        <v>30</v>
      </c>
      <c r="AS186" s="12">
        <f t="shared" si="164"/>
        <v>1.6</v>
      </c>
      <c r="AT186" s="12">
        <f t="shared" si="165"/>
        <v>34.4</v>
      </c>
      <c r="AU186" s="12">
        <f t="shared" si="166"/>
        <v>11</v>
      </c>
      <c r="AV186" s="12">
        <f t="shared" si="167"/>
        <v>84.6</v>
      </c>
      <c r="AW186" s="12">
        <f t="shared" si="168"/>
        <v>34.4</v>
      </c>
      <c r="AX186" s="12">
        <f t="shared" si="169"/>
        <v>25.700000000000003</v>
      </c>
      <c r="AY186" s="9"/>
      <c r="AZ186" s="12">
        <f t="shared" si="170"/>
        <v>31.1</v>
      </c>
      <c r="BA186" s="12">
        <f t="shared" si="171"/>
        <v>8.1</v>
      </c>
      <c r="BB186" s="12">
        <f t="shared" si="172"/>
        <v>13.600000000000001</v>
      </c>
      <c r="BC186" s="12">
        <f t="shared" si="173"/>
        <v>31.1</v>
      </c>
      <c r="BD186" s="12">
        <f t="shared" si="174"/>
        <v>77.5</v>
      </c>
      <c r="BE186" s="12">
        <f t="shared" si="175"/>
        <v>34.4</v>
      </c>
      <c r="BF186" s="12">
        <f t="shared" si="176"/>
        <v>26.700000000000003</v>
      </c>
      <c r="BG186" s="12">
        <f t="shared" si="177"/>
        <v>77.5</v>
      </c>
      <c r="BH186" s="12">
        <f t="shared" si="178"/>
        <v>10.299999999999999</v>
      </c>
      <c r="BI186" s="12">
        <f t="shared" si="179"/>
        <v>13.100000000000001</v>
      </c>
    </row>
    <row r="187" spans="1:61" ht="15.75" customHeight="1" x14ac:dyDescent="0.25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13"/>
      <c r="AB187" s="5"/>
      <c r="AC187" s="3"/>
      <c r="AD187" s="9"/>
      <c r="AE187" s="16"/>
      <c r="AF187" s="16"/>
      <c r="AG187" s="9"/>
      <c r="AH187" s="9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9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</row>
    <row r="188" spans="1:61" ht="15.75" customHeight="1" x14ac:dyDescent="0.25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13"/>
      <c r="AB188" s="5"/>
      <c r="AC188" s="3"/>
      <c r="AD188" s="9"/>
      <c r="AE188" s="16"/>
      <c r="AF188" s="16"/>
      <c r="AG188" s="9"/>
      <c r="AH188" s="9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9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</row>
    <row r="189" spans="1:61" ht="15.75" customHeight="1" x14ac:dyDescent="0.25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13"/>
      <c r="AB189" s="5"/>
      <c r="AC189" s="3"/>
      <c r="AD189" s="9"/>
      <c r="AE189" s="16"/>
      <c r="AF189" s="16"/>
      <c r="AG189" s="9"/>
      <c r="AH189" s="9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9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</row>
    <row r="190" spans="1:61" ht="15.75" customHeight="1" x14ac:dyDescent="0.25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13"/>
      <c r="AB190" s="5"/>
      <c r="AC190" s="3"/>
      <c r="AD190" s="9"/>
      <c r="AE190" s="16"/>
      <c r="AF190" s="16"/>
      <c r="AG190" s="9"/>
      <c r="AH190" s="9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9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</row>
    <row r="191" spans="1:61" ht="15.75" customHeight="1" x14ac:dyDescent="0.25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13"/>
      <c r="AB191" s="5"/>
      <c r="AC191" s="3"/>
      <c r="AD191" s="9"/>
      <c r="AE191" s="16"/>
      <c r="AF191" s="16"/>
      <c r="AG191" s="9"/>
      <c r="AH191" s="9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9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</row>
    <row r="192" spans="1:61" ht="15.75" customHeight="1" x14ac:dyDescent="0.25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13"/>
      <c r="AB192" s="5"/>
      <c r="AC192" s="3"/>
      <c r="AD192" s="9"/>
      <c r="AE192" s="16"/>
      <c r="AF192" s="16"/>
      <c r="AG192" s="9"/>
      <c r="AH192" s="9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9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</row>
    <row r="193" spans="2:61" ht="15.75" customHeight="1" x14ac:dyDescent="0.25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13"/>
      <c r="AB193" s="5"/>
      <c r="AC193" s="3"/>
      <c r="AD193" s="9"/>
      <c r="AE193" s="16"/>
      <c r="AF193" s="16"/>
      <c r="AG193" s="9"/>
      <c r="AH193" s="9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9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</row>
    <row r="194" spans="2:61" ht="15.75" customHeight="1" x14ac:dyDescent="0.25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13"/>
      <c r="AB194" s="5"/>
      <c r="AC194" s="3"/>
      <c r="AD194" s="9"/>
      <c r="AE194" s="16"/>
      <c r="AF194" s="16"/>
      <c r="AG194" s="9"/>
      <c r="AH194" s="9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9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</row>
    <row r="195" spans="2:61" ht="15.75" customHeight="1" x14ac:dyDescent="0.25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13"/>
      <c r="AB195" s="5"/>
      <c r="AC195" s="3"/>
      <c r="AD195" s="9"/>
      <c r="AE195" s="16"/>
      <c r="AF195" s="16"/>
      <c r="AG195" s="9"/>
      <c r="AH195" s="9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9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</row>
    <row r="196" spans="2:61" ht="15.75" customHeight="1" x14ac:dyDescent="0.25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13"/>
      <c r="AB196" s="5"/>
      <c r="AC196" s="3"/>
      <c r="AD196" s="9"/>
      <c r="AE196" s="16"/>
      <c r="AF196" s="16"/>
      <c r="AG196" s="9"/>
      <c r="AH196" s="9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9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</row>
    <row r="197" spans="2:61" ht="15.75" customHeight="1" x14ac:dyDescent="0.25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13"/>
      <c r="AB197" s="5"/>
      <c r="AC197" s="3"/>
      <c r="AD197" s="9"/>
      <c r="AE197" s="16"/>
      <c r="AF197" s="16"/>
      <c r="AG197" s="9"/>
      <c r="AH197" s="9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9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</row>
    <row r="198" spans="2:61" ht="15.75" customHeight="1" x14ac:dyDescent="0.25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13"/>
      <c r="AB198" s="5"/>
      <c r="AC198" s="3"/>
      <c r="AD198" s="9"/>
      <c r="AE198" s="16"/>
      <c r="AF198" s="16"/>
      <c r="AG198" s="9"/>
      <c r="AH198" s="9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9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</row>
    <row r="199" spans="2:61" ht="15.75" customHeight="1" x14ac:dyDescent="0.25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13"/>
      <c r="AB199" s="5"/>
      <c r="AC199" s="3"/>
      <c r="AD199" s="9"/>
      <c r="AE199" s="16"/>
      <c r="AF199" s="16"/>
      <c r="AG199" s="9"/>
      <c r="AH199" s="9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9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</row>
    <row r="200" spans="2:61" ht="15.75" customHeight="1" x14ac:dyDescent="0.25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13"/>
      <c r="AB200" s="5"/>
      <c r="AC200" s="3"/>
      <c r="AD200" s="9"/>
      <c r="AE200" s="16"/>
      <c r="AF200" s="16"/>
      <c r="AG200" s="9"/>
      <c r="AH200" s="9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9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</row>
    <row r="201" spans="2:61" ht="15.75" customHeight="1" x14ac:dyDescent="0.25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13"/>
      <c r="AB201" s="5"/>
      <c r="AC201" s="3"/>
      <c r="AD201" s="9"/>
      <c r="AE201" s="16"/>
      <c r="AF201" s="16"/>
      <c r="AG201" s="9"/>
      <c r="AH201" s="9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9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</row>
    <row r="202" spans="2:61" ht="15.75" customHeight="1" x14ac:dyDescent="0.25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13"/>
      <c r="AB202" s="5"/>
      <c r="AC202" s="3"/>
      <c r="AD202" s="9"/>
      <c r="AE202" s="16"/>
      <c r="AF202" s="16"/>
      <c r="AG202" s="9"/>
      <c r="AH202" s="9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9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</row>
    <row r="203" spans="2:61" ht="15.75" customHeight="1" x14ac:dyDescent="0.25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13"/>
      <c r="AB203" s="5"/>
      <c r="AC203" s="3"/>
      <c r="AD203" s="9"/>
      <c r="AE203" s="16"/>
      <c r="AF203" s="16"/>
      <c r="AG203" s="9"/>
      <c r="AH203" s="9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9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</row>
    <row r="204" spans="2:61" ht="15.75" customHeight="1" x14ac:dyDescent="0.25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13"/>
      <c r="AB204" s="5"/>
      <c r="AC204" s="3"/>
      <c r="AD204" s="9"/>
      <c r="AE204" s="16"/>
      <c r="AF204" s="16"/>
      <c r="AG204" s="9"/>
      <c r="AH204" s="9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9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</row>
    <row r="205" spans="2:61" ht="15.75" customHeight="1" x14ac:dyDescent="0.25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13"/>
      <c r="AB205" s="5"/>
      <c r="AC205" s="3"/>
      <c r="AD205" s="9"/>
      <c r="AE205" s="16"/>
      <c r="AF205" s="16"/>
      <c r="AG205" s="9"/>
      <c r="AH205" s="9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9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</row>
    <row r="206" spans="2:61" ht="15.75" customHeight="1" x14ac:dyDescent="0.25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13"/>
      <c r="AB206" s="5"/>
      <c r="AC206" s="3"/>
      <c r="AD206" s="9"/>
      <c r="AE206" s="16"/>
      <c r="AF206" s="16"/>
      <c r="AG206" s="9"/>
      <c r="AH206" s="9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9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</row>
    <row r="207" spans="2:61" ht="15.75" customHeight="1" x14ac:dyDescent="0.25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13"/>
      <c r="AB207" s="5"/>
      <c r="AC207" s="3"/>
      <c r="AD207" s="9"/>
      <c r="AE207" s="16"/>
      <c r="AF207" s="16"/>
      <c r="AG207" s="9"/>
      <c r="AH207" s="9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9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</row>
    <row r="208" spans="2:61" ht="15.75" customHeight="1" x14ac:dyDescent="0.25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13"/>
      <c r="AB208" s="5"/>
      <c r="AC208" s="3"/>
      <c r="AD208" s="9"/>
      <c r="AE208" s="16"/>
      <c r="AF208" s="16"/>
      <c r="AG208" s="9"/>
      <c r="AH208" s="9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9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</row>
    <row r="209" spans="2:61" ht="15.75" customHeight="1" x14ac:dyDescent="0.25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13"/>
      <c r="AB209" s="5"/>
      <c r="AC209" s="3"/>
      <c r="AD209" s="9"/>
      <c r="AE209" s="16"/>
      <c r="AF209" s="16"/>
      <c r="AG209" s="9"/>
      <c r="AH209" s="9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9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</row>
    <row r="210" spans="2:61" ht="15.75" customHeight="1" x14ac:dyDescent="0.25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13"/>
      <c r="AB210" s="5"/>
      <c r="AC210" s="3"/>
      <c r="AD210" s="9"/>
      <c r="AE210" s="16"/>
      <c r="AF210" s="16"/>
      <c r="AG210" s="9"/>
      <c r="AH210" s="9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9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</row>
    <row r="211" spans="2:61" ht="15.75" customHeight="1" x14ac:dyDescent="0.25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13"/>
      <c r="AB211" s="5"/>
      <c r="AC211" s="3"/>
      <c r="AD211" s="9"/>
      <c r="AE211" s="16"/>
      <c r="AF211" s="16"/>
      <c r="AG211" s="9"/>
      <c r="AH211" s="9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9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</row>
    <row r="212" spans="2:61" ht="15.75" customHeight="1" x14ac:dyDescent="0.25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13"/>
      <c r="AB212" s="5"/>
      <c r="AC212" s="3"/>
      <c r="AD212" s="9"/>
      <c r="AE212" s="16"/>
      <c r="AF212" s="16"/>
      <c r="AG212" s="9"/>
      <c r="AH212" s="9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9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</row>
    <row r="213" spans="2:61" ht="15.75" customHeight="1" x14ac:dyDescent="0.25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13"/>
      <c r="AB213" s="5"/>
      <c r="AC213" s="3"/>
      <c r="AD213" s="9"/>
      <c r="AE213" s="16"/>
      <c r="AF213" s="16"/>
      <c r="AG213" s="9"/>
      <c r="AH213" s="9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9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</row>
    <row r="214" spans="2:61" ht="15.75" customHeight="1" x14ac:dyDescent="0.25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13"/>
      <c r="AB214" s="5"/>
      <c r="AC214" s="3"/>
      <c r="AD214" s="9"/>
      <c r="AE214" s="16"/>
      <c r="AF214" s="16"/>
      <c r="AG214" s="9"/>
      <c r="AH214" s="9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9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</row>
    <row r="215" spans="2:61" ht="15.75" customHeight="1" x14ac:dyDescent="0.25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13"/>
      <c r="AB215" s="5"/>
      <c r="AC215" s="3"/>
      <c r="AD215" s="9"/>
      <c r="AE215" s="16"/>
      <c r="AF215" s="16"/>
      <c r="AG215" s="9"/>
      <c r="AH215" s="9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9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</row>
    <row r="216" spans="2:61" ht="15.75" customHeight="1" x14ac:dyDescent="0.25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13"/>
      <c r="AB216" s="5"/>
      <c r="AC216" s="3"/>
      <c r="AD216" s="9"/>
      <c r="AE216" s="16"/>
      <c r="AF216" s="16"/>
      <c r="AG216" s="9"/>
      <c r="AH216" s="9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9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</row>
    <row r="217" spans="2:61" ht="15.75" customHeight="1" x14ac:dyDescent="0.25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13"/>
      <c r="AB217" s="5"/>
      <c r="AC217" s="3"/>
      <c r="AD217" s="9"/>
      <c r="AE217" s="16"/>
      <c r="AF217" s="16"/>
      <c r="AG217" s="9"/>
      <c r="AH217" s="9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9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</row>
    <row r="218" spans="2:61" ht="15.75" customHeight="1" x14ac:dyDescent="0.25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13"/>
      <c r="AB218" s="5"/>
      <c r="AC218" s="3"/>
      <c r="AD218" s="9"/>
      <c r="AE218" s="16"/>
      <c r="AF218" s="16"/>
      <c r="AG218" s="9"/>
      <c r="AH218" s="9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9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</row>
    <row r="219" spans="2:61" ht="15.75" customHeight="1" x14ac:dyDescent="0.25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13"/>
      <c r="AB219" s="5"/>
      <c r="AC219" s="3"/>
      <c r="AD219" s="9"/>
      <c r="AE219" s="16"/>
      <c r="AF219" s="16"/>
      <c r="AG219" s="9"/>
      <c r="AH219" s="9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9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</row>
    <row r="220" spans="2:61" ht="15.75" customHeight="1" x14ac:dyDescent="0.25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13"/>
      <c r="AB220" s="5"/>
      <c r="AC220" s="3"/>
      <c r="AD220" s="9"/>
      <c r="AE220" s="16"/>
      <c r="AF220" s="16"/>
      <c r="AG220" s="9"/>
      <c r="AH220" s="9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9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</row>
    <row r="221" spans="2:61" ht="15.75" customHeight="1" x14ac:dyDescent="0.25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13"/>
      <c r="AB221" s="5"/>
      <c r="AC221" s="3"/>
      <c r="AD221" s="9"/>
      <c r="AE221" s="16"/>
      <c r="AF221" s="16"/>
      <c r="AG221" s="9"/>
      <c r="AH221" s="9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9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</row>
    <row r="222" spans="2:61" ht="15.75" customHeight="1" x14ac:dyDescent="0.25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13"/>
      <c r="AB222" s="5"/>
      <c r="AC222" s="3"/>
      <c r="AD222" s="9"/>
      <c r="AE222" s="16"/>
      <c r="AF222" s="16"/>
      <c r="AG222" s="9"/>
      <c r="AH222" s="9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9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</row>
    <row r="223" spans="2:61" ht="15.75" customHeight="1" x14ac:dyDescent="0.25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13"/>
      <c r="AB223" s="5"/>
      <c r="AC223" s="3"/>
      <c r="AD223" s="9"/>
      <c r="AE223" s="16"/>
      <c r="AF223" s="16"/>
      <c r="AG223" s="9"/>
      <c r="AH223" s="9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9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</row>
    <row r="224" spans="2:61" ht="15.75" customHeight="1" x14ac:dyDescent="0.25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13"/>
      <c r="AB224" s="5"/>
      <c r="AC224" s="3"/>
      <c r="AD224" s="9"/>
      <c r="AE224" s="16"/>
      <c r="AF224" s="16"/>
      <c r="AG224" s="9"/>
      <c r="AH224" s="9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9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</row>
    <row r="225" spans="2:61" ht="15.75" customHeight="1" x14ac:dyDescent="0.25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13"/>
      <c r="AB225" s="5"/>
      <c r="AC225" s="3"/>
      <c r="AD225" s="9"/>
      <c r="AE225" s="16"/>
      <c r="AF225" s="16"/>
      <c r="AG225" s="9"/>
      <c r="AH225" s="9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9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</row>
    <row r="226" spans="2:61" ht="15.75" customHeight="1" x14ac:dyDescent="0.25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13"/>
      <c r="AB226" s="5"/>
      <c r="AC226" s="3"/>
      <c r="AD226" s="9"/>
      <c r="AE226" s="16"/>
      <c r="AF226" s="16"/>
      <c r="AG226" s="9"/>
      <c r="AH226" s="9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9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</row>
    <row r="227" spans="2:61" ht="15.75" customHeight="1" x14ac:dyDescent="0.25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13"/>
      <c r="AB227" s="5"/>
      <c r="AC227" s="3"/>
      <c r="AD227" s="9"/>
      <c r="AE227" s="16"/>
      <c r="AF227" s="16"/>
      <c r="AG227" s="9"/>
      <c r="AH227" s="9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9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</row>
    <row r="228" spans="2:61" ht="15.75" customHeight="1" x14ac:dyDescent="0.25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13"/>
      <c r="AB228" s="5"/>
      <c r="AC228" s="3"/>
      <c r="AD228" s="9"/>
      <c r="AE228" s="16"/>
      <c r="AF228" s="16"/>
      <c r="AG228" s="9"/>
      <c r="AH228" s="9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9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</row>
    <row r="229" spans="2:61" ht="15.75" customHeight="1" x14ac:dyDescent="0.25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13"/>
      <c r="AB229" s="5"/>
      <c r="AC229" s="3"/>
      <c r="AD229" s="9"/>
      <c r="AE229" s="16"/>
      <c r="AF229" s="16"/>
      <c r="AG229" s="9"/>
      <c r="AH229" s="9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9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</row>
    <row r="230" spans="2:61" ht="15.75" customHeight="1" x14ac:dyDescent="0.25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13"/>
      <c r="AB230" s="5"/>
      <c r="AC230" s="3"/>
      <c r="AD230" s="9"/>
      <c r="AE230" s="16"/>
      <c r="AF230" s="16"/>
      <c r="AG230" s="9"/>
      <c r="AH230" s="9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9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</row>
    <row r="231" spans="2:61" ht="15.75" customHeight="1" x14ac:dyDescent="0.25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13"/>
      <c r="AB231" s="5"/>
      <c r="AC231" s="3"/>
      <c r="AD231" s="9"/>
      <c r="AE231" s="16"/>
      <c r="AF231" s="16"/>
      <c r="AG231" s="9"/>
      <c r="AH231" s="9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9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</row>
    <row r="232" spans="2:61" ht="15.75" customHeight="1" x14ac:dyDescent="0.25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13"/>
      <c r="AB232" s="5"/>
      <c r="AC232" s="3"/>
      <c r="AD232" s="9"/>
      <c r="AE232" s="16"/>
      <c r="AF232" s="16"/>
      <c r="AG232" s="9"/>
      <c r="AH232" s="9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9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</row>
    <row r="233" spans="2:61" ht="15.75" customHeight="1" x14ac:dyDescent="0.25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13"/>
      <c r="AB233" s="5"/>
      <c r="AC233" s="3"/>
      <c r="AD233" s="9"/>
      <c r="AE233" s="16"/>
      <c r="AF233" s="16"/>
      <c r="AG233" s="9"/>
      <c r="AH233" s="9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9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</row>
    <row r="234" spans="2:61" ht="15.75" customHeight="1" x14ac:dyDescent="0.25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13"/>
      <c r="AB234" s="5"/>
      <c r="AC234" s="3"/>
      <c r="AD234" s="9"/>
      <c r="AE234" s="16"/>
      <c r="AF234" s="16"/>
      <c r="AG234" s="9"/>
      <c r="AH234" s="9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9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</row>
    <row r="235" spans="2:61" ht="15.75" customHeight="1" x14ac:dyDescent="0.25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13"/>
      <c r="AB235" s="5"/>
      <c r="AC235" s="3"/>
      <c r="AD235" s="9"/>
      <c r="AE235" s="16"/>
      <c r="AF235" s="16"/>
      <c r="AG235" s="9"/>
      <c r="AH235" s="9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9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</row>
    <row r="236" spans="2:61" ht="15.75" customHeight="1" x14ac:dyDescent="0.25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13"/>
      <c r="AB236" s="5"/>
      <c r="AC236" s="3"/>
      <c r="AD236" s="9"/>
      <c r="AE236" s="16"/>
      <c r="AF236" s="16"/>
      <c r="AG236" s="9"/>
      <c r="AH236" s="9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9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</row>
    <row r="237" spans="2:61" ht="15.75" customHeight="1" x14ac:dyDescent="0.25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13"/>
      <c r="AB237" s="5"/>
      <c r="AC237" s="3"/>
      <c r="AD237" s="9"/>
      <c r="AE237" s="16"/>
      <c r="AF237" s="16"/>
      <c r="AG237" s="9"/>
      <c r="AH237" s="9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9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</row>
    <row r="238" spans="2:61" ht="15.75" customHeight="1" x14ac:dyDescent="0.25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13"/>
      <c r="AB238" s="5"/>
      <c r="AC238" s="3"/>
      <c r="AD238" s="9"/>
      <c r="AE238" s="16"/>
      <c r="AF238" s="16"/>
      <c r="AG238" s="9"/>
      <c r="AH238" s="9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9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</row>
    <row r="239" spans="2:61" ht="15.75" customHeight="1" x14ac:dyDescent="0.25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13"/>
      <c r="AB239" s="5"/>
      <c r="AC239" s="3"/>
      <c r="AD239" s="9"/>
      <c r="AE239" s="16"/>
      <c r="AF239" s="16"/>
      <c r="AG239" s="9"/>
      <c r="AH239" s="9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9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</row>
    <row r="240" spans="2:61" ht="15.75" customHeight="1" x14ac:dyDescent="0.25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13"/>
      <c r="AB240" s="5"/>
      <c r="AC240" s="3"/>
      <c r="AD240" s="9"/>
      <c r="AE240" s="16"/>
      <c r="AF240" s="16"/>
      <c r="AG240" s="9"/>
      <c r="AH240" s="9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9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</row>
    <row r="241" spans="2:61" ht="15.75" customHeight="1" x14ac:dyDescent="0.25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13"/>
      <c r="AB241" s="5"/>
      <c r="AC241" s="3"/>
      <c r="AD241" s="9"/>
      <c r="AE241" s="16"/>
      <c r="AF241" s="16"/>
      <c r="AG241" s="9"/>
      <c r="AH241" s="9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9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</row>
    <row r="242" spans="2:61" ht="15.75" customHeight="1" x14ac:dyDescent="0.25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13"/>
      <c r="AB242" s="5"/>
      <c r="AC242" s="3"/>
      <c r="AD242" s="9"/>
      <c r="AE242" s="16"/>
      <c r="AF242" s="16"/>
      <c r="AG242" s="9"/>
      <c r="AH242" s="9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9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</row>
    <row r="243" spans="2:61" ht="15.75" customHeight="1" x14ac:dyDescent="0.25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13"/>
      <c r="AB243" s="5"/>
      <c r="AC243" s="3"/>
      <c r="AD243" s="9"/>
      <c r="AE243" s="16"/>
      <c r="AF243" s="16"/>
      <c r="AG243" s="9"/>
      <c r="AH243" s="9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9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</row>
    <row r="244" spans="2:61" ht="15.75" customHeight="1" x14ac:dyDescent="0.25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13"/>
      <c r="AB244" s="5"/>
      <c r="AC244" s="3"/>
      <c r="AD244" s="9"/>
      <c r="AE244" s="16"/>
      <c r="AF244" s="16"/>
      <c r="AG244" s="9"/>
      <c r="AH244" s="9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9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</row>
    <row r="245" spans="2:61" ht="15.75" customHeight="1" x14ac:dyDescent="0.25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13"/>
      <c r="AB245" s="5"/>
      <c r="AC245" s="3"/>
      <c r="AD245" s="9"/>
      <c r="AE245" s="16"/>
      <c r="AF245" s="16"/>
      <c r="AG245" s="9"/>
      <c r="AH245" s="9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9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</row>
    <row r="246" spans="2:61" ht="15.75" customHeight="1" x14ac:dyDescent="0.25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13"/>
      <c r="AB246" s="5"/>
      <c r="AC246" s="3"/>
      <c r="AD246" s="9"/>
      <c r="AE246" s="16"/>
      <c r="AF246" s="16"/>
      <c r="AG246" s="9"/>
      <c r="AH246" s="9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9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</row>
    <row r="247" spans="2:61" ht="15.75" customHeight="1" x14ac:dyDescent="0.25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13"/>
      <c r="AB247" s="5"/>
      <c r="AC247" s="3"/>
      <c r="AD247" s="9"/>
      <c r="AE247" s="16"/>
      <c r="AF247" s="16"/>
      <c r="AG247" s="9"/>
      <c r="AH247" s="9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9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</row>
    <row r="248" spans="2:61" ht="15.75" customHeight="1" x14ac:dyDescent="0.25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13"/>
      <c r="AB248" s="5"/>
      <c r="AC248" s="3"/>
      <c r="AD248" s="9"/>
      <c r="AE248" s="16"/>
      <c r="AF248" s="16"/>
      <c r="AG248" s="9"/>
      <c r="AH248" s="9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9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</row>
    <row r="249" spans="2:61" ht="15.75" customHeight="1" x14ac:dyDescent="0.25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13"/>
      <c r="AB249" s="5"/>
      <c r="AC249" s="3"/>
      <c r="AD249" s="9"/>
      <c r="AE249" s="16"/>
      <c r="AF249" s="16"/>
      <c r="AG249" s="9"/>
      <c r="AH249" s="9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9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</row>
    <row r="250" spans="2:61" ht="15.75" customHeight="1" x14ac:dyDescent="0.25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13"/>
      <c r="AB250" s="5"/>
      <c r="AC250" s="3"/>
      <c r="AD250" s="9"/>
      <c r="AE250" s="16"/>
      <c r="AF250" s="16"/>
      <c r="AG250" s="9"/>
      <c r="AH250" s="9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9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</row>
    <row r="251" spans="2:61" ht="15.75" customHeight="1" x14ac:dyDescent="0.25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13"/>
      <c r="AB251" s="5"/>
      <c r="AC251" s="3"/>
      <c r="AD251" s="9"/>
      <c r="AE251" s="16"/>
      <c r="AF251" s="16"/>
      <c r="AG251" s="9"/>
      <c r="AH251" s="9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9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</row>
    <row r="252" spans="2:61" ht="15.75" customHeight="1" x14ac:dyDescent="0.25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13"/>
      <c r="AB252" s="5"/>
      <c r="AC252" s="3"/>
      <c r="AD252" s="9"/>
      <c r="AE252" s="16"/>
      <c r="AF252" s="16"/>
      <c r="AG252" s="9"/>
      <c r="AH252" s="9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9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</row>
    <row r="253" spans="2:61" ht="15.75" customHeight="1" x14ac:dyDescent="0.25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13"/>
      <c r="AB253" s="5"/>
      <c r="AC253" s="3"/>
      <c r="AD253" s="9"/>
      <c r="AE253" s="16"/>
      <c r="AF253" s="16"/>
      <c r="AG253" s="9"/>
      <c r="AH253" s="9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9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</row>
    <row r="254" spans="2:61" ht="15.75" customHeight="1" x14ac:dyDescent="0.25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13"/>
      <c r="AB254" s="5"/>
      <c r="AC254" s="3"/>
      <c r="AD254" s="9"/>
      <c r="AE254" s="16"/>
      <c r="AF254" s="16"/>
      <c r="AG254" s="9"/>
      <c r="AH254" s="9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9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</row>
    <row r="255" spans="2:61" ht="15.75" customHeight="1" x14ac:dyDescent="0.25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13"/>
      <c r="AB255" s="5"/>
      <c r="AC255" s="3"/>
      <c r="AD255" s="9"/>
      <c r="AE255" s="16"/>
      <c r="AF255" s="16"/>
      <c r="AG255" s="9"/>
      <c r="AH255" s="9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9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</row>
    <row r="256" spans="2:61" ht="15.75" customHeight="1" x14ac:dyDescent="0.25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13"/>
      <c r="AB256" s="5"/>
      <c r="AC256" s="3"/>
      <c r="AD256" s="9"/>
      <c r="AE256" s="16"/>
      <c r="AF256" s="16"/>
      <c r="AG256" s="9"/>
      <c r="AH256" s="9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9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</row>
    <row r="257" spans="2:61" ht="15.75" customHeight="1" x14ac:dyDescent="0.25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13"/>
      <c r="AB257" s="5"/>
      <c r="AC257" s="3"/>
      <c r="AD257" s="9"/>
      <c r="AE257" s="16"/>
      <c r="AF257" s="16"/>
      <c r="AG257" s="9"/>
      <c r="AH257" s="9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9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</row>
    <row r="258" spans="2:61" ht="15.75" customHeight="1" x14ac:dyDescent="0.25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13"/>
      <c r="AB258" s="5"/>
      <c r="AC258" s="3"/>
      <c r="AD258" s="9"/>
      <c r="AE258" s="16"/>
      <c r="AF258" s="16"/>
      <c r="AG258" s="9"/>
      <c r="AH258" s="9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9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</row>
    <row r="259" spans="2:61" ht="15.75" customHeight="1" x14ac:dyDescent="0.25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13"/>
      <c r="AB259" s="5"/>
      <c r="AC259" s="3"/>
      <c r="AD259" s="9"/>
      <c r="AE259" s="16"/>
      <c r="AF259" s="16"/>
      <c r="AG259" s="9"/>
      <c r="AH259" s="9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9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</row>
    <row r="260" spans="2:61" ht="15.75" customHeight="1" x14ac:dyDescent="0.25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13"/>
      <c r="AB260" s="5"/>
      <c r="AC260" s="3"/>
      <c r="AD260" s="9"/>
      <c r="AE260" s="16"/>
      <c r="AF260" s="16"/>
      <c r="AG260" s="9"/>
      <c r="AH260" s="9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9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</row>
    <row r="261" spans="2:61" ht="15.75" customHeight="1" x14ac:dyDescent="0.25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13"/>
      <c r="AB261" s="5"/>
      <c r="AC261" s="3"/>
      <c r="AD261" s="9"/>
      <c r="AE261" s="16"/>
      <c r="AF261" s="16"/>
      <c r="AG261" s="9"/>
      <c r="AH261" s="9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9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</row>
    <row r="262" spans="2:61" ht="15.75" customHeight="1" x14ac:dyDescent="0.25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13"/>
      <c r="AB262" s="5"/>
      <c r="AC262" s="3"/>
      <c r="AD262" s="9"/>
      <c r="AE262" s="16"/>
      <c r="AF262" s="16"/>
      <c r="AG262" s="9"/>
      <c r="AH262" s="9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9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</row>
    <row r="263" spans="2:61" ht="15.75" customHeight="1" x14ac:dyDescent="0.25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13"/>
      <c r="AB263" s="5"/>
      <c r="AC263" s="3"/>
      <c r="AD263" s="9"/>
      <c r="AE263" s="16"/>
      <c r="AF263" s="16"/>
      <c r="AG263" s="9"/>
      <c r="AH263" s="9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9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</row>
    <row r="264" spans="2:61" ht="15.75" customHeight="1" x14ac:dyDescent="0.25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13"/>
      <c r="AB264" s="5"/>
      <c r="AC264" s="3"/>
      <c r="AD264" s="9"/>
      <c r="AE264" s="16"/>
      <c r="AF264" s="16"/>
      <c r="AG264" s="9"/>
      <c r="AH264" s="9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9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</row>
    <row r="265" spans="2:61" ht="15.75" customHeight="1" x14ac:dyDescent="0.25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13"/>
      <c r="AB265" s="5"/>
      <c r="AC265" s="3"/>
      <c r="AD265" s="9"/>
      <c r="AE265" s="16"/>
      <c r="AF265" s="16"/>
      <c r="AG265" s="9"/>
      <c r="AH265" s="9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9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</row>
    <row r="266" spans="2:61" ht="15.75" customHeight="1" x14ac:dyDescent="0.25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13"/>
      <c r="AB266" s="5"/>
      <c r="AC266" s="3"/>
      <c r="AD266" s="9"/>
      <c r="AE266" s="16"/>
      <c r="AF266" s="16"/>
      <c r="AG266" s="9"/>
      <c r="AH266" s="9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9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</row>
    <row r="267" spans="2:61" ht="15.75" customHeight="1" x14ac:dyDescent="0.25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13"/>
      <c r="AB267" s="5"/>
      <c r="AC267" s="3"/>
      <c r="AD267" s="9"/>
      <c r="AE267" s="16"/>
      <c r="AF267" s="16"/>
      <c r="AG267" s="9"/>
      <c r="AH267" s="9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9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</row>
    <row r="268" spans="2:61" ht="15.75" customHeight="1" x14ac:dyDescent="0.25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13"/>
      <c r="AB268" s="5"/>
      <c r="AC268" s="3"/>
      <c r="AD268" s="9"/>
      <c r="AE268" s="16"/>
      <c r="AF268" s="16"/>
      <c r="AG268" s="9"/>
      <c r="AH268" s="9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9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</row>
    <row r="269" spans="2:61" ht="15.75" customHeight="1" x14ac:dyDescent="0.25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13"/>
      <c r="AB269" s="5"/>
      <c r="AC269" s="3"/>
      <c r="AD269" s="9"/>
      <c r="AE269" s="16"/>
      <c r="AF269" s="16"/>
      <c r="AG269" s="9"/>
      <c r="AH269" s="9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9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</row>
    <row r="270" spans="2:61" ht="15.75" customHeight="1" x14ac:dyDescent="0.25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13"/>
      <c r="AB270" s="5"/>
      <c r="AC270" s="3"/>
      <c r="AD270" s="9"/>
      <c r="AE270" s="16"/>
      <c r="AF270" s="16"/>
      <c r="AG270" s="9"/>
      <c r="AH270" s="9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9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</row>
    <row r="271" spans="2:61" ht="15.75" customHeight="1" x14ac:dyDescent="0.25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13"/>
      <c r="AB271" s="5"/>
      <c r="AC271" s="3"/>
      <c r="AD271" s="9"/>
      <c r="AE271" s="16"/>
      <c r="AF271" s="16"/>
      <c r="AG271" s="9"/>
      <c r="AH271" s="9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9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</row>
    <row r="272" spans="2:61" ht="15.75" customHeight="1" x14ac:dyDescent="0.25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13"/>
      <c r="AB272" s="5"/>
      <c r="AC272" s="3"/>
      <c r="AD272" s="9"/>
      <c r="AE272" s="16"/>
      <c r="AF272" s="16"/>
      <c r="AG272" s="9"/>
      <c r="AH272" s="9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9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</row>
    <row r="273" spans="2:61" ht="15.75" customHeight="1" x14ac:dyDescent="0.25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13"/>
      <c r="AB273" s="5"/>
      <c r="AC273" s="3"/>
      <c r="AD273" s="9"/>
      <c r="AE273" s="16"/>
      <c r="AF273" s="16"/>
      <c r="AG273" s="9"/>
      <c r="AH273" s="9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9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</row>
    <row r="274" spans="2:61" ht="15.75" customHeight="1" x14ac:dyDescent="0.25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13"/>
      <c r="AB274" s="5"/>
      <c r="AC274" s="3"/>
      <c r="AD274" s="9"/>
      <c r="AE274" s="16"/>
      <c r="AF274" s="16"/>
      <c r="AG274" s="9"/>
      <c r="AH274" s="9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9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</row>
    <row r="275" spans="2:61" ht="15.75" customHeight="1" x14ac:dyDescent="0.25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13"/>
      <c r="AB275" s="5"/>
      <c r="AC275" s="3"/>
      <c r="AD275" s="9"/>
      <c r="AE275" s="16"/>
      <c r="AF275" s="16"/>
      <c r="AG275" s="9"/>
      <c r="AH275" s="9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9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</row>
    <row r="276" spans="2:61" ht="15.75" customHeight="1" x14ac:dyDescent="0.25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13"/>
      <c r="AB276" s="5"/>
      <c r="AC276" s="3"/>
      <c r="AD276" s="9"/>
      <c r="AE276" s="16"/>
      <c r="AF276" s="16"/>
      <c r="AG276" s="9"/>
      <c r="AH276" s="9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9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</row>
    <row r="277" spans="2:61" ht="15.75" customHeight="1" x14ac:dyDescent="0.25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13"/>
      <c r="AB277" s="5"/>
      <c r="AC277" s="3"/>
      <c r="AD277" s="9"/>
      <c r="AE277" s="16"/>
      <c r="AF277" s="16"/>
      <c r="AG277" s="9"/>
      <c r="AH277" s="9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9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</row>
    <row r="278" spans="2:61" ht="15.75" customHeight="1" x14ac:dyDescent="0.25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13"/>
      <c r="AB278" s="5"/>
      <c r="AC278" s="3"/>
      <c r="AD278" s="9"/>
      <c r="AE278" s="16"/>
      <c r="AF278" s="16"/>
      <c r="AG278" s="9"/>
      <c r="AH278" s="9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9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</row>
    <row r="279" spans="2:61" ht="15.75" customHeight="1" x14ac:dyDescent="0.25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13"/>
      <c r="AB279" s="5"/>
      <c r="AC279" s="3"/>
      <c r="AD279" s="9"/>
      <c r="AE279" s="16"/>
      <c r="AF279" s="16"/>
      <c r="AG279" s="9"/>
      <c r="AH279" s="9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9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</row>
    <row r="280" spans="2:61" ht="15.75" customHeight="1" x14ac:dyDescent="0.25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13"/>
      <c r="AB280" s="5"/>
      <c r="AC280" s="3"/>
      <c r="AD280" s="9"/>
      <c r="AE280" s="16"/>
      <c r="AF280" s="16"/>
      <c r="AG280" s="9"/>
      <c r="AH280" s="9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9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</row>
    <row r="281" spans="2:61" ht="15.75" customHeight="1" x14ac:dyDescent="0.25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13"/>
      <c r="AB281" s="5"/>
      <c r="AC281" s="3"/>
      <c r="AD281" s="9"/>
      <c r="AE281" s="16"/>
      <c r="AF281" s="16"/>
      <c r="AG281" s="9"/>
      <c r="AH281" s="9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9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</row>
    <row r="282" spans="2:61" ht="15.75" customHeight="1" x14ac:dyDescent="0.25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13"/>
      <c r="AB282" s="5"/>
      <c r="AC282" s="3"/>
      <c r="AD282" s="9"/>
      <c r="AE282" s="16"/>
      <c r="AF282" s="16"/>
      <c r="AG282" s="9"/>
      <c r="AH282" s="9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9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</row>
    <row r="283" spans="2:61" ht="15.75" customHeight="1" x14ac:dyDescent="0.25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13"/>
      <c r="AB283" s="5"/>
      <c r="AC283" s="3"/>
      <c r="AD283" s="9"/>
      <c r="AE283" s="16"/>
      <c r="AF283" s="16"/>
      <c r="AG283" s="9"/>
      <c r="AH283" s="9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9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</row>
    <row r="284" spans="2:61" ht="15.75" customHeight="1" x14ac:dyDescent="0.25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13"/>
      <c r="AB284" s="5"/>
      <c r="AC284" s="3"/>
      <c r="AD284" s="9"/>
      <c r="AE284" s="16"/>
      <c r="AF284" s="16"/>
      <c r="AG284" s="9"/>
      <c r="AH284" s="9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9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</row>
    <row r="285" spans="2:61" ht="15.75" customHeight="1" x14ac:dyDescent="0.25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13"/>
      <c r="AB285" s="5"/>
      <c r="AC285" s="3"/>
      <c r="AD285" s="9"/>
      <c r="AE285" s="16"/>
      <c r="AF285" s="16"/>
      <c r="AG285" s="9"/>
      <c r="AH285" s="9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9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</row>
    <row r="286" spans="2:61" ht="15.75" customHeight="1" x14ac:dyDescent="0.25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13"/>
      <c r="AB286" s="5"/>
      <c r="AC286" s="3"/>
      <c r="AD286" s="9"/>
      <c r="AE286" s="16"/>
      <c r="AF286" s="16"/>
      <c r="AG286" s="9"/>
      <c r="AH286" s="9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9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</row>
    <row r="287" spans="2:61" ht="15.75" customHeight="1" x14ac:dyDescent="0.25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13"/>
      <c r="AB287" s="5"/>
      <c r="AC287" s="3"/>
      <c r="AD287" s="9"/>
      <c r="AE287" s="16"/>
      <c r="AF287" s="16"/>
      <c r="AG287" s="9"/>
      <c r="AH287" s="9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9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</row>
    <row r="288" spans="2:61" ht="15.75" customHeight="1" x14ac:dyDescent="0.25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13"/>
      <c r="AB288" s="5"/>
      <c r="AC288" s="3"/>
      <c r="AD288" s="9"/>
      <c r="AE288" s="16"/>
      <c r="AF288" s="16"/>
      <c r="AG288" s="9"/>
      <c r="AH288" s="9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9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</row>
    <row r="289" spans="1:61" ht="15.75" customHeight="1" x14ac:dyDescent="0.25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13"/>
      <c r="AB289" s="5"/>
      <c r="AC289" s="3"/>
      <c r="AD289" s="9"/>
      <c r="AE289" s="16"/>
      <c r="AF289" s="16"/>
      <c r="AG289" s="9"/>
      <c r="AH289" s="9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9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</row>
    <row r="290" spans="1:61" ht="15.75" customHeight="1" x14ac:dyDescent="0.25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13"/>
      <c r="AB290" s="5"/>
      <c r="AC290" s="3"/>
      <c r="AD290" s="9"/>
      <c r="AE290" s="16"/>
      <c r="AF290" s="16"/>
      <c r="AG290" s="9"/>
      <c r="AH290" s="9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9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</row>
    <row r="291" spans="1:61" ht="15.75" customHeight="1" x14ac:dyDescent="0.25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13"/>
      <c r="AB291" s="5"/>
      <c r="AC291" s="3"/>
      <c r="AD291" s="9"/>
      <c r="AE291" s="16"/>
      <c r="AF291" s="16"/>
      <c r="AG291" s="9"/>
      <c r="AH291" s="9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9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</row>
    <row r="292" spans="1:61" ht="15.75" customHeight="1" x14ac:dyDescent="0.25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13"/>
      <c r="AB292" s="5"/>
      <c r="AC292" s="3"/>
      <c r="AD292" s="9"/>
      <c r="AE292" s="16"/>
      <c r="AF292" s="16"/>
      <c r="AG292" s="9"/>
      <c r="AH292" s="9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9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</row>
    <row r="293" spans="1:61" ht="15.75" customHeight="1" x14ac:dyDescent="0.25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13"/>
      <c r="AB293" s="5"/>
      <c r="AC293" s="3"/>
      <c r="AD293" s="9"/>
      <c r="AE293" s="16"/>
      <c r="AF293" s="16"/>
      <c r="AG293" s="9"/>
      <c r="AH293" s="9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9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</row>
    <row r="294" spans="1:61" ht="15.75" customHeight="1" x14ac:dyDescent="0.25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13"/>
      <c r="AB294" s="5"/>
      <c r="AC294" s="3"/>
      <c r="AD294" s="9"/>
      <c r="AE294" s="16"/>
      <c r="AF294" s="16"/>
      <c r="AG294" s="9"/>
      <c r="AH294" s="9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9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</row>
    <row r="295" spans="1:61" ht="15.75" customHeight="1" x14ac:dyDescent="0.25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13"/>
      <c r="AB295" s="5"/>
      <c r="AC295" s="3"/>
      <c r="AD295" s="9"/>
      <c r="AE295" s="16"/>
      <c r="AF295" s="16"/>
      <c r="AG295" s="9"/>
      <c r="AH295" s="9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9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</row>
    <row r="296" spans="1:61" ht="15.75" customHeight="1" x14ac:dyDescent="0.25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13"/>
      <c r="AB296" s="5"/>
      <c r="AC296" s="3"/>
      <c r="AD296" s="9"/>
      <c r="AE296" s="16"/>
      <c r="AF296" s="16"/>
      <c r="AG296" s="9"/>
      <c r="AH296" s="9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9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</row>
    <row r="297" spans="1:61" ht="15.75" customHeight="1" x14ac:dyDescent="0.25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13"/>
      <c r="AB297" s="5"/>
      <c r="AC297" s="3"/>
      <c r="AD297" s="9"/>
      <c r="AE297" s="16"/>
      <c r="AF297" s="16"/>
      <c r="AG297" s="9"/>
      <c r="AH297" s="9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9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</row>
    <row r="298" spans="1:61" ht="15.75" customHeight="1" x14ac:dyDescent="0.25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13"/>
      <c r="AB298" s="5"/>
      <c r="AC298" s="3"/>
      <c r="AD298" s="9"/>
      <c r="AE298" s="16"/>
      <c r="AF298" s="16"/>
      <c r="AG298" s="9"/>
      <c r="AH298" s="9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9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</row>
    <row r="299" spans="1:61" ht="15.75" customHeight="1" x14ac:dyDescent="0.25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61" ht="15.75" customHeight="1" x14ac:dyDescent="0.25">
      <c r="A300" s="1"/>
      <c r="B300" s="3"/>
      <c r="C300" s="3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 spans="1:61" ht="15.75" customHeight="1" x14ac:dyDescent="0.25">
      <c r="A301" s="1"/>
      <c r="B301" s="3"/>
      <c r="C301" s="3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 spans="1:61" ht="15.75" customHeight="1" x14ac:dyDescent="0.25">
      <c r="A302" s="1"/>
      <c r="B302" s="3"/>
      <c r="C302" s="3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 spans="1:61" ht="15.75" customHeight="1" x14ac:dyDescent="0.25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61" ht="15.75" customHeight="1" x14ac:dyDescent="0.25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2:26" ht="15.75" customHeight="1" x14ac:dyDescent="0.25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2:26" ht="15.75" customHeight="1" x14ac:dyDescent="0.25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2:26" ht="15.75" customHeight="1" x14ac:dyDescent="0.25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2:26" ht="15.75" customHeight="1" x14ac:dyDescent="0.25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2:26" ht="15.75" customHeight="1" x14ac:dyDescent="0.25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2:26" ht="15.75" customHeight="1" x14ac:dyDescent="0.25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2:26" ht="15.75" customHeight="1" x14ac:dyDescent="0.25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2:26" ht="15.75" customHeight="1" x14ac:dyDescent="0.25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2:26" ht="15.75" customHeight="1" x14ac:dyDescent="0.25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2:26" ht="15.75" customHeight="1" x14ac:dyDescent="0.25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2:26" ht="15.75" customHeight="1" x14ac:dyDescent="0.25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2:26" ht="15.75" customHeight="1" x14ac:dyDescent="0.25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2:26" ht="15.75" customHeight="1" x14ac:dyDescent="0.25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2:26" ht="15.75" customHeight="1" x14ac:dyDescent="0.25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2:26" ht="15.75" customHeight="1" x14ac:dyDescent="0.25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2:26" ht="15.75" customHeight="1" x14ac:dyDescent="0.25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2:26" ht="15.75" customHeight="1" x14ac:dyDescent="0.25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2:26" ht="15.75" customHeight="1" x14ac:dyDescent="0.25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2:26" ht="15.75" customHeight="1" x14ac:dyDescent="0.25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2:26" ht="15.75" customHeight="1" x14ac:dyDescent="0.25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2:26" ht="15.75" customHeight="1" x14ac:dyDescent="0.25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2:26" ht="15.75" customHeight="1" x14ac:dyDescent="0.25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2:26" ht="15.75" customHeight="1" x14ac:dyDescent="0.25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2:26" ht="15.75" customHeight="1" x14ac:dyDescent="0.25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2:26" ht="15.75" customHeight="1" x14ac:dyDescent="0.25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2:26" ht="15.75" customHeight="1" x14ac:dyDescent="0.25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2:26" ht="15.75" customHeight="1" x14ac:dyDescent="0.25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2:26" ht="15.75" customHeight="1" x14ac:dyDescent="0.25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2:26" ht="15.75" customHeight="1" x14ac:dyDescent="0.25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2:26" ht="15.75" customHeight="1" x14ac:dyDescent="0.25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2:26" ht="15.75" customHeight="1" x14ac:dyDescent="0.25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2:26" ht="15.75" customHeight="1" x14ac:dyDescent="0.25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2:26" ht="15.75" customHeight="1" x14ac:dyDescent="0.25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2:26" ht="15.75" customHeight="1" x14ac:dyDescent="0.25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2:26" ht="15.75" customHeight="1" x14ac:dyDescent="0.25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2:26" ht="15.75" customHeight="1" x14ac:dyDescent="0.25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2:26" ht="15.75" customHeight="1" x14ac:dyDescent="0.25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2:26" ht="15.75" customHeight="1" x14ac:dyDescent="0.25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2:26" ht="15.75" customHeight="1" x14ac:dyDescent="0.25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2:26" ht="15.75" customHeight="1" x14ac:dyDescent="0.25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2:26" ht="15.75" customHeight="1" x14ac:dyDescent="0.25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2:26" ht="15.75" customHeight="1" x14ac:dyDescent="0.25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2:26" ht="15.75" customHeight="1" x14ac:dyDescent="0.25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2:26" ht="15.75" customHeight="1" x14ac:dyDescent="0.25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2:26" ht="15.75" customHeight="1" x14ac:dyDescent="0.25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2:26" ht="15.75" customHeight="1" x14ac:dyDescent="0.25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2:26" ht="15.75" customHeight="1" x14ac:dyDescent="0.25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2:26" ht="15.75" customHeight="1" x14ac:dyDescent="0.25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2:26" ht="15.75" customHeight="1" x14ac:dyDescent="0.25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2:26" ht="15.75" customHeight="1" x14ac:dyDescent="0.25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2:26" ht="15.75" customHeight="1" x14ac:dyDescent="0.25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2:26" ht="15.75" customHeight="1" x14ac:dyDescent="0.25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2:26" ht="15.75" customHeight="1" x14ac:dyDescent="0.25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2:26" ht="15.75" customHeight="1" x14ac:dyDescent="0.25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2:26" ht="15.75" customHeight="1" x14ac:dyDescent="0.25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2:26" ht="15.75" customHeight="1" x14ac:dyDescent="0.25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2:26" ht="15.75" customHeight="1" x14ac:dyDescent="0.25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2:26" ht="15.75" customHeight="1" x14ac:dyDescent="0.25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2:26" ht="15.75" customHeight="1" x14ac:dyDescent="0.25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2:26" ht="15.75" customHeight="1" x14ac:dyDescent="0.25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2:26" ht="15.75" customHeight="1" x14ac:dyDescent="0.25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2:26" ht="15.75" customHeight="1" x14ac:dyDescent="0.25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2:26" ht="15.75" customHeight="1" x14ac:dyDescent="0.25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2:26" ht="15.75" customHeight="1" x14ac:dyDescent="0.25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2:26" ht="15.75" customHeight="1" x14ac:dyDescent="0.25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2:26" ht="15.75" customHeight="1" x14ac:dyDescent="0.25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2:26" ht="15.75" customHeight="1" x14ac:dyDescent="0.25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2:26" ht="15.75" customHeight="1" x14ac:dyDescent="0.25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2:26" ht="15.75" customHeight="1" x14ac:dyDescent="0.25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2:26" ht="15.75" customHeight="1" x14ac:dyDescent="0.25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2:26" ht="15.75" customHeight="1" x14ac:dyDescent="0.25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2:26" ht="15.75" customHeight="1" x14ac:dyDescent="0.25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2:26" ht="15.75" customHeight="1" x14ac:dyDescent="0.25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2:26" ht="15.75" customHeight="1" x14ac:dyDescent="0.25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2:26" ht="15.75" customHeight="1" x14ac:dyDescent="0.25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2:26" ht="15.75" customHeight="1" x14ac:dyDescent="0.25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2:26" ht="15.75" customHeight="1" x14ac:dyDescent="0.25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2:26" ht="15.75" customHeight="1" x14ac:dyDescent="0.25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2:26" ht="15.75" customHeight="1" x14ac:dyDescent="0.25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2:26" ht="15.75" customHeight="1" x14ac:dyDescent="0.25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2:26" ht="15.75" customHeight="1" x14ac:dyDescent="0.25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2:26" ht="15.75" customHeight="1" x14ac:dyDescent="0.25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2:26" ht="15.75" customHeight="1" x14ac:dyDescent="0.25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2:26" ht="15.75" customHeight="1" x14ac:dyDescent="0.25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2:26" ht="15.75" customHeight="1" x14ac:dyDescent="0.25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2:26" ht="15.75" customHeight="1" x14ac:dyDescent="0.25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2:26" ht="15.75" customHeight="1" x14ac:dyDescent="0.25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2:26" ht="15.75" customHeight="1" x14ac:dyDescent="0.25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2:26" ht="15.75" customHeight="1" x14ac:dyDescent="0.25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2:26" ht="15.75" customHeight="1" x14ac:dyDescent="0.25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2:26" ht="15.75" customHeight="1" x14ac:dyDescent="0.25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2:26" ht="15.75" customHeight="1" x14ac:dyDescent="0.25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2:26" ht="15.75" customHeight="1" x14ac:dyDescent="0.25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2:26" ht="15.75" customHeight="1" x14ac:dyDescent="0.25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2:26" ht="15.75" customHeight="1" x14ac:dyDescent="0.25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2:26" ht="15.75" customHeight="1" x14ac:dyDescent="0.25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2:26" ht="15.75" customHeight="1" x14ac:dyDescent="0.25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2:26" ht="15.75" customHeight="1" x14ac:dyDescent="0.25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2:26" ht="15.75" customHeight="1" x14ac:dyDescent="0.25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2:26" ht="15.75" customHeight="1" x14ac:dyDescent="0.25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2:26" ht="15.75" customHeight="1" x14ac:dyDescent="0.25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2:26" ht="15.75" customHeight="1" x14ac:dyDescent="0.25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2:26" ht="15.75" customHeight="1" x14ac:dyDescent="0.25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2:26" ht="15.75" customHeight="1" x14ac:dyDescent="0.25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2:26" ht="15.75" customHeight="1" x14ac:dyDescent="0.25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2:26" ht="15.75" customHeight="1" x14ac:dyDescent="0.25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2:26" ht="15.75" customHeight="1" x14ac:dyDescent="0.25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2:26" ht="15.75" customHeight="1" x14ac:dyDescent="0.25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2:26" ht="15.75" customHeight="1" x14ac:dyDescent="0.25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2:26" ht="15.75" customHeight="1" x14ac:dyDescent="0.25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2:26" ht="15.75" customHeight="1" x14ac:dyDescent="0.25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2:26" ht="15.75" customHeight="1" x14ac:dyDescent="0.25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2:26" ht="15.75" customHeight="1" x14ac:dyDescent="0.25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2:26" ht="15.75" customHeight="1" x14ac:dyDescent="0.25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2:26" ht="15.75" customHeight="1" x14ac:dyDescent="0.25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2:26" ht="15.75" customHeight="1" x14ac:dyDescent="0.25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2:26" ht="15.75" customHeight="1" x14ac:dyDescent="0.25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2:26" ht="15.75" customHeight="1" x14ac:dyDescent="0.25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2:26" ht="15.75" customHeight="1" x14ac:dyDescent="0.25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2:26" ht="15.75" customHeight="1" x14ac:dyDescent="0.25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2:26" ht="15.75" customHeight="1" x14ac:dyDescent="0.25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2:26" ht="15.75" customHeight="1" x14ac:dyDescent="0.25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2:26" ht="15.75" customHeight="1" x14ac:dyDescent="0.25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2:26" ht="15.75" customHeight="1" x14ac:dyDescent="0.25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2:26" ht="15.75" customHeight="1" x14ac:dyDescent="0.25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2:26" ht="15.75" customHeight="1" x14ac:dyDescent="0.25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2:26" ht="15.75" customHeight="1" x14ac:dyDescent="0.25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2:26" ht="15.75" customHeight="1" x14ac:dyDescent="0.25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2:26" ht="15.75" customHeight="1" x14ac:dyDescent="0.25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2:26" ht="15.75" customHeight="1" x14ac:dyDescent="0.25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2:26" ht="15.75" customHeight="1" x14ac:dyDescent="0.25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2:26" ht="15.75" customHeight="1" x14ac:dyDescent="0.25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2:26" ht="15.75" customHeight="1" x14ac:dyDescent="0.25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2:26" ht="15.75" customHeight="1" x14ac:dyDescent="0.25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2:26" ht="15.75" customHeight="1" x14ac:dyDescent="0.25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2:26" ht="15.75" customHeight="1" x14ac:dyDescent="0.25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2:26" ht="15.75" customHeight="1" x14ac:dyDescent="0.25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2:26" ht="15.75" customHeight="1" x14ac:dyDescent="0.25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2:26" ht="15.75" customHeight="1" x14ac:dyDescent="0.25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2:26" ht="15.75" customHeight="1" x14ac:dyDescent="0.25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2:26" ht="15.75" customHeight="1" x14ac:dyDescent="0.25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2:26" ht="15.75" customHeight="1" x14ac:dyDescent="0.25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2:26" ht="15.75" customHeight="1" x14ac:dyDescent="0.25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2:26" ht="15.75" customHeight="1" x14ac:dyDescent="0.25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2:26" ht="15.75" customHeight="1" x14ac:dyDescent="0.25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2:26" ht="15.75" customHeight="1" x14ac:dyDescent="0.25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2:26" ht="15.75" customHeight="1" x14ac:dyDescent="0.25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2:26" ht="15.75" customHeight="1" x14ac:dyDescent="0.25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2:26" ht="15.75" customHeight="1" x14ac:dyDescent="0.25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2:26" ht="15.75" customHeight="1" x14ac:dyDescent="0.25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2:26" ht="15.75" customHeight="1" x14ac:dyDescent="0.25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2:26" ht="15.75" customHeight="1" x14ac:dyDescent="0.25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2:26" ht="15.75" customHeight="1" x14ac:dyDescent="0.25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2:26" ht="15.75" customHeight="1" x14ac:dyDescent="0.25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2:26" ht="15.75" customHeight="1" x14ac:dyDescent="0.25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2:26" ht="15.75" customHeight="1" x14ac:dyDescent="0.25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2:26" ht="15.75" customHeight="1" x14ac:dyDescent="0.25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2:26" ht="15.75" customHeight="1" x14ac:dyDescent="0.25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2:26" ht="15.75" customHeight="1" x14ac:dyDescent="0.25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2:26" ht="15.75" customHeight="1" x14ac:dyDescent="0.25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2:26" ht="15.75" customHeight="1" x14ac:dyDescent="0.25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2:26" ht="15.75" customHeight="1" x14ac:dyDescent="0.25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2:26" ht="15.75" customHeight="1" x14ac:dyDescent="0.25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2:26" ht="15.75" customHeight="1" x14ac:dyDescent="0.25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2:26" ht="15.75" customHeight="1" x14ac:dyDescent="0.25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2:26" ht="15.75" customHeight="1" x14ac:dyDescent="0.25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2:26" ht="15.75" customHeight="1" x14ac:dyDescent="0.25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2:26" ht="15.75" customHeight="1" x14ac:dyDescent="0.25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2:26" ht="15.75" customHeight="1" x14ac:dyDescent="0.25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2:26" ht="15.75" customHeight="1" x14ac:dyDescent="0.25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2:26" ht="15.75" customHeight="1" x14ac:dyDescent="0.25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2:26" ht="15.75" customHeight="1" x14ac:dyDescent="0.25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2:26" ht="15.75" customHeight="1" x14ac:dyDescent="0.25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2:26" ht="15.75" customHeight="1" x14ac:dyDescent="0.25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2:26" ht="15.75" customHeight="1" x14ac:dyDescent="0.25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2:26" ht="15.75" customHeight="1" x14ac:dyDescent="0.25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2:26" ht="15.75" customHeight="1" x14ac:dyDescent="0.25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2:26" ht="15.75" customHeight="1" x14ac:dyDescent="0.25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2:26" ht="15.75" customHeight="1" x14ac:dyDescent="0.25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2:26" ht="15.75" customHeight="1" x14ac:dyDescent="0.25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2:26" ht="15.75" customHeight="1" x14ac:dyDescent="0.25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2:26" ht="15.75" customHeight="1" x14ac:dyDescent="0.25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2:26" ht="15.75" customHeight="1" x14ac:dyDescent="0.25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2:26" ht="15.75" customHeight="1" x14ac:dyDescent="0.25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2:26" ht="15.75" customHeight="1" x14ac:dyDescent="0.25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2:26" ht="15.75" customHeight="1" x14ac:dyDescent="0.25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2:26" ht="15.75" customHeight="1" x14ac:dyDescent="0.25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2:26" ht="15.75" customHeight="1" x14ac:dyDescent="0.25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2:26" ht="15.75" customHeight="1" x14ac:dyDescent="0.25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2:26" ht="15.75" customHeight="1" x14ac:dyDescent="0.25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2:26" ht="15.75" customHeight="1" x14ac:dyDescent="0.25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2:26" ht="15.75" customHeight="1" x14ac:dyDescent="0.25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2:26" ht="15.75" customHeight="1" x14ac:dyDescent="0.25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2:26" ht="15.75" customHeight="1" x14ac:dyDescent="0.25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2:26" ht="15.75" customHeight="1" x14ac:dyDescent="0.25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2:26" ht="15.75" customHeight="1" x14ac:dyDescent="0.25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2:26" ht="15.75" customHeight="1" x14ac:dyDescent="0.25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2:26" ht="15.75" customHeight="1" x14ac:dyDescent="0.25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2:26" ht="15.75" customHeight="1" x14ac:dyDescent="0.25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2:26" ht="15.75" customHeight="1" x14ac:dyDescent="0.25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2:26" ht="15.75" customHeight="1" x14ac:dyDescent="0.25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2:26" ht="15.75" customHeight="1" x14ac:dyDescent="0.25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2:26" ht="15.75" customHeight="1" x14ac:dyDescent="0.25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2:26" ht="15.75" customHeight="1" x14ac:dyDescent="0.25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2:26" ht="15.75" customHeight="1" x14ac:dyDescent="0.25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2:26" ht="15.75" customHeight="1" x14ac:dyDescent="0.25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2:26" ht="15.75" customHeight="1" x14ac:dyDescent="0.25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2:26" ht="15.75" customHeight="1" x14ac:dyDescent="0.25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2:26" ht="15.75" customHeight="1" x14ac:dyDescent="0.25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2:26" ht="15.75" customHeight="1" x14ac:dyDescent="0.25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2:26" ht="15.75" customHeight="1" x14ac:dyDescent="0.25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2:26" ht="15.75" customHeight="1" x14ac:dyDescent="0.25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2:26" ht="15.75" customHeight="1" x14ac:dyDescent="0.25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2:26" ht="15.75" customHeight="1" x14ac:dyDescent="0.25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2:26" ht="15.75" customHeight="1" x14ac:dyDescent="0.25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2:26" ht="15.75" customHeight="1" x14ac:dyDescent="0.25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2:26" ht="15.75" customHeight="1" x14ac:dyDescent="0.25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2:26" ht="15.75" customHeight="1" x14ac:dyDescent="0.25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2:26" ht="15.75" customHeight="1" x14ac:dyDescent="0.25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2:26" ht="15.75" customHeight="1" x14ac:dyDescent="0.25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2:26" ht="15.75" customHeight="1" x14ac:dyDescent="0.25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2:26" ht="15.75" customHeight="1" x14ac:dyDescent="0.25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2:26" ht="15.75" customHeight="1" x14ac:dyDescent="0.25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2:26" ht="15.75" customHeight="1" x14ac:dyDescent="0.25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2:26" ht="15.75" customHeight="1" x14ac:dyDescent="0.25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2:26" ht="15.75" customHeight="1" x14ac:dyDescent="0.25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2:26" ht="15.75" customHeight="1" x14ac:dyDescent="0.25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2:26" ht="15.75" customHeight="1" x14ac:dyDescent="0.25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2:26" ht="15.75" customHeight="1" x14ac:dyDescent="0.25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2:26" ht="15.75" customHeight="1" x14ac:dyDescent="0.25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2:26" ht="15.75" customHeight="1" x14ac:dyDescent="0.25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2:26" ht="15.75" customHeight="1" x14ac:dyDescent="0.25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2:26" ht="15.75" customHeight="1" x14ac:dyDescent="0.25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2:26" ht="15.75" customHeight="1" x14ac:dyDescent="0.25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2:26" ht="15.75" customHeight="1" x14ac:dyDescent="0.25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2:26" ht="15.75" customHeight="1" x14ac:dyDescent="0.25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2:26" ht="15.75" customHeight="1" x14ac:dyDescent="0.25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2:26" ht="15.75" customHeight="1" x14ac:dyDescent="0.25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2:26" ht="15.75" customHeight="1" x14ac:dyDescent="0.25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2:26" ht="15.75" customHeight="1" x14ac:dyDescent="0.25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2:26" ht="15.75" customHeight="1" x14ac:dyDescent="0.25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2:26" ht="15.75" customHeight="1" x14ac:dyDescent="0.25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2:26" ht="15.75" customHeight="1" x14ac:dyDescent="0.25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2:26" ht="15.75" customHeight="1" x14ac:dyDescent="0.25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2:26" ht="15.75" customHeight="1" x14ac:dyDescent="0.25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2:26" ht="15.75" customHeight="1" x14ac:dyDescent="0.25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2:26" ht="15.75" customHeight="1" x14ac:dyDescent="0.25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2:26" ht="15.75" customHeight="1" x14ac:dyDescent="0.25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2:26" ht="15.75" customHeight="1" x14ac:dyDescent="0.25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2:26" ht="15.75" customHeight="1" x14ac:dyDescent="0.25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2:26" ht="15.75" customHeight="1" x14ac:dyDescent="0.25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2:26" ht="15.75" customHeight="1" x14ac:dyDescent="0.25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2:26" ht="15.75" customHeight="1" x14ac:dyDescent="0.25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2:26" ht="15.75" customHeight="1" x14ac:dyDescent="0.25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2:26" ht="15.75" customHeight="1" x14ac:dyDescent="0.25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2:26" ht="15.75" customHeight="1" x14ac:dyDescent="0.25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2:26" ht="15.75" customHeight="1" x14ac:dyDescent="0.25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2:26" ht="15.75" customHeight="1" x14ac:dyDescent="0.25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2:26" ht="15.75" customHeight="1" x14ac:dyDescent="0.25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2:26" ht="15.75" customHeight="1" x14ac:dyDescent="0.25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2:26" ht="15.75" customHeight="1" x14ac:dyDescent="0.25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2:26" ht="15.75" customHeight="1" x14ac:dyDescent="0.25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2:26" ht="15.75" customHeight="1" x14ac:dyDescent="0.25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2:26" ht="15.75" customHeight="1" x14ac:dyDescent="0.25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2:26" ht="15.75" customHeight="1" x14ac:dyDescent="0.25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2:26" ht="15.75" customHeight="1" x14ac:dyDescent="0.25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2:26" ht="15.75" customHeight="1" x14ac:dyDescent="0.25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2:26" ht="15.75" customHeight="1" x14ac:dyDescent="0.25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2:26" ht="15.75" customHeight="1" x14ac:dyDescent="0.25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2:26" ht="15.75" customHeight="1" x14ac:dyDescent="0.25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2:26" ht="15.75" customHeight="1" x14ac:dyDescent="0.25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2:26" ht="15.75" customHeight="1" x14ac:dyDescent="0.25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2:26" ht="15.75" customHeight="1" x14ac:dyDescent="0.25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2:26" ht="15.75" customHeight="1" x14ac:dyDescent="0.25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2:26" ht="15.75" customHeight="1" x14ac:dyDescent="0.25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2:26" ht="15.75" customHeight="1" x14ac:dyDescent="0.25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2:26" ht="15.75" customHeight="1" x14ac:dyDescent="0.25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2:26" ht="15.75" customHeight="1" x14ac:dyDescent="0.25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2:26" ht="15.75" customHeight="1" x14ac:dyDescent="0.25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2:26" ht="15.75" customHeight="1" x14ac:dyDescent="0.25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2:26" ht="15.75" customHeight="1" x14ac:dyDescent="0.25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2:26" ht="15.75" customHeight="1" x14ac:dyDescent="0.25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2:26" ht="15.75" customHeight="1" x14ac:dyDescent="0.25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2:26" ht="15.75" customHeight="1" x14ac:dyDescent="0.25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2:26" ht="15.75" customHeight="1" x14ac:dyDescent="0.25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2:26" ht="15.75" customHeight="1" x14ac:dyDescent="0.25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2:26" ht="15.75" customHeight="1" x14ac:dyDescent="0.25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2:26" ht="15.75" customHeight="1" x14ac:dyDescent="0.25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2:26" ht="15.75" customHeight="1" x14ac:dyDescent="0.25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2:26" ht="15.75" customHeight="1" x14ac:dyDescent="0.25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2:26" ht="15.75" customHeight="1" x14ac:dyDescent="0.25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2:26" ht="15.75" customHeight="1" x14ac:dyDescent="0.25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2:26" ht="15.75" customHeight="1" x14ac:dyDescent="0.25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2:26" ht="15.75" customHeight="1" x14ac:dyDescent="0.25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2:26" ht="15.75" customHeight="1" x14ac:dyDescent="0.25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2:26" ht="15.75" customHeight="1" x14ac:dyDescent="0.25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2:26" ht="15.75" customHeight="1" x14ac:dyDescent="0.25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2:26" ht="15.75" customHeight="1" x14ac:dyDescent="0.25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2:26" ht="15.75" customHeight="1" x14ac:dyDescent="0.25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2:26" ht="15.75" customHeight="1" x14ac:dyDescent="0.25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2:26" ht="15.75" customHeight="1" x14ac:dyDescent="0.25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2:26" ht="15.75" customHeight="1" x14ac:dyDescent="0.25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2:26" ht="15.75" customHeight="1" x14ac:dyDescent="0.25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2:26" ht="15.75" customHeight="1" x14ac:dyDescent="0.25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2:26" ht="15.75" customHeight="1" x14ac:dyDescent="0.25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2:26" ht="15.75" customHeight="1" x14ac:dyDescent="0.25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2:26" ht="15.75" customHeight="1" x14ac:dyDescent="0.25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2:26" ht="15.75" customHeight="1" x14ac:dyDescent="0.25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2:26" ht="15.75" customHeight="1" x14ac:dyDescent="0.25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2:26" ht="15.75" customHeight="1" x14ac:dyDescent="0.25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2:26" ht="15.75" customHeight="1" x14ac:dyDescent="0.25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2:26" ht="15.75" customHeight="1" x14ac:dyDescent="0.25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2:26" ht="15.75" customHeight="1" x14ac:dyDescent="0.25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2:26" ht="15.75" customHeight="1" x14ac:dyDescent="0.25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2:26" ht="15.75" customHeight="1" x14ac:dyDescent="0.25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2:26" ht="15.75" customHeight="1" x14ac:dyDescent="0.25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2:26" ht="15.75" customHeight="1" x14ac:dyDescent="0.25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2:26" ht="15.75" customHeight="1" x14ac:dyDescent="0.25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2:26" ht="15.75" customHeight="1" x14ac:dyDescent="0.25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2:26" ht="15.75" customHeight="1" x14ac:dyDescent="0.25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2:26" ht="15.75" customHeight="1" x14ac:dyDescent="0.25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2:26" ht="15.75" customHeight="1" x14ac:dyDescent="0.25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2:26" ht="15.75" customHeight="1" x14ac:dyDescent="0.25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2:26" ht="15.75" customHeight="1" x14ac:dyDescent="0.25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2:26" ht="15.75" customHeight="1" x14ac:dyDescent="0.25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2:26" ht="15.75" customHeight="1" x14ac:dyDescent="0.25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2:26" ht="15.75" customHeight="1" x14ac:dyDescent="0.25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2:26" ht="15.75" customHeight="1" x14ac:dyDescent="0.25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2:26" ht="15.75" customHeight="1" x14ac:dyDescent="0.25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2:26" ht="15.75" customHeight="1" x14ac:dyDescent="0.25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2:26" ht="15.75" customHeight="1" x14ac:dyDescent="0.25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2:26" ht="15.75" customHeight="1" x14ac:dyDescent="0.25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2:26" ht="15.75" customHeight="1" x14ac:dyDescent="0.25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2:26" ht="15.75" customHeight="1" x14ac:dyDescent="0.25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2:26" ht="15.75" customHeight="1" x14ac:dyDescent="0.25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2:26" ht="15.75" customHeight="1" x14ac:dyDescent="0.25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2:26" ht="15.75" customHeight="1" x14ac:dyDescent="0.25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2:26" ht="15.75" customHeight="1" x14ac:dyDescent="0.25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2:26" ht="15.75" customHeight="1" x14ac:dyDescent="0.25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2:26" ht="15.75" customHeight="1" x14ac:dyDescent="0.25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2:26" ht="15.75" customHeight="1" x14ac:dyDescent="0.25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2:26" ht="15.75" customHeight="1" x14ac:dyDescent="0.25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2:26" ht="15.75" customHeight="1" x14ac:dyDescent="0.25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2:26" ht="15.75" customHeight="1" x14ac:dyDescent="0.25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2:26" ht="15.75" customHeight="1" x14ac:dyDescent="0.25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2:26" ht="15.75" customHeight="1" x14ac:dyDescent="0.25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2:26" ht="15.75" customHeight="1" x14ac:dyDescent="0.25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2:26" ht="15.75" customHeight="1" x14ac:dyDescent="0.25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2:26" ht="15.75" customHeight="1" x14ac:dyDescent="0.25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2:26" ht="15.75" customHeight="1" x14ac:dyDescent="0.25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2:26" ht="15.75" customHeight="1" x14ac:dyDescent="0.25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2:26" ht="15.75" customHeight="1" x14ac:dyDescent="0.25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2:26" ht="15.75" customHeight="1" x14ac:dyDescent="0.25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2:26" ht="15.75" customHeight="1" x14ac:dyDescent="0.25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2:26" ht="15.75" customHeight="1" x14ac:dyDescent="0.25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2:26" ht="15.75" customHeight="1" x14ac:dyDescent="0.25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2:26" ht="15.75" customHeight="1" x14ac:dyDescent="0.25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2:26" ht="15.75" customHeight="1" x14ac:dyDescent="0.25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2:26" ht="15.75" customHeight="1" x14ac:dyDescent="0.25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2:26" ht="15.75" customHeight="1" x14ac:dyDescent="0.25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2:26" ht="15.75" customHeight="1" x14ac:dyDescent="0.25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2:26" ht="15.75" customHeight="1" x14ac:dyDescent="0.25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2:26" ht="15.75" customHeight="1" x14ac:dyDescent="0.25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2:26" ht="15.75" customHeight="1" x14ac:dyDescent="0.25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2:26" ht="15.75" customHeight="1" x14ac:dyDescent="0.25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2:26" ht="15.75" customHeight="1" x14ac:dyDescent="0.25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2:26" ht="15.75" customHeight="1" x14ac:dyDescent="0.25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2:26" ht="15.75" customHeight="1" x14ac:dyDescent="0.25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2:26" ht="15.75" customHeight="1" x14ac:dyDescent="0.25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2:26" ht="15.75" customHeight="1" x14ac:dyDescent="0.25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2:26" ht="15.75" customHeight="1" x14ac:dyDescent="0.25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2:26" ht="15.75" customHeight="1" x14ac:dyDescent="0.25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2:26" ht="15.75" customHeight="1" x14ac:dyDescent="0.25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2:26" ht="15.75" customHeight="1" x14ac:dyDescent="0.25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2:26" ht="15.75" customHeight="1" x14ac:dyDescent="0.25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2:26" ht="15.75" customHeight="1" x14ac:dyDescent="0.25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2:26" ht="15.75" customHeight="1" x14ac:dyDescent="0.25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2:26" ht="15.75" customHeight="1" x14ac:dyDescent="0.25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2:26" ht="15.75" customHeight="1" x14ac:dyDescent="0.25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2:26" ht="15.75" customHeight="1" x14ac:dyDescent="0.25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2:26" ht="15.75" customHeight="1" x14ac:dyDescent="0.25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2:26" ht="15.75" customHeight="1" x14ac:dyDescent="0.25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2:26" ht="15.75" customHeight="1" x14ac:dyDescent="0.25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2:26" ht="15.75" customHeight="1" x14ac:dyDescent="0.25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2:26" ht="15.75" customHeight="1" x14ac:dyDescent="0.25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2:26" ht="15.75" customHeight="1" x14ac:dyDescent="0.25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2:26" ht="15.75" customHeight="1" x14ac:dyDescent="0.25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2:26" ht="15.75" customHeight="1" x14ac:dyDescent="0.25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2:26" ht="15.75" customHeight="1" x14ac:dyDescent="0.25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2:26" ht="15.75" customHeight="1" x14ac:dyDescent="0.25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2:26" ht="15.75" customHeight="1" x14ac:dyDescent="0.25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2:26" ht="15.75" customHeight="1" x14ac:dyDescent="0.25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2:26" ht="15.75" customHeight="1" x14ac:dyDescent="0.25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2:26" ht="15.75" customHeight="1" x14ac:dyDescent="0.25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2:26" ht="15.75" customHeight="1" x14ac:dyDescent="0.25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2:26" ht="15.75" customHeight="1" x14ac:dyDescent="0.25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2:26" ht="15.75" customHeight="1" x14ac:dyDescent="0.25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2:26" ht="15.75" customHeight="1" x14ac:dyDescent="0.25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2:26" ht="15.75" customHeight="1" x14ac:dyDescent="0.25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2:26" ht="15.75" customHeight="1" x14ac:dyDescent="0.25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2:26" ht="15.75" customHeight="1" x14ac:dyDescent="0.25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2:26" ht="15.75" customHeight="1" x14ac:dyDescent="0.25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2:26" ht="15.75" customHeight="1" x14ac:dyDescent="0.25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2:26" ht="15.75" customHeight="1" x14ac:dyDescent="0.25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2:26" ht="15.75" customHeight="1" x14ac:dyDescent="0.25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2:26" ht="15.75" customHeight="1" x14ac:dyDescent="0.25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2:26" ht="15.75" customHeight="1" x14ac:dyDescent="0.25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2:26" ht="15.75" customHeight="1" x14ac:dyDescent="0.25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2:26" ht="15.75" customHeight="1" x14ac:dyDescent="0.25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2:26" ht="15.75" customHeight="1" x14ac:dyDescent="0.25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2:26" ht="15.75" customHeight="1" x14ac:dyDescent="0.25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2:26" ht="15.75" customHeight="1" x14ac:dyDescent="0.25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2:26" ht="15.75" customHeight="1" x14ac:dyDescent="0.25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2:26" ht="15.75" customHeight="1" x14ac:dyDescent="0.25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2:26" ht="15.75" customHeight="1" x14ac:dyDescent="0.25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2:26" ht="15.75" customHeight="1" x14ac:dyDescent="0.25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2:26" ht="15.75" customHeight="1" x14ac:dyDescent="0.25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2:26" ht="15.75" customHeight="1" x14ac:dyDescent="0.25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2:26" ht="15.75" customHeight="1" x14ac:dyDescent="0.25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2:26" ht="15.75" customHeight="1" x14ac:dyDescent="0.25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2:26" ht="15.75" customHeight="1" x14ac:dyDescent="0.25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2:26" ht="15.75" customHeight="1" x14ac:dyDescent="0.25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2:26" ht="15.75" customHeight="1" x14ac:dyDescent="0.25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2:26" ht="15.75" customHeight="1" x14ac:dyDescent="0.25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2:26" ht="15.75" customHeight="1" x14ac:dyDescent="0.25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2:26" ht="15.75" customHeight="1" x14ac:dyDescent="0.25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2:26" ht="15.75" customHeight="1" x14ac:dyDescent="0.25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2:26" ht="15.75" customHeight="1" x14ac:dyDescent="0.25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2:26" ht="15.75" customHeight="1" x14ac:dyDescent="0.25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2:26" ht="15.75" customHeight="1" x14ac:dyDescent="0.25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2:26" ht="15.75" customHeight="1" x14ac:dyDescent="0.25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2:26" ht="15.75" customHeight="1" x14ac:dyDescent="0.25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2:26" ht="15.75" customHeight="1" x14ac:dyDescent="0.25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2:26" ht="15.75" customHeight="1" x14ac:dyDescent="0.25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2:26" ht="15.75" customHeight="1" x14ac:dyDescent="0.25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2:26" ht="15.75" customHeight="1" x14ac:dyDescent="0.25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2:26" ht="15.75" customHeight="1" x14ac:dyDescent="0.25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2:26" ht="15.75" customHeight="1" x14ac:dyDescent="0.25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2:26" ht="15.75" customHeight="1" x14ac:dyDescent="0.25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2:26" ht="15.75" customHeight="1" x14ac:dyDescent="0.25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2:26" ht="15.75" customHeight="1" x14ac:dyDescent="0.25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2:26" ht="15.75" customHeight="1" x14ac:dyDescent="0.25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2:26" ht="15.75" customHeight="1" x14ac:dyDescent="0.25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2:26" ht="15.75" customHeight="1" x14ac:dyDescent="0.25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2:26" ht="15.75" customHeight="1" x14ac:dyDescent="0.25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2:26" ht="15.75" customHeight="1" x14ac:dyDescent="0.25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2:26" ht="15.75" customHeight="1" x14ac:dyDescent="0.25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2:26" ht="15.75" customHeight="1" x14ac:dyDescent="0.25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2:26" ht="15.75" customHeight="1" x14ac:dyDescent="0.25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2:26" ht="15.75" customHeight="1" x14ac:dyDescent="0.25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2:26" ht="15.75" customHeight="1" x14ac:dyDescent="0.25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2:26" ht="15.75" customHeight="1" x14ac:dyDescent="0.25"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2:26" ht="15.75" customHeight="1" x14ac:dyDescent="0.25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2:26" ht="15.75" customHeight="1" x14ac:dyDescent="0.25"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2:26" ht="15.75" customHeight="1" x14ac:dyDescent="0.25"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2:26" ht="15.75" customHeight="1" x14ac:dyDescent="0.25"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2:26" ht="15.75" customHeight="1" x14ac:dyDescent="0.25"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2:26" ht="15.75" customHeight="1" x14ac:dyDescent="0.25"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2:26" ht="15.75" customHeight="1" x14ac:dyDescent="0.25"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2:26" ht="15.75" customHeight="1" x14ac:dyDescent="0.25"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2:26" ht="15.75" customHeight="1" x14ac:dyDescent="0.25"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2:26" ht="15.75" customHeight="1" x14ac:dyDescent="0.25"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2:26" ht="15.75" customHeight="1" x14ac:dyDescent="0.25"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2:26" ht="15.75" customHeight="1" x14ac:dyDescent="0.25"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2:26" ht="15.75" customHeight="1" x14ac:dyDescent="0.25"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2:26" ht="15.75" customHeight="1" x14ac:dyDescent="0.25"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2:26" ht="15.75" customHeight="1" x14ac:dyDescent="0.25"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2:26" ht="15.75" customHeight="1" x14ac:dyDescent="0.25"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2:26" ht="15.75" customHeight="1" x14ac:dyDescent="0.25"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2:26" ht="15.75" customHeight="1" x14ac:dyDescent="0.25"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2:26" ht="15.75" customHeight="1" x14ac:dyDescent="0.25"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2:26" ht="15.75" customHeight="1" x14ac:dyDescent="0.25"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2:26" ht="15.75" customHeight="1" x14ac:dyDescent="0.25"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2:26" ht="15.75" customHeight="1" x14ac:dyDescent="0.25"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2:26" ht="15.75" customHeight="1" x14ac:dyDescent="0.25"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2:26" ht="15.75" customHeight="1" x14ac:dyDescent="0.25"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2:26" ht="15.75" customHeight="1" x14ac:dyDescent="0.25"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2:26" ht="15.75" customHeight="1" x14ac:dyDescent="0.25"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2:26" ht="15.75" customHeight="1" x14ac:dyDescent="0.25"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2:26" ht="15.75" customHeight="1" x14ac:dyDescent="0.25"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2:26" ht="15.75" customHeight="1" x14ac:dyDescent="0.25"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2:26" ht="15.75" customHeight="1" x14ac:dyDescent="0.25"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2:26" ht="15.75" customHeight="1" x14ac:dyDescent="0.25"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2:26" ht="15.75" customHeight="1" x14ac:dyDescent="0.25"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2:26" ht="15.75" customHeight="1" x14ac:dyDescent="0.25"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2:26" ht="15.75" customHeight="1" x14ac:dyDescent="0.25"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2:26" ht="15.75" customHeight="1" x14ac:dyDescent="0.25"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2:26" ht="15.75" customHeight="1" x14ac:dyDescent="0.25"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2:26" ht="15.75" customHeight="1" x14ac:dyDescent="0.25"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2:26" ht="15.75" customHeight="1" x14ac:dyDescent="0.25"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2:26" ht="15.75" customHeight="1" x14ac:dyDescent="0.25"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2:26" ht="15.75" customHeight="1" x14ac:dyDescent="0.25"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2:26" ht="15.75" customHeight="1" x14ac:dyDescent="0.25"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2:26" ht="15.75" customHeight="1" x14ac:dyDescent="0.25"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2:26" ht="15.75" customHeight="1" x14ac:dyDescent="0.25"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2:26" ht="15.75" customHeight="1" x14ac:dyDescent="0.25"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2:26" ht="15.75" customHeight="1" x14ac:dyDescent="0.25"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2:26" ht="15.75" customHeight="1" x14ac:dyDescent="0.25"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2:26" ht="15.75" customHeight="1" x14ac:dyDescent="0.25"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2:26" ht="15.75" customHeight="1" x14ac:dyDescent="0.25"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2:26" ht="15.75" customHeight="1" x14ac:dyDescent="0.25"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2:26" ht="15.75" customHeight="1" x14ac:dyDescent="0.25"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2:26" ht="15.75" customHeight="1" x14ac:dyDescent="0.25"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2:26" ht="15.75" customHeight="1" x14ac:dyDescent="0.25"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2:26" ht="15.75" customHeight="1" x14ac:dyDescent="0.25"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2:26" ht="15.75" customHeight="1" x14ac:dyDescent="0.25"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2:26" ht="15.75" customHeight="1" x14ac:dyDescent="0.25"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2:26" ht="15.75" customHeight="1" x14ac:dyDescent="0.25"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2:26" ht="15.75" customHeight="1" x14ac:dyDescent="0.25"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2:26" ht="15.75" customHeight="1" x14ac:dyDescent="0.25"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2:26" ht="15.75" customHeight="1" x14ac:dyDescent="0.25"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2:26" ht="15.75" customHeight="1" x14ac:dyDescent="0.25"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2:26" ht="15.75" customHeight="1" x14ac:dyDescent="0.25"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2:26" ht="15.75" customHeight="1" x14ac:dyDescent="0.25"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2:26" ht="15.75" customHeight="1" x14ac:dyDescent="0.25"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2:26" ht="15.75" customHeight="1" x14ac:dyDescent="0.25"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2:26" ht="15.75" customHeight="1" x14ac:dyDescent="0.25"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2:26" ht="15.75" customHeight="1" x14ac:dyDescent="0.25"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2:26" ht="15.75" customHeight="1" x14ac:dyDescent="0.25"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2:26" ht="15.75" customHeight="1" x14ac:dyDescent="0.25"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2:26" ht="15.75" customHeight="1" x14ac:dyDescent="0.25"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2:26" ht="15.75" customHeight="1" x14ac:dyDescent="0.25"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2:26" ht="15.75" customHeight="1" x14ac:dyDescent="0.25"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2:26" ht="15.75" customHeight="1" x14ac:dyDescent="0.25"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2:26" ht="15.75" customHeight="1" x14ac:dyDescent="0.25"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2:26" ht="15.75" customHeight="1" x14ac:dyDescent="0.25"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2:26" ht="15.75" customHeight="1" x14ac:dyDescent="0.25"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2:26" ht="15.75" customHeight="1" x14ac:dyDescent="0.25"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2:26" ht="15.75" customHeight="1" x14ac:dyDescent="0.25"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2:26" ht="15.75" customHeight="1" x14ac:dyDescent="0.25"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2:26" ht="15.75" customHeight="1" x14ac:dyDescent="0.25"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2:26" ht="15.75" customHeight="1" x14ac:dyDescent="0.25"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2:26" ht="15.75" customHeight="1" x14ac:dyDescent="0.25"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2:26" ht="15.75" customHeight="1" x14ac:dyDescent="0.25"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2:26" ht="15.75" customHeight="1" x14ac:dyDescent="0.25"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2:26" ht="15.75" customHeight="1" x14ac:dyDescent="0.25"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2:26" ht="15.75" customHeight="1" x14ac:dyDescent="0.25"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2:26" ht="15.75" customHeight="1" x14ac:dyDescent="0.25"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2:26" ht="15.75" customHeight="1" x14ac:dyDescent="0.25"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2:26" ht="15.75" customHeight="1" x14ac:dyDescent="0.25"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2:26" ht="15.75" customHeight="1" x14ac:dyDescent="0.25"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2:26" ht="15.75" customHeight="1" x14ac:dyDescent="0.25"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2:26" ht="15.75" customHeight="1" x14ac:dyDescent="0.25"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2:26" ht="15.75" customHeight="1" x14ac:dyDescent="0.25"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2:26" ht="15.75" customHeight="1" x14ac:dyDescent="0.25"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2:26" ht="15.75" customHeight="1" x14ac:dyDescent="0.25"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2:26" ht="15.75" customHeight="1" x14ac:dyDescent="0.25"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2:26" ht="15.75" customHeight="1" x14ac:dyDescent="0.25"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2:26" ht="15.75" customHeight="1" x14ac:dyDescent="0.25"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2:26" ht="15.75" customHeight="1" x14ac:dyDescent="0.25"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2:26" ht="15.75" customHeight="1" x14ac:dyDescent="0.25"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2:26" ht="15.75" customHeight="1" x14ac:dyDescent="0.25"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2:26" ht="15.75" customHeight="1" x14ac:dyDescent="0.25"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2:26" ht="15.75" customHeight="1" x14ac:dyDescent="0.25"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2:26" ht="15.75" customHeight="1" x14ac:dyDescent="0.25"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2:26" ht="15.75" customHeight="1" x14ac:dyDescent="0.25"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2:26" ht="15.75" customHeight="1" x14ac:dyDescent="0.25"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2:26" ht="15.75" customHeight="1" x14ac:dyDescent="0.25"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2:26" ht="15.75" customHeight="1" x14ac:dyDescent="0.25"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2:26" ht="15.75" customHeight="1" x14ac:dyDescent="0.25"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2:26" ht="15.75" customHeight="1" x14ac:dyDescent="0.25"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2:26" ht="15.75" customHeight="1" x14ac:dyDescent="0.25"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2:26" ht="15.75" customHeight="1" x14ac:dyDescent="0.25"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2:26" ht="15.75" customHeight="1" x14ac:dyDescent="0.25"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2:26" ht="15.75" customHeight="1" x14ac:dyDescent="0.25"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2:26" ht="15.75" customHeight="1" x14ac:dyDescent="0.25"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2:26" ht="15.75" customHeight="1" x14ac:dyDescent="0.25"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2:26" ht="15.75" customHeight="1" x14ac:dyDescent="0.25"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2:26" ht="15.75" customHeight="1" x14ac:dyDescent="0.25"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2:26" ht="15.75" customHeight="1" x14ac:dyDescent="0.25"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2:26" ht="15.75" customHeight="1" x14ac:dyDescent="0.25"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2:26" ht="15.75" customHeight="1" x14ac:dyDescent="0.25"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2:26" ht="15.75" customHeight="1" x14ac:dyDescent="0.25"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2:26" ht="15.75" customHeight="1" x14ac:dyDescent="0.25"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2:26" ht="15.75" customHeight="1" x14ac:dyDescent="0.25"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2:26" ht="15.75" customHeight="1" x14ac:dyDescent="0.25"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2:26" ht="15.75" customHeight="1" x14ac:dyDescent="0.25"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2:26" ht="15.75" customHeight="1" x14ac:dyDescent="0.25"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2:26" ht="15.75" customHeight="1" x14ac:dyDescent="0.25"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2:26" ht="15.75" customHeight="1" x14ac:dyDescent="0.25"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2:26" ht="15.75" customHeight="1" x14ac:dyDescent="0.25"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2:26" ht="15.75" customHeight="1" x14ac:dyDescent="0.25"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2:26" ht="15.75" customHeight="1" x14ac:dyDescent="0.25"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2:26" ht="15.75" customHeight="1" x14ac:dyDescent="0.25"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2:26" ht="15.75" customHeight="1" x14ac:dyDescent="0.25"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2:26" ht="15.75" customHeight="1" x14ac:dyDescent="0.25"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2:26" ht="15.75" customHeight="1" x14ac:dyDescent="0.25"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2:26" ht="15.75" customHeight="1" x14ac:dyDescent="0.25"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2:26" ht="15.75" customHeight="1" x14ac:dyDescent="0.25"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2:26" ht="15.75" customHeight="1" x14ac:dyDescent="0.25"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2:26" ht="15.75" customHeight="1" x14ac:dyDescent="0.25"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2:26" ht="15.75" customHeight="1" x14ac:dyDescent="0.25"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2:26" ht="15.75" customHeight="1" x14ac:dyDescent="0.25"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2:26" ht="15.75" customHeight="1" x14ac:dyDescent="0.25"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2:26" ht="15.75" customHeight="1" x14ac:dyDescent="0.25"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2:26" ht="15.75" customHeight="1" x14ac:dyDescent="0.25"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2:26" ht="15.75" customHeight="1" x14ac:dyDescent="0.25"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2:26" ht="15.75" customHeight="1" x14ac:dyDescent="0.25"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2:26" ht="15.75" customHeight="1" x14ac:dyDescent="0.25"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2:26" ht="15.75" customHeight="1" x14ac:dyDescent="0.25"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2:26" ht="15.75" customHeight="1" x14ac:dyDescent="0.25"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2:26" ht="15.75" customHeight="1" x14ac:dyDescent="0.25"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2:26" ht="15.75" customHeight="1" x14ac:dyDescent="0.25"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2:26" ht="15.75" customHeight="1" x14ac:dyDescent="0.25"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2:26" ht="15.75" customHeight="1" x14ac:dyDescent="0.25"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2:26" ht="15.75" customHeight="1" x14ac:dyDescent="0.25"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2:26" ht="15.75" customHeight="1" x14ac:dyDescent="0.25"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2:26" ht="15.75" customHeight="1" x14ac:dyDescent="0.25"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2:26" ht="15.75" customHeight="1" x14ac:dyDescent="0.25"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2:26" ht="15.75" customHeight="1" x14ac:dyDescent="0.25"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2:26" ht="15.75" customHeight="1" x14ac:dyDescent="0.25"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2:26" ht="15.75" customHeight="1" x14ac:dyDescent="0.25"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2:26" ht="15.75" customHeight="1" x14ac:dyDescent="0.25"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2:26" ht="15.75" customHeight="1" x14ac:dyDescent="0.25"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2:26" ht="15.75" customHeight="1" x14ac:dyDescent="0.25"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2:26" ht="15.75" customHeight="1" x14ac:dyDescent="0.25"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2:26" ht="15.75" customHeight="1" x14ac:dyDescent="0.25"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2:26" ht="15.75" customHeight="1" x14ac:dyDescent="0.25"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2:26" ht="15.75" customHeight="1" x14ac:dyDescent="0.25"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2:26" ht="15.75" customHeight="1" x14ac:dyDescent="0.25"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2:26" ht="15.75" customHeight="1" x14ac:dyDescent="0.25"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2:26" ht="15.75" customHeight="1" x14ac:dyDescent="0.25"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2:26" ht="15.75" customHeight="1" x14ac:dyDescent="0.25"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2:26" ht="15.75" customHeight="1" x14ac:dyDescent="0.25"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2:26" ht="15.75" customHeight="1" x14ac:dyDescent="0.25"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2:26" ht="15.75" customHeight="1" x14ac:dyDescent="0.25"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2:26" ht="15.75" customHeight="1" x14ac:dyDescent="0.25"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2:26" ht="15.75" customHeight="1" x14ac:dyDescent="0.25"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2:26" ht="15.75" customHeight="1" x14ac:dyDescent="0.25"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2:26" ht="15.75" customHeight="1" x14ac:dyDescent="0.25"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2:26" ht="15.75" customHeight="1" x14ac:dyDescent="0.25"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2:26" ht="15.75" customHeight="1" x14ac:dyDescent="0.25"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2:26" ht="15.75" customHeight="1" x14ac:dyDescent="0.25"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2:26" ht="15.75" customHeight="1" x14ac:dyDescent="0.25"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2:26" ht="15.75" customHeight="1" x14ac:dyDescent="0.25"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2:26" ht="15.75" customHeight="1" x14ac:dyDescent="0.25"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2:26" ht="15.75" customHeight="1" x14ac:dyDescent="0.25"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2:26" ht="15.75" customHeight="1" x14ac:dyDescent="0.25"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2:26" ht="15.75" customHeight="1" x14ac:dyDescent="0.25"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2:26" ht="15.75" customHeight="1" x14ac:dyDescent="0.25"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2:26" ht="15.75" customHeight="1" x14ac:dyDescent="0.25"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2:26" ht="15.75" customHeight="1" x14ac:dyDescent="0.25"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2:26" ht="15.75" customHeight="1" x14ac:dyDescent="0.25"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2:26" ht="15.75" customHeight="1" x14ac:dyDescent="0.25"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2:26" ht="15.75" customHeight="1" x14ac:dyDescent="0.25"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2:26" ht="15.75" customHeight="1" x14ac:dyDescent="0.25"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2:26" ht="15.75" customHeight="1" x14ac:dyDescent="0.25"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2:26" ht="15.75" customHeight="1" x14ac:dyDescent="0.25"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2:26" ht="15.75" customHeight="1" x14ac:dyDescent="0.25"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2:26" ht="15.75" customHeight="1" x14ac:dyDescent="0.25"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2:26" ht="15.75" customHeight="1" x14ac:dyDescent="0.25"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2:26" ht="15.75" customHeight="1" x14ac:dyDescent="0.25"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2:26" ht="15.75" customHeight="1" x14ac:dyDescent="0.25"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2:26" ht="15.75" customHeight="1" x14ac:dyDescent="0.25"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2:26" ht="15.75" customHeight="1" x14ac:dyDescent="0.25"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2:26" ht="15.75" customHeight="1" x14ac:dyDescent="0.25"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2:26" ht="15.75" customHeight="1" x14ac:dyDescent="0.25"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2:26" ht="15.75" customHeight="1" x14ac:dyDescent="0.25"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2:26" ht="15.75" customHeight="1" x14ac:dyDescent="0.25"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2:26" ht="15.75" customHeight="1" x14ac:dyDescent="0.25"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2:26" ht="15.75" customHeight="1" x14ac:dyDescent="0.25"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2:26" ht="15.75" customHeight="1" x14ac:dyDescent="0.25"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2:26" ht="15.75" customHeight="1" x14ac:dyDescent="0.25"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2:26" ht="15.75" customHeight="1" x14ac:dyDescent="0.25"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2:26" ht="15.75" customHeight="1" x14ac:dyDescent="0.25"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2:26" ht="15.75" customHeight="1" x14ac:dyDescent="0.25"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2:26" ht="15.75" customHeight="1" x14ac:dyDescent="0.25"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2:26" ht="15.75" customHeight="1" x14ac:dyDescent="0.25"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2:26" ht="15.75" customHeight="1" x14ac:dyDescent="0.25"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2:26" ht="15.75" customHeight="1" x14ac:dyDescent="0.25"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2:26" ht="15.75" customHeight="1" x14ac:dyDescent="0.25"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2:26" ht="15.75" customHeight="1" x14ac:dyDescent="0.25"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2:26" ht="15.75" customHeight="1" x14ac:dyDescent="0.25"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2:26" ht="15.75" customHeight="1" x14ac:dyDescent="0.25"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2:26" ht="15.75" customHeight="1" x14ac:dyDescent="0.25"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2:26" ht="15.75" customHeight="1" x14ac:dyDescent="0.25"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2:26" ht="15.75" customHeight="1" x14ac:dyDescent="0.25"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2:26" ht="15.75" customHeight="1" x14ac:dyDescent="0.25"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2:26" ht="15.75" customHeight="1" x14ac:dyDescent="0.25"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2:26" ht="15.75" customHeight="1" x14ac:dyDescent="0.25"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2:26" ht="15.75" customHeight="1" x14ac:dyDescent="0.25"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2:26" ht="15.75" customHeight="1" x14ac:dyDescent="0.25"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2:26" ht="15.75" customHeight="1" x14ac:dyDescent="0.25"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2:26" ht="15.75" customHeight="1" x14ac:dyDescent="0.25"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2:26" ht="15.75" customHeight="1" x14ac:dyDescent="0.25"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2:26" ht="15.75" customHeight="1" x14ac:dyDescent="0.25"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2:26" ht="15.75" customHeight="1" x14ac:dyDescent="0.25"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2:26" ht="15.75" customHeight="1" x14ac:dyDescent="0.25"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2:26" ht="15.75" customHeight="1" x14ac:dyDescent="0.25"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2:26" ht="15.75" customHeight="1" x14ac:dyDescent="0.25"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2:26" ht="15.75" customHeight="1" x14ac:dyDescent="0.25"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2:26" ht="15.75" customHeight="1" x14ac:dyDescent="0.25"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2:26" ht="15.75" customHeight="1" x14ac:dyDescent="0.25"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2:26" ht="15.75" customHeight="1" x14ac:dyDescent="0.25"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2:26" ht="15.75" customHeight="1" x14ac:dyDescent="0.25"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2:26" ht="15.75" customHeight="1" x14ac:dyDescent="0.25"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2:26" ht="15.75" customHeight="1" x14ac:dyDescent="0.25"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2:26" ht="15.75" customHeight="1" x14ac:dyDescent="0.25"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2:26" ht="15.75" customHeight="1" x14ac:dyDescent="0.25"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2:26" ht="15.75" customHeight="1" x14ac:dyDescent="0.25"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2:26" ht="15.75" customHeight="1" x14ac:dyDescent="0.25"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2:26" ht="15.75" customHeight="1" x14ac:dyDescent="0.25"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2:26" ht="15.75" customHeight="1" x14ac:dyDescent="0.25"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2:26" ht="15.75" customHeight="1" x14ac:dyDescent="0.25"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2:26" ht="15.75" customHeight="1" x14ac:dyDescent="0.25"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2:26" ht="15.75" customHeight="1" x14ac:dyDescent="0.25"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2:26" ht="15.75" customHeight="1" x14ac:dyDescent="0.25"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2:26" ht="15.75" customHeight="1" x14ac:dyDescent="0.25"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2:26" ht="15.75" customHeight="1" x14ac:dyDescent="0.25"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2:26" ht="15.75" customHeight="1" x14ac:dyDescent="0.25"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2:26" ht="15.75" customHeight="1" x14ac:dyDescent="0.25"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2:26" ht="15.75" customHeight="1" x14ac:dyDescent="0.25"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2:26" ht="15.75" customHeight="1" x14ac:dyDescent="0.25"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2:26" ht="15.75" customHeight="1" x14ac:dyDescent="0.25"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2:26" ht="15.75" customHeight="1" x14ac:dyDescent="0.25"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2:26" ht="15.75" customHeight="1" x14ac:dyDescent="0.25"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2:26" ht="15.75" customHeight="1" x14ac:dyDescent="0.25"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2:26" ht="15.75" customHeight="1" x14ac:dyDescent="0.25"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2:26" ht="15.75" customHeight="1" x14ac:dyDescent="0.25"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2:26" ht="15.75" customHeight="1" x14ac:dyDescent="0.25"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2:26" ht="15.75" customHeight="1" x14ac:dyDescent="0.25"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2:26" ht="15.75" customHeight="1" x14ac:dyDescent="0.25"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2:26" ht="15.75" customHeight="1" x14ac:dyDescent="0.25"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2:26" ht="15.75" customHeight="1" x14ac:dyDescent="0.25"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2:26" ht="15.75" customHeight="1" x14ac:dyDescent="0.25"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2:26" ht="15.75" customHeight="1" x14ac:dyDescent="0.25"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2:26" ht="15.75" customHeight="1" x14ac:dyDescent="0.25"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2:26" ht="15.75" customHeight="1" x14ac:dyDescent="0.25"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2:26" ht="15.75" customHeight="1" x14ac:dyDescent="0.25"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2:26" ht="15.75" customHeight="1" x14ac:dyDescent="0.25"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2:26" ht="15.75" customHeight="1" x14ac:dyDescent="0.25"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2:26" ht="15.75" customHeight="1" x14ac:dyDescent="0.25"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2:26" ht="15.75" customHeight="1" x14ac:dyDescent="0.25"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2:26" ht="15.75" customHeight="1" x14ac:dyDescent="0.25"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2:26" ht="15.75" customHeight="1" x14ac:dyDescent="0.25"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2:26" ht="15.75" customHeight="1" x14ac:dyDescent="0.25"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2:26" ht="15.75" customHeight="1" x14ac:dyDescent="0.25"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2:26" ht="15.75" customHeight="1" x14ac:dyDescent="0.25"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2:26" ht="15.75" customHeight="1" x14ac:dyDescent="0.25"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2:26" ht="15.75" customHeight="1" x14ac:dyDescent="0.25"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2:26" ht="15.75" customHeight="1" x14ac:dyDescent="0.25"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2:26" ht="15.75" customHeight="1" x14ac:dyDescent="0.25"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2:26" ht="15.75" customHeight="1" x14ac:dyDescent="0.25"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2:26" ht="15.75" customHeight="1" x14ac:dyDescent="0.25"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2:26" ht="15.75" customHeight="1" x14ac:dyDescent="0.25"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2:26" ht="15.75" customHeight="1" x14ac:dyDescent="0.25"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2:26" ht="15.75" customHeight="1" x14ac:dyDescent="0.25"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2:26" ht="15.75" customHeight="1" x14ac:dyDescent="0.25"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2:26" ht="15.75" customHeight="1" x14ac:dyDescent="0.25"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2:26" ht="15.75" customHeight="1" x14ac:dyDescent="0.25"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2:26" ht="15.75" customHeight="1" x14ac:dyDescent="0.25"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2:26" ht="15.75" customHeight="1" x14ac:dyDescent="0.25"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2:26" ht="15.75" customHeight="1" x14ac:dyDescent="0.25"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2:26" ht="15.75" customHeight="1" x14ac:dyDescent="0.25"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2:26" ht="15.75" customHeight="1" x14ac:dyDescent="0.25"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2:26" ht="15.75" customHeight="1" x14ac:dyDescent="0.25"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2:26" ht="15.75" customHeight="1" x14ac:dyDescent="0.25"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2:26" ht="15.75" customHeight="1" x14ac:dyDescent="0.25"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2:26" ht="15.75" customHeight="1" x14ac:dyDescent="0.25"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2:26" ht="15.75" customHeight="1" x14ac:dyDescent="0.25"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2:26" ht="15.75" customHeight="1" x14ac:dyDescent="0.25"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2:26" ht="15.75" customHeight="1" x14ac:dyDescent="0.25"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2:26" ht="15.75" customHeight="1" x14ac:dyDescent="0.25"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2:26" ht="15.75" customHeight="1" x14ac:dyDescent="0.25"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2:26" ht="15.75" customHeight="1" x14ac:dyDescent="0.25"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2:26" ht="15.75" customHeight="1" x14ac:dyDescent="0.25"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2:26" ht="15.75" customHeight="1" x14ac:dyDescent="0.25"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2:26" ht="15.75" customHeight="1" x14ac:dyDescent="0.25"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2:26" ht="15.75" customHeight="1" x14ac:dyDescent="0.25"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2:26" ht="15.75" customHeight="1" x14ac:dyDescent="0.25"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2:26" ht="15.75" customHeight="1" x14ac:dyDescent="0.25"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2:26" ht="15.75" customHeight="1" x14ac:dyDescent="0.25"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2:26" ht="15.75" customHeight="1" x14ac:dyDescent="0.25"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2:26" ht="15.75" customHeight="1" x14ac:dyDescent="0.25"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2:26" ht="15.75" customHeight="1" x14ac:dyDescent="0.25"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2:26" ht="15.75" customHeight="1" x14ac:dyDescent="0.25"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2:26" ht="15.75" customHeight="1" x14ac:dyDescent="0.25"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2:26" ht="15.75" customHeight="1" x14ac:dyDescent="0.25"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2:26" ht="15.75" customHeight="1" x14ac:dyDescent="0.25"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2:26" ht="15.75" customHeight="1" x14ac:dyDescent="0.25"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2:26" ht="15.75" customHeight="1" x14ac:dyDescent="0.25"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2:26" ht="15.75" customHeight="1" x14ac:dyDescent="0.25"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2:26" ht="15.75" customHeight="1" x14ac:dyDescent="0.25"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2:26" ht="15.75" customHeight="1" x14ac:dyDescent="0.25"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2:26" ht="15.75" customHeight="1" x14ac:dyDescent="0.25"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2:26" ht="15.75" customHeight="1" x14ac:dyDescent="0.25"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2:26" ht="15.75" customHeight="1" x14ac:dyDescent="0.25"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2:26" ht="15.75" customHeight="1" x14ac:dyDescent="0.25"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2:26" ht="15.75" customHeight="1" x14ac:dyDescent="0.25"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2:26" ht="15.75" customHeight="1" x14ac:dyDescent="0.25"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2:26" ht="15.75" customHeight="1" x14ac:dyDescent="0.25"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2:26" ht="15.75" customHeight="1" x14ac:dyDescent="0.25"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2:26" ht="15.75" customHeight="1" x14ac:dyDescent="0.25"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2:26" ht="15.75" customHeight="1" x14ac:dyDescent="0.25"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2:26" ht="15.75" customHeight="1" x14ac:dyDescent="0.25"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2:26" ht="15.75" customHeight="1" x14ac:dyDescent="0.25"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2:26" ht="15.75" customHeight="1" x14ac:dyDescent="0.25"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2:26" ht="15.75" customHeight="1" x14ac:dyDescent="0.25"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2:26" ht="15.75" customHeight="1" x14ac:dyDescent="0.25"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2:26" ht="15.75" customHeight="1" x14ac:dyDescent="0.25"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2:26" ht="15.75" customHeight="1" x14ac:dyDescent="0.25"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2:26" ht="15.75" customHeight="1" x14ac:dyDescent="0.25"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2:26" ht="15.75" customHeight="1" x14ac:dyDescent="0.25"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2:26" ht="15.75" customHeight="1" x14ac:dyDescent="0.25"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2:26" ht="15.75" customHeight="1" x14ac:dyDescent="0.25"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2:26" ht="15.75" customHeight="1" x14ac:dyDescent="0.25"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2:26" ht="15.75" customHeight="1" x14ac:dyDescent="0.25"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2:26" ht="15.75" customHeight="1" x14ac:dyDescent="0.25"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2:26" ht="15.75" customHeight="1" x14ac:dyDescent="0.25"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2:26" ht="15.75" customHeight="1" x14ac:dyDescent="0.25"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2:26" ht="15.75" customHeight="1" x14ac:dyDescent="0.25"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2:26" ht="15.75" customHeight="1" x14ac:dyDescent="0.25"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2:26" ht="15.75" customHeight="1" x14ac:dyDescent="0.25"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2:26" ht="15.75" customHeight="1" x14ac:dyDescent="0.25"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2:26" ht="15.75" customHeight="1" x14ac:dyDescent="0.25"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2:26" ht="15.75" customHeight="1" x14ac:dyDescent="0.25"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2:26" ht="15.75" customHeight="1" x14ac:dyDescent="0.25"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2:26" ht="15.75" customHeight="1" x14ac:dyDescent="0.25"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2:26" ht="15.75" customHeight="1" x14ac:dyDescent="0.25"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2:26" ht="15.75" customHeight="1" x14ac:dyDescent="0.25"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2:26" ht="15.75" customHeight="1" x14ac:dyDescent="0.25"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2:26" ht="15.75" customHeight="1" x14ac:dyDescent="0.25"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2:26" ht="15.75" customHeight="1" x14ac:dyDescent="0.25"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2:26" ht="15.75" customHeight="1" x14ac:dyDescent="0.25"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2:26" ht="15.75" customHeight="1" x14ac:dyDescent="0.25"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2:26" ht="15.75" customHeight="1" x14ac:dyDescent="0.25"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2:26" ht="15.75" customHeight="1" x14ac:dyDescent="0.25"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2:26" ht="15.75" customHeight="1" x14ac:dyDescent="0.25"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2:26" ht="15.75" customHeight="1" x14ac:dyDescent="0.25"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2:26" ht="15.75" customHeight="1" x14ac:dyDescent="0.25"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2:26" ht="15.75" customHeight="1" x14ac:dyDescent="0.25"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2:26" ht="15.75" customHeight="1" x14ac:dyDescent="0.25"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2:26" ht="15.75" customHeight="1" x14ac:dyDescent="0.25"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2:26" ht="15.75" customHeight="1" x14ac:dyDescent="0.25"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</sheetData>
  <autoFilter ref="A2:BI2" xr:uid="{00000000-0009-0000-0000-000003000000}"/>
  <mergeCells count="2">
    <mergeCell ref="A1:AF1"/>
    <mergeCell ref="AI1:BI1"/>
  </mergeCells>
  <conditionalFormatting sqref="D3:D298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:E298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:H298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:I298"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3:J298"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3:K298"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3:L298"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3:M298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:N298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3:O298"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:P298"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:Q298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3:R298">
    <cfRule type="colorScale" priority="4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S3:S298">
    <cfRule type="colorScale" priority="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:T298">
    <cfRule type="colorScale" priority="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3:U298">
    <cfRule type="colorScale" priority="4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W3:W298">
    <cfRule type="colorScale" priority="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3:X298">
    <cfRule type="colorScale" priority="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3:Y298">
    <cfRule type="colorScale" priority="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3:Z298">
    <cfRule type="colorScale" priority="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A3:AA298">
    <cfRule type="colorScale" priority="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B3:AB298">
    <cfRule type="colorScale" priority="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3:AC298">
    <cfRule type="colorScale" priority="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3:AD298">
    <cfRule type="colorScale" priority="2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E3:AE298">
    <cfRule type="colorScale" priority="28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F3:AF298">
    <cfRule type="colorScale" priority="2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J3:BI3 AJ4:AX184 AI3:AI184 AI177:AX298 AZ4:BI298">
    <cfRule type="colorScale" priority="2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K3:AK298">
    <cfRule type="colorScale" priority="2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K3:BI3 AJ3:AJ184 AK4:AX184 AJ177:AX298 AZ4:BI298">
    <cfRule type="colorScale" priority="25">
      <colorScale>
        <cfvo type="min"/>
        <cfvo type="percentile" val="50"/>
        <cfvo type="max"/>
        <color rgb="FFF8696B"/>
        <color theme="0" tint="-4.9989318521683403E-2"/>
        <color rgb="FF63BE7B"/>
      </colorScale>
    </cfRule>
  </conditionalFormatting>
  <conditionalFormatting sqref="AL3:AL298">
    <cfRule type="colorScale" priority="2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M3:AM298">
    <cfRule type="colorScale" priority="2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N3:AN298">
    <cfRule type="colorScale" priority="21">
      <colorScale>
        <cfvo type="min"/>
        <cfvo type="percentile" val="50"/>
        <cfvo type="max"/>
        <color rgb="FFF8696B"/>
        <color theme="0" tint="-4.9989318521683403E-2"/>
        <color rgb="FF63BE7B"/>
      </colorScale>
    </cfRule>
  </conditionalFormatting>
  <conditionalFormatting sqref="AO3:AO298">
    <cfRule type="colorScale" priority="20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P3:AP298">
    <cfRule type="colorScale" priority="1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Q3:AQ298">
    <cfRule type="colorScale" priority="18">
      <colorScale>
        <cfvo type="min"/>
        <cfvo type="percentile" val="50"/>
        <cfvo type="max"/>
        <color rgb="FFF8696B"/>
        <color theme="0" tint="-4.9989318521683403E-2"/>
        <color rgb="FF63BE7B"/>
      </colorScale>
    </cfRule>
  </conditionalFormatting>
  <conditionalFormatting sqref="AR3:AR298">
    <cfRule type="colorScale" priority="1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S3:AS298">
    <cfRule type="colorScale" priority="1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T3:AT298">
    <cfRule type="colorScale" priority="1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U3:AU298">
    <cfRule type="colorScale" priority="1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V3:AV298">
    <cfRule type="colorScale" priority="1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W3:AW298">
    <cfRule type="colorScale" priority="1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X3:AX298">
    <cfRule type="colorScale" priority="11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Z3:AZ298">
    <cfRule type="colorScale" priority="10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A3:BA298">
    <cfRule type="colorScale" priority="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B3:BB298">
    <cfRule type="colorScale" priority="8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C3:BC298">
    <cfRule type="colorScale" priority="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D3:BD298">
    <cfRule type="colorScale" priority="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E3:BE298">
    <cfRule type="colorScale" priority="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F3:BF298">
    <cfRule type="colorScale" priority="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G3:BG298">
    <cfRule type="colorScale" priority="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H3:BH298">
    <cfRule type="colorScale" priority="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I3:BI298">
    <cfRule type="colorScale" priority="1">
      <colorScale>
        <cfvo type="min"/>
        <cfvo type="percentile" val="50"/>
        <cfvo type="max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  <ignoredErrors>
    <ignoredError sqref="AU3:AU160 AU161:AU162 AU163:AU165 AU166:AU176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113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AD1"/>
    </sheetView>
  </sheetViews>
  <sheetFormatPr baseColWidth="10" defaultColWidth="12.42578125" defaultRowHeight="15" customHeight="1" x14ac:dyDescent="0.25"/>
  <cols>
    <col min="1" max="1" width="25.5703125" customWidth="1"/>
    <col min="2" max="29" width="7.5703125" customWidth="1"/>
  </cols>
  <sheetData>
    <row r="1" spans="1:57" ht="26.25" x14ac:dyDescent="0.4">
      <c r="A1" s="23" t="s">
        <v>67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G1" s="23" t="s">
        <v>68</v>
      </c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</row>
    <row r="2" spans="1:57" ht="15" customHeight="1" x14ac:dyDescent="0.25">
      <c r="A2" s="25" t="s">
        <v>53</v>
      </c>
      <c r="B2" s="25"/>
      <c r="C2" s="25"/>
      <c r="D2" s="25"/>
      <c r="E2" s="25"/>
      <c r="F2" s="25"/>
      <c r="G2" s="25"/>
      <c r="H2" s="25"/>
      <c r="I2" s="25"/>
      <c r="K2" s="25" t="s">
        <v>54</v>
      </c>
      <c r="L2" s="25"/>
      <c r="M2" s="25"/>
      <c r="N2" s="25"/>
      <c r="O2" s="25"/>
      <c r="P2" s="25"/>
      <c r="R2" s="25" t="s">
        <v>55</v>
      </c>
      <c r="S2" s="25"/>
      <c r="T2" s="25"/>
      <c r="U2" s="25"/>
      <c r="V2" s="25"/>
      <c r="W2" s="25"/>
      <c r="Y2" s="25" t="s">
        <v>56</v>
      </c>
      <c r="Z2" s="25"/>
      <c r="AB2" s="25" t="s">
        <v>57</v>
      </c>
      <c r="AC2" s="25"/>
      <c r="AD2" s="11"/>
      <c r="AG2" s="26" t="s">
        <v>53</v>
      </c>
      <c r="AH2" s="26"/>
      <c r="AI2" s="26"/>
      <c r="AJ2" s="26"/>
      <c r="AL2" s="25" t="s">
        <v>54</v>
      </c>
      <c r="AM2" s="25"/>
      <c r="AN2" s="25"/>
      <c r="AO2" s="25"/>
      <c r="AP2" s="25"/>
      <c r="AQ2" s="25"/>
      <c r="AS2" s="25" t="s">
        <v>55</v>
      </c>
      <c r="AT2" s="25"/>
      <c r="AU2" s="25"/>
      <c r="AV2" s="25"/>
      <c r="AW2" s="25"/>
      <c r="AX2" s="25"/>
      <c r="AZ2" s="25" t="s">
        <v>56</v>
      </c>
      <c r="BA2" s="25"/>
      <c r="BC2" s="25" t="s">
        <v>57</v>
      </c>
      <c r="BD2" s="25"/>
    </row>
    <row r="3" spans="1:57" x14ac:dyDescent="0.25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8</v>
      </c>
      <c r="G3" s="2" t="s">
        <v>9</v>
      </c>
      <c r="H3" s="2" t="s">
        <v>13</v>
      </c>
      <c r="I3" s="2" t="s">
        <v>58</v>
      </c>
      <c r="J3" s="2"/>
      <c r="K3" s="2" t="s">
        <v>17</v>
      </c>
      <c r="L3" s="2" t="s">
        <v>59</v>
      </c>
      <c r="M3" s="8" t="s">
        <v>60</v>
      </c>
      <c r="N3" s="8" t="s">
        <v>61</v>
      </c>
      <c r="O3" s="2" t="s">
        <v>62</v>
      </c>
      <c r="P3" s="2" t="s">
        <v>14</v>
      </c>
      <c r="Q3" s="2"/>
      <c r="R3" s="2" t="s">
        <v>17</v>
      </c>
      <c r="S3" s="2" t="s">
        <v>59</v>
      </c>
      <c r="T3" s="8" t="s">
        <v>60</v>
      </c>
      <c r="U3" s="8" t="s">
        <v>61</v>
      </c>
      <c r="V3" s="2" t="s">
        <v>62</v>
      </c>
      <c r="W3" s="2" t="s">
        <v>14</v>
      </c>
      <c r="X3" s="2"/>
      <c r="Y3" s="2" t="s">
        <v>17</v>
      </c>
      <c r="Z3" s="2" t="s">
        <v>14</v>
      </c>
      <c r="AA3" s="2"/>
      <c r="AB3" s="2" t="s">
        <v>63</v>
      </c>
      <c r="AC3" s="2" t="s">
        <v>16</v>
      </c>
      <c r="AD3" s="2" t="s">
        <v>65</v>
      </c>
      <c r="AG3" s="2" t="s">
        <v>8</v>
      </c>
      <c r="AH3" s="2" t="s">
        <v>9</v>
      </c>
      <c r="AI3" s="2" t="s">
        <v>13</v>
      </c>
      <c r="AJ3" s="2" t="s">
        <v>58</v>
      </c>
      <c r="AK3" s="2"/>
      <c r="AL3" s="2" t="s">
        <v>17</v>
      </c>
      <c r="AM3" s="2" t="s">
        <v>59</v>
      </c>
      <c r="AN3" s="8" t="s">
        <v>60</v>
      </c>
      <c r="AO3" s="8" t="s">
        <v>61</v>
      </c>
      <c r="AP3" s="2" t="s">
        <v>62</v>
      </c>
      <c r="AQ3" s="2" t="s">
        <v>14</v>
      </c>
      <c r="AR3" s="2"/>
      <c r="AS3" s="2" t="s">
        <v>17</v>
      </c>
      <c r="AT3" s="2" t="s">
        <v>59</v>
      </c>
      <c r="AU3" s="8" t="s">
        <v>60</v>
      </c>
      <c r="AV3" s="8" t="s">
        <v>61</v>
      </c>
      <c r="AW3" s="2" t="s">
        <v>62</v>
      </c>
      <c r="AX3" s="2" t="s">
        <v>14</v>
      </c>
      <c r="AY3" s="2"/>
      <c r="AZ3" s="2" t="s">
        <v>17</v>
      </c>
      <c r="BA3" s="2" t="s">
        <v>14</v>
      </c>
      <c r="BB3" s="2"/>
      <c r="BC3" s="2" t="s">
        <v>63</v>
      </c>
      <c r="BD3" s="2" t="s">
        <v>16</v>
      </c>
      <c r="BE3" s="2" t="s">
        <v>65</v>
      </c>
    </row>
    <row r="4" spans="1:57" x14ac:dyDescent="0.25">
      <c r="A4" s="21" t="s">
        <v>127</v>
      </c>
      <c r="B4" s="3" t="s">
        <v>128</v>
      </c>
      <c r="C4" s="4" t="s">
        <v>8</v>
      </c>
      <c r="D4" s="4">
        <v>42</v>
      </c>
      <c r="E4" s="4">
        <v>1438</v>
      </c>
      <c r="F4" s="4">
        <v>42</v>
      </c>
      <c r="G4" s="4">
        <v>1438</v>
      </c>
      <c r="H4" s="4">
        <v>0.40600000000000003</v>
      </c>
      <c r="I4" s="4">
        <v>18.7</v>
      </c>
      <c r="J4" s="4"/>
      <c r="K4" s="4">
        <v>0.38300000000000001</v>
      </c>
      <c r="L4" s="4">
        <v>9.8000000000000004E-2</v>
      </c>
      <c r="M4" s="4">
        <v>0.158</v>
      </c>
      <c r="N4" s="4">
        <v>7.5999999999999998E-2</v>
      </c>
      <c r="O4" s="4">
        <v>5.0999999999999997E-2</v>
      </c>
      <c r="P4" s="4">
        <v>0.61699999999999999</v>
      </c>
      <c r="Q4" s="4"/>
      <c r="R4" s="4">
        <v>0.48099999999999998</v>
      </c>
      <c r="S4" s="4">
        <v>0.72899999999999998</v>
      </c>
      <c r="T4" s="4">
        <v>0.495</v>
      </c>
      <c r="U4" s="4">
        <v>0.28299999999999997</v>
      </c>
      <c r="V4" s="4">
        <v>0.25800000000000001</v>
      </c>
      <c r="W4" s="4">
        <v>0.36</v>
      </c>
      <c r="X4" s="4"/>
      <c r="Y4" s="4">
        <v>0.30599999999999999</v>
      </c>
      <c r="Z4" s="4">
        <v>0.84299999999999997</v>
      </c>
      <c r="AA4" s="4"/>
      <c r="AB4" s="4">
        <v>8.8999999999999996E-2</v>
      </c>
      <c r="AC4" s="4">
        <v>0.42399999999999999</v>
      </c>
      <c r="AD4" s="10">
        <f>(K4*Y4+P4*Z4)</f>
        <v>0.63732900000000003</v>
      </c>
      <c r="AE4" s="9"/>
      <c r="AF4" s="9"/>
      <c r="AG4" s="12">
        <f>(PERCENTRANK(F$4:F$298,F4))*100</f>
        <v>83</v>
      </c>
      <c r="AH4" s="12">
        <f t="shared" ref="AH4:AX19" si="0">(PERCENTRANK(G$4:G$298,G4))*100</f>
        <v>100</v>
      </c>
      <c r="AI4" s="12">
        <f t="shared" si="0"/>
        <v>33.800000000000004</v>
      </c>
      <c r="AJ4" s="12">
        <f t="shared" si="0"/>
        <v>88.5</v>
      </c>
      <c r="AK4" s="12"/>
      <c r="AL4" s="12">
        <f t="shared" si="0"/>
        <v>14.2</v>
      </c>
      <c r="AM4" s="12">
        <f t="shared" si="0"/>
        <v>14.2</v>
      </c>
      <c r="AN4" s="12">
        <f t="shared" si="0"/>
        <v>19.600000000000001</v>
      </c>
      <c r="AO4" s="12">
        <f t="shared" si="0"/>
        <v>56.2</v>
      </c>
      <c r="AP4" s="12">
        <f t="shared" si="0"/>
        <v>60.6</v>
      </c>
      <c r="AQ4" s="12">
        <f t="shared" si="0"/>
        <v>85.7</v>
      </c>
      <c r="AR4" s="12"/>
      <c r="AS4" s="12">
        <f t="shared" si="0"/>
        <v>34.4</v>
      </c>
      <c r="AT4" s="12">
        <f t="shared" si="0"/>
        <v>72.099999999999994</v>
      </c>
      <c r="AU4" s="12">
        <f t="shared" si="0"/>
        <v>72.599999999999994</v>
      </c>
      <c r="AV4" s="12">
        <f t="shared" si="0"/>
        <v>32.700000000000003</v>
      </c>
      <c r="AW4" s="12">
        <f t="shared" si="0"/>
        <v>40.9</v>
      </c>
      <c r="AX4" s="12">
        <f t="shared" si="0"/>
        <v>65.5</v>
      </c>
      <c r="AY4" s="12"/>
      <c r="AZ4" s="12">
        <f>100-(PERCENTRANK(Y$4:Y$298,Y4))*100</f>
        <v>89.7</v>
      </c>
      <c r="BA4" s="12">
        <f>100-(PERCENTRANK(Z$4:Z$298,Z4))*100</f>
        <v>71.099999999999994</v>
      </c>
      <c r="BB4" s="12"/>
      <c r="BC4" s="12">
        <f>(PERCENTRANK(AB$4:AB$298,AB4))*100</f>
        <v>13.100000000000001</v>
      </c>
      <c r="BD4" s="12">
        <f>(PERCENTRANK(AC$4:AC$298,AC4))*100</f>
        <v>67.7</v>
      </c>
      <c r="BE4" s="12">
        <f>100-(PERCENTRANK(AD$4:AD$298,AD4))*100</f>
        <v>72.7</v>
      </c>
    </row>
    <row r="5" spans="1:57" x14ac:dyDescent="0.25">
      <c r="A5" s="1" t="s">
        <v>149</v>
      </c>
      <c r="B5" s="3" t="s">
        <v>128</v>
      </c>
      <c r="C5" s="4" t="s">
        <v>8</v>
      </c>
      <c r="D5" s="4">
        <v>43</v>
      </c>
      <c r="E5" s="4">
        <v>1401</v>
      </c>
      <c r="F5" s="4">
        <v>43</v>
      </c>
      <c r="G5" s="4">
        <v>1401</v>
      </c>
      <c r="H5" s="4">
        <v>0.46200000000000002</v>
      </c>
      <c r="I5" s="4">
        <v>12.9</v>
      </c>
      <c r="J5" s="4"/>
      <c r="K5" s="4">
        <v>0.60399999999999998</v>
      </c>
      <c r="L5" s="4">
        <v>0.27800000000000002</v>
      </c>
      <c r="M5" s="4">
        <v>0.22600000000000001</v>
      </c>
      <c r="N5" s="4">
        <v>8.3000000000000004E-2</v>
      </c>
      <c r="O5" s="4">
        <v>1.7000000000000001E-2</v>
      </c>
      <c r="P5" s="4">
        <v>0.39600000000000002</v>
      </c>
      <c r="Q5" s="4"/>
      <c r="R5" s="4">
        <v>0.54800000000000004</v>
      </c>
      <c r="S5" s="4">
        <v>0.75</v>
      </c>
      <c r="T5" s="4">
        <v>0.33800000000000002</v>
      </c>
      <c r="U5" s="4">
        <v>0.49</v>
      </c>
      <c r="V5" s="4">
        <v>0.3</v>
      </c>
      <c r="W5" s="4">
        <v>0.33</v>
      </c>
      <c r="X5" s="4"/>
      <c r="Y5" s="4">
        <v>0.68700000000000006</v>
      </c>
      <c r="Z5" s="4">
        <v>0.96099999999999997</v>
      </c>
      <c r="AA5" s="4"/>
      <c r="AB5" s="4">
        <v>0.15</v>
      </c>
      <c r="AC5" s="4">
        <v>0.22900000000000001</v>
      </c>
      <c r="AD5" s="10">
        <f t="shared" ref="AD5:AD68" si="1">(K5*Y5+P5*Z5)</f>
        <v>0.79550399999999999</v>
      </c>
      <c r="AE5" s="9"/>
      <c r="AF5" s="9"/>
      <c r="AG5" s="12">
        <f t="shared" ref="AG5:AJ68" si="2">(PERCENTRANK(F$4:F$298,F5))*100</f>
        <v>96.7</v>
      </c>
      <c r="AH5" s="12">
        <f t="shared" si="0"/>
        <v>99.4</v>
      </c>
      <c r="AI5" s="12">
        <f t="shared" si="0"/>
        <v>63.9</v>
      </c>
      <c r="AJ5" s="12">
        <f t="shared" si="0"/>
        <v>40.9</v>
      </c>
      <c r="AK5" s="12"/>
      <c r="AL5" s="12">
        <f t="shared" si="0"/>
        <v>52.400000000000006</v>
      </c>
      <c r="AM5" s="12">
        <f t="shared" si="0"/>
        <v>74.3</v>
      </c>
      <c r="AN5" s="12">
        <f t="shared" si="0"/>
        <v>41.5</v>
      </c>
      <c r="AO5" s="12">
        <f t="shared" si="0"/>
        <v>61.7</v>
      </c>
      <c r="AP5" s="12">
        <f t="shared" si="0"/>
        <v>20.200000000000003</v>
      </c>
      <c r="AQ5" s="12">
        <f t="shared" si="0"/>
        <v>46.9</v>
      </c>
      <c r="AR5" s="12"/>
      <c r="AS5" s="12">
        <f t="shared" si="0"/>
        <v>71.5</v>
      </c>
      <c r="AT5" s="12">
        <f t="shared" si="0"/>
        <v>77</v>
      </c>
      <c r="AU5" s="12">
        <f t="shared" si="0"/>
        <v>15.8</v>
      </c>
      <c r="AV5" s="12">
        <f t="shared" si="0"/>
        <v>80.800000000000011</v>
      </c>
      <c r="AW5" s="12">
        <f t="shared" si="0"/>
        <v>45.9</v>
      </c>
      <c r="AX5" s="12">
        <f t="shared" si="0"/>
        <v>51.9</v>
      </c>
      <c r="AY5" s="12"/>
      <c r="AZ5" s="12">
        <f t="shared" ref="AZ5:AZ68" si="3">100-(PERCENTRANK(Y$4:Y$298,Y5))*100</f>
        <v>35.599999999999994</v>
      </c>
      <c r="BA5" s="12">
        <f t="shared" ref="BA5:BA68" si="4">100-(PERCENTRANK(Z$4:Z$298,Z5))*100</f>
        <v>42.7</v>
      </c>
      <c r="BB5" s="12"/>
      <c r="BC5" s="12">
        <f t="shared" ref="BC5:BC68" si="5">(PERCENTRANK(AB$4:AB$298,AB5))*100</f>
        <v>32.200000000000003</v>
      </c>
      <c r="BD5" s="12">
        <f t="shared" ref="BD5:BD68" si="6">(PERCENTRANK(AC$4:AC$298,AC5))*100</f>
        <v>21.3</v>
      </c>
      <c r="BE5" s="12">
        <f t="shared" ref="BE5:BE68" si="7">100-(PERCENTRANK(AD$4:AD$298,AD5))*100</f>
        <v>36.1</v>
      </c>
    </row>
    <row r="6" spans="1:57" x14ac:dyDescent="0.25">
      <c r="A6" s="1" t="s">
        <v>83</v>
      </c>
      <c r="B6" s="3" t="s">
        <v>84</v>
      </c>
      <c r="C6" s="4" t="s">
        <v>85</v>
      </c>
      <c r="D6" s="4">
        <v>42</v>
      </c>
      <c r="E6" s="4">
        <v>1384</v>
      </c>
      <c r="F6" s="4">
        <v>42</v>
      </c>
      <c r="G6" s="4">
        <v>1384</v>
      </c>
      <c r="H6" s="4">
        <v>0.47399999999999998</v>
      </c>
      <c r="I6" s="4">
        <v>9.8000000000000007</v>
      </c>
      <c r="J6" s="4"/>
      <c r="K6" s="4">
        <v>0.80700000000000005</v>
      </c>
      <c r="L6" s="4">
        <v>0.19400000000000001</v>
      </c>
      <c r="M6" s="4">
        <v>0.47199999999999998</v>
      </c>
      <c r="N6" s="4">
        <v>0.12</v>
      </c>
      <c r="O6" s="4">
        <v>2.1000000000000001E-2</v>
      </c>
      <c r="P6" s="4">
        <v>0.193</v>
      </c>
      <c r="Q6" s="4"/>
      <c r="R6" s="4">
        <v>0.52600000000000002</v>
      </c>
      <c r="S6" s="4">
        <v>0.65</v>
      </c>
      <c r="T6" s="4">
        <v>0.50800000000000001</v>
      </c>
      <c r="U6" s="4">
        <v>0.39500000000000002</v>
      </c>
      <c r="V6" s="4">
        <v>0.53800000000000003</v>
      </c>
      <c r="W6" s="4">
        <v>0.254</v>
      </c>
      <c r="X6" s="4"/>
      <c r="Y6" s="4">
        <v>0.67300000000000004</v>
      </c>
      <c r="Z6" s="4">
        <v>0.90300000000000002</v>
      </c>
      <c r="AA6" s="4"/>
      <c r="AB6" s="4">
        <v>0.221</v>
      </c>
      <c r="AC6" s="4">
        <v>0.29599999999999999</v>
      </c>
      <c r="AD6" s="10">
        <f t="shared" si="1"/>
        <v>0.71739000000000019</v>
      </c>
      <c r="AE6" s="9"/>
      <c r="AF6" s="9"/>
      <c r="AG6" s="12">
        <f t="shared" si="2"/>
        <v>83</v>
      </c>
      <c r="AH6" s="12">
        <f t="shared" si="0"/>
        <v>98.9</v>
      </c>
      <c r="AI6" s="12">
        <f t="shared" si="0"/>
        <v>68.8</v>
      </c>
      <c r="AJ6" s="12">
        <f t="shared" si="0"/>
        <v>20.200000000000003</v>
      </c>
      <c r="AK6" s="12"/>
      <c r="AL6" s="12">
        <f t="shared" si="0"/>
        <v>85.2</v>
      </c>
      <c r="AM6" s="12">
        <f t="shared" si="0"/>
        <v>49.1</v>
      </c>
      <c r="AN6" s="12">
        <f t="shared" si="0"/>
        <v>96.1</v>
      </c>
      <c r="AO6" s="12">
        <f t="shared" si="0"/>
        <v>80.300000000000011</v>
      </c>
      <c r="AP6" s="12">
        <f t="shared" si="0"/>
        <v>27.3</v>
      </c>
      <c r="AQ6" s="12">
        <f t="shared" si="0"/>
        <v>14.7</v>
      </c>
      <c r="AR6" s="12"/>
      <c r="AS6" s="12">
        <f t="shared" si="0"/>
        <v>59</v>
      </c>
      <c r="AT6" s="12">
        <f t="shared" si="0"/>
        <v>40.9</v>
      </c>
      <c r="AU6" s="12">
        <f t="shared" si="0"/>
        <v>77.5</v>
      </c>
      <c r="AV6" s="12">
        <f t="shared" si="0"/>
        <v>57.9</v>
      </c>
      <c r="AW6" s="12">
        <f t="shared" si="0"/>
        <v>90.7</v>
      </c>
      <c r="AX6" s="12">
        <f t="shared" si="0"/>
        <v>20.200000000000003</v>
      </c>
      <c r="AY6" s="12"/>
      <c r="AZ6" s="12">
        <f t="shared" si="3"/>
        <v>39.900000000000006</v>
      </c>
      <c r="BA6" s="12">
        <f t="shared" si="4"/>
        <v>62.3</v>
      </c>
      <c r="BB6" s="12"/>
      <c r="BC6" s="12">
        <f t="shared" si="5"/>
        <v>61.7</v>
      </c>
      <c r="BD6" s="12">
        <f t="shared" si="6"/>
        <v>38.700000000000003</v>
      </c>
      <c r="BE6" s="12">
        <f t="shared" si="7"/>
        <v>54.699999999999996</v>
      </c>
    </row>
    <row r="7" spans="1:57" x14ac:dyDescent="0.25">
      <c r="A7" s="1" t="s">
        <v>159</v>
      </c>
      <c r="B7" s="3" t="s">
        <v>157</v>
      </c>
      <c r="C7" s="4" t="s">
        <v>8</v>
      </c>
      <c r="D7" s="4">
        <v>42</v>
      </c>
      <c r="E7" s="4">
        <v>1382</v>
      </c>
      <c r="F7" s="4">
        <v>42</v>
      </c>
      <c r="G7" s="4">
        <v>1382</v>
      </c>
      <c r="H7" s="4">
        <v>0.51500000000000001</v>
      </c>
      <c r="I7" s="4">
        <v>14.4</v>
      </c>
      <c r="J7" s="4"/>
      <c r="K7" s="4">
        <v>0.60299999999999998</v>
      </c>
      <c r="L7" s="4">
        <v>0.223</v>
      </c>
      <c r="M7" s="4">
        <v>0.19400000000000001</v>
      </c>
      <c r="N7" s="4">
        <v>5.7000000000000002E-2</v>
      </c>
      <c r="O7" s="4">
        <v>0.13</v>
      </c>
      <c r="P7" s="4">
        <v>0.39700000000000002</v>
      </c>
      <c r="Q7" s="4"/>
      <c r="R7" s="4">
        <v>0.55300000000000005</v>
      </c>
      <c r="S7" s="4">
        <v>0.64</v>
      </c>
      <c r="T7" s="4">
        <v>0.58599999999999997</v>
      </c>
      <c r="U7" s="4">
        <v>0.41499999999999998</v>
      </c>
      <c r="V7" s="4">
        <v>0.41499999999999998</v>
      </c>
      <c r="W7" s="4">
        <v>0.45600000000000002</v>
      </c>
      <c r="X7" s="4"/>
      <c r="Y7" s="4">
        <v>0.56799999999999995</v>
      </c>
      <c r="Z7" s="4">
        <v>0.64100000000000001</v>
      </c>
      <c r="AA7" s="4"/>
      <c r="AB7" s="4">
        <v>0.122</v>
      </c>
      <c r="AC7" s="4">
        <v>0.371</v>
      </c>
      <c r="AD7" s="10">
        <f t="shared" si="1"/>
        <v>0.59698099999999998</v>
      </c>
      <c r="AE7" s="9"/>
      <c r="AF7" s="9"/>
      <c r="AG7" s="12">
        <f t="shared" si="2"/>
        <v>83</v>
      </c>
      <c r="AH7" s="12">
        <f t="shared" si="0"/>
        <v>98.3</v>
      </c>
      <c r="AI7" s="12">
        <f t="shared" si="0"/>
        <v>83</v>
      </c>
      <c r="AJ7" s="12">
        <f t="shared" si="0"/>
        <v>53.5</v>
      </c>
      <c r="AK7" s="12"/>
      <c r="AL7" s="12">
        <f t="shared" si="0"/>
        <v>51.300000000000004</v>
      </c>
      <c r="AM7" s="12">
        <f t="shared" si="0"/>
        <v>60.099999999999994</v>
      </c>
      <c r="AN7" s="12">
        <f t="shared" si="0"/>
        <v>30.599999999999998</v>
      </c>
      <c r="AO7" s="12">
        <f t="shared" si="0"/>
        <v>41.5</v>
      </c>
      <c r="AP7" s="12">
        <f t="shared" si="0"/>
        <v>95.6</v>
      </c>
      <c r="AQ7" s="12">
        <f t="shared" si="0"/>
        <v>48</v>
      </c>
      <c r="AR7" s="12"/>
      <c r="AS7" s="12">
        <f t="shared" si="0"/>
        <v>73.7</v>
      </c>
      <c r="AT7" s="12">
        <f t="shared" si="0"/>
        <v>38.200000000000003</v>
      </c>
      <c r="AU7" s="12">
        <f t="shared" si="0"/>
        <v>93.899999999999991</v>
      </c>
      <c r="AV7" s="12">
        <f t="shared" si="0"/>
        <v>64.400000000000006</v>
      </c>
      <c r="AW7" s="12">
        <f t="shared" si="0"/>
        <v>70.399999999999991</v>
      </c>
      <c r="AX7" s="12">
        <f t="shared" si="0"/>
        <v>96.1</v>
      </c>
      <c r="AY7" s="12"/>
      <c r="AZ7" s="12">
        <f t="shared" si="3"/>
        <v>58</v>
      </c>
      <c r="BA7" s="12">
        <f t="shared" si="4"/>
        <v>89.7</v>
      </c>
      <c r="BB7" s="12"/>
      <c r="BC7" s="12">
        <f t="shared" si="5"/>
        <v>22.400000000000002</v>
      </c>
      <c r="BD7" s="12">
        <f t="shared" si="6"/>
        <v>53.5</v>
      </c>
      <c r="BE7" s="12">
        <f t="shared" si="7"/>
        <v>78.2</v>
      </c>
    </row>
    <row r="8" spans="1:57" x14ac:dyDescent="0.25">
      <c r="A8" s="1" t="s">
        <v>95</v>
      </c>
      <c r="B8" s="3" t="s">
        <v>96</v>
      </c>
      <c r="C8" s="4" t="s">
        <v>8</v>
      </c>
      <c r="D8" s="4">
        <v>42</v>
      </c>
      <c r="E8" s="4">
        <v>1370</v>
      </c>
      <c r="F8" s="4">
        <v>42</v>
      </c>
      <c r="G8" s="4">
        <v>1370</v>
      </c>
      <c r="H8" s="4">
        <v>0.45600000000000002</v>
      </c>
      <c r="I8" s="4">
        <v>16.7</v>
      </c>
      <c r="J8" s="4"/>
      <c r="K8" s="4">
        <v>0.45400000000000001</v>
      </c>
      <c r="L8" s="4">
        <v>0.158</v>
      </c>
      <c r="M8" s="4">
        <v>0.16200000000000001</v>
      </c>
      <c r="N8" s="4">
        <v>6.0999999999999999E-2</v>
      </c>
      <c r="O8" s="4">
        <v>7.2999999999999995E-2</v>
      </c>
      <c r="P8" s="4">
        <v>0.54600000000000004</v>
      </c>
      <c r="Q8" s="4"/>
      <c r="R8" s="4">
        <v>0.51200000000000001</v>
      </c>
      <c r="S8" s="4">
        <v>0.69399999999999995</v>
      </c>
      <c r="T8" s="4">
        <v>0.50600000000000001</v>
      </c>
      <c r="U8" s="4">
        <v>0.182</v>
      </c>
      <c r="V8" s="4">
        <v>0.41</v>
      </c>
      <c r="W8" s="4">
        <v>0.41</v>
      </c>
      <c r="X8" s="4"/>
      <c r="Y8" s="4">
        <v>0.73599999999999999</v>
      </c>
      <c r="Z8" s="4">
        <v>0.96699999999999997</v>
      </c>
      <c r="AA8" s="4"/>
      <c r="AB8" s="4">
        <v>0.19500000000000001</v>
      </c>
      <c r="AC8" s="4">
        <v>0.439</v>
      </c>
      <c r="AD8" s="10">
        <f t="shared" si="1"/>
        <v>0.86212600000000006</v>
      </c>
      <c r="AE8" s="9"/>
      <c r="AF8" s="9"/>
      <c r="AG8" s="12">
        <f t="shared" si="2"/>
        <v>83</v>
      </c>
      <c r="AH8" s="12">
        <f t="shared" si="0"/>
        <v>97.8</v>
      </c>
      <c r="AI8" s="12">
        <f t="shared" si="0"/>
        <v>60.6</v>
      </c>
      <c r="AJ8" s="12">
        <f t="shared" si="0"/>
        <v>75.400000000000006</v>
      </c>
      <c r="AK8" s="12"/>
      <c r="AL8" s="12">
        <f t="shared" si="0"/>
        <v>19.600000000000001</v>
      </c>
      <c r="AM8" s="12">
        <f t="shared" si="0"/>
        <v>36.6</v>
      </c>
      <c r="AN8" s="12">
        <f t="shared" si="0"/>
        <v>20.200000000000003</v>
      </c>
      <c r="AO8" s="12">
        <f t="shared" si="0"/>
        <v>46.9</v>
      </c>
      <c r="AP8" s="12">
        <f t="shared" si="0"/>
        <v>77.5</v>
      </c>
      <c r="AQ8" s="12">
        <f t="shared" si="0"/>
        <v>80.300000000000011</v>
      </c>
      <c r="AR8" s="12"/>
      <c r="AS8" s="12">
        <f t="shared" si="0"/>
        <v>48</v>
      </c>
      <c r="AT8" s="12">
        <f t="shared" si="0"/>
        <v>60.099999999999994</v>
      </c>
      <c r="AU8" s="12">
        <f t="shared" si="0"/>
        <v>76.5</v>
      </c>
      <c r="AV8" s="12">
        <f t="shared" si="0"/>
        <v>25.1</v>
      </c>
      <c r="AW8" s="12">
        <f t="shared" si="0"/>
        <v>68.300000000000011</v>
      </c>
      <c r="AX8" s="12">
        <f t="shared" si="0"/>
        <v>89</v>
      </c>
      <c r="AY8" s="12"/>
      <c r="AZ8" s="12">
        <f t="shared" si="3"/>
        <v>25.700000000000003</v>
      </c>
      <c r="BA8" s="12">
        <f t="shared" si="4"/>
        <v>39.4</v>
      </c>
      <c r="BB8" s="12"/>
      <c r="BC8" s="12">
        <f t="shared" si="5"/>
        <v>55.1</v>
      </c>
      <c r="BD8" s="12">
        <f t="shared" si="6"/>
        <v>72.099999999999994</v>
      </c>
      <c r="BE8" s="12">
        <f t="shared" si="7"/>
        <v>18.600000000000009</v>
      </c>
    </row>
    <row r="9" spans="1:57" x14ac:dyDescent="0.25">
      <c r="A9" s="1" t="s">
        <v>97</v>
      </c>
      <c r="B9" s="3" t="s">
        <v>93</v>
      </c>
      <c r="C9" s="4" t="s">
        <v>85</v>
      </c>
      <c r="D9" s="4">
        <v>41</v>
      </c>
      <c r="E9" s="4">
        <v>1366</v>
      </c>
      <c r="F9" s="4">
        <v>41</v>
      </c>
      <c r="G9" s="4">
        <v>1366</v>
      </c>
      <c r="H9" s="4">
        <v>0.52400000000000002</v>
      </c>
      <c r="I9" s="4">
        <v>6.7</v>
      </c>
      <c r="J9" s="4"/>
      <c r="K9" s="4">
        <v>0.99299999999999999</v>
      </c>
      <c r="L9" s="4">
        <v>0.26400000000000001</v>
      </c>
      <c r="M9" s="4">
        <v>0.52200000000000002</v>
      </c>
      <c r="N9" s="4">
        <v>0.156</v>
      </c>
      <c r="O9" s="4">
        <v>5.0999999999999997E-2</v>
      </c>
      <c r="P9" s="4">
        <v>7.0000000000000001E-3</v>
      </c>
      <c r="Q9" s="4"/>
      <c r="R9" s="4">
        <v>0.52500000000000002</v>
      </c>
      <c r="S9" s="4">
        <v>0.70399999999999996</v>
      </c>
      <c r="T9" s="4">
        <v>0.498</v>
      </c>
      <c r="U9" s="4">
        <v>0.35299999999999998</v>
      </c>
      <c r="V9" s="4">
        <v>0.40899999999999997</v>
      </c>
      <c r="W9" s="4">
        <v>0.33300000000000002</v>
      </c>
      <c r="X9" s="4"/>
      <c r="Y9" s="4">
        <v>0.55500000000000005</v>
      </c>
      <c r="Z9" s="4">
        <v>0</v>
      </c>
      <c r="AA9" s="4"/>
      <c r="AB9" s="4">
        <v>0</v>
      </c>
      <c r="AC9" s="4">
        <v>0</v>
      </c>
      <c r="AD9" s="10">
        <f t="shared" si="1"/>
        <v>0.55111500000000002</v>
      </c>
      <c r="AE9" s="9"/>
      <c r="AF9" s="9"/>
      <c r="AG9" s="12">
        <f t="shared" si="2"/>
        <v>69.3</v>
      </c>
      <c r="AH9" s="12">
        <f t="shared" si="0"/>
        <v>97.2</v>
      </c>
      <c r="AI9" s="12">
        <f t="shared" si="0"/>
        <v>86.3</v>
      </c>
      <c r="AJ9" s="12">
        <f t="shared" si="0"/>
        <v>9.8000000000000007</v>
      </c>
      <c r="AK9" s="12"/>
      <c r="AL9" s="12">
        <f t="shared" si="0"/>
        <v>97.2</v>
      </c>
      <c r="AM9" s="12">
        <f t="shared" si="0"/>
        <v>70.399999999999991</v>
      </c>
      <c r="AN9" s="12">
        <f t="shared" si="0"/>
        <v>99.4</v>
      </c>
      <c r="AO9" s="12">
        <f t="shared" si="0"/>
        <v>89.600000000000009</v>
      </c>
      <c r="AP9" s="12">
        <f t="shared" si="0"/>
        <v>60.6</v>
      </c>
      <c r="AQ9" s="12">
        <f t="shared" si="0"/>
        <v>2.7</v>
      </c>
      <c r="AR9" s="12"/>
      <c r="AS9" s="12">
        <f t="shared" si="0"/>
        <v>57.9</v>
      </c>
      <c r="AT9" s="12">
        <f t="shared" si="0"/>
        <v>63.3</v>
      </c>
      <c r="AU9" s="12">
        <f t="shared" si="0"/>
        <v>73.7</v>
      </c>
      <c r="AV9" s="12">
        <f t="shared" si="0"/>
        <v>49.7</v>
      </c>
      <c r="AW9" s="12">
        <f t="shared" si="0"/>
        <v>67.7</v>
      </c>
      <c r="AX9" s="12">
        <f t="shared" si="0"/>
        <v>52.400000000000006</v>
      </c>
      <c r="AY9" s="12"/>
      <c r="AZ9" s="12">
        <f t="shared" si="3"/>
        <v>59.599999999999994</v>
      </c>
      <c r="BA9" s="12">
        <f t="shared" si="4"/>
        <v>100</v>
      </c>
      <c r="BB9" s="12"/>
      <c r="BC9" s="12">
        <f t="shared" si="5"/>
        <v>0</v>
      </c>
      <c r="BD9" s="12">
        <f t="shared" si="6"/>
        <v>0</v>
      </c>
      <c r="BE9" s="12">
        <f t="shared" si="7"/>
        <v>81.5</v>
      </c>
    </row>
    <row r="10" spans="1:57" x14ac:dyDescent="0.25">
      <c r="A10" s="1" t="s">
        <v>98</v>
      </c>
      <c r="B10" s="3" t="s">
        <v>99</v>
      </c>
      <c r="C10" s="4" t="s">
        <v>8</v>
      </c>
      <c r="D10" s="4">
        <v>41</v>
      </c>
      <c r="E10" s="4">
        <v>1346</v>
      </c>
      <c r="F10" s="4">
        <v>41</v>
      </c>
      <c r="G10" s="4">
        <v>1346</v>
      </c>
      <c r="H10" s="4">
        <v>0.51</v>
      </c>
      <c r="I10" s="4">
        <v>15.6</v>
      </c>
      <c r="J10" s="4"/>
      <c r="K10" s="4">
        <v>0.69799999999999995</v>
      </c>
      <c r="L10" s="4">
        <v>7.3999999999999996E-2</v>
      </c>
      <c r="M10" s="4">
        <v>0.19700000000000001</v>
      </c>
      <c r="N10" s="4">
        <v>0.27700000000000002</v>
      </c>
      <c r="O10" s="4">
        <v>0.15</v>
      </c>
      <c r="P10" s="4">
        <v>0.30199999999999999</v>
      </c>
      <c r="Q10" s="4"/>
      <c r="R10" s="4">
        <v>0.55400000000000005</v>
      </c>
      <c r="S10" s="4">
        <v>0.78700000000000003</v>
      </c>
      <c r="T10" s="4">
        <v>0.56299999999999994</v>
      </c>
      <c r="U10" s="4">
        <v>0.56499999999999995</v>
      </c>
      <c r="V10" s="4">
        <v>0.40600000000000003</v>
      </c>
      <c r="W10" s="4">
        <v>0.40899999999999997</v>
      </c>
      <c r="X10" s="4"/>
      <c r="Y10" s="4">
        <v>0.44500000000000001</v>
      </c>
      <c r="Z10" s="4">
        <v>0.747</v>
      </c>
      <c r="AA10" s="4"/>
      <c r="AB10" s="4">
        <v>5.7000000000000002E-2</v>
      </c>
      <c r="AC10" s="4">
        <v>0.36399999999999999</v>
      </c>
      <c r="AD10" s="10">
        <f t="shared" si="1"/>
        <v>0.53620400000000001</v>
      </c>
      <c r="AE10" s="9"/>
      <c r="AF10" s="9"/>
      <c r="AG10" s="12">
        <f t="shared" si="2"/>
        <v>69.3</v>
      </c>
      <c r="AH10" s="12">
        <f t="shared" si="0"/>
        <v>96.7</v>
      </c>
      <c r="AI10" s="12">
        <f t="shared" si="0"/>
        <v>81.899999999999991</v>
      </c>
      <c r="AJ10" s="12">
        <f t="shared" si="0"/>
        <v>61.7</v>
      </c>
      <c r="AK10" s="12"/>
      <c r="AL10" s="12">
        <f t="shared" si="0"/>
        <v>69.3</v>
      </c>
      <c r="AM10" s="12">
        <f t="shared" si="0"/>
        <v>8.6999999999999993</v>
      </c>
      <c r="AN10" s="12">
        <f t="shared" si="0"/>
        <v>32.700000000000003</v>
      </c>
      <c r="AO10" s="12">
        <f t="shared" si="0"/>
        <v>100</v>
      </c>
      <c r="AP10" s="12">
        <f t="shared" si="0"/>
        <v>98.9</v>
      </c>
      <c r="AQ10" s="12">
        <f t="shared" si="0"/>
        <v>30.599999999999998</v>
      </c>
      <c r="AR10" s="12"/>
      <c r="AS10" s="12">
        <f t="shared" si="0"/>
        <v>74.3</v>
      </c>
      <c r="AT10" s="12">
        <f t="shared" si="0"/>
        <v>87.9</v>
      </c>
      <c r="AU10" s="12">
        <f t="shared" si="0"/>
        <v>91.2</v>
      </c>
      <c r="AV10" s="12">
        <f t="shared" si="0"/>
        <v>90.7</v>
      </c>
      <c r="AW10" s="12">
        <f t="shared" si="0"/>
        <v>67.2</v>
      </c>
      <c r="AX10" s="12">
        <f t="shared" si="0"/>
        <v>87.9</v>
      </c>
      <c r="AY10" s="12"/>
      <c r="AZ10" s="12">
        <f t="shared" si="3"/>
        <v>77.099999999999994</v>
      </c>
      <c r="BA10" s="12">
        <f t="shared" si="4"/>
        <v>80.900000000000006</v>
      </c>
      <c r="BB10" s="12"/>
      <c r="BC10" s="12">
        <f t="shared" si="5"/>
        <v>7.1</v>
      </c>
      <c r="BD10" s="12">
        <f t="shared" si="6"/>
        <v>50.2</v>
      </c>
      <c r="BE10" s="12">
        <f t="shared" si="7"/>
        <v>85.8</v>
      </c>
    </row>
    <row r="11" spans="1:57" x14ac:dyDescent="0.25">
      <c r="A11" s="1" t="s">
        <v>121</v>
      </c>
      <c r="B11" s="3" t="s">
        <v>117</v>
      </c>
      <c r="C11" s="4" t="s">
        <v>8</v>
      </c>
      <c r="D11" s="4">
        <v>41</v>
      </c>
      <c r="E11" s="4">
        <v>1338</v>
      </c>
      <c r="F11" s="4">
        <v>41</v>
      </c>
      <c r="G11" s="4">
        <v>1338</v>
      </c>
      <c r="H11" s="4">
        <v>0.435</v>
      </c>
      <c r="I11" s="4">
        <v>18</v>
      </c>
      <c r="J11" s="4"/>
      <c r="K11" s="4">
        <v>0.52300000000000002</v>
      </c>
      <c r="L11" s="4">
        <v>3.4000000000000002E-2</v>
      </c>
      <c r="M11" s="4">
        <v>0.16200000000000001</v>
      </c>
      <c r="N11" s="4">
        <v>0.22600000000000001</v>
      </c>
      <c r="O11" s="4">
        <v>0.10100000000000001</v>
      </c>
      <c r="P11" s="4">
        <v>0.47699999999999998</v>
      </c>
      <c r="Q11" s="4"/>
      <c r="R11" s="4">
        <v>0.498</v>
      </c>
      <c r="S11" s="4">
        <v>0.71399999999999997</v>
      </c>
      <c r="T11" s="4">
        <v>0.45500000000000002</v>
      </c>
      <c r="U11" s="4">
        <v>0.48899999999999999</v>
      </c>
      <c r="V11" s="4">
        <v>0.51200000000000001</v>
      </c>
      <c r="W11" s="4">
        <v>0.36599999999999999</v>
      </c>
      <c r="X11" s="4"/>
      <c r="Y11" s="4">
        <v>0.255</v>
      </c>
      <c r="Z11" s="4">
        <v>0.873</v>
      </c>
      <c r="AA11" s="4"/>
      <c r="AB11" s="4">
        <v>0.113</v>
      </c>
      <c r="AC11" s="4">
        <v>0.45500000000000002</v>
      </c>
      <c r="AD11" s="10">
        <f t="shared" si="1"/>
        <v>0.549786</v>
      </c>
      <c r="AE11" s="9"/>
      <c r="AF11" s="9"/>
      <c r="AG11" s="12">
        <f t="shared" si="2"/>
        <v>69.3</v>
      </c>
      <c r="AH11" s="12">
        <f t="shared" si="0"/>
        <v>96.1</v>
      </c>
      <c r="AI11" s="12">
        <f t="shared" si="0"/>
        <v>49.1</v>
      </c>
      <c r="AJ11" s="12">
        <f t="shared" si="0"/>
        <v>84.1</v>
      </c>
      <c r="AK11" s="12"/>
      <c r="AL11" s="12">
        <f t="shared" si="0"/>
        <v>36</v>
      </c>
      <c r="AM11" s="12">
        <f t="shared" si="0"/>
        <v>2.1</v>
      </c>
      <c r="AN11" s="12">
        <f t="shared" si="0"/>
        <v>20.200000000000003</v>
      </c>
      <c r="AO11" s="12">
        <f t="shared" si="0"/>
        <v>97.8</v>
      </c>
      <c r="AP11" s="12">
        <f t="shared" si="0"/>
        <v>90.100000000000009</v>
      </c>
      <c r="AQ11" s="12">
        <f t="shared" si="0"/>
        <v>63.3</v>
      </c>
      <c r="AR11" s="12"/>
      <c r="AS11" s="12">
        <f t="shared" si="0"/>
        <v>40.9</v>
      </c>
      <c r="AT11" s="12">
        <f t="shared" si="0"/>
        <v>65.5</v>
      </c>
      <c r="AU11" s="12">
        <f t="shared" si="0"/>
        <v>53</v>
      </c>
      <c r="AV11" s="12">
        <f t="shared" si="0"/>
        <v>80.300000000000011</v>
      </c>
      <c r="AW11" s="12">
        <f t="shared" si="0"/>
        <v>86.8</v>
      </c>
      <c r="AX11" s="12">
        <f t="shared" si="0"/>
        <v>66.600000000000009</v>
      </c>
      <c r="AY11" s="12"/>
      <c r="AZ11" s="12">
        <f t="shared" si="3"/>
        <v>91.9</v>
      </c>
      <c r="BA11" s="12">
        <f t="shared" si="4"/>
        <v>67.3</v>
      </c>
      <c r="BB11" s="12"/>
      <c r="BC11" s="12">
        <f t="shared" si="5"/>
        <v>19.600000000000001</v>
      </c>
      <c r="BD11" s="12">
        <f t="shared" si="6"/>
        <v>75.900000000000006</v>
      </c>
      <c r="BE11" s="12">
        <f t="shared" si="7"/>
        <v>82</v>
      </c>
    </row>
    <row r="12" spans="1:57" x14ac:dyDescent="0.25">
      <c r="A12" s="1" t="s">
        <v>116</v>
      </c>
      <c r="B12" s="3" t="s">
        <v>117</v>
      </c>
      <c r="C12" s="4" t="s">
        <v>8</v>
      </c>
      <c r="D12" s="4">
        <v>41</v>
      </c>
      <c r="E12" s="4">
        <v>1322</v>
      </c>
      <c r="F12" s="4">
        <v>41</v>
      </c>
      <c r="G12" s="4">
        <v>1322</v>
      </c>
      <c r="H12" s="4">
        <v>0.49399999999999999</v>
      </c>
      <c r="I12" s="4">
        <v>15.7</v>
      </c>
      <c r="J12" s="4"/>
      <c r="K12" s="4">
        <v>0.56499999999999995</v>
      </c>
      <c r="L12" s="4">
        <v>0.111</v>
      </c>
      <c r="M12" s="4">
        <v>0.253</v>
      </c>
      <c r="N12" s="4">
        <v>0.13200000000000001</v>
      </c>
      <c r="O12" s="4">
        <v>6.9000000000000006E-2</v>
      </c>
      <c r="P12" s="4">
        <v>0.435</v>
      </c>
      <c r="Q12" s="4"/>
      <c r="R12" s="4">
        <v>0.57399999999999995</v>
      </c>
      <c r="S12" s="4">
        <v>0.75</v>
      </c>
      <c r="T12" s="4">
        <v>0.57499999999999996</v>
      </c>
      <c r="U12" s="4">
        <v>0.47399999999999998</v>
      </c>
      <c r="V12" s="4">
        <v>0.47499999999999998</v>
      </c>
      <c r="W12" s="4">
        <v>0.39</v>
      </c>
      <c r="X12" s="4"/>
      <c r="Y12" s="4">
        <v>0.45500000000000002</v>
      </c>
      <c r="Z12" s="4">
        <v>0.61199999999999999</v>
      </c>
      <c r="AA12" s="4"/>
      <c r="AB12" s="4">
        <v>7.1999999999999995E-2</v>
      </c>
      <c r="AC12" s="4">
        <v>0.5</v>
      </c>
      <c r="AD12" s="10">
        <f t="shared" si="1"/>
        <v>0.52329500000000007</v>
      </c>
      <c r="AE12" s="9"/>
      <c r="AF12" s="9"/>
      <c r="AG12" s="12">
        <f t="shared" si="2"/>
        <v>69.3</v>
      </c>
      <c r="AH12" s="12">
        <f t="shared" si="0"/>
        <v>95.6</v>
      </c>
      <c r="AI12" s="12">
        <f t="shared" si="0"/>
        <v>76.5</v>
      </c>
      <c r="AJ12" s="12">
        <f t="shared" si="0"/>
        <v>65</v>
      </c>
      <c r="AK12" s="12"/>
      <c r="AL12" s="12">
        <f t="shared" si="0"/>
        <v>43.7</v>
      </c>
      <c r="AM12" s="12">
        <f t="shared" si="0"/>
        <v>18.5</v>
      </c>
      <c r="AN12" s="12">
        <f t="shared" si="0"/>
        <v>50.2</v>
      </c>
      <c r="AO12" s="12">
        <f t="shared" si="0"/>
        <v>83.6</v>
      </c>
      <c r="AP12" s="12">
        <f t="shared" si="0"/>
        <v>75.400000000000006</v>
      </c>
      <c r="AQ12" s="12">
        <f t="shared" si="0"/>
        <v>56.2</v>
      </c>
      <c r="AR12" s="12"/>
      <c r="AS12" s="12">
        <f t="shared" si="0"/>
        <v>82.5</v>
      </c>
      <c r="AT12" s="12">
        <f t="shared" si="0"/>
        <v>77</v>
      </c>
      <c r="AU12" s="12">
        <f t="shared" si="0"/>
        <v>92.800000000000011</v>
      </c>
      <c r="AV12" s="12">
        <f t="shared" si="0"/>
        <v>78.100000000000009</v>
      </c>
      <c r="AW12" s="12">
        <f t="shared" si="0"/>
        <v>78.600000000000009</v>
      </c>
      <c r="AX12" s="12">
        <f t="shared" si="0"/>
        <v>79.2</v>
      </c>
      <c r="AY12" s="12"/>
      <c r="AZ12" s="12">
        <f t="shared" si="3"/>
        <v>73.8</v>
      </c>
      <c r="BA12" s="12">
        <f t="shared" si="4"/>
        <v>90.8</v>
      </c>
      <c r="BB12" s="12"/>
      <c r="BC12" s="12">
        <f t="shared" si="5"/>
        <v>9.8000000000000007</v>
      </c>
      <c r="BD12" s="12">
        <f t="shared" si="6"/>
        <v>80.300000000000011</v>
      </c>
      <c r="BE12" s="12">
        <f t="shared" si="7"/>
        <v>89.1</v>
      </c>
    </row>
    <row r="13" spans="1:57" x14ac:dyDescent="0.25">
      <c r="A13" s="1" t="s">
        <v>151</v>
      </c>
      <c r="B13" s="3" t="s">
        <v>128</v>
      </c>
      <c r="C13" s="4" t="s">
        <v>85</v>
      </c>
      <c r="D13" s="4">
        <v>42</v>
      </c>
      <c r="E13" s="4">
        <v>1318</v>
      </c>
      <c r="F13" s="4">
        <v>42</v>
      </c>
      <c r="G13" s="4">
        <v>1318</v>
      </c>
      <c r="H13" s="4">
        <v>0.45300000000000001</v>
      </c>
      <c r="I13" s="4">
        <v>5.2</v>
      </c>
      <c r="J13" s="4"/>
      <c r="K13" s="4">
        <v>0.89800000000000002</v>
      </c>
      <c r="L13" s="4">
        <v>0.56100000000000005</v>
      </c>
      <c r="M13" s="4">
        <v>0.318</v>
      </c>
      <c r="N13" s="4">
        <v>5.0000000000000001E-3</v>
      </c>
      <c r="O13" s="4">
        <v>1.2999999999999999E-2</v>
      </c>
      <c r="P13" s="4">
        <v>0.10199999999999999</v>
      </c>
      <c r="Q13" s="4"/>
      <c r="R13" s="4">
        <v>0.48299999999999998</v>
      </c>
      <c r="S13" s="4">
        <v>0.56999999999999995</v>
      </c>
      <c r="T13" s="4">
        <v>0.34499999999999997</v>
      </c>
      <c r="U13" s="4">
        <v>0</v>
      </c>
      <c r="V13" s="4">
        <v>0.28599999999999998</v>
      </c>
      <c r="W13" s="4">
        <v>0.19600000000000001</v>
      </c>
      <c r="X13" s="4"/>
      <c r="Y13" s="4">
        <v>0.624</v>
      </c>
      <c r="Z13" s="4">
        <v>1</v>
      </c>
      <c r="AA13" s="4"/>
      <c r="AB13" s="4">
        <v>0.42899999999999999</v>
      </c>
      <c r="AC13" s="4">
        <v>0.16700000000000001</v>
      </c>
      <c r="AD13" s="10">
        <f t="shared" si="1"/>
        <v>0.66235199999999994</v>
      </c>
      <c r="AE13" s="9"/>
      <c r="AF13" s="9"/>
      <c r="AG13" s="12">
        <f t="shared" si="2"/>
        <v>83</v>
      </c>
      <c r="AH13" s="12">
        <f t="shared" si="0"/>
        <v>95</v>
      </c>
      <c r="AI13" s="12">
        <f t="shared" si="0"/>
        <v>60.099999999999994</v>
      </c>
      <c r="AJ13" s="12">
        <f t="shared" si="0"/>
        <v>4.3</v>
      </c>
      <c r="AK13" s="12"/>
      <c r="AL13" s="12">
        <f t="shared" si="0"/>
        <v>88.5</v>
      </c>
      <c r="AM13" s="12">
        <f t="shared" si="0"/>
        <v>97.8</v>
      </c>
      <c r="AN13" s="12">
        <f t="shared" si="0"/>
        <v>71</v>
      </c>
      <c r="AO13" s="12">
        <f t="shared" si="0"/>
        <v>4.9000000000000004</v>
      </c>
      <c r="AP13" s="12">
        <f t="shared" si="0"/>
        <v>14.7</v>
      </c>
      <c r="AQ13" s="12">
        <f t="shared" si="0"/>
        <v>10.9</v>
      </c>
      <c r="AR13" s="12"/>
      <c r="AS13" s="12">
        <f t="shared" si="0"/>
        <v>36.6</v>
      </c>
      <c r="AT13" s="12">
        <f t="shared" si="0"/>
        <v>15.299999999999999</v>
      </c>
      <c r="AU13" s="12">
        <f t="shared" si="0"/>
        <v>18</v>
      </c>
      <c r="AV13" s="12">
        <f t="shared" si="0"/>
        <v>0</v>
      </c>
      <c r="AW13" s="12">
        <f t="shared" si="0"/>
        <v>43.7</v>
      </c>
      <c r="AX13" s="12">
        <f t="shared" si="0"/>
        <v>10.9</v>
      </c>
      <c r="AY13" s="12"/>
      <c r="AZ13" s="12">
        <f t="shared" si="3"/>
        <v>49.2</v>
      </c>
      <c r="BA13" s="12">
        <f t="shared" si="4"/>
        <v>33.899999999999991</v>
      </c>
      <c r="BB13" s="12"/>
      <c r="BC13" s="12">
        <f t="shared" si="5"/>
        <v>91.2</v>
      </c>
      <c r="BD13" s="12">
        <f t="shared" si="6"/>
        <v>14.7</v>
      </c>
      <c r="BE13" s="12">
        <f t="shared" si="7"/>
        <v>68.400000000000006</v>
      </c>
    </row>
    <row r="14" spans="1:57" x14ac:dyDescent="0.25">
      <c r="A14" s="1" t="s">
        <v>166</v>
      </c>
      <c r="B14" s="3" t="s">
        <v>128</v>
      </c>
      <c r="C14" s="4" t="s">
        <v>8</v>
      </c>
      <c r="D14" s="4">
        <v>42</v>
      </c>
      <c r="E14" s="4">
        <v>1312</v>
      </c>
      <c r="F14" s="4">
        <v>42</v>
      </c>
      <c r="G14" s="4">
        <v>1312</v>
      </c>
      <c r="H14" s="4">
        <v>0.433</v>
      </c>
      <c r="I14" s="4">
        <v>12.1</v>
      </c>
      <c r="J14" s="4"/>
      <c r="K14" s="4">
        <v>0.64</v>
      </c>
      <c r="L14" s="4">
        <v>0.27200000000000002</v>
      </c>
      <c r="M14" s="4">
        <v>0.3</v>
      </c>
      <c r="N14" s="4">
        <v>6.3E-2</v>
      </c>
      <c r="O14" s="4">
        <v>5.0000000000000001E-3</v>
      </c>
      <c r="P14" s="4">
        <v>0.36</v>
      </c>
      <c r="Q14" s="4"/>
      <c r="R14" s="4">
        <v>0.51500000000000001</v>
      </c>
      <c r="S14" s="4">
        <v>0.63</v>
      </c>
      <c r="T14" s="4">
        <v>0.49099999999999999</v>
      </c>
      <c r="U14" s="4">
        <v>0.17399999999999999</v>
      </c>
      <c r="V14" s="4">
        <v>0</v>
      </c>
      <c r="W14" s="4">
        <v>0.28799999999999998</v>
      </c>
      <c r="X14" s="4"/>
      <c r="Y14" s="4">
        <v>0.17399999999999999</v>
      </c>
      <c r="Z14" s="4">
        <v>0.97399999999999998</v>
      </c>
      <c r="AA14" s="4"/>
      <c r="AB14" s="4">
        <v>0.14399999999999999</v>
      </c>
      <c r="AC14" s="4">
        <v>0.36799999999999999</v>
      </c>
      <c r="AD14" s="10">
        <f t="shared" si="1"/>
        <v>0.46199999999999997</v>
      </c>
      <c r="AE14" s="9"/>
      <c r="AF14" s="9"/>
      <c r="AG14" s="12">
        <f t="shared" si="2"/>
        <v>83</v>
      </c>
      <c r="AH14" s="12">
        <f t="shared" si="0"/>
        <v>94.5</v>
      </c>
      <c r="AI14" s="12">
        <f t="shared" si="0"/>
        <v>47.5</v>
      </c>
      <c r="AJ14" s="12">
        <f t="shared" si="0"/>
        <v>31.6</v>
      </c>
      <c r="AK14" s="12"/>
      <c r="AL14" s="12">
        <f t="shared" si="0"/>
        <v>61.199999999999996</v>
      </c>
      <c r="AM14" s="12">
        <f t="shared" si="0"/>
        <v>73.2</v>
      </c>
      <c r="AN14" s="12">
        <f t="shared" si="0"/>
        <v>66.100000000000009</v>
      </c>
      <c r="AO14" s="12">
        <f t="shared" si="0"/>
        <v>47.5</v>
      </c>
      <c r="AP14" s="12">
        <f t="shared" si="0"/>
        <v>7.6</v>
      </c>
      <c r="AQ14" s="12">
        <f t="shared" si="0"/>
        <v>38.700000000000003</v>
      </c>
      <c r="AR14" s="12"/>
      <c r="AS14" s="12">
        <f t="shared" si="0"/>
        <v>49.7</v>
      </c>
      <c r="AT14" s="12">
        <f t="shared" si="0"/>
        <v>34.4</v>
      </c>
      <c r="AU14" s="12">
        <f t="shared" si="0"/>
        <v>69.3</v>
      </c>
      <c r="AV14" s="12">
        <f t="shared" si="0"/>
        <v>24.5</v>
      </c>
      <c r="AW14" s="12">
        <f t="shared" si="0"/>
        <v>0</v>
      </c>
      <c r="AX14" s="12">
        <f t="shared" si="0"/>
        <v>33.300000000000004</v>
      </c>
      <c r="AY14" s="12"/>
      <c r="AZ14" s="12">
        <f t="shared" si="3"/>
        <v>96.2</v>
      </c>
      <c r="BA14" s="12">
        <f t="shared" si="4"/>
        <v>37.799999999999997</v>
      </c>
      <c r="BB14" s="12"/>
      <c r="BC14" s="12">
        <f t="shared" si="5"/>
        <v>28.4</v>
      </c>
      <c r="BD14" s="12">
        <f t="shared" si="6"/>
        <v>51.9</v>
      </c>
      <c r="BE14" s="12">
        <f t="shared" si="7"/>
        <v>91.9</v>
      </c>
    </row>
    <row r="15" spans="1:57" x14ac:dyDescent="0.25">
      <c r="A15" s="1" t="s">
        <v>102</v>
      </c>
      <c r="B15" s="3" t="s">
        <v>99</v>
      </c>
      <c r="C15" s="4" t="s">
        <v>85</v>
      </c>
      <c r="D15" s="4">
        <v>41</v>
      </c>
      <c r="E15" s="4">
        <v>1301</v>
      </c>
      <c r="F15" s="4">
        <v>41</v>
      </c>
      <c r="G15" s="4">
        <v>1301</v>
      </c>
      <c r="H15" s="4">
        <v>0.56999999999999995</v>
      </c>
      <c r="I15" s="4">
        <v>6.5</v>
      </c>
      <c r="J15" s="4"/>
      <c r="K15" s="4">
        <v>0.97399999999999998</v>
      </c>
      <c r="L15" s="4">
        <v>0.36</v>
      </c>
      <c r="M15" s="4">
        <v>0.38700000000000001</v>
      </c>
      <c r="N15" s="4">
        <v>0.189</v>
      </c>
      <c r="O15" s="4">
        <v>3.7999999999999999E-2</v>
      </c>
      <c r="P15" s="4">
        <v>2.5999999999999999E-2</v>
      </c>
      <c r="Q15" s="4"/>
      <c r="R15" s="4">
        <v>0.58299999999999996</v>
      </c>
      <c r="S15" s="4">
        <v>0.74199999999999999</v>
      </c>
      <c r="T15" s="4">
        <v>0.52500000000000002</v>
      </c>
      <c r="U15" s="4">
        <v>0.46800000000000003</v>
      </c>
      <c r="V15" s="4">
        <v>0.25</v>
      </c>
      <c r="W15" s="4">
        <v>9.0999999999999998E-2</v>
      </c>
      <c r="X15" s="4"/>
      <c r="Y15" s="4">
        <v>0.67600000000000005</v>
      </c>
      <c r="Z15" s="4">
        <v>1</v>
      </c>
      <c r="AA15" s="4"/>
      <c r="AB15" s="4">
        <v>9.0999999999999998E-2</v>
      </c>
      <c r="AC15" s="4">
        <v>0</v>
      </c>
      <c r="AD15" s="10">
        <f t="shared" si="1"/>
        <v>0.68442400000000003</v>
      </c>
      <c r="AE15" s="9"/>
      <c r="AF15" s="9"/>
      <c r="AG15" s="12">
        <f t="shared" si="2"/>
        <v>69.3</v>
      </c>
      <c r="AH15" s="12">
        <f t="shared" si="0"/>
        <v>93.899999999999991</v>
      </c>
      <c r="AI15" s="12">
        <f t="shared" si="0"/>
        <v>96.1</v>
      </c>
      <c r="AJ15" s="12">
        <f t="shared" si="0"/>
        <v>8.1</v>
      </c>
      <c r="AK15" s="12"/>
      <c r="AL15" s="12">
        <f t="shared" si="0"/>
        <v>95</v>
      </c>
      <c r="AM15" s="12">
        <f t="shared" si="0"/>
        <v>86.8</v>
      </c>
      <c r="AN15" s="12">
        <f t="shared" si="0"/>
        <v>85.7</v>
      </c>
      <c r="AO15" s="12">
        <f t="shared" si="0"/>
        <v>95.6</v>
      </c>
      <c r="AP15" s="12">
        <f t="shared" si="0"/>
        <v>49.1</v>
      </c>
      <c r="AQ15" s="12">
        <f t="shared" si="0"/>
        <v>4.9000000000000004</v>
      </c>
      <c r="AR15" s="12"/>
      <c r="AS15" s="12">
        <f t="shared" si="0"/>
        <v>85.2</v>
      </c>
      <c r="AT15" s="12">
        <f t="shared" si="0"/>
        <v>76.5</v>
      </c>
      <c r="AU15" s="12">
        <f t="shared" si="0"/>
        <v>83</v>
      </c>
      <c r="AV15" s="12">
        <f t="shared" si="0"/>
        <v>76.5</v>
      </c>
      <c r="AW15" s="12">
        <f t="shared" si="0"/>
        <v>32.700000000000003</v>
      </c>
      <c r="AX15" s="12">
        <f t="shared" si="0"/>
        <v>4.3</v>
      </c>
      <c r="AY15" s="12"/>
      <c r="AZ15" s="12">
        <f t="shared" si="3"/>
        <v>39.4</v>
      </c>
      <c r="BA15" s="12">
        <f t="shared" si="4"/>
        <v>33.899999999999991</v>
      </c>
      <c r="BB15" s="12"/>
      <c r="BC15" s="12">
        <f t="shared" si="5"/>
        <v>14.7</v>
      </c>
      <c r="BD15" s="12">
        <f t="shared" si="6"/>
        <v>0</v>
      </c>
      <c r="BE15" s="12">
        <f t="shared" si="7"/>
        <v>62.9</v>
      </c>
    </row>
    <row r="16" spans="1:57" x14ac:dyDescent="0.25">
      <c r="A16" s="1" t="s">
        <v>101</v>
      </c>
      <c r="B16" s="3" t="s">
        <v>99</v>
      </c>
      <c r="C16" s="4" t="s">
        <v>8</v>
      </c>
      <c r="D16" s="4">
        <v>43</v>
      </c>
      <c r="E16" s="4">
        <v>1286</v>
      </c>
      <c r="F16" s="4">
        <v>43</v>
      </c>
      <c r="G16" s="4">
        <v>1286</v>
      </c>
      <c r="H16" s="4">
        <v>0.40200000000000002</v>
      </c>
      <c r="I16" s="4">
        <v>15.6</v>
      </c>
      <c r="J16" s="4"/>
      <c r="K16" s="4">
        <v>0.56399999999999995</v>
      </c>
      <c r="L16" s="4">
        <v>0.106</v>
      </c>
      <c r="M16" s="4">
        <v>0.247</v>
      </c>
      <c r="N16" s="4">
        <v>0.14000000000000001</v>
      </c>
      <c r="O16" s="4">
        <v>7.0000000000000007E-2</v>
      </c>
      <c r="P16" s="4">
        <v>0.436</v>
      </c>
      <c r="Q16" s="4"/>
      <c r="R16" s="4">
        <v>0.46500000000000002</v>
      </c>
      <c r="S16" s="4">
        <v>0.58899999999999997</v>
      </c>
      <c r="T16" s="4">
        <v>0.46899999999999997</v>
      </c>
      <c r="U16" s="4">
        <v>0.35099999999999998</v>
      </c>
      <c r="V16" s="4">
        <v>0.48599999999999999</v>
      </c>
      <c r="W16" s="4">
        <v>0.32200000000000001</v>
      </c>
      <c r="X16" s="4"/>
      <c r="Y16" s="4">
        <v>0.44900000000000001</v>
      </c>
      <c r="Z16" s="4">
        <v>0.82399999999999995</v>
      </c>
      <c r="AA16" s="4"/>
      <c r="AB16" s="4">
        <v>0.19600000000000001</v>
      </c>
      <c r="AC16" s="4">
        <v>0.311</v>
      </c>
      <c r="AD16" s="10">
        <f t="shared" si="1"/>
        <v>0.61249999999999993</v>
      </c>
      <c r="AE16" s="9"/>
      <c r="AF16" s="9"/>
      <c r="AG16" s="12">
        <f t="shared" si="2"/>
        <v>96.7</v>
      </c>
      <c r="AH16" s="12">
        <f t="shared" si="0"/>
        <v>93.4</v>
      </c>
      <c r="AI16" s="12">
        <f t="shared" si="0"/>
        <v>28.9</v>
      </c>
      <c r="AJ16" s="12">
        <f t="shared" si="0"/>
        <v>61.7</v>
      </c>
      <c r="AK16" s="12"/>
      <c r="AL16" s="12">
        <f t="shared" si="0"/>
        <v>42.6</v>
      </c>
      <c r="AM16" s="12">
        <f t="shared" si="0"/>
        <v>18</v>
      </c>
      <c r="AN16" s="12">
        <f t="shared" si="0"/>
        <v>48.6</v>
      </c>
      <c r="AO16" s="12">
        <f t="shared" si="0"/>
        <v>86.3</v>
      </c>
      <c r="AP16" s="12">
        <f t="shared" si="0"/>
        <v>76.5</v>
      </c>
      <c r="AQ16" s="12">
        <f t="shared" si="0"/>
        <v>56.8</v>
      </c>
      <c r="AR16" s="12"/>
      <c r="AS16" s="12">
        <f t="shared" si="0"/>
        <v>25.1</v>
      </c>
      <c r="AT16" s="12">
        <f t="shared" si="0"/>
        <v>23.400000000000002</v>
      </c>
      <c r="AU16" s="12">
        <f t="shared" si="0"/>
        <v>60.099999999999994</v>
      </c>
      <c r="AV16" s="12">
        <f t="shared" si="0"/>
        <v>48.6</v>
      </c>
      <c r="AW16" s="12">
        <f t="shared" si="0"/>
        <v>79.2</v>
      </c>
      <c r="AX16" s="12">
        <f t="shared" si="0"/>
        <v>44.800000000000004</v>
      </c>
      <c r="AY16" s="12"/>
      <c r="AZ16" s="12">
        <f t="shared" si="3"/>
        <v>75.5</v>
      </c>
      <c r="BA16" s="12">
        <f t="shared" si="4"/>
        <v>74.400000000000006</v>
      </c>
      <c r="BB16" s="12"/>
      <c r="BC16" s="12">
        <f t="shared" si="5"/>
        <v>55.7</v>
      </c>
      <c r="BD16" s="12">
        <f t="shared" si="6"/>
        <v>41.5</v>
      </c>
      <c r="BE16" s="12">
        <f t="shared" si="7"/>
        <v>75.5</v>
      </c>
    </row>
    <row r="17" spans="1:57" x14ac:dyDescent="0.25">
      <c r="A17" s="1" t="s">
        <v>92</v>
      </c>
      <c r="B17" s="3" t="s">
        <v>93</v>
      </c>
      <c r="C17" s="4" t="s">
        <v>94</v>
      </c>
      <c r="D17" s="4">
        <v>39</v>
      </c>
      <c r="E17" s="4">
        <v>1285</v>
      </c>
      <c r="F17" s="4">
        <v>39</v>
      </c>
      <c r="G17" s="4">
        <v>1285</v>
      </c>
      <c r="H17" s="4">
        <v>0.44900000000000001</v>
      </c>
      <c r="I17" s="4">
        <v>13</v>
      </c>
      <c r="J17" s="4"/>
      <c r="K17" s="4">
        <v>0.64800000000000002</v>
      </c>
      <c r="L17" s="4">
        <v>0.215</v>
      </c>
      <c r="M17" s="4">
        <v>0.28499999999999998</v>
      </c>
      <c r="N17" s="4">
        <v>6.5000000000000002E-2</v>
      </c>
      <c r="O17" s="4">
        <v>8.3000000000000004E-2</v>
      </c>
      <c r="P17" s="4">
        <v>0.35199999999999998</v>
      </c>
      <c r="Q17" s="4"/>
      <c r="R17" s="4">
        <v>0.53100000000000003</v>
      </c>
      <c r="S17" s="4">
        <v>0.74099999999999999</v>
      </c>
      <c r="T17" s="4">
        <v>0.497</v>
      </c>
      <c r="U17" s="4">
        <v>0.29299999999999998</v>
      </c>
      <c r="V17" s="4">
        <v>0.28799999999999998</v>
      </c>
      <c r="W17" s="4">
        <v>0.29899999999999999</v>
      </c>
      <c r="X17" s="4"/>
      <c r="Y17" s="4">
        <v>0.62</v>
      </c>
      <c r="Z17" s="4">
        <v>0.92400000000000004</v>
      </c>
      <c r="AA17" s="4"/>
      <c r="AB17" s="4">
        <v>0.26200000000000001</v>
      </c>
      <c r="AC17" s="4">
        <v>0.39700000000000002</v>
      </c>
      <c r="AD17" s="10">
        <f t="shared" si="1"/>
        <v>0.72700799999999999</v>
      </c>
      <c r="AE17" s="9"/>
      <c r="AF17" s="9"/>
      <c r="AG17" s="12">
        <f t="shared" si="2"/>
        <v>60.6</v>
      </c>
      <c r="AH17" s="12">
        <f t="shared" si="0"/>
        <v>92.800000000000011</v>
      </c>
      <c r="AI17" s="12">
        <f t="shared" si="0"/>
        <v>58.4</v>
      </c>
      <c r="AJ17" s="12">
        <f t="shared" si="0"/>
        <v>41.5</v>
      </c>
      <c r="AK17" s="12"/>
      <c r="AL17" s="12">
        <f t="shared" si="0"/>
        <v>62.2</v>
      </c>
      <c r="AM17" s="12">
        <f t="shared" si="0"/>
        <v>59</v>
      </c>
      <c r="AN17" s="12">
        <f t="shared" si="0"/>
        <v>61.199999999999996</v>
      </c>
      <c r="AO17" s="12">
        <f t="shared" si="0"/>
        <v>48.6</v>
      </c>
      <c r="AP17" s="12">
        <f t="shared" si="0"/>
        <v>83</v>
      </c>
      <c r="AQ17" s="12">
        <f t="shared" si="0"/>
        <v>37.700000000000003</v>
      </c>
      <c r="AR17" s="12"/>
      <c r="AS17" s="12">
        <f t="shared" si="0"/>
        <v>62.2</v>
      </c>
      <c r="AT17" s="12">
        <f t="shared" si="0"/>
        <v>75.900000000000006</v>
      </c>
      <c r="AU17" s="12">
        <f t="shared" si="0"/>
        <v>73.2</v>
      </c>
      <c r="AV17" s="12">
        <f t="shared" si="0"/>
        <v>36</v>
      </c>
      <c r="AW17" s="12">
        <f t="shared" si="0"/>
        <v>45.300000000000004</v>
      </c>
      <c r="AX17" s="12">
        <f t="shared" si="0"/>
        <v>36.6</v>
      </c>
      <c r="AY17" s="12"/>
      <c r="AZ17" s="12">
        <f t="shared" si="3"/>
        <v>50.3</v>
      </c>
      <c r="BA17" s="12">
        <f t="shared" si="4"/>
        <v>56.9</v>
      </c>
      <c r="BB17" s="12"/>
      <c r="BC17" s="12">
        <f t="shared" si="5"/>
        <v>73.2</v>
      </c>
      <c r="BD17" s="12">
        <f t="shared" si="6"/>
        <v>62.8</v>
      </c>
      <c r="BE17" s="12">
        <f t="shared" si="7"/>
        <v>50.9</v>
      </c>
    </row>
    <row r="18" spans="1:57" x14ac:dyDescent="0.25">
      <c r="A18" s="1" t="s">
        <v>154</v>
      </c>
      <c r="B18" s="3" t="s">
        <v>137</v>
      </c>
      <c r="C18" s="4" t="s">
        <v>85</v>
      </c>
      <c r="D18" s="4">
        <v>41</v>
      </c>
      <c r="E18" s="4">
        <v>1264</v>
      </c>
      <c r="F18" s="4">
        <v>41</v>
      </c>
      <c r="G18" s="4">
        <v>1264</v>
      </c>
      <c r="H18" s="4">
        <v>0.51600000000000001</v>
      </c>
      <c r="I18" s="4">
        <v>11.9</v>
      </c>
      <c r="J18" s="4"/>
      <c r="K18" s="4">
        <v>0.73499999999999999</v>
      </c>
      <c r="L18" s="4">
        <v>0.223</v>
      </c>
      <c r="M18" s="4">
        <v>0.26900000000000002</v>
      </c>
      <c r="N18" s="4">
        <v>0.186</v>
      </c>
      <c r="O18" s="4">
        <v>5.7000000000000002E-2</v>
      </c>
      <c r="P18" s="4">
        <v>0.26500000000000001</v>
      </c>
      <c r="Q18" s="4"/>
      <c r="R18" s="4">
        <v>0.55900000000000005</v>
      </c>
      <c r="S18" s="4">
        <v>0.72699999999999998</v>
      </c>
      <c r="T18" s="4">
        <v>0.53400000000000003</v>
      </c>
      <c r="U18" s="4">
        <v>0.44600000000000001</v>
      </c>
      <c r="V18" s="4">
        <v>0.38700000000000001</v>
      </c>
      <c r="W18" s="4">
        <v>0.39600000000000002</v>
      </c>
      <c r="X18" s="4"/>
      <c r="Y18" s="4">
        <v>0.70899999999999996</v>
      </c>
      <c r="Z18" s="4">
        <v>0.94699999999999995</v>
      </c>
      <c r="AA18" s="4"/>
      <c r="AB18" s="4">
        <v>0.153</v>
      </c>
      <c r="AC18" s="4">
        <v>0.40899999999999997</v>
      </c>
      <c r="AD18" s="10">
        <f t="shared" si="1"/>
        <v>0.77207000000000003</v>
      </c>
      <c r="AE18" s="9"/>
      <c r="AF18" s="9"/>
      <c r="AG18" s="12">
        <f t="shared" si="2"/>
        <v>69.3</v>
      </c>
      <c r="AH18" s="12">
        <f t="shared" si="0"/>
        <v>92.300000000000011</v>
      </c>
      <c r="AI18" s="12">
        <f t="shared" si="0"/>
        <v>83.6</v>
      </c>
      <c r="AJ18" s="12">
        <f t="shared" si="0"/>
        <v>30</v>
      </c>
      <c r="AK18" s="12"/>
      <c r="AL18" s="12">
        <f t="shared" si="0"/>
        <v>75.400000000000006</v>
      </c>
      <c r="AM18" s="12">
        <f t="shared" si="0"/>
        <v>60.099999999999994</v>
      </c>
      <c r="AN18" s="12">
        <f t="shared" si="0"/>
        <v>55.1</v>
      </c>
      <c r="AO18" s="12">
        <f t="shared" si="0"/>
        <v>94.5</v>
      </c>
      <c r="AP18" s="12">
        <f t="shared" si="0"/>
        <v>67.7</v>
      </c>
      <c r="AQ18" s="12">
        <f t="shared" si="0"/>
        <v>24.5</v>
      </c>
      <c r="AR18" s="12"/>
      <c r="AS18" s="12">
        <f t="shared" si="0"/>
        <v>78.100000000000009</v>
      </c>
      <c r="AT18" s="12">
        <f t="shared" si="0"/>
        <v>71</v>
      </c>
      <c r="AU18" s="12">
        <f t="shared" si="0"/>
        <v>85.7</v>
      </c>
      <c r="AV18" s="12">
        <f t="shared" si="0"/>
        <v>71.5</v>
      </c>
      <c r="AW18" s="12">
        <f t="shared" si="0"/>
        <v>61.199999999999996</v>
      </c>
      <c r="AX18" s="12">
        <f t="shared" si="0"/>
        <v>81.399999999999991</v>
      </c>
      <c r="AY18" s="12"/>
      <c r="AZ18" s="12">
        <f t="shared" si="3"/>
        <v>31.699999999999989</v>
      </c>
      <c r="BA18" s="12">
        <f t="shared" si="4"/>
        <v>47</v>
      </c>
      <c r="BB18" s="12"/>
      <c r="BC18" s="12">
        <f t="shared" si="5"/>
        <v>33.300000000000004</v>
      </c>
      <c r="BD18" s="12">
        <f t="shared" si="6"/>
        <v>65.5</v>
      </c>
      <c r="BE18" s="12">
        <f t="shared" si="7"/>
        <v>40.5</v>
      </c>
    </row>
    <row r="19" spans="1:57" x14ac:dyDescent="0.25">
      <c r="A19" s="1" t="s">
        <v>139</v>
      </c>
      <c r="B19" s="4" t="s">
        <v>140</v>
      </c>
      <c r="C19" s="4" t="s">
        <v>8</v>
      </c>
      <c r="D19" s="4">
        <v>38</v>
      </c>
      <c r="E19" s="4">
        <v>1261</v>
      </c>
      <c r="F19" s="4">
        <v>38</v>
      </c>
      <c r="G19" s="4">
        <v>1261</v>
      </c>
      <c r="H19" s="4">
        <v>0.47799999999999998</v>
      </c>
      <c r="I19" s="4">
        <v>13.2</v>
      </c>
      <c r="J19" s="4"/>
      <c r="K19" s="4">
        <v>0.63700000000000001</v>
      </c>
      <c r="L19" s="4">
        <v>0.19400000000000001</v>
      </c>
      <c r="M19" s="4">
        <v>0.30199999999999999</v>
      </c>
      <c r="N19" s="4">
        <v>0.10100000000000001</v>
      </c>
      <c r="O19" s="4">
        <v>0.04</v>
      </c>
      <c r="P19" s="4">
        <v>0.36299999999999999</v>
      </c>
      <c r="Q19" s="4"/>
      <c r="R19" s="4">
        <v>0.55500000000000005</v>
      </c>
      <c r="S19" s="4">
        <v>0.68700000000000006</v>
      </c>
      <c r="T19" s="4">
        <v>0.504</v>
      </c>
      <c r="U19" s="4">
        <v>0.46500000000000002</v>
      </c>
      <c r="V19" s="4">
        <v>0.52900000000000003</v>
      </c>
      <c r="W19" s="4">
        <v>0.34200000000000003</v>
      </c>
      <c r="X19" s="4"/>
      <c r="Y19" s="4">
        <v>0.58299999999999996</v>
      </c>
      <c r="Z19" s="4">
        <v>0.83</v>
      </c>
      <c r="AA19" s="4"/>
      <c r="AB19" s="4">
        <v>0.2</v>
      </c>
      <c r="AC19" s="4">
        <v>0.48399999999999999</v>
      </c>
      <c r="AD19" s="10">
        <f t="shared" si="1"/>
        <v>0.67266099999999995</v>
      </c>
      <c r="AE19" s="9"/>
      <c r="AF19" s="9"/>
      <c r="AG19" s="12">
        <f t="shared" si="2"/>
        <v>53</v>
      </c>
      <c r="AH19" s="12">
        <f t="shared" si="0"/>
        <v>91.8</v>
      </c>
      <c r="AI19" s="12">
        <f t="shared" si="0"/>
        <v>70.399999999999991</v>
      </c>
      <c r="AJ19" s="12">
        <f t="shared" si="0"/>
        <v>43.1</v>
      </c>
      <c r="AK19" s="12"/>
      <c r="AL19" s="12">
        <f t="shared" si="0"/>
        <v>59</v>
      </c>
      <c r="AM19" s="12">
        <f t="shared" si="0"/>
        <v>49.1</v>
      </c>
      <c r="AN19" s="12">
        <f t="shared" si="0"/>
        <v>66.600000000000009</v>
      </c>
      <c r="AO19" s="12">
        <f t="shared" si="0"/>
        <v>71.5</v>
      </c>
      <c r="AP19" s="12">
        <f t="shared" si="0"/>
        <v>51.9</v>
      </c>
      <c r="AQ19" s="12">
        <f t="shared" si="0"/>
        <v>39.800000000000004</v>
      </c>
      <c r="AR19" s="12"/>
      <c r="AS19" s="12">
        <f t="shared" si="0"/>
        <v>75.400000000000006</v>
      </c>
      <c r="AT19" s="12">
        <f t="shared" si="0"/>
        <v>55.7</v>
      </c>
      <c r="AU19" s="12">
        <f t="shared" si="0"/>
        <v>75.900000000000006</v>
      </c>
      <c r="AV19" s="12">
        <f t="shared" si="0"/>
        <v>75.400000000000006</v>
      </c>
      <c r="AW19" s="12">
        <f t="shared" si="0"/>
        <v>89.600000000000009</v>
      </c>
      <c r="AX19" s="12">
        <f t="shared" si="0"/>
        <v>55.1</v>
      </c>
      <c r="AY19" s="12"/>
      <c r="AZ19" s="12">
        <f t="shared" si="3"/>
        <v>54.699999999999996</v>
      </c>
      <c r="BA19" s="12">
        <f t="shared" si="4"/>
        <v>73.8</v>
      </c>
      <c r="BB19" s="12"/>
      <c r="BC19" s="12">
        <f t="shared" si="5"/>
        <v>57.3</v>
      </c>
      <c r="BD19" s="12">
        <f t="shared" si="6"/>
        <v>79.2</v>
      </c>
      <c r="BE19" s="12">
        <f t="shared" si="7"/>
        <v>65.599999999999994</v>
      </c>
    </row>
    <row r="20" spans="1:57" x14ac:dyDescent="0.25">
      <c r="A20" s="1" t="s">
        <v>103</v>
      </c>
      <c r="B20" s="3" t="s">
        <v>96</v>
      </c>
      <c r="C20" s="4" t="s">
        <v>8</v>
      </c>
      <c r="D20" s="4">
        <v>41</v>
      </c>
      <c r="E20" s="4">
        <v>1251</v>
      </c>
      <c r="F20" s="4">
        <v>41</v>
      </c>
      <c r="G20" s="4">
        <v>1251</v>
      </c>
      <c r="H20" s="4">
        <v>0.45</v>
      </c>
      <c r="I20" s="4">
        <v>16.8</v>
      </c>
      <c r="J20" s="4"/>
      <c r="K20" s="4">
        <v>0.76100000000000001</v>
      </c>
      <c r="L20" s="4">
        <v>6.3E-2</v>
      </c>
      <c r="M20" s="4">
        <v>9.9000000000000005E-2</v>
      </c>
      <c r="N20" s="4">
        <v>0.20200000000000001</v>
      </c>
      <c r="O20" s="4">
        <v>0.39700000000000002</v>
      </c>
      <c r="P20" s="4">
        <v>0.23899999999999999</v>
      </c>
      <c r="Q20" s="4"/>
      <c r="R20" s="4">
        <v>0.47599999999999998</v>
      </c>
      <c r="S20" s="4">
        <v>0.64700000000000002</v>
      </c>
      <c r="T20" s="4">
        <v>0.53700000000000003</v>
      </c>
      <c r="U20" s="4">
        <v>0.40899999999999997</v>
      </c>
      <c r="V20" s="4">
        <v>0.46800000000000003</v>
      </c>
      <c r="W20" s="4">
        <v>0.36899999999999999</v>
      </c>
      <c r="X20" s="4"/>
      <c r="Y20" s="4">
        <v>0.45700000000000002</v>
      </c>
      <c r="Z20" s="4">
        <v>0.85399999999999998</v>
      </c>
      <c r="AA20" s="4"/>
      <c r="AB20" s="4">
        <v>0.154</v>
      </c>
      <c r="AC20" s="4">
        <v>0.45</v>
      </c>
      <c r="AD20" s="10">
        <f t="shared" si="1"/>
        <v>0.55188300000000001</v>
      </c>
      <c r="AE20" s="9"/>
      <c r="AF20" s="9"/>
      <c r="AG20" s="12">
        <f t="shared" si="2"/>
        <v>69.3</v>
      </c>
      <c r="AH20" s="12">
        <f t="shared" si="2"/>
        <v>91.2</v>
      </c>
      <c r="AI20" s="12">
        <f t="shared" si="2"/>
        <v>59</v>
      </c>
      <c r="AJ20" s="12">
        <f t="shared" si="2"/>
        <v>77</v>
      </c>
      <c r="AK20" s="12"/>
      <c r="AL20" s="12">
        <f t="shared" ref="AL20:AO83" si="8">(PERCENTRANK(K$4:K$298,K20))*100</f>
        <v>79.2</v>
      </c>
      <c r="AM20" s="12">
        <f t="shared" si="8"/>
        <v>7.6</v>
      </c>
      <c r="AN20" s="12">
        <f t="shared" si="8"/>
        <v>4.3</v>
      </c>
      <c r="AO20" s="12">
        <f t="shared" si="8"/>
        <v>96.7</v>
      </c>
      <c r="AP20" s="12">
        <f t="shared" ref="AP20:AQ83" si="9">(PERCENTRANK(O$4:O$298,O20))*100</f>
        <v>100</v>
      </c>
      <c r="AQ20" s="12">
        <f t="shared" si="9"/>
        <v>20.7</v>
      </c>
      <c r="AR20" s="12"/>
      <c r="AS20" s="12">
        <f t="shared" ref="AS20:AV83" si="10">(PERCENTRANK(R$4:R$298,R20))*100</f>
        <v>31.1</v>
      </c>
      <c r="AT20" s="12">
        <f t="shared" si="10"/>
        <v>40.400000000000006</v>
      </c>
      <c r="AU20" s="12">
        <f t="shared" si="10"/>
        <v>87.4</v>
      </c>
      <c r="AV20" s="12">
        <f t="shared" si="10"/>
        <v>62.2</v>
      </c>
      <c r="AW20" s="12">
        <f t="shared" ref="AW20:AX83" si="11">(PERCENTRANK(V$4:V$298,V20))*100</f>
        <v>78.100000000000009</v>
      </c>
      <c r="AX20" s="12">
        <f t="shared" si="11"/>
        <v>69.899999999999991</v>
      </c>
      <c r="AY20" s="12"/>
      <c r="AZ20" s="12">
        <f t="shared" si="3"/>
        <v>72.199999999999989</v>
      </c>
      <c r="BA20" s="12">
        <f t="shared" si="4"/>
        <v>70.5</v>
      </c>
      <c r="BB20" s="12"/>
      <c r="BC20" s="12">
        <f t="shared" si="5"/>
        <v>34.9</v>
      </c>
      <c r="BD20" s="12">
        <f t="shared" si="6"/>
        <v>75.400000000000006</v>
      </c>
      <c r="BE20" s="12">
        <f t="shared" si="7"/>
        <v>80.900000000000006</v>
      </c>
    </row>
    <row r="21" spans="1:57" ht="15.75" customHeight="1" x14ac:dyDescent="0.25">
      <c r="A21" s="1" t="s">
        <v>132</v>
      </c>
      <c r="B21" s="3" t="s">
        <v>117</v>
      </c>
      <c r="C21" s="4" t="s">
        <v>88</v>
      </c>
      <c r="D21" s="4">
        <v>39</v>
      </c>
      <c r="E21" s="4">
        <v>1244</v>
      </c>
      <c r="F21" s="4">
        <v>39</v>
      </c>
      <c r="G21" s="4">
        <v>1244</v>
      </c>
      <c r="H21" s="4">
        <v>0.52700000000000002</v>
      </c>
      <c r="I21" s="4">
        <v>11.1</v>
      </c>
      <c r="J21" s="4"/>
      <c r="K21" s="4">
        <v>0.86599999999999999</v>
      </c>
      <c r="L21" s="4">
        <v>0.13900000000000001</v>
      </c>
      <c r="M21" s="4">
        <v>0.35499999999999998</v>
      </c>
      <c r="N21" s="4">
        <v>0.249</v>
      </c>
      <c r="O21" s="4">
        <v>0.123</v>
      </c>
      <c r="P21" s="4">
        <v>0.13400000000000001</v>
      </c>
      <c r="Q21" s="4"/>
      <c r="R21" s="4">
        <v>0.54600000000000004</v>
      </c>
      <c r="S21" s="4">
        <v>0.73399999999999999</v>
      </c>
      <c r="T21" s="4">
        <v>0.55200000000000005</v>
      </c>
      <c r="U21" s="4">
        <v>0.5</v>
      </c>
      <c r="V21" s="4">
        <v>0.41</v>
      </c>
      <c r="W21" s="4">
        <v>0.4</v>
      </c>
      <c r="X21" s="4"/>
      <c r="Y21" s="4">
        <v>0.74299999999999999</v>
      </c>
      <c r="Z21" s="4">
        <v>0.97199999999999998</v>
      </c>
      <c r="AA21" s="4"/>
      <c r="AB21" s="4">
        <v>8.8999999999999996E-2</v>
      </c>
      <c r="AC21" s="4">
        <v>0.5</v>
      </c>
      <c r="AD21" s="10">
        <f t="shared" si="1"/>
        <v>0.77368599999999998</v>
      </c>
      <c r="AE21" s="9"/>
      <c r="AF21" s="9"/>
      <c r="AG21" s="12">
        <f t="shared" si="2"/>
        <v>60.6</v>
      </c>
      <c r="AH21" s="12">
        <f t="shared" si="2"/>
        <v>90.7</v>
      </c>
      <c r="AI21" s="12">
        <f t="shared" si="2"/>
        <v>88.5</v>
      </c>
      <c r="AJ21" s="12">
        <f t="shared" si="2"/>
        <v>25.1</v>
      </c>
      <c r="AK21" s="12"/>
      <c r="AL21" s="12">
        <f t="shared" si="8"/>
        <v>87.4</v>
      </c>
      <c r="AM21" s="12">
        <f t="shared" si="8"/>
        <v>32.200000000000003</v>
      </c>
      <c r="AN21" s="12">
        <f t="shared" si="8"/>
        <v>80.300000000000011</v>
      </c>
      <c r="AO21" s="12">
        <f t="shared" si="8"/>
        <v>98.9</v>
      </c>
      <c r="AP21" s="12">
        <f t="shared" si="9"/>
        <v>92.800000000000011</v>
      </c>
      <c r="AQ21" s="12">
        <f t="shared" si="9"/>
        <v>12.5</v>
      </c>
      <c r="AR21" s="12"/>
      <c r="AS21" s="12">
        <f t="shared" si="10"/>
        <v>69.899999999999991</v>
      </c>
      <c r="AT21" s="12">
        <f t="shared" si="10"/>
        <v>73.2</v>
      </c>
      <c r="AU21" s="12">
        <f t="shared" si="10"/>
        <v>89.600000000000009</v>
      </c>
      <c r="AV21" s="12">
        <f t="shared" si="10"/>
        <v>81.399999999999991</v>
      </c>
      <c r="AW21" s="12">
        <f t="shared" si="11"/>
        <v>68.300000000000011</v>
      </c>
      <c r="AX21" s="12">
        <f t="shared" si="11"/>
        <v>83.6</v>
      </c>
      <c r="AY21" s="12"/>
      <c r="AZ21" s="12">
        <f t="shared" si="3"/>
        <v>24.599999999999994</v>
      </c>
      <c r="BA21" s="12">
        <f t="shared" si="4"/>
        <v>38.800000000000004</v>
      </c>
      <c r="BB21" s="12"/>
      <c r="BC21" s="12">
        <f t="shared" si="5"/>
        <v>13.100000000000001</v>
      </c>
      <c r="BD21" s="12">
        <f t="shared" si="6"/>
        <v>80.300000000000011</v>
      </c>
      <c r="BE21" s="12">
        <f t="shared" si="7"/>
        <v>39.4</v>
      </c>
    </row>
    <row r="22" spans="1:57" ht="15.75" customHeight="1" x14ac:dyDescent="0.25">
      <c r="A22" s="1" t="s">
        <v>104</v>
      </c>
      <c r="B22" s="3" t="s">
        <v>96</v>
      </c>
      <c r="C22" s="4" t="s">
        <v>8</v>
      </c>
      <c r="D22" s="4">
        <v>40</v>
      </c>
      <c r="E22" s="4">
        <v>1239</v>
      </c>
      <c r="F22" s="4">
        <v>40</v>
      </c>
      <c r="G22" s="4">
        <v>1239</v>
      </c>
      <c r="H22" s="4">
        <v>0.49199999999999999</v>
      </c>
      <c r="I22" s="4">
        <v>11.1</v>
      </c>
      <c r="J22" s="4"/>
      <c r="K22" s="4">
        <v>0.70899999999999996</v>
      </c>
      <c r="L22" s="4">
        <v>0.34399999999999997</v>
      </c>
      <c r="M22" s="4">
        <v>0.23300000000000001</v>
      </c>
      <c r="N22" s="4">
        <v>7.1999999999999995E-2</v>
      </c>
      <c r="O22" s="4">
        <v>0.06</v>
      </c>
      <c r="P22" s="4">
        <v>0.29099999999999998</v>
      </c>
      <c r="Q22" s="4"/>
      <c r="R22" s="4">
        <v>0.53500000000000003</v>
      </c>
      <c r="S22" s="4">
        <v>0.65600000000000003</v>
      </c>
      <c r="T22" s="4">
        <v>0.44700000000000001</v>
      </c>
      <c r="U22" s="4">
        <v>0.39</v>
      </c>
      <c r="V22" s="4">
        <v>0.35299999999999998</v>
      </c>
      <c r="W22" s="4">
        <v>0.38800000000000001</v>
      </c>
      <c r="X22" s="4"/>
      <c r="Y22" s="4">
        <v>0.186</v>
      </c>
      <c r="Z22" s="4">
        <v>0.34399999999999997</v>
      </c>
      <c r="AA22" s="4"/>
      <c r="AB22" s="4">
        <v>4.8000000000000001E-2</v>
      </c>
      <c r="AC22" s="4">
        <v>0.375</v>
      </c>
      <c r="AD22" s="10">
        <f t="shared" si="1"/>
        <v>0.23197799999999996</v>
      </c>
      <c r="AE22" s="9"/>
      <c r="AF22" s="9"/>
      <c r="AG22" s="12">
        <f t="shared" si="2"/>
        <v>63.9</v>
      </c>
      <c r="AH22" s="12">
        <f t="shared" si="2"/>
        <v>90.100000000000009</v>
      </c>
      <c r="AI22" s="12">
        <f t="shared" si="2"/>
        <v>75.900000000000006</v>
      </c>
      <c r="AJ22" s="12">
        <f t="shared" si="2"/>
        <v>25.1</v>
      </c>
      <c r="AK22" s="12"/>
      <c r="AL22" s="12">
        <f t="shared" si="8"/>
        <v>71.5</v>
      </c>
      <c r="AM22" s="12">
        <f t="shared" si="8"/>
        <v>85.2</v>
      </c>
      <c r="AN22" s="12">
        <f t="shared" si="8"/>
        <v>44.2</v>
      </c>
      <c r="AO22" s="12">
        <f t="shared" si="8"/>
        <v>54</v>
      </c>
      <c r="AP22" s="12">
        <f t="shared" si="9"/>
        <v>71.5</v>
      </c>
      <c r="AQ22" s="12">
        <f t="shared" si="9"/>
        <v>28.4</v>
      </c>
      <c r="AR22" s="12"/>
      <c r="AS22" s="12">
        <f t="shared" si="10"/>
        <v>65</v>
      </c>
      <c r="AT22" s="12">
        <f t="shared" si="10"/>
        <v>43.1</v>
      </c>
      <c r="AU22" s="12">
        <f t="shared" si="10"/>
        <v>49.7</v>
      </c>
      <c r="AV22" s="12">
        <f t="shared" si="10"/>
        <v>56.2</v>
      </c>
      <c r="AW22" s="12">
        <f t="shared" si="11"/>
        <v>57.3</v>
      </c>
      <c r="AX22" s="12">
        <f t="shared" si="11"/>
        <v>78.100000000000009</v>
      </c>
      <c r="AY22" s="12"/>
      <c r="AZ22" s="12">
        <f t="shared" si="3"/>
        <v>95.7</v>
      </c>
      <c r="BA22" s="12">
        <f t="shared" si="4"/>
        <v>95.1</v>
      </c>
      <c r="BB22" s="12"/>
      <c r="BC22" s="12">
        <f t="shared" si="5"/>
        <v>6.5</v>
      </c>
      <c r="BD22" s="12">
        <f t="shared" si="6"/>
        <v>54.6</v>
      </c>
      <c r="BE22" s="12">
        <f t="shared" si="7"/>
        <v>100</v>
      </c>
    </row>
    <row r="23" spans="1:57" ht="15" customHeight="1" x14ac:dyDescent="0.25">
      <c r="A23" s="1" t="s">
        <v>115</v>
      </c>
      <c r="B23" s="3" t="s">
        <v>96</v>
      </c>
      <c r="C23" s="4" t="s">
        <v>85</v>
      </c>
      <c r="D23" s="4">
        <v>42</v>
      </c>
      <c r="E23" s="4">
        <v>1217</v>
      </c>
      <c r="F23" s="4">
        <v>42</v>
      </c>
      <c r="G23" s="4">
        <v>1217</v>
      </c>
      <c r="H23" s="4">
        <v>0.59399999999999997</v>
      </c>
      <c r="I23" s="4">
        <v>4.7</v>
      </c>
      <c r="J23" s="4"/>
      <c r="K23" s="4">
        <v>0.96299999999999997</v>
      </c>
      <c r="L23" s="4">
        <v>0.50600000000000001</v>
      </c>
      <c r="M23" s="4">
        <v>0.39200000000000002</v>
      </c>
      <c r="N23" s="4">
        <v>3.6999999999999998E-2</v>
      </c>
      <c r="O23" s="4">
        <v>2.8000000000000001E-2</v>
      </c>
      <c r="P23" s="4">
        <v>3.6999999999999998E-2</v>
      </c>
      <c r="Q23" s="4"/>
      <c r="R23" s="4">
        <v>0.61</v>
      </c>
      <c r="S23" s="4">
        <v>0.72799999999999998</v>
      </c>
      <c r="T23" s="4">
        <v>0.49399999999999999</v>
      </c>
      <c r="U23" s="4">
        <v>0.438</v>
      </c>
      <c r="V23" s="4">
        <v>0.33300000000000002</v>
      </c>
      <c r="W23" s="4">
        <v>0.188</v>
      </c>
      <c r="X23" s="4"/>
      <c r="Y23" s="4">
        <v>0.71</v>
      </c>
      <c r="Z23" s="4">
        <v>1</v>
      </c>
      <c r="AA23" s="4"/>
      <c r="AB23" s="4">
        <v>0.313</v>
      </c>
      <c r="AC23" s="4">
        <v>0</v>
      </c>
      <c r="AD23" s="10">
        <f t="shared" si="1"/>
        <v>0.72072999999999998</v>
      </c>
      <c r="AE23" s="9"/>
      <c r="AF23" s="9"/>
      <c r="AG23" s="12">
        <f t="shared" si="2"/>
        <v>83</v>
      </c>
      <c r="AH23" s="12">
        <f t="shared" si="2"/>
        <v>89.600000000000009</v>
      </c>
      <c r="AI23" s="12">
        <f t="shared" si="2"/>
        <v>97.8</v>
      </c>
      <c r="AJ23" s="12">
        <f t="shared" si="2"/>
        <v>3.2</v>
      </c>
      <c r="AK23" s="12"/>
      <c r="AL23" s="12">
        <f t="shared" si="8"/>
        <v>93.4</v>
      </c>
      <c r="AM23" s="12">
        <f t="shared" si="8"/>
        <v>97.2</v>
      </c>
      <c r="AN23" s="12">
        <f t="shared" si="8"/>
        <v>87.4</v>
      </c>
      <c r="AO23" s="12">
        <f t="shared" si="8"/>
        <v>28.9</v>
      </c>
      <c r="AP23" s="12">
        <f t="shared" si="9"/>
        <v>35.5</v>
      </c>
      <c r="AQ23" s="12">
        <f t="shared" si="9"/>
        <v>6</v>
      </c>
      <c r="AR23" s="12"/>
      <c r="AS23" s="12">
        <f t="shared" si="10"/>
        <v>93.899999999999991</v>
      </c>
      <c r="AT23" s="12">
        <f t="shared" si="10"/>
        <v>71.5</v>
      </c>
      <c r="AU23" s="12">
        <f t="shared" si="10"/>
        <v>71.5</v>
      </c>
      <c r="AV23" s="12">
        <f t="shared" si="10"/>
        <v>68.8</v>
      </c>
      <c r="AW23" s="12">
        <f t="shared" si="11"/>
        <v>48</v>
      </c>
      <c r="AX23" s="12">
        <f t="shared" si="11"/>
        <v>8.6999999999999993</v>
      </c>
      <c r="AY23" s="12"/>
      <c r="AZ23" s="12">
        <f t="shared" si="3"/>
        <v>31.200000000000003</v>
      </c>
      <c r="BA23" s="12">
        <f t="shared" si="4"/>
        <v>33.899999999999991</v>
      </c>
      <c r="BB23" s="12"/>
      <c r="BC23" s="12">
        <f t="shared" si="5"/>
        <v>79.2</v>
      </c>
      <c r="BD23" s="12">
        <f t="shared" si="6"/>
        <v>0</v>
      </c>
      <c r="BE23" s="12">
        <f t="shared" si="7"/>
        <v>53.599999999999994</v>
      </c>
    </row>
    <row r="24" spans="1:57" ht="15.75" customHeight="1" x14ac:dyDescent="0.25">
      <c r="A24" s="1" t="s">
        <v>158</v>
      </c>
      <c r="B24" s="3" t="s">
        <v>140</v>
      </c>
      <c r="C24" s="4" t="s">
        <v>88</v>
      </c>
      <c r="D24" s="4">
        <v>41</v>
      </c>
      <c r="E24" s="4">
        <v>1208</v>
      </c>
      <c r="F24" s="4">
        <v>41</v>
      </c>
      <c r="G24" s="4">
        <v>1208</v>
      </c>
      <c r="H24" s="4">
        <v>0.49099999999999999</v>
      </c>
      <c r="I24" s="4">
        <v>7.2</v>
      </c>
      <c r="J24" s="4"/>
      <c r="K24" s="4">
        <v>0.89900000000000002</v>
      </c>
      <c r="L24" s="4">
        <v>0.30199999999999999</v>
      </c>
      <c r="M24" s="4">
        <v>0.49299999999999999</v>
      </c>
      <c r="N24" s="4">
        <v>7.6999999999999999E-2</v>
      </c>
      <c r="O24" s="4">
        <v>2.7E-2</v>
      </c>
      <c r="P24" s="4">
        <v>0.10100000000000001</v>
      </c>
      <c r="Q24" s="4"/>
      <c r="R24" s="4">
        <v>0.51</v>
      </c>
      <c r="S24" s="4">
        <v>0.71799999999999997</v>
      </c>
      <c r="T24" s="4">
        <v>0.39600000000000002</v>
      </c>
      <c r="U24" s="4">
        <v>0.375</v>
      </c>
      <c r="V24" s="4">
        <v>0.64300000000000002</v>
      </c>
      <c r="W24" s="4">
        <v>0.32700000000000001</v>
      </c>
      <c r="X24" s="4"/>
      <c r="Y24" s="4">
        <v>0.65</v>
      </c>
      <c r="Z24" s="4">
        <v>0.88200000000000001</v>
      </c>
      <c r="AA24" s="4"/>
      <c r="AB24" s="4">
        <v>1.9E-2</v>
      </c>
      <c r="AC24" s="4">
        <v>1</v>
      </c>
      <c r="AD24" s="10">
        <f t="shared" si="1"/>
        <v>0.67343200000000003</v>
      </c>
      <c r="AE24" s="9"/>
      <c r="AF24" s="9"/>
      <c r="AG24" s="12">
        <f t="shared" si="2"/>
        <v>69.3</v>
      </c>
      <c r="AH24" s="12">
        <f t="shared" si="2"/>
        <v>89</v>
      </c>
      <c r="AI24" s="12">
        <f t="shared" si="2"/>
        <v>74.3</v>
      </c>
      <c r="AJ24" s="12">
        <f t="shared" si="2"/>
        <v>10.9</v>
      </c>
      <c r="AK24" s="12"/>
      <c r="AL24" s="12">
        <f t="shared" si="8"/>
        <v>89.600000000000009</v>
      </c>
      <c r="AM24" s="12">
        <f t="shared" si="8"/>
        <v>77.5</v>
      </c>
      <c r="AN24" s="12">
        <f t="shared" si="8"/>
        <v>98.9</v>
      </c>
      <c r="AO24" s="12">
        <f t="shared" si="8"/>
        <v>57.3</v>
      </c>
      <c r="AP24" s="12">
        <f t="shared" si="9"/>
        <v>33.300000000000004</v>
      </c>
      <c r="AQ24" s="12">
        <f t="shared" si="9"/>
        <v>10.299999999999999</v>
      </c>
      <c r="AR24" s="12"/>
      <c r="AS24" s="12">
        <f t="shared" si="10"/>
        <v>45.9</v>
      </c>
      <c r="AT24" s="12">
        <f t="shared" si="10"/>
        <v>66.600000000000009</v>
      </c>
      <c r="AU24" s="12">
        <f t="shared" si="10"/>
        <v>32.200000000000003</v>
      </c>
      <c r="AV24" s="12">
        <f t="shared" si="10"/>
        <v>53.5</v>
      </c>
      <c r="AW24" s="12">
        <f t="shared" si="11"/>
        <v>94.5</v>
      </c>
      <c r="AX24" s="12">
        <f t="shared" si="11"/>
        <v>50.2</v>
      </c>
      <c r="AY24" s="12"/>
      <c r="AZ24" s="12">
        <f t="shared" si="3"/>
        <v>44.9</v>
      </c>
      <c r="BA24" s="12">
        <f t="shared" si="4"/>
        <v>65.099999999999994</v>
      </c>
      <c r="BB24" s="12"/>
      <c r="BC24" s="12">
        <f t="shared" si="5"/>
        <v>4.9000000000000004</v>
      </c>
      <c r="BD24" s="12">
        <f t="shared" si="6"/>
        <v>97.2</v>
      </c>
      <c r="BE24" s="12">
        <f t="shared" si="7"/>
        <v>65.099999999999994</v>
      </c>
    </row>
    <row r="25" spans="1:57" ht="15.75" customHeight="1" x14ac:dyDescent="0.25">
      <c r="A25" s="1" t="s">
        <v>144</v>
      </c>
      <c r="B25" s="3" t="s">
        <v>128</v>
      </c>
      <c r="C25" s="4" t="s">
        <v>85</v>
      </c>
      <c r="D25" s="4">
        <v>42</v>
      </c>
      <c r="E25" s="4">
        <v>1203</v>
      </c>
      <c r="F25" s="4">
        <v>42</v>
      </c>
      <c r="G25" s="4">
        <v>1203</v>
      </c>
      <c r="H25" s="4">
        <v>0.46100000000000002</v>
      </c>
      <c r="I25" s="4">
        <v>14.3</v>
      </c>
      <c r="J25" s="4"/>
      <c r="K25" s="4">
        <v>0.47099999999999997</v>
      </c>
      <c r="L25" s="4">
        <v>0.33</v>
      </c>
      <c r="M25" s="4">
        <v>0.127</v>
      </c>
      <c r="N25" s="4">
        <v>0</v>
      </c>
      <c r="O25" s="4">
        <v>1.2999999999999999E-2</v>
      </c>
      <c r="P25" s="4">
        <v>0.52900000000000003</v>
      </c>
      <c r="Q25" s="4"/>
      <c r="R25" s="4">
        <v>0.63200000000000001</v>
      </c>
      <c r="S25" s="4">
        <v>0.67300000000000004</v>
      </c>
      <c r="T25" s="4">
        <v>0.56399999999999995</v>
      </c>
      <c r="U25" s="4">
        <v>0</v>
      </c>
      <c r="V25" s="4">
        <v>0.25</v>
      </c>
      <c r="W25" s="4">
        <v>0.309</v>
      </c>
      <c r="X25" s="4"/>
      <c r="Y25" s="4">
        <v>0.84599999999999997</v>
      </c>
      <c r="Z25" s="4">
        <v>1</v>
      </c>
      <c r="AA25" s="4"/>
      <c r="AB25" s="4">
        <v>0.253</v>
      </c>
      <c r="AC25" s="4">
        <v>0.36599999999999999</v>
      </c>
      <c r="AD25" s="10">
        <f t="shared" si="1"/>
        <v>0.92746600000000001</v>
      </c>
      <c r="AE25" s="9"/>
      <c r="AF25" s="9"/>
      <c r="AG25" s="12">
        <f t="shared" si="2"/>
        <v>83</v>
      </c>
      <c r="AH25" s="12">
        <f t="shared" si="2"/>
        <v>88.5</v>
      </c>
      <c r="AI25" s="12">
        <f t="shared" si="2"/>
        <v>63.3</v>
      </c>
      <c r="AJ25" s="12">
        <f t="shared" si="2"/>
        <v>51.9</v>
      </c>
      <c r="AK25" s="12"/>
      <c r="AL25" s="12">
        <f t="shared" si="8"/>
        <v>22.900000000000002</v>
      </c>
      <c r="AM25" s="12">
        <f t="shared" si="8"/>
        <v>81.899999999999991</v>
      </c>
      <c r="AN25" s="12">
        <f t="shared" si="8"/>
        <v>9.1999999999999993</v>
      </c>
      <c r="AO25" s="12">
        <f t="shared" si="8"/>
        <v>0</v>
      </c>
      <c r="AP25" s="12">
        <f t="shared" si="9"/>
        <v>14.7</v>
      </c>
      <c r="AQ25" s="12">
        <f t="shared" si="9"/>
        <v>76.5</v>
      </c>
      <c r="AR25" s="12"/>
      <c r="AS25" s="12">
        <f t="shared" si="10"/>
        <v>96.1</v>
      </c>
      <c r="AT25" s="12">
        <f t="shared" si="10"/>
        <v>50.2</v>
      </c>
      <c r="AU25" s="12">
        <f t="shared" si="10"/>
        <v>91.8</v>
      </c>
      <c r="AV25" s="12">
        <f t="shared" si="10"/>
        <v>0</v>
      </c>
      <c r="AW25" s="12">
        <f t="shared" si="11"/>
        <v>32.700000000000003</v>
      </c>
      <c r="AX25" s="12">
        <f t="shared" si="11"/>
        <v>41.5</v>
      </c>
      <c r="AY25" s="12"/>
      <c r="AZ25" s="12">
        <f t="shared" si="3"/>
        <v>7.1999999999999886</v>
      </c>
      <c r="BA25" s="12">
        <f t="shared" si="4"/>
        <v>33.899999999999991</v>
      </c>
      <c r="BB25" s="12"/>
      <c r="BC25" s="12">
        <f t="shared" si="5"/>
        <v>71</v>
      </c>
      <c r="BD25" s="12">
        <f t="shared" si="6"/>
        <v>50.8</v>
      </c>
      <c r="BE25" s="12">
        <f t="shared" si="7"/>
        <v>3.2999999999999972</v>
      </c>
    </row>
    <row r="26" spans="1:57" ht="15.75" customHeight="1" x14ac:dyDescent="0.25">
      <c r="A26" s="1" t="s">
        <v>109</v>
      </c>
      <c r="B26" s="3" t="s">
        <v>232</v>
      </c>
      <c r="C26" s="4" t="s">
        <v>85</v>
      </c>
      <c r="D26" s="4">
        <v>39</v>
      </c>
      <c r="E26" s="4">
        <v>1195</v>
      </c>
      <c r="F26" s="4">
        <v>39</v>
      </c>
      <c r="G26" s="4">
        <v>1195</v>
      </c>
      <c r="H26" s="4">
        <v>0.40400000000000003</v>
      </c>
      <c r="I26" s="4">
        <v>18.899999999999999</v>
      </c>
      <c r="J26" s="4"/>
      <c r="K26" s="4">
        <v>0.374</v>
      </c>
      <c r="L26" s="4">
        <v>3.5000000000000003E-2</v>
      </c>
      <c r="M26" s="4">
        <v>0.17399999999999999</v>
      </c>
      <c r="N26" s="4">
        <v>0.13900000000000001</v>
      </c>
      <c r="O26" s="4">
        <v>2.5999999999999999E-2</v>
      </c>
      <c r="P26" s="4">
        <v>0.626</v>
      </c>
      <c r="Q26" s="4"/>
      <c r="R26" s="4">
        <v>0.46500000000000002</v>
      </c>
      <c r="S26" s="4">
        <v>0.56299999999999994</v>
      </c>
      <c r="T26" s="4">
        <v>0.48799999999999999</v>
      </c>
      <c r="U26" s="4">
        <v>0.40600000000000003</v>
      </c>
      <c r="V26" s="4">
        <v>0.5</v>
      </c>
      <c r="W26" s="4">
        <v>0.36799999999999999</v>
      </c>
      <c r="X26" s="4"/>
      <c r="Y26" s="4">
        <v>0.45</v>
      </c>
      <c r="Z26" s="4">
        <v>0.92500000000000004</v>
      </c>
      <c r="AA26" s="4"/>
      <c r="AB26" s="4">
        <v>0.17</v>
      </c>
      <c r="AC26" s="4">
        <v>0.36699999999999999</v>
      </c>
      <c r="AD26" s="10">
        <f t="shared" si="1"/>
        <v>0.74735000000000007</v>
      </c>
      <c r="AE26" s="9"/>
      <c r="AF26" s="9"/>
      <c r="AG26" s="12">
        <f t="shared" si="2"/>
        <v>60.6</v>
      </c>
      <c r="AH26" s="12">
        <f t="shared" si="2"/>
        <v>87.9</v>
      </c>
      <c r="AI26" s="12">
        <f t="shared" si="2"/>
        <v>31.1</v>
      </c>
      <c r="AJ26" s="12">
        <f t="shared" si="2"/>
        <v>89</v>
      </c>
      <c r="AK26" s="12"/>
      <c r="AL26" s="12">
        <f t="shared" si="8"/>
        <v>13.100000000000001</v>
      </c>
      <c r="AM26" s="12">
        <f t="shared" si="8"/>
        <v>2.7</v>
      </c>
      <c r="AN26" s="12">
        <f t="shared" si="8"/>
        <v>22.900000000000002</v>
      </c>
      <c r="AO26" s="12">
        <f t="shared" si="8"/>
        <v>85.7</v>
      </c>
      <c r="AP26" s="12">
        <f t="shared" si="9"/>
        <v>32.200000000000003</v>
      </c>
      <c r="AQ26" s="12">
        <f t="shared" si="9"/>
        <v>86.8</v>
      </c>
      <c r="AR26" s="12"/>
      <c r="AS26" s="12">
        <f t="shared" si="10"/>
        <v>25.1</v>
      </c>
      <c r="AT26" s="12">
        <f t="shared" si="10"/>
        <v>14.2</v>
      </c>
      <c r="AU26" s="12">
        <f t="shared" si="10"/>
        <v>67.7</v>
      </c>
      <c r="AV26" s="12">
        <f t="shared" si="10"/>
        <v>61.199999999999996</v>
      </c>
      <c r="AW26" s="12">
        <f t="shared" si="11"/>
        <v>79.7</v>
      </c>
      <c r="AX26" s="12">
        <f t="shared" si="11"/>
        <v>68.300000000000011</v>
      </c>
      <c r="AY26" s="12"/>
      <c r="AZ26" s="12">
        <f t="shared" si="3"/>
        <v>74.900000000000006</v>
      </c>
      <c r="BA26" s="12">
        <f t="shared" si="4"/>
        <v>56.3</v>
      </c>
      <c r="BB26" s="12"/>
      <c r="BC26" s="12">
        <f t="shared" si="5"/>
        <v>44.2</v>
      </c>
      <c r="BD26" s="12">
        <f t="shared" si="6"/>
        <v>51.300000000000004</v>
      </c>
      <c r="BE26" s="12">
        <f t="shared" si="7"/>
        <v>45.4</v>
      </c>
    </row>
    <row r="27" spans="1:57" ht="15.75" customHeight="1" x14ac:dyDescent="0.25">
      <c r="A27" s="1" t="s">
        <v>156</v>
      </c>
      <c r="B27" s="3" t="s">
        <v>157</v>
      </c>
      <c r="C27" s="4" t="s">
        <v>8</v>
      </c>
      <c r="D27" s="4">
        <v>38</v>
      </c>
      <c r="E27" s="4">
        <v>1194</v>
      </c>
      <c r="F27" s="4">
        <v>38</v>
      </c>
      <c r="G27" s="4">
        <v>1194</v>
      </c>
      <c r="H27" s="4">
        <v>0.45100000000000001</v>
      </c>
      <c r="I27" s="4">
        <v>17.399999999999999</v>
      </c>
      <c r="J27" s="4"/>
      <c r="K27" s="4">
        <v>0.499</v>
      </c>
      <c r="L27" s="4">
        <v>0.16300000000000001</v>
      </c>
      <c r="M27" s="4">
        <v>0.16300000000000001</v>
      </c>
      <c r="N27" s="4">
        <v>9.0999999999999998E-2</v>
      </c>
      <c r="O27" s="4">
        <v>8.3000000000000004E-2</v>
      </c>
      <c r="P27" s="4">
        <v>0.501</v>
      </c>
      <c r="Q27" s="4"/>
      <c r="R27" s="4">
        <v>0.53500000000000003</v>
      </c>
      <c r="S27" s="4">
        <v>0.65300000000000002</v>
      </c>
      <c r="T27" s="4">
        <v>0.52</v>
      </c>
      <c r="U27" s="4">
        <v>0.41799999999999998</v>
      </c>
      <c r="V27" s="4">
        <v>0.46</v>
      </c>
      <c r="W27" s="4">
        <v>0.36799999999999999</v>
      </c>
      <c r="X27" s="4"/>
      <c r="Y27" s="4">
        <v>0.186</v>
      </c>
      <c r="Z27" s="4">
        <v>0.47699999999999998</v>
      </c>
      <c r="AA27" s="4"/>
      <c r="AB27" s="4">
        <v>2.5999999999999999E-2</v>
      </c>
      <c r="AC27" s="4">
        <v>0.75</v>
      </c>
      <c r="AD27" s="10">
        <f t="shared" si="1"/>
        <v>0.331791</v>
      </c>
      <c r="AE27" s="9"/>
      <c r="AF27" s="9"/>
      <c r="AG27" s="12">
        <f t="shared" si="2"/>
        <v>53</v>
      </c>
      <c r="AH27" s="12">
        <f t="shared" si="2"/>
        <v>86.8</v>
      </c>
      <c r="AI27" s="12">
        <f t="shared" si="2"/>
        <v>59.5</v>
      </c>
      <c r="AJ27" s="12">
        <f t="shared" si="2"/>
        <v>80.300000000000011</v>
      </c>
      <c r="AK27" s="12"/>
      <c r="AL27" s="12">
        <f t="shared" si="8"/>
        <v>28.9</v>
      </c>
      <c r="AM27" s="12">
        <f t="shared" si="8"/>
        <v>39.800000000000004</v>
      </c>
      <c r="AN27" s="12">
        <f t="shared" si="8"/>
        <v>21.8</v>
      </c>
      <c r="AO27" s="12">
        <f t="shared" si="8"/>
        <v>65.5</v>
      </c>
      <c r="AP27" s="12">
        <f t="shared" si="9"/>
        <v>83</v>
      </c>
      <c r="AQ27" s="12">
        <f t="shared" si="9"/>
        <v>71</v>
      </c>
      <c r="AR27" s="12"/>
      <c r="AS27" s="12">
        <f t="shared" si="10"/>
        <v>65</v>
      </c>
      <c r="AT27" s="12">
        <f t="shared" si="10"/>
        <v>41.5</v>
      </c>
      <c r="AU27" s="12">
        <f t="shared" si="10"/>
        <v>81.399999999999991</v>
      </c>
      <c r="AV27" s="12">
        <f t="shared" si="10"/>
        <v>66.100000000000009</v>
      </c>
      <c r="AW27" s="12">
        <f t="shared" si="11"/>
        <v>77.5</v>
      </c>
      <c r="AX27" s="12">
        <f t="shared" si="11"/>
        <v>68.300000000000011</v>
      </c>
      <c r="AY27" s="12"/>
      <c r="AZ27" s="12">
        <f t="shared" si="3"/>
        <v>95.7</v>
      </c>
      <c r="BA27" s="12">
        <f t="shared" si="4"/>
        <v>93.5</v>
      </c>
      <c r="BB27" s="12"/>
      <c r="BC27" s="12">
        <f t="shared" si="5"/>
        <v>5.4</v>
      </c>
      <c r="BD27" s="12">
        <f t="shared" si="6"/>
        <v>93.899999999999991</v>
      </c>
      <c r="BE27" s="12">
        <f t="shared" si="7"/>
        <v>97.9</v>
      </c>
    </row>
    <row r="28" spans="1:57" ht="15.75" customHeight="1" x14ac:dyDescent="0.25">
      <c r="A28" s="1" t="s">
        <v>87</v>
      </c>
      <c r="B28" s="3" t="s">
        <v>84</v>
      </c>
      <c r="C28" s="4" t="s">
        <v>88</v>
      </c>
      <c r="D28" s="4">
        <v>42</v>
      </c>
      <c r="E28" s="4">
        <v>1194</v>
      </c>
      <c r="F28" s="4">
        <v>42</v>
      </c>
      <c r="G28" s="4">
        <v>1194</v>
      </c>
      <c r="H28" s="4">
        <v>0.496</v>
      </c>
      <c r="I28" s="4">
        <v>14.3</v>
      </c>
      <c r="J28" s="4"/>
      <c r="K28" s="4">
        <v>0.53900000000000003</v>
      </c>
      <c r="L28" s="4">
        <v>0.22500000000000001</v>
      </c>
      <c r="M28" s="4">
        <v>0.22900000000000001</v>
      </c>
      <c r="N28" s="4">
        <v>5.1999999999999998E-2</v>
      </c>
      <c r="O28" s="4">
        <v>3.3000000000000002E-2</v>
      </c>
      <c r="P28" s="4">
        <v>0.46100000000000002</v>
      </c>
      <c r="Q28" s="4"/>
      <c r="R28" s="4">
        <v>0.58299999999999996</v>
      </c>
      <c r="S28" s="4">
        <v>0.75800000000000001</v>
      </c>
      <c r="T28" s="4">
        <v>0.48499999999999999</v>
      </c>
      <c r="U28" s="4">
        <v>0.36399999999999999</v>
      </c>
      <c r="V28" s="4">
        <v>0.42899999999999999</v>
      </c>
      <c r="W28" s="4">
        <v>0.39500000000000002</v>
      </c>
      <c r="X28" s="4"/>
      <c r="Y28" s="4">
        <v>0.63200000000000001</v>
      </c>
      <c r="Z28" s="4">
        <v>0.93500000000000005</v>
      </c>
      <c r="AA28" s="4"/>
      <c r="AB28" s="4">
        <v>0.14399999999999999</v>
      </c>
      <c r="AC28" s="4">
        <v>0.39300000000000002</v>
      </c>
      <c r="AD28" s="10">
        <f t="shared" si="1"/>
        <v>0.77168300000000012</v>
      </c>
      <c r="AE28" s="9"/>
      <c r="AF28" s="9"/>
      <c r="AG28" s="12">
        <f t="shared" si="2"/>
        <v>83</v>
      </c>
      <c r="AH28" s="12">
        <f t="shared" si="2"/>
        <v>86.8</v>
      </c>
      <c r="AI28" s="12">
        <f t="shared" si="2"/>
        <v>77</v>
      </c>
      <c r="AJ28" s="12">
        <f t="shared" si="2"/>
        <v>51.9</v>
      </c>
      <c r="AK28" s="12"/>
      <c r="AL28" s="12">
        <f t="shared" si="8"/>
        <v>38.700000000000003</v>
      </c>
      <c r="AM28" s="12">
        <f t="shared" si="8"/>
        <v>61.199999999999996</v>
      </c>
      <c r="AN28" s="12">
        <f t="shared" si="8"/>
        <v>43.1</v>
      </c>
      <c r="AO28" s="12">
        <f t="shared" si="8"/>
        <v>38.200000000000003</v>
      </c>
      <c r="AP28" s="12">
        <f t="shared" si="9"/>
        <v>43.1</v>
      </c>
      <c r="AQ28" s="12">
        <f t="shared" si="9"/>
        <v>61.199999999999996</v>
      </c>
      <c r="AR28" s="12"/>
      <c r="AS28" s="12">
        <f t="shared" si="10"/>
        <v>85.2</v>
      </c>
      <c r="AT28" s="12">
        <f t="shared" si="10"/>
        <v>82.5</v>
      </c>
      <c r="AU28" s="12">
        <f t="shared" si="10"/>
        <v>66.600000000000009</v>
      </c>
      <c r="AV28" s="12">
        <f t="shared" si="10"/>
        <v>52.400000000000006</v>
      </c>
      <c r="AW28" s="12">
        <f t="shared" si="11"/>
        <v>72.599999999999994</v>
      </c>
      <c r="AX28" s="12">
        <f t="shared" si="11"/>
        <v>80.300000000000011</v>
      </c>
      <c r="AY28" s="12"/>
      <c r="AZ28" s="12">
        <f t="shared" si="3"/>
        <v>48.699999999999996</v>
      </c>
      <c r="BA28" s="12">
        <f t="shared" si="4"/>
        <v>52</v>
      </c>
      <c r="BB28" s="12"/>
      <c r="BC28" s="12">
        <f t="shared" si="5"/>
        <v>28.4</v>
      </c>
      <c r="BD28" s="12">
        <f t="shared" si="6"/>
        <v>61.199999999999996</v>
      </c>
      <c r="BE28" s="12">
        <f t="shared" si="7"/>
        <v>41</v>
      </c>
    </row>
    <row r="29" spans="1:57" ht="15.75" customHeight="1" x14ac:dyDescent="0.25">
      <c r="A29" s="1" t="s">
        <v>90</v>
      </c>
      <c r="B29" s="3" t="s">
        <v>91</v>
      </c>
      <c r="C29" s="4" t="s">
        <v>8</v>
      </c>
      <c r="D29" s="4">
        <v>42</v>
      </c>
      <c r="E29" s="4">
        <v>1193</v>
      </c>
      <c r="F29" s="4">
        <v>42</v>
      </c>
      <c r="G29" s="4">
        <v>1193</v>
      </c>
      <c r="H29" s="4">
        <v>0.42399999999999999</v>
      </c>
      <c r="I29" s="4">
        <v>15.6</v>
      </c>
      <c r="J29" s="4"/>
      <c r="K29" s="4">
        <v>0.57599999999999996</v>
      </c>
      <c r="L29" s="4">
        <v>0.121</v>
      </c>
      <c r="M29" s="4">
        <v>0.307</v>
      </c>
      <c r="N29" s="4">
        <v>0.121</v>
      </c>
      <c r="O29" s="4">
        <v>2.5999999999999999E-2</v>
      </c>
      <c r="P29" s="4">
        <v>0.42399999999999999</v>
      </c>
      <c r="Q29" s="4"/>
      <c r="R29" s="4">
        <v>0.47499999999999998</v>
      </c>
      <c r="S29" s="4">
        <v>0.68100000000000005</v>
      </c>
      <c r="T29" s="4">
        <v>0.46200000000000002</v>
      </c>
      <c r="U29" s="4">
        <v>0.34</v>
      </c>
      <c r="V29" s="4">
        <v>0.3</v>
      </c>
      <c r="W29" s="4">
        <v>0.35399999999999998</v>
      </c>
      <c r="X29" s="4"/>
      <c r="Y29" s="4">
        <v>0.35799999999999998</v>
      </c>
      <c r="Z29" s="4">
        <v>0.81</v>
      </c>
      <c r="AA29" s="4"/>
      <c r="AB29" s="4">
        <v>6.7000000000000004E-2</v>
      </c>
      <c r="AC29" s="4">
        <v>0.45500000000000002</v>
      </c>
      <c r="AD29" s="10">
        <f t="shared" si="1"/>
        <v>0.54964800000000003</v>
      </c>
      <c r="AE29" s="9"/>
      <c r="AF29" s="9"/>
      <c r="AG29" s="12">
        <f t="shared" si="2"/>
        <v>83</v>
      </c>
      <c r="AH29" s="12">
        <f t="shared" si="2"/>
        <v>86.3</v>
      </c>
      <c r="AI29" s="12">
        <f t="shared" si="2"/>
        <v>39.800000000000004</v>
      </c>
      <c r="AJ29" s="12">
        <f t="shared" si="2"/>
        <v>61.7</v>
      </c>
      <c r="AK29" s="12"/>
      <c r="AL29" s="12">
        <f t="shared" si="8"/>
        <v>44.800000000000004</v>
      </c>
      <c r="AM29" s="12">
        <f t="shared" si="8"/>
        <v>24</v>
      </c>
      <c r="AN29" s="12">
        <f t="shared" si="8"/>
        <v>67.7</v>
      </c>
      <c r="AO29" s="12">
        <f t="shared" si="8"/>
        <v>81.399999999999991</v>
      </c>
      <c r="AP29" s="12">
        <f t="shared" si="9"/>
        <v>32.200000000000003</v>
      </c>
      <c r="AQ29" s="12">
        <f t="shared" si="9"/>
        <v>55.1</v>
      </c>
      <c r="AR29" s="12"/>
      <c r="AS29" s="12">
        <f t="shared" si="10"/>
        <v>30.599999999999998</v>
      </c>
      <c r="AT29" s="12">
        <f t="shared" si="10"/>
        <v>52.400000000000006</v>
      </c>
      <c r="AU29" s="12">
        <f t="shared" si="10"/>
        <v>56.2</v>
      </c>
      <c r="AV29" s="12">
        <f t="shared" si="10"/>
        <v>48</v>
      </c>
      <c r="AW29" s="12">
        <f t="shared" si="11"/>
        <v>45.9</v>
      </c>
      <c r="AX29" s="12">
        <f t="shared" si="11"/>
        <v>62.8</v>
      </c>
      <c r="AY29" s="12"/>
      <c r="AZ29" s="12">
        <f t="shared" si="3"/>
        <v>85.8</v>
      </c>
      <c r="BA29" s="12">
        <f t="shared" si="4"/>
        <v>74.900000000000006</v>
      </c>
      <c r="BB29" s="12"/>
      <c r="BC29" s="12">
        <f t="shared" si="5"/>
        <v>8.1</v>
      </c>
      <c r="BD29" s="12">
        <f t="shared" si="6"/>
        <v>75.900000000000006</v>
      </c>
      <c r="BE29" s="12">
        <f t="shared" si="7"/>
        <v>82.6</v>
      </c>
    </row>
    <row r="30" spans="1:57" ht="15.75" customHeight="1" x14ac:dyDescent="0.25">
      <c r="A30" s="1" t="s">
        <v>168</v>
      </c>
      <c r="B30" s="3" t="s">
        <v>137</v>
      </c>
      <c r="C30" s="4" t="s">
        <v>94</v>
      </c>
      <c r="D30" s="4">
        <v>41</v>
      </c>
      <c r="E30" s="4">
        <v>1178</v>
      </c>
      <c r="F30" s="4">
        <v>41</v>
      </c>
      <c r="G30" s="4">
        <v>1178</v>
      </c>
      <c r="H30" s="4">
        <v>0.46200000000000002</v>
      </c>
      <c r="I30" s="4">
        <v>12.4</v>
      </c>
      <c r="J30" s="4"/>
      <c r="K30" s="4">
        <v>0.61399999999999999</v>
      </c>
      <c r="L30" s="4">
        <v>0.23100000000000001</v>
      </c>
      <c r="M30" s="4">
        <v>0.32100000000000001</v>
      </c>
      <c r="N30" s="4">
        <v>4.7E-2</v>
      </c>
      <c r="O30" s="4">
        <v>1.6E-2</v>
      </c>
      <c r="P30" s="4">
        <v>0.38600000000000001</v>
      </c>
      <c r="Q30" s="4"/>
      <c r="R30" s="4">
        <v>0.51500000000000001</v>
      </c>
      <c r="S30" s="4">
        <v>0.69899999999999995</v>
      </c>
      <c r="T30" s="4">
        <v>0.434</v>
      </c>
      <c r="U30" s="4">
        <v>0.14299999999999999</v>
      </c>
      <c r="V30" s="4">
        <v>0.57099999999999995</v>
      </c>
      <c r="W30" s="4">
        <v>0.378</v>
      </c>
      <c r="X30" s="4"/>
      <c r="Y30" s="4">
        <v>0.51800000000000002</v>
      </c>
      <c r="Z30" s="4">
        <v>0.90800000000000003</v>
      </c>
      <c r="AA30" s="4"/>
      <c r="AB30" s="4">
        <v>0.186</v>
      </c>
      <c r="AC30" s="4">
        <v>0.438</v>
      </c>
      <c r="AD30" s="10">
        <f t="shared" si="1"/>
        <v>0.66854000000000002</v>
      </c>
      <c r="AE30" s="9"/>
      <c r="AF30" s="9"/>
      <c r="AG30" s="12">
        <f t="shared" si="2"/>
        <v>69.3</v>
      </c>
      <c r="AH30" s="12">
        <f t="shared" si="2"/>
        <v>85.7</v>
      </c>
      <c r="AI30" s="12">
        <f t="shared" si="2"/>
        <v>63.9</v>
      </c>
      <c r="AJ30" s="12">
        <f t="shared" si="2"/>
        <v>34.4</v>
      </c>
      <c r="AK30" s="12"/>
      <c r="AL30" s="12">
        <f t="shared" si="8"/>
        <v>55.1</v>
      </c>
      <c r="AM30" s="12">
        <f t="shared" si="8"/>
        <v>62.8</v>
      </c>
      <c r="AN30" s="12">
        <f t="shared" si="8"/>
        <v>72.099999999999994</v>
      </c>
      <c r="AO30" s="12">
        <f t="shared" si="8"/>
        <v>35.5</v>
      </c>
      <c r="AP30" s="12">
        <f t="shared" si="9"/>
        <v>18.5</v>
      </c>
      <c r="AQ30" s="12">
        <f t="shared" si="9"/>
        <v>44.2</v>
      </c>
      <c r="AR30" s="12"/>
      <c r="AS30" s="12">
        <f t="shared" si="10"/>
        <v>49.7</v>
      </c>
      <c r="AT30" s="12">
        <f t="shared" si="10"/>
        <v>61.199999999999996</v>
      </c>
      <c r="AU30" s="12">
        <f t="shared" si="10"/>
        <v>46.400000000000006</v>
      </c>
      <c r="AV30" s="12">
        <f t="shared" si="10"/>
        <v>21.3</v>
      </c>
      <c r="AW30" s="12">
        <f t="shared" si="11"/>
        <v>91.8</v>
      </c>
      <c r="AX30" s="12">
        <f t="shared" si="11"/>
        <v>73.7</v>
      </c>
      <c r="AY30" s="12"/>
      <c r="AZ30" s="12">
        <f t="shared" si="3"/>
        <v>65.099999999999994</v>
      </c>
      <c r="BA30" s="12">
        <f t="shared" si="4"/>
        <v>60.699999999999996</v>
      </c>
      <c r="BB30" s="12"/>
      <c r="BC30" s="12">
        <f t="shared" si="5"/>
        <v>50.8</v>
      </c>
      <c r="BD30" s="12">
        <f t="shared" si="6"/>
        <v>71</v>
      </c>
      <c r="BE30" s="12">
        <f t="shared" si="7"/>
        <v>66.699999999999989</v>
      </c>
    </row>
    <row r="31" spans="1:57" ht="15.75" customHeight="1" x14ac:dyDescent="0.25">
      <c r="A31" s="1" t="s">
        <v>169</v>
      </c>
      <c r="B31" s="3" t="s">
        <v>137</v>
      </c>
      <c r="C31" s="4" t="s">
        <v>85</v>
      </c>
      <c r="D31" s="4">
        <v>41</v>
      </c>
      <c r="E31" s="4">
        <v>1174</v>
      </c>
      <c r="F31" s="4">
        <v>41</v>
      </c>
      <c r="G31" s="4">
        <v>1174</v>
      </c>
      <c r="H31" s="4">
        <v>0.55200000000000005</v>
      </c>
      <c r="I31" s="4">
        <v>5.3</v>
      </c>
      <c r="J31" s="4"/>
      <c r="K31" s="4">
        <v>0.90800000000000003</v>
      </c>
      <c r="L31" s="4">
        <v>0.49399999999999999</v>
      </c>
      <c r="M31" s="4">
        <v>0.39700000000000002</v>
      </c>
      <c r="N31" s="4">
        <v>1.2E-2</v>
      </c>
      <c r="O31" s="4">
        <v>5.0000000000000001E-3</v>
      </c>
      <c r="P31" s="4">
        <v>9.1999999999999998E-2</v>
      </c>
      <c r="Q31" s="4"/>
      <c r="R31" s="4">
        <v>0.58399999999999996</v>
      </c>
      <c r="S31" s="4">
        <v>0.755</v>
      </c>
      <c r="T31" s="4">
        <v>0.38400000000000001</v>
      </c>
      <c r="U31" s="4">
        <v>0.4</v>
      </c>
      <c r="V31" s="4">
        <v>0</v>
      </c>
      <c r="W31" s="4">
        <v>0.23699999999999999</v>
      </c>
      <c r="X31" s="4"/>
      <c r="Y31" s="4">
        <v>0.74399999999999999</v>
      </c>
      <c r="Z31" s="4">
        <v>1</v>
      </c>
      <c r="AA31" s="4"/>
      <c r="AB31" s="4">
        <v>0.158</v>
      </c>
      <c r="AC31" s="4">
        <v>0.16700000000000001</v>
      </c>
      <c r="AD31" s="10">
        <f t="shared" si="1"/>
        <v>0.76755200000000001</v>
      </c>
      <c r="AE31" s="9"/>
      <c r="AF31" s="9"/>
      <c r="AG31" s="12">
        <f t="shared" si="2"/>
        <v>69.3</v>
      </c>
      <c r="AH31" s="12">
        <f t="shared" si="2"/>
        <v>85.2</v>
      </c>
      <c r="AI31" s="12">
        <f t="shared" si="2"/>
        <v>93.899999999999991</v>
      </c>
      <c r="AJ31" s="12">
        <f t="shared" si="2"/>
        <v>4.9000000000000004</v>
      </c>
      <c r="AK31" s="12"/>
      <c r="AL31" s="12">
        <f t="shared" si="8"/>
        <v>90.7</v>
      </c>
      <c r="AM31" s="12">
        <f t="shared" si="8"/>
        <v>96.1</v>
      </c>
      <c r="AN31" s="12">
        <f t="shared" si="8"/>
        <v>88.5</v>
      </c>
      <c r="AO31" s="12">
        <f t="shared" si="8"/>
        <v>7.1</v>
      </c>
      <c r="AP31" s="12">
        <f t="shared" si="9"/>
        <v>7.6</v>
      </c>
      <c r="AQ31" s="12">
        <f t="shared" si="9"/>
        <v>9.1999999999999993</v>
      </c>
      <c r="AR31" s="12"/>
      <c r="AS31" s="12">
        <f t="shared" si="10"/>
        <v>86.8</v>
      </c>
      <c r="AT31" s="12">
        <f t="shared" si="10"/>
        <v>81.899999999999991</v>
      </c>
      <c r="AU31" s="12">
        <f t="shared" si="10"/>
        <v>25.1</v>
      </c>
      <c r="AV31" s="12">
        <f t="shared" si="10"/>
        <v>59</v>
      </c>
      <c r="AW31" s="12">
        <f t="shared" si="11"/>
        <v>0</v>
      </c>
      <c r="AX31" s="12">
        <f t="shared" si="11"/>
        <v>14.7</v>
      </c>
      <c r="AY31" s="12"/>
      <c r="AZ31" s="12">
        <f t="shared" si="3"/>
        <v>24.099999999999994</v>
      </c>
      <c r="BA31" s="12">
        <f t="shared" si="4"/>
        <v>33.899999999999991</v>
      </c>
      <c r="BB31" s="12"/>
      <c r="BC31" s="12">
        <f t="shared" si="5"/>
        <v>38.200000000000003</v>
      </c>
      <c r="BD31" s="12">
        <f t="shared" si="6"/>
        <v>14.7</v>
      </c>
      <c r="BE31" s="12">
        <f t="shared" si="7"/>
        <v>42.1</v>
      </c>
    </row>
    <row r="32" spans="1:57" ht="15.75" customHeight="1" x14ac:dyDescent="0.25">
      <c r="A32" s="1" t="s">
        <v>113</v>
      </c>
      <c r="B32" s="3" t="s">
        <v>114</v>
      </c>
      <c r="C32" s="4" t="s">
        <v>8</v>
      </c>
      <c r="D32" s="4">
        <v>41</v>
      </c>
      <c r="E32" s="4">
        <v>1169</v>
      </c>
      <c r="F32" s="4">
        <v>41</v>
      </c>
      <c r="G32" s="4">
        <v>1169</v>
      </c>
      <c r="H32" s="4">
        <v>0.4</v>
      </c>
      <c r="I32" s="4">
        <v>13.9</v>
      </c>
      <c r="J32" s="4"/>
      <c r="K32" s="4">
        <v>0.628</v>
      </c>
      <c r="L32" s="4">
        <v>0.17699999999999999</v>
      </c>
      <c r="M32" s="4">
        <v>0.254</v>
      </c>
      <c r="N32" s="4">
        <v>0.11700000000000001</v>
      </c>
      <c r="O32" s="4">
        <v>8.1000000000000003E-2</v>
      </c>
      <c r="P32" s="4">
        <v>0.372</v>
      </c>
      <c r="Q32" s="4"/>
      <c r="R32" s="4">
        <v>0.45800000000000002</v>
      </c>
      <c r="S32" s="4">
        <v>0.628</v>
      </c>
      <c r="T32" s="4">
        <v>0.45200000000000001</v>
      </c>
      <c r="U32" s="4">
        <v>0.28999999999999998</v>
      </c>
      <c r="V32" s="4">
        <v>0.34899999999999998</v>
      </c>
      <c r="W32" s="4">
        <v>0.30299999999999999</v>
      </c>
      <c r="X32" s="4"/>
      <c r="Y32" s="4">
        <v>0.54200000000000004</v>
      </c>
      <c r="Z32" s="4">
        <v>0.73299999999999998</v>
      </c>
      <c r="AA32" s="4"/>
      <c r="AB32" s="4">
        <v>0.16200000000000001</v>
      </c>
      <c r="AC32" s="4">
        <v>0.28100000000000003</v>
      </c>
      <c r="AD32" s="10">
        <f t="shared" si="1"/>
        <v>0.61305199999999993</v>
      </c>
      <c r="AE32" s="9"/>
      <c r="AF32" s="9"/>
      <c r="AG32" s="12">
        <f t="shared" si="2"/>
        <v>69.3</v>
      </c>
      <c r="AH32" s="12">
        <f t="shared" si="2"/>
        <v>84.6</v>
      </c>
      <c r="AI32" s="12">
        <f t="shared" si="2"/>
        <v>26.700000000000003</v>
      </c>
      <c r="AJ32" s="12">
        <f t="shared" si="2"/>
        <v>47.5</v>
      </c>
      <c r="AK32" s="12"/>
      <c r="AL32" s="12">
        <f t="shared" si="8"/>
        <v>57.9</v>
      </c>
      <c r="AM32" s="12">
        <f t="shared" si="8"/>
        <v>44.800000000000004</v>
      </c>
      <c r="AN32" s="12">
        <f t="shared" si="8"/>
        <v>50.8</v>
      </c>
      <c r="AO32" s="12">
        <f t="shared" si="8"/>
        <v>79.2</v>
      </c>
      <c r="AP32" s="12">
        <f t="shared" si="9"/>
        <v>80.800000000000011</v>
      </c>
      <c r="AQ32" s="12">
        <f t="shared" si="9"/>
        <v>42</v>
      </c>
      <c r="AR32" s="12"/>
      <c r="AS32" s="12">
        <f t="shared" si="10"/>
        <v>20.7</v>
      </c>
      <c r="AT32" s="12">
        <f t="shared" si="10"/>
        <v>33.800000000000004</v>
      </c>
      <c r="AU32" s="12">
        <f t="shared" si="10"/>
        <v>51.300000000000004</v>
      </c>
      <c r="AV32" s="12">
        <f t="shared" si="10"/>
        <v>35.5</v>
      </c>
      <c r="AW32" s="12">
        <f t="shared" si="11"/>
        <v>56.8</v>
      </c>
      <c r="AX32" s="12">
        <f t="shared" si="11"/>
        <v>37.700000000000003</v>
      </c>
      <c r="AY32" s="12"/>
      <c r="AZ32" s="12">
        <f t="shared" si="3"/>
        <v>62.3</v>
      </c>
      <c r="BA32" s="12">
        <f t="shared" si="4"/>
        <v>82.6</v>
      </c>
      <c r="BB32" s="12"/>
      <c r="BC32" s="12">
        <f t="shared" si="5"/>
        <v>39.800000000000004</v>
      </c>
      <c r="BD32" s="12">
        <f t="shared" si="6"/>
        <v>33.800000000000004</v>
      </c>
      <c r="BE32" s="12">
        <f t="shared" si="7"/>
        <v>74.900000000000006</v>
      </c>
    </row>
    <row r="33" spans="1:57" ht="15.75" customHeight="1" x14ac:dyDescent="0.25">
      <c r="A33" s="1" t="s">
        <v>138</v>
      </c>
      <c r="B33" s="3" t="s">
        <v>114</v>
      </c>
      <c r="C33" s="4" t="s">
        <v>8</v>
      </c>
      <c r="D33" s="4">
        <v>39</v>
      </c>
      <c r="E33" s="4">
        <v>1166</v>
      </c>
      <c r="F33" s="4">
        <v>39</v>
      </c>
      <c r="G33" s="4">
        <v>1166</v>
      </c>
      <c r="H33" s="4">
        <v>0.434</v>
      </c>
      <c r="I33" s="4">
        <v>15.9</v>
      </c>
      <c r="J33" s="4"/>
      <c r="K33" s="4">
        <v>0.54400000000000004</v>
      </c>
      <c r="L33" s="4">
        <v>0.104</v>
      </c>
      <c r="M33" s="4">
        <v>0.27800000000000002</v>
      </c>
      <c r="N33" s="4">
        <v>0.11</v>
      </c>
      <c r="O33" s="4">
        <v>5.2999999999999999E-2</v>
      </c>
      <c r="P33" s="4">
        <v>0.45600000000000002</v>
      </c>
      <c r="Q33" s="4"/>
      <c r="R33" s="4">
        <v>0.52500000000000002</v>
      </c>
      <c r="S33" s="4">
        <v>0.73499999999999999</v>
      </c>
      <c r="T33" s="4">
        <v>0.51900000000000002</v>
      </c>
      <c r="U33" s="4">
        <v>0.42299999999999999</v>
      </c>
      <c r="V33" s="4">
        <v>0.36</v>
      </c>
      <c r="W33" s="4">
        <v>0.32600000000000001</v>
      </c>
      <c r="X33" s="4"/>
      <c r="Y33" s="4">
        <v>0.28100000000000003</v>
      </c>
      <c r="Z33" s="4">
        <v>0.74299999999999999</v>
      </c>
      <c r="AA33" s="4"/>
      <c r="AB33" s="4">
        <v>8.4000000000000005E-2</v>
      </c>
      <c r="AC33" s="4">
        <v>0.38900000000000001</v>
      </c>
      <c r="AD33" s="10">
        <f t="shared" si="1"/>
        <v>0.491672</v>
      </c>
      <c r="AE33" s="9"/>
      <c r="AF33" s="9"/>
      <c r="AG33" s="12">
        <f t="shared" si="2"/>
        <v>60.6</v>
      </c>
      <c r="AH33" s="12">
        <f t="shared" si="2"/>
        <v>84.1</v>
      </c>
      <c r="AI33" s="12">
        <f t="shared" si="2"/>
        <v>48</v>
      </c>
      <c r="AJ33" s="12">
        <f t="shared" si="2"/>
        <v>67.7</v>
      </c>
      <c r="AK33" s="12"/>
      <c r="AL33" s="12">
        <f t="shared" si="8"/>
        <v>39.300000000000004</v>
      </c>
      <c r="AM33" s="12">
        <f t="shared" si="8"/>
        <v>17.399999999999999</v>
      </c>
      <c r="AN33" s="12">
        <f t="shared" si="8"/>
        <v>59</v>
      </c>
      <c r="AO33" s="12">
        <f t="shared" si="8"/>
        <v>75.400000000000006</v>
      </c>
      <c r="AP33" s="12">
        <f t="shared" si="9"/>
        <v>63.9</v>
      </c>
      <c r="AQ33" s="12">
        <f t="shared" si="9"/>
        <v>60.099999999999994</v>
      </c>
      <c r="AR33" s="12"/>
      <c r="AS33" s="12">
        <f t="shared" si="10"/>
        <v>57.9</v>
      </c>
      <c r="AT33" s="12">
        <f t="shared" si="10"/>
        <v>73.7</v>
      </c>
      <c r="AU33" s="12">
        <f t="shared" si="10"/>
        <v>80.800000000000011</v>
      </c>
      <c r="AV33" s="12">
        <f t="shared" si="10"/>
        <v>67.2</v>
      </c>
      <c r="AW33" s="12">
        <f t="shared" si="11"/>
        <v>57.9</v>
      </c>
      <c r="AX33" s="12">
        <f t="shared" si="11"/>
        <v>48.6</v>
      </c>
      <c r="AY33" s="12"/>
      <c r="AZ33" s="12">
        <f t="shared" si="3"/>
        <v>91.3</v>
      </c>
      <c r="BA33" s="12">
        <f t="shared" si="4"/>
        <v>81.5</v>
      </c>
      <c r="BB33" s="12"/>
      <c r="BC33" s="12">
        <f t="shared" si="5"/>
        <v>12</v>
      </c>
      <c r="BD33" s="12">
        <f t="shared" si="6"/>
        <v>60.099999999999994</v>
      </c>
      <c r="BE33" s="12">
        <f t="shared" si="7"/>
        <v>90.8</v>
      </c>
    </row>
    <row r="34" spans="1:57" ht="15.75" customHeight="1" x14ac:dyDescent="0.25">
      <c r="A34" s="1" t="s">
        <v>224</v>
      </c>
      <c r="B34" s="3" t="s">
        <v>131</v>
      </c>
      <c r="C34" s="4" t="s">
        <v>8</v>
      </c>
      <c r="D34" s="4">
        <v>40</v>
      </c>
      <c r="E34" s="4">
        <v>1127</v>
      </c>
      <c r="F34" s="4">
        <v>40</v>
      </c>
      <c r="G34" s="4">
        <v>1127</v>
      </c>
      <c r="H34" s="4">
        <v>0.49</v>
      </c>
      <c r="I34" s="4">
        <v>15</v>
      </c>
      <c r="J34" s="4"/>
      <c r="K34" s="4">
        <v>0.58799999999999997</v>
      </c>
      <c r="L34" s="4">
        <v>0.23200000000000001</v>
      </c>
      <c r="M34" s="4">
        <v>0.13700000000000001</v>
      </c>
      <c r="N34" s="4">
        <v>9.1999999999999998E-2</v>
      </c>
      <c r="O34" s="4">
        <v>0.127</v>
      </c>
      <c r="P34" s="4">
        <v>0.41199999999999998</v>
      </c>
      <c r="Q34" s="4"/>
      <c r="R34" s="4">
        <v>0.58299999999999996</v>
      </c>
      <c r="S34" s="4">
        <v>0.76100000000000001</v>
      </c>
      <c r="T34" s="4">
        <v>0.42899999999999999</v>
      </c>
      <c r="U34" s="4">
        <v>0.46400000000000002</v>
      </c>
      <c r="V34" s="4">
        <v>0.51300000000000001</v>
      </c>
      <c r="W34" s="4">
        <v>0.35699999999999998</v>
      </c>
      <c r="X34" s="4"/>
      <c r="Y34" s="4">
        <v>0.35199999999999998</v>
      </c>
      <c r="Z34" s="4">
        <v>0.68899999999999995</v>
      </c>
      <c r="AA34" s="4"/>
      <c r="AB34" s="4">
        <v>7.0999999999999994E-2</v>
      </c>
      <c r="AC34" s="4">
        <v>0.33300000000000002</v>
      </c>
      <c r="AD34" s="10">
        <f t="shared" si="1"/>
        <v>0.49084399999999995</v>
      </c>
      <c r="AE34" s="9"/>
      <c r="AF34" s="9"/>
      <c r="AG34" s="12">
        <f t="shared" si="2"/>
        <v>63.9</v>
      </c>
      <c r="AH34" s="12">
        <f t="shared" si="2"/>
        <v>83.6</v>
      </c>
      <c r="AI34" s="12">
        <f t="shared" si="2"/>
        <v>73.7</v>
      </c>
      <c r="AJ34" s="12">
        <f t="shared" si="2"/>
        <v>58.4</v>
      </c>
      <c r="AK34" s="12"/>
      <c r="AL34" s="12">
        <f t="shared" si="8"/>
        <v>49.1</v>
      </c>
      <c r="AM34" s="12">
        <f t="shared" si="8"/>
        <v>63.3</v>
      </c>
      <c r="AN34" s="12">
        <f t="shared" si="8"/>
        <v>12.5</v>
      </c>
      <c r="AO34" s="12">
        <f t="shared" si="8"/>
        <v>67.7</v>
      </c>
      <c r="AP34" s="12">
        <f t="shared" si="9"/>
        <v>94.5</v>
      </c>
      <c r="AQ34" s="12">
        <f t="shared" si="9"/>
        <v>50.8</v>
      </c>
      <c r="AR34" s="12"/>
      <c r="AS34" s="12">
        <f t="shared" si="10"/>
        <v>85.2</v>
      </c>
      <c r="AT34" s="12">
        <f t="shared" si="10"/>
        <v>83.6</v>
      </c>
      <c r="AU34" s="12">
        <f t="shared" si="10"/>
        <v>42.6</v>
      </c>
      <c r="AV34" s="12">
        <f t="shared" si="10"/>
        <v>74.8</v>
      </c>
      <c r="AW34" s="12">
        <f t="shared" si="11"/>
        <v>87.4</v>
      </c>
      <c r="AX34" s="12">
        <f t="shared" si="11"/>
        <v>63.9</v>
      </c>
      <c r="AY34" s="12"/>
      <c r="AZ34" s="12">
        <f t="shared" si="3"/>
        <v>87.5</v>
      </c>
      <c r="BA34" s="12">
        <f t="shared" si="4"/>
        <v>86.4</v>
      </c>
      <c r="BB34" s="12"/>
      <c r="BC34" s="12">
        <f t="shared" si="5"/>
        <v>9.1999999999999993</v>
      </c>
      <c r="BD34" s="12">
        <f t="shared" si="6"/>
        <v>44.2</v>
      </c>
      <c r="BE34" s="12">
        <f t="shared" si="7"/>
        <v>91.3</v>
      </c>
    </row>
    <row r="35" spans="1:57" ht="15.75" customHeight="1" x14ac:dyDescent="0.25">
      <c r="A35" s="1" t="s">
        <v>173</v>
      </c>
      <c r="B35" s="3" t="s">
        <v>140</v>
      </c>
      <c r="C35" s="4" t="s">
        <v>85</v>
      </c>
      <c r="D35" s="4">
        <v>39</v>
      </c>
      <c r="E35" s="4">
        <v>1104</v>
      </c>
      <c r="F35" s="4">
        <v>39</v>
      </c>
      <c r="G35" s="4">
        <v>1104</v>
      </c>
      <c r="H35" s="4">
        <v>0.51800000000000002</v>
      </c>
      <c r="I35" s="4">
        <v>6.5</v>
      </c>
      <c r="J35" s="4"/>
      <c r="K35" s="4">
        <v>0.90500000000000003</v>
      </c>
      <c r="L35" s="4">
        <v>0.42299999999999999</v>
      </c>
      <c r="M35" s="4">
        <v>0.36499999999999999</v>
      </c>
      <c r="N35" s="4">
        <v>8.7999999999999995E-2</v>
      </c>
      <c r="O35" s="4">
        <v>2.9000000000000001E-2</v>
      </c>
      <c r="P35" s="4">
        <v>9.5000000000000001E-2</v>
      </c>
      <c r="Q35" s="4"/>
      <c r="R35" s="4">
        <v>0.53500000000000003</v>
      </c>
      <c r="S35" s="4">
        <v>0.71199999999999997</v>
      </c>
      <c r="T35" s="4">
        <v>0.39400000000000002</v>
      </c>
      <c r="U35" s="4">
        <v>0.32500000000000001</v>
      </c>
      <c r="V35" s="4">
        <v>0.38500000000000001</v>
      </c>
      <c r="W35" s="4">
        <v>0.34899999999999998</v>
      </c>
      <c r="X35" s="4"/>
      <c r="Y35" s="4">
        <v>0.65800000000000003</v>
      </c>
      <c r="Z35" s="4">
        <v>1</v>
      </c>
      <c r="AA35" s="4"/>
      <c r="AB35" s="4">
        <v>0.23300000000000001</v>
      </c>
      <c r="AC35" s="4">
        <v>0.3</v>
      </c>
      <c r="AD35" s="10">
        <f t="shared" si="1"/>
        <v>0.69049000000000005</v>
      </c>
      <c r="AE35" s="9"/>
      <c r="AF35" s="9"/>
      <c r="AG35" s="12">
        <f t="shared" si="2"/>
        <v>60.6</v>
      </c>
      <c r="AH35" s="12">
        <f t="shared" si="2"/>
        <v>83</v>
      </c>
      <c r="AI35" s="12">
        <f t="shared" si="2"/>
        <v>84.1</v>
      </c>
      <c r="AJ35" s="12">
        <f t="shared" si="2"/>
        <v>8.1</v>
      </c>
      <c r="AK35" s="12"/>
      <c r="AL35" s="12">
        <f t="shared" si="8"/>
        <v>90.100000000000009</v>
      </c>
      <c r="AM35" s="12">
        <f t="shared" si="8"/>
        <v>92.300000000000011</v>
      </c>
      <c r="AN35" s="12">
        <f t="shared" si="8"/>
        <v>81.899999999999991</v>
      </c>
      <c r="AO35" s="12">
        <f t="shared" si="8"/>
        <v>62.8</v>
      </c>
      <c r="AP35" s="12">
        <f t="shared" si="9"/>
        <v>37.1</v>
      </c>
      <c r="AQ35" s="12">
        <f t="shared" si="9"/>
        <v>9.8000000000000007</v>
      </c>
      <c r="AR35" s="12"/>
      <c r="AS35" s="12">
        <f t="shared" si="10"/>
        <v>65</v>
      </c>
      <c r="AT35" s="12">
        <f t="shared" si="10"/>
        <v>65</v>
      </c>
      <c r="AU35" s="12">
        <f t="shared" si="10"/>
        <v>30.599999999999998</v>
      </c>
      <c r="AV35" s="12">
        <f t="shared" si="10"/>
        <v>40.400000000000006</v>
      </c>
      <c r="AW35" s="12">
        <f t="shared" si="11"/>
        <v>60.6</v>
      </c>
      <c r="AX35" s="12">
        <f t="shared" si="11"/>
        <v>60.6</v>
      </c>
      <c r="AY35" s="12"/>
      <c r="AZ35" s="12">
        <f t="shared" si="3"/>
        <v>44.3</v>
      </c>
      <c r="BA35" s="12">
        <f t="shared" si="4"/>
        <v>33.899999999999991</v>
      </c>
      <c r="BB35" s="12"/>
      <c r="BC35" s="12">
        <f t="shared" si="5"/>
        <v>66.100000000000009</v>
      </c>
      <c r="BD35" s="12">
        <f t="shared" si="6"/>
        <v>39.300000000000004</v>
      </c>
      <c r="BE35" s="12">
        <f t="shared" si="7"/>
        <v>60.699999999999996</v>
      </c>
    </row>
    <row r="36" spans="1:57" ht="15.75" customHeight="1" x14ac:dyDescent="0.25">
      <c r="A36" s="1" t="s">
        <v>111</v>
      </c>
      <c r="B36" s="3" t="s">
        <v>240</v>
      </c>
      <c r="C36" s="4" t="s">
        <v>112</v>
      </c>
      <c r="D36" s="4">
        <v>41</v>
      </c>
      <c r="E36" s="4">
        <v>1099</v>
      </c>
      <c r="F36" s="4">
        <v>41</v>
      </c>
      <c r="G36" s="4">
        <v>1099</v>
      </c>
      <c r="H36" s="4">
        <v>0.40500000000000003</v>
      </c>
      <c r="I36" s="4">
        <v>15.9</v>
      </c>
      <c r="J36" s="4"/>
      <c r="K36" s="4">
        <v>0.49</v>
      </c>
      <c r="L36" s="4">
        <v>0.191</v>
      </c>
      <c r="M36" s="4">
        <v>0.191</v>
      </c>
      <c r="N36" s="4">
        <v>5.0999999999999997E-2</v>
      </c>
      <c r="O36" s="4">
        <v>5.7000000000000002E-2</v>
      </c>
      <c r="P36" s="4">
        <v>0.51</v>
      </c>
      <c r="Q36" s="4"/>
      <c r="R36" s="4">
        <v>0.54100000000000004</v>
      </c>
      <c r="S36" s="4">
        <v>0.77600000000000002</v>
      </c>
      <c r="T36" s="4">
        <v>0.44800000000000001</v>
      </c>
      <c r="U36" s="4">
        <v>0.27800000000000002</v>
      </c>
      <c r="V36" s="4">
        <v>0.3</v>
      </c>
      <c r="W36" s="4">
        <v>0.27400000000000002</v>
      </c>
      <c r="X36" s="4"/>
      <c r="Y36" s="4">
        <v>0.69899999999999995</v>
      </c>
      <c r="Z36" s="4">
        <v>0.93899999999999995</v>
      </c>
      <c r="AA36" s="4"/>
      <c r="AB36" s="4">
        <v>0.27900000000000003</v>
      </c>
      <c r="AC36" s="4">
        <v>0.28000000000000003</v>
      </c>
      <c r="AD36" s="10">
        <f t="shared" si="1"/>
        <v>0.82139999999999991</v>
      </c>
      <c r="AE36" s="9"/>
      <c r="AF36" s="9"/>
      <c r="AG36" s="12">
        <f t="shared" si="2"/>
        <v>69.3</v>
      </c>
      <c r="AH36" s="12">
        <f t="shared" si="2"/>
        <v>82.5</v>
      </c>
      <c r="AI36" s="12">
        <f t="shared" si="2"/>
        <v>32.200000000000003</v>
      </c>
      <c r="AJ36" s="12">
        <f t="shared" si="2"/>
        <v>67.7</v>
      </c>
      <c r="AK36" s="12"/>
      <c r="AL36" s="12">
        <f t="shared" si="8"/>
        <v>25.6</v>
      </c>
      <c r="AM36" s="12">
        <f t="shared" si="8"/>
        <v>46.9</v>
      </c>
      <c r="AN36" s="12">
        <f t="shared" si="8"/>
        <v>29.5</v>
      </c>
      <c r="AO36" s="12">
        <f t="shared" si="8"/>
        <v>37.700000000000003</v>
      </c>
      <c r="AP36" s="12">
        <f t="shared" si="9"/>
        <v>67.7</v>
      </c>
      <c r="AQ36" s="12">
        <f t="shared" si="9"/>
        <v>74.3</v>
      </c>
      <c r="AR36" s="12"/>
      <c r="AS36" s="12">
        <f t="shared" si="10"/>
        <v>68.300000000000011</v>
      </c>
      <c r="AT36" s="12">
        <f t="shared" si="10"/>
        <v>85.7</v>
      </c>
      <c r="AU36" s="12">
        <f t="shared" si="10"/>
        <v>50.2</v>
      </c>
      <c r="AV36" s="12">
        <f t="shared" si="10"/>
        <v>32.200000000000003</v>
      </c>
      <c r="AW36" s="12">
        <f t="shared" si="11"/>
        <v>45.9</v>
      </c>
      <c r="AX36" s="12">
        <f t="shared" si="11"/>
        <v>25.1</v>
      </c>
      <c r="AY36" s="12"/>
      <c r="AZ36" s="12">
        <f t="shared" si="3"/>
        <v>33.899999999999991</v>
      </c>
      <c r="BA36" s="12">
        <f t="shared" si="4"/>
        <v>49.2</v>
      </c>
      <c r="BB36" s="12"/>
      <c r="BC36" s="12">
        <f t="shared" si="5"/>
        <v>74.3</v>
      </c>
      <c r="BD36" s="12">
        <f t="shared" si="6"/>
        <v>33.300000000000004</v>
      </c>
      <c r="BE36" s="12">
        <f t="shared" si="7"/>
        <v>27.900000000000006</v>
      </c>
    </row>
    <row r="37" spans="1:57" ht="15.75" customHeight="1" x14ac:dyDescent="0.25">
      <c r="A37" s="1" t="s">
        <v>177</v>
      </c>
      <c r="B37" s="3" t="s">
        <v>131</v>
      </c>
      <c r="C37" s="4" t="s">
        <v>88</v>
      </c>
      <c r="D37" s="4">
        <v>41</v>
      </c>
      <c r="E37" s="4">
        <v>1082</v>
      </c>
      <c r="F37" s="4">
        <v>41</v>
      </c>
      <c r="G37" s="4">
        <v>1082</v>
      </c>
      <c r="H37" s="4">
        <v>0.54800000000000004</v>
      </c>
      <c r="I37" s="4">
        <v>2.8</v>
      </c>
      <c r="J37" s="4"/>
      <c r="K37" s="4">
        <v>1</v>
      </c>
      <c r="L37" s="4">
        <v>0.68400000000000005</v>
      </c>
      <c r="M37" s="4">
        <v>0.29199999999999998</v>
      </c>
      <c r="N37" s="4">
        <v>2.1999999999999999E-2</v>
      </c>
      <c r="O37" s="4">
        <v>2E-3</v>
      </c>
      <c r="P37" s="4">
        <v>0</v>
      </c>
      <c r="Q37" s="4"/>
      <c r="R37" s="4">
        <v>0.54800000000000004</v>
      </c>
      <c r="S37" s="4">
        <v>0.61499999999999999</v>
      </c>
      <c r="T37" s="4">
        <v>0.41799999999999998</v>
      </c>
      <c r="U37" s="4">
        <v>0.222</v>
      </c>
      <c r="V37" s="4">
        <v>0</v>
      </c>
      <c r="W37" s="4">
        <v>0</v>
      </c>
      <c r="X37" s="4"/>
      <c r="Y37" s="4">
        <v>0.78200000000000003</v>
      </c>
      <c r="Z37" s="4">
        <v>0</v>
      </c>
      <c r="AA37" s="4"/>
      <c r="AB37" s="4">
        <v>0</v>
      </c>
      <c r="AC37" s="4">
        <v>0</v>
      </c>
      <c r="AD37" s="10">
        <f t="shared" si="1"/>
        <v>0.78200000000000003</v>
      </c>
      <c r="AE37" s="9"/>
      <c r="AF37" s="9"/>
      <c r="AG37" s="12">
        <f t="shared" si="2"/>
        <v>69.3</v>
      </c>
      <c r="AH37" s="12">
        <f t="shared" si="2"/>
        <v>81.899999999999991</v>
      </c>
      <c r="AI37" s="12">
        <f t="shared" si="2"/>
        <v>91.8</v>
      </c>
      <c r="AJ37" s="12">
        <f t="shared" si="2"/>
        <v>0</v>
      </c>
      <c r="AK37" s="12"/>
      <c r="AL37" s="12">
        <f t="shared" si="8"/>
        <v>97.8</v>
      </c>
      <c r="AM37" s="12">
        <f t="shared" si="8"/>
        <v>100</v>
      </c>
      <c r="AN37" s="12">
        <f t="shared" si="8"/>
        <v>62.8</v>
      </c>
      <c r="AO37" s="12">
        <f t="shared" si="8"/>
        <v>14.2</v>
      </c>
      <c r="AP37" s="12">
        <f t="shared" si="9"/>
        <v>7.1</v>
      </c>
      <c r="AQ37" s="12">
        <f t="shared" si="9"/>
        <v>0</v>
      </c>
      <c r="AR37" s="12"/>
      <c r="AS37" s="12">
        <f t="shared" si="10"/>
        <v>71.5</v>
      </c>
      <c r="AT37" s="12">
        <f t="shared" si="10"/>
        <v>31.6</v>
      </c>
      <c r="AU37" s="12">
        <f t="shared" si="10"/>
        <v>39.300000000000004</v>
      </c>
      <c r="AV37" s="12">
        <f t="shared" si="10"/>
        <v>26.700000000000003</v>
      </c>
      <c r="AW37" s="12">
        <f t="shared" si="11"/>
        <v>0</v>
      </c>
      <c r="AX37" s="12">
        <f t="shared" si="11"/>
        <v>0</v>
      </c>
      <c r="AY37" s="12"/>
      <c r="AZ37" s="12">
        <f t="shared" si="3"/>
        <v>17</v>
      </c>
      <c r="BA37" s="12">
        <f t="shared" si="4"/>
        <v>100</v>
      </c>
      <c r="BB37" s="12"/>
      <c r="BC37" s="12">
        <f t="shared" si="5"/>
        <v>0</v>
      </c>
      <c r="BD37" s="12">
        <f t="shared" si="6"/>
        <v>0</v>
      </c>
      <c r="BE37" s="12">
        <f t="shared" si="7"/>
        <v>36.700000000000003</v>
      </c>
    </row>
    <row r="38" spans="1:57" ht="15.75" customHeight="1" x14ac:dyDescent="0.25">
      <c r="A38" s="1" t="s">
        <v>198</v>
      </c>
      <c r="B38" s="3" t="s">
        <v>137</v>
      </c>
      <c r="C38" s="4" t="s">
        <v>8</v>
      </c>
      <c r="D38" s="4">
        <v>41</v>
      </c>
      <c r="E38" s="4">
        <v>1081</v>
      </c>
      <c r="F38" s="4">
        <v>41</v>
      </c>
      <c r="G38" s="4">
        <v>1081</v>
      </c>
      <c r="H38" s="4">
        <v>0.40200000000000002</v>
      </c>
      <c r="I38" s="4">
        <v>17.2</v>
      </c>
      <c r="J38" s="4"/>
      <c r="K38" s="4">
        <v>0.46800000000000003</v>
      </c>
      <c r="L38" s="4">
        <v>0.14799999999999999</v>
      </c>
      <c r="M38" s="4">
        <v>0.17799999999999999</v>
      </c>
      <c r="N38" s="4">
        <v>9.0999999999999998E-2</v>
      </c>
      <c r="O38" s="4">
        <v>5.0999999999999997E-2</v>
      </c>
      <c r="P38" s="4">
        <v>0.53200000000000003</v>
      </c>
      <c r="Q38" s="4"/>
      <c r="R38" s="4">
        <v>0.49</v>
      </c>
      <c r="S38" s="4">
        <v>0.61199999999999999</v>
      </c>
      <c r="T38" s="4">
        <v>0.39</v>
      </c>
      <c r="U38" s="4">
        <v>0.53300000000000003</v>
      </c>
      <c r="V38" s="4">
        <v>0.41199999999999998</v>
      </c>
      <c r="W38" s="4">
        <v>0.32400000000000001</v>
      </c>
      <c r="X38" s="4"/>
      <c r="Y38" s="4">
        <v>0.42099999999999999</v>
      </c>
      <c r="Z38" s="4">
        <v>0.71899999999999997</v>
      </c>
      <c r="AA38" s="4"/>
      <c r="AB38" s="4">
        <v>0.08</v>
      </c>
      <c r="AC38" s="4">
        <v>0.28599999999999998</v>
      </c>
      <c r="AD38" s="10">
        <f t="shared" si="1"/>
        <v>0.57953600000000005</v>
      </c>
      <c r="AE38" s="9"/>
      <c r="AF38" s="9"/>
      <c r="AG38" s="12">
        <f t="shared" si="2"/>
        <v>69.3</v>
      </c>
      <c r="AH38" s="12">
        <f t="shared" si="2"/>
        <v>81.399999999999991</v>
      </c>
      <c r="AI38" s="12">
        <f t="shared" si="2"/>
        <v>28.9</v>
      </c>
      <c r="AJ38" s="12">
        <f t="shared" si="2"/>
        <v>79.7</v>
      </c>
      <c r="AK38" s="12"/>
      <c r="AL38" s="12">
        <f t="shared" si="8"/>
        <v>21.8</v>
      </c>
      <c r="AM38" s="12">
        <f t="shared" si="8"/>
        <v>33.800000000000004</v>
      </c>
      <c r="AN38" s="12">
        <f t="shared" si="8"/>
        <v>24.5</v>
      </c>
      <c r="AO38" s="12">
        <f t="shared" si="8"/>
        <v>65.5</v>
      </c>
      <c r="AP38" s="12">
        <f t="shared" si="9"/>
        <v>60.6</v>
      </c>
      <c r="AQ38" s="12">
        <f t="shared" si="9"/>
        <v>78.100000000000009</v>
      </c>
      <c r="AR38" s="12"/>
      <c r="AS38" s="12">
        <f t="shared" si="10"/>
        <v>39.300000000000004</v>
      </c>
      <c r="AT38" s="12">
        <f t="shared" si="10"/>
        <v>30.599999999999998</v>
      </c>
      <c r="AU38" s="12">
        <f t="shared" si="10"/>
        <v>28.9</v>
      </c>
      <c r="AV38" s="12">
        <f t="shared" si="10"/>
        <v>88.5</v>
      </c>
      <c r="AW38" s="12">
        <f t="shared" si="11"/>
        <v>69.3</v>
      </c>
      <c r="AX38" s="12">
        <f t="shared" si="11"/>
        <v>45.9</v>
      </c>
      <c r="AY38" s="12"/>
      <c r="AZ38" s="12">
        <f t="shared" si="3"/>
        <v>79.8</v>
      </c>
      <c r="BA38" s="12">
        <f t="shared" si="4"/>
        <v>84.7</v>
      </c>
      <c r="BB38" s="12"/>
      <c r="BC38" s="12">
        <f t="shared" si="5"/>
        <v>10.9</v>
      </c>
      <c r="BD38" s="12">
        <f t="shared" si="6"/>
        <v>34.4</v>
      </c>
      <c r="BE38" s="12">
        <f t="shared" si="7"/>
        <v>79.8</v>
      </c>
    </row>
    <row r="39" spans="1:57" ht="15.75" customHeight="1" x14ac:dyDescent="0.25">
      <c r="A39" s="1" t="s">
        <v>185</v>
      </c>
      <c r="B39" s="3" t="s">
        <v>137</v>
      </c>
      <c r="C39" s="4" t="s">
        <v>8</v>
      </c>
      <c r="D39" s="4">
        <v>40</v>
      </c>
      <c r="E39" s="4">
        <v>1076</v>
      </c>
      <c r="F39" s="4">
        <v>40</v>
      </c>
      <c r="G39" s="4">
        <v>1076</v>
      </c>
      <c r="H39" s="4">
        <v>0.38</v>
      </c>
      <c r="I39" s="4">
        <v>17.600000000000001</v>
      </c>
      <c r="J39" s="4"/>
      <c r="K39" s="4">
        <v>0.48099999999999998</v>
      </c>
      <c r="L39" s="4">
        <v>9.8000000000000004E-2</v>
      </c>
      <c r="M39" s="4">
        <v>0.155</v>
      </c>
      <c r="N39" s="4">
        <v>0.13</v>
      </c>
      <c r="O39" s="4">
        <v>9.8000000000000004E-2</v>
      </c>
      <c r="P39" s="4">
        <v>0.51900000000000002</v>
      </c>
      <c r="Q39" s="4"/>
      <c r="R39" s="4">
        <v>0.48699999999999999</v>
      </c>
      <c r="S39" s="4">
        <v>0.80600000000000005</v>
      </c>
      <c r="T39" s="4">
        <v>0.40799999999999997</v>
      </c>
      <c r="U39" s="4">
        <v>0.39</v>
      </c>
      <c r="V39" s="4">
        <v>0.41899999999999998</v>
      </c>
      <c r="W39" s="4">
        <v>0.28000000000000003</v>
      </c>
      <c r="X39" s="4"/>
      <c r="Y39" s="4">
        <v>0.67600000000000005</v>
      </c>
      <c r="Z39" s="4">
        <v>1</v>
      </c>
      <c r="AA39" s="4"/>
      <c r="AB39" s="4">
        <v>0.22600000000000001</v>
      </c>
      <c r="AC39" s="4">
        <v>0.32400000000000001</v>
      </c>
      <c r="AD39" s="10">
        <f t="shared" si="1"/>
        <v>0.84415600000000002</v>
      </c>
      <c r="AE39" s="9"/>
      <c r="AF39" s="9"/>
      <c r="AG39" s="12">
        <f t="shared" si="2"/>
        <v>63.9</v>
      </c>
      <c r="AH39" s="12">
        <f t="shared" si="2"/>
        <v>80.800000000000011</v>
      </c>
      <c r="AI39" s="12">
        <f t="shared" si="2"/>
        <v>19.600000000000001</v>
      </c>
      <c r="AJ39" s="12">
        <f t="shared" si="2"/>
        <v>81.399999999999991</v>
      </c>
      <c r="AK39" s="12"/>
      <c r="AL39" s="12">
        <f t="shared" si="8"/>
        <v>25.1</v>
      </c>
      <c r="AM39" s="12">
        <f t="shared" si="8"/>
        <v>14.2</v>
      </c>
      <c r="AN39" s="12">
        <f t="shared" si="8"/>
        <v>19.100000000000001</v>
      </c>
      <c r="AO39" s="12">
        <f t="shared" si="8"/>
        <v>83</v>
      </c>
      <c r="AP39" s="12">
        <f t="shared" si="9"/>
        <v>88.5</v>
      </c>
      <c r="AQ39" s="12">
        <f t="shared" si="9"/>
        <v>74.8</v>
      </c>
      <c r="AR39" s="12"/>
      <c r="AS39" s="12">
        <f t="shared" si="10"/>
        <v>38.200000000000003</v>
      </c>
      <c r="AT39" s="12">
        <f t="shared" si="10"/>
        <v>89.600000000000009</v>
      </c>
      <c r="AU39" s="12">
        <f t="shared" si="10"/>
        <v>37.1</v>
      </c>
      <c r="AV39" s="12">
        <f t="shared" si="10"/>
        <v>56.2</v>
      </c>
      <c r="AW39" s="12">
        <f t="shared" si="11"/>
        <v>72.099999999999994</v>
      </c>
      <c r="AX39" s="12">
        <f t="shared" si="11"/>
        <v>28.4</v>
      </c>
      <c r="AY39" s="12"/>
      <c r="AZ39" s="12">
        <f t="shared" si="3"/>
        <v>39.4</v>
      </c>
      <c r="BA39" s="12">
        <f t="shared" si="4"/>
        <v>33.899999999999991</v>
      </c>
      <c r="BB39" s="12"/>
      <c r="BC39" s="12">
        <f t="shared" si="5"/>
        <v>63.3</v>
      </c>
      <c r="BD39" s="12">
        <f t="shared" si="6"/>
        <v>43.7</v>
      </c>
      <c r="BE39" s="12">
        <f t="shared" si="7"/>
        <v>23.5</v>
      </c>
    </row>
    <row r="40" spans="1:57" ht="15.75" customHeight="1" x14ac:dyDescent="0.25">
      <c r="A40" s="1" t="s">
        <v>219</v>
      </c>
      <c r="B40" s="3" t="s">
        <v>161</v>
      </c>
      <c r="C40" s="4" t="s">
        <v>85</v>
      </c>
      <c r="D40" s="4">
        <v>42</v>
      </c>
      <c r="E40" s="4">
        <v>1058</v>
      </c>
      <c r="F40" s="4">
        <v>42</v>
      </c>
      <c r="G40" s="4">
        <v>1058</v>
      </c>
      <c r="H40" s="4">
        <v>0.47799999999999998</v>
      </c>
      <c r="I40" s="4">
        <v>12.2</v>
      </c>
      <c r="J40" s="4"/>
      <c r="K40" s="4">
        <v>0.61599999999999999</v>
      </c>
      <c r="L40" s="4">
        <v>0.311</v>
      </c>
      <c r="M40" s="4">
        <v>0.26100000000000001</v>
      </c>
      <c r="N40" s="4">
        <v>2.9000000000000001E-2</v>
      </c>
      <c r="O40" s="4">
        <v>1.4999999999999999E-2</v>
      </c>
      <c r="P40" s="4">
        <v>0.38400000000000001</v>
      </c>
      <c r="Q40" s="4"/>
      <c r="R40" s="4">
        <v>0.58099999999999996</v>
      </c>
      <c r="S40" s="4">
        <v>0.64200000000000002</v>
      </c>
      <c r="T40" s="4">
        <v>0.55100000000000005</v>
      </c>
      <c r="U40" s="4">
        <v>0.3</v>
      </c>
      <c r="V40" s="4">
        <v>0.4</v>
      </c>
      <c r="W40" s="4">
        <v>0.313</v>
      </c>
      <c r="X40" s="4"/>
      <c r="Y40" s="4">
        <v>0.66400000000000003</v>
      </c>
      <c r="Z40" s="4">
        <v>0.95099999999999996</v>
      </c>
      <c r="AA40" s="4"/>
      <c r="AB40" s="4">
        <v>0.252</v>
      </c>
      <c r="AC40" s="4">
        <v>0.39400000000000002</v>
      </c>
      <c r="AD40" s="10">
        <f t="shared" si="1"/>
        <v>0.77420800000000001</v>
      </c>
      <c r="AE40" s="9"/>
      <c r="AF40" s="9"/>
      <c r="AG40" s="12">
        <f t="shared" si="2"/>
        <v>83</v>
      </c>
      <c r="AH40" s="12">
        <f t="shared" si="2"/>
        <v>80.300000000000011</v>
      </c>
      <c r="AI40" s="12">
        <f t="shared" si="2"/>
        <v>70.399999999999991</v>
      </c>
      <c r="AJ40" s="12">
        <f t="shared" si="2"/>
        <v>32.200000000000003</v>
      </c>
      <c r="AK40" s="12"/>
      <c r="AL40" s="12">
        <f t="shared" si="8"/>
        <v>56.2</v>
      </c>
      <c r="AM40" s="12">
        <f t="shared" si="8"/>
        <v>78.600000000000009</v>
      </c>
      <c r="AN40" s="12">
        <f t="shared" si="8"/>
        <v>53</v>
      </c>
      <c r="AO40" s="12">
        <f t="shared" si="8"/>
        <v>18.5</v>
      </c>
      <c r="AP40" s="12">
        <f t="shared" si="9"/>
        <v>18</v>
      </c>
      <c r="AQ40" s="12">
        <f t="shared" si="9"/>
        <v>43.7</v>
      </c>
      <c r="AR40" s="12"/>
      <c r="AS40" s="12">
        <f t="shared" si="10"/>
        <v>83.6</v>
      </c>
      <c r="AT40" s="12">
        <f t="shared" si="10"/>
        <v>39.800000000000004</v>
      </c>
      <c r="AU40" s="12">
        <f t="shared" si="10"/>
        <v>89</v>
      </c>
      <c r="AV40" s="12">
        <f t="shared" si="10"/>
        <v>36.6</v>
      </c>
      <c r="AW40" s="12">
        <f t="shared" si="11"/>
        <v>62.8</v>
      </c>
      <c r="AX40" s="12">
        <f t="shared" si="11"/>
        <v>42.6</v>
      </c>
      <c r="AY40" s="12"/>
      <c r="AZ40" s="12">
        <f t="shared" si="3"/>
        <v>42.7</v>
      </c>
      <c r="BA40" s="12">
        <f t="shared" si="4"/>
        <v>46</v>
      </c>
      <c r="BB40" s="12"/>
      <c r="BC40" s="12">
        <f t="shared" si="5"/>
        <v>69.899999999999991</v>
      </c>
      <c r="BD40" s="12">
        <f t="shared" si="6"/>
        <v>61.7</v>
      </c>
      <c r="BE40" s="12">
        <f t="shared" si="7"/>
        <v>38.800000000000004</v>
      </c>
    </row>
    <row r="41" spans="1:57" ht="15.75" customHeight="1" x14ac:dyDescent="0.25">
      <c r="A41" s="1" t="s">
        <v>148</v>
      </c>
      <c r="B41" s="3" t="s">
        <v>232</v>
      </c>
      <c r="C41" s="4" t="s">
        <v>85</v>
      </c>
      <c r="D41" s="4">
        <v>43</v>
      </c>
      <c r="E41" s="4">
        <v>1051</v>
      </c>
      <c r="F41" s="4">
        <v>43</v>
      </c>
      <c r="G41" s="4">
        <v>1051</v>
      </c>
      <c r="H41" s="4">
        <v>0.47</v>
      </c>
      <c r="I41" s="4">
        <v>13.3</v>
      </c>
      <c r="J41" s="4"/>
      <c r="K41" s="4">
        <v>0.58099999999999996</v>
      </c>
      <c r="L41" s="4">
        <v>0.17899999999999999</v>
      </c>
      <c r="M41" s="4">
        <v>0.35</v>
      </c>
      <c r="N41" s="4">
        <v>3.4000000000000002E-2</v>
      </c>
      <c r="O41" s="4">
        <v>1.7000000000000001E-2</v>
      </c>
      <c r="P41" s="4">
        <v>0.41899999999999998</v>
      </c>
      <c r="Q41" s="4"/>
      <c r="R41" s="4">
        <v>0.53900000000000003</v>
      </c>
      <c r="S41" s="4">
        <v>0.68300000000000005</v>
      </c>
      <c r="T41" s="4">
        <v>0.48799999999999999</v>
      </c>
      <c r="U41" s="4">
        <v>0.41699999999999998</v>
      </c>
      <c r="V41" s="4">
        <v>0.33300000000000002</v>
      </c>
      <c r="W41" s="4">
        <v>0.374</v>
      </c>
      <c r="X41" s="4"/>
      <c r="Y41" s="4">
        <v>0.58199999999999996</v>
      </c>
      <c r="Z41" s="4">
        <v>0.96399999999999997</v>
      </c>
      <c r="AA41" s="4"/>
      <c r="AB41" s="4">
        <v>0.23100000000000001</v>
      </c>
      <c r="AC41" s="4">
        <v>0.47099999999999997</v>
      </c>
      <c r="AD41" s="10">
        <f t="shared" si="1"/>
        <v>0.74205799999999988</v>
      </c>
      <c r="AE41" s="9"/>
      <c r="AF41" s="9"/>
      <c r="AG41" s="12">
        <f t="shared" si="2"/>
        <v>96.7</v>
      </c>
      <c r="AH41" s="12">
        <f t="shared" si="2"/>
        <v>79.7</v>
      </c>
      <c r="AI41" s="12">
        <f t="shared" si="2"/>
        <v>68.300000000000011</v>
      </c>
      <c r="AJ41" s="12">
        <f t="shared" si="2"/>
        <v>44.800000000000004</v>
      </c>
      <c r="AK41" s="12"/>
      <c r="AL41" s="12">
        <f t="shared" si="8"/>
        <v>47.5</v>
      </c>
      <c r="AM41" s="12">
        <f t="shared" si="8"/>
        <v>45.9</v>
      </c>
      <c r="AN41" s="12">
        <f t="shared" si="8"/>
        <v>79.7</v>
      </c>
      <c r="AO41" s="12">
        <f t="shared" si="8"/>
        <v>24</v>
      </c>
      <c r="AP41" s="12">
        <f t="shared" si="9"/>
        <v>20.200000000000003</v>
      </c>
      <c r="AQ41" s="12">
        <f t="shared" si="9"/>
        <v>51.9</v>
      </c>
      <c r="AR41" s="12"/>
      <c r="AS41" s="12">
        <f t="shared" si="10"/>
        <v>67.7</v>
      </c>
      <c r="AT41" s="12">
        <f t="shared" si="10"/>
        <v>53</v>
      </c>
      <c r="AU41" s="12">
        <f t="shared" si="10"/>
        <v>67.7</v>
      </c>
      <c r="AV41" s="12">
        <f t="shared" si="10"/>
        <v>65</v>
      </c>
      <c r="AW41" s="12">
        <f t="shared" si="11"/>
        <v>48</v>
      </c>
      <c r="AX41" s="12">
        <f t="shared" si="11"/>
        <v>71</v>
      </c>
      <c r="AY41" s="12"/>
      <c r="AZ41" s="12">
        <f t="shared" si="3"/>
        <v>55.199999999999996</v>
      </c>
      <c r="BA41" s="12">
        <f t="shared" si="4"/>
        <v>40.5</v>
      </c>
      <c r="BB41" s="12"/>
      <c r="BC41" s="12">
        <f t="shared" si="5"/>
        <v>65</v>
      </c>
      <c r="BD41" s="12">
        <f t="shared" si="6"/>
        <v>78.600000000000009</v>
      </c>
      <c r="BE41" s="12">
        <f t="shared" si="7"/>
        <v>46.5</v>
      </c>
    </row>
    <row r="42" spans="1:57" ht="15.75" customHeight="1" x14ac:dyDescent="0.25">
      <c r="A42" s="1" t="s">
        <v>125</v>
      </c>
      <c r="B42" s="3" t="s">
        <v>117</v>
      </c>
      <c r="C42" s="4" t="s">
        <v>8</v>
      </c>
      <c r="D42" s="4">
        <v>40</v>
      </c>
      <c r="E42" s="4">
        <v>1043</v>
      </c>
      <c r="F42" s="4">
        <v>40</v>
      </c>
      <c r="G42" s="4">
        <v>1043</v>
      </c>
      <c r="H42" s="4">
        <v>0.35099999999999998</v>
      </c>
      <c r="I42" s="4">
        <v>20.5</v>
      </c>
      <c r="J42" s="4"/>
      <c r="K42" s="4">
        <v>0.28399999999999997</v>
      </c>
      <c r="L42" s="4">
        <v>0.05</v>
      </c>
      <c r="M42" s="4">
        <v>9.1999999999999998E-2</v>
      </c>
      <c r="N42" s="4">
        <v>9.1999999999999998E-2</v>
      </c>
      <c r="O42" s="4">
        <v>0.05</v>
      </c>
      <c r="P42" s="4">
        <v>0.71599999999999997</v>
      </c>
      <c r="Q42" s="4"/>
      <c r="R42" s="4">
        <v>0.42499999999999999</v>
      </c>
      <c r="S42" s="4">
        <v>0.35699999999999998</v>
      </c>
      <c r="T42" s="4">
        <v>0.53800000000000003</v>
      </c>
      <c r="U42" s="4">
        <v>0.5</v>
      </c>
      <c r="V42" s="4">
        <v>0.14299999999999999</v>
      </c>
      <c r="W42" s="4">
        <v>0.32200000000000001</v>
      </c>
      <c r="X42" s="4"/>
      <c r="Y42" s="4">
        <v>0.58799999999999997</v>
      </c>
      <c r="Z42" s="4">
        <v>0.95399999999999996</v>
      </c>
      <c r="AA42" s="4"/>
      <c r="AB42" s="4">
        <v>0.35099999999999998</v>
      </c>
      <c r="AC42" s="4">
        <v>0.35199999999999998</v>
      </c>
      <c r="AD42" s="10">
        <f t="shared" si="1"/>
        <v>0.85005599999999992</v>
      </c>
      <c r="AE42" s="9"/>
      <c r="AF42" s="9"/>
      <c r="AG42" s="12">
        <f t="shared" si="2"/>
        <v>63.9</v>
      </c>
      <c r="AH42" s="12">
        <f t="shared" si="2"/>
        <v>79.2</v>
      </c>
      <c r="AI42" s="12">
        <f t="shared" si="2"/>
        <v>8.6999999999999993</v>
      </c>
      <c r="AJ42" s="12">
        <f t="shared" si="2"/>
        <v>96.1</v>
      </c>
      <c r="AK42" s="12"/>
      <c r="AL42" s="12">
        <f t="shared" si="8"/>
        <v>6</v>
      </c>
      <c r="AM42" s="12">
        <f t="shared" si="8"/>
        <v>6</v>
      </c>
      <c r="AN42" s="12">
        <f t="shared" si="8"/>
        <v>3.2</v>
      </c>
      <c r="AO42" s="12">
        <f t="shared" si="8"/>
        <v>67.7</v>
      </c>
      <c r="AP42" s="12">
        <f t="shared" si="9"/>
        <v>60.099999999999994</v>
      </c>
      <c r="AQ42" s="12">
        <f t="shared" si="9"/>
        <v>93.899999999999991</v>
      </c>
      <c r="AR42" s="12"/>
      <c r="AS42" s="12">
        <f t="shared" si="10"/>
        <v>13.600000000000001</v>
      </c>
      <c r="AT42" s="12">
        <f t="shared" si="10"/>
        <v>2.1</v>
      </c>
      <c r="AU42" s="12">
        <f t="shared" si="10"/>
        <v>87.9</v>
      </c>
      <c r="AV42" s="12">
        <f t="shared" si="10"/>
        <v>81.399999999999991</v>
      </c>
      <c r="AW42" s="12">
        <f t="shared" si="11"/>
        <v>25.1</v>
      </c>
      <c r="AX42" s="12">
        <f t="shared" si="11"/>
        <v>44.800000000000004</v>
      </c>
      <c r="AY42" s="12"/>
      <c r="AZ42" s="12">
        <f t="shared" si="3"/>
        <v>53.1</v>
      </c>
      <c r="BA42" s="12">
        <f t="shared" si="4"/>
        <v>44.3</v>
      </c>
      <c r="BB42" s="12"/>
      <c r="BC42" s="12">
        <f t="shared" si="5"/>
        <v>84.6</v>
      </c>
      <c r="BD42" s="12">
        <f t="shared" si="6"/>
        <v>48</v>
      </c>
      <c r="BE42" s="12">
        <f t="shared" si="7"/>
        <v>20.799999999999997</v>
      </c>
    </row>
    <row r="43" spans="1:57" ht="15.75" customHeight="1" x14ac:dyDescent="0.25">
      <c r="A43" s="1" t="s">
        <v>182</v>
      </c>
      <c r="B43" s="3" t="s">
        <v>157</v>
      </c>
      <c r="C43" s="4" t="s">
        <v>183</v>
      </c>
      <c r="D43" s="4">
        <v>38</v>
      </c>
      <c r="E43" s="4">
        <v>1040</v>
      </c>
      <c r="F43" s="4">
        <v>38</v>
      </c>
      <c r="G43" s="4">
        <v>1040</v>
      </c>
      <c r="H43" s="4">
        <v>0.52400000000000002</v>
      </c>
      <c r="I43" s="4">
        <v>9.5</v>
      </c>
      <c r="J43" s="4"/>
      <c r="K43" s="4">
        <v>0.77500000000000002</v>
      </c>
      <c r="L43" s="4">
        <v>0.26200000000000001</v>
      </c>
      <c r="M43" s="4">
        <v>0.43</v>
      </c>
      <c r="N43" s="4">
        <v>6.6000000000000003E-2</v>
      </c>
      <c r="O43" s="4">
        <v>1.7999999999999999E-2</v>
      </c>
      <c r="P43" s="4">
        <v>0.22500000000000001</v>
      </c>
      <c r="Q43" s="4"/>
      <c r="R43" s="4">
        <v>0.55700000000000005</v>
      </c>
      <c r="S43" s="4">
        <v>0.69699999999999995</v>
      </c>
      <c r="T43" s="4">
        <v>0.50800000000000001</v>
      </c>
      <c r="U43" s="4">
        <v>0.4</v>
      </c>
      <c r="V43" s="4">
        <v>0.25</v>
      </c>
      <c r="W43" s="4">
        <v>0.41199999999999998</v>
      </c>
      <c r="X43" s="4"/>
      <c r="Y43" s="4">
        <v>0.60699999999999998</v>
      </c>
      <c r="Z43" s="4">
        <v>1</v>
      </c>
      <c r="AA43" s="4"/>
      <c r="AB43" s="4">
        <v>0.11799999999999999</v>
      </c>
      <c r="AC43" s="4">
        <v>0.5</v>
      </c>
      <c r="AD43" s="10">
        <f t="shared" si="1"/>
        <v>0.69542499999999996</v>
      </c>
      <c r="AE43" s="9"/>
      <c r="AF43" s="9"/>
      <c r="AG43" s="12">
        <f t="shared" si="2"/>
        <v>53</v>
      </c>
      <c r="AH43" s="12">
        <f t="shared" si="2"/>
        <v>78.600000000000009</v>
      </c>
      <c r="AI43" s="12">
        <f t="shared" si="2"/>
        <v>86.3</v>
      </c>
      <c r="AJ43" s="12">
        <f t="shared" si="2"/>
        <v>17.399999999999999</v>
      </c>
      <c r="AK43" s="12"/>
      <c r="AL43" s="12">
        <f t="shared" si="8"/>
        <v>81.899999999999991</v>
      </c>
      <c r="AM43" s="12">
        <f t="shared" si="8"/>
        <v>68.8</v>
      </c>
      <c r="AN43" s="12">
        <f t="shared" si="8"/>
        <v>92.300000000000011</v>
      </c>
      <c r="AO43" s="12">
        <f t="shared" si="8"/>
        <v>49.7</v>
      </c>
      <c r="AP43" s="12">
        <f t="shared" si="9"/>
        <v>22.400000000000002</v>
      </c>
      <c r="AQ43" s="12">
        <f t="shared" si="9"/>
        <v>18</v>
      </c>
      <c r="AR43" s="12"/>
      <c r="AS43" s="12">
        <f t="shared" si="10"/>
        <v>76.5</v>
      </c>
      <c r="AT43" s="12">
        <f t="shared" si="10"/>
        <v>60.6</v>
      </c>
      <c r="AU43" s="12">
        <f t="shared" si="10"/>
        <v>77.5</v>
      </c>
      <c r="AV43" s="12">
        <f t="shared" si="10"/>
        <v>59</v>
      </c>
      <c r="AW43" s="12">
        <f t="shared" si="11"/>
        <v>32.700000000000003</v>
      </c>
      <c r="AX43" s="12">
        <f t="shared" si="11"/>
        <v>89.600000000000009</v>
      </c>
      <c r="AY43" s="12"/>
      <c r="AZ43" s="12">
        <f t="shared" si="3"/>
        <v>51.4</v>
      </c>
      <c r="BA43" s="12">
        <f t="shared" si="4"/>
        <v>33.899999999999991</v>
      </c>
      <c r="BB43" s="12"/>
      <c r="BC43" s="12">
        <f t="shared" si="5"/>
        <v>21.3</v>
      </c>
      <c r="BD43" s="12">
        <f t="shared" si="6"/>
        <v>80.300000000000011</v>
      </c>
      <c r="BE43" s="12">
        <f t="shared" si="7"/>
        <v>60.199999999999996</v>
      </c>
    </row>
    <row r="44" spans="1:57" ht="15.75" customHeight="1" x14ac:dyDescent="0.25">
      <c r="A44" s="1" t="s">
        <v>105</v>
      </c>
      <c r="B44" s="3" t="s">
        <v>91</v>
      </c>
      <c r="C44" s="4" t="s">
        <v>85</v>
      </c>
      <c r="D44" s="4">
        <v>42</v>
      </c>
      <c r="E44" s="4">
        <v>1018</v>
      </c>
      <c r="F44" s="4">
        <v>42</v>
      </c>
      <c r="G44" s="4">
        <v>1018</v>
      </c>
      <c r="H44" s="4">
        <v>0.36099999999999999</v>
      </c>
      <c r="I44" s="4">
        <v>18</v>
      </c>
      <c r="J44" s="4"/>
      <c r="K44" s="4">
        <v>0.371</v>
      </c>
      <c r="L44" s="4">
        <v>0.113</v>
      </c>
      <c r="M44" s="4">
        <v>0.16200000000000001</v>
      </c>
      <c r="N44" s="4">
        <v>5.5E-2</v>
      </c>
      <c r="O44" s="4">
        <v>4.1000000000000002E-2</v>
      </c>
      <c r="P44" s="4">
        <v>0.629</v>
      </c>
      <c r="Q44" s="4"/>
      <c r="R44" s="4">
        <v>0.38</v>
      </c>
      <c r="S44" s="4">
        <v>0.63600000000000001</v>
      </c>
      <c r="T44" s="4">
        <v>0.23400000000000001</v>
      </c>
      <c r="U44" s="4">
        <v>0.375</v>
      </c>
      <c r="V44" s="4">
        <v>0.25</v>
      </c>
      <c r="W44" s="4">
        <v>0.35</v>
      </c>
      <c r="X44" s="4"/>
      <c r="Y44" s="4">
        <v>0.65900000000000003</v>
      </c>
      <c r="Z44" s="4">
        <v>0.98399999999999999</v>
      </c>
      <c r="AA44" s="4"/>
      <c r="AB44" s="4">
        <v>0.38300000000000001</v>
      </c>
      <c r="AC44" s="4">
        <v>0.38600000000000001</v>
      </c>
      <c r="AD44" s="10">
        <f t="shared" si="1"/>
        <v>0.86342500000000011</v>
      </c>
      <c r="AE44" s="9"/>
      <c r="AF44" s="9"/>
      <c r="AG44" s="12">
        <f t="shared" si="2"/>
        <v>83</v>
      </c>
      <c r="AH44" s="12">
        <f t="shared" si="2"/>
        <v>78.100000000000009</v>
      </c>
      <c r="AI44" s="12">
        <f t="shared" si="2"/>
        <v>10.299999999999999</v>
      </c>
      <c r="AJ44" s="12">
        <f t="shared" si="2"/>
        <v>84.1</v>
      </c>
      <c r="AK44" s="12"/>
      <c r="AL44" s="12">
        <f t="shared" si="8"/>
        <v>12.5</v>
      </c>
      <c r="AM44" s="12">
        <f t="shared" si="8"/>
        <v>19.600000000000001</v>
      </c>
      <c r="AN44" s="12">
        <f t="shared" si="8"/>
        <v>20.200000000000003</v>
      </c>
      <c r="AO44" s="12">
        <f t="shared" si="8"/>
        <v>39.800000000000004</v>
      </c>
      <c r="AP44" s="12">
        <f t="shared" si="9"/>
        <v>54.6</v>
      </c>
      <c r="AQ44" s="12">
        <f t="shared" si="9"/>
        <v>87.4</v>
      </c>
      <c r="AR44" s="12"/>
      <c r="AS44" s="12">
        <f t="shared" si="10"/>
        <v>7.6</v>
      </c>
      <c r="AT44" s="12">
        <f t="shared" si="10"/>
        <v>35.5</v>
      </c>
      <c r="AU44" s="12">
        <f t="shared" si="10"/>
        <v>2.1</v>
      </c>
      <c r="AV44" s="12">
        <f t="shared" si="10"/>
        <v>53.5</v>
      </c>
      <c r="AW44" s="12">
        <f t="shared" si="11"/>
        <v>32.700000000000003</v>
      </c>
      <c r="AX44" s="12">
        <f t="shared" si="11"/>
        <v>61.199999999999996</v>
      </c>
      <c r="AY44" s="12"/>
      <c r="AZ44" s="12">
        <f t="shared" si="3"/>
        <v>43.8</v>
      </c>
      <c r="BA44" s="12">
        <f t="shared" si="4"/>
        <v>35</v>
      </c>
      <c r="BB44" s="12"/>
      <c r="BC44" s="12">
        <f t="shared" si="5"/>
        <v>86.3</v>
      </c>
      <c r="BD44" s="12">
        <f t="shared" si="6"/>
        <v>59</v>
      </c>
      <c r="BE44" s="12">
        <f t="shared" si="7"/>
        <v>18.100000000000009</v>
      </c>
    </row>
    <row r="45" spans="1:57" ht="15.75" customHeight="1" x14ac:dyDescent="0.25">
      <c r="A45" s="1" t="s">
        <v>89</v>
      </c>
      <c r="B45" s="3" t="s">
        <v>84</v>
      </c>
      <c r="C45" s="4" t="s">
        <v>8</v>
      </c>
      <c r="D45" s="4">
        <v>43</v>
      </c>
      <c r="E45" s="4">
        <v>1011</v>
      </c>
      <c r="F45" s="4">
        <v>43</v>
      </c>
      <c r="G45" s="4">
        <v>1011</v>
      </c>
      <c r="H45" s="4">
        <v>0.55300000000000005</v>
      </c>
      <c r="I45" s="4">
        <v>8.8000000000000007</v>
      </c>
      <c r="J45" s="4"/>
      <c r="K45" s="4">
        <v>0.79900000000000004</v>
      </c>
      <c r="L45" s="4">
        <v>0.35899999999999999</v>
      </c>
      <c r="M45" s="4">
        <v>0.37</v>
      </c>
      <c r="N45" s="4">
        <v>0.04</v>
      </c>
      <c r="O45" s="4">
        <v>2.9000000000000001E-2</v>
      </c>
      <c r="P45" s="4">
        <v>0.20100000000000001</v>
      </c>
      <c r="Q45" s="4"/>
      <c r="R45" s="4">
        <v>0.60599999999999998</v>
      </c>
      <c r="S45" s="4">
        <v>0.80600000000000005</v>
      </c>
      <c r="T45" s="4">
        <v>0.45500000000000002</v>
      </c>
      <c r="U45" s="4">
        <v>0.45500000000000002</v>
      </c>
      <c r="V45" s="4">
        <v>0.25</v>
      </c>
      <c r="W45" s="4">
        <v>0.34499999999999997</v>
      </c>
      <c r="X45" s="4"/>
      <c r="Y45" s="4">
        <v>0.46200000000000002</v>
      </c>
      <c r="Z45" s="4">
        <v>0.89500000000000002</v>
      </c>
      <c r="AA45" s="4"/>
      <c r="AB45" s="4">
        <v>0.16400000000000001</v>
      </c>
      <c r="AC45" s="4">
        <v>0.44400000000000001</v>
      </c>
      <c r="AD45" s="10">
        <f t="shared" si="1"/>
        <v>0.5490330000000001</v>
      </c>
      <c r="AE45" s="9"/>
      <c r="AF45" s="9"/>
      <c r="AG45" s="12">
        <f t="shared" si="2"/>
        <v>96.7</v>
      </c>
      <c r="AH45" s="12">
        <f t="shared" si="2"/>
        <v>77.5</v>
      </c>
      <c r="AI45" s="12">
        <f t="shared" si="2"/>
        <v>94.5</v>
      </c>
      <c r="AJ45" s="12">
        <f t="shared" si="2"/>
        <v>15.8</v>
      </c>
      <c r="AK45" s="12"/>
      <c r="AL45" s="12">
        <f t="shared" si="8"/>
        <v>84.1</v>
      </c>
      <c r="AM45" s="12">
        <f t="shared" si="8"/>
        <v>86.3</v>
      </c>
      <c r="AN45" s="12">
        <f t="shared" si="8"/>
        <v>82.5</v>
      </c>
      <c r="AO45" s="12">
        <f t="shared" si="8"/>
        <v>31.1</v>
      </c>
      <c r="AP45" s="12">
        <f t="shared" si="9"/>
        <v>37.1</v>
      </c>
      <c r="AQ45" s="12">
        <f t="shared" si="9"/>
        <v>15.8</v>
      </c>
      <c r="AR45" s="12"/>
      <c r="AS45" s="12">
        <f t="shared" si="10"/>
        <v>93.4</v>
      </c>
      <c r="AT45" s="12">
        <f t="shared" si="10"/>
        <v>89.600000000000009</v>
      </c>
      <c r="AU45" s="12">
        <f t="shared" si="10"/>
        <v>53</v>
      </c>
      <c r="AV45" s="12">
        <f t="shared" si="10"/>
        <v>72.099999999999994</v>
      </c>
      <c r="AW45" s="12">
        <f t="shared" si="11"/>
        <v>32.700000000000003</v>
      </c>
      <c r="AX45" s="12">
        <f t="shared" si="11"/>
        <v>58.4</v>
      </c>
      <c r="AY45" s="12"/>
      <c r="AZ45" s="12">
        <f t="shared" si="3"/>
        <v>71.599999999999994</v>
      </c>
      <c r="BA45" s="12">
        <f t="shared" si="4"/>
        <v>63.4</v>
      </c>
      <c r="BB45" s="12"/>
      <c r="BC45" s="12">
        <f t="shared" si="5"/>
        <v>41.5</v>
      </c>
      <c r="BD45" s="12">
        <f t="shared" si="6"/>
        <v>72.599999999999994</v>
      </c>
      <c r="BE45" s="12">
        <f t="shared" si="7"/>
        <v>83.1</v>
      </c>
    </row>
    <row r="46" spans="1:57" ht="15.75" customHeight="1" x14ac:dyDescent="0.25">
      <c r="A46" s="1" t="s">
        <v>145</v>
      </c>
      <c r="B46" s="3" t="s">
        <v>114</v>
      </c>
      <c r="C46" s="4" t="s">
        <v>8</v>
      </c>
      <c r="D46" s="4">
        <v>41</v>
      </c>
      <c r="E46" s="4">
        <v>1010</v>
      </c>
      <c r="F46" s="4">
        <v>41</v>
      </c>
      <c r="G46" s="4">
        <v>1010</v>
      </c>
      <c r="H46" s="4">
        <v>0.437</v>
      </c>
      <c r="I46" s="4">
        <v>12.4</v>
      </c>
      <c r="J46" s="4"/>
      <c r="K46" s="4">
        <v>0.63700000000000001</v>
      </c>
      <c r="L46" s="4">
        <v>0.26400000000000001</v>
      </c>
      <c r="M46" s="4">
        <v>0.32400000000000001</v>
      </c>
      <c r="N46" s="4">
        <v>3.2000000000000001E-2</v>
      </c>
      <c r="O46" s="4">
        <v>1.7999999999999999E-2</v>
      </c>
      <c r="P46" s="4">
        <v>0.36299999999999999</v>
      </c>
      <c r="Q46" s="4"/>
      <c r="R46" s="4">
        <v>0.51400000000000001</v>
      </c>
      <c r="S46" s="4">
        <v>0.69299999999999995</v>
      </c>
      <c r="T46" s="4">
        <v>0.41299999999999998</v>
      </c>
      <c r="U46" s="4">
        <v>0.111</v>
      </c>
      <c r="V46" s="4">
        <v>0.4</v>
      </c>
      <c r="W46" s="4">
        <v>0.30099999999999999</v>
      </c>
      <c r="X46" s="4"/>
      <c r="Y46" s="4">
        <v>0.35499999999999998</v>
      </c>
      <c r="Z46" s="4">
        <v>0.80600000000000005</v>
      </c>
      <c r="AA46" s="4"/>
      <c r="AB46" s="4">
        <v>0.14599999999999999</v>
      </c>
      <c r="AC46" s="4">
        <v>0.2</v>
      </c>
      <c r="AD46" s="10">
        <f t="shared" si="1"/>
        <v>0.51871299999999998</v>
      </c>
      <c r="AE46" s="9"/>
      <c r="AF46" s="9"/>
      <c r="AG46" s="12">
        <f t="shared" si="2"/>
        <v>69.3</v>
      </c>
      <c r="AH46" s="12">
        <f t="shared" si="2"/>
        <v>77</v>
      </c>
      <c r="AI46" s="12">
        <f t="shared" si="2"/>
        <v>52.400000000000006</v>
      </c>
      <c r="AJ46" s="12">
        <f t="shared" si="2"/>
        <v>34.4</v>
      </c>
      <c r="AK46" s="12"/>
      <c r="AL46" s="12">
        <f t="shared" si="8"/>
        <v>59</v>
      </c>
      <c r="AM46" s="12">
        <f t="shared" si="8"/>
        <v>70.399999999999991</v>
      </c>
      <c r="AN46" s="12">
        <f t="shared" si="8"/>
        <v>72.599999999999994</v>
      </c>
      <c r="AO46" s="12">
        <f t="shared" si="8"/>
        <v>21.8</v>
      </c>
      <c r="AP46" s="12">
        <f t="shared" si="9"/>
        <v>22.400000000000002</v>
      </c>
      <c r="AQ46" s="12">
        <f t="shared" si="9"/>
        <v>39.800000000000004</v>
      </c>
      <c r="AR46" s="12"/>
      <c r="AS46" s="12">
        <f t="shared" si="10"/>
        <v>48.6</v>
      </c>
      <c r="AT46" s="12">
        <f t="shared" si="10"/>
        <v>59</v>
      </c>
      <c r="AU46" s="12">
        <f t="shared" si="10"/>
        <v>38.700000000000003</v>
      </c>
      <c r="AV46" s="12">
        <f t="shared" si="10"/>
        <v>20.200000000000003</v>
      </c>
      <c r="AW46" s="12">
        <f t="shared" si="11"/>
        <v>62.8</v>
      </c>
      <c r="AX46" s="12">
        <f t="shared" si="11"/>
        <v>37.1</v>
      </c>
      <c r="AY46" s="12"/>
      <c r="AZ46" s="12">
        <f t="shared" si="3"/>
        <v>86.9</v>
      </c>
      <c r="BA46" s="12">
        <f t="shared" si="4"/>
        <v>76</v>
      </c>
      <c r="BB46" s="12"/>
      <c r="BC46" s="12">
        <f t="shared" si="5"/>
        <v>30.599999999999998</v>
      </c>
      <c r="BD46" s="12">
        <f t="shared" si="6"/>
        <v>16.900000000000002</v>
      </c>
      <c r="BE46" s="12">
        <f t="shared" si="7"/>
        <v>89.7</v>
      </c>
    </row>
    <row r="47" spans="1:57" ht="15.75" customHeight="1" x14ac:dyDescent="0.25">
      <c r="A47" s="1" t="s">
        <v>170</v>
      </c>
      <c r="B47" s="3" t="s">
        <v>107</v>
      </c>
      <c r="C47" s="4" t="s">
        <v>8</v>
      </c>
      <c r="D47" s="4">
        <v>42</v>
      </c>
      <c r="E47" s="4">
        <v>997</v>
      </c>
      <c r="F47" s="4">
        <v>42</v>
      </c>
      <c r="G47" s="4">
        <v>997</v>
      </c>
      <c r="H47" s="4">
        <v>0.374</v>
      </c>
      <c r="I47" s="4">
        <v>15.3</v>
      </c>
      <c r="J47" s="4"/>
      <c r="K47" s="4">
        <v>0.56299999999999994</v>
      </c>
      <c r="L47" s="4">
        <v>0.13600000000000001</v>
      </c>
      <c r="M47" s="4">
        <v>0.245</v>
      </c>
      <c r="N47" s="4">
        <v>0.14699999999999999</v>
      </c>
      <c r="O47" s="4">
        <v>3.5000000000000003E-2</v>
      </c>
      <c r="P47" s="4">
        <v>0.437</v>
      </c>
      <c r="Q47" s="4"/>
      <c r="R47" s="4">
        <v>0.40400000000000003</v>
      </c>
      <c r="S47" s="4">
        <v>0.53800000000000003</v>
      </c>
      <c r="T47" s="4">
        <v>0.34300000000000003</v>
      </c>
      <c r="U47" s="4">
        <v>0.42899999999999999</v>
      </c>
      <c r="V47" s="4">
        <v>0.2</v>
      </c>
      <c r="W47" s="4">
        <v>0.33600000000000002</v>
      </c>
      <c r="X47" s="4"/>
      <c r="Y47" s="4">
        <v>0.41499999999999998</v>
      </c>
      <c r="Z47" s="4">
        <v>0.85699999999999998</v>
      </c>
      <c r="AA47" s="4"/>
      <c r="AB47" s="4">
        <v>0.14399999999999999</v>
      </c>
      <c r="AC47" s="4">
        <v>0.44400000000000001</v>
      </c>
      <c r="AD47" s="10">
        <f t="shared" si="1"/>
        <v>0.60815399999999997</v>
      </c>
      <c r="AE47" s="9"/>
      <c r="AF47" s="9"/>
      <c r="AG47" s="12">
        <f t="shared" si="2"/>
        <v>83</v>
      </c>
      <c r="AH47" s="12">
        <f t="shared" si="2"/>
        <v>76.5</v>
      </c>
      <c r="AI47" s="12">
        <f t="shared" si="2"/>
        <v>18</v>
      </c>
      <c r="AJ47" s="12">
        <f t="shared" si="2"/>
        <v>60.6</v>
      </c>
      <c r="AK47" s="12"/>
      <c r="AL47" s="12">
        <f t="shared" si="8"/>
        <v>41.5</v>
      </c>
      <c r="AM47" s="12">
        <f t="shared" si="8"/>
        <v>30.599999999999998</v>
      </c>
      <c r="AN47" s="12">
        <f t="shared" si="8"/>
        <v>47.5</v>
      </c>
      <c r="AO47" s="12">
        <f t="shared" si="8"/>
        <v>88.5</v>
      </c>
      <c r="AP47" s="12">
        <f t="shared" si="9"/>
        <v>45.9</v>
      </c>
      <c r="AQ47" s="12">
        <f t="shared" si="9"/>
        <v>57.9</v>
      </c>
      <c r="AR47" s="12"/>
      <c r="AS47" s="12">
        <f t="shared" si="10"/>
        <v>12</v>
      </c>
      <c r="AT47" s="12">
        <f t="shared" si="10"/>
        <v>10.9</v>
      </c>
      <c r="AU47" s="12">
        <f t="shared" si="10"/>
        <v>17.399999999999999</v>
      </c>
      <c r="AV47" s="12">
        <f t="shared" si="10"/>
        <v>67.7</v>
      </c>
      <c r="AW47" s="12">
        <f t="shared" si="11"/>
        <v>28.4</v>
      </c>
      <c r="AX47" s="12">
        <f t="shared" si="11"/>
        <v>54.6</v>
      </c>
      <c r="AY47" s="12"/>
      <c r="AZ47" s="12">
        <f t="shared" si="3"/>
        <v>80.900000000000006</v>
      </c>
      <c r="BA47" s="12">
        <f t="shared" si="4"/>
        <v>70</v>
      </c>
      <c r="BB47" s="12"/>
      <c r="BC47" s="12">
        <f t="shared" si="5"/>
        <v>28.4</v>
      </c>
      <c r="BD47" s="12">
        <f t="shared" si="6"/>
        <v>72.599999999999994</v>
      </c>
      <c r="BE47" s="12">
        <f t="shared" si="7"/>
        <v>76.599999999999994</v>
      </c>
    </row>
    <row r="48" spans="1:57" ht="15.75" customHeight="1" x14ac:dyDescent="0.25">
      <c r="A48" s="1" t="s">
        <v>245</v>
      </c>
      <c r="B48" s="3" t="s">
        <v>114</v>
      </c>
      <c r="C48" s="4" t="s">
        <v>88</v>
      </c>
      <c r="D48" s="4">
        <v>36</v>
      </c>
      <c r="E48" s="4">
        <v>989</v>
      </c>
      <c r="F48" s="4">
        <v>36</v>
      </c>
      <c r="G48" s="4">
        <v>989</v>
      </c>
      <c r="H48" s="4">
        <v>0.437</v>
      </c>
      <c r="I48" s="4">
        <v>16</v>
      </c>
      <c r="J48" s="4"/>
      <c r="K48" s="4">
        <v>0.51900000000000002</v>
      </c>
      <c r="L48" s="4">
        <v>0.17100000000000001</v>
      </c>
      <c r="M48" s="4">
        <v>0.19900000000000001</v>
      </c>
      <c r="N48" s="4">
        <v>7.0000000000000007E-2</v>
      </c>
      <c r="O48" s="4">
        <v>7.9000000000000001E-2</v>
      </c>
      <c r="P48" s="4">
        <v>0.48099999999999998</v>
      </c>
      <c r="Q48" s="4"/>
      <c r="R48" s="4">
        <v>0.52400000000000002</v>
      </c>
      <c r="S48" s="4">
        <v>0.68500000000000005</v>
      </c>
      <c r="T48" s="4">
        <v>0.44400000000000001</v>
      </c>
      <c r="U48" s="4">
        <v>0.45500000000000002</v>
      </c>
      <c r="V48" s="4">
        <v>0.44</v>
      </c>
      <c r="W48" s="4">
        <v>0.34200000000000003</v>
      </c>
      <c r="X48" s="4"/>
      <c r="Y48" s="4">
        <v>0.77900000000000003</v>
      </c>
      <c r="Z48" s="4">
        <v>0.94199999999999995</v>
      </c>
      <c r="AA48" s="4"/>
      <c r="AB48" s="4">
        <v>9.1999999999999998E-2</v>
      </c>
      <c r="AC48" s="4">
        <v>0.64300000000000002</v>
      </c>
      <c r="AD48" s="10">
        <f t="shared" si="1"/>
        <v>0.85740299999999992</v>
      </c>
      <c r="AE48" s="9"/>
      <c r="AF48" s="9"/>
      <c r="AG48" s="12">
        <f t="shared" si="2"/>
        <v>45.300000000000004</v>
      </c>
      <c r="AH48" s="12">
        <f t="shared" si="2"/>
        <v>75.900000000000006</v>
      </c>
      <c r="AI48" s="12">
        <f t="shared" si="2"/>
        <v>52.400000000000006</v>
      </c>
      <c r="AJ48" s="12">
        <f t="shared" si="2"/>
        <v>68.8</v>
      </c>
      <c r="AK48" s="12"/>
      <c r="AL48" s="12">
        <f t="shared" si="8"/>
        <v>35.5</v>
      </c>
      <c r="AM48" s="12">
        <f t="shared" si="8"/>
        <v>43.7</v>
      </c>
      <c r="AN48" s="12">
        <f t="shared" si="8"/>
        <v>33.800000000000004</v>
      </c>
      <c r="AO48" s="12">
        <f t="shared" si="8"/>
        <v>52.400000000000006</v>
      </c>
      <c r="AP48" s="12">
        <f t="shared" si="9"/>
        <v>80.300000000000011</v>
      </c>
      <c r="AQ48" s="12">
        <f t="shared" si="9"/>
        <v>64.400000000000006</v>
      </c>
      <c r="AR48" s="12"/>
      <c r="AS48" s="12">
        <f t="shared" si="10"/>
        <v>57.3</v>
      </c>
      <c r="AT48" s="12">
        <f t="shared" si="10"/>
        <v>54.6</v>
      </c>
      <c r="AU48" s="12">
        <f t="shared" si="10"/>
        <v>49.1</v>
      </c>
      <c r="AV48" s="12">
        <f t="shared" si="10"/>
        <v>72.099999999999994</v>
      </c>
      <c r="AW48" s="12">
        <f t="shared" si="11"/>
        <v>75.400000000000006</v>
      </c>
      <c r="AX48" s="12">
        <f t="shared" si="11"/>
        <v>55.1</v>
      </c>
      <c r="AY48" s="12"/>
      <c r="AZ48" s="12">
        <f t="shared" si="3"/>
        <v>17.5</v>
      </c>
      <c r="BA48" s="12">
        <f t="shared" si="4"/>
        <v>48.699999999999996</v>
      </c>
      <c r="BB48" s="12"/>
      <c r="BC48" s="12">
        <f t="shared" si="5"/>
        <v>15.8</v>
      </c>
      <c r="BD48" s="12">
        <f t="shared" si="6"/>
        <v>92.300000000000011</v>
      </c>
      <c r="BE48" s="12">
        <f t="shared" si="7"/>
        <v>19.699999999999989</v>
      </c>
    </row>
    <row r="49" spans="1:57" ht="15.75" customHeight="1" x14ac:dyDescent="0.25">
      <c r="A49" s="1" t="s">
        <v>175</v>
      </c>
      <c r="B49" s="3" t="s">
        <v>232</v>
      </c>
      <c r="C49" s="4" t="s">
        <v>8</v>
      </c>
      <c r="D49" s="4">
        <v>38</v>
      </c>
      <c r="E49" s="4">
        <v>986</v>
      </c>
      <c r="F49" s="4">
        <v>38</v>
      </c>
      <c r="G49" s="4">
        <v>986</v>
      </c>
      <c r="H49" s="4">
        <v>0.46300000000000002</v>
      </c>
      <c r="I49" s="4">
        <v>11</v>
      </c>
      <c r="J49" s="4"/>
      <c r="K49" s="4">
        <v>0.77200000000000002</v>
      </c>
      <c r="L49" s="4">
        <v>0.20499999999999999</v>
      </c>
      <c r="M49" s="4">
        <v>0.40500000000000003</v>
      </c>
      <c r="N49" s="4">
        <v>8.1000000000000003E-2</v>
      </c>
      <c r="O49" s="4">
        <v>8.1000000000000003E-2</v>
      </c>
      <c r="P49" s="4">
        <v>0.22800000000000001</v>
      </c>
      <c r="Q49" s="4"/>
      <c r="R49" s="4">
        <v>0.48199999999999998</v>
      </c>
      <c r="S49" s="4">
        <v>0.59299999999999997</v>
      </c>
      <c r="T49" s="4">
        <v>0.46899999999999997</v>
      </c>
      <c r="U49" s="4">
        <v>0.46899999999999997</v>
      </c>
      <c r="V49" s="4">
        <v>0.28100000000000003</v>
      </c>
      <c r="W49" s="4">
        <v>0.4</v>
      </c>
      <c r="X49" s="4"/>
      <c r="Y49" s="4">
        <v>0.23100000000000001</v>
      </c>
      <c r="Z49" s="4">
        <v>0.44400000000000001</v>
      </c>
      <c r="AA49" s="4"/>
      <c r="AB49" s="4">
        <v>8.8999999999999996E-2</v>
      </c>
      <c r="AC49" s="4">
        <v>0.375</v>
      </c>
      <c r="AD49" s="10">
        <f t="shared" si="1"/>
        <v>0.27956400000000003</v>
      </c>
      <c r="AE49" s="9"/>
      <c r="AF49" s="9"/>
      <c r="AG49" s="12">
        <f t="shared" si="2"/>
        <v>53</v>
      </c>
      <c r="AH49" s="12">
        <f t="shared" si="2"/>
        <v>75.400000000000006</v>
      </c>
      <c r="AI49" s="12">
        <f t="shared" si="2"/>
        <v>66.100000000000009</v>
      </c>
      <c r="AJ49" s="12">
        <f t="shared" si="2"/>
        <v>24</v>
      </c>
      <c r="AK49" s="12"/>
      <c r="AL49" s="12">
        <f t="shared" si="8"/>
        <v>81.399999999999991</v>
      </c>
      <c r="AM49" s="12">
        <f t="shared" si="8"/>
        <v>53.5</v>
      </c>
      <c r="AN49" s="12">
        <f t="shared" si="8"/>
        <v>90.7</v>
      </c>
      <c r="AO49" s="12">
        <f t="shared" si="8"/>
        <v>60.6</v>
      </c>
      <c r="AP49" s="12">
        <f t="shared" si="9"/>
        <v>80.800000000000011</v>
      </c>
      <c r="AQ49" s="12">
        <f t="shared" si="9"/>
        <v>18.5</v>
      </c>
      <c r="AR49" s="12"/>
      <c r="AS49" s="12">
        <f t="shared" si="10"/>
        <v>35.5</v>
      </c>
      <c r="AT49" s="12">
        <f t="shared" si="10"/>
        <v>24</v>
      </c>
      <c r="AU49" s="12">
        <f t="shared" si="10"/>
        <v>60.099999999999994</v>
      </c>
      <c r="AV49" s="12">
        <f t="shared" si="10"/>
        <v>77</v>
      </c>
      <c r="AW49" s="12">
        <f t="shared" si="11"/>
        <v>43.1</v>
      </c>
      <c r="AX49" s="12">
        <f t="shared" si="11"/>
        <v>83.6</v>
      </c>
      <c r="AY49" s="12"/>
      <c r="AZ49" s="12">
        <f t="shared" si="3"/>
        <v>94</v>
      </c>
      <c r="BA49" s="12">
        <f t="shared" si="4"/>
        <v>94.6</v>
      </c>
      <c r="BB49" s="12"/>
      <c r="BC49" s="12">
        <f t="shared" si="5"/>
        <v>13.100000000000001</v>
      </c>
      <c r="BD49" s="12">
        <f t="shared" si="6"/>
        <v>54.6</v>
      </c>
      <c r="BE49" s="12">
        <f t="shared" si="7"/>
        <v>99.5</v>
      </c>
    </row>
    <row r="50" spans="1:57" ht="15.75" customHeight="1" x14ac:dyDescent="0.25">
      <c r="A50" s="1" t="s">
        <v>188</v>
      </c>
      <c r="B50" s="3" t="s">
        <v>93</v>
      </c>
      <c r="C50" s="4" t="s">
        <v>112</v>
      </c>
      <c r="D50" s="4">
        <v>42</v>
      </c>
      <c r="E50" s="4">
        <v>984</v>
      </c>
      <c r="F50" s="4">
        <v>42</v>
      </c>
      <c r="G50" s="4">
        <v>984</v>
      </c>
      <c r="H50" s="4">
        <v>0.44800000000000001</v>
      </c>
      <c r="I50" s="4">
        <v>16.600000000000001</v>
      </c>
      <c r="J50" s="4"/>
      <c r="K50" s="4">
        <v>0.504</v>
      </c>
      <c r="L50" s="4">
        <v>0.112</v>
      </c>
      <c r="M50" s="4">
        <v>0.185</v>
      </c>
      <c r="N50" s="4">
        <v>0.108</v>
      </c>
      <c r="O50" s="4">
        <v>9.9000000000000005E-2</v>
      </c>
      <c r="P50" s="4">
        <v>0.496</v>
      </c>
      <c r="Q50" s="4"/>
      <c r="R50" s="4">
        <v>0.52100000000000002</v>
      </c>
      <c r="S50" s="4">
        <v>0.65400000000000003</v>
      </c>
      <c r="T50" s="4">
        <v>0.55800000000000005</v>
      </c>
      <c r="U50" s="4">
        <v>0.48</v>
      </c>
      <c r="V50" s="4">
        <v>0.34799999999999998</v>
      </c>
      <c r="W50" s="4">
        <v>0.374</v>
      </c>
      <c r="X50" s="4"/>
      <c r="Y50" s="4">
        <v>0.754</v>
      </c>
      <c r="Z50" s="4">
        <v>0.97699999999999998</v>
      </c>
      <c r="AA50" s="4"/>
      <c r="AB50" s="4">
        <v>0.38300000000000001</v>
      </c>
      <c r="AC50" s="4">
        <v>0.40899999999999997</v>
      </c>
      <c r="AD50" s="10">
        <f t="shared" si="1"/>
        <v>0.86460800000000004</v>
      </c>
      <c r="AE50" s="9"/>
      <c r="AF50" s="9"/>
      <c r="AG50" s="12">
        <f t="shared" si="2"/>
        <v>83</v>
      </c>
      <c r="AH50" s="12">
        <f t="shared" si="2"/>
        <v>74.8</v>
      </c>
      <c r="AI50" s="12">
        <f t="shared" si="2"/>
        <v>57.9</v>
      </c>
      <c r="AJ50" s="12">
        <f t="shared" si="2"/>
        <v>74.3</v>
      </c>
      <c r="AK50" s="12"/>
      <c r="AL50" s="12">
        <f t="shared" si="8"/>
        <v>31.1</v>
      </c>
      <c r="AM50" s="12">
        <f t="shared" si="8"/>
        <v>19.100000000000001</v>
      </c>
      <c r="AN50" s="12">
        <f t="shared" si="8"/>
        <v>26.700000000000003</v>
      </c>
      <c r="AO50" s="12">
        <f t="shared" si="8"/>
        <v>74.3</v>
      </c>
      <c r="AP50" s="12">
        <f t="shared" si="9"/>
        <v>89</v>
      </c>
      <c r="AQ50" s="12">
        <f t="shared" si="9"/>
        <v>68.300000000000011</v>
      </c>
      <c r="AR50" s="12"/>
      <c r="AS50" s="12">
        <f t="shared" si="10"/>
        <v>53.5</v>
      </c>
      <c r="AT50" s="12">
        <f t="shared" si="10"/>
        <v>42.6</v>
      </c>
      <c r="AU50" s="12">
        <f t="shared" si="10"/>
        <v>90.7</v>
      </c>
      <c r="AV50" s="12">
        <f t="shared" si="10"/>
        <v>79.2</v>
      </c>
      <c r="AW50" s="12">
        <f t="shared" si="11"/>
        <v>56.2</v>
      </c>
      <c r="AX50" s="12">
        <f t="shared" si="11"/>
        <v>71</v>
      </c>
      <c r="AY50" s="12"/>
      <c r="AZ50" s="12">
        <f t="shared" si="3"/>
        <v>21.399999999999991</v>
      </c>
      <c r="BA50" s="12">
        <f t="shared" si="4"/>
        <v>37.200000000000003</v>
      </c>
      <c r="BB50" s="12"/>
      <c r="BC50" s="12">
        <f t="shared" si="5"/>
        <v>86.3</v>
      </c>
      <c r="BD50" s="12">
        <f t="shared" si="6"/>
        <v>65.5</v>
      </c>
      <c r="BE50" s="12">
        <f t="shared" si="7"/>
        <v>17</v>
      </c>
    </row>
    <row r="51" spans="1:57" ht="15.75" customHeight="1" x14ac:dyDescent="0.25">
      <c r="A51" s="1" t="s">
        <v>194</v>
      </c>
      <c r="B51" s="3" t="s">
        <v>140</v>
      </c>
      <c r="C51" s="4" t="s">
        <v>8</v>
      </c>
      <c r="D51" s="4">
        <v>42</v>
      </c>
      <c r="E51" s="4">
        <v>965</v>
      </c>
      <c r="F51" s="4">
        <v>42</v>
      </c>
      <c r="G51" s="4">
        <v>965</v>
      </c>
      <c r="H51" s="4">
        <v>0.36899999999999999</v>
      </c>
      <c r="I51" s="4">
        <v>19.8</v>
      </c>
      <c r="J51" s="4"/>
      <c r="K51" s="4">
        <v>0.28199999999999997</v>
      </c>
      <c r="L51" s="4">
        <v>8.2000000000000003E-2</v>
      </c>
      <c r="M51" s="4">
        <v>0.129</v>
      </c>
      <c r="N51" s="4">
        <v>4.7E-2</v>
      </c>
      <c r="O51" s="4">
        <v>2.4E-2</v>
      </c>
      <c r="P51" s="4">
        <v>0.71799999999999997</v>
      </c>
      <c r="Q51" s="4"/>
      <c r="R51" s="4">
        <v>0.43099999999999999</v>
      </c>
      <c r="S51" s="4">
        <v>0.66700000000000004</v>
      </c>
      <c r="T51" s="4">
        <v>0.39400000000000002</v>
      </c>
      <c r="U51" s="4">
        <v>0.16700000000000001</v>
      </c>
      <c r="V51" s="4">
        <v>0.33300000000000002</v>
      </c>
      <c r="W51" s="4">
        <v>0.34399999999999997</v>
      </c>
      <c r="X51" s="4"/>
      <c r="Y51" s="4">
        <v>0.129</v>
      </c>
      <c r="Z51" s="4">
        <v>0.873</v>
      </c>
      <c r="AA51" s="4"/>
      <c r="AB51" s="4">
        <v>0.153</v>
      </c>
      <c r="AC51" s="4">
        <v>0.46400000000000002</v>
      </c>
      <c r="AD51" s="10">
        <f t="shared" si="1"/>
        <v>0.663192</v>
      </c>
      <c r="AE51" s="9"/>
      <c r="AF51" s="9"/>
      <c r="AG51" s="12">
        <f t="shared" si="2"/>
        <v>83</v>
      </c>
      <c r="AH51" s="12">
        <f t="shared" si="2"/>
        <v>74.3</v>
      </c>
      <c r="AI51" s="12">
        <f t="shared" si="2"/>
        <v>14.2</v>
      </c>
      <c r="AJ51" s="12">
        <f t="shared" si="2"/>
        <v>93.899999999999991</v>
      </c>
      <c r="AK51" s="12"/>
      <c r="AL51" s="12">
        <f t="shared" si="8"/>
        <v>5.4</v>
      </c>
      <c r="AM51" s="12">
        <f t="shared" si="8"/>
        <v>10.9</v>
      </c>
      <c r="AN51" s="12">
        <f t="shared" si="8"/>
        <v>9.8000000000000007</v>
      </c>
      <c r="AO51" s="12">
        <f t="shared" si="8"/>
        <v>35.5</v>
      </c>
      <c r="AP51" s="12">
        <f t="shared" si="9"/>
        <v>30.599999999999998</v>
      </c>
      <c r="AQ51" s="12">
        <f t="shared" si="9"/>
        <v>94.5</v>
      </c>
      <c r="AR51" s="12"/>
      <c r="AS51" s="12">
        <f t="shared" si="10"/>
        <v>14.2</v>
      </c>
      <c r="AT51" s="12">
        <f t="shared" si="10"/>
        <v>46.400000000000006</v>
      </c>
      <c r="AU51" s="12">
        <f t="shared" si="10"/>
        <v>30.599999999999998</v>
      </c>
      <c r="AV51" s="12">
        <f t="shared" si="10"/>
        <v>22.900000000000002</v>
      </c>
      <c r="AW51" s="12">
        <f t="shared" si="11"/>
        <v>48</v>
      </c>
      <c r="AX51" s="12">
        <f t="shared" si="11"/>
        <v>57.3</v>
      </c>
      <c r="AY51" s="12"/>
      <c r="AZ51" s="12">
        <f t="shared" si="3"/>
        <v>99</v>
      </c>
      <c r="BA51" s="12">
        <f t="shared" si="4"/>
        <v>67.3</v>
      </c>
      <c r="BB51" s="12"/>
      <c r="BC51" s="12">
        <f t="shared" si="5"/>
        <v>33.300000000000004</v>
      </c>
      <c r="BD51" s="12">
        <f t="shared" si="6"/>
        <v>78.100000000000009</v>
      </c>
      <c r="BE51" s="12">
        <f t="shared" si="7"/>
        <v>67.3</v>
      </c>
    </row>
    <row r="52" spans="1:57" ht="15.75" customHeight="1" x14ac:dyDescent="0.25">
      <c r="A52" s="1" t="s">
        <v>278</v>
      </c>
      <c r="B52" s="3" t="s">
        <v>232</v>
      </c>
      <c r="C52" s="4" t="s">
        <v>88</v>
      </c>
      <c r="D52" s="4">
        <v>40</v>
      </c>
      <c r="E52" s="4">
        <v>961</v>
      </c>
      <c r="F52" s="4">
        <v>40</v>
      </c>
      <c r="G52" s="4">
        <v>961</v>
      </c>
      <c r="H52" s="4">
        <v>0.54900000000000004</v>
      </c>
      <c r="I52" s="4">
        <v>12.4</v>
      </c>
      <c r="J52" s="4"/>
      <c r="K52" s="4">
        <v>0.60499999999999998</v>
      </c>
      <c r="L52" s="4">
        <v>0.21099999999999999</v>
      </c>
      <c r="M52" s="4">
        <v>0.36199999999999999</v>
      </c>
      <c r="N52" s="4">
        <v>2.7E-2</v>
      </c>
      <c r="O52" s="4">
        <v>5.0000000000000001E-3</v>
      </c>
      <c r="P52" s="4">
        <v>0.39500000000000002</v>
      </c>
      <c r="Q52" s="4"/>
      <c r="R52" s="4">
        <v>0.67400000000000004</v>
      </c>
      <c r="S52" s="4">
        <v>0.78200000000000003</v>
      </c>
      <c r="T52" s="4">
        <v>0.64200000000000002</v>
      </c>
      <c r="U52" s="4">
        <v>0.4</v>
      </c>
      <c r="V52" s="4">
        <v>0</v>
      </c>
      <c r="W52" s="4">
        <v>0.35599999999999998</v>
      </c>
      <c r="X52" s="4"/>
      <c r="Y52" s="4">
        <v>0.82799999999999996</v>
      </c>
      <c r="Z52" s="4">
        <v>0.98099999999999998</v>
      </c>
      <c r="AA52" s="4"/>
      <c r="AB52" s="4">
        <v>0.185</v>
      </c>
      <c r="AC52" s="4">
        <v>0.40699999999999997</v>
      </c>
      <c r="AD52" s="10">
        <f t="shared" si="1"/>
        <v>0.88843499999999997</v>
      </c>
      <c r="AE52" s="9"/>
      <c r="AF52" s="9"/>
      <c r="AG52" s="12">
        <f t="shared" si="2"/>
        <v>63.9</v>
      </c>
      <c r="AH52" s="12">
        <f t="shared" si="2"/>
        <v>73.7</v>
      </c>
      <c r="AI52" s="12">
        <f t="shared" si="2"/>
        <v>92.300000000000011</v>
      </c>
      <c r="AJ52" s="12">
        <f t="shared" si="2"/>
        <v>34.4</v>
      </c>
      <c r="AK52" s="12"/>
      <c r="AL52" s="12">
        <f t="shared" si="8"/>
        <v>53.5</v>
      </c>
      <c r="AM52" s="12">
        <f t="shared" si="8"/>
        <v>57.3</v>
      </c>
      <c r="AN52" s="12">
        <f t="shared" si="8"/>
        <v>81.399999999999991</v>
      </c>
      <c r="AO52" s="12">
        <f t="shared" si="8"/>
        <v>18</v>
      </c>
      <c r="AP52" s="12">
        <f t="shared" si="9"/>
        <v>7.6</v>
      </c>
      <c r="AQ52" s="12">
        <f t="shared" si="9"/>
        <v>46.400000000000006</v>
      </c>
      <c r="AR52" s="12"/>
      <c r="AS52" s="12">
        <f t="shared" si="10"/>
        <v>98.3</v>
      </c>
      <c r="AT52" s="12">
        <f t="shared" si="10"/>
        <v>86.8</v>
      </c>
      <c r="AU52" s="12">
        <f t="shared" si="10"/>
        <v>96.7</v>
      </c>
      <c r="AV52" s="12">
        <f t="shared" si="10"/>
        <v>59</v>
      </c>
      <c r="AW52" s="12">
        <f t="shared" si="11"/>
        <v>0</v>
      </c>
      <c r="AX52" s="12">
        <f t="shared" si="11"/>
        <v>63.3</v>
      </c>
      <c r="AY52" s="12"/>
      <c r="AZ52" s="12">
        <f t="shared" si="3"/>
        <v>9.2999999999999972</v>
      </c>
      <c r="BA52" s="12">
        <f t="shared" si="4"/>
        <v>35.599999999999994</v>
      </c>
      <c r="BB52" s="12"/>
      <c r="BC52" s="12">
        <f t="shared" si="5"/>
        <v>50.2</v>
      </c>
      <c r="BD52" s="12">
        <f t="shared" si="6"/>
        <v>64.400000000000006</v>
      </c>
      <c r="BE52" s="12">
        <f t="shared" si="7"/>
        <v>12.599999999999994</v>
      </c>
    </row>
    <row r="53" spans="1:57" ht="15.75" customHeight="1" x14ac:dyDescent="0.25">
      <c r="A53" s="1" t="s">
        <v>200</v>
      </c>
      <c r="B53" s="3" t="s">
        <v>99</v>
      </c>
      <c r="C53" s="4" t="s">
        <v>8</v>
      </c>
      <c r="D53" s="4">
        <v>30</v>
      </c>
      <c r="E53" s="4">
        <v>950</v>
      </c>
      <c r="F53" s="4">
        <v>30</v>
      </c>
      <c r="G53" s="4">
        <v>950</v>
      </c>
      <c r="H53" s="4">
        <v>0.45600000000000002</v>
      </c>
      <c r="I53" s="4">
        <v>17.399999999999999</v>
      </c>
      <c r="J53" s="4"/>
      <c r="K53" s="4">
        <v>0.54400000000000004</v>
      </c>
      <c r="L53" s="4">
        <v>8.2000000000000003E-2</v>
      </c>
      <c r="M53" s="4">
        <v>0.13700000000000001</v>
      </c>
      <c r="N53" s="4">
        <v>0.17499999999999999</v>
      </c>
      <c r="O53" s="4">
        <v>0.14899999999999999</v>
      </c>
      <c r="P53" s="4">
        <v>0.45600000000000002</v>
      </c>
      <c r="Q53" s="4"/>
      <c r="R53" s="4">
        <v>0.505</v>
      </c>
      <c r="S53" s="4">
        <v>0.71399999999999997</v>
      </c>
      <c r="T53" s="4">
        <v>0.34</v>
      </c>
      <c r="U53" s="4">
        <v>0.61699999999999999</v>
      </c>
      <c r="V53" s="4">
        <v>0.41199999999999998</v>
      </c>
      <c r="W53" s="4">
        <v>0.39700000000000002</v>
      </c>
      <c r="X53" s="4"/>
      <c r="Y53" s="4">
        <v>0.72299999999999998</v>
      </c>
      <c r="Z53" s="4">
        <v>0.93500000000000005</v>
      </c>
      <c r="AA53" s="4"/>
      <c r="AB53" s="4">
        <v>0.154</v>
      </c>
      <c r="AC53" s="4">
        <v>0.375</v>
      </c>
      <c r="AD53" s="10">
        <f t="shared" si="1"/>
        <v>0.81967199999999996</v>
      </c>
      <c r="AE53" s="9"/>
      <c r="AF53" s="9"/>
      <c r="AG53" s="12">
        <f t="shared" si="2"/>
        <v>30.599999999999998</v>
      </c>
      <c r="AH53" s="12">
        <f t="shared" si="2"/>
        <v>72.599999999999994</v>
      </c>
      <c r="AI53" s="12">
        <f t="shared" si="2"/>
        <v>60.6</v>
      </c>
      <c r="AJ53" s="12">
        <f t="shared" si="2"/>
        <v>80.300000000000011</v>
      </c>
      <c r="AK53" s="12"/>
      <c r="AL53" s="12">
        <f t="shared" si="8"/>
        <v>39.300000000000004</v>
      </c>
      <c r="AM53" s="12">
        <f t="shared" si="8"/>
        <v>10.9</v>
      </c>
      <c r="AN53" s="12">
        <f t="shared" si="8"/>
        <v>12.5</v>
      </c>
      <c r="AO53" s="12">
        <f t="shared" si="8"/>
        <v>93.4</v>
      </c>
      <c r="AP53" s="12">
        <f t="shared" si="9"/>
        <v>98.3</v>
      </c>
      <c r="AQ53" s="12">
        <f t="shared" si="9"/>
        <v>60.099999999999994</v>
      </c>
      <c r="AR53" s="12"/>
      <c r="AS53" s="12">
        <f t="shared" si="10"/>
        <v>44.2</v>
      </c>
      <c r="AT53" s="12">
        <f t="shared" si="10"/>
        <v>65.5</v>
      </c>
      <c r="AU53" s="12">
        <f t="shared" si="10"/>
        <v>16.900000000000002</v>
      </c>
      <c r="AV53" s="12">
        <f t="shared" si="10"/>
        <v>92.800000000000011</v>
      </c>
      <c r="AW53" s="12">
        <f t="shared" si="11"/>
        <v>69.3</v>
      </c>
      <c r="AX53" s="12">
        <f t="shared" si="11"/>
        <v>81.899999999999991</v>
      </c>
      <c r="AY53" s="12"/>
      <c r="AZ53" s="12">
        <f t="shared" si="3"/>
        <v>27.400000000000006</v>
      </c>
      <c r="BA53" s="12">
        <f t="shared" si="4"/>
        <v>52</v>
      </c>
      <c r="BB53" s="12"/>
      <c r="BC53" s="12">
        <f t="shared" si="5"/>
        <v>34.9</v>
      </c>
      <c r="BD53" s="12">
        <f t="shared" si="6"/>
        <v>54.6</v>
      </c>
      <c r="BE53" s="12">
        <f t="shared" si="7"/>
        <v>29</v>
      </c>
    </row>
    <row r="54" spans="1:57" ht="15.75" customHeight="1" x14ac:dyDescent="0.25">
      <c r="A54" s="1" t="s">
        <v>244</v>
      </c>
      <c r="B54" s="4" t="s">
        <v>140</v>
      </c>
      <c r="C54" s="4" t="s">
        <v>85</v>
      </c>
      <c r="D54" s="4">
        <v>38</v>
      </c>
      <c r="E54" s="4">
        <v>950</v>
      </c>
      <c r="F54" s="4">
        <v>38</v>
      </c>
      <c r="G54" s="4">
        <v>950</v>
      </c>
      <c r="H54" s="4">
        <v>0.436</v>
      </c>
      <c r="I54" s="4">
        <v>15.1</v>
      </c>
      <c r="J54" s="4"/>
      <c r="K54" s="4">
        <v>0.47099999999999997</v>
      </c>
      <c r="L54" s="4">
        <v>0.19800000000000001</v>
      </c>
      <c r="M54" s="4">
        <v>0.218</v>
      </c>
      <c r="N54" s="4">
        <v>2.3E-2</v>
      </c>
      <c r="O54" s="4">
        <v>3.1E-2</v>
      </c>
      <c r="P54" s="4">
        <v>0.52900000000000003</v>
      </c>
      <c r="Q54" s="4"/>
      <c r="R54" s="4">
        <v>0.47899999999999998</v>
      </c>
      <c r="S54" s="4">
        <v>0.58799999999999997</v>
      </c>
      <c r="T54" s="4">
        <v>0.46400000000000002</v>
      </c>
      <c r="U54" s="4">
        <v>0.33300000000000002</v>
      </c>
      <c r="V54" s="4">
        <v>0</v>
      </c>
      <c r="W54" s="4">
        <v>0.39700000000000002</v>
      </c>
      <c r="X54" s="4"/>
      <c r="Y54" s="4">
        <v>0.56899999999999995</v>
      </c>
      <c r="Z54" s="4">
        <v>1</v>
      </c>
      <c r="AA54" s="4"/>
      <c r="AB54" s="4">
        <v>0.434</v>
      </c>
      <c r="AC54" s="4">
        <v>0.40699999999999997</v>
      </c>
      <c r="AD54" s="10">
        <f t="shared" si="1"/>
        <v>0.79699900000000001</v>
      </c>
      <c r="AE54" s="9"/>
      <c r="AF54" s="9"/>
      <c r="AG54" s="12">
        <f t="shared" si="2"/>
        <v>53</v>
      </c>
      <c r="AH54" s="12">
        <f t="shared" si="2"/>
        <v>72.599999999999994</v>
      </c>
      <c r="AI54" s="12">
        <f t="shared" si="2"/>
        <v>51.300000000000004</v>
      </c>
      <c r="AJ54" s="12">
        <f t="shared" si="2"/>
        <v>60.099999999999994</v>
      </c>
      <c r="AK54" s="12"/>
      <c r="AL54" s="12">
        <f t="shared" si="8"/>
        <v>22.900000000000002</v>
      </c>
      <c r="AM54" s="12">
        <f t="shared" si="8"/>
        <v>51.300000000000004</v>
      </c>
      <c r="AN54" s="12">
        <f t="shared" si="8"/>
        <v>39.300000000000004</v>
      </c>
      <c r="AO54" s="12">
        <f t="shared" si="8"/>
        <v>15.299999999999999</v>
      </c>
      <c r="AP54" s="12">
        <f t="shared" si="9"/>
        <v>40.400000000000006</v>
      </c>
      <c r="AQ54" s="12">
        <f t="shared" si="9"/>
        <v>76.5</v>
      </c>
      <c r="AR54" s="12"/>
      <c r="AS54" s="12">
        <f t="shared" si="10"/>
        <v>33.300000000000004</v>
      </c>
      <c r="AT54" s="12">
        <f t="shared" si="10"/>
        <v>22.400000000000002</v>
      </c>
      <c r="AU54" s="12">
        <f t="shared" si="10"/>
        <v>57.3</v>
      </c>
      <c r="AV54" s="12">
        <f t="shared" si="10"/>
        <v>40.9</v>
      </c>
      <c r="AW54" s="12">
        <f t="shared" si="11"/>
        <v>0</v>
      </c>
      <c r="AX54" s="12">
        <f t="shared" si="11"/>
        <v>81.899999999999991</v>
      </c>
      <c r="AY54" s="12"/>
      <c r="AZ54" s="12">
        <f t="shared" si="3"/>
        <v>56.9</v>
      </c>
      <c r="BA54" s="12">
        <f t="shared" si="4"/>
        <v>33.899999999999991</v>
      </c>
      <c r="BB54" s="12"/>
      <c r="BC54" s="12">
        <f t="shared" si="5"/>
        <v>91.8</v>
      </c>
      <c r="BD54" s="12">
        <f t="shared" si="6"/>
        <v>64.400000000000006</v>
      </c>
      <c r="BE54" s="12">
        <f t="shared" si="7"/>
        <v>35</v>
      </c>
    </row>
    <row r="55" spans="1:57" ht="15.75" customHeight="1" x14ac:dyDescent="0.25">
      <c r="A55" s="1" t="s">
        <v>120</v>
      </c>
      <c r="B55" s="3" t="s">
        <v>96</v>
      </c>
      <c r="C55" s="4" t="s">
        <v>85</v>
      </c>
      <c r="D55" s="4">
        <v>42</v>
      </c>
      <c r="E55" s="4">
        <v>948</v>
      </c>
      <c r="F55" s="4">
        <v>42</v>
      </c>
      <c r="G55" s="4">
        <v>948</v>
      </c>
      <c r="H55" s="4">
        <v>0.438</v>
      </c>
      <c r="I55" s="4">
        <v>16.7</v>
      </c>
      <c r="J55" s="4"/>
      <c r="K55" s="4">
        <v>0.40200000000000002</v>
      </c>
      <c r="L55" s="4">
        <v>0.192</v>
      </c>
      <c r="M55" s="4">
        <v>0.129</v>
      </c>
      <c r="N55" s="4">
        <v>0.04</v>
      </c>
      <c r="O55" s="4">
        <v>0.04</v>
      </c>
      <c r="P55" s="4">
        <v>0.59799999999999998</v>
      </c>
      <c r="Q55" s="4"/>
      <c r="R55" s="4">
        <v>0.52200000000000002</v>
      </c>
      <c r="S55" s="4">
        <v>0.67400000000000004</v>
      </c>
      <c r="T55" s="4">
        <v>0.48299999999999998</v>
      </c>
      <c r="U55" s="4">
        <v>0.111</v>
      </c>
      <c r="V55" s="4">
        <v>0.33300000000000002</v>
      </c>
      <c r="W55" s="4">
        <v>0.38100000000000001</v>
      </c>
      <c r="X55" s="4"/>
      <c r="Y55" s="4">
        <v>0.83</v>
      </c>
      <c r="Z55" s="4">
        <v>0.98</v>
      </c>
      <c r="AA55" s="4"/>
      <c r="AB55" s="4">
        <v>0.26100000000000001</v>
      </c>
      <c r="AC55" s="4">
        <v>0.371</v>
      </c>
      <c r="AD55" s="10">
        <f t="shared" si="1"/>
        <v>0.91969999999999996</v>
      </c>
      <c r="AE55" s="9"/>
      <c r="AF55" s="9"/>
      <c r="AG55" s="12">
        <f t="shared" si="2"/>
        <v>83</v>
      </c>
      <c r="AH55" s="12">
        <f t="shared" si="2"/>
        <v>72.099999999999994</v>
      </c>
      <c r="AI55" s="12">
        <f t="shared" si="2"/>
        <v>53.5</v>
      </c>
      <c r="AJ55" s="12">
        <f t="shared" si="2"/>
        <v>75.400000000000006</v>
      </c>
      <c r="AK55" s="12"/>
      <c r="AL55" s="12">
        <f t="shared" si="8"/>
        <v>15.8</v>
      </c>
      <c r="AM55" s="12">
        <f t="shared" si="8"/>
        <v>48</v>
      </c>
      <c r="AN55" s="12">
        <f t="shared" si="8"/>
        <v>9.8000000000000007</v>
      </c>
      <c r="AO55" s="12">
        <f t="shared" si="8"/>
        <v>31.1</v>
      </c>
      <c r="AP55" s="12">
        <f t="shared" si="9"/>
        <v>51.9</v>
      </c>
      <c r="AQ55" s="12">
        <f t="shared" si="9"/>
        <v>84.1</v>
      </c>
      <c r="AR55" s="12"/>
      <c r="AS55" s="12">
        <f t="shared" si="10"/>
        <v>54</v>
      </c>
      <c r="AT55" s="12">
        <f t="shared" si="10"/>
        <v>50.8</v>
      </c>
      <c r="AU55" s="12">
        <f t="shared" si="10"/>
        <v>66.100000000000009</v>
      </c>
      <c r="AV55" s="12">
        <f t="shared" si="10"/>
        <v>20.200000000000003</v>
      </c>
      <c r="AW55" s="12">
        <f t="shared" si="11"/>
        <v>48</v>
      </c>
      <c r="AX55" s="12">
        <f t="shared" si="11"/>
        <v>74.8</v>
      </c>
      <c r="AY55" s="12"/>
      <c r="AZ55" s="12">
        <f t="shared" si="3"/>
        <v>8.2000000000000028</v>
      </c>
      <c r="BA55" s="12">
        <f t="shared" si="4"/>
        <v>36.1</v>
      </c>
      <c r="BB55" s="12"/>
      <c r="BC55" s="12">
        <f t="shared" si="5"/>
        <v>72.599999999999994</v>
      </c>
      <c r="BD55" s="12">
        <f t="shared" si="6"/>
        <v>53.5</v>
      </c>
      <c r="BE55" s="12">
        <f t="shared" si="7"/>
        <v>6.1000000000000085</v>
      </c>
    </row>
    <row r="56" spans="1:57" ht="15.75" customHeight="1" x14ac:dyDescent="0.25">
      <c r="A56" s="1" t="s">
        <v>165</v>
      </c>
      <c r="B56" s="3" t="s">
        <v>161</v>
      </c>
      <c r="C56" s="4" t="s">
        <v>8</v>
      </c>
      <c r="D56" s="4">
        <v>32</v>
      </c>
      <c r="E56" s="4">
        <v>944</v>
      </c>
      <c r="F56" s="4">
        <v>32</v>
      </c>
      <c r="G56" s="4">
        <v>944</v>
      </c>
      <c r="H56" s="4">
        <v>0.441</v>
      </c>
      <c r="I56" s="4">
        <v>17.899999999999999</v>
      </c>
      <c r="J56" s="4"/>
      <c r="K56" s="4">
        <v>0.44700000000000001</v>
      </c>
      <c r="L56" s="4">
        <v>0.13200000000000001</v>
      </c>
      <c r="M56" s="4">
        <v>0.14799999999999999</v>
      </c>
      <c r="N56" s="4">
        <v>9.2999999999999999E-2</v>
      </c>
      <c r="O56" s="4">
        <v>7.4999999999999997E-2</v>
      </c>
      <c r="P56" s="4">
        <v>0.55300000000000005</v>
      </c>
      <c r="Q56" s="4"/>
      <c r="R56" s="4">
        <v>0.51100000000000001</v>
      </c>
      <c r="S56" s="4">
        <v>0.78500000000000003</v>
      </c>
      <c r="T56" s="4">
        <v>0.38400000000000001</v>
      </c>
      <c r="U56" s="4">
        <v>0.41299999999999998</v>
      </c>
      <c r="V56" s="4">
        <v>0.40500000000000003</v>
      </c>
      <c r="W56" s="4">
        <v>0.38500000000000001</v>
      </c>
      <c r="X56" s="4"/>
      <c r="Y56" s="4">
        <v>0.41599999999999998</v>
      </c>
      <c r="Z56" s="4">
        <v>0.64800000000000002</v>
      </c>
      <c r="AA56" s="4"/>
      <c r="AB56" s="4">
        <v>0.11700000000000001</v>
      </c>
      <c r="AC56" s="4">
        <v>0.375</v>
      </c>
      <c r="AD56" s="10">
        <f t="shared" si="1"/>
        <v>0.54429600000000011</v>
      </c>
      <c r="AE56" s="9"/>
      <c r="AF56" s="9"/>
      <c r="AG56" s="12">
        <f t="shared" si="2"/>
        <v>35.5</v>
      </c>
      <c r="AH56" s="12">
        <f t="shared" si="2"/>
        <v>71.5</v>
      </c>
      <c r="AI56" s="12">
        <f t="shared" si="2"/>
        <v>54.6</v>
      </c>
      <c r="AJ56" s="12">
        <f t="shared" si="2"/>
        <v>83.6</v>
      </c>
      <c r="AK56" s="12"/>
      <c r="AL56" s="12">
        <f t="shared" si="8"/>
        <v>18</v>
      </c>
      <c r="AM56" s="12">
        <f t="shared" si="8"/>
        <v>27.3</v>
      </c>
      <c r="AN56" s="12">
        <f t="shared" si="8"/>
        <v>15.8</v>
      </c>
      <c r="AO56" s="12">
        <f t="shared" si="8"/>
        <v>68.8</v>
      </c>
      <c r="AP56" s="12">
        <f t="shared" si="9"/>
        <v>79.2</v>
      </c>
      <c r="AQ56" s="12">
        <f t="shared" si="9"/>
        <v>81.399999999999991</v>
      </c>
      <c r="AR56" s="12"/>
      <c r="AS56" s="12">
        <f t="shared" si="10"/>
        <v>46.400000000000006</v>
      </c>
      <c r="AT56" s="12">
        <f t="shared" si="10"/>
        <v>87.4</v>
      </c>
      <c r="AU56" s="12">
        <f t="shared" si="10"/>
        <v>25.1</v>
      </c>
      <c r="AV56" s="12">
        <f t="shared" si="10"/>
        <v>63.9</v>
      </c>
      <c r="AW56" s="12">
        <f t="shared" si="11"/>
        <v>66.600000000000009</v>
      </c>
      <c r="AX56" s="12">
        <f t="shared" si="11"/>
        <v>77</v>
      </c>
      <c r="AY56" s="12"/>
      <c r="AZ56" s="12">
        <f t="shared" si="3"/>
        <v>80.400000000000006</v>
      </c>
      <c r="BA56" s="12">
        <f t="shared" si="4"/>
        <v>89.1</v>
      </c>
      <c r="BB56" s="12"/>
      <c r="BC56" s="12">
        <f t="shared" si="5"/>
        <v>20.200000000000003</v>
      </c>
      <c r="BD56" s="12">
        <f t="shared" si="6"/>
        <v>54.6</v>
      </c>
      <c r="BE56" s="12">
        <f t="shared" si="7"/>
        <v>83.7</v>
      </c>
    </row>
    <row r="57" spans="1:57" ht="15.75" customHeight="1" x14ac:dyDescent="0.25">
      <c r="A57" s="1" t="s">
        <v>174</v>
      </c>
      <c r="B57" s="3" t="s">
        <v>117</v>
      </c>
      <c r="C57" s="4" t="s">
        <v>85</v>
      </c>
      <c r="D57" s="4">
        <v>38</v>
      </c>
      <c r="E57" s="4">
        <v>925</v>
      </c>
      <c r="F57" s="4">
        <v>38</v>
      </c>
      <c r="G57" s="4">
        <v>925</v>
      </c>
      <c r="H57" s="4">
        <v>0.63800000000000001</v>
      </c>
      <c r="I57" s="4">
        <v>5.6</v>
      </c>
      <c r="J57" s="4"/>
      <c r="K57" s="4">
        <v>0.97199999999999998</v>
      </c>
      <c r="L57" s="4">
        <v>0.26100000000000001</v>
      </c>
      <c r="M57" s="4">
        <v>0.63100000000000001</v>
      </c>
      <c r="N57" s="4">
        <v>5.8999999999999997E-2</v>
      </c>
      <c r="O57" s="4">
        <v>2.1000000000000001E-2</v>
      </c>
      <c r="P57" s="4">
        <v>2.8000000000000001E-2</v>
      </c>
      <c r="Q57" s="4"/>
      <c r="R57" s="4">
        <v>0.65200000000000002</v>
      </c>
      <c r="S57" s="4">
        <v>0.77300000000000002</v>
      </c>
      <c r="T57" s="4">
        <v>0.63</v>
      </c>
      <c r="U57" s="4">
        <v>0.47099999999999997</v>
      </c>
      <c r="V57" s="4">
        <v>0.33300000000000002</v>
      </c>
      <c r="W57" s="4">
        <v>0.125</v>
      </c>
      <c r="X57" s="4"/>
      <c r="Y57" s="4">
        <v>0.72</v>
      </c>
      <c r="Z57" s="4">
        <v>1</v>
      </c>
      <c r="AA57" s="4"/>
      <c r="AB57" s="4">
        <v>0</v>
      </c>
      <c r="AC57" s="4">
        <v>0</v>
      </c>
      <c r="AD57" s="10">
        <f t="shared" si="1"/>
        <v>0.72783999999999993</v>
      </c>
      <c r="AE57" s="9"/>
      <c r="AF57" s="9"/>
      <c r="AG57" s="12">
        <f t="shared" si="2"/>
        <v>53</v>
      </c>
      <c r="AH57" s="12">
        <f t="shared" si="2"/>
        <v>71</v>
      </c>
      <c r="AI57" s="12">
        <f t="shared" si="2"/>
        <v>99.4</v>
      </c>
      <c r="AJ57" s="12">
        <f t="shared" si="2"/>
        <v>6</v>
      </c>
      <c r="AK57" s="12"/>
      <c r="AL57" s="12">
        <f t="shared" si="8"/>
        <v>94.5</v>
      </c>
      <c r="AM57" s="12">
        <f t="shared" si="8"/>
        <v>67.7</v>
      </c>
      <c r="AN57" s="12">
        <f t="shared" si="8"/>
        <v>100</v>
      </c>
      <c r="AO57" s="12">
        <f t="shared" si="8"/>
        <v>45.300000000000004</v>
      </c>
      <c r="AP57" s="12">
        <f t="shared" si="9"/>
        <v>27.3</v>
      </c>
      <c r="AQ57" s="12">
        <f t="shared" si="9"/>
        <v>5.4</v>
      </c>
      <c r="AR57" s="12"/>
      <c r="AS57" s="12">
        <f t="shared" si="10"/>
        <v>97.2</v>
      </c>
      <c r="AT57" s="12">
        <f t="shared" si="10"/>
        <v>85.2</v>
      </c>
      <c r="AU57" s="12">
        <f t="shared" si="10"/>
        <v>96.1</v>
      </c>
      <c r="AV57" s="12">
        <f t="shared" si="10"/>
        <v>77.5</v>
      </c>
      <c r="AW57" s="12">
        <f t="shared" si="11"/>
        <v>48</v>
      </c>
      <c r="AX57" s="12">
        <f t="shared" si="11"/>
        <v>5.4</v>
      </c>
      <c r="AY57" s="12"/>
      <c r="AZ57" s="12">
        <f t="shared" si="3"/>
        <v>28.5</v>
      </c>
      <c r="BA57" s="12">
        <f t="shared" si="4"/>
        <v>33.899999999999991</v>
      </c>
      <c r="BB57" s="12"/>
      <c r="BC57" s="12">
        <f t="shared" si="5"/>
        <v>0</v>
      </c>
      <c r="BD57" s="12">
        <f t="shared" si="6"/>
        <v>0</v>
      </c>
      <c r="BE57" s="12">
        <f t="shared" si="7"/>
        <v>50.3</v>
      </c>
    </row>
    <row r="58" spans="1:57" ht="15.75" customHeight="1" x14ac:dyDescent="0.25">
      <c r="A58" s="1" t="s">
        <v>126</v>
      </c>
      <c r="B58" s="3" t="s">
        <v>107</v>
      </c>
      <c r="C58" s="4" t="s">
        <v>85</v>
      </c>
      <c r="D58" s="4">
        <v>41</v>
      </c>
      <c r="E58" s="4">
        <v>924</v>
      </c>
      <c r="F58" s="4">
        <v>41</v>
      </c>
      <c r="G58" s="4">
        <v>924</v>
      </c>
      <c r="H58" s="4">
        <v>0.36399999999999999</v>
      </c>
      <c r="I58" s="4">
        <v>14</v>
      </c>
      <c r="J58" s="4"/>
      <c r="K58" s="4">
        <v>0.57699999999999996</v>
      </c>
      <c r="L58" s="4">
        <v>0.19600000000000001</v>
      </c>
      <c r="M58" s="4">
        <v>0.25800000000000001</v>
      </c>
      <c r="N58" s="4">
        <v>7.8E-2</v>
      </c>
      <c r="O58" s="4">
        <v>4.4999999999999998E-2</v>
      </c>
      <c r="P58" s="4">
        <v>0.42299999999999999</v>
      </c>
      <c r="Q58" s="4"/>
      <c r="R58" s="4">
        <v>0.39300000000000002</v>
      </c>
      <c r="S58" s="4">
        <v>0.6</v>
      </c>
      <c r="T58" s="4">
        <v>0.27200000000000002</v>
      </c>
      <c r="U58" s="4">
        <v>0.28599999999999998</v>
      </c>
      <c r="V58" s="4">
        <v>0.375</v>
      </c>
      <c r="W58" s="4">
        <v>0.32500000000000001</v>
      </c>
      <c r="X58" s="4"/>
      <c r="Y58" s="4">
        <v>0.57999999999999996</v>
      </c>
      <c r="Z58" s="4">
        <v>0.83699999999999997</v>
      </c>
      <c r="AA58" s="4"/>
      <c r="AB58" s="4">
        <v>0.252</v>
      </c>
      <c r="AC58" s="4">
        <v>0.26300000000000001</v>
      </c>
      <c r="AD58" s="10">
        <f t="shared" si="1"/>
        <v>0.68871099999999985</v>
      </c>
      <c r="AE58" s="9"/>
      <c r="AF58" s="9"/>
      <c r="AG58" s="12">
        <f t="shared" si="2"/>
        <v>69.3</v>
      </c>
      <c r="AH58" s="12">
        <f t="shared" si="2"/>
        <v>70.399999999999991</v>
      </c>
      <c r="AI58" s="12">
        <f t="shared" si="2"/>
        <v>12</v>
      </c>
      <c r="AJ58" s="12">
        <f t="shared" si="2"/>
        <v>49.7</v>
      </c>
      <c r="AK58" s="12"/>
      <c r="AL58" s="12">
        <f t="shared" si="8"/>
        <v>45.300000000000004</v>
      </c>
      <c r="AM58" s="12">
        <f t="shared" si="8"/>
        <v>50.2</v>
      </c>
      <c r="AN58" s="12">
        <f t="shared" si="8"/>
        <v>51.9</v>
      </c>
      <c r="AO58" s="12">
        <f t="shared" si="8"/>
        <v>58.4</v>
      </c>
      <c r="AP58" s="12">
        <f t="shared" si="9"/>
        <v>56.8</v>
      </c>
      <c r="AQ58" s="12">
        <f t="shared" si="9"/>
        <v>54.6</v>
      </c>
      <c r="AR58" s="12"/>
      <c r="AS58" s="12">
        <f t="shared" si="10"/>
        <v>9.8000000000000007</v>
      </c>
      <c r="AT58" s="12">
        <f t="shared" si="10"/>
        <v>24.5</v>
      </c>
      <c r="AU58" s="12">
        <f t="shared" si="10"/>
        <v>3.8</v>
      </c>
      <c r="AV58" s="12">
        <f t="shared" si="10"/>
        <v>33.300000000000004</v>
      </c>
      <c r="AW58" s="12">
        <f t="shared" si="11"/>
        <v>60.099999999999994</v>
      </c>
      <c r="AX58" s="12">
        <f t="shared" si="11"/>
        <v>48</v>
      </c>
      <c r="AY58" s="12"/>
      <c r="AZ58" s="12">
        <f t="shared" si="3"/>
        <v>55.8</v>
      </c>
      <c r="BA58" s="12">
        <f t="shared" si="4"/>
        <v>72.199999999999989</v>
      </c>
      <c r="BB58" s="12"/>
      <c r="BC58" s="12">
        <f t="shared" si="5"/>
        <v>69.899999999999991</v>
      </c>
      <c r="BD58" s="12">
        <f t="shared" si="6"/>
        <v>31.1</v>
      </c>
      <c r="BE58" s="12">
        <f t="shared" si="7"/>
        <v>61.8</v>
      </c>
    </row>
    <row r="59" spans="1:57" ht="15.75" customHeight="1" x14ac:dyDescent="0.25">
      <c r="A59" s="1" t="s">
        <v>110</v>
      </c>
      <c r="B59" s="3" t="s">
        <v>91</v>
      </c>
      <c r="C59" s="4" t="s">
        <v>85</v>
      </c>
      <c r="D59" s="4">
        <v>37</v>
      </c>
      <c r="E59" s="4">
        <v>917</v>
      </c>
      <c r="F59" s="4">
        <v>37</v>
      </c>
      <c r="G59" s="4">
        <v>917</v>
      </c>
      <c r="H59" s="4">
        <v>0.40699999999999997</v>
      </c>
      <c r="I59" s="4">
        <v>15</v>
      </c>
      <c r="J59" s="4"/>
      <c r="K59" s="4">
        <v>0.60399999999999998</v>
      </c>
      <c r="L59" s="4">
        <v>9.6000000000000002E-2</v>
      </c>
      <c r="M59" s="4">
        <v>0.29799999999999999</v>
      </c>
      <c r="N59" s="4">
        <v>0.124</v>
      </c>
      <c r="O59" s="4">
        <v>8.5999999999999993E-2</v>
      </c>
      <c r="P59" s="4">
        <v>0.39600000000000002</v>
      </c>
      <c r="Q59" s="4"/>
      <c r="R59" s="4">
        <v>0.44700000000000001</v>
      </c>
      <c r="S59" s="4">
        <v>0.622</v>
      </c>
      <c r="T59" s="4">
        <v>0.48899999999999999</v>
      </c>
      <c r="U59" s="4">
        <v>0.36199999999999999</v>
      </c>
      <c r="V59" s="4">
        <v>0.22500000000000001</v>
      </c>
      <c r="W59" s="4">
        <v>0.34599999999999997</v>
      </c>
      <c r="X59" s="4"/>
      <c r="Y59" s="4">
        <v>0.5</v>
      </c>
      <c r="Z59" s="4">
        <v>0.85899999999999999</v>
      </c>
      <c r="AA59" s="4"/>
      <c r="AB59" s="4">
        <v>0.13</v>
      </c>
      <c r="AC59" s="4">
        <v>0.375</v>
      </c>
      <c r="AD59" s="10">
        <f t="shared" si="1"/>
        <v>0.64216399999999996</v>
      </c>
      <c r="AE59" s="9"/>
      <c r="AF59" s="9"/>
      <c r="AG59" s="12">
        <f t="shared" si="2"/>
        <v>48</v>
      </c>
      <c r="AH59" s="12">
        <f t="shared" si="2"/>
        <v>69.899999999999991</v>
      </c>
      <c r="AI59" s="12">
        <f t="shared" si="2"/>
        <v>34.4</v>
      </c>
      <c r="AJ59" s="12">
        <f t="shared" si="2"/>
        <v>58.4</v>
      </c>
      <c r="AK59" s="12"/>
      <c r="AL59" s="12">
        <f t="shared" si="8"/>
        <v>52.400000000000006</v>
      </c>
      <c r="AM59" s="12">
        <f t="shared" si="8"/>
        <v>13.100000000000001</v>
      </c>
      <c r="AN59" s="12">
        <f t="shared" si="8"/>
        <v>65.5</v>
      </c>
      <c r="AO59" s="12">
        <f t="shared" si="8"/>
        <v>82.5</v>
      </c>
      <c r="AP59" s="12">
        <f t="shared" si="9"/>
        <v>84.6</v>
      </c>
      <c r="AQ59" s="12">
        <f t="shared" si="9"/>
        <v>46.9</v>
      </c>
      <c r="AR59" s="12"/>
      <c r="AS59" s="12">
        <f t="shared" si="10"/>
        <v>18</v>
      </c>
      <c r="AT59" s="12">
        <f t="shared" si="10"/>
        <v>33.300000000000004</v>
      </c>
      <c r="AU59" s="12">
        <f t="shared" si="10"/>
        <v>68.8</v>
      </c>
      <c r="AV59" s="12">
        <f t="shared" si="10"/>
        <v>51.9</v>
      </c>
      <c r="AW59" s="12">
        <f t="shared" si="11"/>
        <v>31.6</v>
      </c>
      <c r="AX59" s="12">
        <f t="shared" si="11"/>
        <v>59</v>
      </c>
      <c r="AY59" s="12"/>
      <c r="AZ59" s="12">
        <f t="shared" si="3"/>
        <v>68.900000000000006</v>
      </c>
      <c r="BA59" s="12">
        <f t="shared" si="4"/>
        <v>67.8</v>
      </c>
      <c r="BB59" s="12"/>
      <c r="BC59" s="12">
        <f t="shared" si="5"/>
        <v>24</v>
      </c>
      <c r="BD59" s="12">
        <f t="shared" si="6"/>
        <v>54.6</v>
      </c>
      <c r="BE59" s="12">
        <f t="shared" si="7"/>
        <v>71.599999999999994</v>
      </c>
    </row>
    <row r="60" spans="1:57" ht="15.75" customHeight="1" x14ac:dyDescent="0.25">
      <c r="A60" s="1" t="s">
        <v>176</v>
      </c>
      <c r="B60" s="4" t="s">
        <v>157</v>
      </c>
      <c r="C60" s="4" t="s">
        <v>8</v>
      </c>
      <c r="D60" s="4">
        <v>41</v>
      </c>
      <c r="E60" s="4">
        <v>911</v>
      </c>
      <c r="F60" s="4">
        <v>41</v>
      </c>
      <c r="G60" s="4">
        <v>911</v>
      </c>
      <c r="H60" s="4">
        <v>0.46500000000000002</v>
      </c>
      <c r="I60" s="4">
        <v>18.899999999999999</v>
      </c>
      <c r="J60" s="4"/>
      <c r="K60" s="4">
        <v>0.30199999999999999</v>
      </c>
      <c r="L60" s="4">
        <v>0.16700000000000001</v>
      </c>
      <c r="M60" s="4">
        <v>9.8000000000000004E-2</v>
      </c>
      <c r="N60" s="4">
        <v>1.9E-2</v>
      </c>
      <c r="O60" s="4">
        <v>1.9E-2</v>
      </c>
      <c r="P60" s="4">
        <v>0.69799999999999995</v>
      </c>
      <c r="Q60" s="4"/>
      <c r="R60" s="4">
        <v>0.55400000000000005</v>
      </c>
      <c r="S60" s="4">
        <v>0.72199999999999998</v>
      </c>
      <c r="T60" s="4">
        <v>0.38100000000000001</v>
      </c>
      <c r="U60" s="4">
        <v>0.25</v>
      </c>
      <c r="V60" s="4">
        <v>0.25</v>
      </c>
      <c r="W60" s="4">
        <v>0.42699999999999999</v>
      </c>
      <c r="X60" s="4"/>
      <c r="Y60" s="4">
        <v>0.77800000000000002</v>
      </c>
      <c r="Z60" s="4">
        <v>0.93799999999999994</v>
      </c>
      <c r="AA60" s="4"/>
      <c r="AB60" s="4">
        <v>0.22700000000000001</v>
      </c>
      <c r="AC60" s="4">
        <v>0.38200000000000001</v>
      </c>
      <c r="AD60" s="10">
        <f t="shared" si="1"/>
        <v>0.88968000000000003</v>
      </c>
      <c r="AE60" s="9"/>
      <c r="AF60" s="9"/>
      <c r="AG60" s="12">
        <f t="shared" si="2"/>
        <v>69.3</v>
      </c>
      <c r="AH60" s="12">
        <f t="shared" si="2"/>
        <v>69.3</v>
      </c>
      <c r="AI60" s="12">
        <f t="shared" si="2"/>
        <v>67.2</v>
      </c>
      <c r="AJ60" s="12">
        <f t="shared" si="2"/>
        <v>89</v>
      </c>
      <c r="AK60" s="12"/>
      <c r="AL60" s="12">
        <f t="shared" si="8"/>
        <v>6.5</v>
      </c>
      <c r="AM60" s="12">
        <f t="shared" si="8"/>
        <v>40.9</v>
      </c>
      <c r="AN60" s="12">
        <f t="shared" si="8"/>
        <v>3.8</v>
      </c>
      <c r="AO60" s="12">
        <f t="shared" si="8"/>
        <v>13.100000000000001</v>
      </c>
      <c r="AP60" s="12">
        <f t="shared" si="9"/>
        <v>24.5</v>
      </c>
      <c r="AQ60" s="12">
        <f t="shared" si="9"/>
        <v>92.800000000000011</v>
      </c>
      <c r="AR60" s="12"/>
      <c r="AS60" s="12">
        <f t="shared" si="10"/>
        <v>74.3</v>
      </c>
      <c r="AT60" s="12">
        <f t="shared" si="10"/>
        <v>67.7</v>
      </c>
      <c r="AU60" s="12">
        <f t="shared" si="10"/>
        <v>23.400000000000002</v>
      </c>
      <c r="AV60" s="12">
        <f t="shared" si="10"/>
        <v>28.4</v>
      </c>
      <c r="AW60" s="12">
        <f t="shared" si="11"/>
        <v>32.700000000000003</v>
      </c>
      <c r="AX60" s="12">
        <f t="shared" si="11"/>
        <v>93.4</v>
      </c>
      <c r="AY60" s="12"/>
      <c r="AZ60" s="12">
        <f t="shared" si="3"/>
        <v>19.199999999999989</v>
      </c>
      <c r="BA60" s="12">
        <f t="shared" si="4"/>
        <v>50.9</v>
      </c>
      <c r="BB60" s="12"/>
      <c r="BC60" s="12">
        <f t="shared" si="5"/>
        <v>63.9</v>
      </c>
      <c r="BD60" s="12">
        <f t="shared" si="6"/>
        <v>58.4</v>
      </c>
      <c r="BE60" s="12">
        <f t="shared" si="7"/>
        <v>12.099999999999994</v>
      </c>
    </row>
    <row r="61" spans="1:57" ht="15.75" customHeight="1" x14ac:dyDescent="0.25">
      <c r="A61" s="1" t="s">
        <v>191</v>
      </c>
      <c r="B61" s="3" t="s">
        <v>161</v>
      </c>
      <c r="C61" s="4" t="s">
        <v>85</v>
      </c>
      <c r="D61" s="4">
        <v>34</v>
      </c>
      <c r="E61" s="4">
        <v>910</v>
      </c>
      <c r="F61" s="4">
        <v>34</v>
      </c>
      <c r="G61" s="4">
        <v>910</v>
      </c>
      <c r="H61" s="4">
        <v>0.35799999999999998</v>
      </c>
      <c r="I61" s="4">
        <v>16.8</v>
      </c>
      <c r="J61" s="4"/>
      <c r="K61" s="4">
        <v>0.45600000000000002</v>
      </c>
      <c r="L61" s="4">
        <v>0.17499999999999999</v>
      </c>
      <c r="M61" s="4">
        <v>0.13700000000000001</v>
      </c>
      <c r="N61" s="4">
        <v>8.4000000000000005E-2</v>
      </c>
      <c r="O61" s="4">
        <v>0.06</v>
      </c>
      <c r="P61" s="4">
        <v>0.54400000000000004</v>
      </c>
      <c r="Q61" s="4"/>
      <c r="R61" s="4">
        <v>0.377</v>
      </c>
      <c r="S61" s="4">
        <v>0.36</v>
      </c>
      <c r="T61" s="4">
        <v>0.48699999999999999</v>
      </c>
      <c r="U61" s="4">
        <v>0.33300000000000002</v>
      </c>
      <c r="V61" s="4">
        <v>0.23499999999999999</v>
      </c>
      <c r="W61" s="4">
        <v>0.34200000000000003</v>
      </c>
      <c r="X61" s="4"/>
      <c r="Y61" s="4">
        <v>0.71399999999999997</v>
      </c>
      <c r="Z61" s="4">
        <v>0.96199999999999997</v>
      </c>
      <c r="AA61" s="4"/>
      <c r="AB61" s="4">
        <v>0.23899999999999999</v>
      </c>
      <c r="AC61" s="4">
        <v>0.432</v>
      </c>
      <c r="AD61" s="10">
        <f t="shared" si="1"/>
        <v>0.848912</v>
      </c>
      <c r="AE61" s="9"/>
      <c r="AF61" s="9"/>
      <c r="AG61" s="12">
        <f t="shared" si="2"/>
        <v>39.300000000000004</v>
      </c>
      <c r="AH61" s="12">
        <f t="shared" si="2"/>
        <v>68.8</v>
      </c>
      <c r="AI61" s="12">
        <f t="shared" si="2"/>
        <v>9.1999999999999993</v>
      </c>
      <c r="AJ61" s="12">
        <f t="shared" si="2"/>
        <v>77</v>
      </c>
      <c r="AK61" s="12"/>
      <c r="AL61" s="12">
        <f t="shared" si="8"/>
        <v>20.200000000000003</v>
      </c>
      <c r="AM61" s="12">
        <f t="shared" si="8"/>
        <v>44.2</v>
      </c>
      <c r="AN61" s="12">
        <f t="shared" si="8"/>
        <v>12.5</v>
      </c>
      <c r="AO61" s="12">
        <f t="shared" si="8"/>
        <v>62.2</v>
      </c>
      <c r="AP61" s="12">
        <f t="shared" si="9"/>
        <v>71.5</v>
      </c>
      <c r="AQ61" s="12">
        <f t="shared" si="9"/>
        <v>79.7</v>
      </c>
      <c r="AR61" s="12"/>
      <c r="AS61" s="12">
        <f t="shared" si="10"/>
        <v>6</v>
      </c>
      <c r="AT61" s="12">
        <f t="shared" si="10"/>
        <v>2.7</v>
      </c>
      <c r="AU61" s="12">
        <f t="shared" si="10"/>
        <v>67.2</v>
      </c>
      <c r="AV61" s="12">
        <f t="shared" si="10"/>
        <v>40.9</v>
      </c>
      <c r="AW61" s="12">
        <f t="shared" si="11"/>
        <v>32.200000000000003</v>
      </c>
      <c r="AX61" s="12">
        <f t="shared" si="11"/>
        <v>55.1</v>
      </c>
      <c r="AY61" s="12"/>
      <c r="AZ61" s="12">
        <f t="shared" si="3"/>
        <v>30.700000000000003</v>
      </c>
      <c r="BA61" s="12">
        <f t="shared" si="4"/>
        <v>42.1</v>
      </c>
      <c r="BB61" s="12"/>
      <c r="BC61" s="12">
        <f t="shared" si="5"/>
        <v>66.600000000000009</v>
      </c>
      <c r="BD61" s="12">
        <f t="shared" si="6"/>
        <v>70.399999999999991</v>
      </c>
      <c r="BE61" s="12">
        <f t="shared" si="7"/>
        <v>21.399999999999991</v>
      </c>
    </row>
    <row r="62" spans="1:57" ht="15.75" customHeight="1" x14ac:dyDescent="0.25">
      <c r="A62" s="1" t="s">
        <v>153</v>
      </c>
      <c r="B62" s="3" t="s">
        <v>91</v>
      </c>
      <c r="C62" s="4" t="s">
        <v>88</v>
      </c>
      <c r="D62" s="4">
        <v>41</v>
      </c>
      <c r="E62" s="4">
        <v>909</v>
      </c>
      <c r="F62" s="4">
        <v>41</v>
      </c>
      <c r="G62" s="4">
        <v>909</v>
      </c>
      <c r="H62" s="4">
        <v>0.42799999999999999</v>
      </c>
      <c r="I62" s="4">
        <v>14</v>
      </c>
      <c r="J62" s="4"/>
      <c r="K62" s="4">
        <v>0.51400000000000001</v>
      </c>
      <c r="L62" s="4">
        <v>0.19600000000000001</v>
      </c>
      <c r="M62" s="4">
        <v>0.28299999999999997</v>
      </c>
      <c r="N62" s="4">
        <v>1.4E-2</v>
      </c>
      <c r="O62" s="4">
        <v>2.1999999999999999E-2</v>
      </c>
      <c r="P62" s="4">
        <v>0.48599999999999999</v>
      </c>
      <c r="Q62" s="4"/>
      <c r="R62" s="4">
        <v>0.56299999999999994</v>
      </c>
      <c r="S62" s="4">
        <v>0.81499999999999995</v>
      </c>
      <c r="T62" s="4">
        <v>0.41</v>
      </c>
      <c r="U62" s="4">
        <v>0.5</v>
      </c>
      <c r="V62" s="4">
        <v>0.33300000000000002</v>
      </c>
      <c r="W62" s="4">
        <v>0.28399999999999997</v>
      </c>
      <c r="X62" s="4"/>
      <c r="Y62" s="4">
        <v>0.85</v>
      </c>
      <c r="Z62" s="4">
        <v>1</v>
      </c>
      <c r="AA62" s="4"/>
      <c r="AB62" s="4">
        <v>0.55200000000000005</v>
      </c>
      <c r="AC62" s="4">
        <v>0.24299999999999999</v>
      </c>
      <c r="AD62" s="10">
        <f t="shared" si="1"/>
        <v>0.92290000000000005</v>
      </c>
      <c r="AE62" s="9"/>
      <c r="AF62" s="9"/>
      <c r="AG62" s="12">
        <f t="shared" si="2"/>
        <v>69.3</v>
      </c>
      <c r="AH62" s="12">
        <f t="shared" si="2"/>
        <v>68.300000000000011</v>
      </c>
      <c r="AI62" s="12">
        <f t="shared" si="2"/>
        <v>44.800000000000004</v>
      </c>
      <c r="AJ62" s="12">
        <f t="shared" si="2"/>
        <v>49.7</v>
      </c>
      <c r="AK62" s="12"/>
      <c r="AL62" s="12">
        <f t="shared" si="8"/>
        <v>33.800000000000004</v>
      </c>
      <c r="AM62" s="12">
        <f t="shared" si="8"/>
        <v>50.2</v>
      </c>
      <c r="AN62" s="12">
        <f t="shared" si="8"/>
        <v>60.099999999999994</v>
      </c>
      <c r="AO62" s="12">
        <f t="shared" si="8"/>
        <v>8.6999999999999993</v>
      </c>
      <c r="AP62" s="12">
        <f t="shared" si="9"/>
        <v>28.4</v>
      </c>
      <c r="AQ62" s="12">
        <f t="shared" si="9"/>
        <v>66.100000000000009</v>
      </c>
      <c r="AR62" s="12"/>
      <c r="AS62" s="12">
        <f t="shared" si="10"/>
        <v>78.600000000000009</v>
      </c>
      <c r="AT62" s="12">
        <f t="shared" si="10"/>
        <v>92.300000000000011</v>
      </c>
      <c r="AU62" s="12">
        <f t="shared" si="10"/>
        <v>37.700000000000003</v>
      </c>
      <c r="AV62" s="12">
        <f t="shared" si="10"/>
        <v>81.399999999999991</v>
      </c>
      <c r="AW62" s="12">
        <f t="shared" si="11"/>
        <v>48</v>
      </c>
      <c r="AX62" s="12">
        <f t="shared" si="11"/>
        <v>30</v>
      </c>
      <c r="AY62" s="12"/>
      <c r="AZ62" s="12">
        <f t="shared" si="3"/>
        <v>5.5</v>
      </c>
      <c r="BA62" s="12">
        <f t="shared" si="4"/>
        <v>33.899999999999991</v>
      </c>
      <c r="BB62" s="12"/>
      <c r="BC62" s="12">
        <f t="shared" si="5"/>
        <v>97.8</v>
      </c>
      <c r="BD62" s="12">
        <f t="shared" si="6"/>
        <v>24</v>
      </c>
      <c r="BE62" s="12">
        <f t="shared" si="7"/>
        <v>3.9000000000000057</v>
      </c>
    </row>
    <row r="63" spans="1:57" ht="15.75" customHeight="1" x14ac:dyDescent="0.25">
      <c r="A63" s="1" t="s">
        <v>250</v>
      </c>
      <c r="B63" s="3" t="s">
        <v>84</v>
      </c>
      <c r="C63" s="4" t="s">
        <v>8</v>
      </c>
      <c r="D63" s="4">
        <v>30</v>
      </c>
      <c r="E63" s="4">
        <v>901</v>
      </c>
      <c r="F63" s="4">
        <v>30</v>
      </c>
      <c r="G63" s="4">
        <v>901</v>
      </c>
      <c r="H63" s="4">
        <v>0.39</v>
      </c>
      <c r="I63" s="4">
        <v>16</v>
      </c>
      <c r="J63" s="4"/>
      <c r="K63" s="4">
        <v>0.48</v>
      </c>
      <c r="L63" s="4">
        <v>0.159</v>
      </c>
      <c r="M63" s="4">
        <v>0.218</v>
      </c>
      <c r="N63" s="4">
        <v>7.3999999999999996E-2</v>
      </c>
      <c r="O63" s="4">
        <v>2.9000000000000001E-2</v>
      </c>
      <c r="P63" s="4">
        <v>0.52</v>
      </c>
      <c r="Q63" s="4"/>
      <c r="R63" s="4">
        <v>0.49199999999999999</v>
      </c>
      <c r="S63" s="4">
        <v>0.68300000000000005</v>
      </c>
      <c r="T63" s="4">
        <v>0.36599999999999999</v>
      </c>
      <c r="U63" s="4">
        <v>0.57099999999999995</v>
      </c>
      <c r="V63" s="4">
        <v>0.182</v>
      </c>
      <c r="W63" s="4">
        <v>0.29599999999999999</v>
      </c>
      <c r="X63" s="4"/>
      <c r="Y63" s="4">
        <v>0.36</v>
      </c>
      <c r="Z63" s="4">
        <v>0.69</v>
      </c>
      <c r="AA63" s="4"/>
      <c r="AB63" s="4">
        <v>0.19400000000000001</v>
      </c>
      <c r="AC63" s="4">
        <v>0.28899999999999998</v>
      </c>
      <c r="AD63" s="10">
        <f t="shared" si="1"/>
        <v>0.53159999999999996</v>
      </c>
      <c r="AE63" s="9"/>
      <c r="AF63" s="9"/>
      <c r="AG63" s="12">
        <f t="shared" si="2"/>
        <v>30.599999999999998</v>
      </c>
      <c r="AH63" s="12">
        <f t="shared" si="2"/>
        <v>67.7</v>
      </c>
      <c r="AI63" s="12">
        <f t="shared" si="2"/>
        <v>22.900000000000002</v>
      </c>
      <c r="AJ63" s="12">
        <f t="shared" si="2"/>
        <v>68.8</v>
      </c>
      <c r="AK63" s="12"/>
      <c r="AL63" s="12">
        <f t="shared" si="8"/>
        <v>24.5</v>
      </c>
      <c r="AM63" s="12">
        <f t="shared" si="8"/>
        <v>37.700000000000003</v>
      </c>
      <c r="AN63" s="12">
        <f t="shared" si="8"/>
        <v>39.300000000000004</v>
      </c>
      <c r="AO63" s="12">
        <f t="shared" si="8"/>
        <v>55.1</v>
      </c>
      <c r="AP63" s="12">
        <f t="shared" si="9"/>
        <v>37.1</v>
      </c>
      <c r="AQ63" s="12">
        <f t="shared" si="9"/>
        <v>75.400000000000006</v>
      </c>
      <c r="AR63" s="12"/>
      <c r="AS63" s="12">
        <f t="shared" si="10"/>
        <v>40.400000000000006</v>
      </c>
      <c r="AT63" s="12">
        <f t="shared" si="10"/>
        <v>53</v>
      </c>
      <c r="AU63" s="12">
        <f t="shared" si="10"/>
        <v>21.3</v>
      </c>
      <c r="AV63" s="12">
        <f t="shared" si="10"/>
        <v>91.2</v>
      </c>
      <c r="AW63" s="12">
        <f t="shared" si="11"/>
        <v>26.700000000000003</v>
      </c>
      <c r="AX63" s="12">
        <f t="shared" si="11"/>
        <v>36</v>
      </c>
      <c r="AY63" s="12"/>
      <c r="AZ63" s="12">
        <f t="shared" si="3"/>
        <v>85.3</v>
      </c>
      <c r="BA63" s="12">
        <f t="shared" si="4"/>
        <v>85.8</v>
      </c>
      <c r="BB63" s="12"/>
      <c r="BC63" s="12">
        <f t="shared" si="5"/>
        <v>54</v>
      </c>
      <c r="BD63" s="12">
        <f t="shared" si="6"/>
        <v>37.1</v>
      </c>
      <c r="BE63" s="12">
        <f t="shared" si="7"/>
        <v>87.5</v>
      </c>
    </row>
    <row r="64" spans="1:57" ht="15.75" customHeight="1" x14ac:dyDescent="0.25">
      <c r="A64" s="1" t="s">
        <v>122</v>
      </c>
      <c r="B64" s="3" t="s">
        <v>114</v>
      </c>
      <c r="C64" s="4" t="s">
        <v>88</v>
      </c>
      <c r="D64" s="4">
        <v>34</v>
      </c>
      <c r="E64" s="4">
        <v>891</v>
      </c>
      <c r="F64" s="4">
        <v>34</v>
      </c>
      <c r="G64" s="4">
        <v>891</v>
      </c>
      <c r="H64" s="4">
        <v>0.48299999999999998</v>
      </c>
      <c r="I64" s="4">
        <v>9.3000000000000007</v>
      </c>
      <c r="J64" s="4"/>
      <c r="K64" s="4">
        <v>0.83799999999999997</v>
      </c>
      <c r="L64" s="4">
        <v>0.24399999999999999</v>
      </c>
      <c r="M64" s="4">
        <v>0.436</v>
      </c>
      <c r="N64" s="4">
        <v>0.1</v>
      </c>
      <c r="O64" s="4">
        <v>5.8000000000000003E-2</v>
      </c>
      <c r="P64" s="4">
        <v>0.16200000000000001</v>
      </c>
      <c r="Q64" s="4"/>
      <c r="R64" s="4">
        <v>0.52300000000000002</v>
      </c>
      <c r="S64" s="4">
        <v>0.77200000000000002</v>
      </c>
      <c r="T64" s="4">
        <v>0.48</v>
      </c>
      <c r="U64" s="4">
        <v>0.27700000000000002</v>
      </c>
      <c r="V64" s="4">
        <v>0.222</v>
      </c>
      <c r="W64" s="4">
        <v>0.27600000000000002</v>
      </c>
      <c r="X64" s="4"/>
      <c r="Y64" s="4">
        <v>0.68799999999999994</v>
      </c>
      <c r="Z64" s="4">
        <v>0.90500000000000003</v>
      </c>
      <c r="AA64" s="4"/>
      <c r="AB64" s="4">
        <v>0.19700000000000001</v>
      </c>
      <c r="AC64" s="4">
        <v>0.26700000000000002</v>
      </c>
      <c r="AD64" s="10">
        <f t="shared" si="1"/>
        <v>0.72315399999999996</v>
      </c>
      <c r="AE64" s="9"/>
      <c r="AF64" s="9"/>
      <c r="AG64" s="12">
        <f t="shared" si="2"/>
        <v>39.300000000000004</v>
      </c>
      <c r="AH64" s="12">
        <f t="shared" si="2"/>
        <v>67.2</v>
      </c>
      <c r="AI64" s="12">
        <f t="shared" si="2"/>
        <v>72.099999999999994</v>
      </c>
      <c r="AJ64" s="12">
        <f t="shared" si="2"/>
        <v>16.3</v>
      </c>
      <c r="AK64" s="12"/>
      <c r="AL64" s="12">
        <f t="shared" si="8"/>
        <v>86.3</v>
      </c>
      <c r="AM64" s="12">
        <f t="shared" si="8"/>
        <v>67.2</v>
      </c>
      <c r="AN64" s="12">
        <f t="shared" si="8"/>
        <v>93.899999999999991</v>
      </c>
      <c r="AO64" s="12">
        <f t="shared" si="8"/>
        <v>71</v>
      </c>
      <c r="AP64" s="12">
        <f t="shared" si="9"/>
        <v>69.3</v>
      </c>
      <c r="AQ64" s="12">
        <f t="shared" si="9"/>
        <v>13.600000000000001</v>
      </c>
      <c r="AR64" s="12"/>
      <c r="AS64" s="12">
        <f t="shared" si="10"/>
        <v>55.1</v>
      </c>
      <c r="AT64" s="12">
        <f t="shared" si="10"/>
        <v>84.6</v>
      </c>
      <c r="AU64" s="12">
        <f t="shared" si="10"/>
        <v>63.9</v>
      </c>
      <c r="AV64" s="12">
        <f t="shared" si="10"/>
        <v>31.6</v>
      </c>
      <c r="AW64" s="12">
        <f t="shared" si="11"/>
        <v>31.1</v>
      </c>
      <c r="AX64" s="12">
        <f t="shared" si="11"/>
        <v>26.700000000000003</v>
      </c>
      <c r="AY64" s="12"/>
      <c r="AZ64" s="12">
        <f t="shared" si="3"/>
        <v>35</v>
      </c>
      <c r="BA64" s="12">
        <f t="shared" si="4"/>
        <v>61.8</v>
      </c>
      <c r="BB64" s="12"/>
      <c r="BC64" s="12">
        <f t="shared" si="5"/>
        <v>56.2</v>
      </c>
      <c r="BD64" s="12">
        <f t="shared" si="6"/>
        <v>32.200000000000003</v>
      </c>
      <c r="BE64" s="12">
        <f t="shared" si="7"/>
        <v>52.5</v>
      </c>
    </row>
    <row r="65" spans="1:57" ht="15.75" customHeight="1" x14ac:dyDescent="0.25">
      <c r="A65" s="1" t="s">
        <v>163</v>
      </c>
      <c r="B65" s="3" t="s">
        <v>161</v>
      </c>
      <c r="C65" s="4" t="s">
        <v>8</v>
      </c>
      <c r="D65" s="4">
        <v>31</v>
      </c>
      <c r="E65" s="4">
        <v>886</v>
      </c>
      <c r="F65" s="4">
        <v>31</v>
      </c>
      <c r="G65" s="4">
        <v>886</v>
      </c>
      <c r="H65" s="4">
        <v>0.54100000000000004</v>
      </c>
      <c r="I65" s="4">
        <v>18.399999999999999</v>
      </c>
      <c r="J65" s="4"/>
      <c r="K65" s="4">
        <v>0.34799999999999998</v>
      </c>
      <c r="L65" s="4">
        <v>0.2</v>
      </c>
      <c r="M65" s="4">
        <v>7.3999999999999996E-2</v>
      </c>
      <c r="N65" s="4">
        <v>1.4999999999999999E-2</v>
      </c>
      <c r="O65" s="4">
        <v>5.8999999999999997E-2</v>
      </c>
      <c r="P65" s="4">
        <v>0.65200000000000002</v>
      </c>
      <c r="Q65" s="4"/>
      <c r="R65" s="4">
        <v>0.76600000000000001</v>
      </c>
      <c r="S65" s="4">
        <v>0.81499999999999995</v>
      </c>
      <c r="T65" s="4">
        <v>0.8</v>
      </c>
      <c r="U65" s="4">
        <v>0.5</v>
      </c>
      <c r="V65" s="4">
        <v>0.625</v>
      </c>
      <c r="W65" s="4">
        <v>0.42</v>
      </c>
      <c r="X65" s="4"/>
      <c r="Y65" s="4">
        <v>0.25</v>
      </c>
      <c r="Z65" s="4">
        <v>0.75700000000000001</v>
      </c>
      <c r="AA65" s="4"/>
      <c r="AB65" s="4">
        <v>9.0999999999999998E-2</v>
      </c>
      <c r="AC65" s="4">
        <v>0.25</v>
      </c>
      <c r="AD65" s="10">
        <f t="shared" si="1"/>
        <v>0.58056399999999997</v>
      </c>
      <c r="AE65" s="9"/>
      <c r="AF65" s="9"/>
      <c r="AG65" s="12">
        <f t="shared" si="2"/>
        <v>33.800000000000004</v>
      </c>
      <c r="AH65" s="12">
        <f t="shared" si="2"/>
        <v>66.600000000000009</v>
      </c>
      <c r="AI65" s="12">
        <f t="shared" si="2"/>
        <v>90.7</v>
      </c>
      <c r="AJ65" s="12">
        <f t="shared" si="2"/>
        <v>87.4</v>
      </c>
      <c r="AK65" s="12"/>
      <c r="AL65" s="12">
        <f t="shared" si="8"/>
        <v>10.9</v>
      </c>
      <c r="AM65" s="12">
        <f t="shared" si="8"/>
        <v>51.9</v>
      </c>
      <c r="AN65" s="12">
        <f t="shared" si="8"/>
        <v>0.5</v>
      </c>
      <c r="AO65" s="12">
        <f t="shared" si="8"/>
        <v>9.1999999999999993</v>
      </c>
      <c r="AP65" s="12">
        <f t="shared" si="9"/>
        <v>69.899999999999991</v>
      </c>
      <c r="AQ65" s="12">
        <f t="shared" si="9"/>
        <v>89</v>
      </c>
      <c r="AR65" s="12"/>
      <c r="AS65" s="12">
        <f t="shared" si="10"/>
        <v>100</v>
      </c>
      <c r="AT65" s="12">
        <f t="shared" si="10"/>
        <v>92.300000000000011</v>
      </c>
      <c r="AU65" s="12">
        <f t="shared" si="10"/>
        <v>100</v>
      </c>
      <c r="AV65" s="12">
        <f t="shared" si="10"/>
        <v>81.399999999999991</v>
      </c>
      <c r="AW65" s="12">
        <f t="shared" si="11"/>
        <v>93.899999999999991</v>
      </c>
      <c r="AX65" s="12">
        <f t="shared" si="11"/>
        <v>91.2</v>
      </c>
      <c r="AY65" s="12"/>
      <c r="AZ65" s="12">
        <f t="shared" si="3"/>
        <v>92.4</v>
      </c>
      <c r="BA65" s="12">
        <f t="shared" si="4"/>
        <v>79.3</v>
      </c>
      <c r="BB65" s="12"/>
      <c r="BC65" s="12">
        <f t="shared" si="5"/>
        <v>14.7</v>
      </c>
      <c r="BD65" s="12">
        <f t="shared" si="6"/>
        <v>24.5</v>
      </c>
      <c r="BE65" s="12">
        <f t="shared" si="7"/>
        <v>78.7</v>
      </c>
    </row>
    <row r="66" spans="1:57" ht="15.75" customHeight="1" x14ac:dyDescent="0.25">
      <c r="A66" s="1" t="s">
        <v>106</v>
      </c>
      <c r="B66" s="3" t="s">
        <v>107</v>
      </c>
      <c r="C66" s="4" t="s">
        <v>94</v>
      </c>
      <c r="D66" s="4">
        <v>37</v>
      </c>
      <c r="E66" s="4">
        <v>881</v>
      </c>
      <c r="F66" s="4">
        <v>37</v>
      </c>
      <c r="G66" s="4">
        <v>881</v>
      </c>
      <c r="H66" s="4">
        <v>0.40100000000000002</v>
      </c>
      <c r="I66" s="4">
        <v>14.9</v>
      </c>
      <c r="J66" s="4"/>
      <c r="K66" s="4">
        <v>0.51300000000000001</v>
      </c>
      <c r="L66" s="4">
        <v>0.23300000000000001</v>
      </c>
      <c r="M66" s="4">
        <v>0.20799999999999999</v>
      </c>
      <c r="N66" s="4">
        <v>3.5999999999999997E-2</v>
      </c>
      <c r="O66" s="4">
        <v>3.5999999999999997E-2</v>
      </c>
      <c r="P66" s="4">
        <v>0.48699999999999999</v>
      </c>
      <c r="Q66" s="4"/>
      <c r="R66" s="4">
        <v>0.47599999999999998</v>
      </c>
      <c r="S66" s="4">
        <v>0.63100000000000001</v>
      </c>
      <c r="T66" s="4">
        <v>0.379</v>
      </c>
      <c r="U66" s="4">
        <v>0.1</v>
      </c>
      <c r="V66" s="4">
        <v>0.4</v>
      </c>
      <c r="W66" s="4">
        <v>0.32400000000000001</v>
      </c>
      <c r="X66" s="4"/>
      <c r="Y66" s="4">
        <v>0.64700000000000002</v>
      </c>
      <c r="Z66" s="4">
        <v>0.97699999999999998</v>
      </c>
      <c r="AA66" s="4"/>
      <c r="AB66" s="4">
        <v>0.13200000000000001</v>
      </c>
      <c r="AC66" s="4">
        <v>0.16700000000000001</v>
      </c>
      <c r="AD66" s="10">
        <f t="shared" si="1"/>
        <v>0.80770999999999993</v>
      </c>
      <c r="AE66" s="9"/>
      <c r="AF66" s="9"/>
      <c r="AG66" s="12">
        <f t="shared" si="2"/>
        <v>48</v>
      </c>
      <c r="AH66" s="12">
        <f t="shared" si="2"/>
        <v>66.100000000000009</v>
      </c>
      <c r="AI66" s="12">
        <f t="shared" si="2"/>
        <v>27.800000000000004</v>
      </c>
      <c r="AJ66" s="12">
        <f t="shared" si="2"/>
        <v>56.2</v>
      </c>
      <c r="AK66" s="12"/>
      <c r="AL66" s="12">
        <f t="shared" si="8"/>
        <v>33.300000000000004</v>
      </c>
      <c r="AM66" s="12">
        <f t="shared" si="8"/>
        <v>65</v>
      </c>
      <c r="AN66" s="12">
        <f t="shared" si="8"/>
        <v>36.6</v>
      </c>
      <c r="AO66" s="12">
        <f t="shared" si="8"/>
        <v>26.700000000000003</v>
      </c>
      <c r="AP66" s="12">
        <f t="shared" si="9"/>
        <v>46.400000000000006</v>
      </c>
      <c r="AQ66" s="12">
        <f t="shared" si="9"/>
        <v>66.600000000000009</v>
      </c>
      <c r="AR66" s="12"/>
      <c r="AS66" s="12">
        <f t="shared" si="10"/>
        <v>31.1</v>
      </c>
      <c r="AT66" s="12">
        <f t="shared" si="10"/>
        <v>34.9</v>
      </c>
      <c r="AU66" s="12">
        <f t="shared" si="10"/>
        <v>22.900000000000002</v>
      </c>
      <c r="AV66" s="12">
        <f t="shared" si="10"/>
        <v>19.600000000000001</v>
      </c>
      <c r="AW66" s="12">
        <f t="shared" si="11"/>
        <v>62.8</v>
      </c>
      <c r="AX66" s="12">
        <f t="shared" si="11"/>
        <v>45.9</v>
      </c>
      <c r="AY66" s="12"/>
      <c r="AZ66" s="12">
        <f t="shared" si="3"/>
        <v>46</v>
      </c>
      <c r="BA66" s="12">
        <f t="shared" si="4"/>
        <v>37.200000000000003</v>
      </c>
      <c r="BB66" s="12"/>
      <c r="BC66" s="12">
        <f t="shared" si="5"/>
        <v>25.1</v>
      </c>
      <c r="BD66" s="12">
        <f t="shared" si="6"/>
        <v>14.7</v>
      </c>
      <c r="BE66" s="12">
        <f t="shared" si="7"/>
        <v>32.299999999999997</v>
      </c>
    </row>
    <row r="67" spans="1:57" ht="15.75" customHeight="1" x14ac:dyDescent="0.25">
      <c r="A67" s="1" t="s">
        <v>152</v>
      </c>
      <c r="B67" s="3" t="s">
        <v>131</v>
      </c>
      <c r="C67" s="4" t="s">
        <v>8</v>
      </c>
      <c r="D67" s="4">
        <v>42</v>
      </c>
      <c r="E67" s="4">
        <v>871</v>
      </c>
      <c r="F67" s="4">
        <v>42</v>
      </c>
      <c r="G67" s="4">
        <v>871</v>
      </c>
      <c r="H67" s="4">
        <v>0.42399999999999999</v>
      </c>
      <c r="I67" s="4">
        <v>15.7</v>
      </c>
      <c r="J67" s="4"/>
      <c r="K67" s="4">
        <v>0.496</v>
      </c>
      <c r="L67" s="4">
        <v>0.22800000000000001</v>
      </c>
      <c r="M67" s="4">
        <v>0.10299999999999999</v>
      </c>
      <c r="N67" s="4">
        <v>9.8000000000000004E-2</v>
      </c>
      <c r="O67" s="4">
        <v>6.7000000000000004E-2</v>
      </c>
      <c r="P67" s="4">
        <v>0.504</v>
      </c>
      <c r="Q67" s="4"/>
      <c r="R67" s="4">
        <v>0.54100000000000004</v>
      </c>
      <c r="S67" s="4">
        <v>0.72499999999999998</v>
      </c>
      <c r="T67" s="4">
        <v>0.34799999999999998</v>
      </c>
      <c r="U67" s="4">
        <v>0.40899999999999997</v>
      </c>
      <c r="V67" s="4">
        <v>0.4</v>
      </c>
      <c r="W67" s="4">
        <v>0.31</v>
      </c>
      <c r="X67" s="4"/>
      <c r="Y67" s="4">
        <v>0.68300000000000005</v>
      </c>
      <c r="Z67" s="4">
        <v>0.94299999999999995</v>
      </c>
      <c r="AA67" s="4"/>
      <c r="AB67" s="4">
        <v>0.28299999999999997</v>
      </c>
      <c r="AC67" s="4">
        <v>0.438</v>
      </c>
      <c r="AD67" s="10">
        <f t="shared" si="1"/>
        <v>0.81403999999999999</v>
      </c>
      <c r="AE67" s="9"/>
      <c r="AF67" s="9"/>
      <c r="AG67" s="12">
        <f t="shared" si="2"/>
        <v>83</v>
      </c>
      <c r="AH67" s="12">
        <f t="shared" si="2"/>
        <v>65.5</v>
      </c>
      <c r="AI67" s="12">
        <f t="shared" si="2"/>
        <v>39.800000000000004</v>
      </c>
      <c r="AJ67" s="12">
        <f t="shared" si="2"/>
        <v>65</v>
      </c>
      <c r="AK67" s="12"/>
      <c r="AL67" s="12">
        <f t="shared" si="8"/>
        <v>27.3</v>
      </c>
      <c r="AM67" s="12">
        <f t="shared" si="8"/>
        <v>62.2</v>
      </c>
      <c r="AN67" s="12">
        <f t="shared" si="8"/>
        <v>4.9000000000000004</v>
      </c>
      <c r="AO67" s="12">
        <f t="shared" si="8"/>
        <v>70.399999999999991</v>
      </c>
      <c r="AP67" s="12">
        <f t="shared" si="9"/>
        <v>74.8</v>
      </c>
      <c r="AQ67" s="12">
        <f t="shared" si="9"/>
        <v>72.599999999999994</v>
      </c>
      <c r="AR67" s="12"/>
      <c r="AS67" s="12">
        <f t="shared" si="10"/>
        <v>68.300000000000011</v>
      </c>
      <c r="AT67" s="12">
        <f t="shared" si="10"/>
        <v>69.899999999999991</v>
      </c>
      <c r="AU67" s="12">
        <f t="shared" si="10"/>
        <v>19.100000000000001</v>
      </c>
      <c r="AV67" s="12">
        <f t="shared" si="10"/>
        <v>62.2</v>
      </c>
      <c r="AW67" s="12">
        <f t="shared" si="11"/>
        <v>62.8</v>
      </c>
      <c r="AX67" s="12">
        <f t="shared" si="11"/>
        <v>42</v>
      </c>
      <c r="AY67" s="12"/>
      <c r="AZ67" s="12">
        <f t="shared" si="3"/>
        <v>36.700000000000003</v>
      </c>
      <c r="BA67" s="12">
        <f t="shared" si="4"/>
        <v>48.1</v>
      </c>
      <c r="BB67" s="12"/>
      <c r="BC67" s="12">
        <f t="shared" si="5"/>
        <v>74.8</v>
      </c>
      <c r="BD67" s="12">
        <f t="shared" si="6"/>
        <v>71</v>
      </c>
      <c r="BE67" s="12">
        <f t="shared" si="7"/>
        <v>30.700000000000003</v>
      </c>
    </row>
    <row r="68" spans="1:57" ht="15.75" customHeight="1" x14ac:dyDescent="0.25">
      <c r="A68" s="1" t="s">
        <v>129</v>
      </c>
      <c r="B68" s="4" t="s">
        <v>107</v>
      </c>
      <c r="C68" s="4" t="s">
        <v>8</v>
      </c>
      <c r="D68" s="4">
        <v>38</v>
      </c>
      <c r="E68" s="4">
        <v>856</v>
      </c>
      <c r="F68" s="4">
        <v>38</v>
      </c>
      <c r="G68" s="4">
        <v>856</v>
      </c>
      <c r="H68" s="4">
        <v>0.34300000000000003</v>
      </c>
      <c r="I68" s="4">
        <v>13.9</v>
      </c>
      <c r="J68" s="4"/>
      <c r="K68" s="4">
        <v>0.747</v>
      </c>
      <c r="L68" s="4">
        <v>0.18</v>
      </c>
      <c r="M68" s="4">
        <v>0.18</v>
      </c>
      <c r="N68" s="4">
        <v>0.247</v>
      </c>
      <c r="O68" s="4">
        <v>0.14000000000000001</v>
      </c>
      <c r="P68" s="4">
        <v>0.253</v>
      </c>
      <c r="Q68" s="4"/>
      <c r="R68" s="4">
        <v>0.40200000000000002</v>
      </c>
      <c r="S68" s="4">
        <v>0.61099999999999999</v>
      </c>
      <c r="T68" s="4">
        <v>0.40699999999999997</v>
      </c>
      <c r="U68" s="4">
        <v>0.35099999999999998</v>
      </c>
      <c r="V68" s="4">
        <v>0.214</v>
      </c>
      <c r="W68" s="4">
        <v>0.17100000000000001</v>
      </c>
      <c r="X68" s="4"/>
      <c r="Y68" s="4">
        <v>0.41099999999999998</v>
      </c>
      <c r="Z68" s="4">
        <v>0.92300000000000004</v>
      </c>
      <c r="AA68" s="4"/>
      <c r="AB68" s="4">
        <v>0.224</v>
      </c>
      <c r="AC68" s="4">
        <v>0.23499999999999999</v>
      </c>
      <c r="AD68" s="10">
        <f t="shared" si="1"/>
        <v>0.54053600000000002</v>
      </c>
      <c r="AE68" s="9"/>
      <c r="AF68" s="9"/>
      <c r="AG68" s="12">
        <f t="shared" si="2"/>
        <v>53</v>
      </c>
      <c r="AH68" s="12">
        <f t="shared" si="2"/>
        <v>65</v>
      </c>
      <c r="AI68" s="12">
        <f t="shared" si="2"/>
        <v>6</v>
      </c>
      <c r="AJ68" s="12">
        <f t="shared" si="2"/>
        <v>47.5</v>
      </c>
      <c r="AK68" s="12"/>
      <c r="AL68" s="12">
        <f t="shared" si="8"/>
        <v>77.5</v>
      </c>
      <c r="AM68" s="12">
        <f t="shared" si="8"/>
        <v>46.400000000000006</v>
      </c>
      <c r="AN68" s="12">
        <f t="shared" si="8"/>
        <v>25.1</v>
      </c>
      <c r="AO68" s="12">
        <f t="shared" si="8"/>
        <v>98.3</v>
      </c>
      <c r="AP68" s="12">
        <f t="shared" si="9"/>
        <v>96.7</v>
      </c>
      <c r="AQ68" s="12">
        <f t="shared" si="9"/>
        <v>22.400000000000002</v>
      </c>
      <c r="AR68" s="12"/>
      <c r="AS68" s="12">
        <f t="shared" si="10"/>
        <v>10.9</v>
      </c>
      <c r="AT68" s="12">
        <f t="shared" si="10"/>
        <v>28.9</v>
      </c>
      <c r="AU68" s="12">
        <f t="shared" si="10"/>
        <v>36.6</v>
      </c>
      <c r="AV68" s="12">
        <f t="shared" si="10"/>
        <v>48.6</v>
      </c>
      <c r="AW68" s="12">
        <f t="shared" si="11"/>
        <v>30.599999999999998</v>
      </c>
      <c r="AX68" s="12">
        <f t="shared" si="11"/>
        <v>7.6</v>
      </c>
      <c r="AY68" s="12"/>
      <c r="AZ68" s="12">
        <f t="shared" si="3"/>
        <v>81.5</v>
      </c>
      <c r="BA68" s="12">
        <f t="shared" si="4"/>
        <v>58.5</v>
      </c>
      <c r="BB68" s="12"/>
      <c r="BC68" s="12">
        <f t="shared" si="5"/>
        <v>62.8</v>
      </c>
      <c r="BD68" s="12">
        <f t="shared" si="6"/>
        <v>22.400000000000002</v>
      </c>
      <c r="BE68" s="12">
        <f t="shared" si="7"/>
        <v>84.2</v>
      </c>
    </row>
    <row r="69" spans="1:57" ht="15.75" customHeight="1" x14ac:dyDescent="0.25">
      <c r="A69" s="1" t="s">
        <v>143</v>
      </c>
      <c r="B69" s="3" t="s">
        <v>91</v>
      </c>
      <c r="C69" s="4" t="s">
        <v>85</v>
      </c>
      <c r="D69" s="4">
        <v>38</v>
      </c>
      <c r="E69" s="4">
        <v>849</v>
      </c>
      <c r="F69" s="4">
        <v>38</v>
      </c>
      <c r="G69" s="4">
        <v>849</v>
      </c>
      <c r="H69" s="4">
        <v>0.42499999999999999</v>
      </c>
      <c r="I69" s="4">
        <v>19</v>
      </c>
      <c r="J69" s="4"/>
      <c r="K69" s="4">
        <v>0.38</v>
      </c>
      <c r="L69" s="4">
        <v>9.6000000000000002E-2</v>
      </c>
      <c r="M69" s="4">
        <v>0.115</v>
      </c>
      <c r="N69" s="4">
        <v>6.7000000000000004E-2</v>
      </c>
      <c r="O69" s="4">
        <v>0.10199999999999999</v>
      </c>
      <c r="P69" s="4">
        <v>0.62</v>
      </c>
      <c r="Q69" s="4"/>
      <c r="R69" s="4">
        <v>0.47199999999999998</v>
      </c>
      <c r="S69" s="4">
        <v>0.72199999999999998</v>
      </c>
      <c r="T69" s="4">
        <v>0.442</v>
      </c>
      <c r="U69" s="4">
        <v>0.32</v>
      </c>
      <c r="V69" s="4">
        <v>0.36799999999999999</v>
      </c>
      <c r="W69" s="4">
        <v>0.39700000000000002</v>
      </c>
      <c r="X69" s="4"/>
      <c r="Y69" s="4">
        <v>0.71599999999999997</v>
      </c>
      <c r="Z69" s="4">
        <v>0.98899999999999999</v>
      </c>
      <c r="AA69" s="4"/>
      <c r="AB69" s="4">
        <v>0.20699999999999999</v>
      </c>
      <c r="AC69" s="4">
        <v>0.39600000000000002</v>
      </c>
      <c r="AD69" s="10">
        <f t="shared" ref="AD69:AD132" si="12">(K69*Y69+P69*Z69)</f>
        <v>0.88525999999999994</v>
      </c>
      <c r="AE69" s="9"/>
      <c r="AF69" s="9"/>
      <c r="AG69" s="12">
        <f t="shared" ref="AG69:AJ132" si="13">(PERCENTRANK(F$4:F$298,F69))*100</f>
        <v>53</v>
      </c>
      <c r="AH69" s="12">
        <f t="shared" si="13"/>
        <v>64.400000000000006</v>
      </c>
      <c r="AI69" s="12">
        <f t="shared" si="13"/>
        <v>41.5</v>
      </c>
      <c r="AJ69" s="12">
        <f t="shared" si="13"/>
        <v>90.7</v>
      </c>
      <c r="AK69" s="12"/>
      <c r="AL69" s="12">
        <f t="shared" si="8"/>
        <v>13.600000000000001</v>
      </c>
      <c r="AM69" s="12">
        <f t="shared" si="8"/>
        <v>13.100000000000001</v>
      </c>
      <c r="AN69" s="12">
        <f t="shared" si="8"/>
        <v>7.1</v>
      </c>
      <c r="AO69" s="12">
        <f t="shared" si="8"/>
        <v>50.2</v>
      </c>
      <c r="AP69" s="12">
        <f t="shared" si="9"/>
        <v>90.7</v>
      </c>
      <c r="AQ69" s="12">
        <f t="shared" si="9"/>
        <v>86.3</v>
      </c>
      <c r="AR69" s="12"/>
      <c r="AS69" s="12">
        <f t="shared" si="10"/>
        <v>28.9</v>
      </c>
      <c r="AT69" s="12">
        <f t="shared" si="10"/>
        <v>67.7</v>
      </c>
      <c r="AU69" s="12">
        <f t="shared" si="10"/>
        <v>48.6</v>
      </c>
      <c r="AV69" s="12">
        <f t="shared" si="10"/>
        <v>39.800000000000004</v>
      </c>
      <c r="AW69" s="12">
        <f t="shared" si="11"/>
        <v>59.5</v>
      </c>
      <c r="AX69" s="12">
        <f t="shared" si="11"/>
        <v>81.899999999999991</v>
      </c>
      <c r="AY69" s="12"/>
      <c r="AZ69" s="12">
        <f t="shared" ref="AZ69:AZ132" si="14">100-(PERCENTRANK(Y$4:Y$298,Y69))*100</f>
        <v>29.600000000000009</v>
      </c>
      <c r="BA69" s="12">
        <f t="shared" ref="BA69:BA132" si="15">100-(PERCENTRANK(Z$4:Z$298,Z69))*100</f>
        <v>34.5</v>
      </c>
      <c r="BB69" s="12"/>
      <c r="BC69" s="12">
        <f t="shared" ref="BC69:BC132" si="16">(PERCENTRANK(AB$4:AB$298,AB69))*100</f>
        <v>59</v>
      </c>
      <c r="BD69" s="12">
        <f t="shared" ref="BD69:BD132" si="17">(PERCENTRANK(AC$4:AC$298,AC69))*100</f>
        <v>62.2</v>
      </c>
      <c r="BE69" s="12">
        <f t="shared" ref="BE69:BE132" si="18">100-(PERCENTRANK(AD$4:AD$298,AD69))*100</f>
        <v>13.200000000000003</v>
      </c>
    </row>
    <row r="70" spans="1:57" ht="15.75" customHeight="1" x14ac:dyDescent="0.25">
      <c r="A70" s="1" t="s">
        <v>124</v>
      </c>
      <c r="B70" s="3" t="s">
        <v>91</v>
      </c>
      <c r="C70" s="4" t="s">
        <v>94</v>
      </c>
      <c r="D70" s="4">
        <v>42</v>
      </c>
      <c r="E70" s="4">
        <v>841</v>
      </c>
      <c r="F70" s="4">
        <v>42</v>
      </c>
      <c r="G70" s="4">
        <v>841</v>
      </c>
      <c r="H70" s="4">
        <v>0.40899999999999997</v>
      </c>
      <c r="I70" s="4">
        <v>13.2</v>
      </c>
      <c r="J70" s="4"/>
      <c r="K70" s="4">
        <v>0.61099999999999999</v>
      </c>
      <c r="L70" s="4">
        <v>0.158</v>
      </c>
      <c r="M70" s="4">
        <v>0.34799999999999998</v>
      </c>
      <c r="N70" s="4">
        <v>7.6999999999999999E-2</v>
      </c>
      <c r="O70" s="4">
        <v>2.8000000000000001E-2</v>
      </c>
      <c r="P70" s="4">
        <v>0.38900000000000001</v>
      </c>
      <c r="Q70" s="4"/>
      <c r="R70" s="4">
        <v>0.49</v>
      </c>
      <c r="S70" s="4">
        <v>0.64100000000000001</v>
      </c>
      <c r="T70" s="4">
        <v>0.53500000000000003</v>
      </c>
      <c r="U70" s="4">
        <v>5.2999999999999999E-2</v>
      </c>
      <c r="V70" s="4">
        <v>0.28599999999999998</v>
      </c>
      <c r="W70" s="4">
        <v>0.28100000000000003</v>
      </c>
      <c r="X70" s="4"/>
      <c r="Y70" s="4">
        <v>0.56799999999999995</v>
      </c>
      <c r="Z70" s="4">
        <v>0.96299999999999997</v>
      </c>
      <c r="AA70" s="4"/>
      <c r="AB70" s="4">
        <v>0.34399999999999997</v>
      </c>
      <c r="AC70" s="4">
        <v>0.21199999999999999</v>
      </c>
      <c r="AD70" s="10">
        <f t="shared" si="12"/>
        <v>0.72165499999999994</v>
      </c>
      <c r="AE70" s="9"/>
      <c r="AF70" s="9"/>
      <c r="AG70" s="12">
        <f t="shared" si="13"/>
        <v>83</v>
      </c>
      <c r="AH70" s="12">
        <f t="shared" si="13"/>
        <v>63.9</v>
      </c>
      <c r="AI70" s="12">
        <f t="shared" si="13"/>
        <v>35.5</v>
      </c>
      <c r="AJ70" s="12">
        <f t="shared" si="13"/>
        <v>43.1</v>
      </c>
      <c r="AK70" s="12"/>
      <c r="AL70" s="12">
        <f t="shared" si="8"/>
        <v>54.6</v>
      </c>
      <c r="AM70" s="12">
        <f t="shared" si="8"/>
        <v>36.6</v>
      </c>
      <c r="AN70" s="12">
        <f t="shared" si="8"/>
        <v>79.2</v>
      </c>
      <c r="AO70" s="12">
        <f t="shared" si="8"/>
        <v>57.3</v>
      </c>
      <c r="AP70" s="12">
        <f t="shared" si="9"/>
        <v>35.5</v>
      </c>
      <c r="AQ70" s="12">
        <f t="shared" si="9"/>
        <v>45.300000000000004</v>
      </c>
      <c r="AR70" s="12"/>
      <c r="AS70" s="12">
        <f t="shared" si="10"/>
        <v>39.300000000000004</v>
      </c>
      <c r="AT70" s="12">
        <f t="shared" si="10"/>
        <v>39.300000000000004</v>
      </c>
      <c r="AU70" s="12">
        <f t="shared" si="10"/>
        <v>86.3</v>
      </c>
      <c r="AV70" s="12">
        <f t="shared" si="10"/>
        <v>19.100000000000001</v>
      </c>
      <c r="AW70" s="12">
        <f t="shared" si="11"/>
        <v>43.7</v>
      </c>
      <c r="AX70" s="12">
        <f t="shared" si="11"/>
        <v>29.5</v>
      </c>
      <c r="AY70" s="12"/>
      <c r="AZ70" s="12">
        <f t="shared" si="14"/>
        <v>58</v>
      </c>
      <c r="BA70" s="12">
        <f t="shared" si="15"/>
        <v>41</v>
      </c>
      <c r="BB70" s="12"/>
      <c r="BC70" s="12">
        <f t="shared" si="16"/>
        <v>83</v>
      </c>
      <c r="BD70" s="12">
        <f t="shared" si="17"/>
        <v>20.200000000000003</v>
      </c>
      <c r="BE70" s="12">
        <f t="shared" si="18"/>
        <v>53.1</v>
      </c>
    </row>
    <row r="71" spans="1:57" ht="15.75" customHeight="1" x14ac:dyDescent="0.25">
      <c r="A71" s="1" t="s">
        <v>86</v>
      </c>
      <c r="B71" s="3" t="s">
        <v>84</v>
      </c>
      <c r="C71" s="4" t="s">
        <v>8</v>
      </c>
      <c r="D71" s="4">
        <v>40</v>
      </c>
      <c r="E71" s="4">
        <v>809</v>
      </c>
      <c r="F71" s="4">
        <v>40</v>
      </c>
      <c r="G71" s="4">
        <v>809</v>
      </c>
      <c r="H71" s="4">
        <v>0.41199999999999998</v>
      </c>
      <c r="I71" s="4">
        <v>22</v>
      </c>
      <c r="J71" s="4"/>
      <c r="K71" s="4">
        <v>0.19700000000000001</v>
      </c>
      <c r="L71" s="4">
        <v>5.3999999999999999E-2</v>
      </c>
      <c r="M71" s="4">
        <v>7.4999999999999997E-2</v>
      </c>
      <c r="N71" s="4">
        <v>3.5999999999999997E-2</v>
      </c>
      <c r="O71" s="4">
        <v>3.2000000000000001E-2</v>
      </c>
      <c r="P71" s="4">
        <v>0.80300000000000005</v>
      </c>
      <c r="Q71" s="4"/>
      <c r="R71" s="4">
        <v>0.52700000000000002</v>
      </c>
      <c r="S71" s="4">
        <v>0.93300000000000005</v>
      </c>
      <c r="T71" s="4">
        <v>0.42899999999999999</v>
      </c>
      <c r="U71" s="4">
        <v>0.3</v>
      </c>
      <c r="V71" s="4">
        <v>0.33300000000000002</v>
      </c>
      <c r="W71" s="4">
        <v>0.38400000000000001</v>
      </c>
      <c r="X71" s="4"/>
      <c r="Y71" s="4">
        <v>0.55200000000000005</v>
      </c>
      <c r="Z71" s="4">
        <v>0.67400000000000004</v>
      </c>
      <c r="AA71" s="4"/>
      <c r="AB71" s="4">
        <v>0.17</v>
      </c>
      <c r="AC71" s="4">
        <v>0.36799999999999999</v>
      </c>
      <c r="AD71" s="10">
        <f t="shared" si="12"/>
        <v>0.64996600000000004</v>
      </c>
      <c r="AE71" s="9"/>
      <c r="AF71" s="9"/>
      <c r="AG71" s="12">
        <f t="shared" si="13"/>
        <v>63.9</v>
      </c>
      <c r="AH71" s="12">
        <f t="shared" si="13"/>
        <v>63.3</v>
      </c>
      <c r="AI71" s="12">
        <f t="shared" si="13"/>
        <v>36</v>
      </c>
      <c r="AJ71" s="12">
        <f t="shared" si="13"/>
        <v>99.4</v>
      </c>
      <c r="AK71" s="12"/>
      <c r="AL71" s="12">
        <f t="shared" si="8"/>
        <v>0.5</v>
      </c>
      <c r="AM71" s="12">
        <f t="shared" si="8"/>
        <v>6.5</v>
      </c>
      <c r="AN71" s="12">
        <f t="shared" si="8"/>
        <v>1</v>
      </c>
      <c r="AO71" s="12">
        <f t="shared" si="8"/>
        <v>26.700000000000003</v>
      </c>
      <c r="AP71" s="12">
        <f t="shared" si="9"/>
        <v>41.5</v>
      </c>
      <c r="AQ71" s="12">
        <f t="shared" si="9"/>
        <v>99.4</v>
      </c>
      <c r="AR71" s="12"/>
      <c r="AS71" s="12">
        <f t="shared" si="10"/>
        <v>60.099999999999994</v>
      </c>
      <c r="AT71" s="12">
        <f t="shared" si="10"/>
        <v>97.2</v>
      </c>
      <c r="AU71" s="12">
        <f t="shared" si="10"/>
        <v>42.6</v>
      </c>
      <c r="AV71" s="12">
        <f t="shared" si="10"/>
        <v>36.6</v>
      </c>
      <c r="AW71" s="12">
        <f t="shared" si="11"/>
        <v>48</v>
      </c>
      <c r="AX71" s="12">
        <f t="shared" si="11"/>
        <v>76.5</v>
      </c>
      <c r="AY71" s="12"/>
      <c r="AZ71" s="12">
        <f t="shared" si="14"/>
        <v>60.199999999999996</v>
      </c>
      <c r="BA71" s="12">
        <f t="shared" si="15"/>
        <v>88</v>
      </c>
      <c r="BB71" s="12"/>
      <c r="BC71" s="12">
        <f t="shared" si="16"/>
        <v>44.2</v>
      </c>
      <c r="BD71" s="12">
        <f t="shared" si="17"/>
        <v>51.9</v>
      </c>
      <c r="BE71" s="12">
        <f t="shared" si="18"/>
        <v>71.099999999999994</v>
      </c>
    </row>
    <row r="72" spans="1:57" ht="15.75" customHeight="1" x14ac:dyDescent="0.25">
      <c r="A72" s="1" t="s">
        <v>256</v>
      </c>
      <c r="B72" s="3" t="s">
        <v>107</v>
      </c>
      <c r="C72" s="4" t="s">
        <v>8</v>
      </c>
      <c r="D72" s="4">
        <v>28</v>
      </c>
      <c r="E72" s="4">
        <v>794</v>
      </c>
      <c r="F72" s="4">
        <v>28</v>
      </c>
      <c r="G72" s="4">
        <v>794</v>
      </c>
      <c r="H72" s="4">
        <v>0.43</v>
      </c>
      <c r="I72" s="4">
        <v>14.9</v>
      </c>
      <c r="J72" s="4"/>
      <c r="K72" s="4">
        <v>0.67</v>
      </c>
      <c r="L72" s="4">
        <v>0.13700000000000001</v>
      </c>
      <c r="M72" s="4">
        <v>0.192</v>
      </c>
      <c r="N72" s="4">
        <v>0.19900000000000001</v>
      </c>
      <c r="O72" s="4">
        <v>0.14099999999999999</v>
      </c>
      <c r="P72" s="4">
        <v>0.33</v>
      </c>
      <c r="Q72" s="4"/>
      <c r="R72" s="4">
        <v>0.47699999999999998</v>
      </c>
      <c r="S72" s="4">
        <v>0.7</v>
      </c>
      <c r="T72" s="4">
        <v>0.46400000000000002</v>
      </c>
      <c r="U72" s="4">
        <v>0.39700000000000002</v>
      </c>
      <c r="V72" s="4">
        <v>0.39</v>
      </c>
      <c r="W72" s="4">
        <v>0.33300000000000002</v>
      </c>
      <c r="X72" s="4"/>
      <c r="Y72" s="4">
        <v>0.35499999999999998</v>
      </c>
      <c r="Z72" s="4">
        <v>0.875</v>
      </c>
      <c r="AA72" s="4"/>
      <c r="AB72" s="4">
        <v>0.104</v>
      </c>
      <c r="AC72" s="4">
        <v>0.6</v>
      </c>
      <c r="AD72" s="10">
        <f t="shared" si="12"/>
        <v>0.52659999999999996</v>
      </c>
      <c r="AE72" s="9"/>
      <c r="AF72" s="9"/>
      <c r="AG72" s="12">
        <f t="shared" si="13"/>
        <v>25.1</v>
      </c>
      <c r="AH72" s="12">
        <f t="shared" si="13"/>
        <v>62.8</v>
      </c>
      <c r="AI72" s="12">
        <f t="shared" si="13"/>
        <v>45.300000000000004</v>
      </c>
      <c r="AJ72" s="12">
        <f t="shared" si="13"/>
        <v>56.2</v>
      </c>
      <c r="AK72" s="12"/>
      <c r="AL72" s="12">
        <f t="shared" si="8"/>
        <v>67.2</v>
      </c>
      <c r="AM72" s="12">
        <f t="shared" si="8"/>
        <v>31.1</v>
      </c>
      <c r="AN72" s="12">
        <f t="shared" si="8"/>
        <v>30</v>
      </c>
      <c r="AO72" s="12">
        <f t="shared" si="8"/>
        <v>96.1</v>
      </c>
      <c r="AP72" s="12">
        <f t="shared" si="9"/>
        <v>97.2</v>
      </c>
      <c r="AQ72" s="12">
        <f t="shared" si="9"/>
        <v>32.700000000000003</v>
      </c>
      <c r="AR72" s="12"/>
      <c r="AS72" s="12">
        <f t="shared" si="10"/>
        <v>32.200000000000003</v>
      </c>
      <c r="AT72" s="12">
        <f t="shared" si="10"/>
        <v>61.7</v>
      </c>
      <c r="AU72" s="12">
        <f t="shared" si="10"/>
        <v>57.3</v>
      </c>
      <c r="AV72" s="12">
        <f t="shared" si="10"/>
        <v>58.4</v>
      </c>
      <c r="AW72" s="12">
        <f t="shared" si="11"/>
        <v>62.2</v>
      </c>
      <c r="AX72" s="12">
        <f t="shared" si="11"/>
        <v>52.400000000000006</v>
      </c>
      <c r="AY72" s="12"/>
      <c r="AZ72" s="12">
        <f t="shared" si="14"/>
        <v>86.9</v>
      </c>
      <c r="BA72" s="12">
        <f t="shared" si="15"/>
        <v>66.199999999999989</v>
      </c>
      <c r="BB72" s="12"/>
      <c r="BC72" s="12">
        <f t="shared" si="16"/>
        <v>17.399999999999999</v>
      </c>
      <c r="BD72" s="12">
        <f t="shared" si="17"/>
        <v>90.100000000000009</v>
      </c>
      <c r="BE72" s="12">
        <f t="shared" si="18"/>
        <v>88</v>
      </c>
    </row>
    <row r="73" spans="1:57" ht="15.75" customHeight="1" x14ac:dyDescent="0.25">
      <c r="A73" s="1" t="s">
        <v>211</v>
      </c>
      <c r="B73" s="3" t="s">
        <v>157</v>
      </c>
      <c r="C73" s="4" t="s">
        <v>8</v>
      </c>
      <c r="D73" s="4">
        <v>42</v>
      </c>
      <c r="E73" s="4">
        <v>792</v>
      </c>
      <c r="F73" s="4">
        <v>42</v>
      </c>
      <c r="G73" s="4">
        <v>792</v>
      </c>
      <c r="H73" s="4">
        <v>0.432</v>
      </c>
      <c r="I73" s="4">
        <v>16.100000000000001</v>
      </c>
      <c r="J73" s="4"/>
      <c r="K73" s="4">
        <v>0.49199999999999999</v>
      </c>
      <c r="L73" s="4">
        <v>0.16800000000000001</v>
      </c>
      <c r="M73" s="4">
        <v>0.189</v>
      </c>
      <c r="N73" s="4">
        <v>8.1000000000000003E-2</v>
      </c>
      <c r="O73" s="4">
        <v>5.3999999999999999E-2</v>
      </c>
      <c r="P73" s="4">
        <v>0.50800000000000001</v>
      </c>
      <c r="Q73" s="4"/>
      <c r="R73" s="4">
        <v>0.51600000000000001</v>
      </c>
      <c r="S73" s="4">
        <v>0.61299999999999999</v>
      </c>
      <c r="T73" s="4">
        <v>0.45700000000000002</v>
      </c>
      <c r="U73" s="4">
        <v>0.4</v>
      </c>
      <c r="V73" s="4">
        <v>0.6</v>
      </c>
      <c r="W73" s="4">
        <v>0.35099999999999998</v>
      </c>
      <c r="X73" s="4"/>
      <c r="Y73" s="4">
        <v>0.66</v>
      </c>
      <c r="Z73" s="4">
        <v>1</v>
      </c>
      <c r="AA73" s="4"/>
      <c r="AB73" s="4">
        <v>0.436</v>
      </c>
      <c r="AC73" s="4">
        <v>0.41499999999999998</v>
      </c>
      <c r="AD73" s="10">
        <f t="shared" si="12"/>
        <v>0.83272000000000002</v>
      </c>
      <c r="AE73" s="9"/>
      <c r="AF73" s="9"/>
      <c r="AG73" s="12">
        <f t="shared" si="13"/>
        <v>83</v>
      </c>
      <c r="AH73" s="12">
        <f t="shared" si="13"/>
        <v>62.2</v>
      </c>
      <c r="AI73" s="12">
        <f t="shared" si="13"/>
        <v>46.400000000000006</v>
      </c>
      <c r="AJ73" s="12">
        <f t="shared" si="13"/>
        <v>70.399999999999991</v>
      </c>
      <c r="AK73" s="12"/>
      <c r="AL73" s="12">
        <f t="shared" si="8"/>
        <v>26.200000000000003</v>
      </c>
      <c r="AM73" s="12">
        <f t="shared" si="8"/>
        <v>42.6</v>
      </c>
      <c r="AN73" s="12">
        <f t="shared" si="8"/>
        <v>28.9</v>
      </c>
      <c r="AO73" s="12">
        <f t="shared" si="8"/>
        <v>60.6</v>
      </c>
      <c r="AP73" s="12">
        <f t="shared" si="9"/>
        <v>65</v>
      </c>
      <c r="AQ73" s="12">
        <f t="shared" si="9"/>
        <v>73.7</v>
      </c>
      <c r="AR73" s="12"/>
      <c r="AS73" s="12">
        <f t="shared" si="10"/>
        <v>51.300000000000004</v>
      </c>
      <c r="AT73" s="12">
        <f t="shared" si="10"/>
        <v>31.1</v>
      </c>
      <c r="AU73" s="12">
        <f t="shared" si="10"/>
        <v>54.6</v>
      </c>
      <c r="AV73" s="12">
        <f t="shared" si="10"/>
        <v>59</v>
      </c>
      <c r="AW73" s="12">
        <f t="shared" si="11"/>
        <v>93.4</v>
      </c>
      <c r="AX73" s="12">
        <f t="shared" si="11"/>
        <v>62.2</v>
      </c>
      <c r="AY73" s="12"/>
      <c r="AZ73" s="12">
        <f t="shared" si="14"/>
        <v>43.2</v>
      </c>
      <c r="BA73" s="12">
        <f t="shared" si="15"/>
        <v>33.899999999999991</v>
      </c>
      <c r="BB73" s="12"/>
      <c r="BC73" s="12">
        <f t="shared" si="16"/>
        <v>92.300000000000011</v>
      </c>
      <c r="BD73" s="12">
        <f t="shared" si="17"/>
        <v>66.600000000000009</v>
      </c>
      <c r="BE73" s="12">
        <f t="shared" si="18"/>
        <v>26.799999999999997</v>
      </c>
    </row>
    <row r="74" spans="1:57" ht="15.75" customHeight="1" x14ac:dyDescent="0.25">
      <c r="A74" s="1" t="s">
        <v>212</v>
      </c>
      <c r="B74" s="3" t="s">
        <v>157</v>
      </c>
      <c r="C74" s="4" t="s">
        <v>119</v>
      </c>
      <c r="D74" s="4">
        <v>41</v>
      </c>
      <c r="E74" s="4">
        <v>788</v>
      </c>
      <c r="F74" s="4">
        <v>41</v>
      </c>
      <c r="G74" s="4">
        <v>788</v>
      </c>
      <c r="H74" s="4">
        <v>0.64700000000000002</v>
      </c>
      <c r="I74" s="4">
        <v>3.1</v>
      </c>
      <c r="J74" s="4"/>
      <c r="K74" s="4">
        <v>1</v>
      </c>
      <c r="L74" s="4">
        <v>0.58699999999999997</v>
      </c>
      <c r="M74" s="4">
        <v>0.38700000000000001</v>
      </c>
      <c r="N74" s="4">
        <v>1.2999999999999999E-2</v>
      </c>
      <c r="O74" s="4">
        <v>1.2999999999999999E-2</v>
      </c>
      <c r="P74" s="4">
        <v>0</v>
      </c>
      <c r="Q74" s="4"/>
      <c r="R74" s="4">
        <v>0.64700000000000002</v>
      </c>
      <c r="S74" s="4">
        <v>0.69299999999999995</v>
      </c>
      <c r="T74" s="4">
        <v>0.58599999999999997</v>
      </c>
      <c r="U74" s="4">
        <v>0.5</v>
      </c>
      <c r="V74" s="4">
        <v>0.5</v>
      </c>
      <c r="W74" s="4">
        <v>0</v>
      </c>
      <c r="X74" s="4"/>
      <c r="Y74" s="4">
        <v>0.77300000000000002</v>
      </c>
      <c r="Z74" s="4">
        <v>0</v>
      </c>
      <c r="AA74" s="4"/>
      <c r="AB74" s="4">
        <v>0</v>
      </c>
      <c r="AC74" s="4">
        <v>0</v>
      </c>
      <c r="AD74" s="10">
        <f t="shared" si="12"/>
        <v>0.77300000000000002</v>
      </c>
      <c r="AE74" s="9"/>
      <c r="AF74" s="9"/>
      <c r="AG74" s="12">
        <f t="shared" si="13"/>
        <v>69.3</v>
      </c>
      <c r="AH74" s="12">
        <f t="shared" si="13"/>
        <v>61.199999999999996</v>
      </c>
      <c r="AI74" s="12">
        <f t="shared" si="13"/>
        <v>100</v>
      </c>
      <c r="AJ74" s="12">
        <f t="shared" si="13"/>
        <v>0.5</v>
      </c>
      <c r="AK74" s="12"/>
      <c r="AL74" s="12">
        <f t="shared" si="8"/>
        <v>97.8</v>
      </c>
      <c r="AM74" s="12">
        <f t="shared" si="8"/>
        <v>98.3</v>
      </c>
      <c r="AN74" s="12">
        <f t="shared" si="8"/>
        <v>85.7</v>
      </c>
      <c r="AO74" s="12">
        <f t="shared" si="8"/>
        <v>7.6</v>
      </c>
      <c r="AP74" s="12">
        <f t="shared" si="9"/>
        <v>14.7</v>
      </c>
      <c r="AQ74" s="12">
        <f t="shared" si="9"/>
        <v>0</v>
      </c>
      <c r="AR74" s="12"/>
      <c r="AS74" s="12">
        <f t="shared" si="10"/>
        <v>96.7</v>
      </c>
      <c r="AT74" s="12">
        <f t="shared" si="10"/>
        <v>59</v>
      </c>
      <c r="AU74" s="12">
        <f t="shared" si="10"/>
        <v>93.899999999999991</v>
      </c>
      <c r="AV74" s="12">
        <f t="shared" si="10"/>
        <v>81.399999999999991</v>
      </c>
      <c r="AW74" s="12">
        <f t="shared" si="11"/>
        <v>79.7</v>
      </c>
      <c r="AX74" s="12">
        <f t="shared" si="11"/>
        <v>0</v>
      </c>
      <c r="AY74" s="12"/>
      <c r="AZ74" s="12">
        <f t="shared" si="14"/>
        <v>19.699999999999989</v>
      </c>
      <c r="BA74" s="12">
        <f t="shared" si="15"/>
        <v>100</v>
      </c>
      <c r="BB74" s="12"/>
      <c r="BC74" s="12">
        <f t="shared" si="16"/>
        <v>0</v>
      </c>
      <c r="BD74" s="12">
        <f t="shared" si="17"/>
        <v>0</v>
      </c>
      <c r="BE74" s="12">
        <f t="shared" si="18"/>
        <v>39.900000000000006</v>
      </c>
    </row>
    <row r="75" spans="1:57" ht="15.75" customHeight="1" x14ac:dyDescent="0.25">
      <c r="A75" s="1" t="s">
        <v>118</v>
      </c>
      <c r="B75" s="3" t="s">
        <v>93</v>
      </c>
      <c r="C75" s="4" t="s">
        <v>119</v>
      </c>
      <c r="D75" s="4">
        <v>35</v>
      </c>
      <c r="E75" s="4">
        <v>788</v>
      </c>
      <c r="F75" s="4">
        <v>35</v>
      </c>
      <c r="G75" s="4">
        <v>788</v>
      </c>
      <c r="H75" s="4">
        <v>0.60599999999999998</v>
      </c>
      <c r="I75" s="4">
        <v>7.3</v>
      </c>
      <c r="J75" s="4"/>
      <c r="K75" s="4">
        <v>0.95799999999999996</v>
      </c>
      <c r="L75" s="4">
        <v>0.27200000000000002</v>
      </c>
      <c r="M75" s="4">
        <v>0.47399999999999998</v>
      </c>
      <c r="N75" s="4">
        <v>0.155</v>
      </c>
      <c r="O75" s="4">
        <v>5.6000000000000001E-2</v>
      </c>
      <c r="P75" s="4">
        <v>4.2000000000000003E-2</v>
      </c>
      <c r="Q75" s="4"/>
      <c r="R75" s="4">
        <v>0.623</v>
      </c>
      <c r="S75" s="4">
        <v>0.81</v>
      </c>
      <c r="T75" s="4">
        <v>0.59399999999999997</v>
      </c>
      <c r="U75" s="4">
        <v>0.48499999999999999</v>
      </c>
      <c r="V75" s="4">
        <v>0.33300000000000002</v>
      </c>
      <c r="W75" s="4">
        <v>0.222</v>
      </c>
      <c r="X75" s="4"/>
      <c r="Y75" s="4">
        <v>0.77200000000000002</v>
      </c>
      <c r="Z75" s="4">
        <v>1</v>
      </c>
      <c r="AA75" s="4"/>
      <c r="AB75" s="4">
        <v>0.77800000000000002</v>
      </c>
      <c r="AC75" s="4">
        <v>0.28599999999999998</v>
      </c>
      <c r="AD75" s="10">
        <f t="shared" si="12"/>
        <v>0.78157600000000005</v>
      </c>
      <c r="AE75" s="9"/>
      <c r="AF75" s="9"/>
      <c r="AG75" s="12">
        <f t="shared" si="13"/>
        <v>43.7</v>
      </c>
      <c r="AH75" s="12">
        <f t="shared" si="13"/>
        <v>61.199999999999996</v>
      </c>
      <c r="AI75" s="12">
        <f t="shared" si="13"/>
        <v>98.9</v>
      </c>
      <c r="AJ75" s="12">
        <f t="shared" si="13"/>
        <v>11.4</v>
      </c>
      <c r="AK75" s="12"/>
      <c r="AL75" s="12">
        <f t="shared" si="8"/>
        <v>92.800000000000011</v>
      </c>
      <c r="AM75" s="12">
        <f t="shared" si="8"/>
        <v>73.2</v>
      </c>
      <c r="AN75" s="12">
        <f t="shared" si="8"/>
        <v>96.7</v>
      </c>
      <c r="AO75" s="12">
        <f t="shared" si="8"/>
        <v>89</v>
      </c>
      <c r="AP75" s="12">
        <f t="shared" si="9"/>
        <v>66.600000000000009</v>
      </c>
      <c r="AQ75" s="12">
        <f t="shared" si="9"/>
        <v>7.1</v>
      </c>
      <c r="AR75" s="12"/>
      <c r="AS75" s="12">
        <f t="shared" si="10"/>
        <v>95</v>
      </c>
      <c r="AT75" s="12">
        <f t="shared" si="10"/>
        <v>91.2</v>
      </c>
      <c r="AU75" s="12">
        <f t="shared" si="10"/>
        <v>95</v>
      </c>
      <c r="AV75" s="12">
        <f t="shared" si="10"/>
        <v>79.7</v>
      </c>
      <c r="AW75" s="12">
        <f t="shared" si="11"/>
        <v>48</v>
      </c>
      <c r="AX75" s="12">
        <f t="shared" si="11"/>
        <v>13.100000000000001</v>
      </c>
      <c r="AY75" s="12"/>
      <c r="AZ75" s="12">
        <f t="shared" si="14"/>
        <v>20.299999999999997</v>
      </c>
      <c r="BA75" s="12">
        <f t="shared" si="15"/>
        <v>33.899999999999991</v>
      </c>
      <c r="BB75" s="12"/>
      <c r="BC75" s="12">
        <f t="shared" si="16"/>
        <v>99.4</v>
      </c>
      <c r="BD75" s="12">
        <f t="shared" si="17"/>
        <v>34.4</v>
      </c>
      <c r="BE75" s="12">
        <f t="shared" si="18"/>
        <v>37.200000000000003</v>
      </c>
    </row>
    <row r="76" spans="1:57" ht="15.75" customHeight="1" x14ac:dyDescent="0.25">
      <c r="A76" s="1" t="s">
        <v>251</v>
      </c>
      <c r="B76" s="3" t="s">
        <v>131</v>
      </c>
      <c r="C76" s="4" t="s">
        <v>119</v>
      </c>
      <c r="D76" s="4">
        <v>32</v>
      </c>
      <c r="E76" s="4">
        <v>784</v>
      </c>
      <c r="F76" s="4">
        <v>32</v>
      </c>
      <c r="G76" s="4">
        <v>784</v>
      </c>
      <c r="H76" s="4">
        <v>0.42599999999999999</v>
      </c>
      <c r="I76" s="4">
        <v>11.8</v>
      </c>
      <c r="J76" s="4"/>
      <c r="K76" s="4">
        <v>0.63700000000000001</v>
      </c>
      <c r="L76" s="4">
        <v>0.35599999999999998</v>
      </c>
      <c r="M76" s="4">
        <v>0.182</v>
      </c>
      <c r="N76" s="4">
        <v>7.5999999999999998E-2</v>
      </c>
      <c r="O76" s="4">
        <v>2.3E-2</v>
      </c>
      <c r="P76" s="4">
        <v>0.36299999999999999</v>
      </c>
      <c r="Q76" s="4"/>
      <c r="R76" s="4">
        <v>0.52300000000000002</v>
      </c>
      <c r="S76" s="4">
        <v>0.60199999999999998</v>
      </c>
      <c r="T76" s="4">
        <v>0.41799999999999998</v>
      </c>
      <c r="U76" s="4">
        <v>0.39100000000000001</v>
      </c>
      <c r="V76" s="4">
        <v>0.57099999999999995</v>
      </c>
      <c r="W76" s="4">
        <v>0.255</v>
      </c>
      <c r="X76" s="4"/>
      <c r="Y76" s="4">
        <v>0.73299999999999998</v>
      </c>
      <c r="Z76" s="4">
        <v>0.92900000000000005</v>
      </c>
      <c r="AA76" s="4"/>
      <c r="AB76" s="4">
        <v>0.318</v>
      </c>
      <c r="AC76" s="4">
        <v>0.28599999999999998</v>
      </c>
      <c r="AD76" s="10">
        <f t="shared" si="12"/>
        <v>0.80414799999999997</v>
      </c>
      <c r="AE76" s="9"/>
      <c r="AF76" s="9"/>
      <c r="AG76" s="12">
        <f t="shared" si="13"/>
        <v>35.5</v>
      </c>
      <c r="AH76" s="12">
        <f t="shared" si="13"/>
        <v>60.6</v>
      </c>
      <c r="AI76" s="12">
        <f t="shared" si="13"/>
        <v>42</v>
      </c>
      <c r="AJ76" s="12">
        <f t="shared" si="13"/>
        <v>28.9</v>
      </c>
      <c r="AK76" s="12"/>
      <c r="AL76" s="12">
        <f t="shared" si="8"/>
        <v>59</v>
      </c>
      <c r="AM76" s="12">
        <f t="shared" si="8"/>
        <v>85.7</v>
      </c>
      <c r="AN76" s="12">
        <f t="shared" si="8"/>
        <v>25.6</v>
      </c>
      <c r="AO76" s="12">
        <f t="shared" si="8"/>
        <v>56.2</v>
      </c>
      <c r="AP76" s="12">
        <f t="shared" si="9"/>
        <v>28.9</v>
      </c>
      <c r="AQ76" s="12">
        <f t="shared" si="9"/>
        <v>39.800000000000004</v>
      </c>
      <c r="AR76" s="12"/>
      <c r="AS76" s="12">
        <f t="shared" si="10"/>
        <v>55.1</v>
      </c>
      <c r="AT76" s="12">
        <f t="shared" si="10"/>
        <v>27.800000000000004</v>
      </c>
      <c r="AU76" s="12">
        <f t="shared" si="10"/>
        <v>39.300000000000004</v>
      </c>
      <c r="AV76" s="12">
        <f t="shared" si="10"/>
        <v>57.3</v>
      </c>
      <c r="AW76" s="12">
        <f t="shared" si="11"/>
        <v>91.8</v>
      </c>
      <c r="AX76" s="12">
        <f t="shared" si="11"/>
        <v>20.7</v>
      </c>
      <c r="AY76" s="12"/>
      <c r="AZ76" s="12">
        <f t="shared" si="14"/>
        <v>26.299999999999997</v>
      </c>
      <c r="BA76" s="12">
        <f t="shared" si="15"/>
        <v>55.199999999999996</v>
      </c>
      <c r="BB76" s="12"/>
      <c r="BC76" s="12">
        <f t="shared" si="16"/>
        <v>79.7</v>
      </c>
      <c r="BD76" s="12">
        <f t="shared" si="17"/>
        <v>34.4</v>
      </c>
      <c r="BE76" s="12">
        <f t="shared" si="18"/>
        <v>32.799999999999997</v>
      </c>
    </row>
    <row r="77" spans="1:57" ht="15.75" customHeight="1" x14ac:dyDescent="0.25">
      <c r="A77" s="1" t="s">
        <v>230</v>
      </c>
      <c r="B77" s="3" t="s">
        <v>140</v>
      </c>
      <c r="C77" s="4" t="s">
        <v>8</v>
      </c>
      <c r="D77" s="4">
        <v>40</v>
      </c>
      <c r="E77" s="4">
        <v>777</v>
      </c>
      <c r="F77" s="4">
        <v>40</v>
      </c>
      <c r="G77" s="4">
        <v>777</v>
      </c>
      <c r="H77" s="4">
        <v>0.39400000000000002</v>
      </c>
      <c r="I77" s="4">
        <v>12.2</v>
      </c>
      <c r="J77" s="4"/>
      <c r="K77" s="4">
        <v>0.64700000000000002</v>
      </c>
      <c r="L77" s="4">
        <v>0.26100000000000001</v>
      </c>
      <c r="M77" s="4">
        <v>0.307</v>
      </c>
      <c r="N77" s="4">
        <v>0.06</v>
      </c>
      <c r="O77" s="4">
        <v>1.7999999999999999E-2</v>
      </c>
      <c r="P77" s="4">
        <v>0.35299999999999998</v>
      </c>
      <c r="Q77" s="4"/>
      <c r="R77" s="4">
        <v>0.45400000000000001</v>
      </c>
      <c r="S77" s="4">
        <v>0.57899999999999996</v>
      </c>
      <c r="T77" s="4">
        <v>0.38800000000000001</v>
      </c>
      <c r="U77" s="4">
        <v>0.308</v>
      </c>
      <c r="V77" s="4">
        <v>0.25</v>
      </c>
      <c r="W77" s="4">
        <v>0.28599999999999998</v>
      </c>
      <c r="X77" s="4"/>
      <c r="Y77" s="4">
        <v>0.45300000000000001</v>
      </c>
      <c r="Z77" s="4">
        <v>0.95499999999999996</v>
      </c>
      <c r="AA77" s="4"/>
      <c r="AB77" s="4">
        <v>0.27300000000000002</v>
      </c>
      <c r="AC77" s="4">
        <v>0.33300000000000002</v>
      </c>
      <c r="AD77" s="10">
        <f t="shared" si="12"/>
        <v>0.63020599999999993</v>
      </c>
      <c r="AE77" s="9"/>
      <c r="AF77" s="9"/>
      <c r="AG77" s="12">
        <f t="shared" si="13"/>
        <v>63.9</v>
      </c>
      <c r="AH77" s="12">
        <f t="shared" si="13"/>
        <v>60.099999999999994</v>
      </c>
      <c r="AI77" s="12">
        <f t="shared" si="13"/>
        <v>24.5</v>
      </c>
      <c r="AJ77" s="12">
        <f t="shared" si="13"/>
        <v>32.200000000000003</v>
      </c>
      <c r="AK77" s="12"/>
      <c r="AL77" s="12">
        <f t="shared" si="8"/>
        <v>61.7</v>
      </c>
      <c r="AM77" s="12">
        <f t="shared" si="8"/>
        <v>67.7</v>
      </c>
      <c r="AN77" s="12">
        <f t="shared" si="8"/>
        <v>67.7</v>
      </c>
      <c r="AO77" s="12">
        <f t="shared" si="8"/>
        <v>46.400000000000006</v>
      </c>
      <c r="AP77" s="12">
        <f t="shared" si="9"/>
        <v>22.400000000000002</v>
      </c>
      <c r="AQ77" s="12">
        <f t="shared" si="9"/>
        <v>38.200000000000003</v>
      </c>
      <c r="AR77" s="12"/>
      <c r="AS77" s="12">
        <f t="shared" si="10"/>
        <v>20.200000000000003</v>
      </c>
      <c r="AT77" s="12">
        <f t="shared" si="10"/>
        <v>19.100000000000001</v>
      </c>
      <c r="AU77" s="12">
        <f t="shared" si="10"/>
        <v>27.3</v>
      </c>
      <c r="AV77" s="12">
        <f t="shared" si="10"/>
        <v>37.700000000000003</v>
      </c>
      <c r="AW77" s="12">
        <f t="shared" si="11"/>
        <v>32.700000000000003</v>
      </c>
      <c r="AX77" s="12">
        <f t="shared" si="11"/>
        <v>31.6</v>
      </c>
      <c r="AY77" s="12"/>
      <c r="AZ77" s="12">
        <f t="shared" si="14"/>
        <v>74.400000000000006</v>
      </c>
      <c r="BA77" s="12">
        <f t="shared" si="15"/>
        <v>43.8</v>
      </c>
      <c r="BB77" s="12"/>
      <c r="BC77" s="12">
        <f t="shared" si="16"/>
        <v>73.7</v>
      </c>
      <c r="BD77" s="12">
        <f t="shared" si="17"/>
        <v>44.2</v>
      </c>
      <c r="BE77" s="12">
        <f t="shared" si="18"/>
        <v>73.3</v>
      </c>
    </row>
    <row r="78" spans="1:57" ht="15.75" customHeight="1" x14ac:dyDescent="0.25">
      <c r="A78" s="1" t="s">
        <v>142</v>
      </c>
      <c r="B78" s="3" t="s">
        <v>232</v>
      </c>
      <c r="C78" s="4" t="s">
        <v>85</v>
      </c>
      <c r="D78" s="4">
        <v>42</v>
      </c>
      <c r="E78" s="4">
        <v>775</v>
      </c>
      <c r="F78" s="4">
        <v>42</v>
      </c>
      <c r="G78" s="4">
        <v>775</v>
      </c>
      <c r="H78" s="4">
        <v>0.36599999999999999</v>
      </c>
      <c r="I78" s="4">
        <v>13.6</v>
      </c>
      <c r="J78" s="4"/>
      <c r="K78" s="4">
        <v>0.51600000000000001</v>
      </c>
      <c r="L78" s="4">
        <v>0.22600000000000001</v>
      </c>
      <c r="M78" s="4">
        <v>0.27400000000000002</v>
      </c>
      <c r="N78" s="4">
        <v>5.0000000000000001E-3</v>
      </c>
      <c r="O78" s="4">
        <v>1.0999999999999999E-2</v>
      </c>
      <c r="P78" s="4">
        <v>0.48399999999999999</v>
      </c>
      <c r="Q78" s="4"/>
      <c r="R78" s="4">
        <v>0.47899999999999998</v>
      </c>
      <c r="S78" s="4">
        <v>0.54800000000000004</v>
      </c>
      <c r="T78" s="4">
        <v>0.43099999999999999</v>
      </c>
      <c r="U78" s="4">
        <v>0</v>
      </c>
      <c r="V78" s="4">
        <v>0.5</v>
      </c>
      <c r="W78" s="4">
        <v>0.24399999999999999</v>
      </c>
      <c r="X78" s="4"/>
      <c r="Y78" s="4">
        <v>0.69599999999999995</v>
      </c>
      <c r="Z78" s="4">
        <v>1</v>
      </c>
      <c r="AA78" s="4"/>
      <c r="AB78" s="4">
        <v>0.45600000000000002</v>
      </c>
      <c r="AC78" s="4">
        <v>0.317</v>
      </c>
      <c r="AD78" s="10">
        <f t="shared" si="12"/>
        <v>0.843136</v>
      </c>
      <c r="AE78" s="9"/>
      <c r="AF78" s="9"/>
      <c r="AG78" s="12">
        <f t="shared" si="13"/>
        <v>83</v>
      </c>
      <c r="AH78" s="12">
        <f t="shared" si="13"/>
        <v>59.5</v>
      </c>
      <c r="AI78" s="12">
        <f t="shared" si="13"/>
        <v>12.5</v>
      </c>
      <c r="AJ78" s="12">
        <f t="shared" si="13"/>
        <v>46.9</v>
      </c>
      <c r="AK78" s="12"/>
      <c r="AL78" s="12">
        <f t="shared" si="8"/>
        <v>34.4</v>
      </c>
      <c r="AM78" s="12">
        <f t="shared" si="8"/>
        <v>61.7</v>
      </c>
      <c r="AN78" s="12">
        <f t="shared" si="8"/>
        <v>57.3</v>
      </c>
      <c r="AO78" s="12">
        <f t="shared" si="8"/>
        <v>4.9000000000000004</v>
      </c>
      <c r="AP78" s="12">
        <f t="shared" si="9"/>
        <v>12.5</v>
      </c>
      <c r="AQ78" s="12">
        <f t="shared" si="9"/>
        <v>65</v>
      </c>
      <c r="AR78" s="12"/>
      <c r="AS78" s="12">
        <f t="shared" si="10"/>
        <v>33.300000000000004</v>
      </c>
      <c r="AT78" s="12">
        <f t="shared" si="10"/>
        <v>12.5</v>
      </c>
      <c r="AU78" s="12">
        <f t="shared" si="10"/>
        <v>44.800000000000004</v>
      </c>
      <c r="AV78" s="12">
        <f t="shared" si="10"/>
        <v>0</v>
      </c>
      <c r="AW78" s="12">
        <f t="shared" si="11"/>
        <v>79.7</v>
      </c>
      <c r="AX78" s="12">
        <f t="shared" si="11"/>
        <v>15.8</v>
      </c>
      <c r="AY78" s="12"/>
      <c r="AZ78" s="12">
        <f t="shared" si="14"/>
        <v>34.5</v>
      </c>
      <c r="BA78" s="12">
        <f t="shared" si="15"/>
        <v>33.899999999999991</v>
      </c>
      <c r="BB78" s="12"/>
      <c r="BC78" s="12">
        <f t="shared" si="16"/>
        <v>94.5</v>
      </c>
      <c r="BD78" s="12">
        <f t="shared" si="17"/>
        <v>42.6</v>
      </c>
      <c r="BE78" s="12">
        <f t="shared" si="18"/>
        <v>24.099999999999994</v>
      </c>
    </row>
    <row r="79" spans="1:57" ht="15.75" customHeight="1" x14ac:dyDescent="0.25">
      <c r="A79" s="1" t="s">
        <v>214</v>
      </c>
      <c r="B79" s="3" t="s">
        <v>157</v>
      </c>
      <c r="C79" s="4" t="s">
        <v>85</v>
      </c>
      <c r="D79" s="4">
        <v>41</v>
      </c>
      <c r="E79" s="4">
        <v>773</v>
      </c>
      <c r="F79" s="4">
        <v>41</v>
      </c>
      <c r="G79" s="4">
        <v>773</v>
      </c>
      <c r="H79" s="4">
        <v>0.52</v>
      </c>
      <c r="I79" s="4">
        <v>6.6</v>
      </c>
      <c r="J79" s="4"/>
      <c r="K79" s="4">
        <v>0.89800000000000002</v>
      </c>
      <c r="L79" s="4">
        <v>0.40699999999999997</v>
      </c>
      <c r="M79" s="4">
        <v>0.379</v>
      </c>
      <c r="N79" s="4">
        <v>7.9000000000000001E-2</v>
      </c>
      <c r="O79" s="4">
        <v>3.4000000000000002E-2</v>
      </c>
      <c r="P79" s="4">
        <v>0.10199999999999999</v>
      </c>
      <c r="Q79" s="4"/>
      <c r="R79" s="4">
        <v>0.54700000000000004</v>
      </c>
      <c r="S79" s="4">
        <v>0.61099999999999999</v>
      </c>
      <c r="T79" s="4">
        <v>0.50700000000000001</v>
      </c>
      <c r="U79" s="4">
        <v>0.35699999999999998</v>
      </c>
      <c r="V79" s="4">
        <v>0.66700000000000004</v>
      </c>
      <c r="W79" s="4">
        <v>0.27800000000000002</v>
      </c>
      <c r="X79" s="4"/>
      <c r="Y79" s="4">
        <v>0.70099999999999996</v>
      </c>
      <c r="Z79" s="4">
        <v>0.8</v>
      </c>
      <c r="AA79" s="4"/>
      <c r="AB79" s="4">
        <v>0.77800000000000002</v>
      </c>
      <c r="AC79" s="4">
        <v>0.35699999999999998</v>
      </c>
      <c r="AD79" s="10">
        <f t="shared" si="12"/>
        <v>0.71109800000000001</v>
      </c>
      <c r="AE79" s="9"/>
      <c r="AF79" s="9"/>
      <c r="AG79" s="12">
        <f t="shared" si="13"/>
        <v>69.3</v>
      </c>
      <c r="AH79" s="12">
        <f t="shared" si="13"/>
        <v>59</v>
      </c>
      <c r="AI79" s="12">
        <f t="shared" si="13"/>
        <v>85.7</v>
      </c>
      <c r="AJ79" s="12">
        <f t="shared" si="13"/>
        <v>9.1999999999999993</v>
      </c>
      <c r="AK79" s="12"/>
      <c r="AL79" s="12">
        <f t="shared" si="8"/>
        <v>88.5</v>
      </c>
      <c r="AM79" s="12">
        <f t="shared" si="8"/>
        <v>91.2</v>
      </c>
      <c r="AN79" s="12">
        <f t="shared" si="8"/>
        <v>84.6</v>
      </c>
      <c r="AO79" s="12">
        <f t="shared" si="8"/>
        <v>59.5</v>
      </c>
      <c r="AP79" s="12">
        <f t="shared" si="9"/>
        <v>44.2</v>
      </c>
      <c r="AQ79" s="12">
        <f t="shared" si="9"/>
        <v>10.9</v>
      </c>
      <c r="AR79" s="12"/>
      <c r="AS79" s="12">
        <f t="shared" si="10"/>
        <v>70.399999999999991</v>
      </c>
      <c r="AT79" s="12">
        <f t="shared" si="10"/>
        <v>28.9</v>
      </c>
      <c r="AU79" s="12">
        <f t="shared" si="10"/>
        <v>77</v>
      </c>
      <c r="AV79" s="12">
        <f t="shared" si="10"/>
        <v>50.2</v>
      </c>
      <c r="AW79" s="12">
        <f t="shared" si="11"/>
        <v>95</v>
      </c>
      <c r="AX79" s="12">
        <f t="shared" si="11"/>
        <v>27.3</v>
      </c>
      <c r="AY79" s="12"/>
      <c r="AZ79" s="12">
        <f t="shared" si="14"/>
        <v>33.399999999999991</v>
      </c>
      <c r="BA79" s="12">
        <f t="shared" si="15"/>
        <v>77.599999999999994</v>
      </c>
      <c r="BB79" s="12"/>
      <c r="BC79" s="12">
        <f t="shared" si="16"/>
        <v>99.4</v>
      </c>
      <c r="BD79" s="12">
        <f t="shared" si="17"/>
        <v>49.1</v>
      </c>
      <c r="BE79" s="12">
        <f t="shared" si="18"/>
        <v>56.3</v>
      </c>
    </row>
    <row r="80" spans="1:57" ht="15.75" customHeight="1" x14ac:dyDescent="0.25">
      <c r="A80" s="1" t="s">
        <v>220</v>
      </c>
      <c r="B80" s="4" t="s">
        <v>99</v>
      </c>
      <c r="C80" s="4" t="s">
        <v>85</v>
      </c>
      <c r="D80" s="4">
        <v>40</v>
      </c>
      <c r="E80" s="4">
        <v>733</v>
      </c>
      <c r="F80" s="4">
        <v>40</v>
      </c>
      <c r="G80" s="4">
        <v>733</v>
      </c>
      <c r="H80" s="4">
        <v>0.503</v>
      </c>
      <c r="I80" s="4">
        <v>13.1</v>
      </c>
      <c r="J80" s="4"/>
      <c r="K80" s="4">
        <v>0.57999999999999996</v>
      </c>
      <c r="L80" s="4">
        <v>0.23200000000000001</v>
      </c>
      <c r="M80" s="4">
        <v>0.315</v>
      </c>
      <c r="N80" s="4">
        <v>1.7000000000000001E-2</v>
      </c>
      <c r="O80" s="4">
        <v>1.7000000000000001E-2</v>
      </c>
      <c r="P80" s="4">
        <v>0.42</v>
      </c>
      <c r="Q80" s="4"/>
      <c r="R80" s="4">
        <v>0.6</v>
      </c>
      <c r="S80" s="4">
        <v>0.73799999999999999</v>
      </c>
      <c r="T80" s="4">
        <v>0.50900000000000001</v>
      </c>
      <c r="U80" s="4">
        <v>0.33300000000000002</v>
      </c>
      <c r="V80" s="4">
        <v>0.66700000000000004</v>
      </c>
      <c r="W80" s="4">
        <v>0.36799999999999999</v>
      </c>
      <c r="X80" s="4"/>
      <c r="Y80" s="4">
        <v>0.90500000000000003</v>
      </c>
      <c r="Z80" s="4">
        <v>0.92900000000000005</v>
      </c>
      <c r="AA80" s="4"/>
      <c r="AB80" s="4">
        <v>0.19700000000000001</v>
      </c>
      <c r="AC80" s="4">
        <v>0.4</v>
      </c>
      <c r="AD80" s="10">
        <f t="shared" si="12"/>
        <v>0.91508000000000012</v>
      </c>
      <c r="AE80" s="9"/>
      <c r="AF80" s="9"/>
      <c r="AG80" s="12">
        <f t="shared" si="13"/>
        <v>63.9</v>
      </c>
      <c r="AH80" s="12">
        <f t="shared" si="13"/>
        <v>58.4</v>
      </c>
      <c r="AI80" s="12">
        <f t="shared" si="13"/>
        <v>80.300000000000011</v>
      </c>
      <c r="AJ80" s="12">
        <f t="shared" si="13"/>
        <v>42.6</v>
      </c>
      <c r="AK80" s="12"/>
      <c r="AL80" s="12">
        <f t="shared" si="8"/>
        <v>46.9</v>
      </c>
      <c r="AM80" s="12">
        <f t="shared" si="8"/>
        <v>63.3</v>
      </c>
      <c r="AN80" s="12">
        <f t="shared" si="8"/>
        <v>69.899999999999991</v>
      </c>
      <c r="AO80" s="12">
        <f t="shared" si="8"/>
        <v>10.299999999999999</v>
      </c>
      <c r="AP80" s="12">
        <f t="shared" si="9"/>
        <v>20.200000000000003</v>
      </c>
      <c r="AQ80" s="12">
        <f t="shared" si="9"/>
        <v>53</v>
      </c>
      <c r="AR80" s="12"/>
      <c r="AS80" s="12">
        <f t="shared" si="10"/>
        <v>90.7</v>
      </c>
      <c r="AT80" s="12">
        <f t="shared" si="10"/>
        <v>74.3</v>
      </c>
      <c r="AU80" s="12">
        <f t="shared" si="10"/>
        <v>78.600000000000009</v>
      </c>
      <c r="AV80" s="12">
        <f t="shared" si="10"/>
        <v>40.9</v>
      </c>
      <c r="AW80" s="12">
        <f t="shared" si="11"/>
        <v>95</v>
      </c>
      <c r="AX80" s="12">
        <f t="shared" si="11"/>
        <v>68.300000000000011</v>
      </c>
      <c r="AY80" s="12"/>
      <c r="AZ80" s="12">
        <f t="shared" si="14"/>
        <v>1.7000000000000028</v>
      </c>
      <c r="BA80" s="12">
        <f t="shared" si="15"/>
        <v>55.199999999999996</v>
      </c>
      <c r="BB80" s="12"/>
      <c r="BC80" s="12">
        <f t="shared" si="16"/>
        <v>56.2</v>
      </c>
      <c r="BD80" s="12">
        <f t="shared" si="17"/>
        <v>63.3</v>
      </c>
      <c r="BE80" s="12">
        <f t="shared" si="18"/>
        <v>7.1999999999999886</v>
      </c>
    </row>
    <row r="81" spans="1:57" ht="15.75" customHeight="1" x14ac:dyDescent="0.25">
      <c r="A81" s="1" t="s">
        <v>208</v>
      </c>
      <c r="B81" s="3" t="s">
        <v>140</v>
      </c>
      <c r="C81" s="4" t="s">
        <v>88</v>
      </c>
      <c r="D81" s="4">
        <v>42</v>
      </c>
      <c r="E81" s="4">
        <v>731</v>
      </c>
      <c r="F81" s="4">
        <v>42</v>
      </c>
      <c r="G81" s="4">
        <v>731</v>
      </c>
      <c r="H81" s="4">
        <v>0.54700000000000004</v>
      </c>
      <c r="I81" s="4">
        <v>6.4</v>
      </c>
      <c r="J81" s="4"/>
      <c r="K81" s="4">
        <v>1</v>
      </c>
      <c r="L81" s="4">
        <v>0.38900000000000001</v>
      </c>
      <c r="M81" s="4">
        <v>0.374</v>
      </c>
      <c r="N81" s="4">
        <v>0.111</v>
      </c>
      <c r="O81" s="4">
        <v>0.126</v>
      </c>
      <c r="P81" s="4">
        <v>0</v>
      </c>
      <c r="Q81" s="4"/>
      <c r="R81" s="4">
        <v>0.54700000000000004</v>
      </c>
      <c r="S81" s="4">
        <v>0.77</v>
      </c>
      <c r="T81" s="4">
        <v>0.49299999999999999</v>
      </c>
      <c r="U81" s="4">
        <v>0.28599999999999998</v>
      </c>
      <c r="V81" s="4">
        <v>0.25</v>
      </c>
      <c r="W81" s="4">
        <v>0</v>
      </c>
      <c r="X81" s="4"/>
      <c r="Y81" s="4">
        <v>0.79800000000000004</v>
      </c>
      <c r="Z81" s="4">
        <v>0</v>
      </c>
      <c r="AA81" s="4"/>
      <c r="AB81" s="4">
        <v>0</v>
      </c>
      <c r="AC81" s="4">
        <v>0</v>
      </c>
      <c r="AD81" s="10">
        <f t="shared" si="12"/>
        <v>0.79800000000000004</v>
      </c>
      <c r="AE81" s="9"/>
      <c r="AF81" s="9"/>
      <c r="AG81" s="12">
        <f t="shared" si="13"/>
        <v>83</v>
      </c>
      <c r="AH81" s="12">
        <f t="shared" si="13"/>
        <v>57.9</v>
      </c>
      <c r="AI81" s="12">
        <f t="shared" si="13"/>
        <v>91.2</v>
      </c>
      <c r="AJ81" s="12">
        <f t="shared" si="13"/>
        <v>7.6</v>
      </c>
      <c r="AK81" s="12"/>
      <c r="AL81" s="12">
        <f t="shared" si="8"/>
        <v>97.8</v>
      </c>
      <c r="AM81" s="12">
        <f t="shared" si="8"/>
        <v>89</v>
      </c>
      <c r="AN81" s="12">
        <f t="shared" si="8"/>
        <v>83</v>
      </c>
      <c r="AO81" s="12">
        <f t="shared" si="8"/>
        <v>77</v>
      </c>
      <c r="AP81" s="12">
        <f t="shared" si="9"/>
        <v>93.899999999999991</v>
      </c>
      <c r="AQ81" s="12">
        <f t="shared" si="9"/>
        <v>0</v>
      </c>
      <c r="AR81" s="12"/>
      <c r="AS81" s="12">
        <f t="shared" si="10"/>
        <v>70.399999999999991</v>
      </c>
      <c r="AT81" s="12">
        <f t="shared" si="10"/>
        <v>84.1</v>
      </c>
      <c r="AU81" s="12">
        <f t="shared" si="10"/>
        <v>71</v>
      </c>
      <c r="AV81" s="12">
        <f t="shared" si="10"/>
        <v>33.300000000000004</v>
      </c>
      <c r="AW81" s="12">
        <f t="shared" si="11"/>
        <v>32.700000000000003</v>
      </c>
      <c r="AX81" s="12">
        <f t="shared" si="11"/>
        <v>0</v>
      </c>
      <c r="AY81" s="12"/>
      <c r="AZ81" s="12">
        <f t="shared" si="14"/>
        <v>15.400000000000006</v>
      </c>
      <c r="BA81" s="12">
        <f t="shared" si="15"/>
        <v>100</v>
      </c>
      <c r="BB81" s="12"/>
      <c r="BC81" s="12">
        <f t="shared" si="16"/>
        <v>0</v>
      </c>
      <c r="BD81" s="12">
        <f t="shared" si="17"/>
        <v>0</v>
      </c>
      <c r="BE81" s="12">
        <f t="shared" si="18"/>
        <v>34.5</v>
      </c>
    </row>
    <row r="82" spans="1:57" ht="15.75" customHeight="1" x14ac:dyDescent="0.25">
      <c r="A82" s="1" t="s">
        <v>167</v>
      </c>
      <c r="B82" s="3" t="s">
        <v>131</v>
      </c>
      <c r="C82" s="4" t="s">
        <v>8</v>
      </c>
      <c r="D82" s="4">
        <v>37</v>
      </c>
      <c r="E82" s="4">
        <v>718</v>
      </c>
      <c r="F82" s="4">
        <v>37</v>
      </c>
      <c r="G82" s="4">
        <v>718</v>
      </c>
      <c r="H82" s="4">
        <v>0.42399999999999999</v>
      </c>
      <c r="I82" s="4">
        <v>11</v>
      </c>
      <c r="J82" s="4"/>
      <c r="K82" s="4">
        <v>0.7</v>
      </c>
      <c r="L82" s="4">
        <v>0.313</v>
      </c>
      <c r="M82" s="4">
        <v>0.29499999999999998</v>
      </c>
      <c r="N82" s="4">
        <v>7.8E-2</v>
      </c>
      <c r="O82" s="4">
        <v>1.4E-2</v>
      </c>
      <c r="P82" s="4">
        <v>0.3</v>
      </c>
      <c r="Q82" s="4"/>
      <c r="R82" s="4">
        <v>0.5</v>
      </c>
      <c r="S82" s="4">
        <v>0.61799999999999999</v>
      </c>
      <c r="T82" s="4">
        <v>0.39100000000000001</v>
      </c>
      <c r="U82" s="4">
        <v>0.41199999999999998</v>
      </c>
      <c r="V82" s="4">
        <v>0.66700000000000004</v>
      </c>
      <c r="W82" s="4">
        <v>0.246</v>
      </c>
      <c r="X82" s="4"/>
      <c r="Y82" s="4">
        <v>0.63200000000000001</v>
      </c>
      <c r="Z82" s="4">
        <v>0.93799999999999994</v>
      </c>
      <c r="AA82" s="4"/>
      <c r="AB82" s="4">
        <v>0.246</v>
      </c>
      <c r="AC82" s="4">
        <v>0.25</v>
      </c>
      <c r="AD82" s="10">
        <f t="shared" si="12"/>
        <v>0.7238</v>
      </c>
      <c r="AE82" s="9"/>
      <c r="AF82" s="9"/>
      <c r="AG82" s="12">
        <f t="shared" si="13"/>
        <v>48</v>
      </c>
      <c r="AH82" s="12">
        <f t="shared" si="13"/>
        <v>57.3</v>
      </c>
      <c r="AI82" s="12">
        <f t="shared" si="13"/>
        <v>39.800000000000004</v>
      </c>
      <c r="AJ82" s="12">
        <f t="shared" si="13"/>
        <v>24</v>
      </c>
      <c r="AK82" s="12"/>
      <c r="AL82" s="12">
        <f t="shared" si="8"/>
        <v>69.899999999999991</v>
      </c>
      <c r="AM82" s="12">
        <f t="shared" si="8"/>
        <v>79.2</v>
      </c>
      <c r="AN82" s="12">
        <f t="shared" si="8"/>
        <v>64.400000000000006</v>
      </c>
      <c r="AO82" s="12">
        <f t="shared" si="8"/>
        <v>58.4</v>
      </c>
      <c r="AP82" s="12">
        <f t="shared" si="9"/>
        <v>16.3</v>
      </c>
      <c r="AQ82" s="12">
        <f t="shared" si="9"/>
        <v>29.5</v>
      </c>
      <c r="AR82" s="12"/>
      <c r="AS82" s="12">
        <f t="shared" si="10"/>
        <v>41.5</v>
      </c>
      <c r="AT82" s="12">
        <f t="shared" si="10"/>
        <v>32.700000000000003</v>
      </c>
      <c r="AU82" s="12">
        <f t="shared" si="10"/>
        <v>29.5</v>
      </c>
      <c r="AV82" s="12">
        <f t="shared" si="10"/>
        <v>63.3</v>
      </c>
      <c r="AW82" s="12">
        <f t="shared" si="11"/>
        <v>95</v>
      </c>
      <c r="AX82" s="12">
        <f t="shared" si="11"/>
        <v>16.3</v>
      </c>
      <c r="AY82" s="12"/>
      <c r="AZ82" s="12">
        <f t="shared" si="14"/>
        <v>48.699999999999996</v>
      </c>
      <c r="BA82" s="12">
        <f t="shared" si="15"/>
        <v>50.9</v>
      </c>
      <c r="BB82" s="12"/>
      <c r="BC82" s="12">
        <f t="shared" si="16"/>
        <v>67.7</v>
      </c>
      <c r="BD82" s="12">
        <f t="shared" si="17"/>
        <v>24.5</v>
      </c>
      <c r="BE82" s="12">
        <f t="shared" si="18"/>
        <v>52</v>
      </c>
    </row>
    <row r="83" spans="1:57" ht="15.75" customHeight="1" x14ac:dyDescent="0.25">
      <c r="A83" s="1" t="s">
        <v>236</v>
      </c>
      <c r="B83" s="3" t="s">
        <v>131</v>
      </c>
      <c r="C83" s="4" t="s">
        <v>8</v>
      </c>
      <c r="D83" s="4">
        <v>35</v>
      </c>
      <c r="E83" s="4">
        <v>713</v>
      </c>
      <c r="F83" s="4">
        <v>35</v>
      </c>
      <c r="G83" s="4">
        <v>713</v>
      </c>
      <c r="H83" s="4">
        <v>0.42599999999999999</v>
      </c>
      <c r="I83" s="4">
        <v>16.3</v>
      </c>
      <c r="J83" s="4"/>
      <c r="K83" s="4">
        <v>0.46700000000000003</v>
      </c>
      <c r="L83" s="4">
        <v>0.21</v>
      </c>
      <c r="M83" s="4">
        <v>0.13300000000000001</v>
      </c>
      <c r="N83" s="4">
        <v>6.7000000000000004E-2</v>
      </c>
      <c r="O83" s="4">
        <v>5.6000000000000001E-2</v>
      </c>
      <c r="P83" s="4">
        <v>0.53300000000000003</v>
      </c>
      <c r="Q83" s="4"/>
      <c r="R83" s="4">
        <v>0.53800000000000003</v>
      </c>
      <c r="S83" s="4">
        <v>0.72</v>
      </c>
      <c r="T83" s="4">
        <v>0.48099999999999998</v>
      </c>
      <c r="U83" s="4">
        <v>0.308</v>
      </c>
      <c r="V83" s="4">
        <v>0.27300000000000002</v>
      </c>
      <c r="W83" s="4">
        <v>0.32700000000000001</v>
      </c>
      <c r="X83" s="4"/>
      <c r="Y83" s="4">
        <v>0.622</v>
      </c>
      <c r="Z83" s="4">
        <v>0.83799999999999997</v>
      </c>
      <c r="AA83" s="4"/>
      <c r="AB83" s="4">
        <v>0.16300000000000001</v>
      </c>
      <c r="AC83" s="4">
        <v>0.23499999999999999</v>
      </c>
      <c r="AD83" s="10">
        <f t="shared" si="12"/>
        <v>0.73712800000000001</v>
      </c>
      <c r="AE83" s="9"/>
      <c r="AF83" s="9"/>
      <c r="AG83" s="12">
        <f t="shared" si="13"/>
        <v>43.7</v>
      </c>
      <c r="AH83" s="12">
        <f t="shared" si="13"/>
        <v>56.8</v>
      </c>
      <c r="AI83" s="12">
        <f t="shared" si="13"/>
        <v>42</v>
      </c>
      <c r="AJ83" s="12">
        <f t="shared" si="13"/>
        <v>71</v>
      </c>
      <c r="AK83" s="12"/>
      <c r="AL83" s="12">
        <f t="shared" si="8"/>
        <v>21.3</v>
      </c>
      <c r="AM83" s="12">
        <f t="shared" si="8"/>
        <v>56.8</v>
      </c>
      <c r="AN83" s="12">
        <f t="shared" si="8"/>
        <v>11.4</v>
      </c>
      <c r="AO83" s="12">
        <f t="shared" ref="AO83:AQ142" si="19">(PERCENTRANK(N$4:N$298,N83))*100</f>
        <v>50.2</v>
      </c>
      <c r="AP83" s="12">
        <f t="shared" si="9"/>
        <v>66.600000000000009</v>
      </c>
      <c r="AQ83" s="12">
        <f t="shared" si="9"/>
        <v>78.600000000000009</v>
      </c>
      <c r="AR83" s="12"/>
      <c r="AS83" s="12">
        <f t="shared" si="10"/>
        <v>67.2</v>
      </c>
      <c r="AT83" s="12">
        <f t="shared" si="10"/>
        <v>67.2</v>
      </c>
      <c r="AU83" s="12">
        <f t="shared" si="10"/>
        <v>65</v>
      </c>
      <c r="AV83" s="12">
        <f t="shared" ref="AV83:AX142" si="20">(PERCENTRANK(U$4:U$298,U83))*100</f>
        <v>37.700000000000003</v>
      </c>
      <c r="AW83" s="12">
        <f t="shared" si="11"/>
        <v>42.6</v>
      </c>
      <c r="AX83" s="12">
        <f t="shared" si="11"/>
        <v>50.2</v>
      </c>
      <c r="AY83" s="12"/>
      <c r="AZ83" s="12">
        <f t="shared" si="14"/>
        <v>49.8</v>
      </c>
      <c r="BA83" s="12">
        <f t="shared" si="15"/>
        <v>71.599999999999994</v>
      </c>
      <c r="BB83" s="12"/>
      <c r="BC83" s="12">
        <f t="shared" si="16"/>
        <v>40.9</v>
      </c>
      <c r="BD83" s="12">
        <f t="shared" si="17"/>
        <v>22.400000000000002</v>
      </c>
      <c r="BE83" s="12">
        <f t="shared" si="18"/>
        <v>48.699999999999996</v>
      </c>
    </row>
    <row r="84" spans="1:57" ht="15.75" customHeight="1" x14ac:dyDescent="0.25">
      <c r="A84" s="1" t="s">
        <v>181</v>
      </c>
      <c r="B84" s="3" t="s">
        <v>117</v>
      </c>
      <c r="C84" s="4" t="s">
        <v>85</v>
      </c>
      <c r="D84" s="4">
        <v>42</v>
      </c>
      <c r="E84" s="4">
        <v>708</v>
      </c>
      <c r="F84" s="4">
        <v>42</v>
      </c>
      <c r="G84" s="4">
        <v>708</v>
      </c>
      <c r="H84" s="4">
        <v>0.443</v>
      </c>
      <c r="I84" s="4">
        <v>16.399999999999999</v>
      </c>
      <c r="J84" s="4"/>
      <c r="K84" s="4">
        <v>0.443</v>
      </c>
      <c r="L84" s="4">
        <v>0.153</v>
      </c>
      <c r="M84" s="4">
        <v>0.19800000000000001</v>
      </c>
      <c r="N84" s="4">
        <v>2.3E-2</v>
      </c>
      <c r="O84" s="4">
        <v>6.9000000000000006E-2</v>
      </c>
      <c r="P84" s="4">
        <v>0.55700000000000005</v>
      </c>
      <c r="Q84" s="4"/>
      <c r="R84" s="4">
        <v>0.65500000000000003</v>
      </c>
      <c r="S84" s="4">
        <v>0.85</v>
      </c>
      <c r="T84" s="4">
        <v>0.65400000000000003</v>
      </c>
      <c r="U84" s="4">
        <v>0</v>
      </c>
      <c r="V84" s="4">
        <v>0.44400000000000001</v>
      </c>
      <c r="W84" s="4">
        <v>0.27400000000000002</v>
      </c>
      <c r="X84" s="4"/>
      <c r="Y84" s="4">
        <v>0.68400000000000005</v>
      </c>
      <c r="Z84" s="4">
        <v>1</v>
      </c>
      <c r="AA84" s="4"/>
      <c r="AB84" s="4">
        <v>0.56200000000000006</v>
      </c>
      <c r="AC84" s="4">
        <v>0.29299999999999998</v>
      </c>
      <c r="AD84" s="10">
        <f t="shared" si="12"/>
        <v>0.860012</v>
      </c>
      <c r="AE84" s="9"/>
      <c r="AF84" s="9"/>
      <c r="AG84" s="12">
        <f t="shared" si="13"/>
        <v>83</v>
      </c>
      <c r="AH84" s="12">
        <f t="shared" si="13"/>
        <v>56.2</v>
      </c>
      <c r="AI84" s="12">
        <f t="shared" si="13"/>
        <v>56.2</v>
      </c>
      <c r="AJ84" s="12">
        <f t="shared" si="13"/>
        <v>72.099999999999994</v>
      </c>
      <c r="AK84" s="12"/>
      <c r="AL84" s="12">
        <f t="shared" ref="AL84:AN142" si="21">(PERCENTRANK(K$4:K$298,K84))*100</f>
        <v>17.399999999999999</v>
      </c>
      <c r="AM84" s="12">
        <f t="shared" si="21"/>
        <v>34.4</v>
      </c>
      <c r="AN84" s="12">
        <f t="shared" si="21"/>
        <v>33.300000000000004</v>
      </c>
      <c r="AO84" s="12">
        <f t="shared" si="19"/>
        <v>15.299999999999999</v>
      </c>
      <c r="AP84" s="12">
        <f t="shared" si="19"/>
        <v>75.400000000000006</v>
      </c>
      <c r="AQ84" s="12">
        <f t="shared" si="19"/>
        <v>82.5</v>
      </c>
      <c r="AR84" s="12"/>
      <c r="AS84" s="12">
        <f t="shared" ref="AS84:AU142" si="22">(PERCENTRANK(R$4:R$298,R84))*100</f>
        <v>97.8</v>
      </c>
      <c r="AT84" s="12">
        <f t="shared" si="22"/>
        <v>95</v>
      </c>
      <c r="AU84" s="12">
        <f t="shared" si="22"/>
        <v>97.2</v>
      </c>
      <c r="AV84" s="12">
        <f t="shared" si="20"/>
        <v>0</v>
      </c>
      <c r="AW84" s="12">
        <f t="shared" si="20"/>
        <v>76.5</v>
      </c>
      <c r="AX84" s="12">
        <f t="shared" si="20"/>
        <v>25.1</v>
      </c>
      <c r="AY84" s="12"/>
      <c r="AZ84" s="12">
        <f t="shared" si="14"/>
        <v>36.1</v>
      </c>
      <c r="BA84" s="12">
        <f t="shared" si="15"/>
        <v>33.899999999999991</v>
      </c>
      <c r="BB84" s="12"/>
      <c r="BC84" s="12">
        <f t="shared" si="16"/>
        <v>98.3</v>
      </c>
      <c r="BD84" s="12">
        <f t="shared" si="17"/>
        <v>38.200000000000003</v>
      </c>
      <c r="BE84" s="12">
        <f t="shared" si="18"/>
        <v>19.199999999999989</v>
      </c>
    </row>
    <row r="85" spans="1:57" ht="15.75" customHeight="1" x14ac:dyDescent="0.25">
      <c r="A85" s="1" t="s">
        <v>257</v>
      </c>
      <c r="B85" s="3" t="s">
        <v>161</v>
      </c>
      <c r="C85" s="4" t="s">
        <v>85</v>
      </c>
      <c r="D85" s="4">
        <v>30</v>
      </c>
      <c r="E85" s="4">
        <v>707</v>
      </c>
      <c r="F85" s="4">
        <v>30</v>
      </c>
      <c r="G85" s="4">
        <v>707</v>
      </c>
      <c r="H85" s="4">
        <v>0.42599999999999999</v>
      </c>
      <c r="I85" s="4">
        <v>10.3</v>
      </c>
      <c r="J85" s="4"/>
      <c r="K85" s="4">
        <v>0.76300000000000001</v>
      </c>
      <c r="L85" s="4">
        <v>0.308</v>
      </c>
      <c r="M85" s="4">
        <v>0.33300000000000002</v>
      </c>
      <c r="N85" s="4">
        <v>4.8000000000000001E-2</v>
      </c>
      <c r="O85" s="4">
        <v>7.3999999999999996E-2</v>
      </c>
      <c r="P85" s="4">
        <v>0.23699999999999999</v>
      </c>
      <c r="Q85" s="4"/>
      <c r="R85" s="4">
        <v>0.47099999999999997</v>
      </c>
      <c r="S85" s="4">
        <v>0.56299999999999994</v>
      </c>
      <c r="T85" s="4">
        <v>0.46200000000000002</v>
      </c>
      <c r="U85" s="4">
        <v>0.26700000000000002</v>
      </c>
      <c r="V85" s="4">
        <v>0.26100000000000001</v>
      </c>
      <c r="W85" s="4">
        <v>0.28399999999999997</v>
      </c>
      <c r="X85" s="4"/>
      <c r="Y85" s="4">
        <v>0.80400000000000005</v>
      </c>
      <c r="Z85" s="4">
        <v>0.95199999999999996</v>
      </c>
      <c r="AA85" s="4"/>
      <c r="AB85" s="4">
        <v>0.16200000000000001</v>
      </c>
      <c r="AC85" s="4">
        <v>0.25</v>
      </c>
      <c r="AD85" s="10">
        <f t="shared" si="12"/>
        <v>0.83907599999999993</v>
      </c>
      <c r="AE85" s="9"/>
      <c r="AF85" s="9"/>
      <c r="AG85" s="12">
        <f t="shared" si="13"/>
        <v>30.599999999999998</v>
      </c>
      <c r="AH85" s="12">
        <f t="shared" si="13"/>
        <v>55.7</v>
      </c>
      <c r="AI85" s="12">
        <f t="shared" si="13"/>
        <v>42</v>
      </c>
      <c r="AJ85" s="12">
        <f t="shared" si="13"/>
        <v>21.3</v>
      </c>
      <c r="AK85" s="12"/>
      <c r="AL85" s="12">
        <f t="shared" si="21"/>
        <v>79.7</v>
      </c>
      <c r="AM85" s="12">
        <f t="shared" si="21"/>
        <v>78.100000000000009</v>
      </c>
      <c r="AN85" s="12">
        <f t="shared" si="21"/>
        <v>75.400000000000006</v>
      </c>
      <c r="AO85" s="12">
        <f t="shared" si="19"/>
        <v>36.6</v>
      </c>
      <c r="AP85" s="12">
        <f t="shared" si="19"/>
        <v>78.100000000000009</v>
      </c>
      <c r="AQ85" s="12">
        <f t="shared" si="19"/>
        <v>20.200000000000003</v>
      </c>
      <c r="AR85" s="12"/>
      <c r="AS85" s="12">
        <f t="shared" si="22"/>
        <v>28.4</v>
      </c>
      <c r="AT85" s="12">
        <f t="shared" si="22"/>
        <v>14.2</v>
      </c>
      <c r="AU85" s="12">
        <f t="shared" si="22"/>
        <v>56.2</v>
      </c>
      <c r="AV85" s="12">
        <f t="shared" si="20"/>
        <v>30</v>
      </c>
      <c r="AW85" s="12">
        <f t="shared" si="20"/>
        <v>41.5</v>
      </c>
      <c r="AX85" s="12">
        <f t="shared" si="20"/>
        <v>30</v>
      </c>
      <c r="AY85" s="12"/>
      <c r="AZ85" s="12">
        <f t="shared" si="14"/>
        <v>12.099999999999994</v>
      </c>
      <c r="BA85" s="12">
        <f t="shared" si="15"/>
        <v>45.4</v>
      </c>
      <c r="BB85" s="12"/>
      <c r="BC85" s="12">
        <f t="shared" si="16"/>
        <v>39.800000000000004</v>
      </c>
      <c r="BD85" s="12">
        <f t="shared" si="17"/>
        <v>24.5</v>
      </c>
      <c r="BE85" s="12">
        <f t="shared" si="18"/>
        <v>25.200000000000003</v>
      </c>
    </row>
    <row r="86" spans="1:57" ht="15.75" customHeight="1" x14ac:dyDescent="0.25">
      <c r="A86" s="1" t="s">
        <v>184</v>
      </c>
      <c r="B86" s="3" t="s">
        <v>107</v>
      </c>
      <c r="C86" s="4" t="s">
        <v>88</v>
      </c>
      <c r="D86" s="4">
        <v>33</v>
      </c>
      <c r="E86" s="4">
        <v>700</v>
      </c>
      <c r="F86" s="4">
        <v>33</v>
      </c>
      <c r="G86" s="4">
        <v>700</v>
      </c>
      <c r="H86" s="4">
        <v>0.57599999999999996</v>
      </c>
      <c r="I86" s="4">
        <v>5.8</v>
      </c>
      <c r="J86" s="4"/>
      <c r="K86" s="4">
        <v>0.99099999999999999</v>
      </c>
      <c r="L86" s="4">
        <v>0.33200000000000002</v>
      </c>
      <c r="M86" s="4">
        <v>0.48399999999999999</v>
      </c>
      <c r="N86" s="4">
        <v>0.12</v>
      </c>
      <c r="O86" s="4">
        <v>5.5E-2</v>
      </c>
      <c r="P86" s="4">
        <v>8.9999999999999993E-3</v>
      </c>
      <c r="Q86" s="4"/>
      <c r="R86" s="4">
        <v>0.58099999999999996</v>
      </c>
      <c r="S86" s="4">
        <v>0.70799999999999996</v>
      </c>
      <c r="T86" s="4">
        <v>0.54300000000000004</v>
      </c>
      <c r="U86" s="4">
        <v>0.46200000000000002</v>
      </c>
      <c r="V86" s="4">
        <v>0.41699999999999998</v>
      </c>
      <c r="W86" s="4">
        <v>0</v>
      </c>
      <c r="X86" s="4"/>
      <c r="Y86" s="4">
        <v>0.74399999999999999</v>
      </c>
      <c r="Z86" s="4">
        <v>0</v>
      </c>
      <c r="AA86" s="4"/>
      <c r="AB86" s="4">
        <v>0</v>
      </c>
      <c r="AC86" s="4">
        <v>0</v>
      </c>
      <c r="AD86" s="10">
        <f t="shared" si="12"/>
        <v>0.73730399999999996</v>
      </c>
      <c r="AE86" s="9"/>
      <c r="AF86" s="9"/>
      <c r="AG86" s="12">
        <f t="shared" si="13"/>
        <v>38.200000000000003</v>
      </c>
      <c r="AH86" s="12">
        <f t="shared" si="13"/>
        <v>55.1</v>
      </c>
      <c r="AI86" s="12">
        <f t="shared" si="13"/>
        <v>96.7</v>
      </c>
      <c r="AJ86" s="12">
        <f t="shared" si="13"/>
        <v>6.5</v>
      </c>
      <c r="AK86" s="12"/>
      <c r="AL86" s="12">
        <f t="shared" si="21"/>
        <v>96.7</v>
      </c>
      <c r="AM86" s="12">
        <f t="shared" si="21"/>
        <v>83</v>
      </c>
      <c r="AN86" s="12">
        <f t="shared" si="21"/>
        <v>97.8</v>
      </c>
      <c r="AO86" s="12">
        <f t="shared" si="19"/>
        <v>80.300000000000011</v>
      </c>
      <c r="AP86" s="12">
        <f t="shared" si="19"/>
        <v>65.5</v>
      </c>
      <c r="AQ86" s="12">
        <f t="shared" si="19"/>
        <v>3.2</v>
      </c>
      <c r="AR86" s="12"/>
      <c r="AS86" s="12">
        <f t="shared" si="22"/>
        <v>83.6</v>
      </c>
      <c r="AT86" s="12">
        <f t="shared" si="22"/>
        <v>64.400000000000006</v>
      </c>
      <c r="AU86" s="12">
        <f t="shared" si="22"/>
        <v>88.5</v>
      </c>
      <c r="AV86" s="12">
        <f t="shared" si="20"/>
        <v>73.7</v>
      </c>
      <c r="AW86" s="12">
        <f t="shared" si="20"/>
        <v>71</v>
      </c>
      <c r="AX86" s="12">
        <f t="shared" si="20"/>
        <v>0</v>
      </c>
      <c r="AY86" s="12"/>
      <c r="AZ86" s="12">
        <f t="shared" si="14"/>
        <v>24.099999999999994</v>
      </c>
      <c r="BA86" s="12">
        <f t="shared" si="15"/>
        <v>100</v>
      </c>
      <c r="BB86" s="12"/>
      <c r="BC86" s="12">
        <f t="shared" si="16"/>
        <v>0</v>
      </c>
      <c r="BD86" s="12">
        <f t="shared" si="17"/>
        <v>0</v>
      </c>
      <c r="BE86" s="12">
        <f t="shared" si="18"/>
        <v>48.1</v>
      </c>
    </row>
    <row r="87" spans="1:57" ht="15.75" customHeight="1" x14ac:dyDescent="0.25">
      <c r="A87" s="1" t="s">
        <v>209</v>
      </c>
      <c r="B87" s="3" t="s">
        <v>131</v>
      </c>
      <c r="C87" s="4" t="s">
        <v>183</v>
      </c>
      <c r="D87" s="4">
        <v>42</v>
      </c>
      <c r="E87" s="4">
        <v>699</v>
      </c>
      <c r="F87" s="4">
        <v>42</v>
      </c>
      <c r="G87" s="4">
        <v>699</v>
      </c>
      <c r="H87" s="4">
        <v>0.46200000000000002</v>
      </c>
      <c r="I87" s="4">
        <v>4.5999999999999996</v>
      </c>
      <c r="J87" s="4"/>
      <c r="K87" s="4">
        <v>1</v>
      </c>
      <c r="L87" s="4">
        <v>0.46200000000000002</v>
      </c>
      <c r="M87" s="4">
        <v>0.435</v>
      </c>
      <c r="N87" s="4">
        <v>7.0000000000000007E-2</v>
      </c>
      <c r="O87" s="4">
        <v>3.2000000000000001E-2</v>
      </c>
      <c r="P87" s="4">
        <v>0</v>
      </c>
      <c r="Q87" s="4"/>
      <c r="R87" s="4">
        <v>0.46200000000000002</v>
      </c>
      <c r="S87" s="4">
        <v>0.54700000000000004</v>
      </c>
      <c r="T87" s="4">
        <v>0.42</v>
      </c>
      <c r="U87" s="4">
        <v>0.308</v>
      </c>
      <c r="V87" s="4">
        <v>0.16700000000000001</v>
      </c>
      <c r="W87" s="4">
        <v>0</v>
      </c>
      <c r="X87" s="4"/>
      <c r="Y87" s="4">
        <v>0.80200000000000005</v>
      </c>
      <c r="Z87" s="4">
        <v>0</v>
      </c>
      <c r="AA87" s="4"/>
      <c r="AB87" s="4">
        <v>0</v>
      </c>
      <c r="AC87" s="4">
        <v>0</v>
      </c>
      <c r="AD87" s="10">
        <f t="shared" si="12"/>
        <v>0.80200000000000005</v>
      </c>
      <c r="AE87" s="9"/>
      <c r="AF87" s="9"/>
      <c r="AG87" s="12">
        <f t="shared" si="13"/>
        <v>83</v>
      </c>
      <c r="AH87" s="12">
        <f t="shared" si="13"/>
        <v>54.6</v>
      </c>
      <c r="AI87" s="12">
        <f t="shared" si="13"/>
        <v>63.9</v>
      </c>
      <c r="AJ87" s="12">
        <f t="shared" si="13"/>
        <v>2.7</v>
      </c>
      <c r="AK87" s="12"/>
      <c r="AL87" s="12">
        <f t="shared" si="21"/>
        <v>97.8</v>
      </c>
      <c r="AM87" s="12">
        <f t="shared" si="21"/>
        <v>93.899999999999991</v>
      </c>
      <c r="AN87" s="12">
        <f t="shared" si="21"/>
        <v>93.4</v>
      </c>
      <c r="AO87" s="12">
        <f t="shared" si="19"/>
        <v>52.400000000000006</v>
      </c>
      <c r="AP87" s="12">
        <f t="shared" si="19"/>
        <v>41.5</v>
      </c>
      <c r="AQ87" s="12">
        <f t="shared" si="19"/>
        <v>0</v>
      </c>
      <c r="AR87" s="12"/>
      <c r="AS87" s="12">
        <f t="shared" si="22"/>
        <v>22.900000000000002</v>
      </c>
      <c r="AT87" s="12">
        <f t="shared" si="22"/>
        <v>12</v>
      </c>
      <c r="AU87" s="12">
        <f t="shared" si="22"/>
        <v>40.9</v>
      </c>
      <c r="AV87" s="12">
        <f t="shared" si="20"/>
        <v>37.700000000000003</v>
      </c>
      <c r="AW87" s="12">
        <f t="shared" si="20"/>
        <v>26.200000000000003</v>
      </c>
      <c r="AX87" s="12">
        <f t="shared" si="20"/>
        <v>0</v>
      </c>
      <c r="AY87" s="12"/>
      <c r="AZ87" s="12">
        <f t="shared" si="14"/>
        <v>12.599999999999994</v>
      </c>
      <c r="BA87" s="12">
        <f t="shared" si="15"/>
        <v>100</v>
      </c>
      <c r="BB87" s="12"/>
      <c r="BC87" s="12">
        <f t="shared" si="16"/>
        <v>0</v>
      </c>
      <c r="BD87" s="12">
        <f t="shared" si="17"/>
        <v>0</v>
      </c>
      <c r="BE87" s="12">
        <f t="shared" si="18"/>
        <v>33.899999999999991</v>
      </c>
    </row>
    <row r="88" spans="1:57" ht="15.75" customHeight="1" x14ac:dyDescent="0.25">
      <c r="A88" s="1" t="s">
        <v>199</v>
      </c>
      <c r="B88" s="3" t="s">
        <v>161</v>
      </c>
      <c r="C88" s="4" t="s">
        <v>8</v>
      </c>
      <c r="D88" s="4">
        <v>26</v>
      </c>
      <c r="E88" s="4">
        <v>697</v>
      </c>
      <c r="F88" s="4">
        <v>26</v>
      </c>
      <c r="G88" s="4">
        <v>697</v>
      </c>
      <c r="H88" s="4">
        <v>0.47899999999999998</v>
      </c>
      <c r="I88" s="4">
        <v>11.5</v>
      </c>
      <c r="J88" s="4"/>
      <c r="K88" s="4">
        <v>0.72499999999999998</v>
      </c>
      <c r="L88" s="4">
        <v>0.33300000000000002</v>
      </c>
      <c r="M88" s="4">
        <v>0.217</v>
      </c>
      <c r="N88" s="4">
        <v>8.7999999999999995E-2</v>
      </c>
      <c r="O88" s="4">
        <v>8.7999999999999995E-2</v>
      </c>
      <c r="P88" s="4">
        <v>0.27500000000000002</v>
      </c>
      <c r="Q88" s="4"/>
      <c r="R88" s="4">
        <v>0.52900000000000003</v>
      </c>
      <c r="S88" s="4">
        <v>0.73799999999999999</v>
      </c>
      <c r="T88" s="4">
        <v>0.28799999999999998</v>
      </c>
      <c r="U88" s="4">
        <v>0.33300000000000002</v>
      </c>
      <c r="V88" s="4">
        <v>0.52400000000000002</v>
      </c>
      <c r="W88" s="4">
        <v>0.34799999999999998</v>
      </c>
      <c r="X88" s="4"/>
      <c r="Y88" s="4">
        <v>0.40200000000000002</v>
      </c>
      <c r="Z88" s="4">
        <v>0.60899999999999999</v>
      </c>
      <c r="AA88" s="4"/>
      <c r="AB88" s="4">
        <v>0.13600000000000001</v>
      </c>
      <c r="AC88" s="4">
        <v>0.55600000000000005</v>
      </c>
      <c r="AD88" s="10">
        <f t="shared" si="12"/>
        <v>0.45892500000000003</v>
      </c>
      <c r="AE88" s="9"/>
      <c r="AF88" s="9"/>
      <c r="AG88" s="12">
        <f t="shared" si="13"/>
        <v>23.400000000000002</v>
      </c>
      <c r="AH88" s="12">
        <f t="shared" si="13"/>
        <v>54</v>
      </c>
      <c r="AI88" s="12">
        <f t="shared" si="13"/>
        <v>71.5</v>
      </c>
      <c r="AJ88" s="12">
        <f t="shared" si="13"/>
        <v>27.3</v>
      </c>
      <c r="AK88" s="12"/>
      <c r="AL88" s="12">
        <f t="shared" si="21"/>
        <v>73.7</v>
      </c>
      <c r="AM88" s="12">
        <f t="shared" si="21"/>
        <v>84.1</v>
      </c>
      <c r="AN88" s="12">
        <f t="shared" si="21"/>
        <v>38.200000000000003</v>
      </c>
      <c r="AO88" s="12">
        <f t="shared" si="19"/>
        <v>62.8</v>
      </c>
      <c r="AP88" s="12">
        <f t="shared" si="19"/>
        <v>85.7</v>
      </c>
      <c r="AQ88" s="12">
        <f t="shared" si="19"/>
        <v>26.200000000000003</v>
      </c>
      <c r="AR88" s="12"/>
      <c r="AS88" s="12">
        <f t="shared" si="22"/>
        <v>60.6</v>
      </c>
      <c r="AT88" s="12">
        <f t="shared" si="22"/>
        <v>74.3</v>
      </c>
      <c r="AU88" s="12">
        <f t="shared" si="22"/>
        <v>7.6</v>
      </c>
      <c r="AV88" s="12">
        <f t="shared" si="20"/>
        <v>40.9</v>
      </c>
      <c r="AW88" s="12">
        <f t="shared" si="20"/>
        <v>87.9</v>
      </c>
      <c r="AX88" s="12">
        <f t="shared" si="20"/>
        <v>59.5</v>
      </c>
      <c r="AY88" s="12"/>
      <c r="AZ88" s="12">
        <f t="shared" si="14"/>
        <v>82.6</v>
      </c>
      <c r="BA88" s="12">
        <f t="shared" si="15"/>
        <v>91.3</v>
      </c>
      <c r="BB88" s="12"/>
      <c r="BC88" s="12">
        <f t="shared" si="16"/>
        <v>27.3</v>
      </c>
      <c r="BD88" s="12">
        <f t="shared" si="17"/>
        <v>87.4</v>
      </c>
      <c r="BE88" s="12">
        <f t="shared" si="18"/>
        <v>92.4</v>
      </c>
    </row>
    <row r="89" spans="1:57" ht="15.75" customHeight="1" x14ac:dyDescent="0.25">
      <c r="A89" s="1" t="s">
        <v>235</v>
      </c>
      <c r="B89" s="3" t="s">
        <v>91</v>
      </c>
      <c r="C89" s="4" t="s">
        <v>8</v>
      </c>
      <c r="D89" s="4">
        <v>40</v>
      </c>
      <c r="E89" s="4">
        <v>674</v>
      </c>
      <c r="F89" s="4">
        <v>40</v>
      </c>
      <c r="G89" s="4">
        <v>674</v>
      </c>
      <c r="H89" s="4">
        <v>0.46899999999999997</v>
      </c>
      <c r="I89" s="4">
        <v>12</v>
      </c>
      <c r="J89" s="4"/>
      <c r="K89" s="4">
        <v>0.66700000000000004</v>
      </c>
      <c r="L89" s="4">
        <v>0.20499999999999999</v>
      </c>
      <c r="M89" s="4">
        <v>0.38</v>
      </c>
      <c r="N89" s="4">
        <v>5.8000000000000003E-2</v>
      </c>
      <c r="O89" s="4">
        <v>2.3E-2</v>
      </c>
      <c r="P89" s="4">
        <v>0.33300000000000002</v>
      </c>
      <c r="Q89" s="4"/>
      <c r="R89" s="4">
        <v>0.55800000000000005</v>
      </c>
      <c r="S89" s="4">
        <v>0.67900000000000005</v>
      </c>
      <c r="T89" s="4">
        <v>0.51</v>
      </c>
      <c r="U89" s="4">
        <v>0.46700000000000003</v>
      </c>
      <c r="V89" s="4">
        <v>0.5</v>
      </c>
      <c r="W89" s="4">
        <v>0.29099999999999998</v>
      </c>
      <c r="X89" s="4"/>
      <c r="Y89" s="4">
        <v>0.44800000000000001</v>
      </c>
      <c r="Z89" s="4">
        <v>0.68</v>
      </c>
      <c r="AA89" s="4"/>
      <c r="AB89" s="4">
        <v>0.105</v>
      </c>
      <c r="AC89" s="4">
        <v>0.55600000000000005</v>
      </c>
      <c r="AD89" s="10">
        <f t="shared" si="12"/>
        <v>0.52525600000000006</v>
      </c>
      <c r="AE89" s="9"/>
      <c r="AF89" s="9"/>
      <c r="AG89" s="12">
        <f t="shared" si="13"/>
        <v>63.9</v>
      </c>
      <c r="AH89" s="12">
        <f t="shared" si="13"/>
        <v>53.5</v>
      </c>
      <c r="AI89" s="12">
        <f t="shared" si="13"/>
        <v>67.7</v>
      </c>
      <c r="AJ89" s="12">
        <f t="shared" si="13"/>
        <v>31.1</v>
      </c>
      <c r="AK89" s="12"/>
      <c r="AL89" s="12">
        <f t="shared" si="21"/>
        <v>66.600000000000009</v>
      </c>
      <c r="AM89" s="12">
        <f t="shared" si="21"/>
        <v>53.5</v>
      </c>
      <c r="AN89" s="12">
        <f t="shared" si="21"/>
        <v>85.2</v>
      </c>
      <c r="AO89" s="12">
        <f t="shared" si="19"/>
        <v>42.6</v>
      </c>
      <c r="AP89" s="12">
        <f t="shared" si="19"/>
        <v>28.9</v>
      </c>
      <c r="AQ89" s="12">
        <f t="shared" si="19"/>
        <v>33.300000000000004</v>
      </c>
      <c r="AR89" s="12"/>
      <c r="AS89" s="12">
        <f t="shared" si="22"/>
        <v>77</v>
      </c>
      <c r="AT89" s="12">
        <f t="shared" si="22"/>
        <v>51.9</v>
      </c>
      <c r="AU89" s="12">
        <f t="shared" si="22"/>
        <v>79.7</v>
      </c>
      <c r="AV89" s="12">
        <f t="shared" si="20"/>
        <v>75.900000000000006</v>
      </c>
      <c r="AW89" s="12">
        <f t="shared" si="20"/>
        <v>79.7</v>
      </c>
      <c r="AX89" s="12">
        <f t="shared" si="20"/>
        <v>33.800000000000004</v>
      </c>
      <c r="AY89" s="12"/>
      <c r="AZ89" s="12">
        <f t="shared" si="14"/>
        <v>76.599999999999994</v>
      </c>
      <c r="BA89" s="12">
        <f t="shared" si="15"/>
        <v>87.5</v>
      </c>
      <c r="BB89" s="12"/>
      <c r="BC89" s="12">
        <f t="shared" si="16"/>
        <v>18</v>
      </c>
      <c r="BD89" s="12">
        <f t="shared" si="17"/>
        <v>87.4</v>
      </c>
      <c r="BE89" s="12">
        <f t="shared" si="18"/>
        <v>88.6</v>
      </c>
    </row>
    <row r="90" spans="1:57" ht="15.75" customHeight="1" x14ac:dyDescent="0.25">
      <c r="A90" s="1" t="s">
        <v>247</v>
      </c>
      <c r="B90" s="3" t="s">
        <v>91</v>
      </c>
      <c r="C90" s="4" t="s">
        <v>85</v>
      </c>
      <c r="D90" s="4">
        <v>35</v>
      </c>
      <c r="E90" s="4">
        <v>670</v>
      </c>
      <c r="F90" s="4">
        <v>35</v>
      </c>
      <c r="G90" s="4">
        <v>670</v>
      </c>
      <c r="H90" s="4">
        <v>0.39700000000000002</v>
      </c>
      <c r="I90" s="4">
        <v>18.100000000000001</v>
      </c>
      <c r="J90" s="4"/>
      <c r="K90" s="4">
        <v>0.498</v>
      </c>
      <c r="L90" s="4">
        <v>2.8000000000000001E-2</v>
      </c>
      <c r="M90" s="4">
        <v>0.185</v>
      </c>
      <c r="N90" s="4">
        <v>0.16700000000000001</v>
      </c>
      <c r="O90" s="4">
        <v>0.11799999999999999</v>
      </c>
      <c r="P90" s="4">
        <v>0.502</v>
      </c>
      <c r="Q90" s="4"/>
      <c r="R90" s="4">
        <v>0.46899999999999997</v>
      </c>
      <c r="S90" s="4">
        <v>0.375</v>
      </c>
      <c r="T90" s="4">
        <v>0.49099999999999999</v>
      </c>
      <c r="U90" s="4">
        <v>0.47899999999999998</v>
      </c>
      <c r="V90" s="4">
        <v>0.441</v>
      </c>
      <c r="W90" s="4">
        <v>0.32600000000000001</v>
      </c>
      <c r="X90" s="4"/>
      <c r="Y90" s="4">
        <v>0.52200000000000002</v>
      </c>
      <c r="Z90" s="4">
        <v>0.83</v>
      </c>
      <c r="AA90" s="4"/>
      <c r="AB90" s="4">
        <v>0.13200000000000001</v>
      </c>
      <c r="AC90" s="4">
        <v>0.26300000000000001</v>
      </c>
      <c r="AD90" s="10">
        <f t="shared" si="12"/>
        <v>0.676616</v>
      </c>
      <c r="AE90" s="9"/>
      <c r="AF90" s="9"/>
      <c r="AG90" s="12">
        <f t="shared" si="13"/>
        <v>43.7</v>
      </c>
      <c r="AH90" s="12">
        <f t="shared" si="13"/>
        <v>53</v>
      </c>
      <c r="AI90" s="12">
        <f t="shared" si="13"/>
        <v>25.1</v>
      </c>
      <c r="AJ90" s="12">
        <f t="shared" si="13"/>
        <v>85.7</v>
      </c>
      <c r="AK90" s="12"/>
      <c r="AL90" s="12">
        <f t="shared" si="21"/>
        <v>28.4</v>
      </c>
      <c r="AM90" s="12">
        <f t="shared" si="21"/>
        <v>0.5</v>
      </c>
      <c r="AN90" s="12">
        <f t="shared" si="21"/>
        <v>26.700000000000003</v>
      </c>
      <c r="AO90" s="12">
        <f t="shared" si="19"/>
        <v>91.2</v>
      </c>
      <c r="AP90" s="12">
        <f t="shared" si="19"/>
        <v>91.8</v>
      </c>
      <c r="AQ90" s="12">
        <f t="shared" si="19"/>
        <v>71.5</v>
      </c>
      <c r="AR90" s="12"/>
      <c r="AS90" s="12">
        <f t="shared" si="22"/>
        <v>27.3</v>
      </c>
      <c r="AT90" s="12">
        <f t="shared" si="22"/>
        <v>3.2</v>
      </c>
      <c r="AU90" s="12">
        <f t="shared" si="22"/>
        <v>69.3</v>
      </c>
      <c r="AV90" s="12">
        <f t="shared" si="20"/>
        <v>78.600000000000009</v>
      </c>
      <c r="AW90" s="12">
        <f t="shared" si="20"/>
        <v>75.900000000000006</v>
      </c>
      <c r="AX90" s="12">
        <f t="shared" si="20"/>
        <v>48.6</v>
      </c>
      <c r="AY90" s="12"/>
      <c r="AZ90" s="12">
        <f t="shared" si="14"/>
        <v>64.5</v>
      </c>
      <c r="BA90" s="12">
        <f t="shared" si="15"/>
        <v>73.8</v>
      </c>
      <c r="BB90" s="12"/>
      <c r="BC90" s="12">
        <f t="shared" si="16"/>
        <v>25.1</v>
      </c>
      <c r="BD90" s="12">
        <f t="shared" si="17"/>
        <v>31.1</v>
      </c>
      <c r="BE90" s="12">
        <f t="shared" si="18"/>
        <v>64</v>
      </c>
    </row>
    <row r="91" spans="1:57" ht="15.75" customHeight="1" x14ac:dyDescent="0.25">
      <c r="A91" s="1" t="s">
        <v>141</v>
      </c>
      <c r="B91" s="3" t="s">
        <v>114</v>
      </c>
      <c r="C91" s="4" t="s">
        <v>88</v>
      </c>
      <c r="D91" s="4">
        <v>43</v>
      </c>
      <c r="E91" s="4">
        <v>654</v>
      </c>
      <c r="F91" s="4">
        <v>43</v>
      </c>
      <c r="G91" s="4">
        <v>654</v>
      </c>
      <c r="H91" s="4">
        <v>0.44700000000000001</v>
      </c>
      <c r="I91" s="4">
        <v>16.5</v>
      </c>
      <c r="J91" s="4"/>
      <c r="K91" s="4">
        <v>0.44700000000000001</v>
      </c>
      <c r="L91" s="4">
        <v>0.155</v>
      </c>
      <c r="M91" s="4">
        <v>0.19400000000000001</v>
      </c>
      <c r="N91" s="4">
        <v>5.8000000000000003E-2</v>
      </c>
      <c r="O91" s="4">
        <v>3.9E-2</v>
      </c>
      <c r="P91" s="4">
        <v>0.55300000000000005</v>
      </c>
      <c r="Q91" s="4"/>
      <c r="R91" s="4">
        <v>0.5</v>
      </c>
      <c r="S91" s="4">
        <v>0.68799999999999994</v>
      </c>
      <c r="T91" s="4">
        <v>0.4</v>
      </c>
      <c r="U91" s="4">
        <v>0.33300000000000002</v>
      </c>
      <c r="V91" s="4">
        <v>0.5</v>
      </c>
      <c r="W91" s="4">
        <v>0.40400000000000003</v>
      </c>
      <c r="X91" s="4"/>
      <c r="Y91" s="4">
        <v>0.82599999999999996</v>
      </c>
      <c r="Z91" s="4">
        <v>1</v>
      </c>
      <c r="AA91" s="4"/>
      <c r="AB91" s="4">
        <v>0.123</v>
      </c>
      <c r="AC91" s="4">
        <v>0.42899999999999999</v>
      </c>
      <c r="AD91" s="10">
        <f t="shared" si="12"/>
        <v>0.9222220000000001</v>
      </c>
      <c r="AE91" s="9"/>
      <c r="AF91" s="9"/>
      <c r="AG91" s="12">
        <f t="shared" si="13"/>
        <v>96.7</v>
      </c>
      <c r="AH91" s="12">
        <f t="shared" si="13"/>
        <v>52.400000000000006</v>
      </c>
      <c r="AI91" s="12">
        <f t="shared" si="13"/>
        <v>56.8</v>
      </c>
      <c r="AJ91" s="12">
        <f t="shared" si="13"/>
        <v>73.2</v>
      </c>
      <c r="AK91" s="12"/>
      <c r="AL91" s="12">
        <f t="shared" si="21"/>
        <v>18</v>
      </c>
      <c r="AM91" s="12">
        <f t="shared" si="21"/>
        <v>35.5</v>
      </c>
      <c r="AN91" s="12">
        <f t="shared" si="21"/>
        <v>30.599999999999998</v>
      </c>
      <c r="AO91" s="12">
        <f t="shared" si="19"/>
        <v>42.6</v>
      </c>
      <c r="AP91" s="12">
        <f t="shared" si="19"/>
        <v>51.300000000000004</v>
      </c>
      <c r="AQ91" s="12">
        <f t="shared" si="19"/>
        <v>81.399999999999991</v>
      </c>
      <c r="AR91" s="12"/>
      <c r="AS91" s="12">
        <f t="shared" si="22"/>
        <v>41.5</v>
      </c>
      <c r="AT91" s="12">
        <f t="shared" si="22"/>
        <v>56.2</v>
      </c>
      <c r="AU91" s="12">
        <f t="shared" si="22"/>
        <v>33.300000000000004</v>
      </c>
      <c r="AV91" s="12">
        <f t="shared" si="20"/>
        <v>40.9</v>
      </c>
      <c r="AW91" s="12">
        <f t="shared" si="20"/>
        <v>79.7</v>
      </c>
      <c r="AX91" s="12">
        <f t="shared" si="20"/>
        <v>86.3</v>
      </c>
      <c r="AY91" s="12"/>
      <c r="AZ91" s="12">
        <f t="shared" si="14"/>
        <v>9.8999999999999915</v>
      </c>
      <c r="BA91" s="12">
        <f t="shared" si="15"/>
        <v>33.899999999999991</v>
      </c>
      <c r="BB91" s="12"/>
      <c r="BC91" s="12">
        <f t="shared" si="16"/>
        <v>22.900000000000002</v>
      </c>
      <c r="BD91" s="12">
        <f t="shared" si="17"/>
        <v>68.300000000000011</v>
      </c>
      <c r="BE91" s="12">
        <f t="shared" si="18"/>
        <v>4.4000000000000057</v>
      </c>
    </row>
    <row r="92" spans="1:57" ht="15.75" customHeight="1" x14ac:dyDescent="0.25">
      <c r="A92" s="1" t="s">
        <v>193</v>
      </c>
      <c r="B92" s="3" t="s">
        <v>91</v>
      </c>
      <c r="C92" s="4" t="s">
        <v>8</v>
      </c>
      <c r="D92" s="4">
        <v>42</v>
      </c>
      <c r="E92" s="4">
        <v>643</v>
      </c>
      <c r="F92" s="4">
        <v>42</v>
      </c>
      <c r="G92" s="4">
        <v>643</v>
      </c>
      <c r="H92" s="4">
        <v>0.52400000000000002</v>
      </c>
      <c r="I92" s="4">
        <v>12.7</v>
      </c>
      <c r="J92" s="4"/>
      <c r="K92" s="4">
        <v>0.7</v>
      </c>
      <c r="L92" s="4">
        <v>0.159</v>
      </c>
      <c r="M92" s="4">
        <v>0.374</v>
      </c>
      <c r="N92" s="4">
        <v>0.11</v>
      </c>
      <c r="O92" s="4">
        <v>5.7000000000000002E-2</v>
      </c>
      <c r="P92" s="4">
        <v>0.3</v>
      </c>
      <c r="Q92" s="4"/>
      <c r="R92" s="4">
        <v>0.56599999999999995</v>
      </c>
      <c r="S92" s="4">
        <v>0.75</v>
      </c>
      <c r="T92" s="4">
        <v>0.49399999999999999</v>
      </c>
      <c r="U92" s="4">
        <v>0.56000000000000005</v>
      </c>
      <c r="V92" s="4">
        <v>0.53800000000000003</v>
      </c>
      <c r="W92" s="4">
        <v>0.42599999999999999</v>
      </c>
      <c r="X92" s="4"/>
      <c r="Y92" s="4">
        <v>0.45600000000000002</v>
      </c>
      <c r="Z92" s="4">
        <v>0.96599999999999997</v>
      </c>
      <c r="AA92" s="4"/>
      <c r="AB92" s="4">
        <v>0.191</v>
      </c>
      <c r="AC92" s="4">
        <v>0.61499999999999999</v>
      </c>
      <c r="AD92" s="10">
        <f t="shared" si="12"/>
        <v>0.60899999999999999</v>
      </c>
      <c r="AE92" s="9"/>
      <c r="AF92" s="9"/>
      <c r="AG92" s="12">
        <f t="shared" si="13"/>
        <v>83</v>
      </c>
      <c r="AH92" s="12">
        <f t="shared" si="13"/>
        <v>51.9</v>
      </c>
      <c r="AI92" s="12">
        <f t="shared" si="13"/>
        <v>86.3</v>
      </c>
      <c r="AJ92" s="12">
        <f t="shared" si="13"/>
        <v>38.200000000000003</v>
      </c>
      <c r="AK92" s="12"/>
      <c r="AL92" s="12">
        <f t="shared" si="21"/>
        <v>69.899999999999991</v>
      </c>
      <c r="AM92" s="12">
        <f t="shared" si="21"/>
        <v>37.700000000000003</v>
      </c>
      <c r="AN92" s="12">
        <f t="shared" si="21"/>
        <v>83</v>
      </c>
      <c r="AO92" s="12">
        <f t="shared" si="19"/>
        <v>75.400000000000006</v>
      </c>
      <c r="AP92" s="12">
        <f t="shared" si="19"/>
        <v>67.7</v>
      </c>
      <c r="AQ92" s="12">
        <f t="shared" si="19"/>
        <v>29.5</v>
      </c>
      <c r="AR92" s="12"/>
      <c r="AS92" s="12">
        <f t="shared" si="22"/>
        <v>80.800000000000011</v>
      </c>
      <c r="AT92" s="12">
        <f t="shared" si="22"/>
        <v>77</v>
      </c>
      <c r="AU92" s="12">
        <f t="shared" si="22"/>
        <v>71.5</v>
      </c>
      <c r="AV92" s="12">
        <f t="shared" si="20"/>
        <v>90.100000000000009</v>
      </c>
      <c r="AW92" s="12">
        <f t="shared" si="20"/>
        <v>90.7</v>
      </c>
      <c r="AX92" s="12">
        <f t="shared" si="20"/>
        <v>92.800000000000011</v>
      </c>
      <c r="AY92" s="12"/>
      <c r="AZ92" s="12">
        <f t="shared" si="14"/>
        <v>72.7</v>
      </c>
      <c r="BA92" s="12">
        <f t="shared" si="15"/>
        <v>39.900000000000006</v>
      </c>
      <c r="BB92" s="12"/>
      <c r="BC92" s="12">
        <f t="shared" si="16"/>
        <v>53.5</v>
      </c>
      <c r="BD92" s="12">
        <f t="shared" si="17"/>
        <v>91.2</v>
      </c>
      <c r="BE92" s="12">
        <f t="shared" si="18"/>
        <v>76</v>
      </c>
    </row>
    <row r="93" spans="1:57" ht="15.75" customHeight="1" x14ac:dyDescent="0.25">
      <c r="A93" s="1" t="s">
        <v>146</v>
      </c>
      <c r="B93" s="3" t="s">
        <v>232</v>
      </c>
      <c r="C93" s="4" t="s">
        <v>8</v>
      </c>
      <c r="D93" s="4">
        <v>26</v>
      </c>
      <c r="E93" s="4">
        <v>642</v>
      </c>
      <c r="F93" s="4">
        <v>26</v>
      </c>
      <c r="G93" s="4">
        <v>642</v>
      </c>
      <c r="H93" s="4">
        <v>0.502</v>
      </c>
      <c r="I93" s="4">
        <v>12.8</v>
      </c>
      <c r="J93" s="4"/>
      <c r="K93" s="4">
        <v>0.58099999999999996</v>
      </c>
      <c r="L93" s="4">
        <v>0.20899999999999999</v>
      </c>
      <c r="M93" s="4">
        <v>0.33</v>
      </c>
      <c r="N93" s="4">
        <v>4.2000000000000003E-2</v>
      </c>
      <c r="O93" s="4">
        <v>0</v>
      </c>
      <c r="P93" s="4">
        <v>0.41899999999999998</v>
      </c>
      <c r="Q93" s="4"/>
      <c r="R93" s="4">
        <v>0.57599999999999996</v>
      </c>
      <c r="S93" s="4">
        <v>0.66700000000000004</v>
      </c>
      <c r="T93" s="4">
        <v>0.53500000000000003</v>
      </c>
      <c r="U93" s="4">
        <v>0.44400000000000001</v>
      </c>
      <c r="V93" s="4">
        <v>0</v>
      </c>
      <c r="W93" s="4">
        <v>0.4</v>
      </c>
      <c r="X93" s="4"/>
      <c r="Y93" s="4">
        <v>0.56899999999999995</v>
      </c>
      <c r="Z93" s="4">
        <v>0.88900000000000001</v>
      </c>
      <c r="AA93" s="4"/>
      <c r="AB93" s="4">
        <v>0.4</v>
      </c>
      <c r="AC93" s="4">
        <v>0.5</v>
      </c>
      <c r="AD93" s="10">
        <f t="shared" si="12"/>
        <v>0.70307999999999993</v>
      </c>
      <c r="AE93" s="9"/>
      <c r="AF93" s="9"/>
      <c r="AG93" s="12">
        <f t="shared" si="13"/>
        <v>23.400000000000002</v>
      </c>
      <c r="AH93" s="12">
        <f t="shared" si="13"/>
        <v>51.300000000000004</v>
      </c>
      <c r="AI93" s="12">
        <f t="shared" si="13"/>
        <v>79.7</v>
      </c>
      <c r="AJ93" s="12">
        <f t="shared" si="13"/>
        <v>39.300000000000004</v>
      </c>
      <c r="AK93" s="12"/>
      <c r="AL93" s="12">
        <f t="shared" si="21"/>
        <v>47.5</v>
      </c>
      <c r="AM93" s="12">
        <f t="shared" si="21"/>
        <v>56.2</v>
      </c>
      <c r="AN93" s="12">
        <f t="shared" si="21"/>
        <v>74.8</v>
      </c>
      <c r="AO93" s="12">
        <f t="shared" si="19"/>
        <v>32.200000000000003</v>
      </c>
      <c r="AP93" s="12">
        <f t="shared" si="19"/>
        <v>0</v>
      </c>
      <c r="AQ93" s="12">
        <f t="shared" si="19"/>
        <v>51.9</v>
      </c>
      <c r="AR93" s="12"/>
      <c r="AS93" s="12">
        <f t="shared" si="22"/>
        <v>83</v>
      </c>
      <c r="AT93" s="12">
        <f t="shared" si="22"/>
        <v>46.400000000000006</v>
      </c>
      <c r="AU93" s="12">
        <f t="shared" si="22"/>
        <v>86.3</v>
      </c>
      <c r="AV93" s="12">
        <f t="shared" si="20"/>
        <v>70.399999999999991</v>
      </c>
      <c r="AW93" s="12">
        <f t="shared" si="20"/>
        <v>0</v>
      </c>
      <c r="AX93" s="12">
        <f t="shared" si="20"/>
        <v>83.6</v>
      </c>
      <c r="AY93" s="12"/>
      <c r="AZ93" s="12">
        <f t="shared" si="14"/>
        <v>56.9</v>
      </c>
      <c r="BA93" s="12">
        <f t="shared" si="15"/>
        <v>64.5</v>
      </c>
      <c r="BB93" s="12"/>
      <c r="BC93" s="12">
        <f t="shared" si="16"/>
        <v>88.5</v>
      </c>
      <c r="BD93" s="12">
        <f t="shared" si="17"/>
        <v>80.300000000000011</v>
      </c>
      <c r="BE93" s="12">
        <f t="shared" si="18"/>
        <v>57.4</v>
      </c>
    </row>
    <row r="94" spans="1:57" ht="15.75" customHeight="1" x14ac:dyDescent="0.25">
      <c r="A94" s="1" t="s">
        <v>237</v>
      </c>
      <c r="B94" s="3" t="s">
        <v>240</v>
      </c>
      <c r="C94" s="4" t="s">
        <v>8</v>
      </c>
      <c r="D94" s="4">
        <v>41</v>
      </c>
      <c r="E94" s="4">
        <v>634</v>
      </c>
      <c r="F94" s="4">
        <v>41</v>
      </c>
      <c r="G94" s="4">
        <v>634</v>
      </c>
      <c r="H94" s="4">
        <v>0.38800000000000001</v>
      </c>
      <c r="I94" s="4">
        <v>16.8</v>
      </c>
      <c r="J94" s="4"/>
      <c r="K94" s="4">
        <v>0.495</v>
      </c>
      <c r="L94" s="4">
        <v>0.122</v>
      </c>
      <c r="M94" s="4">
        <v>0.184</v>
      </c>
      <c r="N94" s="4">
        <v>0.13800000000000001</v>
      </c>
      <c r="O94" s="4">
        <v>5.0999999999999997E-2</v>
      </c>
      <c r="P94" s="4">
        <v>0.505</v>
      </c>
      <c r="Q94" s="4"/>
      <c r="R94" s="4">
        <v>0.40200000000000002</v>
      </c>
      <c r="S94" s="4">
        <v>0.45800000000000002</v>
      </c>
      <c r="T94" s="4">
        <v>0.38900000000000001</v>
      </c>
      <c r="U94" s="4">
        <v>0.40699999999999997</v>
      </c>
      <c r="V94" s="4">
        <v>0.3</v>
      </c>
      <c r="W94" s="4">
        <v>0.374</v>
      </c>
      <c r="X94" s="4"/>
      <c r="Y94" s="4">
        <v>0.46200000000000002</v>
      </c>
      <c r="Z94" s="4">
        <v>0.94599999999999995</v>
      </c>
      <c r="AA94" s="4"/>
      <c r="AB94" s="4">
        <v>0.253</v>
      </c>
      <c r="AC94" s="4">
        <v>0.36</v>
      </c>
      <c r="AD94" s="10">
        <f t="shared" si="12"/>
        <v>0.70642000000000005</v>
      </c>
      <c r="AE94" s="9"/>
      <c r="AF94" s="9"/>
      <c r="AG94" s="12">
        <f t="shared" si="13"/>
        <v>69.3</v>
      </c>
      <c r="AH94" s="12">
        <f t="shared" si="13"/>
        <v>50.8</v>
      </c>
      <c r="AI94" s="12">
        <f t="shared" si="13"/>
        <v>21.3</v>
      </c>
      <c r="AJ94" s="12">
        <f t="shared" si="13"/>
        <v>77</v>
      </c>
      <c r="AK94" s="12"/>
      <c r="AL94" s="12">
        <f t="shared" si="21"/>
        <v>26.700000000000003</v>
      </c>
      <c r="AM94" s="12">
        <f t="shared" si="21"/>
        <v>25.6</v>
      </c>
      <c r="AN94" s="12">
        <f t="shared" si="21"/>
        <v>26.200000000000003</v>
      </c>
      <c r="AO94" s="12">
        <f t="shared" si="19"/>
        <v>85.2</v>
      </c>
      <c r="AP94" s="12">
        <f t="shared" si="19"/>
        <v>60.6</v>
      </c>
      <c r="AQ94" s="12">
        <f t="shared" si="19"/>
        <v>73.2</v>
      </c>
      <c r="AR94" s="12"/>
      <c r="AS94" s="12">
        <f t="shared" si="22"/>
        <v>10.9</v>
      </c>
      <c r="AT94" s="12">
        <f t="shared" si="22"/>
        <v>6.5</v>
      </c>
      <c r="AU94" s="12">
        <f t="shared" si="22"/>
        <v>27.800000000000004</v>
      </c>
      <c r="AV94" s="12">
        <f t="shared" si="20"/>
        <v>61.7</v>
      </c>
      <c r="AW94" s="12">
        <f t="shared" si="20"/>
        <v>45.9</v>
      </c>
      <c r="AX94" s="12">
        <f t="shared" si="20"/>
        <v>71</v>
      </c>
      <c r="AY94" s="12"/>
      <c r="AZ94" s="12">
        <f t="shared" si="14"/>
        <v>71.599999999999994</v>
      </c>
      <c r="BA94" s="12">
        <f t="shared" si="15"/>
        <v>47.599999999999994</v>
      </c>
      <c r="BB94" s="12"/>
      <c r="BC94" s="12">
        <f t="shared" si="16"/>
        <v>71</v>
      </c>
      <c r="BD94" s="12">
        <f t="shared" si="17"/>
        <v>49.7</v>
      </c>
      <c r="BE94" s="12">
        <f t="shared" si="18"/>
        <v>56.9</v>
      </c>
    </row>
    <row r="95" spans="1:57" ht="15.75" customHeight="1" x14ac:dyDescent="0.25">
      <c r="A95" s="1" t="s">
        <v>186</v>
      </c>
      <c r="B95" s="3" t="s">
        <v>114</v>
      </c>
      <c r="C95" s="4" t="s">
        <v>85</v>
      </c>
      <c r="D95" s="4">
        <v>36</v>
      </c>
      <c r="E95" s="4">
        <v>628</v>
      </c>
      <c r="F95" s="4">
        <v>36</v>
      </c>
      <c r="G95" s="4">
        <v>628</v>
      </c>
      <c r="H95" s="4">
        <v>0.37</v>
      </c>
      <c r="I95" s="4">
        <v>12.5</v>
      </c>
      <c r="J95" s="4"/>
      <c r="K95" s="4">
        <v>0.65900000000000003</v>
      </c>
      <c r="L95" s="4">
        <v>0.16800000000000001</v>
      </c>
      <c r="M95" s="4">
        <v>0.34699999999999998</v>
      </c>
      <c r="N95" s="4">
        <v>0.104</v>
      </c>
      <c r="O95" s="4">
        <v>0.04</v>
      </c>
      <c r="P95" s="4">
        <v>0.34100000000000003</v>
      </c>
      <c r="Q95" s="4"/>
      <c r="R95" s="4">
        <v>0.44700000000000001</v>
      </c>
      <c r="S95" s="4">
        <v>0.58599999999999997</v>
      </c>
      <c r="T95" s="4">
        <v>0.38300000000000001</v>
      </c>
      <c r="U95" s="4">
        <v>0.44400000000000001</v>
      </c>
      <c r="V95" s="4">
        <v>0.42899999999999999</v>
      </c>
      <c r="W95" s="4">
        <v>0.22</v>
      </c>
      <c r="X95" s="4"/>
      <c r="Y95" s="4">
        <v>0.58799999999999997</v>
      </c>
      <c r="Z95" s="4">
        <v>0.92300000000000004</v>
      </c>
      <c r="AA95" s="4"/>
      <c r="AB95" s="4">
        <v>0.30499999999999999</v>
      </c>
      <c r="AC95" s="4">
        <v>5.6000000000000001E-2</v>
      </c>
      <c r="AD95" s="10">
        <f t="shared" si="12"/>
        <v>0.70223500000000005</v>
      </c>
      <c r="AE95" s="9"/>
      <c r="AF95" s="9"/>
      <c r="AG95" s="12">
        <f t="shared" si="13"/>
        <v>45.300000000000004</v>
      </c>
      <c r="AH95" s="12">
        <f t="shared" si="13"/>
        <v>50.2</v>
      </c>
      <c r="AI95" s="12">
        <f t="shared" si="13"/>
        <v>14.7</v>
      </c>
      <c r="AJ95" s="12">
        <f t="shared" si="13"/>
        <v>36</v>
      </c>
      <c r="AK95" s="12"/>
      <c r="AL95" s="12">
        <f t="shared" si="21"/>
        <v>64.400000000000006</v>
      </c>
      <c r="AM95" s="12">
        <f t="shared" si="21"/>
        <v>42.6</v>
      </c>
      <c r="AN95" s="12">
        <f t="shared" si="21"/>
        <v>78.600000000000009</v>
      </c>
      <c r="AO95" s="12">
        <f t="shared" si="19"/>
        <v>72.599999999999994</v>
      </c>
      <c r="AP95" s="12">
        <f t="shared" si="19"/>
        <v>51.9</v>
      </c>
      <c r="AQ95" s="12">
        <f t="shared" si="19"/>
        <v>35.5</v>
      </c>
      <c r="AR95" s="12"/>
      <c r="AS95" s="12">
        <f t="shared" si="22"/>
        <v>18</v>
      </c>
      <c r="AT95" s="12">
        <f t="shared" si="22"/>
        <v>21.8</v>
      </c>
      <c r="AU95" s="12">
        <f t="shared" si="22"/>
        <v>24.5</v>
      </c>
      <c r="AV95" s="12">
        <f t="shared" si="20"/>
        <v>70.399999999999991</v>
      </c>
      <c r="AW95" s="12">
        <f t="shared" si="20"/>
        <v>72.599999999999994</v>
      </c>
      <c r="AX95" s="12">
        <f t="shared" si="20"/>
        <v>12.5</v>
      </c>
      <c r="AY95" s="12"/>
      <c r="AZ95" s="12">
        <f t="shared" si="14"/>
        <v>53.1</v>
      </c>
      <c r="BA95" s="12">
        <f t="shared" si="15"/>
        <v>58.5</v>
      </c>
      <c r="BB95" s="12"/>
      <c r="BC95" s="12">
        <f t="shared" si="16"/>
        <v>78.100000000000009</v>
      </c>
      <c r="BD95" s="12">
        <f t="shared" si="17"/>
        <v>10.299999999999999</v>
      </c>
      <c r="BE95" s="12">
        <f t="shared" si="18"/>
        <v>59.599999999999994</v>
      </c>
    </row>
    <row r="96" spans="1:57" ht="15.75" customHeight="1" x14ac:dyDescent="0.25">
      <c r="A96" s="1" t="s">
        <v>179</v>
      </c>
      <c r="B96" s="3" t="s">
        <v>114</v>
      </c>
      <c r="C96" s="4" t="s">
        <v>8</v>
      </c>
      <c r="D96" s="4">
        <v>41</v>
      </c>
      <c r="E96" s="4">
        <v>616</v>
      </c>
      <c r="F96" s="4">
        <v>41</v>
      </c>
      <c r="G96" s="4">
        <v>616</v>
      </c>
      <c r="H96" s="4">
        <v>0.34699999999999998</v>
      </c>
      <c r="I96" s="4">
        <v>15</v>
      </c>
      <c r="J96" s="4"/>
      <c r="K96" s="4">
        <v>0.61799999999999999</v>
      </c>
      <c r="L96" s="4">
        <v>0.10199999999999999</v>
      </c>
      <c r="M96" s="4">
        <v>0.33700000000000002</v>
      </c>
      <c r="N96" s="4">
        <v>0.105</v>
      </c>
      <c r="O96" s="4">
        <v>7.3999999999999996E-2</v>
      </c>
      <c r="P96" s="4">
        <v>0.38200000000000001</v>
      </c>
      <c r="Q96" s="4"/>
      <c r="R96" s="4">
        <v>0.38100000000000001</v>
      </c>
      <c r="S96" s="4">
        <v>0.55200000000000005</v>
      </c>
      <c r="T96" s="4">
        <v>0.40600000000000003</v>
      </c>
      <c r="U96" s="4">
        <v>0.26700000000000002</v>
      </c>
      <c r="V96" s="4">
        <v>0.19</v>
      </c>
      <c r="W96" s="4">
        <v>0.29399999999999998</v>
      </c>
      <c r="X96" s="4"/>
      <c r="Y96" s="4">
        <v>0.44800000000000001</v>
      </c>
      <c r="Z96" s="4">
        <v>0.90600000000000003</v>
      </c>
      <c r="AA96" s="4"/>
      <c r="AB96" s="4">
        <v>0.183</v>
      </c>
      <c r="AC96" s="4">
        <v>0.25</v>
      </c>
      <c r="AD96" s="10">
        <f t="shared" si="12"/>
        <v>0.62295600000000007</v>
      </c>
      <c r="AE96" s="9"/>
      <c r="AF96" s="9"/>
      <c r="AG96" s="12">
        <f t="shared" si="13"/>
        <v>69.3</v>
      </c>
      <c r="AH96" s="12">
        <f t="shared" si="13"/>
        <v>49.7</v>
      </c>
      <c r="AI96" s="12">
        <f t="shared" si="13"/>
        <v>7.6</v>
      </c>
      <c r="AJ96" s="12">
        <f t="shared" si="13"/>
        <v>58.4</v>
      </c>
      <c r="AK96" s="12"/>
      <c r="AL96" s="12">
        <f t="shared" si="21"/>
        <v>56.8</v>
      </c>
      <c r="AM96" s="12">
        <f t="shared" si="21"/>
        <v>15.8</v>
      </c>
      <c r="AN96" s="12">
        <f t="shared" si="21"/>
        <v>76.5</v>
      </c>
      <c r="AO96" s="12">
        <f t="shared" si="19"/>
        <v>73.7</v>
      </c>
      <c r="AP96" s="12">
        <f t="shared" si="19"/>
        <v>78.100000000000009</v>
      </c>
      <c r="AQ96" s="12">
        <f t="shared" si="19"/>
        <v>43.1</v>
      </c>
      <c r="AR96" s="12"/>
      <c r="AS96" s="12">
        <f t="shared" si="22"/>
        <v>8.1</v>
      </c>
      <c r="AT96" s="12">
        <f t="shared" si="22"/>
        <v>13.600000000000001</v>
      </c>
      <c r="AU96" s="12">
        <f t="shared" si="22"/>
        <v>36</v>
      </c>
      <c r="AV96" s="12">
        <f t="shared" si="20"/>
        <v>30</v>
      </c>
      <c r="AW96" s="12">
        <f t="shared" si="20"/>
        <v>27.800000000000004</v>
      </c>
      <c r="AX96" s="12">
        <f t="shared" si="20"/>
        <v>34.9</v>
      </c>
      <c r="AY96" s="12"/>
      <c r="AZ96" s="12">
        <f t="shared" si="14"/>
        <v>76.599999999999994</v>
      </c>
      <c r="BA96" s="12">
        <f t="shared" si="15"/>
        <v>61.3</v>
      </c>
      <c r="BB96" s="12"/>
      <c r="BC96" s="12">
        <f t="shared" si="16"/>
        <v>48</v>
      </c>
      <c r="BD96" s="12">
        <f t="shared" si="17"/>
        <v>24.5</v>
      </c>
      <c r="BE96" s="12">
        <f t="shared" si="18"/>
        <v>74.400000000000006</v>
      </c>
    </row>
    <row r="97" spans="1:57" ht="15.75" customHeight="1" x14ac:dyDescent="0.25">
      <c r="A97" s="1" t="s">
        <v>252</v>
      </c>
      <c r="B97" s="3" t="s">
        <v>240</v>
      </c>
      <c r="C97" s="4" t="s">
        <v>8</v>
      </c>
      <c r="D97" s="4">
        <v>28</v>
      </c>
      <c r="E97" s="4">
        <v>611</v>
      </c>
      <c r="F97" s="4">
        <v>28</v>
      </c>
      <c r="G97" s="4">
        <v>611</v>
      </c>
      <c r="H97" s="4">
        <v>0.41499999999999998</v>
      </c>
      <c r="I97" s="4">
        <v>16.3</v>
      </c>
      <c r="J97" s="4"/>
      <c r="K97" s="4">
        <v>0.57899999999999996</v>
      </c>
      <c r="L97" s="4">
        <v>0.13500000000000001</v>
      </c>
      <c r="M97" s="4">
        <v>0.17499999999999999</v>
      </c>
      <c r="N97" s="4">
        <v>9.4E-2</v>
      </c>
      <c r="O97" s="4">
        <v>0.17499999999999999</v>
      </c>
      <c r="P97" s="4">
        <v>0.42099999999999999</v>
      </c>
      <c r="Q97" s="4"/>
      <c r="R97" s="4">
        <v>0.434</v>
      </c>
      <c r="S97" s="4">
        <v>0.73899999999999999</v>
      </c>
      <c r="T97" s="4">
        <v>0.26700000000000002</v>
      </c>
      <c r="U97" s="4">
        <v>0.438</v>
      </c>
      <c r="V97" s="4">
        <v>0.36699999999999999</v>
      </c>
      <c r="W97" s="4">
        <v>0.38900000000000001</v>
      </c>
      <c r="X97" s="4"/>
      <c r="Y97" s="4">
        <v>0.72099999999999997</v>
      </c>
      <c r="Z97" s="4">
        <v>0.78600000000000003</v>
      </c>
      <c r="AA97" s="4"/>
      <c r="AB97" s="4">
        <v>0.153</v>
      </c>
      <c r="AC97" s="4">
        <v>0.54500000000000004</v>
      </c>
      <c r="AD97" s="10">
        <f t="shared" si="12"/>
        <v>0.74836499999999995</v>
      </c>
      <c r="AE97" s="9"/>
      <c r="AF97" s="9"/>
      <c r="AG97" s="12">
        <f t="shared" si="13"/>
        <v>25.1</v>
      </c>
      <c r="AH97" s="12">
        <f t="shared" si="13"/>
        <v>49.1</v>
      </c>
      <c r="AI97" s="12">
        <f t="shared" si="13"/>
        <v>36.6</v>
      </c>
      <c r="AJ97" s="12">
        <f t="shared" si="13"/>
        <v>71</v>
      </c>
      <c r="AK97" s="12"/>
      <c r="AL97" s="12">
        <f t="shared" si="21"/>
        <v>45.9</v>
      </c>
      <c r="AM97" s="12">
        <f t="shared" si="21"/>
        <v>29.5</v>
      </c>
      <c r="AN97" s="12">
        <f t="shared" si="21"/>
        <v>23.400000000000002</v>
      </c>
      <c r="AO97" s="12">
        <f t="shared" si="19"/>
        <v>69.3</v>
      </c>
      <c r="AP97" s="12">
        <f t="shared" si="19"/>
        <v>99.4</v>
      </c>
      <c r="AQ97" s="12">
        <f t="shared" si="19"/>
        <v>53.5</v>
      </c>
      <c r="AR97" s="12"/>
      <c r="AS97" s="12">
        <f t="shared" si="22"/>
        <v>15.299999999999999</v>
      </c>
      <c r="AT97" s="12">
        <f t="shared" si="22"/>
        <v>75.400000000000006</v>
      </c>
      <c r="AU97" s="12">
        <f t="shared" si="22"/>
        <v>3.2</v>
      </c>
      <c r="AV97" s="12">
        <f t="shared" si="20"/>
        <v>68.8</v>
      </c>
      <c r="AW97" s="12">
        <f t="shared" si="20"/>
        <v>59</v>
      </c>
      <c r="AX97" s="12">
        <f t="shared" si="20"/>
        <v>78.600000000000009</v>
      </c>
      <c r="AY97" s="12"/>
      <c r="AZ97" s="12">
        <f t="shared" si="14"/>
        <v>27.900000000000006</v>
      </c>
      <c r="BA97" s="12">
        <f t="shared" si="15"/>
        <v>78.2</v>
      </c>
      <c r="BB97" s="12"/>
      <c r="BC97" s="12">
        <f t="shared" si="16"/>
        <v>33.300000000000004</v>
      </c>
      <c r="BD97" s="12">
        <f t="shared" si="17"/>
        <v>86.8</v>
      </c>
      <c r="BE97" s="12">
        <f t="shared" si="18"/>
        <v>44.3</v>
      </c>
    </row>
    <row r="98" spans="1:57" ht="15.75" customHeight="1" x14ac:dyDescent="0.25">
      <c r="A98" s="1" t="s">
        <v>108</v>
      </c>
      <c r="B98" s="3" t="s">
        <v>84</v>
      </c>
      <c r="C98" s="4" t="s">
        <v>8</v>
      </c>
      <c r="D98" s="4">
        <v>41</v>
      </c>
      <c r="E98" s="4">
        <v>610</v>
      </c>
      <c r="F98" s="4">
        <v>41</v>
      </c>
      <c r="G98" s="4">
        <v>610</v>
      </c>
      <c r="H98" s="4">
        <v>0.497</v>
      </c>
      <c r="I98" s="4">
        <v>9.6</v>
      </c>
      <c r="J98" s="4"/>
      <c r="K98" s="4">
        <v>0.71699999999999997</v>
      </c>
      <c r="L98" s="4">
        <v>0.36499999999999999</v>
      </c>
      <c r="M98" s="4">
        <v>0.314</v>
      </c>
      <c r="N98" s="4">
        <v>1.9E-2</v>
      </c>
      <c r="O98" s="4">
        <v>1.9E-2</v>
      </c>
      <c r="P98" s="4">
        <v>0.28299999999999997</v>
      </c>
      <c r="Q98" s="4"/>
      <c r="R98" s="4">
        <v>0.58799999999999997</v>
      </c>
      <c r="S98" s="4">
        <v>0.75900000000000001</v>
      </c>
      <c r="T98" s="4">
        <v>0.42</v>
      </c>
      <c r="U98" s="4">
        <v>0.66700000000000004</v>
      </c>
      <c r="V98" s="4">
        <v>0</v>
      </c>
      <c r="W98" s="4">
        <v>0.26700000000000002</v>
      </c>
      <c r="X98" s="4"/>
      <c r="Y98" s="4">
        <v>0.67200000000000004</v>
      </c>
      <c r="Z98" s="4">
        <v>0.91700000000000004</v>
      </c>
      <c r="AA98" s="4"/>
      <c r="AB98" s="4">
        <v>0.44400000000000001</v>
      </c>
      <c r="AC98" s="4">
        <v>0.35</v>
      </c>
      <c r="AD98" s="10">
        <f t="shared" si="12"/>
        <v>0.74133500000000008</v>
      </c>
      <c r="AE98" s="9"/>
      <c r="AF98" s="9"/>
      <c r="AG98" s="12">
        <f t="shared" si="13"/>
        <v>69.3</v>
      </c>
      <c r="AH98" s="12">
        <f t="shared" si="13"/>
        <v>48.6</v>
      </c>
      <c r="AI98" s="12">
        <f t="shared" si="13"/>
        <v>77.5</v>
      </c>
      <c r="AJ98" s="12">
        <f t="shared" si="13"/>
        <v>19.100000000000001</v>
      </c>
      <c r="AK98" s="12"/>
      <c r="AL98" s="12">
        <f t="shared" si="21"/>
        <v>72.099999999999994</v>
      </c>
      <c r="AM98" s="12">
        <f t="shared" si="21"/>
        <v>87.4</v>
      </c>
      <c r="AN98" s="12">
        <f t="shared" si="21"/>
        <v>69.3</v>
      </c>
      <c r="AO98" s="12">
        <f t="shared" si="19"/>
        <v>13.100000000000001</v>
      </c>
      <c r="AP98" s="12">
        <f t="shared" si="19"/>
        <v>24.5</v>
      </c>
      <c r="AQ98" s="12">
        <f t="shared" si="19"/>
        <v>27.800000000000004</v>
      </c>
      <c r="AR98" s="12"/>
      <c r="AS98" s="12">
        <f t="shared" si="22"/>
        <v>88.5</v>
      </c>
      <c r="AT98" s="12">
        <f t="shared" si="22"/>
        <v>83</v>
      </c>
      <c r="AU98" s="12">
        <f t="shared" si="22"/>
        <v>40.9</v>
      </c>
      <c r="AV98" s="12">
        <f t="shared" si="20"/>
        <v>96.1</v>
      </c>
      <c r="AW98" s="12">
        <f t="shared" si="20"/>
        <v>0</v>
      </c>
      <c r="AX98" s="12">
        <f t="shared" si="20"/>
        <v>22.400000000000002</v>
      </c>
      <c r="AY98" s="12"/>
      <c r="AZ98" s="12">
        <f t="shared" si="14"/>
        <v>40.5</v>
      </c>
      <c r="BA98" s="12">
        <f t="shared" si="15"/>
        <v>59.599999999999994</v>
      </c>
      <c r="BB98" s="12"/>
      <c r="BC98" s="12">
        <f t="shared" si="16"/>
        <v>93.4</v>
      </c>
      <c r="BD98" s="12">
        <f t="shared" si="17"/>
        <v>47.5</v>
      </c>
      <c r="BE98" s="12">
        <f t="shared" si="18"/>
        <v>47</v>
      </c>
    </row>
    <row r="99" spans="1:57" ht="15.75" customHeight="1" x14ac:dyDescent="0.25">
      <c r="A99" s="1" t="s">
        <v>123</v>
      </c>
      <c r="B99" s="4" t="s">
        <v>240</v>
      </c>
      <c r="C99" s="4" t="s">
        <v>85</v>
      </c>
      <c r="D99" s="4">
        <v>27</v>
      </c>
      <c r="E99" s="4">
        <v>599</v>
      </c>
      <c r="F99" s="4">
        <v>27</v>
      </c>
      <c r="G99" s="4">
        <v>599</v>
      </c>
      <c r="H99" s="4">
        <v>0.42199999999999999</v>
      </c>
      <c r="I99" s="4">
        <v>11.6</v>
      </c>
      <c r="J99" s="4"/>
      <c r="K99" s="4">
        <v>0.68899999999999995</v>
      </c>
      <c r="L99" s="4">
        <v>0.31900000000000001</v>
      </c>
      <c r="M99" s="4">
        <v>0.24099999999999999</v>
      </c>
      <c r="N99" s="4">
        <v>5.1999999999999998E-2</v>
      </c>
      <c r="O99" s="4">
        <v>7.8E-2</v>
      </c>
      <c r="P99" s="4">
        <v>0.311</v>
      </c>
      <c r="Q99" s="4"/>
      <c r="R99" s="4">
        <v>0.48899999999999999</v>
      </c>
      <c r="S99" s="4">
        <v>0.64</v>
      </c>
      <c r="T99" s="4">
        <v>0.33800000000000002</v>
      </c>
      <c r="U99" s="4">
        <v>0.214</v>
      </c>
      <c r="V99" s="4">
        <v>0.52400000000000002</v>
      </c>
      <c r="W99" s="4">
        <v>0.27400000000000002</v>
      </c>
      <c r="X99" s="4"/>
      <c r="Y99" s="4">
        <v>0.51600000000000001</v>
      </c>
      <c r="Z99" s="4">
        <v>0.95699999999999996</v>
      </c>
      <c r="AA99" s="4"/>
      <c r="AB99" s="4">
        <v>9.5000000000000001E-2</v>
      </c>
      <c r="AC99" s="4">
        <v>0</v>
      </c>
      <c r="AD99" s="10">
        <f t="shared" si="12"/>
        <v>0.65315100000000004</v>
      </c>
      <c r="AE99" s="9"/>
      <c r="AF99" s="9"/>
      <c r="AG99" s="12">
        <f t="shared" si="13"/>
        <v>24.5</v>
      </c>
      <c r="AH99" s="12">
        <f t="shared" si="13"/>
        <v>48</v>
      </c>
      <c r="AI99" s="12">
        <f t="shared" si="13"/>
        <v>39.300000000000004</v>
      </c>
      <c r="AJ99" s="12">
        <f t="shared" si="13"/>
        <v>27.800000000000004</v>
      </c>
      <c r="AK99" s="12"/>
      <c r="AL99" s="12">
        <f t="shared" si="21"/>
        <v>68.300000000000011</v>
      </c>
      <c r="AM99" s="12">
        <f t="shared" si="21"/>
        <v>80.300000000000011</v>
      </c>
      <c r="AN99" s="12">
        <f t="shared" si="21"/>
        <v>46.9</v>
      </c>
      <c r="AO99" s="12">
        <f t="shared" si="19"/>
        <v>38.200000000000003</v>
      </c>
      <c r="AP99" s="12">
        <f t="shared" si="19"/>
        <v>79.7</v>
      </c>
      <c r="AQ99" s="12">
        <f t="shared" si="19"/>
        <v>31.6</v>
      </c>
      <c r="AR99" s="12"/>
      <c r="AS99" s="12">
        <f t="shared" si="22"/>
        <v>38.700000000000003</v>
      </c>
      <c r="AT99" s="12">
        <f t="shared" si="22"/>
        <v>38.200000000000003</v>
      </c>
      <c r="AU99" s="12">
        <f t="shared" si="22"/>
        <v>15.8</v>
      </c>
      <c r="AV99" s="12">
        <f t="shared" si="20"/>
        <v>26.200000000000003</v>
      </c>
      <c r="AW99" s="12">
        <f t="shared" si="20"/>
        <v>87.9</v>
      </c>
      <c r="AX99" s="12">
        <f t="shared" si="20"/>
        <v>25.1</v>
      </c>
      <c r="AY99" s="12"/>
      <c r="AZ99" s="12">
        <f t="shared" si="14"/>
        <v>65.599999999999994</v>
      </c>
      <c r="BA99" s="12">
        <f t="shared" si="15"/>
        <v>43.2</v>
      </c>
      <c r="BB99" s="12"/>
      <c r="BC99" s="12">
        <f t="shared" si="16"/>
        <v>16.3</v>
      </c>
      <c r="BD99" s="12">
        <f t="shared" si="17"/>
        <v>0</v>
      </c>
      <c r="BE99" s="12">
        <f t="shared" si="18"/>
        <v>70</v>
      </c>
    </row>
    <row r="100" spans="1:57" ht="15.75" customHeight="1" x14ac:dyDescent="0.25">
      <c r="A100" s="1" t="s">
        <v>215</v>
      </c>
      <c r="B100" s="3" t="s">
        <v>137</v>
      </c>
      <c r="C100" s="4" t="s">
        <v>85</v>
      </c>
      <c r="D100" s="4">
        <v>31</v>
      </c>
      <c r="E100" s="4">
        <v>595</v>
      </c>
      <c r="F100" s="4">
        <v>31</v>
      </c>
      <c r="G100" s="4">
        <v>595</v>
      </c>
      <c r="H100" s="4">
        <v>0.46400000000000002</v>
      </c>
      <c r="I100" s="4">
        <v>13</v>
      </c>
      <c r="J100" s="4"/>
      <c r="K100" s="4">
        <v>0.59499999999999997</v>
      </c>
      <c r="L100" s="4">
        <v>0.214</v>
      </c>
      <c r="M100" s="4">
        <v>0.29499999999999998</v>
      </c>
      <c r="N100" s="4">
        <v>7.2999999999999995E-2</v>
      </c>
      <c r="O100" s="4">
        <v>1.4E-2</v>
      </c>
      <c r="P100" s="4">
        <v>0.40500000000000003</v>
      </c>
      <c r="Q100" s="4"/>
      <c r="R100" s="4">
        <v>0.56499999999999995</v>
      </c>
      <c r="S100" s="4">
        <v>0.63800000000000001</v>
      </c>
      <c r="T100" s="4">
        <v>0.56899999999999995</v>
      </c>
      <c r="U100" s="4">
        <v>0.375</v>
      </c>
      <c r="V100" s="4">
        <v>0.33300000000000002</v>
      </c>
      <c r="W100" s="4">
        <v>0.315</v>
      </c>
      <c r="X100" s="4"/>
      <c r="Y100" s="4">
        <v>0.73</v>
      </c>
      <c r="Z100" s="4">
        <v>1</v>
      </c>
      <c r="AA100" s="4"/>
      <c r="AB100" s="4">
        <v>0.30299999999999999</v>
      </c>
      <c r="AC100" s="4">
        <v>0.33300000000000002</v>
      </c>
      <c r="AD100" s="10">
        <f t="shared" si="12"/>
        <v>0.83935000000000004</v>
      </c>
      <c r="AE100" s="9"/>
      <c r="AF100" s="9"/>
      <c r="AG100" s="12">
        <f t="shared" si="13"/>
        <v>33.800000000000004</v>
      </c>
      <c r="AH100" s="12">
        <f t="shared" si="13"/>
        <v>47.5</v>
      </c>
      <c r="AI100" s="12">
        <f t="shared" si="13"/>
        <v>66.600000000000009</v>
      </c>
      <c r="AJ100" s="12">
        <f t="shared" si="13"/>
        <v>41.5</v>
      </c>
      <c r="AK100" s="12"/>
      <c r="AL100" s="12">
        <f t="shared" si="21"/>
        <v>49.7</v>
      </c>
      <c r="AM100" s="12">
        <f t="shared" si="21"/>
        <v>57.9</v>
      </c>
      <c r="AN100" s="12">
        <f t="shared" si="21"/>
        <v>64.400000000000006</v>
      </c>
      <c r="AO100" s="12">
        <f t="shared" si="19"/>
        <v>54.6</v>
      </c>
      <c r="AP100" s="12">
        <f t="shared" si="19"/>
        <v>16.3</v>
      </c>
      <c r="AQ100" s="12">
        <f t="shared" si="19"/>
        <v>49.7</v>
      </c>
      <c r="AR100" s="12"/>
      <c r="AS100" s="12">
        <f t="shared" si="22"/>
        <v>79.7</v>
      </c>
      <c r="AT100" s="12">
        <f t="shared" si="22"/>
        <v>36.6</v>
      </c>
      <c r="AU100" s="12">
        <f t="shared" si="22"/>
        <v>92.300000000000011</v>
      </c>
      <c r="AV100" s="12">
        <f t="shared" si="20"/>
        <v>53.5</v>
      </c>
      <c r="AW100" s="12">
        <f t="shared" si="20"/>
        <v>48</v>
      </c>
      <c r="AX100" s="12">
        <f t="shared" si="20"/>
        <v>43.1</v>
      </c>
      <c r="AY100" s="12"/>
      <c r="AZ100" s="12">
        <f t="shared" si="14"/>
        <v>26.799999999999997</v>
      </c>
      <c r="BA100" s="12">
        <f t="shared" si="15"/>
        <v>33.899999999999991</v>
      </c>
      <c r="BB100" s="12"/>
      <c r="BC100" s="12">
        <f t="shared" si="16"/>
        <v>77</v>
      </c>
      <c r="BD100" s="12">
        <f t="shared" si="17"/>
        <v>44.2</v>
      </c>
      <c r="BE100" s="12">
        <f t="shared" si="18"/>
        <v>24.599999999999994</v>
      </c>
    </row>
    <row r="101" spans="1:57" ht="15.75" customHeight="1" x14ac:dyDescent="0.25">
      <c r="A101" s="1" t="s">
        <v>248</v>
      </c>
      <c r="B101" s="3" t="s">
        <v>84</v>
      </c>
      <c r="C101" s="4" t="s">
        <v>85</v>
      </c>
      <c r="D101" s="4">
        <v>20</v>
      </c>
      <c r="E101" s="4">
        <v>587</v>
      </c>
      <c r="F101" s="4">
        <v>20</v>
      </c>
      <c r="G101" s="4">
        <v>587</v>
      </c>
      <c r="H101" s="4">
        <v>0.435</v>
      </c>
      <c r="I101" s="4">
        <v>16.7</v>
      </c>
      <c r="J101" s="4"/>
      <c r="K101" s="4">
        <v>0.39100000000000001</v>
      </c>
      <c r="L101" s="4">
        <v>0.13800000000000001</v>
      </c>
      <c r="M101" s="4">
        <v>0.217</v>
      </c>
      <c r="N101" s="4">
        <v>2.1999999999999999E-2</v>
      </c>
      <c r="O101" s="4">
        <v>1.4E-2</v>
      </c>
      <c r="P101" s="4">
        <v>0.60899999999999999</v>
      </c>
      <c r="Q101" s="4"/>
      <c r="R101" s="4">
        <v>0.46300000000000002</v>
      </c>
      <c r="S101" s="4">
        <v>0.57899999999999996</v>
      </c>
      <c r="T101" s="4">
        <v>0.433</v>
      </c>
      <c r="U101" s="4">
        <v>0</v>
      </c>
      <c r="V101" s="4">
        <v>0.5</v>
      </c>
      <c r="W101" s="4">
        <v>0.41699999999999998</v>
      </c>
      <c r="X101" s="4"/>
      <c r="Y101" s="4">
        <v>0.68</v>
      </c>
      <c r="Z101" s="4">
        <v>1</v>
      </c>
      <c r="AA101" s="4"/>
      <c r="AB101" s="4">
        <v>0.48799999999999999</v>
      </c>
      <c r="AC101" s="4">
        <v>0.46300000000000002</v>
      </c>
      <c r="AD101" s="10">
        <f t="shared" si="12"/>
        <v>0.87487999999999999</v>
      </c>
      <c r="AE101" s="9"/>
      <c r="AF101" s="9"/>
      <c r="AG101" s="12">
        <f t="shared" si="13"/>
        <v>16.3</v>
      </c>
      <c r="AH101" s="12">
        <f t="shared" si="13"/>
        <v>46.9</v>
      </c>
      <c r="AI101" s="12">
        <f t="shared" si="13"/>
        <v>49.1</v>
      </c>
      <c r="AJ101" s="12">
        <f t="shared" si="13"/>
        <v>75.400000000000006</v>
      </c>
      <c r="AK101" s="12"/>
      <c r="AL101" s="12">
        <f t="shared" si="21"/>
        <v>14.7</v>
      </c>
      <c r="AM101" s="12">
        <f t="shared" si="21"/>
        <v>31.6</v>
      </c>
      <c r="AN101" s="12">
        <f t="shared" si="21"/>
        <v>38.200000000000003</v>
      </c>
      <c r="AO101" s="12">
        <f t="shared" si="19"/>
        <v>14.2</v>
      </c>
      <c r="AP101" s="12">
        <f t="shared" si="19"/>
        <v>16.3</v>
      </c>
      <c r="AQ101" s="12">
        <f t="shared" si="19"/>
        <v>85.2</v>
      </c>
      <c r="AR101" s="12"/>
      <c r="AS101" s="12">
        <f t="shared" si="22"/>
        <v>24</v>
      </c>
      <c r="AT101" s="12">
        <f t="shared" si="22"/>
        <v>19.100000000000001</v>
      </c>
      <c r="AU101" s="12">
        <f t="shared" si="22"/>
        <v>45.300000000000004</v>
      </c>
      <c r="AV101" s="12">
        <f t="shared" si="20"/>
        <v>0</v>
      </c>
      <c r="AW101" s="12">
        <f t="shared" si="20"/>
        <v>79.7</v>
      </c>
      <c r="AX101" s="12">
        <f t="shared" si="20"/>
        <v>90.7</v>
      </c>
      <c r="AY101" s="12"/>
      <c r="AZ101" s="12">
        <f t="shared" si="14"/>
        <v>37.799999999999997</v>
      </c>
      <c r="BA101" s="12">
        <f t="shared" si="15"/>
        <v>33.899999999999991</v>
      </c>
      <c r="BB101" s="12"/>
      <c r="BC101" s="12">
        <f t="shared" si="16"/>
        <v>95.6</v>
      </c>
      <c r="BD101" s="12">
        <f t="shared" si="17"/>
        <v>77.5</v>
      </c>
      <c r="BE101" s="12">
        <f t="shared" si="18"/>
        <v>15.400000000000006</v>
      </c>
    </row>
    <row r="102" spans="1:57" ht="15.75" customHeight="1" x14ac:dyDescent="0.25">
      <c r="A102" s="1" t="s">
        <v>203</v>
      </c>
      <c r="B102" s="3" t="s">
        <v>232</v>
      </c>
      <c r="C102" s="4" t="s">
        <v>119</v>
      </c>
      <c r="D102" s="4">
        <v>38</v>
      </c>
      <c r="E102" s="4">
        <v>586</v>
      </c>
      <c r="F102" s="4">
        <v>38</v>
      </c>
      <c r="G102" s="4">
        <v>586</v>
      </c>
      <c r="H102" s="4">
        <v>0.434</v>
      </c>
      <c r="I102" s="4">
        <v>14.6</v>
      </c>
      <c r="J102" s="4"/>
      <c r="K102" s="4">
        <v>0.497</v>
      </c>
      <c r="L102" s="4">
        <v>0.159</v>
      </c>
      <c r="M102" s="4">
        <v>0.317</v>
      </c>
      <c r="N102" s="4">
        <v>1.0999999999999999E-2</v>
      </c>
      <c r="O102" s="4">
        <v>1.0999999999999999E-2</v>
      </c>
      <c r="P102" s="4">
        <v>0.503</v>
      </c>
      <c r="Q102" s="4"/>
      <c r="R102" s="4">
        <v>0.51100000000000001</v>
      </c>
      <c r="S102" s="4">
        <v>0.6</v>
      </c>
      <c r="T102" s="4">
        <v>0.46700000000000003</v>
      </c>
      <c r="U102" s="4">
        <v>0.5</v>
      </c>
      <c r="V102" s="4">
        <v>0.5</v>
      </c>
      <c r="W102" s="4">
        <v>0.35799999999999998</v>
      </c>
      <c r="X102" s="4"/>
      <c r="Y102" s="4">
        <v>0.81299999999999994</v>
      </c>
      <c r="Z102" s="4">
        <v>1</v>
      </c>
      <c r="AA102" s="4"/>
      <c r="AB102" s="4">
        <v>0.221</v>
      </c>
      <c r="AC102" s="4">
        <v>0.28599999999999998</v>
      </c>
      <c r="AD102" s="10">
        <f t="shared" si="12"/>
        <v>0.9070609999999999</v>
      </c>
      <c r="AE102" s="9"/>
      <c r="AF102" s="9"/>
      <c r="AG102" s="12">
        <f t="shared" si="13"/>
        <v>53</v>
      </c>
      <c r="AH102" s="12">
        <f t="shared" si="13"/>
        <v>46.400000000000006</v>
      </c>
      <c r="AI102" s="12">
        <f t="shared" si="13"/>
        <v>48</v>
      </c>
      <c r="AJ102" s="12">
        <f t="shared" si="13"/>
        <v>54.6</v>
      </c>
      <c r="AK102" s="12"/>
      <c r="AL102" s="12">
        <f t="shared" si="21"/>
        <v>27.800000000000004</v>
      </c>
      <c r="AM102" s="12">
        <f t="shared" si="21"/>
        <v>37.700000000000003</v>
      </c>
      <c r="AN102" s="12">
        <f t="shared" si="21"/>
        <v>70.399999999999991</v>
      </c>
      <c r="AO102" s="12">
        <f t="shared" si="19"/>
        <v>6.5</v>
      </c>
      <c r="AP102" s="12">
        <f t="shared" si="19"/>
        <v>12.5</v>
      </c>
      <c r="AQ102" s="12">
        <f t="shared" si="19"/>
        <v>72.099999999999994</v>
      </c>
      <c r="AR102" s="12"/>
      <c r="AS102" s="12">
        <f t="shared" si="22"/>
        <v>46.400000000000006</v>
      </c>
      <c r="AT102" s="12">
        <f t="shared" si="22"/>
        <v>24.5</v>
      </c>
      <c r="AU102" s="12">
        <f t="shared" si="22"/>
        <v>58.4</v>
      </c>
      <c r="AV102" s="12">
        <f t="shared" si="20"/>
        <v>81.399999999999991</v>
      </c>
      <c r="AW102" s="12">
        <f t="shared" si="20"/>
        <v>79.7</v>
      </c>
      <c r="AX102" s="12">
        <f t="shared" si="20"/>
        <v>64.400000000000006</v>
      </c>
      <c r="AY102" s="12"/>
      <c r="AZ102" s="12">
        <f t="shared" si="14"/>
        <v>11</v>
      </c>
      <c r="BA102" s="12">
        <f t="shared" si="15"/>
        <v>33.899999999999991</v>
      </c>
      <c r="BB102" s="12"/>
      <c r="BC102" s="12">
        <f t="shared" si="16"/>
        <v>61.7</v>
      </c>
      <c r="BD102" s="12">
        <f t="shared" si="17"/>
        <v>34.4</v>
      </c>
      <c r="BE102" s="12">
        <f t="shared" si="18"/>
        <v>8.7999999999999972</v>
      </c>
    </row>
    <row r="103" spans="1:57" ht="15.75" customHeight="1" x14ac:dyDescent="0.25">
      <c r="A103" s="1" t="s">
        <v>210</v>
      </c>
      <c r="B103" s="3" t="s">
        <v>96</v>
      </c>
      <c r="C103" s="4" t="s">
        <v>8</v>
      </c>
      <c r="D103" s="4">
        <v>42</v>
      </c>
      <c r="E103" s="4">
        <v>584</v>
      </c>
      <c r="F103" s="4">
        <v>42</v>
      </c>
      <c r="G103" s="4">
        <v>584</v>
      </c>
      <c r="H103" s="4">
        <v>0.372</v>
      </c>
      <c r="I103" s="4">
        <v>16.5</v>
      </c>
      <c r="J103" s="4"/>
      <c r="K103" s="4">
        <v>0.5</v>
      </c>
      <c r="L103" s="4">
        <v>0.16700000000000001</v>
      </c>
      <c r="M103" s="4">
        <v>0.14699999999999999</v>
      </c>
      <c r="N103" s="4">
        <v>0.09</v>
      </c>
      <c r="O103" s="4">
        <v>9.6000000000000002E-2</v>
      </c>
      <c r="P103" s="4">
        <v>0.5</v>
      </c>
      <c r="Q103" s="4"/>
      <c r="R103" s="4">
        <v>0.372</v>
      </c>
      <c r="S103" s="4">
        <v>0.46200000000000002</v>
      </c>
      <c r="T103" s="4">
        <v>0.30399999999999999</v>
      </c>
      <c r="U103" s="4">
        <v>0.35699999999999998</v>
      </c>
      <c r="V103" s="4">
        <v>0.33300000000000002</v>
      </c>
      <c r="W103" s="4">
        <v>0.372</v>
      </c>
      <c r="X103" s="4"/>
      <c r="Y103" s="4">
        <v>0.58599999999999997</v>
      </c>
      <c r="Z103" s="4">
        <v>0.93100000000000005</v>
      </c>
      <c r="AA103" s="4"/>
      <c r="AB103" s="4">
        <v>0.24399999999999999</v>
      </c>
      <c r="AC103" s="4">
        <v>0.36799999999999999</v>
      </c>
      <c r="AD103" s="10">
        <f t="shared" si="12"/>
        <v>0.75849999999999995</v>
      </c>
      <c r="AE103" s="9"/>
      <c r="AF103" s="9"/>
      <c r="AG103" s="12">
        <f t="shared" si="13"/>
        <v>83</v>
      </c>
      <c r="AH103" s="12">
        <f t="shared" si="13"/>
        <v>45.9</v>
      </c>
      <c r="AI103" s="12">
        <f t="shared" si="13"/>
        <v>16.3</v>
      </c>
      <c r="AJ103" s="12">
        <f t="shared" si="13"/>
        <v>73.2</v>
      </c>
      <c r="AK103" s="12"/>
      <c r="AL103" s="12">
        <f t="shared" si="21"/>
        <v>29.5</v>
      </c>
      <c r="AM103" s="12">
        <f t="shared" si="21"/>
        <v>40.9</v>
      </c>
      <c r="AN103" s="12">
        <f t="shared" si="21"/>
        <v>15.299999999999999</v>
      </c>
      <c r="AO103" s="12">
        <f t="shared" si="19"/>
        <v>64.400000000000006</v>
      </c>
      <c r="AP103" s="12">
        <f t="shared" si="19"/>
        <v>86.8</v>
      </c>
      <c r="AQ103" s="12">
        <f t="shared" si="19"/>
        <v>69.3</v>
      </c>
      <c r="AR103" s="12"/>
      <c r="AS103" s="12">
        <f t="shared" si="22"/>
        <v>4.9000000000000004</v>
      </c>
      <c r="AT103" s="12">
        <f t="shared" si="22"/>
        <v>7.1</v>
      </c>
      <c r="AU103" s="12">
        <f t="shared" si="22"/>
        <v>9.8000000000000007</v>
      </c>
      <c r="AV103" s="12">
        <f t="shared" si="20"/>
        <v>50.2</v>
      </c>
      <c r="AW103" s="12">
        <f t="shared" si="20"/>
        <v>48</v>
      </c>
      <c r="AX103" s="12">
        <f t="shared" si="20"/>
        <v>70.399999999999991</v>
      </c>
      <c r="AY103" s="12"/>
      <c r="AZ103" s="12">
        <f t="shared" si="14"/>
        <v>54.1</v>
      </c>
      <c r="BA103" s="12">
        <f t="shared" si="15"/>
        <v>54.1</v>
      </c>
      <c r="BB103" s="12"/>
      <c r="BC103" s="12">
        <f t="shared" si="16"/>
        <v>67.2</v>
      </c>
      <c r="BD103" s="12">
        <f t="shared" si="17"/>
        <v>51.9</v>
      </c>
      <c r="BE103" s="12">
        <f t="shared" si="18"/>
        <v>43.2</v>
      </c>
    </row>
    <row r="104" spans="1:57" ht="15.75" customHeight="1" x14ac:dyDescent="0.25">
      <c r="A104" s="1" t="s">
        <v>162</v>
      </c>
      <c r="B104" s="3" t="s">
        <v>84</v>
      </c>
      <c r="C104" s="4" t="s">
        <v>88</v>
      </c>
      <c r="D104" s="4">
        <v>43</v>
      </c>
      <c r="E104" s="4">
        <v>583</v>
      </c>
      <c r="F104" s="4">
        <v>43</v>
      </c>
      <c r="G104" s="4">
        <v>583</v>
      </c>
      <c r="H104" s="4">
        <v>0.50800000000000001</v>
      </c>
      <c r="I104" s="4">
        <v>13.9</v>
      </c>
      <c r="J104" s="4"/>
      <c r="K104" s="4">
        <v>0.55800000000000005</v>
      </c>
      <c r="L104" s="4">
        <v>0.221</v>
      </c>
      <c r="M104" s="4">
        <v>0.23599999999999999</v>
      </c>
      <c r="N104" s="4">
        <v>0.08</v>
      </c>
      <c r="O104" s="4">
        <v>0.02</v>
      </c>
      <c r="P104" s="4">
        <v>0.442</v>
      </c>
      <c r="Q104" s="4"/>
      <c r="R104" s="4">
        <v>0.58599999999999997</v>
      </c>
      <c r="S104" s="4">
        <v>0.79500000000000004</v>
      </c>
      <c r="T104" s="4">
        <v>0.51100000000000001</v>
      </c>
      <c r="U104" s="4">
        <v>0.313</v>
      </c>
      <c r="V104" s="4">
        <v>0.25</v>
      </c>
      <c r="W104" s="4">
        <v>0.40899999999999997</v>
      </c>
      <c r="X104" s="4"/>
      <c r="Y104" s="4">
        <v>0.67700000000000005</v>
      </c>
      <c r="Z104" s="4">
        <v>1</v>
      </c>
      <c r="AA104" s="4"/>
      <c r="AB104" s="4">
        <v>0.182</v>
      </c>
      <c r="AC104" s="4">
        <v>0.375</v>
      </c>
      <c r="AD104" s="10">
        <f t="shared" si="12"/>
        <v>0.81976599999999999</v>
      </c>
      <c r="AE104" s="9"/>
      <c r="AF104" s="9"/>
      <c r="AG104" s="12">
        <f t="shared" si="13"/>
        <v>96.7</v>
      </c>
      <c r="AH104" s="12">
        <f t="shared" si="13"/>
        <v>45.300000000000004</v>
      </c>
      <c r="AI104" s="12">
        <f t="shared" si="13"/>
        <v>81.399999999999991</v>
      </c>
      <c r="AJ104" s="12">
        <f t="shared" si="13"/>
        <v>47.5</v>
      </c>
      <c r="AK104" s="12"/>
      <c r="AL104" s="12">
        <f t="shared" si="21"/>
        <v>40.9</v>
      </c>
      <c r="AM104" s="12">
        <f t="shared" si="21"/>
        <v>59.5</v>
      </c>
      <c r="AN104" s="12">
        <f t="shared" si="21"/>
        <v>45.300000000000004</v>
      </c>
      <c r="AO104" s="12">
        <f t="shared" si="19"/>
        <v>60.099999999999994</v>
      </c>
      <c r="AP104" s="12">
        <f t="shared" si="19"/>
        <v>26.700000000000003</v>
      </c>
      <c r="AQ104" s="12">
        <f t="shared" si="19"/>
        <v>59</v>
      </c>
      <c r="AR104" s="12"/>
      <c r="AS104" s="12">
        <f t="shared" si="22"/>
        <v>87.4</v>
      </c>
      <c r="AT104" s="12">
        <f t="shared" si="22"/>
        <v>88.5</v>
      </c>
      <c r="AU104" s="12">
        <f t="shared" si="22"/>
        <v>80.300000000000011</v>
      </c>
      <c r="AV104" s="12">
        <f t="shared" si="20"/>
        <v>39.300000000000004</v>
      </c>
      <c r="AW104" s="12">
        <f t="shared" si="20"/>
        <v>32.700000000000003</v>
      </c>
      <c r="AX104" s="12">
        <f t="shared" si="20"/>
        <v>87.9</v>
      </c>
      <c r="AY104" s="12"/>
      <c r="AZ104" s="12">
        <f t="shared" si="14"/>
        <v>38.299999999999997</v>
      </c>
      <c r="BA104" s="12">
        <f t="shared" si="15"/>
        <v>33.899999999999991</v>
      </c>
      <c r="BB104" s="12"/>
      <c r="BC104" s="12">
        <f t="shared" si="16"/>
        <v>47.5</v>
      </c>
      <c r="BD104" s="12">
        <f t="shared" si="17"/>
        <v>54.6</v>
      </c>
      <c r="BE104" s="12">
        <f t="shared" si="18"/>
        <v>28.5</v>
      </c>
    </row>
    <row r="105" spans="1:57" ht="15.75" customHeight="1" x14ac:dyDescent="0.25">
      <c r="A105" s="1" t="s">
        <v>196</v>
      </c>
      <c r="B105" s="3" t="s">
        <v>99</v>
      </c>
      <c r="C105" s="4" t="s">
        <v>85</v>
      </c>
      <c r="D105" s="4">
        <v>40</v>
      </c>
      <c r="E105" s="4">
        <v>581</v>
      </c>
      <c r="F105" s="4">
        <v>40</v>
      </c>
      <c r="G105" s="4">
        <v>581</v>
      </c>
      <c r="H105" s="4">
        <v>0.47599999999999998</v>
      </c>
      <c r="I105" s="4">
        <v>13.9</v>
      </c>
      <c r="J105" s="4"/>
      <c r="K105" s="4">
        <v>0.61399999999999999</v>
      </c>
      <c r="L105" s="4">
        <v>0.16700000000000001</v>
      </c>
      <c r="M105" s="4">
        <v>0.27100000000000002</v>
      </c>
      <c r="N105" s="4">
        <v>0.13300000000000001</v>
      </c>
      <c r="O105" s="4">
        <v>4.2999999999999997E-2</v>
      </c>
      <c r="P105" s="4">
        <v>0.38600000000000001</v>
      </c>
      <c r="Q105" s="4"/>
      <c r="R105" s="4">
        <v>0.51900000000000002</v>
      </c>
      <c r="S105" s="4">
        <v>0.68600000000000005</v>
      </c>
      <c r="T105" s="4">
        <v>0.50900000000000001</v>
      </c>
      <c r="U105" s="4">
        <v>0.35699999999999998</v>
      </c>
      <c r="V105" s="4">
        <v>0.44400000000000001</v>
      </c>
      <c r="W105" s="4">
        <v>0.40699999999999997</v>
      </c>
      <c r="X105" s="4"/>
      <c r="Y105" s="4">
        <v>0.71599999999999997</v>
      </c>
      <c r="Z105" s="4">
        <v>1</v>
      </c>
      <c r="AA105" s="4"/>
      <c r="AB105" s="4">
        <v>0.16</v>
      </c>
      <c r="AC105" s="4">
        <v>0.46200000000000002</v>
      </c>
      <c r="AD105" s="10">
        <f t="shared" si="12"/>
        <v>0.82562399999999991</v>
      </c>
      <c r="AE105" s="9"/>
      <c r="AF105" s="9"/>
      <c r="AG105" s="12">
        <f t="shared" si="13"/>
        <v>63.9</v>
      </c>
      <c r="AH105" s="12">
        <f t="shared" si="13"/>
        <v>44.800000000000004</v>
      </c>
      <c r="AI105" s="12">
        <f t="shared" si="13"/>
        <v>69.3</v>
      </c>
      <c r="AJ105" s="12">
        <f t="shared" si="13"/>
        <v>47.5</v>
      </c>
      <c r="AK105" s="12"/>
      <c r="AL105" s="12">
        <f t="shared" si="21"/>
        <v>55.1</v>
      </c>
      <c r="AM105" s="12">
        <f t="shared" si="21"/>
        <v>40.9</v>
      </c>
      <c r="AN105" s="12">
        <f t="shared" si="21"/>
        <v>56.8</v>
      </c>
      <c r="AO105" s="12">
        <f t="shared" si="19"/>
        <v>84.1</v>
      </c>
      <c r="AP105" s="12">
        <f t="shared" si="19"/>
        <v>56.2</v>
      </c>
      <c r="AQ105" s="12">
        <f t="shared" si="19"/>
        <v>44.2</v>
      </c>
      <c r="AR105" s="12"/>
      <c r="AS105" s="12">
        <f t="shared" si="22"/>
        <v>51.9</v>
      </c>
      <c r="AT105" s="12">
        <f t="shared" si="22"/>
        <v>55.1</v>
      </c>
      <c r="AU105" s="12">
        <f t="shared" si="22"/>
        <v>78.600000000000009</v>
      </c>
      <c r="AV105" s="12">
        <f t="shared" si="20"/>
        <v>50.2</v>
      </c>
      <c r="AW105" s="12">
        <f t="shared" si="20"/>
        <v>76.5</v>
      </c>
      <c r="AX105" s="12">
        <f t="shared" si="20"/>
        <v>86.8</v>
      </c>
      <c r="AY105" s="12"/>
      <c r="AZ105" s="12">
        <f t="shared" si="14"/>
        <v>29.600000000000009</v>
      </c>
      <c r="BA105" s="12">
        <f t="shared" si="15"/>
        <v>33.899999999999991</v>
      </c>
      <c r="BB105" s="12"/>
      <c r="BC105" s="12">
        <f t="shared" si="16"/>
        <v>38.700000000000003</v>
      </c>
      <c r="BD105" s="12">
        <f t="shared" si="17"/>
        <v>77</v>
      </c>
      <c r="BE105" s="12">
        <f t="shared" si="18"/>
        <v>27.400000000000006</v>
      </c>
    </row>
    <row r="106" spans="1:57" ht="15.75" customHeight="1" x14ac:dyDescent="0.25">
      <c r="A106" s="1" t="s">
        <v>231</v>
      </c>
      <c r="B106" s="3" t="s">
        <v>107</v>
      </c>
      <c r="C106" s="4" t="s">
        <v>85</v>
      </c>
      <c r="D106" s="4">
        <v>28</v>
      </c>
      <c r="E106" s="4">
        <v>575</v>
      </c>
      <c r="F106" s="4">
        <v>28</v>
      </c>
      <c r="G106" s="4">
        <v>575</v>
      </c>
      <c r="H106" s="4">
        <v>0.53100000000000003</v>
      </c>
      <c r="I106" s="4">
        <v>8.5</v>
      </c>
      <c r="J106" s="4"/>
      <c r="K106" s="4">
        <v>0.93300000000000005</v>
      </c>
      <c r="L106" s="4">
        <v>0.32100000000000001</v>
      </c>
      <c r="M106" s="4">
        <v>0.313</v>
      </c>
      <c r="N106" s="4">
        <v>0.156</v>
      </c>
      <c r="O106" s="4">
        <v>0.14299999999999999</v>
      </c>
      <c r="P106" s="4">
        <v>6.7000000000000004E-2</v>
      </c>
      <c r="Q106" s="4"/>
      <c r="R106" s="4">
        <v>0.53600000000000003</v>
      </c>
      <c r="S106" s="4">
        <v>0.65300000000000002</v>
      </c>
      <c r="T106" s="4">
        <v>0.45700000000000002</v>
      </c>
      <c r="U106" s="4">
        <v>0.45700000000000002</v>
      </c>
      <c r="V106" s="4">
        <v>0.53100000000000003</v>
      </c>
      <c r="W106" s="4">
        <v>0.46700000000000003</v>
      </c>
      <c r="X106" s="4"/>
      <c r="Y106" s="4">
        <v>0.70499999999999996</v>
      </c>
      <c r="Z106" s="4">
        <v>1</v>
      </c>
      <c r="AA106" s="4"/>
      <c r="AB106" s="4">
        <v>6.7000000000000004E-2</v>
      </c>
      <c r="AC106" s="4">
        <v>1</v>
      </c>
      <c r="AD106" s="10">
        <f t="shared" si="12"/>
        <v>0.7247650000000001</v>
      </c>
      <c r="AE106" s="9"/>
      <c r="AF106" s="9"/>
      <c r="AG106" s="12">
        <f t="shared" si="13"/>
        <v>25.1</v>
      </c>
      <c r="AH106" s="12">
        <f t="shared" si="13"/>
        <v>44.2</v>
      </c>
      <c r="AI106" s="12">
        <f t="shared" si="13"/>
        <v>90.100000000000009</v>
      </c>
      <c r="AJ106" s="12">
        <f t="shared" si="13"/>
        <v>14.2</v>
      </c>
      <c r="AK106" s="12"/>
      <c r="AL106" s="12">
        <f t="shared" si="21"/>
        <v>91.2</v>
      </c>
      <c r="AM106" s="12">
        <f t="shared" si="21"/>
        <v>80.800000000000011</v>
      </c>
      <c r="AN106" s="12">
        <f t="shared" si="21"/>
        <v>68.8</v>
      </c>
      <c r="AO106" s="12">
        <f t="shared" si="19"/>
        <v>89.600000000000009</v>
      </c>
      <c r="AP106" s="12">
        <f t="shared" si="19"/>
        <v>97.8</v>
      </c>
      <c r="AQ106" s="12">
        <f t="shared" si="19"/>
        <v>8.6999999999999993</v>
      </c>
      <c r="AR106" s="12"/>
      <c r="AS106" s="12">
        <f t="shared" si="22"/>
        <v>66.600000000000009</v>
      </c>
      <c r="AT106" s="12">
        <f t="shared" si="22"/>
        <v>41.5</v>
      </c>
      <c r="AU106" s="12">
        <f t="shared" si="22"/>
        <v>54.6</v>
      </c>
      <c r="AV106" s="12">
        <f t="shared" si="20"/>
        <v>73.2</v>
      </c>
      <c r="AW106" s="12">
        <f t="shared" si="20"/>
        <v>90.100000000000009</v>
      </c>
      <c r="AX106" s="12">
        <f t="shared" si="20"/>
        <v>97.2</v>
      </c>
      <c r="AY106" s="12"/>
      <c r="AZ106" s="12">
        <f t="shared" si="14"/>
        <v>32.299999999999997</v>
      </c>
      <c r="BA106" s="12">
        <f t="shared" si="15"/>
        <v>33.899999999999991</v>
      </c>
      <c r="BB106" s="12"/>
      <c r="BC106" s="12">
        <f t="shared" si="16"/>
        <v>8.1</v>
      </c>
      <c r="BD106" s="12">
        <f t="shared" si="17"/>
        <v>97.2</v>
      </c>
      <c r="BE106" s="12">
        <f t="shared" si="18"/>
        <v>51.4</v>
      </c>
    </row>
    <row r="107" spans="1:57" ht="15.75" customHeight="1" x14ac:dyDescent="0.25">
      <c r="A107" s="1" t="s">
        <v>180</v>
      </c>
      <c r="B107" s="3" t="s">
        <v>161</v>
      </c>
      <c r="C107" s="4" t="s">
        <v>85</v>
      </c>
      <c r="D107" s="4">
        <v>24</v>
      </c>
      <c r="E107" s="4">
        <v>573</v>
      </c>
      <c r="F107" s="4">
        <v>24</v>
      </c>
      <c r="G107" s="4">
        <v>573</v>
      </c>
      <c r="H107" s="4">
        <v>0.52700000000000002</v>
      </c>
      <c r="I107" s="4">
        <v>9.4</v>
      </c>
      <c r="J107" s="4"/>
      <c r="K107" s="4">
        <v>0.751</v>
      </c>
      <c r="L107" s="4">
        <v>0.40500000000000003</v>
      </c>
      <c r="M107" s="4">
        <v>0.26800000000000002</v>
      </c>
      <c r="N107" s="4">
        <v>4.3999999999999997E-2</v>
      </c>
      <c r="O107" s="4">
        <v>3.4000000000000002E-2</v>
      </c>
      <c r="P107" s="4">
        <v>0.249</v>
      </c>
      <c r="Q107" s="4"/>
      <c r="R107" s="4">
        <v>0.57099999999999995</v>
      </c>
      <c r="S107" s="4">
        <v>0.63900000000000001</v>
      </c>
      <c r="T107" s="4">
        <v>0.47299999999999998</v>
      </c>
      <c r="U107" s="4">
        <v>0.55600000000000005</v>
      </c>
      <c r="V107" s="4">
        <v>0.57099999999999995</v>
      </c>
      <c r="W107" s="4">
        <v>0.39200000000000002</v>
      </c>
      <c r="X107" s="4"/>
      <c r="Y107" s="4">
        <v>0.67</v>
      </c>
      <c r="Z107" s="4">
        <v>0.95</v>
      </c>
      <c r="AA107" s="4"/>
      <c r="AB107" s="4">
        <v>0.33300000000000002</v>
      </c>
      <c r="AC107" s="4">
        <v>0.35299999999999998</v>
      </c>
      <c r="AD107" s="10">
        <f t="shared" si="12"/>
        <v>0.73971999999999993</v>
      </c>
      <c r="AE107" s="9"/>
      <c r="AF107" s="9"/>
      <c r="AG107" s="12">
        <f t="shared" si="13"/>
        <v>20.7</v>
      </c>
      <c r="AH107" s="12">
        <f t="shared" si="13"/>
        <v>43.7</v>
      </c>
      <c r="AI107" s="12">
        <f t="shared" si="13"/>
        <v>88.5</v>
      </c>
      <c r="AJ107" s="12">
        <f t="shared" si="13"/>
        <v>16.900000000000002</v>
      </c>
      <c r="AK107" s="12"/>
      <c r="AL107" s="12">
        <f t="shared" si="21"/>
        <v>78.100000000000009</v>
      </c>
      <c r="AM107" s="12">
        <f t="shared" si="21"/>
        <v>90.100000000000009</v>
      </c>
      <c r="AN107" s="12">
        <f t="shared" si="21"/>
        <v>54.6</v>
      </c>
      <c r="AO107" s="12">
        <f t="shared" si="19"/>
        <v>33.800000000000004</v>
      </c>
      <c r="AP107" s="12">
        <f t="shared" si="19"/>
        <v>44.2</v>
      </c>
      <c r="AQ107" s="12">
        <f t="shared" si="19"/>
        <v>21.8</v>
      </c>
      <c r="AR107" s="12"/>
      <c r="AS107" s="12">
        <f t="shared" si="22"/>
        <v>81.899999999999991</v>
      </c>
      <c r="AT107" s="12">
        <f t="shared" si="22"/>
        <v>37.1</v>
      </c>
      <c r="AU107" s="12">
        <f t="shared" si="22"/>
        <v>62.8</v>
      </c>
      <c r="AV107" s="12">
        <f t="shared" si="20"/>
        <v>89.600000000000009</v>
      </c>
      <c r="AW107" s="12">
        <f t="shared" si="20"/>
        <v>91.8</v>
      </c>
      <c r="AX107" s="12">
        <f t="shared" si="20"/>
        <v>79.7</v>
      </c>
      <c r="AY107" s="12"/>
      <c r="AZ107" s="12">
        <f t="shared" si="14"/>
        <v>41</v>
      </c>
      <c r="BA107" s="12">
        <f t="shared" si="15"/>
        <v>46.5</v>
      </c>
      <c r="BB107" s="12"/>
      <c r="BC107" s="12">
        <f t="shared" si="16"/>
        <v>81.399999999999991</v>
      </c>
      <c r="BD107" s="12">
        <f t="shared" si="17"/>
        <v>48.6</v>
      </c>
      <c r="BE107" s="12">
        <f t="shared" si="18"/>
        <v>47.599999999999994</v>
      </c>
    </row>
    <row r="108" spans="1:57" ht="15.75" customHeight="1" x14ac:dyDescent="0.25">
      <c r="A108" s="1" t="s">
        <v>134</v>
      </c>
      <c r="B108" s="3" t="s">
        <v>99</v>
      </c>
      <c r="C108" s="4" t="s">
        <v>85</v>
      </c>
      <c r="D108" s="4">
        <v>32</v>
      </c>
      <c r="E108" s="4">
        <v>572</v>
      </c>
      <c r="F108" s="4">
        <v>32</v>
      </c>
      <c r="G108" s="4">
        <v>572</v>
      </c>
      <c r="H108" s="4">
        <v>0.45700000000000002</v>
      </c>
      <c r="I108" s="4">
        <v>13.5</v>
      </c>
      <c r="J108" s="4"/>
      <c r="K108" s="4">
        <v>0.57899999999999996</v>
      </c>
      <c r="L108" s="4">
        <v>0.29299999999999998</v>
      </c>
      <c r="M108" s="4">
        <v>0.21299999999999999</v>
      </c>
      <c r="N108" s="4">
        <v>4.9000000000000002E-2</v>
      </c>
      <c r="O108" s="4">
        <v>2.4E-2</v>
      </c>
      <c r="P108" s="4">
        <v>0.42099999999999999</v>
      </c>
      <c r="Q108" s="4"/>
      <c r="R108" s="4">
        <v>0.6</v>
      </c>
      <c r="S108" s="4">
        <v>0.72899999999999998</v>
      </c>
      <c r="T108" s="4">
        <v>0.45700000000000002</v>
      </c>
      <c r="U108" s="4">
        <v>0.625</v>
      </c>
      <c r="V108" s="4">
        <v>0.25</v>
      </c>
      <c r="W108" s="4">
        <v>0.26100000000000001</v>
      </c>
      <c r="X108" s="4"/>
      <c r="Y108" s="4">
        <v>0.89500000000000002</v>
      </c>
      <c r="Z108" s="4">
        <v>1</v>
      </c>
      <c r="AA108" s="4"/>
      <c r="AB108" s="4">
        <v>0.13</v>
      </c>
      <c r="AC108" s="4">
        <v>0.111</v>
      </c>
      <c r="AD108" s="10">
        <f t="shared" si="12"/>
        <v>0.93920500000000007</v>
      </c>
      <c r="AE108" s="9"/>
      <c r="AF108" s="9"/>
      <c r="AG108" s="12">
        <f t="shared" si="13"/>
        <v>35.5</v>
      </c>
      <c r="AH108" s="12">
        <f t="shared" si="13"/>
        <v>43.1</v>
      </c>
      <c r="AI108" s="12">
        <f t="shared" si="13"/>
        <v>61.7</v>
      </c>
      <c r="AJ108" s="12">
        <f t="shared" si="13"/>
        <v>45.9</v>
      </c>
      <c r="AK108" s="12"/>
      <c r="AL108" s="12">
        <f t="shared" si="21"/>
        <v>45.9</v>
      </c>
      <c r="AM108" s="12">
        <f t="shared" si="21"/>
        <v>77</v>
      </c>
      <c r="AN108" s="12">
        <f t="shared" si="21"/>
        <v>37.1</v>
      </c>
      <c r="AO108" s="12">
        <f t="shared" si="19"/>
        <v>37.1</v>
      </c>
      <c r="AP108" s="12">
        <f t="shared" si="19"/>
        <v>30.599999999999998</v>
      </c>
      <c r="AQ108" s="12">
        <f t="shared" si="19"/>
        <v>53.5</v>
      </c>
      <c r="AR108" s="12"/>
      <c r="AS108" s="12">
        <f t="shared" si="22"/>
        <v>90.7</v>
      </c>
      <c r="AT108" s="12">
        <f t="shared" si="22"/>
        <v>72.099999999999994</v>
      </c>
      <c r="AU108" s="12">
        <f t="shared" si="22"/>
        <v>54.6</v>
      </c>
      <c r="AV108" s="12">
        <f t="shared" si="20"/>
        <v>93.899999999999991</v>
      </c>
      <c r="AW108" s="12">
        <f t="shared" si="20"/>
        <v>32.700000000000003</v>
      </c>
      <c r="AX108" s="12">
        <f t="shared" si="20"/>
        <v>21.8</v>
      </c>
      <c r="AY108" s="12"/>
      <c r="AZ108" s="12">
        <f t="shared" si="14"/>
        <v>2.2000000000000028</v>
      </c>
      <c r="BA108" s="12">
        <f t="shared" si="15"/>
        <v>33.899999999999991</v>
      </c>
      <c r="BB108" s="12"/>
      <c r="BC108" s="12">
        <f t="shared" si="16"/>
        <v>24</v>
      </c>
      <c r="BD108" s="12">
        <f t="shared" si="17"/>
        <v>12</v>
      </c>
      <c r="BE108" s="12">
        <f t="shared" si="18"/>
        <v>2.2000000000000028</v>
      </c>
    </row>
    <row r="109" spans="1:57" ht="15.75" customHeight="1" x14ac:dyDescent="0.25">
      <c r="A109" s="1" t="s">
        <v>243</v>
      </c>
      <c r="B109" s="4" t="s">
        <v>128</v>
      </c>
      <c r="C109" s="4" t="s">
        <v>8</v>
      </c>
      <c r="D109" s="4">
        <v>43</v>
      </c>
      <c r="E109" s="4">
        <v>560</v>
      </c>
      <c r="F109" s="4">
        <v>43</v>
      </c>
      <c r="G109" s="4">
        <v>560</v>
      </c>
      <c r="H109" s="4">
        <v>0.42599999999999999</v>
      </c>
      <c r="I109" s="4">
        <v>12.3</v>
      </c>
      <c r="J109" s="4"/>
      <c r="K109" s="4">
        <v>0.61899999999999999</v>
      </c>
      <c r="L109" s="4">
        <v>0.28399999999999997</v>
      </c>
      <c r="M109" s="4">
        <v>0.25600000000000001</v>
      </c>
      <c r="N109" s="4">
        <v>7.3999999999999996E-2</v>
      </c>
      <c r="O109" s="4">
        <v>6.0000000000000001E-3</v>
      </c>
      <c r="P109" s="4">
        <v>0.38100000000000001</v>
      </c>
      <c r="Q109" s="4"/>
      <c r="R109" s="4">
        <v>0.48599999999999999</v>
      </c>
      <c r="S109" s="4">
        <v>0.6</v>
      </c>
      <c r="T109" s="4">
        <v>0.378</v>
      </c>
      <c r="U109" s="4">
        <v>0.46200000000000002</v>
      </c>
      <c r="V109" s="4">
        <v>0</v>
      </c>
      <c r="W109" s="4">
        <v>0.32800000000000001</v>
      </c>
      <c r="X109" s="4"/>
      <c r="Y109" s="4">
        <v>0.54700000000000004</v>
      </c>
      <c r="Z109" s="4">
        <v>1</v>
      </c>
      <c r="AA109" s="4"/>
      <c r="AB109" s="4">
        <v>0.19400000000000001</v>
      </c>
      <c r="AC109" s="4">
        <v>0.308</v>
      </c>
      <c r="AD109" s="10">
        <f t="shared" si="12"/>
        <v>0.71959300000000004</v>
      </c>
      <c r="AE109" s="9"/>
      <c r="AF109" s="9"/>
      <c r="AG109" s="12">
        <f t="shared" si="13"/>
        <v>96.7</v>
      </c>
      <c r="AH109" s="12">
        <f t="shared" si="13"/>
        <v>42.6</v>
      </c>
      <c r="AI109" s="12">
        <f t="shared" si="13"/>
        <v>42</v>
      </c>
      <c r="AJ109" s="12">
        <f t="shared" si="13"/>
        <v>33.800000000000004</v>
      </c>
      <c r="AK109" s="12"/>
      <c r="AL109" s="12">
        <f t="shared" si="21"/>
        <v>57.3</v>
      </c>
      <c r="AM109" s="12">
        <f t="shared" si="21"/>
        <v>76.5</v>
      </c>
      <c r="AN109" s="12">
        <f t="shared" si="21"/>
        <v>51.300000000000004</v>
      </c>
      <c r="AO109" s="12">
        <f t="shared" si="19"/>
        <v>55.1</v>
      </c>
      <c r="AP109" s="12">
        <f t="shared" si="19"/>
        <v>9.1999999999999993</v>
      </c>
      <c r="AQ109" s="12">
        <f t="shared" si="19"/>
        <v>42.6</v>
      </c>
      <c r="AR109" s="12"/>
      <c r="AS109" s="12">
        <f t="shared" si="22"/>
        <v>37.700000000000003</v>
      </c>
      <c r="AT109" s="12">
        <f t="shared" si="22"/>
        <v>24.5</v>
      </c>
      <c r="AU109" s="12">
        <f t="shared" si="22"/>
        <v>22.400000000000002</v>
      </c>
      <c r="AV109" s="12">
        <f t="shared" si="20"/>
        <v>73.7</v>
      </c>
      <c r="AW109" s="12">
        <f t="shared" si="20"/>
        <v>0</v>
      </c>
      <c r="AX109" s="12">
        <f t="shared" si="20"/>
        <v>51.300000000000004</v>
      </c>
      <c r="AY109" s="12"/>
      <c r="AZ109" s="12">
        <f t="shared" si="14"/>
        <v>60.699999999999996</v>
      </c>
      <c r="BA109" s="12">
        <f t="shared" si="15"/>
        <v>33.899999999999991</v>
      </c>
      <c r="BB109" s="12"/>
      <c r="BC109" s="12">
        <f t="shared" si="16"/>
        <v>54</v>
      </c>
      <c r="BD109" s="12">
        <f t="shared" si="17"/>
        <v>40.400000000000006</v>
      </c>
      <c r="BE109" s="12">
        <f t="shared" si="18"/>
        <v>54.1</v>
      </c>
    </row>
    <row r="110" spans="1:57" ht="15.75" customHeight="1" x14ac:dyDescent="0.25">
      <c r="A110" s="1" t="s">
        <v>228</v>
      </c>
      <c r="B110" s="3" t="s">
        <v>161</v>
      </c>
      <c r="C110" s="4" t="s">
        <v>8</v>
      </c>
      <c r="D110" s="4">
        <v>41</v>
      </c>
      <c r="E110" s="4">
        <v>559</v>
      </c>
      <c r="F110" s="4">
        <v>41</v>
      </c>
      <c r="G110" s="4">
        <v>559</v>
      </c>
      <c r="H110" s="4">
        <v>0.34200000000000003</v>
      </c>
      <c r="I110" s="4">
        <v>20.399999999999999</v>
      </c>
      <c r="J110" s="4"/>
      <c r="K110" s="4">
        <v>0.27300000000000002</v>
      </c>
      <c r="L110" s="4">
        <v>7.4999999999999997E-2</v>
      </c>
      <c r="M110" s="4">
        <v>0.08</v>
      </c>
      <c r="N110" s="4">
        <v>7.0000000000000007E-2</v>
      </c>
      <c r="O110" s="4">
        <v>4.8000000000000001E-2</v>
      </c>
      <c r="P110" s="4">
        <v>0.72699999999999998</v>
      </c>
      <c r="Q110" s="4"/>
      <c r="R110" s="4">
        <v>0.39200000000000002</v>
      </c>
      <c r="S110" s="4">
        <v>0.57099999999999995</v>
      </c>
      <c r="T110" s="4">
        <v>0.2</v>
      </c>
      <c r="U110" s="4">
        <v>0.23100000000000001</v>
      </c>
      <c r="V110" s="4">
        <v>0.66700000000000004</v>
      </c>
      <c r="W110" s="4">
        <v>0.32400000000000001</v>
      </c>
      <c r="X110" s="4"/>
      <c r="Y110" s="4">
        <v>0.8</v>
      </c>
      <c r="Z110" s="4">
        <v>0.93200000000000005</v>
      </c>
      <c r="AA110" s="4"/>
      <c r="AB110" s="4">
        <v>0.22800000000000001</v>
      </c>
      <c r="AC110" s="4">
        <v>0.38700000000000001</v>
      </c>
      <c r="AD110" s="10">
        <f t="shared" si="12"/>
        <v>0.89596400000000009</v>
      </c>
      <c r="AE110" s="9"/>
      <c r="AF110" s="9"/>
      <c r="AG110" s="12">
        <f t="shared" si="13"/>
        <v>69.3</v>
      </c>
      <c r="AH110" s="12">
        <f t="shared" si="13"/>
        <v>42</v>
      </c>
      <c r="AI110" s="12">
        <f t="shared" si="13"/>
        <v>5.4</v>
      </c>
      <c r="AJ110" s="12">
        <f t="shared" si="13"/>
        <v>95</v>
      </c>
      <c r="AK110" s="12"/>
      <c r="AL110" s="12">
        <f t="shared" si="21"/>
        <v>3.8</v>
      </c>
      <c r="AM110" s="12">
        <f t="shared" si="21"/>
        <v>9.1999999999999993</v>
      </c>
      <c r="AN110" s="12">
        <f t="shared" si="21"/>
        <v>2.1</v>
      </c>
      <c r="AO110" s="12">
        <f t="shared" si="19"/>
        <v>52.400000000000006</v>
      </c>
      <c r="AP110" s="12">
        <f t="shared" si="19"/>
        <v>59</v>
      </c>
      <c r="AQ110" s="12">
        <f t="shared" si="19"/>
        <v>95.6</v>
      </c>
      <c r="AR110" s="12"/>
      <c r="AS110" s="12">
        <f t="shared" si="22"/>
        <v>9.1999999999999993</v>
      </c>
      <c r="AT110" s="12">
        <f t="shared" si="22"/>
        <v>15.8</v>
      </c>
      <c r="AU110" s="12">
        <f t="shared" si="22"/>
        <v>1.6</v>
      </c>
      <c r="AV110" s="12">
        <f t="shared" si="20"/>
        <v>27.3</v>
      </c>
      <c r="AW110" s="12">
        <f t="shared" si="20"/>
        <v>95</v>
      </c>
      <c r="AX110" s="12">
        <f t="shared" si="20"/>
        <v>45.9</v>
      </c>
      <c r="AY110" s="12"/>
      <c r="AZ110" s="12">
        <f t="shared" si="14"/>
        <v>14.799999999999997</v>
      </c>
      <c r="BA110" s="12">
        <f t="shared" si="15"/>
        <v>53.599999999999994</v>
      </c>
      <c r="BB110" s="12"/>
      <c r="BC110" s="12">
        <f t="shared" si="16"/>
        <v>64.400000000000006</v>
      </c>
      <c r="BD110" s="12">
        <f t="shared" si="17"/>
        <v>59.5</v>
      </c>
      <c r="BE110" s="12">
        <f t="shared" si="18"/>
        <v>9.8999999999999915</v>
      </c>
    </row>
    <row r="111" spans="1:57" ht="15.75" customHeight="1" x14ac:dyDescent="0.25">
      <c r="A111" s="1" t="s">
        <v>225</v>
      </c>
      <c r="B111" s="3" t="s">
        <v>93</v>
      </c>
      <c r="C111" s="4" t="s">
        <v>85</v>
      </c>
      <c r="D111" s="4">
        <v>34</v>
      </c>
      <c r="E111" s="4">
        <v>557</v>
      </c>
      <c r="F111" s="4">
        <v>34</v>
      </c>
      <c r="G111" s="4">
        <v>557</v>
      </c>
      <c r="H111" s="4">
        <v>0.372</v>
      </c>
      <c r="I111" s="4">
        <v>15.6</v>
      </c>
      <c r="J111" s="4"/>
      <c r="K111" s="4">
        <v>0.504</v>
      </c>
      <c r="L111" s="4">
        <v>0.14599999999999999</v>
      </c>
      <c r="M111" s="4">
        <v>0.248</v>
      </c>
      <c r="N111" s="4">
        <v>0.10199999999999999</v>
      </c>
      <c r="O111" s="4">
        <v>7.0000000000000001E-3</v>
      </c>
      <c r="P111" s="4">
        <v>0.496</v>
      </c>
      <c r="Q111" s="4"/>
      <c r="R111" s="4">
        <v>0.46400000000000002</v>
      </c>
      <c r="S111" s="4">
        <v>0.55000000000000004</v>
      </c>
      <c r="T111" s="4">
        <v>0.5</v>
      </c>
      <c r="U111" s="4">
        <v>0.28599999999999998</v>
      </c>
      <c r="V111" s="4">
        <v>0</v>
      </c>
      <c r="W111" s="4">
        <v>0.27900000000000003</v>
      </c>
      <c r="X111" s="4"/>
      <c r="Y111" s="4">
        <v>0.438</v>
      </c>
      <c r="Z111" s="4">
        <v>1</v>
      </c>
      <c r="AA111" s="4"/>
      <c r="AB111" s="4">
        <v>0.13200000000000001</v>
      </c>
      <c r="AC111" s="4">
        <v>0.44400000000000001</v>
      </c>
      <c r="AD111" s="10">
        <f t="shared" si="12"/>
        <v>0.71675200000000006</v>
      </c>
      <c r="AE111" s="9"/>
      <c r="AF111" s="9"/>
      <c r="AG111" s="12">
        <f t="shared" si="13"/>
        <v>39.300000000000004</v>
      </c>
      <c r="AH111" s="12">
        <f t="shared" si="13"/>
        <v>41.5</v>
      </c>
      <c r="AI111" s="12">
        <f t="shared" si="13"/>
        <v>16.3</v>
      </c>
      <c r="AJ111" s="12">
        <f t="shared" si="13"/>
        <v>61.7</v>
      </c>
      <c r="AK111" s="12"/>
      <c r="AL111" s="12">
        <f t="shared" si="21"/>
        <v>31.1</v>
      </c>
      <c r="AM111" s="12">
        <f t="shared" si="21"/>
        <v>33.300000000000004</v>
      </c>
      <c r="AN111" s="12">
        <f t="shared" si="21"/>
        <v>49.1</v>
      </c>
      <c r="AO111" s="12">
        <f t="shared" si="19"/>
        <v>72.099999999999994</v>
      </c>
      <c r="AP111" s="12">
        <f t="shared" si="19"/>
        <v>10.299999999999999</v>
      </c>
      <c r="AQ111" s="12">
        <f t="shared" si="19"/>
        <v>68.300000000000011</v>
      </c>
      <c r="AR111" s="12"/>
      <c r="AS111" s="12">
        <f t="shared" si="22"/>
        <v>24.5</v>
      </c>
      <c r="AT111" s="12">
        <f t="shared" si="22"/>
        <v>13.100000000000001</v>
      </c>
      <c r="AU111" s="12">
        <f t="shared" si="22"/>
        <v>74.3</v>
      </c>
      <c r="AV111" s="12">
        <f t="shared" si="20"/>
        <v>33.300000000000004</v>
      </c>
      <c r="AW111" s="12">
        <f t="shared" si="20"/>
        <v>0</v>
      </c>
      <c r="AX111" s="12">
        <f t="shared" si="20"/>
        <v>27.800000000000004</v>
      </c>
      <c r="AY111" s="12"/>
      <c r="AZ111" s="12">
        <f t="shared" si="14"/>
        <v>78.7</v>
      </c>
      <c r="BA111" s="12">
        <f t="shared" si="15"/>
        <v>33.899999999999991</v>
      </c>
      <c r="BB111" s="12"/>
      <c r="BC111" s="12">
        <f t="shared" si="16"/>
        <v>25.1</v>
      </c>
      <c r="BD111" s="12">
        <f t="shared" si="17"/>
        <v>72.599999999999994</v>
      </c>
      <c r="BE111" s="12">
        <f t="shared" si="18"/>
        <v>55.199999999999996</v>
      </c>
    </row>
    <row r="112" spans="1:57" ht="15.75" customHeight="1" x14ac:dyDescent="0.25">
      <c r="A112" s="1" t="s">
        <v>147</v>
      </c>
      <c r="B112" s="3" t="s">
        <v>131</v>
      </c>
      <c r="C112" s="4" t="s">
        <v>8</v>
      </c>
      <c r="D112" s="4">
        <v>19</v>
      </c>
      <c r="E112" s="4">
        <v>553</v>
      </c>
      <c r="F112" s="4">
        <v>19</v>
      </c>
      <c r="G112" s="4">
        <v>553</v>
      </c>
      <c r="H112" s="4">
        <v>0.39200000000000002</v>
      </c>
      <c r="I112" s="4">
        <v>12.7</v>
      </c>
      <c r="J112" s="4"/>
      <c r="K112" s="4">
        <v>0.69399999999999995</v>
      </c>
      <c r="L112" s="4">
        <v>0.20699999999999999</v>
      </c>
      <c r="M112" s="4">
        <v>0.23899999999999999</v>
      </c>
      <c r="N112" s="4">
        <v>0.16700000000000001</v>
      </c>
      <c r="O112" s="4">
        <v>8.1000000000000003E-2</v>
      </c>
      <c r="P112" s="4">
        <v>0.30599999999999999</v>
      </c>
      <c r="Q112" s="4"/>
      <c r="R112" s="4">
        <v>0.39600000000000002</v>
      </c>
      <c r="S112" s="4">
        <v>0.41299999999999998</v>
      </c>
      <c r="T112" s="4">
        <v>0.39600000000000002</v>
      </c>
      <c r="U112" s="4">
        <v>0.378</v>
      </c>
      <c r="V112" s="4">
        <v>0.38900000000000001</v>
      </c>
      <c r="W112" s="4">
        <v>0.38200000000000001</v>
      </c>
      <c r="X112" s="4"/>
      <c r="Y112" s="4">
        <v>0.41</v>
      </c>
      <c r="Z112" s="4">
        <v>0.80800000000000005</v>
      </c>
      <c r="AA112" s="4"/>
      <c r="AB112" s="4">
        <v>0.14699999999999999</v>
      </c>
      <c r="AC112" s="4">
        <v>0.4</v>
      </c>
      <c r="AD112" s="10">
        <f t="shared" si="12"/>
        <v>0.53178799999999993</v>
      </c>
      <c r="AE112" s="9"/>
      <c r="AF112" s="9"/>
      <c r="AG112" s="12">
        <f t="shared" si="13"/>
        <v>14.2</v>
      </c>
      <c r="AH112" s="12">
        <f t="shared" si="13"/>
        <v>40.9</v>
      </c>
      <c r="AI112" s="12">
        <f t="shared" si="13"/>
        <v>23.400000000000002</v>
      </c>
      <c r="AJ112" s="12">
        <f t="shared" si="13"/>
        <v>38.200000000000003</v>
      </c>
      <c r="AK112" s="12"/>
      <c r="AL112" s="12">
        <f t="shared" si="21"/>
        <v>68.8</v>
      </c>
      <c r="AM112" s="12">
        <f t="shared" si="21"/>
        <v>55.1</v>
      </c>
      <c r="AN112" s="12">
        <f t="shared" si="21"/>
        <v>46.400000000000006</v>
      </c>
      <c r="AO112" s="12">
        <f t="shared" si="19"/>
        <v>91.2</v>
      </c>
      <c r="AP112" s="12">
        <f t="shared" si="19"/>
        <v>80.800000000000011</v>
      </c>
      <c r="AQ112" s="12">
        <f t="shared" si="19"/>
        <v>31.1</v>
      </c>
      <c r="AR112" s="12"/>
      <c r="AS112" s="12">
        <f t="shared" si="22"/>
        <v>10.299999999999999</v>
      </c>
      <c r="AT112" s="12">
        <f t="shared" si="22"/>
        <v>4.9000000000000004</v>
      </c>
      <c r="AU112" s="12">
        <f t="shared" si="22"/>
        <v>32.200000000000003</v>
      </c>
      <c r="AV112" s="12">
        <f t="shared" si="20"/>
        <v>55.7</v>
      </c>
      <c r="AW112" s="12">
        <f t="shared" si="20"/>
        <v>61.7</v>
      </c>
      <c r="AX112" s="12">
        <f t="shared" si="20"/>
        <v>75.900000000000006</v>
      </c>
      <c r="AY112" s="12"/>
      <c r="AZ112" s="12">
        <f t="shared" si="14"/>
        <v>82</v>
      </c>
      <c r="BA112" s="12">
        <f t="shared" si="15"/>
        <v>75.5</v>
      </c>
      <c r="BB112" s="12"/>
      <c r="BC112" s="12">
        <f t="shared" si="16"/>
        <v>31.1</v>
      </c>
      <c r="BD112" s="12">
        <f t="shared" si="17"/>
        <v>63.3</v>
      </c>
      <c r="BE112" s="12">
        <f t="shared" si="18"/>
        <v>86.9</v>
      </c>
    </row>
    <row r="113" spans="1:57" ht="15.75" customHeight="1" x14ac:dyDescent="0.25">
      <c r="A113" s="1" t="s">
        <v>262</v>
      </c>
      <c r="B113" s="3" t="s">
        <v>131</v>
      </c>
      <c r="C113" s="4" t="s">
        <v>8</v>
      </c>
      <c r="D113" s="4">
        <v>25</v>
      </c>
      <c r="E113" s="4">
        <v>552</v>
      </c>
      <c r="F113" s="4">
        <v>25</v>
      </c>
      <c r="G113" s="4">
        <v>552</v>
      </c>
      <c r="H113" s="4">
        <v>0.442</v>
      </c>
      <c r="I113" s="4">
        <v>13.4</v>
      </c>
      <c r="J113" s="4"/>
      <c r="K113" s="4">
        <v>0.68</v>
      </c>
      <c r="L113" s="4">
        <v>0.27100000000000002</v>
      </c>
      <c r="M113" s="4">
        <v>0.16600000000000001</v>
      </c>
      <c r="N113" s="4">
        <v>0.16</v>
      </c>
      <c r="O113" s="4">
        <v>8.3000000000000004E-2</v>
      </c>
      <c r="P113" s="4">
        <v>0.32</v>
      </c>
      <c r="Q113" s="4"/>
      <c r="R113" s="4">
        <v>0.47199999999999998</v>
      </c>
      <c r="S113" s="4">
        <v>0.57099999999999995</v>
      </c>
      <c r="T113" s="4">
        <v>0.36699999999999999</v>
      </c>
      <c r="U113" s="4">
        <v>0.51700000000000002</v>
      </c>
      <c r="V113" s="4">
        <v>0.26700000000000002</v>
      </c>
      <c r="W113" s="4">
        <v>0.379</v>
      </c>
      <c r="X113" s="4"/>
      <c r="Y113" s="4">
        <v>0.43099999999999999</v>
      </c>
      <c r="Z113" s="4">
        <v>0.77300000000000002</v>
      </c>
      <c r="AA113" s="4"/>
      <c r="AB113" s="4">
        <v>0.17199999999999999</v>
      </c>
      <c r="AC113" s="4">
        <v>0.2</v>
      </c>
      <c r="AD113" s="10">
        <f t="shared" si="12"/>
        <v>0.54044000000000003</v>
      </c>
      <c r="AE113" s="9"/>
      <c r="AF113" s="9"/>
      <c r="AG113" s="12">
        <f t="shared" si="13"/>
        <v>21.8</v>
      </c>
      <c r="AH113" s="12">
        <f t="shared" si="13"/>
        <v>40.400000000000006</v>
      </c>
      <c r="AI113" s="12">
        <f t="shared" si="13"/>
        <v>55.7</v>
      </c>
      <c r="AJ113" s="12">
        <f t="shared" si="13"/>
        <v>45.300000000000004</v>
      </c>
      <c r="AK113" s="12"/>
      <c r="AL113" s="12">
        <f t="shared" si="21"/>
        <v>67.7</v>
      </c>
      <c r="AM113" s="12">
        <f t="shared" si="21"/>
        <v>72.599999999999994</v>
      </c>
      <c r="AN113" s="12">
        <f t="shared" si="21"/>
        <v>22.400000000000002</v>
      </c>
      <c r="AO113" s="12">
        <f t="shared" si="19"/>
        <v>90.7</v>
      </c>
      <c r="AP113" s="12">
        <f t="shared" si="19"/>
        <v>83</v>
      </c>
      <c r="AQ113" s="12">
        <f t="shared" si="19"/>
        <v>32.200000000000003</v>
      </c>
      <c r="AR113" s="12"/>
      <c r="AS113" s="12">
        <f t="shared" si="22"/>
        <v>28.9</v>
      </c>
      <c r="AT113" s="12">
        <f t="shared" si="22"/>
        <v>15.8</v>
      </c>
      <c r="AU113" s="12">
        <f t="shared" si="22"/>
        <v>21.8</v>
      </c>
      <c r="AV113" s="12">
        <f t="shared" si="20"/>
        <v>87.9</v>
      </c>
      <c r="AW113" s="12">
        <f t="shared" si="20"/>
        <v>42</v>
      </c>
      <c r="AX113" s="12">
        <f t="shared" si="20"/>
        <v>74.3</v>
      </c>
      <c r="AY113" s="12"/>
      <c r="AZ113" s="12">
        <f t="shared" si="14"/>
        <v>79.3</v>
      </c>
      <c r="BA113" s="12">
        <f t="shared" si="15"/>
        <v>78.7</v>
      </c>
      <c r="BB113" s="12"/>
      <c r="BC113" s="12">
        <f t="shared" si="16"/>
        <v>45.9</v>
      </c>
      <c r="BD113" s="12">
        <f t="shared" si="17"/>
        <v>16.900000000000002</v>
      </c>
      <c r="BE113" s="12">
        <f t="shared" si="18"/>
        <v>84.7</v>
      </c>
    </row>
    <row r="114" spans="1:57" ht="15.75" customHeight="1" x14ac:dyDescent="0.25">
      <c r="A114" s="1" t="s">
        <v>136</v>
      </c>
      <c r="B114" s="3" t="s">
        <v>240</v>
      </c>
      <c r="C114" s="4" t="s">
        <v>8</v>
      </c>
      <c r="D114" s="4">
        <v>17</v>
      </c>
      <c r="E114" s="4">
        <v>519</v>
      </c>
      <c r="F114" s="4">
        <v>17</v>
      </c>
      <c r="G114" s="4">
        <v>519</v>
      </c>
      <c r="H114" s="4">
        <v>0.51900000000000002</v>
      </c>
      <c r="I114" s="4">
        <v>14.7</v>
      </c>
      <c r="J114" s="4"/>
      <c r="K114" s="4">
        <v>0.56399999999999995</v>
      </c>
      <c r="L114" s="4">
        <v>0.16500000000000001</v>
      </c>
      <c r="M114" s="4">
        <v>0.26700000000000002</v>
      </c>
      <c r="N114" s="4">
        <v>9.0999999999999998E-2</v>
      </c>
      <c r="O114" s="4">
        <v>4.1000000000000002E-2</v>
      </c>
      <c r="P114" s="4">
        <v>0.436</v>
      </c>
      <c r="Q114" s="4"/>
      <c r="R114" s="4">
        <v>0.628</v>
      </c>
      <c r="S114" s="4">
        <v>0.82499999999999996</v>
      </c>
      <c r="T114" s="4">
        <v>0.49199999999999999</v>
      </c>
      <c r="U114" s="4">
        <v>0.63600000000000001</v>
      </c>
      <c r="V114" s="4">
        <v>0.7</v>
      </c>
      <c r="W114" s="4">
        <v>0.377</v>
      </c>
      <c r="X114" s="4"/>
      <c r="Y114" s="4">
        <v>0.38400000000000001</v>
      </c>
      <c r="Z114" s="4">
        <v>0.45</v>
      </c>
      <c r="AA114" s="4"/>
      <c r="AB114" s="4">
        <v>8.5000000000000006E-2</v>
      </c>
      <c r="AC114" s="4">
        <v>0.44400000000000001</v>
      </c>
      <c r="AD114" s="10">
        <f t="shared" si="12"/>
        <v>0.41277600000000003</v>
      </c>
      <c r="AE114" s="9"/>
      <c r="AF114" s="9"/>
      <c r="AG114" s="12">
        <f t="shared" si="13"/>
        <v>9.8000000000000007</v>
      </c>
      <c r="AH114" s="12">
        <f t="shared" si="13"/>
        <v>39.800000000000004</v>
      </c>
      <c r="AI114" s="12">
        <f t="shared" si="13"/>
        <v>84.6</v>
      </c>
      <c r="AJ114" s="12">
        <f t="shared" si="13"/>
        <v>55.7</v>
      </c>
      <c r="AK114" s="12"/>
      <c r="AL114" s="12">
        <f t="shared" si="21"/>
        <v>42.6</v>
      </c>
      <c r="AM114" s="12">
        <f t="shared" si="21"/>
        <v>40.400000000000006</v>
      </c>
      <c r="AN114" s="12">
        <f t="shared" si="21"/>
        <v>54</v>
      </c>
      <c r="AO114" s="12">
        <f t="shared" si="19"/>
        <v>65.5</v>
      </c>
      <c r="AP114" s="12">
        <f t="shared" si="19"/>
        <v>54.6</v>
      </c>
      <c r="AQ114" s="12">
        <f t="shared" si="19"/>
        <v>56.8</v>
      </c>
      <c r="AR114" s="12"/>
      <c r="AS114" s="12">
        <f t="shared" si="22"/>
        <v>95.6</v>
      </c>
      <c r="AT114" s="12">
        <f t="shared" si="22"/>
        <v>93.899999999999991</v>
      </c>
      <c r="AU114" s="12">
        <f t="shared" si="22"/>
        <v>70.399999999999991</v>
      </c>
      <c r="AV114" s="12">
        <f t="shared" si="20"/>
        <v>94.5</v>
      </c>
      <c r="AW114" s="12">
        <f t="shared" si="20"/>
        <v>97.2</v>
      </c>
      <c r="AX114" s="12">
        <f t="shared" si="20"/>
        <v>73.2</v>
      </c>
      <c r="AY114" s="12"/>
      <c r="AZ114" s="12">
        <f t="shared" si="14"/>
        <v>83.7</v>
      </c>
      <c r="BA114" s="12">
        <f t="shared" si="15"/>
        <v>94</v>
      </c>
      <c r="BB114" s="12"/>
      <c r="BC114" s="12">
        <f t="shared" si="16"/>
        <v>12.5</v>
      </c>
      <c r="BD114" s="12">
        <f t="shared" si="17"/>
        <v>72.599999999999994</v>
      </c>
      <c r="BE114" s="12">
        <f t="shared" si="18"/>
        <v>94</v>
      </c>
    </row>
    <row r="115" spans="1:57" ht="15.75" customHeight="1" x14ac:dyDescent="0.25">
      <c r="A115" s="1" t="s">
        <v>187</v>
      </c>
      <c r="B115" s="3" t="s">
        <v>117</v>
      </c>
      <c r="C115" s="4" t="s">
        <v>119</v>
      </c>
      <c r="D115" s="4">
        <v>39</v>
      </c>
      <c r="E115" s="4">
        <v>516</v>
      </c>
      <c r="F115" s="4">
        <v>39</v>
      </c>
      <c r="G115" s="4">
        <v>516</v>
      </c>
      <c r="H115" s="4">
        <v>0.56599999999999995</v>
      </c>
      <c r="I115" s="4">
        <v>3.9</v>
      </c>
      <c r="J115" s="4"/>
      <c r="K115" s="4">
        <v>1</v>
      </c>
      <c r="L115" s="4">
        <v>0.49099999999999999</v>
      </c>
      <c r="M115" s="4">
        <v>0.434</v>
      </c>
      <c r="N115" s="4">
        <v>3.7999999999999999E-2</v>
      </c>
      <c r="O115" s="4">
        <v>3.7999999999999999E-2</v>
      </c>
      <c r="P115" s="4">
        <v>0</v>
      </c>
      <c r="Q115" s="4"/>
      <c r="R115" s="4">
        <v>0.56599999999999995</v>
      </c>
      <c r="S115" s="4">
        <v>0.69199999999999995</v>
      </c>
      <c r="T115" s="4">
        <v>0.52200000000000002</v>
      </c>
      <c r="U115" s="4">
        <v>0</v>
      </c>
      <c r="V115" s="4">
        <v>0</v>
      </c>
      <c r="W115" s="4">
        <v>0</v>
      </c>
      <c r="X115" s="4"/>
      <c r="Y115" s="4">
        <v>0.96699999999999997</v>
      </c>
      <c r="Z115" s="4">
        <v>0</v>
      </c>
      <c r="AA115" s="4"/>
      <c r="AB115" s="4">
        <v>0</v>
      </c>
      <c r="AC115" s="4">
        <v>0</v>
      </c>
      <c r="AD115" s="10">
        <f t="shared" si="12"/>
        <v>0.96699999999999997</v>
      </c>
      <c r="AE115" s="9"/>
      <c r="AF115" s="9"/>
      <c r="AG115" s="12">
        <f t="shared" si="13"/>
        <v>60.6</v>
      </c>
      <c r="AH115" s="12">
        <f t="shared" si="13"/>
        <v>39.300000000000004</v>
      </c>
      <c r="AI115" s="12">
        <f t="shared" si="13"/>
        <v>95.6</v>
      </c>
      <c r="AJ115" s="12">
        <f t="shared" si="13"/>
        <v>1</v>
      </c>
      <c r="AK115" s="12"/>
      <c r="AL115" s="12">
        <f t="shared" si="21"/>
        <v>97.8</v>
      </c>
      <c r="AM115" s="12">
        <f t="shared" si="21"/>
        <v>95.6</v>
      </c>
      <c r="AN115" s="12">
        <f t="shared" si="21"/>
        <v>92.800000000000011</v>
      </c>
      <c r="AO115" s="12">
        <f t="shared" si="19"/>
        <v>30.599999999999998</v>
      </c>
      <c r="AP115" s="12">
        <f t="shared" si="19"/>
        <v>49.1</v>
      </c>
      <c r="AQ115" s="12">
        <f t="shared" si="19"/>
        <v>0</v>
      </c>
      <c r="AR115" s="12"/>
      <c r="AS115" s="12">
        <f t="shared" si="22"/>
        <v>80.800000000000011</v>
      </c>
      <c r="AT115" s="12">
        <f t="shared" si="22"/>
        <v>57.9</v>
      </c>
      <c r="AU115" s="12">
        <f t="shared" si="22"/>
        <v>81.899999999999991</v>
      </c>
      <c r="AV115" s="12">
        <f t="shared" si="20"/>
        <v>0</v>
      </c>
      <c r="AW115" s="12">
        <f t="shared" si="20"/>
        <v>0</v>
      </c>
      <c r="AX115" s="12">
        <f t="shared" si="20"/>
        <v>0</v>
      </c>
      <c r="AY115" s="12"/>
      <c r="AZ115" s="12">
        <f t="shared" si="14"/>
        <v>0</v>
      </c>
      <c r="BA115" s="12">
        <f t="shared" si="15"/>
        <v>100</v>
      </c>
      <c r="BB115" s="12"/>
      <c r="BC115" s="12">
        <f t="shared" si="16"/>
        <v>0</v>
      </c>
      <c r="BD115" s="12">
        <f t="shared" si="17"/>
        <v>0</v>
      </c>
      <c r="BE115" s="12">
        <f t="shared" si="18"/>
        <v>0</v>
      </c>
    </row>
    <row r="116" spans="1:57" ht="15.75" customHeight="1" x14ac:dyDescent="0.25">
      <c r="A116" s="1" t="s">
        <v>213</v>
      </c>
      <c r="B116" s="4" t="s">
        <v>131</v>
      </c>
      <c r="C116" s="4" t="s">
        <v>8</v>
      </c>
      <c r="D116" s="4">
        <v>38</v>
      </c>
      <c r="E116" s="4">
        <v>514</v>
      </c>
      <c r="F116" s="4">
        <v>38</v>
      </c>
      <c r="G116" s="4">
        <v>514</v>
      </c>
      <c r="H116" s="4">
        <v>0.36199999999999999</v>
      </c>
      <c r="I116" s="4">
        <v>21.7</v>
      </c>
      <c r="J116" s="4"/>
      <c r="K116" s="4">
        <v>0.27100000000000002</v>
      </c>
      <c r="L116" s="4">
        <v>5.6000000000000001E-2</v>
      </c>
      <c r="M116" s="4">
        <v>0.04</v>
      </c>
      <c r="N116" s="4">
        <v>6.8000000000000005E-2</v>
      </c>
      <c r="O116" s="4">
        <v>0.107</v>
      </c>
      <c r="P116" s="4">
        <v>0.72899999999999998</v>
      </c>
      <c r="Q116" s="4"/>
      <c r="R116" s="4">
        <v>0.45800000000000002</v>
      </c>
      <c r="S116" s="4">
        <v>0.5</v>
      </c>
      <c r="T116" s="4">
        <v>0.28599999999999998</v>
      </c>
      <c r="U116" s="4">
        <v>0.41699999999999998</v>
      </c>
      <c r="V116" s="4">
        <v>0.52600000000000002</v>
      </c>
      <c r="W116" s="4">
        <v>0.32600000000000001</v>
      </c>
      <c r="X116" s="4"/>
      <c r="Y116" s="4">
        <v>0.68200000000000005</v>
      </c>
      <c r="Z116" s="4">
        <v>0.85699999999999998</v>
      </c>
      <c r="AA116" s="4"/>
      <c r="AB116" s="4">
        <v>0.186</v>
      </c>
      <c r="AC116" s="4">
        <v>0.29199999999999998</v>
      </c>
      <c r="AD116" s="10">
        <f t="shared" si="12"/>
        <v>0.80957500000000004</v>
      </c>
      <c r="AE116" s="9"/>
      <c r="AF116" s="9"/>
      <c r="AG116" s="12">
        <f t="shared" si="13"/>
        <v>53</v>
      </c>
      <c r="AH116" s="12">
        <f t="shared" si="13"/>
        <v>38.700000000000003</v>
      </c>
      <c r="AI116" s="12">
        <f t="shared" si="13"/>
        <v>10.9</v>
      </c>
      <c r="AJ116" s="12">
        <f t="shared" si="13"/>
        <v>98.9</v>
      </c>
      <c r="AK116" s="12"/>
      <c r="AL116" s="12">
        <f t="shared" si="21"/>
        <v>3.2</v>
      </c>
      <c r="AM116" s="12">
        <f t="shared" si="21"/>
        <v>7.1</v>
      </c>
      <c r="AN116" s="12">
        <f t="shared" si="21"/>
        <v>0</v>
      </c>
      <c r="AO116" s="12">
        <f t="shared" si="19"/>
        <v>51.9</v>
      </c>
      <c r="AP116" s="12">
        <f t="shared" si="19"/>
        <v>91.2</v>
      </c>
      <c r="AQ116" s="12">
        <f t="shared" si="19"/>
        <v>96.7</v>
      </c>
      <c r="AR116" s="12"/>
      <c r="AS116" s="12">
        <f t="shared" si="22"/>
        <v>20.7</v>
      </c>
      <c r="AT116" s="12">
        <f t="shared" si="22"/>
        <v>8.1</v>
      </c>
      <c r="AU116" s="12">
        <f t="shared" si="22"/>
        <v>5.4</v>
      </c>
      <c r="AV116" s="12">
        <f t="shared" si="20"/>
        <v>65</v>
      </c>
      <c r="AW116" s="12">
        <f t="shared" si="20"/>
        <v>89</v>
      </c>
      <c r="AX116" s="12">
        <f t="shared" si="20"/>
        <v>48.6</v>
      </c>
      <c r="AY116" s="12"/>
      <c r="AZ116" s="12">
        <f t="shared" si="14"/>
        <v>37.200000000000003</v>
      </c>
      <c r="BA116" s="12">
        <f t="shared" si="15"/>
        <v>70</v>
      </c>
      <c r="BB116" s="12"/>
      <c r="BC116" s="12">
        <f t="shared" si="16"/>
        <v>50.8</v>
      </c>
      <c r="BD116" s="12">
        <f t="shared" si="17"/>
        <v>37.700000000000003</v>
      </c>
      <c r="BE116" s="12">
        <f t="shared" si="18"/>
        <v>31.200000000000003</v>
      </c>
    </row>
    <row r="117" spans="1:57" ht="15.75" customHeight="1" x14ac:dyDescent="0.25">
      <c r="A117" s="1" t="s">
        <v>221</v>
      </c>
      <c r="B117" s="3" t="s">
        <v>157</v>
      </c>
      <c r="C117" s="4" t="s">
        <v>8</v>
      </c>
      <c r="D117" s="4">
        <v>37</v>
      </c>
      <c r="E117" s="4">
        <v>507</v>
      </c>
      <c r="F117" s="4">
        <v>37</v>
      </c>
      <c r="G117" s="4">
        <v>507</v>
      </c>
      <c r="H117" s="4">
        <v>0.42699999999999999</v>
      </c>
      <c r="I117" s="4">
        <v>18.3</v>
      </c>
      <c r="J117" s="4"/>
      <c r="K117" s="4">
        <v>0.46</v>
      </c>
      <c r="L117" s="4">
        <v>0.121</v>
      </c>
      <c r="M117" s="4">
        <v>0.153</v>
      </c>
      <c r="N117" s="4">
        <v>8.8999999999999996E-2</v>
      </c>
      <c r="O117" s="4">
        <v>9.7000000000000003E-2</v>
      </c>
      <c r="P117" s="4">
        <v>0.54</v>
      </c>
      <c r="Q117" s="4"/>
      <c r="R117" s="4">
        <v>0.50900000000000001</v>
      </c>
      <c r="S117" s="4">
        <v>0.6</v>
      </c>
      <c r="T117" s="4">
        <v>0.52600000000000002</v>
      </c>
      <c r="U117" s="4">
        <v>0.63600000000000001</v>
      </c>
      <c r="V117" s="4">
        <v>0.25</v>
      </c>
      <c r="W117" s="4">
        <v>0.35799999999999998</v>
      </c>
      <c r="X117" s="4"/>
      <c r="Y117" s="4">
        <v>0.34499999999999997</v>
      </c>
      <c r="Z117" s="4">
        <v>0.75</v>
      </c>
      <c r="AA117" s="4"/>
      <c r="AB117" s="4">
        <v>0.16400000000000001</v>
      </c>
      <c r="AC117" s="4">
        <v>9.0999999999999998E-2</v>
      </c>
      <c r="AD117" s="10">
        <f t="shared" si="12"/>
        <v>0.56370000000000009</v>
      </c>
      <c r="AE117" s="9"/>
      <c r="AF117" s="9"/>
      <c r="AG117" s="12">
        <f t="shared" si="13"/>
        <v>48</v>
      </c>
      <c r="AH117" s="12">
        <f t="shared" si="13"/>
        <v>38.200000000000003</v>
      </c>
      <c r="AI117" s="12">
        <f t="shared" si="13"/>
        <v>44.2</v>
      </c>
      <c r="AJ117" s="12">
        <f t="shared" si="13"/>
        <v>86.3</v>
      </c>
      <c r="AK117" s="12"/>
      <c r="AL117" s="12">
        <f t="shared" si="21"/>
        <v>20.7</v>
      </c>
      <c r="AM117" s="12">
        <f t="shared" si="21"/>
        <v>24</v>
      </c>
      <c r="AN117" s="12">
        <f t="shared" si="21"/>
        <v>18</v>
      </c>
      <c r="AO117" s="12">
        <f t="shared" si="19"/>
        <v>63.9</v>
      </c>
      <c r="AP117" s="12">
        <f t="shared" si="19"/>
        <v>87.9</v>
      </c>
      <c r="AQ117" s="12">
        <f t="shared" si="19"/>
        <v>79.2</v>
      </c>
      <c r="AR117" s="12"/>
      <c r="AS117" s="12">
        <f t="shared" si="22"/>
        <v>45.300000000000004</v>
      </c>
      <c r="AT117" s="12">
        <f t="shared" si="22"/>
        <v>24.5</v>
      </c>
      <c r="AU117" s="12">
        <f t="shared" si="22"/>
        <v>83.6</v>
      </c>
      <c r="AV117" s="12">
        <f t="shared" si="20"/>
        <v>94.5</v>
      </c>
      <c r="AW117" s="12">
        <f t="shared" si="20"/>
        <v>32.700000000000003</v>
      </c>
      <c r="AX117" s="12">
        <f t="shared" si="20"/>
        <v>64.400000000000006</v>
      </c>
      <c r="AY117" s="12"/>
      <c r="AZ117" s="12">
        <f t="shared" si="14"/>
        <v>88</v>
      </c>
      <c r="BA117" s="12">
        <f t="shared" si="15"/>
        <v>80.400000000000006</v>
      </c>
      <c r="BB117" s="12"/>
      <c r="BC117" s="12">
        <f t="shared" si="16"/>
        <v>41.5</v>
      </c>
      <c r="BD117" s="12">
        <f t="shared" si="17"/>
        <v>10.9</v>
      </c>
      <c r="BE117" s="12">
        <f t="shared" si="18"/>
        <v>80.400000000000006</v>
      </c>
    </row>
    <row r="118" spans="1:57" ht="15.75" customHeight="1" x14ac:dyDescent="0.25">
      <c r="A118" s="1" t="s">
        <v>264</v>
      </c>
      <c r="B118" s="3" t="s">
        <v>84</v>
      </c>
      <c r="C118" s="4" t="s">
        <v>112</v>
      </c>
      <c r="D118" s="4">
        <v>28</v>
      </c>
      <c r="E118" s="4">
        <v>504</v>
      </c>
      <c r="F118" s="4">
        <v>28</v>
      </c>
      <c r="G118" s="4">
        <v>504</v>
      </c>
      <c r="H118" s="4">
        <v>0.42099999999999999</v>
      </c>
      <c r="I118" s="4">
        <v>18.600000000000001</v>
      </c>
      <c r="J118" s="4"/>
      <c r="K118" s="4">
        <v>0.316</v>
      </c>
      <c r="L118" s="4">
        <v>0.12</v>
      </c>
      <c r="M118" s="4">
        <v>0.13500000000000001</v>
      </c>
      <c r="N118" s="4">
        <v>2.3E-2</v>
      </c>
      <c r="O118" s="4">
        <v>3.7999999999999999E-2</v>
      </c>
      <c r="P118" s="4">
        <v>0.68400000000000005</v>
      </c>
      <c r="Q118" s="4"/>
      <c r="R118" s="4">
        <v>0.45200000000000001</v>
      </c>
      <c r="S118" s="4">
        <v>0.68799999999999994</v>
      </c>
      <c r="T118" s="4">
        <v>0.38900000000000001</v>
      </c>
      <c r="U118" s="4">
        <v>0.33300000000000002</v>
      </c>
      <c r="V118" s="4">
        <v>0</v>
      </c>
      <c r="W118" s="4">
        <v>0.40699999999999997</v>
      </c>
      <c r="X118" s="4"/>
      <c r="Y118" s="4">
        <v>0.63200000000000001</v>
      </c>
      <c r="Z118" s="4">
        <v>0.97299999999999998</v>
      </c>
      <c r="AA118" s="4"/>
      <c r="AB118" s="4">
        <v>0.40699999999999997</v>
      </c>
      <c r="AC118" s="4">
        <v>0.48599999999999999</v>
      </c>
      <c r="AD118" s="10">
        <f t="shared" si="12"/>
        <v>0.86524400000000001</v>
      </c>
      <c r="AE118" s="9"/>
      <c r="AF118" s="9"/>
      <c r="AG118" s="12">
        <f t="shared" si="13"/>
        <v>25.1</v>
      </c>
      <c r="AH118" s="12">
        <f t="shared" si="13"/>
        <v>37.1</v>
      </c>
      <c r="AI118" s="12">
        <f t="shared" si="13"/>
        <v>38.700000000000003</v>
      </c>
      <c r="AJ118" s="12">
        <f t="shared" si="13"/>
        <v>87.9</v>
      </c>
      <c r="AK118" s="12"/>
      <c r="AL118" s="12">
        <f t="shared" si="21"/>
        <v>8.1</v>
      </c>
      <c r="AM118" s="12">
        <f t="shared" si="21"/>
        <v>22.400000000000002</v>
      </c>
      <c r="AN118" s="12">
        <f t="shared" si="21"/>
        <v>12</v>
      </c>
      <c r="AO118" s="12">
        <f t="shared" si="19"/>
        <v>15.299999999999999</v>
      </c>
      <c r="AP118" s="12">
        <f t="shared" si="19"/>
        <v>49.1</v>
      </c>
      <c r="AQ118" s="12">
        <f t="shared" si="19"/>
        <v>91.8</v>
      </c>
      <c r="AR118" s="12"/>
      <c r="AS118" s="12">
        <f t="shared" si="22"/>
        <v>19.600000000000001</v>
      </c>
      <c r="AT118" s="12">
        <f t="shared" si="22"/>
        <v>56.2</v>
      </c>
      <c r="AU118" s="12">
        <f t="shared" si="22"/>
        <v>27.800000000000004</v>
      </c>
      <c r="AV118" s="12">
        <f t="shared" si="20"/>
        <v>40.9</v>
      </c>
      <c r="AW118" s="12">
        <f t="shared" si="20"/>
        <v>0</v>
      </c>
      <c r="AX118" s="12">
        <f t="shared" si="20"/>
        <v>86.8</v>
      </c>
      <c r="AY118" s="12"/>
      <c r="AZ118" s="12">
        <f t="shared" si="14"/>
        <v>48.699999999999996</v>
      </c>
      <c r="BA118" s="12">
        <f t="shared" si="15"/>
        <v>38.299999999999997</v>
      </c>
      <c r="BB118" s="12"/>
      <c r="BC118" s="12">
        <f t="shared" si="16"/>
        <v>89.600000000000009</v>
      </c>
      <c r="BD118" s="12">
        <f t="shared" si="17"/>
        <v>79.7</v>
      </c>
      <c r="BE118" s="12">
        <f t="shared" si="18"/>
        <v>16.400000000000006</v>
      </c>
    </row>
    <row r="119" spans="1:57" ht="15.75" customHeight="1" x14ac:dyDescent="0.25">
      <c r="A119" s="1" t="s">
        <v>234</v>
      </c>
      <c r="B119" s="3" t="s">
        <v>232</v>
      </c>
      <c r="C119" s="4" t="s">
        <v>85</v>
      </c>
      <c r="D119" s="4">
        <v>38</v>
      </c>
      <c r="E119" s="4">
        <v>504</v>
      </c>
      <c r="F119" s="4">
        <v>38</v>
      </c>
      <c r="G119" s="4">
        <v>504</v>
      </c>
      <c r="H119" s="4">
        <v>0.54900000000000004</v>
      </c>
      <c r="I119" s="4">
        <v>4</v>
      </c>
      <c r="J119" s="4"/>
      <c r="K119" s="4">
        <v>0.98399999999999999</v>
      </c>
      <c r="L119" s="4">
        <v>0.5</v>
      </c>
      <c r="M119" s="4">
        <v>0.45900000000000002</v>
      </c>
      <c r="N119" s="4">
        <v>8.0000000000000002E-3</v>
      </c>
      <c r="O119" s="4">
        <v>1.6E-2</v>
      </c>
      <c r="P119" s="4">
        <v>1.6E-2</v>
      </c>
      <c r="Q119" s="4"/>
      <c r="R119" s="4">
        <v>0.55000000000000004</v>
      </c>
      <c r="S119" s="4">
        <v>0.63900000000000001</v>
      </c>
      <c r="T119" s="4">
        <v>0.48199999999999998</v>
      </c>
      <c r="U119" s="4">
        <v>0</v>
      </c>
      <c r="V119" s="4">
        <v>0</v>
      </c>
      <c r="W119" s="4">
        <v>0.5</v>
      </c>
      <c r="X119" s="4"/>
      <c r="Y119" s="4">
        <v>0.84799999999999998</v>
      </c>
      <c r="Z119" s="4">
        <v>1</v>
      </c>
      <c r="AA119" s="4"/>
      <c r="AB119" s="4">
        <v>0.5</v>
      </c>
      <c r="AC119" s="4">
        <v>1</v>
      </c>
      <c r="AD119" s="10">
        <f t="shared" si="12"/>
        <v>0.85043199999999997</v>
      </c>
      <c r="AE119" s="9"/>
      <c r="AF119" s="9"/>
      <c r="AG119" s="12">
        <f t="shared" si="13"/>
        <v>53</v>
      </c>
      <c r="AH119" s="12">
        <f t="shared" si="13"/>
        <v>37.1</v>
      </c>
      <c r="AI119" s="12">
        <f t="shared" si="13"/>
        <v>92.300000000000011</v>
      </c>
      <c r="AJ119" s="12">
        <f t="shared" si="13"/>
        <v>1.6</v>
      </c>
      <c r="AK119" s="12"/>
      <c r="AL119" s="12">
        <f t="shared" si="21"/>
        <v>96.1</v>
      </c>
      <c r="AM119" s="12">
        <f t="shared" si="21"/>
        <v>96.7</v>
      </c>
      <c r="AN119" s="12">
        <f t="shared" si="21"/>
        <v>94.5</v>
      </c>
      <c r="AO119" s="12">
        <f t="shared" si="19"/>
        <v>6</v>
      </c>
      <c r="AP119" s="12">
        <f t="shared" si="19"/>
        <v>18.5</v>
      </c>
      <c r="AQ119" s="12">
        <f t="shared" si="19"/>
        <v>3.8</v>
      </c>
      <c r="AR119" s="12"/>
      <c r="AS119" s="12">
        <f t="shared" si="22"/>
        <v>72.599999999999994</v>
      </c>
      <c r="AT119" s="12">
        <f t="shared" si="22"/>
        <v>37.1</v>
      </c>
      <c r="AU119" s="12">
        <f t="shared" si="22"/>
        <v>65.5</v>
      </c>
      <c r="AV119" s="12">
        <f t="shared" si="20"/>
        <v>0</v>
      </c>
      <c r="AW119" s="12">
        <f t="shared" si="20"/>
        <v>0</v>
      </c>
      <c r="AX119" s="12">
        <f t="shared" si="20"/>
        <v>97.8</v>
      </c>
      <c r="AY119" s="12"/>
      <c r="AZ119" s="12">
        <f t="shared" si="14"/>
        <v>6.1000000000000085</v>
      </c>
      <c r="BA119" s="12">
        <f t="shared" si="15"/>
        <v>33.899999999999991</v>
      </c>
      <c r="BB119" s="12"/>
      <c r="BC119" s="12">
        <f t="shared" si="16"/>
        <v>96.1</v>
      </c>
      <c r="BD119" s="12">
        <f t="shared" si="17"/>
        <v>97.2</v>
      </c>
      <c r="BE119" s="12">
        <f t="shared" si="18"/>
        <v>20.299999999999997</v>
      </c>
    </row>
    <row r="120" spans="1:57" ht="15.75" customHeight="1" x14ac:dyDescent="0.25">
      <c r="A120" s="1" t="s">
        <v>160</v>
      </c>
      <c r="B120" s="3" t="s">
        <v>161</v>
      </c>
      <c r="C120" s="4" t="s">
        <v>8</v>
      </c>
      <c r="D120" s="4">
        <v>17</v>
      </c>
      <c r="E120" s="4">
        <v>500</v>
      </c>
      <c r="F120" s="4">
        <v>17</v>
      </c>
      <c r="G120" s="4">
        <v>500</v>
      </c>
      <c r="H120" s="4">
        <v>0.41799999999999998</v>
      </c>
      <c r="I120" s="4">
        <v>11.9</v>
      </c>
      <c r="J120" s="4"/>
      <c r="K120" s="4">
        <v>0.746</v>
      </c>
      <c r="L120" s="4">
        <v>0.26600000000000001</v>
      </c>
      <c r="M120" s="4">
        <v>0.23400000000000001</v>
      </c>
      <c r="N120" s="4">
        <v>0.123</v>
      </c>
      <c r="O120" s="4">
        <v>0.123</v>
      </c>
      <c r="P120" s="4">
        <v>0.254</v>
      </c>
      <c r="Q120" s="4"/>
      <c r="R120" s="4">
        <v>0.47299999999999998</v>
      </c>
      <c r="S120" s="4">
        <v>0.66200000000000003</v>
      </c>
      <c r="T120" s="4">
        <v>0.38600000000000001</v>
      </c>
      <c r="U120" s="4">
        <v>0.26700000000000002</v>
      </c>
      <c r="V120" s="4">
        <v>0.433</v>
      </c>
      <c r="W120" s="4">
        <v>0.25800000000000001</v>
      </c>
      <c r="X120" s="4"/>
      <c r="Y120" s="4">
        <v>0.314</v>
      </c>
      <c r="Z120" s="4">
        <v>0.68799999999999994</v>
      </c>
      <c r="AA120" s="4"/>
      <c r="AB120" s="4">
        <v>0.129</v>
      </c>
      <c r="AC120" s="4">
        <v>0.25</v>
      </c>
      <c r="AD120" s="10">
        <f t="shared" si="12"/>
        <v>0.40899600000000003</v>
      </c>
      <c r="AE120" s="9"/>
      <c r="AF120" s="9"/>
      <c r="AG120" s="12">
        <f t="shared" si="13"/>
        <v>9.8000000000000007</v>
      </c>
      <c r="AH120" s="12">
        <f t="shared" si="13"/>
        <v>36.6</v>
      </c>
      <c r="AI120" s="12">
        <f t="shared" si="13"/>
        <v>37.700000000000003</v>
      </c>
      <c r="AJ120" s="12">
        <f t="shared" si="13"/>
        <v>30</v>
      </c>
      <c r="AK120" s="12"/>
      <c r="AL120" s="12">
        <f t="shared" si="21"/>
        <v>77</v>
      </c>
      <c r="AM120" s="12">
        <f t="shared" si="21"/>
        <v>71.5</v>
      </c>
      <c r="AN120" s="12">
        <f t="shared" si="21"/>
        <v>44.800000000000004</v>
      </c>
      <c r="AO120" s="12">
        <f t="shared" si="19"/>
        <v>81.899999999999991</v>
      </c>
      <c r="AP120" s="12">
        <f t="shared" si="19"/>
        <v>92.800000000000011</v>
      </c>
      <c r="AQ120" s="12">
        <f t="shared" si="19"/>
        <v>22.900000000000002</v>
      </c>
      <c r="AR120" s="12"/>
      <c r="AS120" s="12">
        <f t="shared" si="22"/>
        <v>30</v>
      </c>
      <c r="AT120" s="12">
        <f t="shared" si="22"/>
        <v>45.9</v>
      </c>
      <c r="AU120" s="12">
        <f t="shared" si="22"/>
        <v>26.700000000000003</v>
      </c>
      <c r="AV120" s="12">
        <f t="shared" si="20"/>
        <v>30</v>
      </c>
      <c r="AW120" s="12">
        <f t="shared" si="20"/>
        <v>74.8</v>
      </c>
      <c r="AX120" s="12">
        <f t="shared" si="20"/>
        <v>21.3</v>
      </c>
      <c r="AY120" s="12"/>
      <c r="AZ120" s="12">
        <f t="shared" si="14"/>
        <v>89.1</v>
      </c>
      <c r="BA120" s="12">
        <f t="shared" si="15"/>
        <v>86.9</v>
      </c>
      <c r="BB120" s="12"/>
      <c r="BC120" s="12">
        <f t="shared" si="16"/>
        <v>23.400000000000002</v>
      </c>
      <c r="BD120" s="12">
        <f t="shared" si="17"/>
        <v>24.5</v>
      </c>
      <c r="BE120" s="12">
        <f t="shared" si="18"/>
        <v>94.6</v>
      </c>
    </row>
    <row r="121" spans="1:57" ht="15.75" customHeight="1" x14ac:dyDescent="0.25">
      <c r="A121" s="1" t="s">
        <v>206</v>
      </c>
      <c r="B121" s="3" t="s">
        <v>157</v>
      </c>
      <c r="C121" s="4" t="s">
        <v>85</v>
      </c>
      <c r="D121" s="4">
        <v>36</v>
      </c>
      <c r="E121" s="4">
        <v>496</v>
      </c>
      <c r="F121" s="4">
        <v>36</v>
      </c>
      <c r="G121" s="4">
        <v>496</v>
      </c>
      <c r="H121" s="4">
        <v>0.48599999999999999</v>
      </c>
      <c r="I121" s="4">
        <v>8.3000000000000007</v>
      </c>
      <c r="J121" s="4"/>
      <c r="K121" s="4">
        <v>0.79300000000000004</v>
      </c>
      <c r="L121" s="4">
        <v>0.47699999999999998</v>
      </c>
      <c r="M121" s="4">
        <v>0.22500000000000001</v>
      </c>
      <c r="N121" s="4">
        <v>6.3E-2</v>
      </c>
      <c r="O121" s="4">
        <v>2.7E-2</v>
      </c>
      <c r="P121" s="4">
        <v>0.20699999999999999</v>
      </c>
      <c r="Q121" s="4"/>
      <c r="R121" s="4">
        <v>0.52300000000000002</v>
      </c>
      <c r="S121" s="4">
        <v>0.66</v>
      </c>
      <c r="T121" s="4">
        <v>0.4</v>
      </c>
      <c r="U121" s="4">
        <v>0.14299999999999999</v>
      </c>
      <c r="V121" s="4">
        <v>0</v>
      </c>
      <c r="W121" s="4">
        <v>0.34799999999999998</v>
      </c>
      <c r="X121" s="4"/>
      <c r="Y121" s="4">
        <v>0.58699999999999997</v>
      </c>
      <c r="Z121" s="4">
        <v>1</v>
      </c>
      <c r="AA121" s="4"/>
      <c r="AB121" s="4">
        <v>0.30399999999999999</v>
      </c>
      <c r="AC121" s="4">
        <v>0.42899999999999999</v>
      </c>
      <c r="AD121" s="10">
        <f t="shared" si="12"/>
        <v>0.67249099999999995</v>
      </c>
      <c r="AE121" s="9"/>
      <c r="AF121" s="9"/>
      <c r="AG121" s="12">
        <f t="shared" si="13"/>
        <v>45.300000000000004</v>
      </c>
      <c r="AH121" s="12">
        <f t="shared" si="13"/>
        <v>36</v>
      </c>
      <c r="AI121" s="12">
        <f t="shared" si="13"/>
        <v>72.599999999999994</v>
      </c>
      <c r="AJ121" s="12">
        <f t="shared" si="13"/>
        <v>13.600000000000001</v>
      </c>
      <c r="AK121" s="12"/>
      <c r="AL121" s="12">
        <f t="shared" si="21"/>
        <v>83.6</v>
      </c>
      <c r="AM121" s="12">
        <f t="shared" si="21"/>
        <v>94.5</v>
      </c>
      <c r="AN121" s="12">
        <f t="shared" si="21"/>
        <v>40.9</v>
      </c>
      <c r="AO121" s="12">
        <f t="shared" si="19"/>
        <v>47.5</v>
      </c>
      <c r="AP121" s="12">
        <f t="shared" si="19"/>
        <v>33.300000000000004</v>
      </c>
      <c r="AQ121" s="12">
        <f t="shared" si="19"/>
        <v>16.3</v>
      </c>
      <c r="AR121" s="12"/>
      <c r="AS121" s="12">
        <f t="shared" si="22"/>
        <v>55.1</v>
      </c>
      <c r="AT121" s="12">
        <f t="shared" si="22"/>
        <v>45.300000000000004</v>
      </c>
      <c r="AU121" s="12">
        <f t="shared" si="22"/>
        <v>33.300000000000004</v>
      </c>
      <c r="AV121" s="12">
        <f t="shared" si="20"/>
        <v>21.3</v>
      </c>
      <c r="AW121" s="12">
        <f t="shared" si="20"/>
        <v>0</v>
      </c>
      <c r="AX121" s="12">
        <f t="shared" si="20"/>
        <v>59.5</v>
      </c>
      <c r="AY121" s="12"/>
      <c r="AZ121" s="12">
        <f t="shared" si="14"/>
        <v>53.599999999999994</v>
      </c>
      <c r="BA121" s="12">
        <f t="shared" si="15"/>
        <v>33.899999999999991</v>
      </c>
      <c r="BB121" s="12"/>
      <c r="BC121" s="12">
        <f t="shared" si="16"/>
        <v>77.5</v>
      </c>
      <c r="BD121" s="12">
        <f t="shared" si="17"/>
        <v>68.300000000000011</v>
      </c>
      <c r="BE121" s="12">
        <f t="shared" si="18"/>
        <v>66.199999999999989</v>
      </c>
    </row>
    <row r="122" spans="1:57" ht="15.75" customHeight="1" x14ac:dyDescent="0.25">
      <c r="A122" s="1" t="s">
        <v>254</v>
      </c>
      <c r="B122" s="3" t="s">
        <v>232</v>
      </c>
      <c r="C122" s="4" t="s">
        <v>8</v>
      </c>
      <c r="D122" s="4">
        <v>31</v>
      </c>
      <c r="E122" s="4">
        <v>494</v>
      </c>
      <c r="F122" s="4">
        <v>31</v>
      </c>
      <c r="G122" s="4">
        <v>494</v>
      </c>
      <c r="H122" s="4">
        <v>0.36699999999999999</v>
      </c>
      <c r="I122" s="4">
        <v>22.2</v>
      </c>
      <c r="J122" s="4"/>
      <c r="K122" s="4">
        <v>0.158</v>
      </c>
      <c r="L122" s="4">
        <v>2.5000000000000001E-2</v>
      </c>
      <c r="M122" s="4">
        <v>7.4999999999999997E-2</v>
      </c>
      <c r="N122" s="4">
        <v>4.2000000000000003E-2</v>
      </c>
      <c r="O122" s="4">
        <v>1.7000000000000001E-2</v>
      </c>
      <c r="P122" s="4">
        <v>0.84199999999999997</v>
      </c>
      <c r="Q122" s="4"/>
      <c r="R122" s="4">
        <v>0.68400000000000005</v>
      </c>
      <c r="S122" s="4">
        <v>0.66700000000000004</v>
      </c>
      <c r="T122" s="4">
        <v>0.66700000000000004</v>
      </c>
      <c r="U122" s="4">
        <v>0.8</v>
      </c>
      <c r="V122" s="4">
        <v>0.5</v>
      </c>
      <c r="W122" s="4">
        <v>0.307</v>
      </c>
      <c r="X122" s="4"/>
      <c r="Y122" s="4">
        <v>0.46200000000000002</v>
      </c>
      <c r="Z122" s="4">
        <v>1</v>
      </c>
      <c r="AA122" s="4"/>
      <c r="AB122" s="4">
        <v>0.28699999999999998</v>
      </c>
      <c r="AC122" s="4">
        <v>0.24099999999999999</v>
      </c>
      <c r="AD122" s="10">
        <f t="shared" si="12"/>
        <v>0.91499599999999992</v>
      </c>
      <c r="AE122" s="9"/>
      <c r="AF122" s="9"/>
      <c r="AG122" s="12">
        <f t="shared" si="13"/>
        <v>33.800000000000004</v>
      </c>
      <c r="AH122" s="12">
        <f t="shared" si="13"/>
        <v>35.5</v>
      </c>
      <c r="AI122" s="12">
        <f t="shared" si="13"/>
        <v>13.600000000000001</v>
      </c>
      <c r="AJ122" s="12">
        <f t="shared" si="13"/>
        <v>100</v>
      </c>
      <c r="AK122" s="12"/>
      <c r="AL122" s="12">
        <f t="shared" si="21"/>
        <v>0</v>
      </c>
      <c r="AM122" s="12">
        <f t="shared" si="21"/>
        <v>0</v>
      </c>
      <c r="AN122" s="12">
        <f t="shared" si="21"/>
        <v>1</v>
      </c>
      <c r="AO122" s="12">
        <f t="shared" si="19"/>
        <v>32.200000000000003</v>
      </c>
      <c r="AP122" s="12">
        <f t="shared" si="19"/>
        <v>20.200000000000003</v>
      </c>
      <c r="AQ122" s="12">
        <f t="shared" si="19"/>
        <v>100</v>
      </c>
      <c r="AR122" s="12"/>
      <c r="AS122" s="12">
        <f t="shared" si="22"/>
        <v>98.9</v>
      </c>
      <c r="AT122" s="12">
        <f t="shared" si="22"/>
        <v>46.400000000000006</v>
      </c>
      <c r="AU122" s="12">
        <f t="shared" si="22"/>
        <v>97.8</v>
      </c>
      <c r="AV122" s="12">
        <f t="shared" si="20"/>
        <v>98.3</v>
      </c>
      <c r="AW122" s="12">
        <f t="shared" si="20"/>
        <v>79.7</v>
      </c>
      <c r="AX122" s="12">
        <f t="shared" si="20"/>
        <v>39.300000000000004</v>
      </c>
      <c r="AY122" s="12"/>
      <c r="AZ122" s="12">
        <f t="shared" si="14"/>
        <v>71.599999999999994</v>
      </c>
      <c r="BA122" s="12">
        <f t="shared" si="15"/>
        <v>33.899999999999991</v>
      </c>
      <c r="BB122" s="12"/>
      <c r="BC122" s="12">
        <f t="shared" si="16"/>
        <v>75.900000000000006</v>
      </c>
      <c r="BD122" s="12">
        <f t="shared" si="17"/>
        <v>23.400000000000002</v>
      </c>
      <c r="BE122" s="12">
        <f t="shared" si="18"/>
        <v>7.6999999999999886</v>
      </c>
    </row>
    <row r="123" spans="1:57" ht="15.75" customHeight="1" x14ac:dyDescent="0.25">
      <c r="A123" s="1" t="s">
        <v>249</v>
      </c>
      <c r="B123" s="3" t="s">
        <v>114</v>
      </c>
      <c r="C123" s="4" t="s">
        <v>8</v>
      </c>
      <c r="D123" s="4">
        <v>32</v>
      </c>
      <c r="E123" s="4">
        <v>491</v>
      </c>
      <c r="F123" s="4">
        <v>32</v>
      </c>
      <c r="G123" s="4">
        <v>491</v>
      </c>
      <c r="H123" s="4">
        <v>0.40500000000000003</v>
      </c>
      <c r="I123" s="4">
        <v>19.2</v>
      </c>
      <c r="J123" s="4"/>
      <c r="K123" s="4">
        <v>0.30199999999999999</v>
      </c>
      <c r="L123" s="4">
        <v>9.5000000000000001E-2</v>
      </c>
      <c r="M123" s="4">
        <v>0.121</v>
      </c>
      <c r="N123" s="4">
        <v>3.4000000000000002E-2</v>
      </c>
      <c r="O123" s="4">
        <v>5.1999999999999998E-2</v>
      </c>
      <c r="P123" s="4">
        <v>0.69799999999999995</v>
      </c>
      <c r="Q123" s="4"/>
      <c r="R123" s="4">
        <v>0.6</v>
      </c>
      <c r="S123" s="4">
        <v>0.63600000000000001</v>
      </c>
      <c r="T123" s="4">
        <v>0.71399999999999997</v>
      </c>
      <c r="U123" s="4">
        <v>0.25</v>
      </c>
      <c r="V123" s="4">
        <v>0.5</v>
      </c>
      <c r="W123" s="4">
        <v>0.32100000000000001</v>
      </c>
      <c r="X123" s="4"/>
      <c r="Y123" s="4">
        <v>0.81</v>
      </c>
      <c r="Z123" s="4">
        <v>0.96199999999999997</v>
      </c>
      <c r="AA123" s="4"/>
      <c r="AB123" s="4">
        <v>0.28399999999999997</v>
      </c>
      <c r="AC123" s="4">
        <v>0.39100000000000001</v>
      </c>
      <c r="AD123" s="10">
        <f t="shared" si="12"/>
        <v>0.91609600000000002</v>
      </c>
      <c r="AE123" s="9"/>
      <c r="AF123" s="9"/>
      <c r="AG123" s="12">
        <f t="shared" si="13"/>
        <v>35.5</v>
      </c>
      <c r="AH123" s="12">
        <f t="shared" si="13"/>
        <v>34.4</v>
      </c>
      <c r="AI123" s="12">
        <f t="shared" si="13"/>
        <v>32.200000000000003</v>
      </c>
      <c r="AJ123" s="12">
        <f t="shared" si="13"/>
        <v>91.8</v>
      </c>
      <c r="AK123" s="12"/>
      <c r="AL123" s="12">
        <f t="shared" si="21"/>
        <v>6.5</v>
      </c>
      <c r="AM123" s="12">
        <f t="shared" si="21"/>
        <v>12.5</v>
      </c>
      <c r="AN123" s="12">
        <f t="shared" si="21"/>
        <v>8.1</v>
      </c>
      <c r="AO123" s="12">
        <f t="shared" si="19"/>
        <v>24</v>
      </c>
      <c r="AP123" s="12">
        <f t="shared" si="19"/>
        <v>63.3</v>
      </c>
      <c r="AQ123" s="12">
        <f t="shared" si="19"/>
        <v>92.800000000000011</v>
      </c>
      <c r="AR123" s="12"/>
      <c r="AS123" s="12">
        <f t="shared" si="22"/>
        <v>90.7</v>
      </c>
      <c r="AT123" s="12">
        <f t="shared" si="22"/>
        <v>35.5</v>
      </c>
      <c r="AU123" s="12">
        <f t="shared" si="22"/>
        <v>98.9</v>
      </c>
      <c r="AV123" s="12">
        <f t="shared" si="20"/>
        <v>28.4</v>
      </c>
      <c r="AW123" s="12">
        <f t="shared" si="20"/>
        <v>79.7</v>
      </c>
      <c r="AX123" s="12">
        <f t="shared" si="20"/>
        <v>44.2</v>
      </c>
      <c r="AY123" s="12"/>
      <c r="AZ123" s="12">
        <f t="shared" si="14"/>
        <v>11.5</v>
      </c>
      <c r="BA123" s="12">
        <f t="shared" si="15"/>
        <v>42.1</v>
      </c>
      <c r="BB123" s="12"/>
      <c r="BC123" s="12">
        <f t="shared" si="16"/>
        <v>75.400000000000006</v>
      </c>
      <c r="BD123" s="12">
        <f t="shared" si="17"/>
        <v>60.6</v>
      </c>
      <c r="BE123" s="12">
        <f t="shared" si="18"/>
        <v>6.5999999999999943</v>
      </c>
    </row>
    <row r="124" spans="1:57" ht="15.75" customHeight="1" x14ac:dyDescent="0.25">
      <c r="A124" s="1" t="s">
        <v>133</v>
      </c>
      <c r="B124" s="3" t="s">
        <v>99</v>
      </c>
      <c r="C124" s="4" t="s">
        <v>8</v>
      </c>
      <c r="D124" s="4">
        <v>34</v>
      </c>
      <c r="E124" s="4">
        <v>491</v>
      </c>
      <c r="F124" s="4">
        <v>34</v>
      </c>
      <c r="G124" s="4">
        <v>491</v>
      </c>
      <c r="H124" s="4">
        <v>0.379</v>
      </c>
      <c r="I124" s="4">
        <v>12.8</v>
      </c>
      <c r="J124" s="4"/>
      <c r="K124" s="4">
        <v>0.66200000000000003</v>
      </c>
      <c r="L124" s="4">
        <v>0.193</v>
      </c>
      <c r="M124" s="4">
        <v>0.32400000000000001</v>
      </c>
      <c r="N124" s="4">
        <v>9.7000000000000003E-2</v>
      </c>
      <c r="O124" s="4">
        <v>4.8000000000000001E-2</v>
      </c>
      <c r="P124" s="4">
        <v>0.33800000000000002</v>
      </c>
      <c r="Q124" s="4"/>
      <c r="R124" s="4">
        <v>0.41699999999999998</v>
      </c>
      <c r="S124" s="4">
        <v>0.60699999999999998</v>
      </c>
      <c r="T124" s="4">
        <v>0.29799999999999999</v>
      </c>
      <c r="U124" s="4">
        <v>0.28599999999999998</v>
      </c>
      <c r="V124" s="4">
        <v>0.71399999999999997</v>
      </c>
      <c r="W124" s="4">
        <v>0.30599999999999999</v>
      </c>
      <c r="X124" s="4"/>
      <c r="Y124" s="4">
        <v>0.4</v>
      </c>
      <c r="Z124" s="4">
        <v>0.93300000000000005</v>
      </c>
      <c r="AA124" s="4"/>
      <c r="AB124" s="4">
        <v>0.20399999999999999</v>
      </c>
      <c r="AC124" s="4">
        <v>0.3</v>
      </c>
      <c r="AD124" s="10">
        <f t="shared" si="12"/>
        <v>0.58015400000000006</v>
      </c>
      <c r="AE124" s="9"/>
      <c r="AF124" s="9"/>
      <c r="AG124" s="12">
        <f t="shared" si="13"/>
        <v>39.300000000000004</v>
      </c>
      <c r="AH124" s="12">
        <f t="shared" si="13"/>
        <v>34.4</v>
      </c>
      <c r="AI124" s="12">
        <f t="shared" si="13"/>
        <v>19.100000000000001</v>
      </c>
      <c r="AJ124" s="12">
        <f t="shared" si="13"/>
        <v>39.300000000000004</v>
      </c>
      <c r="AK124" s="12"/>
      <c r="AL124" s="12">
        <f t="shared" si="21"/>
        <v>65.5</v>
      </c>
      <c r="AM124" s="12">
        <f t="shared" si="21"/>
        <v>48.6</v>
      </c>
      <c r="AN124" s="12">
        <f t="shared" si="21"/>
        <v>72.599999999999994</v>
      </c>
      <c r="AO124" s="12">
        <f t="shared" si="19"/>
        <v>69.899999999999991</v>
      </c>
      <c r="AP124" s="12">
        <f t="shared" si="19"/>
        <v>59</v>
      </c>
      <c r="AQ124" s="12">
        <f t="shared" si="19"/>
        <v>34.4</v>
      </c>
      <c r="AR124" s="12"/>
      <c r="AS124" s="12">
        <f t="shared" si="22"/>
        <v>12.5</v>
      </c>
      <c r="AT124" s="12">
        <f t="shared" si="22"/>
        <v>28.4</v>
      </c>
      <c r="AU124" s="12">
        <f t="shared" si="22"/>
        <v>8.6999999999999993</v>
      </c>
      <c r="AV124" s="12">
        <f t="shared" si="20"/>
        <v>33.300000000000004</v>
      </c>
      <c r="AW124" s="12">
        <f t="shared" si="20"/>
        <v>97.8</v>
      </c>
      <c r="AX124" s="12">
        <f t="shared" si="20"/>
        <v>38.700000000000003</v>
      </c>
      <c r="AY124" s="12"/>
      <c r="AZ124" s="12">
        <f t="shared" si="14"/>
        <v>83.1</v>
      </c>
      <c r="BA124" s="12">
        <f t="shared" si="15"/>
        <v>53.1</v>
      </c>
      <c r="BB124" s="12"/>
      <c r="BC124" s="12">
        <f t="shared" si="16"/>
        <v>58.4</v>
      </c>
      <c r="BD124" s="12">
        <f t="shared" si="17"/>
        <v>39.300000000000004</v>
      </c>
      <c r="BE124" s="12">
        <f t="shared" si="18"/>
        <v>79.3</v>
      </c>
    </row>
    <row r="125" spans="1:57" ht="15.75" customHeight="1" x14ac:dyDescent="0.25">
      <c r="A125" s="1" t="s">
        <v>100</v>
      </c>
      <c r="B125" s="3" t="s">
        <v>240</v>
      </c>
      <c r="C125" s="4" t="s">
        <v>94</v>
      </c>
      <c r="D125" s="4">
        <v>28</v>
      </c>
      <c r="E125" s="4">
        <v>464</v>
      </c>
      <c r="F125" s="4">
        <v>28</v>
      </c>
      <c r="G125" s="4">
        <v>464</v>
      </c>
      <c r="H125" s="4">
        <v>0.375</v>
      </c>
      <c r="I125" s="4">
        <v>16.8</v>
      </c>
      <c r="J125" s="4"/>
      <c r="K125" s="4">
        <v>0.5</v>
      </c>
      <c r="L125" s="4">
        <v>0.08</v>
      </c>
      <c r="M125" s="4">
        <v>0.188</v>
      </c>
      <c r="N125" s="4">
        <v>0.188</v>
      </c>
      <c r="O125" s="4">
        <v>4.4999999999999998E-2</v>
      </c>
      <c r="P125" s="4">
        <v>0.5</v>
      </c>
      <c r="Q125" s="4"/>
      <c r="R125" s="4">
        <v>0.48199999999999998</v>
      </c>
      <c r="S125" s="4">
        <v>0.66700000000000004</v>
      </c>
      <c r="T125" s="4">
        <v>0.28599999999999998</v>
      </c>
      <c r="U125" s="4">
        <v>0.66700000000000004</v>
      </c>
      <c r="V125" s="4">
        <v>0.2</v>
      </c>
      <c r="W125" s="4">
        <v>0.26800000000000002</v>
      </c>
      <c r="X125" s="4"/>
      <c r="Y125" s="4">
        <v>0.37</v>
      </c>
      <c r="Z125" s="4">
        <v>1</v>
      </c>
      <c r="AA125" s="4"/>
      <c r="AB125" s="4">
        <v>0.44600000000000001</v>
      </c>
      <c r="AC125" s="4">
        <v>0.32</v>
      </c>
      <c r="AD125" s="10">
        <f t="shared" si="12"/>
        <v>0.68500000000000005</v>
      </c>
      <c r="AE125" s="9"/>
      <c r="AF125" s="9"/>
      <c r="AG125" s="12">
        <f t="shared" si="13"/>
        <v>25.1</v>
      </c>
      <c r="AH125" s="12">
        <f t="shared" si="13"/>
        <v>33.800000000000004</v>
      </c>
      <c r="AI125" s="12">
        <f t="shared" si="13"/>
        <v>18.5</v>
      </c>
      <c r="AJ125" s="12">
        <f t="shared" si="13"/>
        <v>77</v>
      </c>
      <c r="AK125" s="12"/>
      <c r="AL125" s="12">
        <f t="shared" si="21"/>
        <v>29.5</v>
      </c>
      <c r="AM125" s="12">
        <f t="shared" si="21"/>
        <v>9.8000000000000007</v>
      </c>
      <c r="AN125" s="12">
        <f t="shared" si="21"/>
        <v>28.4</v>
      </c>
      <c r="AO125" s="12">
        <f t="shared" si="19"/>
        <v>95</v>
      </c>
      <c r="AP125" s="12">
        <f t="shared" si="19"/>
        <v>56.8</v>
      </c>
      <c r="AQ125" s="12">
        <f t="shared" si="19"/>
        <v>69.3</v>
      </c>
      <c r="AR125" s="12"/>
      <c r="AS125" s="12">
        <f t="shared" si="22"/>
        <v>35.5</v>
      </c>
      <c r="AT125" s="12">
        <f t="shared" si="22"/>
        <v>46.400000000000006</v>
      </c>
      <c r="AU125" s="12">
        <f t="shared" si="22"/>
        <v>5.4</v>
      </c>
      <c r="AV125" s="12">
        <f t="shared" si="20"/>
        <v>96.1</v>
      </c>
      <c r="AW125" s="12">
        <f t="shared" si="20"/>
        <v>28.4</v>
      </c>
      <c r="AX125" s="12">
        <f t="shared" si="20"/>
        <v>22.900000000000002</v>
      </c>
      <c r="AY125" s="12"/>
      <c r="AZ125" s="12">
        <f t="shared" si="14"/>
        <v>84.2</v>
      </c>
      <c r="BA125" s="12">
        <f t="shared" si="15"/>
        <v>33.899999999999991</v>
      </c>
      <c r="BB125" s="12"/>
      <c r="BC125" s="12">
        <f t="shared" si="16"/>
        <v>93.899999999999991</v>
      </c>
      <c r="BD125" s="12">
        <f t="shared" si="17"/>
        <v>43.1</v>
      </c>
      <c r="BE125" s="12">
        <f t="shared" si="18"/>
        <v>62.3</v>
      </c>
    </row>
    <row r="126" spans="1:57" ht="15.75" customHeight="1" x14ac:dyDescent="0.25">
      <c r="A126" s="1" t="s">
        <v>233</v>
      </c>
      <c r="B126" s="4" t="s">
        <v>107</v>
      </c>
      <c r="C126" s="4" t="s">
        <v>85</v>
      </c>
      <c r="D126" s="4">
        <v>38</v>
      </c>
      <c r="E126" s="4">
        <v>462</v>
      </c>
      <c r="F126" s="4">
        <v>38</v>
      </c>
      <c r="G126" s="4">
        <v>462</v>
      </c>
      <c r="H126" s="4">
        <v>0.40100000000000002</v>
      </c>
      <c r="I126" s="4">
        <v>9.5</v>
      </c>
      <c r="J126" s="4"/>
      <c r="K126" s="4">
        <v>0.76600000000000001</v>
      </c>
      <c r="L126" s="4">
        <v>0.26300000000000001</v>
      </c>
      <c r="M126" s="4">
        <v>0.42299999999999999</v>
      </c>
      <c r="N126" s="4">
        <v>4.3999999999999997E-2</v>
      </c>
      <c r="O126" s="4">
        <v>3.5999999999999997E-2</v>
      </c>
      <c r="P126" s="4">
        <v>0.23400000000000001</v>
      </c>
      <c r="Q126" s="4"/>
      <c r="R126" s="4">
        <v>0.46700000000000003</v>
      </c>
      <c r="S126" s="4">
        <v>0.61099999999999999</v>
      </c>
      <c r="T126" s="4">
        <v>0.44800000000000001</v>
      </c>
      <c r="U126" s="4">
        <v>0</v>
      </c>
      <c r="V126" s="4">
        <v>0.2</v>
      </c>
      <c r="W126" s="4">
        <v>0.188</v>
      </c>
      <c r="X126" s="4"/>
      <c r="Y126" s="4">
        <v>0.61199999999999999</v>
      </c>
      <c r="Z126" s="4">
        <v>1</v>
      </c>
      <c r="AA126" s="4"/>
      <c r="AB126" s="4">
        <v>0.219</v>
      </c>
      <c r="AC126" s="4">
        <v>0.14299999999999999</v>
      </c>
      <c r="AD126" s="10">
        <f t="shared" si="12"/>
        <v>0.70279199999999997</v>
      </c>
      <c r="AE126" s="9"/>
      <c r="AF126" s="9"/>
      <c r="AG126" s="12">
        <f t="shared" si="13"/>
        <v>53</v>
      </c>
      <c r="AH126" s="12">
        <f t="shared" si="13"/>
        <v>33.300000000000004</v>
      </c>
      <c r="AI126" s="12">
        <f t="shared" si="13"/>
        <v>27.800000000000004</v>
      </c>
      <c r="AJ126" s="12">
        <f t="shared" si="13"/>
        <v>17.399999999999999</v>
      </c>
      <c r="AK126" s="12"/>
      <c r="AL126" s="12">
        <f t="shared" si="21"/>
        <v>80.300000000000011</v>
      </c>
      <c r="AM126" s="12">
        <f t="shared" si="21"/>
        <v>69.3</v>
      </c>
      <c r="AN126" s="12">
        <f t="shared" si="21"/>
        <v>91.8</v>
      </c>
      <c r="AO126" s="12">
        <f t="shared" si="19"/>
        <v>33.800000000000004</v>
      </c>
      <c r="AP126" s="12">
        <f t="shared" si="19"/>
        <v>46.400000000000006</v>
      </c>
      <c r="AQ126" s="12">
        <f t="shared" si="19"/>
        <v>19.600000000000001</v>
      </c>
      <c r="AR126" s="12"/>
      <c r="AS126" s="12">
        <f t="shared" si="22"/>
        <v>26.200000000000003</v>
      </c>
      <c r="AT126" s="12">
        <f t="shared" si="22"/>
        <v>28.9</v>
      </c>
      <c r="AU126" s="12">
        <f t="shared" si="22"/>
        <v>50.2</v>
      </c>
      <c r="AV126" s="12">
        <f t="shared" si="20"/>
        <v>0</v>
      </c>
      <c r="AW126" s="12">
        <f t="shared" si="20"/>
        <v>28.4</v>
      </c>
      <c r="AX126" s="12">
        <f t="shared" si="20"/>
        <v>8.6999999999999993</v>
      </c>
      <c r="AY126" s="12"/>
      <c r="AZ126" s="12">
        <f t="shared" si="14"/>
        <v>50.9</v>
      </c>
      <c r="BA126" s="12">
        <f t="shared" si="15"/>
        <v>33.899999999999991</v>
      </c>
      <c r="BB126" s="12"/>
      <c r="BC126" s="12">
        <f t="shared" si="16"/>
        <v>60.6</v>
      </c>
      <c r="BD126" s="12">
        <f t="shared" si="17"/>
        <v>13.100000000000001</v>
      </c>
      <c r="BE126" s="12">
        <f t="shared" si="18"/>
        <v>58.5</v>
      </c>
    </row>
    <row r="127" spans="1:57" ht="15.75" customHeight="1" x14ac:dyDescent="0.25">
      <c r="A127" s="1" t="s">
        <v>172</v>
      </c>
      <c r="B127" s="3" t="s">
        <v>107</v>
      </c>
      <c r="C127" s="4" t="s">
        <v>88</v>
      </c>
      <c r="D127" s="4">
        <v>18</v>
      </c>
      <c r="E127" s="4">
        <v>455</v>
      </c>
      <c r="F127" s="4">
        <v>18</v>
      </c>
      <c r="G127" s="4">
        <v>455</v>
      </c>
      <c r="H127" s="4">
        <v>0.52700000000000002</v>
      </c>
      <c r="I127" s="4">
        <v>6.8</v>
      </c>
      <c r="J127" s="4"/>
      <c r="K127" s="4">
        <v>0.97799999999999998</v>
      </c>
      <c r="L127" s="4">
        <v>0.33200000000000002</v>
      </c>
      <c r="M127" s="4">
        <v>0.41299999999999998</v>
      </c>
      <c r="N127" s="4">
        <v>0.17399999999999999</v>
      </c>
      <c r="O127" s="4">
        <v>0.06</v>
      </c>
      <c r="P127" s="4">
        <v>2.1999999999999999E-2</v>
      </c>
      <c r="Q127" s="4"/>
      <c r="R127" s="4">
        <v>0.53300000000000003</v>
      </c>
      <c r="S127" s="4">
        <v>0.65600000000000003</v>
      </c>
      <c r="T127" s="4">
        <v>0.52600000000000002</v>
      </c>
      <c r="U127" s="4">
        <v>0.438</v>
      </c>
      <c r="V127" s="4">
        <v>0.182</v>
      </c>
      <c r="W127" s="4">
        <v>0.25</v>
      </c>
      <c r="X127" s="4"/>
      <c r="Y127" s="4">
        <v>0.81299999999999994</v>
      </c>
      <c r="Z127" s="4">
        <v>1</v>
      </c>
      <c r="AA127" s="4"/>
      <c r="AB127" s="4">
        <v>0.25</v>
      </c>
      <c r="AC127" s="4">
        <v>1</v>
      </c>
      <c r="AD127" s="10">
        <f t="shared" si="12"/>
        <v>0.8171139999999999</v>
      </c>
      <c r="AE127" s="9"/>
      <c r="AF127" s="9"/>
      <c r="AG127" s="12">
        <f t="shared" si="13"/>
        <v>12.5</v>
      </c>
      <c r="AH127" s="12">
        <f t="shared" si="13"/>
        <v>32.700000000000003</v>
      </c>
      <c r="AI127" s="12">
        <f t="shared" si="13"/>
        <v>88.5</v>
      </c>
      <c r="AJ127" s="12">
        <f t="shared" si="13"/>
        <v>10.299999999999999</v>
      </c>
      <c r="AK127" s="12"/>
      <c r="AL127" s="12">
        <f t="shared" si="21"/>
        <v>95.6</v>
      </c>
      <c r="AM127" s="12">
        <f t="shared" si="21"/>
        <v>83</v>
      </c>
      <c r="AN127" s="12">
        <f t="shared" si="21"/>
        <v>91.2</v>
      </c>
      <c r="AO127" s="12">
        <f t="shared" si="19"/>
        <v>92.800000000000011</v>
      </c>
      <c r="AP127" s="12">
        <f t="shared" si="19"/>
        <v>71.5</v>
      </c>
      <c r="AQ127" s="12">
        <f t="shared" si="19"/>
        <v>4.3</v>
      </c>
      <c r="AR127" s="12"/>
      <c r="AS127" s="12">
        <f t="shared" si="22"/>
        <v>63.3</v>
      </c>
      <c r="AT127" s="12">
        <f t="shared" si="22"/>
        <v>43.1</v>
      </c>
      <c r="AU127" s="12">
        <f t="shared" si="22"/>
        <v>83.6</v>
      </c>
      <c r="AV127" s="12">
        <f t="shared" si="20"/>
        <v>68.8</v>
      </c>
      <c r="AW127" s="12">
        <f t="shared" si="20"/>
        <v>26.700000000000003</v>
      </c>
      <c r="AX127" s="12">
        <f t="shared" si="20"/>
        <v>17.399999999999999</v>
      </c>
      <c r="AY127" s="12"/>
      <c r="AZ127" s="12">
        <f t="shared" si="14"/>
        <v>11</v>
      </c>
      <c r="BA127" s="12">
        <f t="shared" si="15"/>
        <v>33.899999999999991</v>
      </c>
      <c r="BB127" s="12"/>
      <c r="BC127" s="12">
        <f t="shared" si="16"/>
        <v>68.300000000000011</v>
      </c>
      <c r="BD127" s="12">
        <f t="shared" si="17"/>
        <v>97.2</v>
      </c>
      <c r="BE127" s="12">
        <f t="shared" si="18"/>
        <v>29.600000000000009</v>
      </c>
    </row>
    <row r="128" spans="1:57" ht="15.75" customHeight="1" x14ac:dyDescent="0.25">
      <c r="A128" s="1" t="s">
        <v>195</v>
      </c>
      <c r="B128" s="3" t="s">
        <v>99</v>
      </c>
      <c r="C128" s="4" t="s">
        <v>8</v>
      </c>
      <c r="D128" s="4">
        <v>38</v>
      </c>
      <c r="E128" s="4">
        <v>448</v>
      </c>
      <c r="F128" s="4">
        <v>38</v>
      </c>
      <c r="G128" s="4">
        <v>448</v>
      </c>
      <c r="H128" s="4">
        <v>0.38900000000000001</v>
      </c>
      <c r="I128" s="4">
        <v>12.6</v>
      </c>
      <c r="J128" s="4"/>
      <c r="K128" s="4">
        <v>0.71799999999999997</v>
      </c>
      <c r="L128" s="4">
        <v>0.13</v>
      </c>
      <c r="M128" s="4">
        <v>0.36099999999999999</v>
      </c>
      <c r="N128" s="4">
        <v>0.17599999999999999</v>
      </c>
      <c r="O128" s="4">
        <v>5.0999999999999997E-2</v>
      </c>
      <c r="P128" s="4">
        <v>0.28199999999999997</v>
      </c>
      <c r="Q128" s="4"/>
      <c r="R128" s="4">
        <v>0.44500000000000001</v>
      </c>
      <c r="S128" s="4">
        <v>0.57099999999999995</v>
      </c>
      <c r="T128" s="4">
        <v>0.42299999999999999</v>
      </c>
      <c r="U128" s="4">
        <v>0.42099999999999999</v>
      </c>
      <c r="V128" s="4">
        <v>0.36399999999999999</v>
      </c>
      <c r="W128" s="4">
        <v>0.246</v>
      </c>
      <c r="X128" s="4"/>
      <c r="Y128" s="4">
        <v>0.52200000000000002</v>
      </c>
      <c r="Z128" s="4">
        <v>0.8</v>
      </c>
      <c r="AA128" s="4"/>
      <c r="AB128" s="4">
        <v>0.311</v>
      </c>
      <c r="AC128" s="4">
        <v>0.21099999999999999</v>
      </c>
      <c r="AD128" s="10">
        <f t="shared" si="12"/>
        <v>0.60039600000000004</v>
      </c>
      <c r="AE128" s="9"/>
      <c r="AF128" s="9"/>
      <c r="AG128" s="12">
        <f t="shared" si="13"/>
        <v>53</v>
      </c>
      <c r="AH128" s="12">
        <f t="shared" si="13"/>
        <v>32.200000000000003</v>
      </c>
      <c r="AI128" s="12">
        <f t="shared" si="13"/>
        <v>22.400000000000002</v>
      </c>
      <c r="AJ128" s="12">
        <f t="shared" si="13"/>
        <v>37.1</v>
      </c>
      <c r="AK128" s="12"/>
      <c r="AL128" s="12">
        <f t="shared" si="21"/>
        <v>72.599999999999994</v>
      </c>
      <c r="AM128" s="12">
        <f t="shared" si="21"/>
        <v>26.700000000000003</v>
      </c>
      <c r="AN128" s="12">
        <f t="shared" si="21"/>
        <v>80.800000000000011</v>
      </c>
      <c r="AO128" s="12">
        <f t="shared" si="19"/>
        <v>93.899999999999991</v>
      </c>
      <c r="AP128" s="12">
        <f t="shared" si="19"/>
        <v>60.6</v>
      </c>
      <c r="AQ128" s="12">
        <f t="shared" si="19"/>
        <v>27.3</v>
      </c>
      <c r="AR128" s="12"/>
      <c r="AS128" s="12">
        <f t="shared" si="22"/>
        <v>17.399999999999999</v>
      </c>
      <c r="AT128" s="12">
        <f t="shared" si="22"/>
        <v>15.8</v>
      </c>
      <c r="AU128" s="12">
        <f t="shared" si="22"/>
        <v>42</v>
      </c>
      <c r="AV128" s="12">
        <f t="shared" si="20"/>
        <v>66.600000000000009</v>
      </c>
      <c r="AW128" s="12">
        <f t="shared" si="20"/>
        <v>58.4</v>
      </c>
      <c r="AX128" s="12">
        <f t="shared" si="20"/>
        <v>16.3</v>
      </c>
      <c r="AY128" s="12"/>
      <c r="AZ128" s="12">
        <f t="shared" si="14"/>
        <v>64.5</v>
      </c>
      <c r="BA128" s="12">
        <f t="shared" si="15"/>
        <v>77.599999999999994</v>
      </c>
      <c r="BB128" s="12"/>
      <c r="BC128" s="12">
        <f t="shared" si="16"/>
        <v>78.600000000000009</v>
      </c>
      <c r="BD128" s="12">
        <f t="shared" si="17"/>
        <v>19.600000000000001</v>
      </c>
      <c r="BE128" s="12">
        <f t="shared" si="18"/>
        <v>77.599999999999994</v>
      </c>
    </row>
    <row r="129" spans="1:57" ht="15.75" customHeight="1" x14ac:dyDescent="0.25">
      <c r="A129" s="1" t="s">
        <v>178</v>
      </c>
      <c r="B129" s="3" t="s">
        <v>91</v>
      </c>
      <c r="C129" s="4" t="s">
        <v>85</v>
      </c>
      <c r="D129" s="4">
        <v>37</v>
      </c>
      <c r="E129" s="4">
        <v>445</v>
      </c>
      <c r="F129" s="4">
        <v>37</v>
      </c>
      <c r="G129" s="4">
        <v>445</v>
      </c>
      <c r="H129" s="4">
        <v>0.49099999999999999</v>
      </c>
      <c r="I129" s="4">
        <v>7.3</v>
      </c>
      <c r="J129" s="4"/>
      <c r="K129" s="4">
        <v>0.84499999999999997</v>
      </c>
      <c r="L129" s="4">
        <v>0.318</v>
      </c>
      <c r="M129" s="4">
        <v>0.48199999999999998</v>
      </c>
      <c r="N129" s="4">
        <v>1.7999999999999999E-2</v>
      </c>
      <c r="O129" s="4">
        <v>2.7E-2</v>
      </c>
      <c r="P129" s="4">
        <v>0.155</v>
      </c>
      <c r="Q129" s="4"/>
      <c r="R129" s="4">
        <v>0.505</v>
      </c>
      <c r="S129" s="4">
        <v>0.65700000000000003</v>
      </c>
      <c r="T129" s="4">
        <v>0.45300000000000001</v>
      </c>
      <c r="U129" s="4">
        <v>0</v>
      </c>
      <c r="V129" s="4">
        <v>0</v>
      </c>
      <c r="W129" s="4">
        <v>0.41199999999999998</v>
      </c>
      <c r="X129" s="4"/>
      <c r="Y129" s="4">
        <v>0.70199999999999996</v>
      </c>
      <c r="Z129" s="4">
        <v>1</v>
      </c>
      <c r="AA129" s="4"/>
      <c r="AB129" s="4">
        <v>0.29399999999999998</v>
      </c>
      <c r="AC129" s="4">
        <v>0.8</v>
      </c>
      <c r="AD129" s="10">
        <f t="shared" si="12"/>
        <v>0.74819000000000002</v>
      </c>
      <c r="AE129" s="9"/>
      <c r="AF129" s="9"/>
      <c r="AG129" s="12">
        <f t="shared" si="13"/>
        <v>48</v>
      </c>
      <c r="AH129" s="12">
        <f t="shared" si="13"/>
        <v>31.6</v>
      </c>
      <c r="AI129" s="12">
        <f t="shared" si="13"/>
        <v>74.3</v>
      </c>
      <c r="AJ129" s="12">
        <f t="shared" si="13"/>
        <v>11.4</v>
      </c>
      <c r="AK129" s="12"/>
      <c r="AL129" s="12">
        <f t="shared" si="21"/>
        <v>86.8</v>
      </c>
      <c r="AM129" s="12">
        <f t="shared" si="21"/>
        <v>79.7</v>
      </c>
      <c r="AN129" s="12">
        <f t="shared" si="21"/>
        <v>97.2</v>
      </c>
      <c r="AO129" s="12">
        <f t="shared" si="19"/>
        <v>11.4</v>
      </c>
      <c r="AP129" s="12">
        <f t="shared" si="19"/>
        <v>33.300000000000004</v>
      </c>
      <c r="AQ129" s="12">
        <f t="shared" si="19"/>
        <v>13.100000000000001</v>
      </c>
      <c r="AR129" s="12"/>
      <c r="AS129" s="12">
        <f t="shared" si="22"/>
        <v>44.2</v>
      </c>
      <c r="AT129" s="12">
        <f t="shared" si="22"/>
        <v>44.2</v>
      </c>
      <c r="AU129" s="12">
        <f t="shared" si="22"/>
        <v>52.400000000000006</v>
      </c>
      <c r="AV129" s="12">
        <f t="shared" si="20"/>
        <v>0</v>
      </c>
      <c r="AW129" s="12">
        <f t="shared" si="20"/>
        <v>0</v>
      </c>
      <c r="AX129" s="12">
        <f t="shared" si="20"/>
        <v>89.600000000000009</v>
      </c>
      <c r="AY129" s="12"/>
      <c r="AZ129" s="12">
        <f t="shared" si="14"/>
        <v>32.799999999999997</v>
      </c>
      <c r="BA129" s="12">
        <f t="shared" si="15"/>
        <v>33.899999999999991</v>
      </c>
      <c r="BB129" s="12"/>
      <c r="BC129" s="12">
        <f t="shared" si="16"/>
        <v>76.5</v>
      </c>
      <c r="BD129" s="12">
        <f t="shared" si="17"/>
        <v>96.1</v>
      </c>
      <c r="BE129" s="12">
        <f t="shared" si="18"/>
        <v>44.9</v>
      </c>
    </row>
    <row r="130" spans="1:57" ht="15.75" customHeight="1" x14ac:dyDescent="0.25">
      <c r="A130" s="1" t="s">
        <v>258</v>
      </c>
      <c r="B130" s="4" t="s">
        <v>161</v>
      </c>
      <c r="C130" s="4" t="s">
        <v>88</v>
      </c>
      <c r="D130" s="4">
        <v>25</v>
      </c>
      <c r="E130" s="4">
        <v>444</v>
      </c>
      <c r="F130" s="4">
        <v>25</v>
      </c>
      <c r="G130" s="4">
        <v>444</v>
      </c>
      <c r="H130" s="4">
        <v>0.5</v>
      </c>
      <c r="I130" s="4">
        <v>10.1</v>
      </c>
      <c r="J130" s="4"/>
      <c r="K130" s="4">
        <v>0.72899999999999998</v>
      </c>
      <c r="L130" s="4">
        <v>0.40699999999999997</v>
      </c>
      <c r="M130" s="4">
        <v>0.20300000000000001</v>
      </c>
      <c r="N130" s="4">
        <v>5.8999999999999997E-2</v>
      </c>
      <c r="O130" s="4">
        <v>5.8999999999999997E-2</v>
      </c>
      <c r="P130" s="4">
        <v>0.27100000000000002</v>
      </c>
      <c r="Q130" s="4"/>
      <c r="R130" s="4">
        <v>0.55800000000000005</v>
      </c>
      <c r="S130" s="4">
        <v>0.75</v>
      </c>
      <c r="T130" s="4">
        <v>0.29199999999999998</v>
      </c>
      <c r="U130" s="4">
        <v>0.42899999999999999</v>
      </c>
      <c r="V130" s="4">
        <v>0.28599999999999998</v>
      </c>
      <c r="W130" s="4">
        <v>0.34399999999999997</v>
      </c>
      <c r="X130" s="4"/>
      <c r="Y130" s="4">
        <v>0.85399999999999998</v>
      </c>
      <c r="Z130" s="4">
        <v>1</v>
      </c>
      <c r="AA130" s="4"/>
      <c r="AB130" s="4">
        <v>0.438</v>
      </c>
      <c r="AC130" s="4">
        <v>0.28599999999999998</v>
      </c>
      <c r="AD130" s="10">
        <f t="shared" si="12"/>
        <v>0.89356599999999997</v>
      </c>
      <c r="AE130" s="9"/>
      <c r="AF130" s="9"/>
      <c r="AG130" s="12">
        <f t="shared" si="13"/>
        <v>21.8</v>
      </c>
      <c r="AH130" s="12">
        <f t="shared" si="13"/>
        <v>31.1</v>
      </c>
      <c r="AI130" s="12">
        <f t="shared" si="13"/>
        <v>78.100000000000009</v>
      </c>
      <c r="AJ130" s="12">
        <f t="shared" si="13"/>
        <v>20.7</v>
      </c>
      <c r="AK130" s="12"/>
      <c r="AL130" s="12">
        <f t="shared" si="21"/>
        <v>74.3</v>
      </c>
      <c r="AM130" s="12">
        <f t="shared" si="21"/>
        <v>91.2</v>
      </c>
      <c r="AN130" s="12">
        <f t="shared" si="21"/>
        <v>35.5</v>
      </c>
      <c r="AO130" s="12">
        <f t="shared" si="19"/>
        <v>45.300000000000004</v>
      </c>
      <c r="AP130" s="12">
        <f t="shared" si="19"/>
        <v>69.899999999999991</v>
      </c>
      <c r="AQ130" s="12">
        <f t="shared" si="19"/>
        <v>25.6</v>
      </c>
      <c r="AR130" s="12"/>
      <c r="AS130" s="12">
        <f t="shared" si="22"/>
        <v>77</v>
      </c>
      <c r="AT130" s="12">
        <f t="shared" si="22"/>
        <v>77</v>
      </c>
      <c r="AU130" s="12">
        <f t="shared" si="22"/>
        <v>8.1</v>
      </c>
      <c r="AV130" s="12">
        <f t="shared" si="20"/>
        <v>67.7</v>
      </c>
      <c r="AW130" s="12">
        <f t="shared" si="20"/>
        <v>43.7</v>
      </c>
      <c r="AX130" s="12">
        <f t="shared" si="20"/>
        <v>57.3</v>
      </c>
      <c r="AY130" s="12"/>
      <c r="AZ130" s="12">
        <f t="shared" si="14"/>
        <v>5</v>
      </c>
      <c r="BA130" s="12">
        <f t="shared" si="15"/>
        <v>33.899999999999991</v>
      </c>
      <c r="BB130" s="12"/>
      <c r="BC130" s="12">
        <f t="shared" si="16"/>
        <v>92.800000000000011</v>
      </c>
      <c r="BD130" s="12">
        <f t="shared" si="17"/>
        <v>34.4</v>
      </c>
      <c r="BE130" s="12">
        <f t="shared" si="18"/>
        <v>10.399999999999991</v>
      </c>
    </row>
    <row r="131" spans="1:57" ht="15.75" customHeight="1" x14ac:dyDescent="0.25">
      <c r="A131" s="1" t="s">
        <v>217</v>
      </c>
      <c r="B131" s="3" t="s">
        <v>137</v>
      </c>
      <c r="C131" s="4" t="s">
        <v>8</v>
      </c>
      <c r="D131" s="4">
        <v>38</v>
      </c>
      <c r="E131" s="4">
        <v>435</v>
      </c>
      <c r="F131" s="4">
        <v>38</v>
      </c>
      <c r="G131" s="4">
        <v>435</v>
      </c>
      <c r="H131" s="4">
        <v>0.38100000000000001</v>
      </c>
      <c r="I131" s="4">
        <v>20.399999999999999</v>
      </c>
      <c r="J131" s="4"/>
      <c r="K131" s="4">
        <v>0.23699999999999999</v>
      </c>
      <c r="L131" s="4">
        <v>0.124</v>
      </c>
      <c r="M131" s="4">
        <v>0.113</v>
      </c>
      <c r="N131" s="4">
        <v>0</v>
      </c>
      <c r="O131" s="4">
        <v>0</v>
      </c>
      <c r="P131" s="4">
        <v>0.76300000000000001</v>
      </c>
      <c r="Q131" s="4"/>
      <c r="R131" s="4">
        <v>0.435</v>
      </c>
      <c r="S131" s="4">
        <v>0.75</v>
      </c>
      <c r="T131" s="4">
        <v>9.0999999999999998E-2</v>
      </c>
      <c r="U131" s="4">
        <v>0</v>
      </c>
      <c r="V131" s="4">
        <v>0</v>
      </c>
      <c r="W131" s="4">
        <v>0.36499999999999999</v>
      </c>
      <c r="X131" s="4"/>
      <c r="Y131" s="4">
        <v>0.6</v>
      </c>
      <c r="Z131" s="4">
        <v>0.92600000000000005</v>
      </c>
      <c r="AA131" s="4"/>
      <c r="AB131" s="4">
        <v>0.20300000000000001</v>
      </c>
      <c r="AC131" s="4">
        <v>0.2</v>
      </c>
      <c r="AD131" s="10">
        <f t="shared" si="12"/>
        <v>0.84873799999999999</v>
      </c>
      <c r="AE131" s="9"/>
      <c r="AF131" s="9"/>
      <c r="AG131" s="12">
        <f t="shared" si="13"/>
        <v>53</v>
      </c>
      <c r="AH131" s="12">
        <f t="shared" si="13"/>
        <v>30.599999999999998</v>
      </c>
      <c r="AI131" s="12">
        <f t="shared" si="13"/>
        <v>20.200000000000003</v>
      </c>
      <c r="AJ131" s="12">
        <f t="shared" si="13"/>
        <v>95</v>
      </c>
      <c r="AK131" s="12"/>
      <c r="AL131" s="12">
        <f t="shared" si="21"/>
        <v>1.6</v>
      </c>
      <c r="AM131" s="12">
        <f t="shared" si="21"/>
        <v>26.200000000000003</v>
      </c>
      <c r="AN131" s="12">
        <f t="shared" si="21"/>
        <v>6.5</v>
      </c>
      <c r="AO131" s="12">
        <f t="shared" si="19"/>
        <v>0</v>
      </c>
      <c r="AP131" s="12">
        <f t="shared" si="19"/>
        <v>0</v>
      </c>
      <c r="AQ131" s="12">
        <f t="shared" si="19"/>
        <v>98.3</v>
      </c>
      <c r="AR131" s="12"/>
      <c r="AS131" s="12">
        <f t="shared" si="22"/>
        <v>15.8</v>
      </c>
      <c r="AT131" s="12">
        <f t="shared" si="22"/>
        <v>77</v>
      </c>
      <c r="AU131" s="12">
        <f t="shared" si="22"/>
        <v>0</v>
      </c>
      <c r="AV131" s="12">
        <f t="shared" si="20"/>
        <v>0</v>
      </c>
      <c r="AW131" s="12">
        <f t="shared" si="20"/>
        <v>0</v>
      </c>
      <c r="AX131" s="12">
        <f t="shared" si="20"/>
        <v>66.100000000000009</v>
      </c>
      <c r="AY131" s="12"/>
      <c r="AZ131" s="12">
        <f t="shared" si="14"/>
        <v>52</v>
      </c>
      <c r="BA131" s="12">
        <f t="shared" si="15"/>
        <v>55.8</v>
      </c>
      <c r="BB131" s="12"/>
      <c r="BC131" s="12">
        <f t="shared" si="16"/>
        <v>57.9</v>
      </c>
      <c r="BD131" s="12">
        <f t="shared" si="17"/>
        <v>16.900000000000002</v>
      </c>
      <c r="BE131" s="12">
        <f t="shared" si="18"/>
        <v>21.899999999999991</v>
      </c>
    </row>
    <row r="132" spans="1:57" ht="15.75" customHeight="1" x14ac:dyDescent="0.25">
      <c r="A132" s="1" t="s">
        <v>273</v>
      </c>
      <c r="B132" s="3" t="s">
        <v>96</v>
      </c>
      <c r="C132" s="4" t="s">
        <v>85</v>
      </c>
      <c r="D132" s="4">
        <v>14</v>
      </c>
      <c r="E132" s="4">
        <v>431</v>
      </c>
      <c r="F132" s="4">
        <v>14</v>
      </c>
      <c r="G132" s="4">
        <v>431</v>
      </c>
      <c r="H132" s="4">
        <v>0.505</v>
      </c>
      <c r="I132" s="4">
        <v>11.3</v>
      </c>
      <c r="J132" s="4"/>
      <c r="K132" s="4">
        <v>0.73899999999999999</v>
      </c>
      <c r="L132" s="4">
        <v>0.23400000000000001</v>
      </c>
      <c r="M132" s="4">
        <v>0.34</v>
      </c>
      <c r="N132" s="4">
        <v>0.112</v>
      </c>
      <c r="O132" s="4">
        <v>5.2999999999999999E-2</v>
      </c>
      <c r="P132" s="4">
        <v>0.26100000000000001</v>
      </c>
      <c r="Q132" s="4"/>
      <c r="R132" s="4">
        <v>0.53200000000000003</v>
      </c>
      <c r="S132" s="4">
        <v>0.65900000000000003</v>
      </c>
      <c r="T132" s="4">
        <v>0.46899999999999997</v>
      </c>
      <c r="U132" s="4">
        <v>0.61899999999999999</v>
      </c>
      <c r="V132" s="4">
        <v>0.2</v>
      </c>
      <c r="W132" s="4">
        <v>0.42899999999999999</v>
      </c>
      <c r="X132" s="4"/>
      <c r="Y132" s="4">
        <v>0.79700000000000004</v>
      </c>
      <c r="Z132" s="4">
        <v>0.95199999999999996</v>
      </c>
      <c r="AA132" s="4"/>
      <c r="AB132" s="4">
        <v>0.184</v>
      </c>
      <c r="AC132" s="4">
        <v>0.55600000000000005</v>
      </c>
      <c r="AD132" s="10">
        <f t="shared" si="12"/>
        <v>0.83745500000000006</v>
      </c>
      <c r="AE132" s="9"/>
      <c r="AF132" s="9"/>
      <c r="AG132" s="12">
        <f t="shared" si="13"/>
        <v>6.5</v>
      </c>
      <c r="AH132" s="12">
        <f t="shared" si="13"/>
        <v>30</v>
      </c>
      <c r="AI132" s="12">
        <f t="shared" si="13"/>
        <v>80.800000000000011</v>
      </c>
      <c r="AJ132" s="12">
        <f t="shared" ref="AJ132:AJ176" si="23">(PERCENTRANK(I$4:I$298,I132))*100</f>
        <v>26.200000000000003</v>
      </c>
      <c r="AK132" s="12"/>
      <c r="AL132" s="12">
        <f t="shared" si="21"/>
        <v>75.900000000000006</v>
      </c>
      <c r="AM132" s="12">
        <f t="shared" si="21"/>
        <v>65.5</v>
      </c>
      <c r="AN132" s="12">
        <f t="shared" si="21"/>
        <v>77.5</v>
      </c>
      <c r="AO132" s="12">
        <f t="shared" si="19"/>
        <v>77.5</v>
      </c>
      <c r="AP132" s="12">
        <f t="shared" si="19"/>
        <v>63.9</v>
      </c>
      <c r="AQ132" s="12">
        <f t="shared" si="19"/>
        <v>23.400000000000002</v>
      </c>
      <c r="AR132" s="12"/>
      <c r="AS132" s="12">
        <f t="shared" si="22"/>
        <v>62.8</v>
      </c>
      <c r="AT132" s="12">
        <f t="shared" si="22"/>
        <v>44.800000000000004</v>
      </c>
      <c r="AU132" s="12">
        <f t="shared" si="22"/>
        <v>60.099999999999994</v>
      </c>
      <c r="AV132" s="12">
        <f t="shared" si="20"/>
        <v>93.4</v>
      </c>
      <c r="AW132" s="12">
        <f t="shared" si="20"/>
        <v>28.4</v>
      </c>
      <c r="AX132" s="12">
        <f t="shared" si="20"/>
        <v>93.899999999999991</v>
      </c>
      <c r="AY132" s="12"/>
      <c r="AZ132" s="12">
        <f t="shared" si="14"/>
        <v>15.900000000000006</v>
      </c>
      <c r="BA132" s="12">
        <f t="shared" si="15"/>
        <v>45.4</v>
      </c>
      <c r="BB132" s="12"/>
      <c r="BC132" s="12">
        <f t="shared" si="16"/>
        <v>49.1</v>
      </c>
      <c r="BD132" s="12">
        <f t="shared" si="17"/>
        <v>87.4</v>
      </c>
      <c r="BE132" s="12">
        <f t="shared" si="18"/>
        <v>26.299999999999997</v>
      </c>
    </row>
    <row r="133" spans="1:57" ht="15.75" customHeight="1" x14ac:dyDescent="0.25">
      <c r="A133" s="1" t="s">
        <v>216</v>
      </c>
      <c r="B133" s="3" t="s">
        <v>107</v>
      </c>
      <c r="C133" s="4" t="s">
        <v>85</v>
      </c>
      <c r="D133" s="4">
        <v>36</v>
      </c>
      <c r="E133" s="4">
        <v>426</v>
      </c>
      <c r="F133" s="4">
        <v>36</v>
      </c>
      <c r="G133" s="4">
        <v>426</v>
      </c>
      <c r="H133" s="4">
        <v>0.49099999999999999</v>
      </c>
      <c r="I133" s="4">
        <v>6.3</v>
      </c>
      <c r="J133" s="4"/>
      <c r="K133" s="4">
        <v>0.94299999999999995</v>
      </c>
      <c r="L133" s="4">
        <v>0.377</v>
      </c>
      <c r="M133" s="4">
        <v>0.39600000000000002</v>
      </c>
      <c r="N133" s="4">
        <v>0.104</v>
      </c>
      <c r="O133" s="4">
        <v>6.6000000000000003E-2</v>
      </c>
      <c r="P133" s="4">
        <v>5.7000000000000002E-2</v>
      </c>
      <c r="Q133" s="4"/>
      <c r="R133" s="4">
        <v>0.5</v>
      </c>
      <c r="S133" s="4">
        <v>0.72499999999999998</v>
      </c>
      <c r="T133" s="4">
        <v>0.38100000000000001</v>
      </c>
      <c r="U133" s="4">
        <v>0.36399999999999999</v>
      </c>
      <c r="V133" s="4">
        <v>0.14299999999999999</v>
      </c>
      <c r="W133" s="4">
        <v>0.33300000000000002</v>
      </c>
      <c r="X133" s="4"/>
      <c r="Y133" s="4">
        <v>0.74</v>
      </c>
      <c r="Z133" s="4">
        <v>1</v>
      </c>
      <c r="AA133" s="4"/>
      <c r="AB133" s="4">
        <v>0.16700000000000001</v>
      </c>
      <c r="AC133" s="4">
        <v>0</v>
      </c>
      <c r="AD133" s="10">
        <f t="shared" ref="AD133:AD181" si="24">(K133*Y133+P133*Z133)</f>
        <v>0.75482000000000005</v>
      </c>
      <c r="AE133" s="9"/>
      <c r="AF133" s="9"/>
      <c r="AG133" s="12">
        <f t="shared" ref="AG133:AI148" si="25">(PERCENTRANK(F$4:F$298,F133))*100</f>
        <v>45.300000000000004</v>
      </c>
      <c r="AH133" s="12">
        <f t="shared" si="25"/>
        <v>29.5</v>
      </c>
      <c r="AI133" s="12">
        <f t="shared" si="25"/>
        <v>74.3</v>
      </c>
      <c r="AJ133" s="12">
        <f t="shared" si="23"/>
        <v>7.1</v>
      </c>
      <c r="AK133" s="12"/>
      <c r="AL133" s="12">
        <f t="shared" si="21"/>
        <v>92.300000000000011</v>
      </c>
      <c r="AM133" s="12">
        <f t="shared" si="21"/>
        <v>88.5</v>
      </c>
      <c r="AN133" s="12">
        <f t="shared" si="21"/>
        <v>87.9</v>
      </c>
      <c r="AO133" s="12">
        <f t="shared" si="19"/>
        <v>72.599999999999994</v>
      </c>
      <c r="AP133" s="12">
        <f t="shared" si="19"/>
        <v>74.3</v>
      </c>
      <c r="AQ133" s="12">
        <f t="shared" si="19"/>
        <v>7.6</v>
      </c>
      <c r="AR133" s="12"/>
      <c r="AS133" s="12">
        <f t="shared" si="22"/>
        <v>41.5</v>
      </c>
      <c r="AT133" s="12">
        <f t="shared" si="22"/>
        <v>69.899999999999991</v>
      </c>
      <c r="AU133" s="12">
        <f t="shared" si="22"/>
        <v>23.400000000000002</v>
      </c>
      <c r="AV133" s="12">
        <f t="shared" si="20"/>
        <v>52.400000000000006</v>
      </c>
      <c r="AW133" s="12">
        <f t="shared" si="20"/>
        <v>25.1</v>
      </c>
      <c r="AX133" s="12">
        <f t="shared" si="20"/>
        <v>52.400000000000006</v>
      </c>
      <c r="AY133" s="12"/>
      <c r="AZ133" s="12">
        <f t="shared" ref="AZ133:AZ176" si="26">100-(PERCENTRANK(Y$4:Y$298,Y133))*100</f>
        <v>25.200000000000003</v>
      </c>
      <c r="BA133" s="12">
        <f t="shared" ref="BA133:BA176" si="27">100-(PERCENTRANK(Z$4:Z$298,Z133))*100</f>
        <v>33.899999999999991</v>
      </c>
      <c r="BB133" s="12"/>
      <c r="BC133" s="12">
        <f t="shared" ref="BC133:BC176" si="28">(PERCENTRANK(AB$4:AB$298,AB133))*100</f>
        <v>42.6</v>
      </c>
      <c r="BD133" s="12">
        <f t="shared" ref="BD133:BD176" si="29">(PERCENTRANK(AC$4:AC$298,AC133))*100</f>
        <v>0</v>
      </c>
      <c r="BE133" s="12">
        <f t="shared" ref="BE133:BE176" si="30">100-(PERCENTRANK(AD$4:AD$298,AD133))*100</f>
        <v>43.8</v>
      </c>
    </row>
    <row r="134" spans="1:57" ht="15.75" customHeight="1" x14ac:dyDescent="0.25">
      <c r="A134" s="1" t="s">
        <v>192</v>
      </c>
      <c r="B134" s="3" t="s">
        <v>96</v>
      </c>
      <c r="C134" s="4" t="s">
        <v>8</v>
      </c>
      <c r="D134" s="4">
        <v>37</v>
      </c>
      <c r="E134" s="4">
        <v>423</v>
      </c>
      <c r="F134" s="4">
        <v>37</v>
      </c>
      <c r="G134" s="4">
        <v>423</v>
      </c>
      <c r="H134" s="4">
        <v>0.44700000000000001</v>
      </c>
      <c r="I134" s="4">
        <v>19.3</v>
      </c>
      <c r="J134" s="4"/>
      <c r="K134" s="4">
        <v>0.318</v>
      </c>
      <c r="L134" s="4">
        <v>0.11799999999999999</v>
      </c>
      <c r="M134" s="4">
        <v>0.11799999999999999</v>
      </c>
      <c r="N134" s="4">
        <v>3.5000000000000003E-2</v>
      </c>
      <c r="O134" s="4">
        <v>4.7E-2</v>
      </c>
      <c r="P134" s="4">
        <v>0.68200000000000005</v>
      </c>
      <c r="Q134" s="4"/>
      <c r="R134" s="4">
        <v>0.48099999999999998</v>
      </c>
      <c r="S134" s="4">
        <v>0.7</v>
      </c>
      <c r="T134" s="4">
        <v>0.3</v>
      </c>
      <c r="U134" s="4">
        <v>0.66700000000000004</v>
      </c>
      <c r="V134" s="4">
        <v>0.25</v>
      </c>
      <c r="W134" s="4">
        <v>0.43099999999999999</v>
      </c>
      <c r="X134" s="4"/>
      <c r="Y134" s="4">
        <v>0.92300000000000004</v>
      </c>
      <c r="Z134" s="4">
        <v>0.92</v>
      </c>
      <c r="AA134" s="4"/>
      <c r="AB134" s="4">
        <v>0.32800000000000001</v>
      </c>
      <c r="AC134" s="4">
        <v>0.42099999999999999</v>
      </c>
      <c r="AD134" s="10">
        <f t="shared" si="24"/>
        <v>0.92095400000000005</v>
      </c>
      <c r="AE134" s="9"/>
      <c r="AF134" s="9"/>
      <c r="AG134" s="12">
        <f t="shared" si="25"/>
        <v>48</v>
      </c>
      <c r="AH134" s="12">
        <f t="shared" si="25"/>
        <v>28.9</v>
      </c>
      <c r="AI134" s="12">
        <f t="shared" si="25"/>
        <v>56.8</v>
      </c>
      <c r="AJ134" s="12">
        <f t="shared" si="23"/>
        <v>92.300000000000011</v>
      </c>
      <c r="AK134" s="12"/>
      <c r="AL134" s="12">
        <f t="shared" si="21"/>
        <v>8.6999999999999993</v>
      </c>
      <c r="AM134" s="12">
        <f t="shared" si="21"/>
        <v>21.3</v>
      </c>
      <c r="AN134" s="12">
        <f t="shared" si="21"/>
        <v>7.6</v>
      </c>
      <c r="AO134" s="12">
        <f t="shared" si="19"/>
        <v>26.200000000000003</v>
      </c>
      <c r="AP134" s="12">
        <f t="shared" si="19"/>
        <v>58.4</v>
      </c>
      <c r="AQ134" s="12">
        <f t="shared" si="19"/>
        <v>91.2</v>
      </c>
      <c r="AR134" s="12"/>
      <c r="AS134" s="12">
        <f t="shared" si="22"/>
        <v>34.4</v>
      </c>
      <c r="AT134" s="12">
        <f t="shared" si="22"/>
        <v>61.7</v>
      </c>
      <c r="AU134" s="12">
        <f t="shared" si="22"/>
        <v>9.1999999999999993</v>
      </c>
      <c r="AV134" s="12">
        <f t="shared" si="20"/>
        <v>96.1</v>
      </c>
      <c r="AW134" s="12">
        <f t="shared" si="20"/>
        <v>32.700000000000003</v>
      </c>
      <c r="AX134" s="12">
        <f t="shared" si="20"/>
        <v>94.5</v>
      </c>
      <c r="AY134" s="12"/>
      <c r="AZ134" s="12">
        <f t="shared" si="26"/>
        <v>0.59999999999999432</v>
      </c>
      <c r="BA134" s="12">
        <f t="shared" si="27"/>
        <v>59.1</v>
      </c>
      <c r="BB134" s="12"/>
      <c r="BC134" s="12">
        <f t="shared" si="28"/>
        <v>80.800000000000011</v>
      </c>
      <c r="BD134" s="12">
        <f t="shared" si="29"/>
        <v>67.2</v>
      </c>
      <c r="BE134" s="12">
        <f t="shared" si="30"/>
        <v>5.5</v>
      </c>
    </row>
    <row r="135" spans="1:57" ht="15.75" customHeight="1" x14ac:dyDescent="0.25">
      <c r="A135" s="1" t="s">
        <v>229</v>
      </c>
      <c r="B135" s="3" t="s">
        <v>131</v>
      </c>
      <c r="C135" s="4" t="s">
        <v>8</v>
      </c>
      <c r="D135" s="4">
        <v>30</v>
      </c>
      <c r="E135" s="4">
        <v>407</v>
      </c>
      <c r="F135" s="4">
        <v>30</v>
      </c>
      <c r="G135" s="4">
        <v>407</v>
      </c>
      <c r="H135" s="4">
        <v>0.436</v>
      </c>
      <c r="I135" s="4">
        <v>8.1999999999999993</v>
      </c>
      <c r="J135" s="4"/>
      <c r="K135" s="4">
        <v>0.8</v>
      </c>
      <c r="L135" s="4">
        <v>0.45500000000000002</v>
      </c>
      <c r="M135" s="4">
        <v>0.29099999999999998</v>
      </c>
      <c r="N135" s="4">
        <v>1.7999999999999999E-2</v>
      </c>
      <c r="O135" s="4">
        <v>3.5999999999999997E-2</v>
      </c>
      <c r="P135" s="4">
        <v>0.2</v>
      </c>
      <c r="Q135" s="4"/>
      <c r="R135" s="4">
        <v>0.53400000000000003</v>
      </c>
      <c r="S135" s="4">
        <v>0.6</v>
      </c>
      <c r="T135" s="4">
        <v>0.46899999999999997</v>
      </c>
      <c r="U135" s="4">
        <v>0.5</v>
      </c>
      <c r="V135" s="4">
        <v>0.25</v>
      </c>
      <c r="W135" s="4">
        <v>4.4999999999999998E-2</v>
      </c>
      <c r="X135" s="4"/>
      <c r="Y135" s="4">
        <v>0.89400000000000002</v>
      </c>
      <c r="Z135" s="4">
        <v>0</v>
      </c>
      <c r="AA135" s="4"/>
      <c r="AB135" s="4">
        <v>0.36399999999999999</v>
      </c>
      <c r="AC135" s="4">
        <v>0.125</v>
      </c>
      <c r="AD135" s="10">
        <f t="shared" si="24"/>
        <v>0.71520000000000006</v>
      </c>
      <c r="AE135" s="9"/>
      <c r="AF135" s="9"/>
      <c r="AG135" s="12">
        <f t="shared" si="25"/>
        <v>30.599999999999998</v>
      </c>
      <c r="AH135" s="12">
        <f t="shared" si="25"/>
        <v>28.4</v>
      </c>
      <c r="AI135" s="12">
        <f t="shared" si="25"/>
        <v>51.300000000000004</v>
      </c>
      <c r="AJ135" s="12">
        <f t="shared" si="23"/>
        <v>13.100000000000001</v>
      </c>
      <c r="AK135" s="12"/>
      <c r="AL135" s="12">
        <f t="shared" si="21"/>
        <v>84.6</v>
      </c>
      <c r="AM135" s="12">
        <f t="shared" si="21"/>
        <v>93.4</v>
      </c>
      <c r="AN135" s="12">
        <f t="shared" si="21"/>
        <v>62.2</v>
      </c>
      <c r="AO135" s="12">
        <f t="shared" si="19"/>
        <v>11.4</v>
      </c>
      <c r="AP135" s="12">
        <f t="shared" si="19"/>
        <v>46.400000000000006</v>
      </c>
      <c r="AQ135" s="12">
        <f t="shared" si="19"/>
        <v>15.299999999999999</v>
      </c>
      <c r="AR135" s="12"/>
      <c r="AS135" s="12">
        <f t="shared" si="22"/>
        <v>64.400000000000006</v>
      </c>
      <c r="AT135" s="12">
        <f t="shared" si="22"/>
        <v>24.5</v>
      </c>
      <c r="AU135" s="12">
        <f t="shared" si="22"/>
        <v>60.099999999999994</v>
      </c>
      <c r="AV135" s="12">
        <f t="shared" si="20"/>
        <v>81.399999999999991</v>
      </c>
      <c r="AW135" s="12">
        <f t="shared" si="20"/>
        <v>32.700000000000003</v>
      </c>
      <c r="AX135" s="12">
        <f t="shared" si="20"/>
        <v>3.8</v>
      </c>
      <c r="AY135" s="12"/>
      <c r="AZ135" s="12">
        <f t="shared" si="26"/>
        <v>2.7999999999999972</v>
      </c>
      <c r="BA135" s="12">
        <f t="shared" si="27"/>
        <v>100</v>
      </c>
      <c r="BB135" s="12"/>
      <c r="BC135" s="12">
        <f t="shared" si="28"/>
        <v>85.2</v>
      </c>
      <c r="BD135" s="12">
        <f t="shared" si="29"/>
        <v>12.5</v>
      </c>
      <c r="BE135" s="12">
        <f t="shared" si="30"/>
        <v>55.8</v>
      </c>
    </row>
    <row r="136" spans="1:57" ht="15.75" customHeight="1" x14ac:dyDescent="0.25">
      <c r="A136" s="1" t="s">
        <v>253</v>
      </c>
      <c r="B136" s="3" t="s">
        <v>140</v>
      </c>
      <c r="C136" s="4" t="s">
        <v>8</v>
      </c>
      <c r="D136" s="4">
        <v>33</v>
      </c>
      <c r="E136" s="4">
        <v>404</v>
      </c>
      <c r="F136" s="4">
        <v>33</v>
      </c>
      <c r="G136" s="4">
        <v>404</v>
      </c>
      <c r="H136" s="4">
        <v>0.35799999999999998</v>
      </c>
      <c r="I136" s="4">
        <v>12.6</v>
      </c>
      <c r="J136" s="4"/>
      <c r="K136" s="4">
        <v>0.63300000000000001</v>
      </c>
      <c r="L136" s="4">
        <v>0.24199999999999999</v>
      </c>
      <c r="M136" s="4">
        <v>0.29199999999999998</v>
      </c>
      <c r="N136" s="4">
        <v>5.8000000000000003E-2</v>
      </c>
      <c r="O136" s="4">
        <v>4.2000000000000003E-2</v>
      </c>
      <c r="P136" s="4">
        <v>0.36699999999999999</v>
      </c>
      <c r="Q136" s="4"/>
      <c r="R136" s="4">
        <v>0.46100000000000002</v>
      </c>
      <c r="S136" s="4">
        <v>0.72399999999999998</v>
      </c>
      <c r="T136" s="4">
        <v>0.314</v>
      </c>
      <c r="U136" s="4">
        <v>0.14299999999999999</v>
      </c>
      <c r="V136" s="4">
        <v>0.4</v>
      </c>
      <c r="W136" s="4">
        <v>0.182</v>
      </c>
      <c r="X136" s="4"/>
      <c r="Y136" s="4">
        <v>0.22900000000000001</v>
      </c>
      <c r="Z136" s="4">
        <v>0.625</v>
      </c>
      <c r="AA136" s="4"/>
      <c r="AB136" s="4">
        <v>0.25</v>
      </c>
      <c r="AC136" s="4">
        <v>9.0999999999999998E-2</v>
      </c>
      <c r="AD136" s="10">
        <f t="shared" si="24"/>
        <v>0.374332</v>
      </c>
      <c r="AE136" s="9"/>
      <c r="AF136" s="9"/>
      <c r="AG136" s="12">
        <f t="shared" si="25"/>
        <v>38.200000000000003</v>
      </c>
      <c r="AH136" s="12">
        <f t="shared" si="25"/>
        <v>27.800000000000004</v>
      </c>
      <c r="AI136" s="12">
        <f t="shared" si="25"/>
        <v>9.1999999999999993</v>
      </c>
      <c r="AJ136" s="12">
        <f t="shared" si="23"/>
        <v>37.1</v>
      </c>
      <c r="AK136" s="12"/>
      <c r="AL136" s="12">
        <f t="shared" si="21"/>
        <v>58.4</v>
      </c>
      <c r="AM136" s="12">
        <f t="shared" si="21"/>
        <v>66.600000000000009</v>
      </c>
      <c r="AN136" s="12">
        <f t="shared" si="21"/>
        <v>62.8</v>
      </c>
      <c r="AO136" s="12">
        <f t="shared" si="19"/>
        <v>42.6</v>
      </c>
      <c r="AP136" s="12">
        <f t="shared" si="19"/>
        <v>55.7</v>
      </c>
      <c r="AQ136" s="12">
        <f t="shared" si="19"/>
        <v>41.5</v>
      </c>
      <c r="AR136" s="12"/>
      <c r="AS136" s="12">
        <f t="shared" si="22"/>
        <v>22.400000000000002</v>
      </c>
      <c r="AT136" s="12">
        <f t="shared" si="22"/>
        <v>69.3</v>
      </c>
      <c r="AU136" s="12">
        <f t="shared" si="22"/>
        <v>10.299999999999999</v>
      </c>
      <c r="AV136" s="12">
        <f t="shared" si="20"/>
        <v>21.3</v>
      </c>
      <c r="AW136" s="12">
        <f t="shared" si="20"/>
        <v>62.8</v>
      </c>
      <c r="AX136" s="12">
        <f t="shared" si="20"/>
        <v>8.1</v>
      </c>
      <c r="AY136" s="12"/>
      <c r="AZ136" s="12">
        <f t="shared" si="26"/>
        <v>94.6</v>
      </c>
      <c r="BA136" s="12">
        <f t="shared" si="27"/>
        <v>90.2</v>
      </c>
      <c r="BB136" s="12"/>
      <c r="BC136" s="12">
        <f t="shared" si="28"/>
        <v>68.300000000000011</v>
      </c>
      <c r="BD136" s="12">
        <f t="shared" si="29"/>
        <v>10.9</v>
      </c>
      <c r="BE136" s="12">
        <f t="shared" si="30"/>
        <v>95.7</v>
      </c>
    </row>
    <row r="137" spans="1:57" ht="15.75" customHeight="1" x14ac:dyDescent="0.25">
      <c r="A137" s="1" t="s">
        <v>226</v>
      </c>
      <c r="B137" s="3" t="s">
        <v>157</v>
      </c>
      <c r="C137" s="4" t="s">
        <v>8</v>
      </c>
      <c r="D137" s="4">
        <v>37</v>
      </c>
      <c r="E137" s="4">
        <v>394</v>
      </c>
      <c r="F137" s="4">
        <v>37</v>
      </c>
      <c r="G137" s="4">
        <v>394</v>
      </c>
      <c r="H137" s="4">
        <v>0.40500000000000003</v>
      </c>
      <c r="I137" s="4">
        <v>14.3</v>
      </c>
      <c r="J137" s="4"/>
      <c r="K137" s="4">
        <v>0.59499999999999997</v>
      </c>
      <c r="L137" s="4">
        <v>0.155</v>
      </c>
      <c r="M137" s="4">
        <v>0.32800000000000001</v>
      </c>
      <c r="N137" s="4">
        <v>5.1999999999999998E-2</v>
      </c>
      <c r="O137" s="4">
        <v>0.06</v>
      </c>
      <c r="P137" s="4">
        <v>0.40500000000000003</v>
      </c>
      <c r="Q137" s="4"/>
      <c r="R137" s="4">
        <v>0.52200000000000002</v>
      </c>
      <c r="S137" s="4">
        <v>0.72199999999999998</v>
      </c>
      <c r="T137" s="4">
        <v>0.52600000000000002</v>
      </c>
      <c r="U137" s="4">
        <v>0</v>
      </c>
      <c r="V137" s="4">
        <v>0.42899999999999999</v>
      </c>
      <c r="W137" s="4">
        <v>0.23400000000000001</v>
      </c>
      <c r="X137" s="4"/>
      <c r="Y137" s="4">
        <v>0.5</v>
      </c>
      <c r="Z137" s="4">
        <v>1</v>
      </c>
      <c r="AA137" s="4"/>
      <c r="AB137" s="4">
        <v>0.38300000000000001</v>
      </c>
      <c r="AC137" s="4">
        <v>0.27800000000000002</v>
      </c>
      <c r="AD137" s="10">
        <f t="shared" si="24"/>
        <v>0.70250000000000001</v>
      </c>
      <c r="AE137" s="9"/>
      <c r="AF137" s="9"/>
      <c r="AG137" s="12">
        <f t="shared" si="25"/>
        <v>48</v>
      </c>
      <c r="AH137" s="12">
        <f t="shared" si="25"/>
        <v>27.3</v>
      </c>
      <c r="AI137" s="12">
        <f t="shared" si="25"/>
        <v>32.200000000000003</v>
      </c>
      <c r="AJ137" s="12">
        <f t="shared" si="23"/>
        <v>51.9</v>
      </c>
      <c r="AK137" s="12"/>
      <c r="AL137" s="12">
        <f t="shared" si="21"/>
        <v>49.7</v>
      </c>
      <c r="AM137" s="12">
        <f t="shared" si="21"/>
        <v>35.5</v>
      </c>
      <c r="AN137" s="12">
        <f t="shared" si="21"/>
        <v>74.3</v>
      </c>
      <c r="AO137" s="12">
        <f t="shared" si="19"/>
        <v>38.200000000000003</v>
      </c>
      <c r="AP137" s="12">
        <f t="shared" si="19"/>
        <v>71.5</v>
      </c>
      <c r="AQ137" s="12">
        <f t="shared" si="19"/>
        <v>49.7</v>
      </c>
      <c r="AR137" s="12"/>
      <c r="AS137" s="12">
        <f t="shared" si="22"/>
        <v>54</v>
      </c>
      <c r="AT137" s="12">
        <f t="shared" si="22"/>
        <v>67.7</v>
      </c>
      <c r="AU137" s="12">
        <f t="shared" si="22"/>
        <v>83.6</v>
      </c>
      <c r="AV137" s="12">
        <f t="shared" si="20"/>
        <v>0</v>
      </c>
      <c r="AW137" s="12">
        <f t="shared" si="20"/>
        <v>72.599999999999994</v>
      </c>
      <c r="AX137" s="12">
        <f t="shared" si="20"/>
        <v>14.2</v>
      </c>
      <c r="AY137" s="12"/>
      <c r="AZ137" s="12">
        <f t="shared" si="26"/>
        <v>68.900000000000006</v>
      </c>
      <c r="BA137" s="12">
        <f t="shared" si="27"/>
        <v>33.899999999999991</v>
      </c>
      <c r="BB137" s="12"/>
      <c r="BC137" s="12">
        <f t="shared" si="28"/>
        <v>86.3</v>
      </c>
      <c r="BD137" s="12">
        <f t="shared" si="29"/>
        <v>32.700000000000003</v>
      </c>
      <c r="BE137" s="12">
        <f t="shared" si="30"/>
        <v>59.1</v>
      </c>
    </row>
    <row r="138" spans="1:57" ht="15.75" customHeight="1" x14ac:dyDescent="0.25">
      <c r="A138" s="1" t="s">
        <v>204</v>
      </c>
      <c r="B138" s="3" t="s">
        <v>128</v>
      </c>
      <c r="C138" s="4" t="s">
        <v>8</v>
      </c>
      <c r="D138" s="4">
        <v>34</v>
      </c>
      <c r="E138" s="4">
        <v>392</v>
      </c>
      <c r="F138" s="4">
        <v>34</v>
      </c>
      <c r="G138" s="4">
        <v>392</v>
      </c>
      <c r="H138" s="4">
        <v>0.36599999999999999</v>
      </c>
      <c r="I138" s="4">
        <v>18</v>
      </c>
      <c r="J138" s="4"/>
      <c r="K138" s="4">
        <v>0.35</v>
      </c>
      <c r="L138" s="4">
        <v>8.1000000000000003E-2</v>
      </c>
      <c r="M138" s="4">
        <v>0.22800000000000001</v>
      </c>
      <c r="N138" s="4">
        <v>3.3000000000000002E-2</v>
      </c>
      <c r="O138" s="4">
        <v>8.0000000000000002E-3</v>
      </c>
      <c r="P138" s="4">
        <v>0.65</v>
      </c>
      <c r="Q138" s="4"/>
      <c r="R138" s="4">
        <v>0.34899999999999998</v>
      </c>
      <c r="S138" s="4">
        <v>0.5</v>
      </c>
      <c r="T138" s="4">
        <v>0.28599999999999998</v>
      </c>
      <c r="U138" s="4">
        <v>0.25</v>
      </c>
      <c r="V138" s="4">
        <v>1</v>
      </c>
      <c r="W138" s="4">
        <v>0.375</v>
      </c>
      <c r="X138" s="4"/>
      <c r="Y138" s="4">
        <v>0.46700000000000003</v>
      </c>
      <c r="Z138" s="4">
        <v>0.93300000000000005</v>
      </c>
      <c r="AA138" s="4"/>
      <c r="AB138" s="4">
        <v>7.4999999999999997E-2</v>
      </c>
      <c r="AC138" s="4">
        <v>0.5</v>
      </c>
      <c r="AD138" s="10">
        <f t="shared" si="24"/>
        <v>0.76990000000000003</v>
      </c>
      <c r="AE138" s="9"/>
      <c r="AF138" s="9"/>
      <c r="AG138" s="12">
        <f t="shared" si="25"/>
        <v>39.300000000000004</v>
      </c>
      <c r="AH138" s="12">
        <f t="shared" si="25"/>
        <v>26.700000000000003</v>
      </c>
      <c r="AI138" s="12">
        <f t="shared" si="25"/>
        <v>12.5</v>
      </c>
      <c r="AJ138" s="12">
        <f t="shared" si="23"/>
        <v>84.1</v>
      </c>
      <c r="AK138" s="12"/>
      <c r="AL138" s="12">
        <f t="shared" si="21"/>
        <v>11.4</v>
      </c>
      <c r="AM138" s="12">
        <f t="shared" si="21"/>
        <v>10.299999999999999</v>
      </c>
      <c r="AN138" s="12">
        <f t="shared" si="21"/>
        <v>42.6</v>
      </c>
      <c r="AO138" s="12">
        <f t="shared" si="19"/>
        <v>22.900000000000002</v>
      </c>
      <c r="AP138" s="12">
        <f t="shared" si="19"/>
        <v>10.9</v>
      </c>
      <c r="AQ138" s="12">
        <f t="shared" si="19"/>
        <v>88.5</v>
      </c>
      <c r="AR138" s="12"/>
      <c r="AS138" s="12">
        <f t="shared" si="22"/>
        <v>3.2</v>
      </c>
      <c r="AT138" s="12">
        <f t="shared" si="22"/>
        <v>8.1</v>
      </c>
      <c r="AU138" s="12">
        <f t="shared" si="22"/>
        <v>5.4</v>
      </c>
      <c r="AV138" s="12">
        <f t="shared" si="20"/>
        <v>28.4</v>
      </c>
      <c r="AW138" s="12">
        <f t="shared" si="20"/>
        <v>98.3</v>
      </c>
      <c r="AX138" s="12">
        <f t="shared" si="20"/>
        <v>72.599999999999994</v>
      </c>
      <c r="AY138" s="12"/>
      <c r="AZ138" s="12">
        <f t="shared" si="26"/>
        <v>70</v>
      </c>
      <c r="BA138" s="12">
        <f t="shared" si="27"/>
        <v>53.1</v>
      </c>
      <c r="BB138" s="12"/>
      <c r="BC138" s="12">
        <f t="shared" si="28"/>
        <v>10.299999999999999</v>
      </c>
      <c r="BD138" s="12">
        <f t="shared" si="29"/>
        <v>80.300000000000011</v>
      </c>
      <c r="BE138" s="12">
        <f t="shared" si="30"/>
        <v>41.6</v>
      </c>
    </row>
    <row r="139" spans="1:57" ht="15.75" customHeight="1" x14ac:dyDescent="0.25">
      <c r="A139" s="1" t="s">
        <v>227</v>
      </c>
      <c r="B139" s="4" t="s">
        <v>161</v>
      </c>
      <c r="C139" s="4" t="s">
        <v>85</v>
      </c>
      <c r="D139" s="4">
        <v>37</v>
      </c>
      <c r="E139" s="4">
        <v>391</v>
      </c>
      <c r="F139" s="4">
        <v>37</v>
      </c>
      <c r="G139" s="4">
        <v>391</v>
      </c>
      <c r="H139" s="4">
        <v>0.373</v>
      </c>
      <c r="I139" s="4">
        <v>8.6</v>
      </c>
      <c r="J139" s="4"/>
      <c r="K139" s="4">
        <v>0.75900000000000001</v>
      </c>
      <c r="L139" s="4">
        <v>0.373</v>
      </c>
      <c r="M139" s="4">
        <v>0.33700000000000002</v>
      </c>
      <c r="N139" s="4">
        <v>3.5999999999999997E-2</v>
      </c>
      <c r="O139" s="4">
        <v>1.2E-2</v>
      </c>
      <c r="P139" s="4">
        <v>0.24099999999999999</v>
      </c>
      <c r="Q139" s="4"/>
      <c r="R139" s="4">
        <v>0.44400000000000001</v>
      </c>
      <c r="S139" s="4">
        <v>0.58099999999999996</v>
      </c>
      <c r="T139" s="4">
        <v>0.32100000000000001</v>
      </c>
      <c r="U139" s="4">
        <v>0.33300000000000002</v>
      </c>
      <c r="V139" s="4">
        <v>0</v>
      </c>
      <c r="W139" s="4">
        <v>0.15</v>
      </c>
      <c r="X139" s="4"/>
      <c r="Y139" s="4">
        <v>0.64300000000000002</v>
      </c>
      <c r="Z139" s="4">
        <v>1</v>
      </c>
      <c r="AA139" s="4"/>
      <c r="AB139" s="4">
        <v>0.65</v>
      </c>
      <c r="AC139" s="4">
        <v>0.23100000000000001</v>
      </c>
      <c r="AD139" s="10">
        <f t="shared" si="24"/>
        <v>0.72903699999999994</v>
      </c>
      <c r="AE139" s="9"/>
      <c r="AF139" s="9"/>
      <c r="AG139" s="12">
        <f t="shared" si="25"/>
        <v>48</v>
      </c>
      <c r="AH139" s="12">
        <f t="shared" si="25"/>
        <v>26.200000000000003</v>
      </c>
      <c r="AI139" s="12">
        <f t="shared" si="25"/>
        <v>17.399999999999999</v>
      </c>
      <c r="AJ139" s="12">
        <f t="shared" si="23"/>
        <v>14.7</v>
      </c>
      <c r="AK139" s="12"/>
      <c r="AL139" s="12">
        <f t="shared" si="21"/>
        <v>78.600000000000009</v>
      </c>
      <c r="AM139" s="12">
        <f t="shared" si="21"/>
        <v>87.9</v>
      </c>
      <c r="AN139" s="12">
        <f t="shared" si="21"/>
        <v>76.5</v>
      </c>
      <c r="AO139" s="12">
        <f t="shared" si="19"/>
        <v>26.700000000000003</v>
      </c>
      <c r="AP139" s="12">
        <f t="shared" si="19"/>
        <v>14.2</v>
      </c>
      <c r="AQ139" s="12">
        <f t="shared" si="19"/>
        <v>21.3</v>
      </c>
      <c r="AR139" s="12"/>
      <c r="AS139" s="12">
        <f t="shared" si="22"/>
        <v>16.900000000000002</v>
      </c>
      <c r="AT139" s="12">
        <f t="shared" si="22"/>
        <v>20.200000000000003</v>
      </c>
      <c r="AU139" s="12">
        <f t="shared" si="22"/>
        <v>11.4</v>
      </c>
      <c r="AV139" s="12">
        <f t="shared" si="20"/>
        <v>40.9</v>
      </c>
      <c r="AW139" s="12">
        <f t="shared" si="20"/>
        <v>0</v>
      </c>
      <c r="AX139" s="12">
        <f t="shared" si="20"/>
        <v>6.5</v>
      </c>
      <c r="AY139" s="12"/>
      <c r="AZ139" s="12">
        <f t="shared" si="26"/>
        <v>46.5</v>
      </c>
      <c r="BA139" s="12">
        <f t="shared" si="27"/>
        <v>33.899999999999991</v>
      </c>
      <c r="BB139" s="12"/>
      <c r="BC139" s="12">
        <f t="shared" si="28"/>
        <v>98.9</v>
      </c>
      <c r="BD139" s="12">
        <f t="shared" si="29"/>
        <v>21.8</v>
      </c>
      <c r="BE139" s="12">
        <f t="shared" si="30"/>
        <v>49.8</v>
      </c>
    </row>
    <row r="140" spans="1:57" ht="15.75" customHeight="1" x14ac:dyDescent="0.25">
      <c r="A140" s="1" t="s">
        <v>238</v>
      </c>
      <c r="B140" s="3" t="s">
        <v>232</v>
      </c>
      <c r="C140" s="4" t="s">
        <v>8</v>
      </c>
      <c r="D140" s="4">
        <v>29</v>
      </c>
      <c r="E140" s="4">
        <v>388</v>
      </c>
      <c r="F140" s="4">
        <v>29</v>
      </c>
      <c r="G140" s="4">
        <v>388</v>
      </c>
      <c r="H140" s="4">
        <v>0.41699999999999998</v>
      </c>
      <c r="I140" s="4">
        <v>14.6</v>
      </c>
      <c r="J140" s="4"/>
      <c r="K140" s="4">
        <v>0.60299999999999998</v>
      </c>
      <c r="L140" s="4">
        <v>0.13200000000000001</v>
      </c>
      <c r="M140" s="4">
        <v>0.27800000000000002</v>
      </c>
      <c r="N140" s="4">
        <v>0.14599999999999999</v>
      </c>
      <c r="O140" s="4">
        <v>4.5999999999999999E-2</v>
      </c>
      <c r="P140" s="4">
        <v>0.39700000000000002</v>
      </c>
      <c r="Q140" s="4"/>
      <c r="R140" s="4">
        <v>0.45100000000000001</v>
      </c>
      <c r="S140" s="4">
        <v>0.4</v>
      </c>
      <c r="T140" s="4">
        <v>0.45200000000000001</v>
      </c>
      <c r="U140" s="4">
        <v>0.5</v>
      </c>
      <c r="V140" s="4">
        <v>0.42899999999999999</v>
      </c>
      <c r="W140" s="4">
        <v>0.36699999999999999</v>
      </c>
      <c r="X140" s="4"/>
      <c r="Y140" s="4">
        <v>0.14599999999999999</v>
      </c>
      <c r="Z140" s="4">
        <v>0.72699999999999998</v>
      </c>
      <c r="AA140" s="4"/>
      <c r="AB140" s="4">
        <v>0.11700000000000001</v>
      </c>
      <c r="AC140" s="4">
        <v>0.42899999999999999</v>
      </c>
      <c r="AD140" s="10">
        <f t="shared" si="24"/>
        <v>0.37665700000000002</v>
      </c>
      <c r="AE140" s="9"/>
      <c r="AF140" s="9"/>
      <c r="AG140" s="12">
        <f t="shared" si="25"/>
        <v>28.9</v>
      </c>
      <c r="AH140" s="12">
        <f t="shared" si="25"/>
        <v>25.6</v>
      </c>
      <c r="AI140" s="12">
        <f t="shared" si="25"/>
        <v>37.1</v>
      </c>
      <c r="AJ140" s="12">
        <f t="shared" si="23"/>
        <v>54.6</v>
      </c>
      <c r="AK140" s="12"/>
      <c r="AL140" s="12">
        <f t="shared" si="21"/>
        <v>51.300000000000004</v>
      </c>
      <c r="AM140" s="12">
        <f t="shared" si="21"/>
        <v>27.3</v>
      </c>
      <c r="AN140" s="12">
        <f t="shared" si="21"/>
        <v>59</v>
      </c>
      <c r="AO140" s="12">
        <f t="shared" si="19"/>
        <v>87.9</v>
      </c>
      <c r="AP140" s="12">
        <f t="shared" si="19"/>
        <v>57.9</v>
      </c>
      <c r="AQ140" s="12">
        <f t="shared" si="19"/>
        <v>48</v>
      </c>
      <c r="AR140" s="12"/>
      <c r="AS140" s="12">
        <f t="shared" si="22"/>
        <v>19.100000000000001</v>
      </c>
      <c r="AT140" s="12">
        <f t="shared" si="22"/>
        <v>4.3</v>
      </c>
      <c r="AU140" s="12">
        <f t="shared" si="22"/>
        <v>51.300000000000004</v>
      </c>
      <c r="AV140" s="12">
        <f t="shared" si="20"/>
        <v>81.399999999999991</v>
      </c>
      <c r="AW140" s="12">
        <f t="shared" si="20"/>
        <v>72.599999999999994</v>
      </c>
      <c r="AX140" s="12">
        <f t="shared" si="20"/>
        <v>67.2</v>
      </c>
      <c r="AY140" s="12"/>
      <c r="AZ140" s="12">
        <f t="shared" si="26"/>
        <v>98.4</v>
      </c>
      <c r="BA140" s="12">
        <f t="shared" si="27"/>
        <v>84.2</v>
      </c>
      <c r="BB140" s="12"/>
      <c r="BC140" s="12">
        <f t="shared" si="28"/>
        <v>20.200000000000003</v>
      </c>
      <c r="BD140" s="12">
        <f t="shared" si="29"/>
        <v>68.300000000000011</v>
      </c>
      <c r="BE140" s="12">
        <f t="shared" si="30"/>
        <v>95.1</v>
      </c>
    </row>
    <row r="141" spans="1:57" ht="15.75" customHeight="1" x14ac:dyDescent="0.25">
      <c r="A141" s="1" t="s">
        <v>223</v>
      </c>
      <c r="B141" s="3" t="s">
        <v>128</v>
      </c>
      <c r="C141" s="4" t="s">
        <v>88</v>
      </c>
      <c r="D141" s="4">
        <v>41</v>
      </c>
      <c r="E141" s="4">
        <v>379</v>
      </c>
      <c r="F141" s="4">
        <v>41</v>
      </c>
      <c r="G141" s="4">
        <v>379</v>
      </c>
      <c r="H141" s="4">
        <v>0.57699999999999996</v>
      </c>
      <c r="I141" s="4">
        <v>4.0999999999999996</v>
      </c>
      <c r="J141" s="4"/>
      <c r="K141" s="4">
        <v>0.94199999999999995</v>
      </c>
      <c r="L141" s="4">
        <v>0.64700000000000002</v>
      </c>
      <c r="M141" s="4">
        <v>0.27600000000000002</v>
      </c>
      <c r="N141" s="4">
        <v>1.2999999999999999E-2</v>
      </c>
      <c r="O141" s="4">
        <v>6.0000000000000001E-3</v>
      </c>
      <c r="P141" s="4">
        <v>5.8000000000000003E-2</v>
      </c>
      <c r="Q141" s="4"/>
      <c r="R141" s="4">
        <v>0.60499999999999998</v>
      </c>
      <c r="S141" s="4">
        <v>0.68300000000000005</v>
      </c>
      <c r="T141" s="4">
        <v>0.41899999999999998</v>
      </c>
      <c r="U141" s="4">
        <v>0.5</v>
      </c>
      <c r="V141" s="4">
        <v>1</v>
      </c>
      <c r="W141" s="4">
        <v>0.111</v>
      </c>
      <c r="X141" s="4"/>
      <c r="Y141" s="4">
        <v>0.753</v>
      </c>
      <c r="Z141" s="4">
        <v>1</v>
      </c>
      <c r="AA141" s="4"/>
      <c r="AB141" s="4">
        <v>0.111</v>
      </c>
      <c r="AC141" s="4">
        <v>0</v>
      </c>
      <c r="AD141" s="10">
        <f t="shared" si="24"/>
        <v>0.76732600000000006</v>
      </c>
      <c r="AE141" s="9"/>
      <c r="AF141" s="9"/>
      <c r="AG141" s="12">
        <f t="shared" si="25"/>
        <v>69.3</v>
      </c>
      <c r="AH141" s="12">
        <f t="shared" si="25"/>
        <v>25.1</v>
      </c>
      <c r="AI141" s="12">
        <f t="shared" si="25"/>
        <v>97.2</v>
      </c>
      <c r="AJ141" s="12">
        <f t="shared" si="23"/>
        <v>2.1</v>
      </c>
      <c r="AK141" s="12"/>
      <c r="AL141" s="12">
        <f t="shared" si="21"/>
        <v>91.8</v>
      </c>
      <c r="AM141" s="12">
        <f t="shared" si="21"/>
        <v>99.4</v>
      </c>
      <c r="AN141" s="12">
        <f t="shared" si="21"/>
        <v>58.4</v>
      </c>
      <c r="AO141" s="12">
        <f t="shared" si="19"/>
        <v>7.6</v>
      </c>
      <c r="AP141" s="12">
        <f t="shared" si="19"/>
        <v>9.1999999999999993</v>
      </c>
      <c r="AQ141" s="12">
        <f t="shared" si="19"/>
        <v>8.1</v>
      </c>
      <c r="AR141" s="12"/>
      <c r="AS141" s="12">
        <f t="shared" si="22"/>
        <v>92.800000000000011</v>
      </c>
      <c r="AT141" s="12">
        <f t="shared" si="22"/>
        <v>53</v>
      </c>
      <c r="AU141" s="12">
        <f t="shared" si="22"/>
        <v>40.400000000000006</v>
      </c>
      <c r="AV141" s="12">
        <f t="shared" si="20"/>
        <v>81.399999999999991</v>
      </c>
      <c r="AW141" s="12">
        <f t="shared" si="20"/>
        <v>98.3</v>
      </c>
      <c r="AX141" s="12">
        <f t="shared" si="20"/>
        <v>4.9000000000000004</v>
      </c>
      <c r="AY141" s="12"/>
      <c r="AZ141" s="12">
        <f t="shared" si="26"/>
        <v>21.899999999999991</v>
      </c>
      <c r="BA141" s="12">
        <f t="shared" si="27"/>
        <v>33.899999999999991</v>
      </c>
      <c r="BB141" s="12"/>
      <c r="BC141" s="12">
        <f t="shared" si="28"/>
        <v>19.100000000000001</v>
      </c>
      <c r="BD141" s="12">
        <f t="shared" si="29"/>
        <v>0</v>
      </c>
      <c r="BE141" s="12">
        <f t="shared" si="30"/>
        <v>42.7</v>
      </c>
    </row>
    <row r="142" spans="1:57" ht="15.75" customHeight="1" x14ac:dyDescent="0.25">
      <c r="A142" s="1" t="s">
        <v>189</v>
      </c>
      <c r="B142" s="3" t="s">
        <v>140</v>
      </c>
      <c r="C142" s="4" t="s">
        <v>8</v>
      </c>
      <c r="D142" s="4">
        <v>37</v>
      </c>
      <c r="E142" s="4">
        <v>363</v>
      </c>
      <c r="F142" s="4">
        <v>37</v>
      </c>
      <c r="G142" s="4">
        <v>363</v>
      </c>
      <c r="H142" s="4">
        <v>0.307</v>
      </c>
      <c r="I142" s="4">
        <v>12.8</v>
      </c>
      <c r="J142" s="4"/>
      <c r="K142" s="4">
        <v>0.58399999999999996</v>
      </c>
      <c r="L142" s="4">
        <v>0.26700000000000002</v>
      </c>
      <c r="M142" s="4">
        <v>0.248</v>
      </c>
      <c r="N142" s="4">
        <v>0.03</v>
      </c>
      <c r="O142" s="4">
        <v>0.04</v>
      </c>
      <c r="P142" s="4">
        <v>0.41599999999999998</v>
      </c>
      <c r="Q142" s="4"/>
      <c r="R142" s="4">
        <v>0.39</v>
      </c>
      <c r="S142" s="4">
        <v>0.51900000000000002</v>
      </c>
      <c r="T142" s="4">
        <v>0.28000000000000003</v>
      </c>
      <c r="U142" s="4">
        <v>0</v>
      </c>
      <c r="V142" s="4">
        <v>0.5</v>
      </c>
      <c r="W142" s="4">
        <v>0.19</v>
      </c>
      <c r="X142" s="4"/>
      <c r="Y142" s="4">
        <v>0.56499999999999995</v>
      </c>
      <c r="Z142" s="4">
        <v>1</v>
      </c>
      <c r="AA142" s="4"/>
      <c r="AB142" s="4">
        <v>0.38100000000000001</v>
      </c>
      <c r="AC142" s="4">
        <v>0.25</v>
      </c>
      <c r="AD142" s="10">
        <f t="shared" si="24"/>
        <v>0.74595999999999996</v>
      </c>
      <c r="AE142" s="9"/>
      <c r="AF142" s="9"/>
      <c r="AG142" s="12">
        <f t="shared" si="25"/>
        <v>48</v>
      </c>
      <c r="AH142" s="12">
        <f t="shared" si="25"/>
        <v>24.5</v>
      </c>
      <c r="AI142" s="12">
        <f t="shared" si="25"/>
        <v>1.6</v>
      </c>
      <c r="AJ142" s="12">
        <f t="shared" si="23"/>
        <v>39.300000000000004</v>
      </c>
      <c r="AK142" s="12"/>
      <c r="AL142" s="12">
        <f t="shared" si="21"/>
        <v>48.6</v>
      </c>
      <c r="AM142" s="12">
        <f t="shared" si="21"/>
        <v>72.099999999999994</v>
      </c>
      <c r="AN142" s="12">
        <f t="shared" si="21"/>
        <v>49.1</v>
      </c>
      <c r="AO142" s="12">
        <f t="shared" si="19"/>
        <v>19.600000000000001</v>
      </c>
      <c r="AP142" s="12">
        <f t="shared" si="19"/>
        <v>51.9</v>
      </c>
      <c r="AQ142" s="12">
        <f t="shared" si="19"/>
        <v>51.300000000000004</v>
      </c>
      <c r="AR142" s="12"/>
      <c r="AS142" s="12">
        <f t="shared" si="22"/>
        <v>8.6999999999999993</v>
      </c>
      <c r="AT142" s="12">
        <f t="shared" si="22"/>
        <v>10.299999999999999</v>
      </c>
      <c r="AU142" s="12">
        <f t="shared" si="22"/>
        <v>4.9000000000000004</v>
      </c>
      <c r="AV142" s="12">
        <f t="shared" si="20"/>
        <v>0</v>
      </c>
      <c r="AW142" s="12">
        <f t="shared" si="20"/>
        <v>79.7</v>
      </c>
      <c r="AX142" s="12">
        <f t="shared" si="20"/>
        <v>10.299999999999999</v>
      </c>
      <c r="AY142" s="12"/>
      <c r="AZ142" s="12">
        <f t="shared" si="26"/>
        <v>58.5</v>
      </c>
      <c r="BA142" s="12">
        <f t="shared" si="27"/>
        <v>33.899999999999991</v>
      </c>
      <c r="BB142" s="12"/>
      <c r="BC142" s="12">
        <f t="shared" si="28"/>
        <v>85.7</v>
      </c>
      <c r="BD142" s="12">
        <f t="shared" si="29"/>
        <v>24.5</v>
      </c>
      <c r="BE142" s="12">
        <f t="shared" si="30"/>
        <v>46</v>
      </c>
    </row>
    <row r="143" spans="1:57" ht="15.75" customHeight="1" x14ac:dyDescent="0.25">
      <c r="A143" s="1" t="s">
        <v>135</v>
      </c>
      <c r="B143" s="3" t="s">
        <v>232</v>
      </c>
      <c r="C143" s="4" t="s">
        <v>88</v>
      </c>
      <c r="D143" s="4">
        <v>21</v>
      </c>
      <c r="E143" s="4">
        <v>348</v>
      </c>
      <c r="F143" s="4">
        <v>21</v>
      </c>
      <c r="G143" s="4">
        <v>348</v>
      </c>
      <c r="H143" s="4">
        <v>0.33</v>
      </c>
      <c r="I143" s="4">
        <v>16.399999999999999</v>
      </c>
      <c r="J143" s="4"/>
      <c r="K143" s="4">
        <v>0.45</v>
      </c>
      <c r="L143" s="4">
        <v>0.12</v>
      </c>
      <c r="M143" s="4">
        <v>0.26</v>
      </c>
      <c r="N143" s="4">
        <v>0.03</v>
      </c>
      <c r="O143" s="4">
        <v>0.04</v>
      </c>
      <c r="P143" s="4">
        <v>0.55000000000000004</v>
      </c>
      <c r="Q143" s="4"/>
      <c r="R143" s="4">
        <v>0.378</v>
      </c>
      <c r="S143" s="4">
        <v>0.58299999999999996</v>
      </c>
      <c r="T143" s="4">
        <v>0.34599999999999997</v>
      </c>
      <c r="U143" s="4">
        <v>0</v>
      </c>
      <c r="V143" s="4">
        <v>0.25</v>
      </c>
      <c r="W143" s="4">
        <v>0.29099999999999998</v>
      </c>
      <c r="X143" s="4"/>
      <c r="Y143" s="4">
        <v>0.88200000000000001</v>
      </c>
      <c r="Z143" s="4">
        <v>0.93799999999999994</v>
      </c>
      <c r="AA143" s="4"/>
      <c r="AB143" s="4">
        <v>0.218</v>
      </c>
      <c r="AC143" s="4">
        <v>0.33300000000000002</v>
      </c>
      <c r="AD143" s="10">
        <f t="shared" si="24"/>
        <v>0.91280000000000006</v>
      </c>
      <c r="AE143" s="9"/>
      <c r="AF143" s="9"/>
      <c r="AG143" s="12">
        <f t="shared" si="25"/>
        <v>18</v>
      </c>
      <c r="AH143" s="12">
        <f t="shared" si="25"/>
        <v>24</v>
      </c>
      <c r="AI143" s="12">
        <f t="shared" si="25"/>
        <v>3.8</v>
      </c>
      <c r="AJ143" s="12">
        <f t="shared" si="23"/>
        <v>72.099999999999994</v>
      </c>
      <c r="AK143" s="12"/>
      <c r="AL143" s="12">
        <f t="shared" ref="AL143:AQ160" si="31">(PERCENTRANK(K$4:K$298,K143))*100</f>
        <v>19.100000000000001</v>
      </c>
      <c r="AM143" s="12">
        <f t="shared" si="31"/>
        <v>22.400000000000002</v>
      </c>
      <c r="AN143" s="12">
        <f t="shared" si="31"/>
        <v>52.400000000000006</v>
      </c>
      <c r="AO143" s="12">
        <f t="shared" si="31"/>
        <v>19.600000000000001</v>
      </c>
      <c r="AP143" s="12">
        <f t="shared" si="31"/>
        <v>51.9</v>
      </c>
      <c r="AQ143" s="12">
        <f t="shared" si="31"/>
        <v>80.800000000000011</v>
      </c>
      <c r="AR143" s="12"/>
      <c r="AS143" s="12">
        <f t="shared" ref="AS143:AX160" si="32">(PERCENTRANK(R$4:R$298,R143))*100</f>
        <v>6.5</v>
      </c>
      <c r="AT143" s="12">
        <f t="shared" si="32"/>
        <v>20.7</v>
      </c>
      <c r="AU143" s="12">
        <f t="shared" si="32"/>
        <v>18.5</v>
      </c>
      <c r="AV143" s="12">
        <f t="shared" si="32"/>
        <v>0</v>
      </c>
      <c r="AW143" s="12">
        <f t="shared" si="32"/>
        <v>32.700000000000003</v>
      </c>
      <c r="AX143" s="12">
        <f t="shared" si="32"/>
        <v>33.800000000000004</v>
      </c>
      <c r="AY143" s="12"/>
      <c r="AZ143" s="12">
        <f t="shared" si="26"/>
        <v>3.2999999999999972</v>
      </c>
      <c r="BA143" s="12">
        <f t="shared" si="27"/>
        <v>50.9</v>
      </c>
      <c r="BB143" s="12"/>
      <c r="BC143" s="12">
        <f t="shared" si="28"/>
        <v>60.099999999999994</v>
      </c>
      <c r="BD143" s="12">
        <f t="shared" si="29"/>
        <v>44.2</v>
      </c>
      <c r="BE143" s="12">
        <f t="shared" si="30"/>
        <v>8.2000000000000028</v>
      </c>
    </row>
    <row r="144" spans="1:57" ht="15.75" customHeight="1" x14ac:dyDescent="0.25">
      <c r="A144" s="1" t="s">
        <v>272</v>
      </c>
      <c r="B144" s="3" t="s">
        <v>93</v>
      </c>
      <c r="C144" s="4" t="s">
        <v>8</v>
      </c>
      <c r="D144" s="4">
        <v>20</v>
      </c>
      <c r="E144" s="4">
        <v>347</v>
      </c>
      <c r="F144" s="4">
        <v>20</v>
      </c>
      <c r="G144" s="4">
        <v>347</v>
      </c>
      <c r="H144" s="4">
        <v>0.315</v>
      </c>
      <c r="I144" s="4">
        <v>21.1</v>
      </c>
      <c r="J144" s="4"/>
      <c r="K144" s="4">
        <v>0.24099999999999999</v>
      </c>
      <c r="L144" s="4">
        <v>2.8000000000000001E-2</v>
      </c>
      <c r="M144" s="4">
        <v>0.13</v>
      </c>
      <c r="N144" s="4">
        <v>5.6000000000000001E-2</v>
      </c>
      <c r="O144" s="4">
        <v>2.8000000000000001E-2</v>
      </c>
      <c r="P144" s="4">
        <v>0.75900000000000001</v>
      </c>
      <c r="Q144" s="4"/>
      <c r="R144" s="4">
        <v>0.308</v>
      </c>
      <c r="S144" s="4">
        <v>1</v>
      </c>
      <c r="T144" s="4">
        <v>0.14299999999999999</v>
      </c>
      <c r="U144" s="4">
        <v>0.33300000000000002</v>
      </c>
      <c r="V144" s="4">
        <v>0.33300000000000002</v>
      </c>
      <c r="W144" s="4">
        <v>0.317</v>
      </c>
      <c r="X144" s="4"/>
      <c r="Y144" s="4">
        <v>0.75</v>
      </c>
      <c r="Z144" s="4">
        <v>0.92300000000000004</v>
      </c>
      <c r="AA144" s="4"/>
      <c r="AB144" s="4">
        <v>0.183</v>
      </c>
      <c r="AC144" s="4">
        <v>0.2</v>
      </c>
      <c r="AD144" s="10">
        <f t="shared" si="24"/>
        <v>0.88130699999999995</v>
      </c>
      <c r="AE144" s="9"/>
      <c r="AF144" s="9"/>
      <c r="AG144" s="12">
        <f t="shared" si="25"/>
        <v>16.3</v>
      </c>
      <c r="AH144" s="12">
        <f t="shared" si="25"/>
        <v>23.400000000000002</v>
      </c>
      <c r="AI144" s="12">
        <f t="shared" si="25"/>
        <v>2.1</v>
      </c>
      <c r="AJ144" s="12">
        <f t="shared" si="23"/>
        <v>98.3</v>
      </c>
      <c r="AK144" s="12"/>
      <c r="AL144" s="12">
        <f t="shared" si="31"/>
        <v>2.1</v>
      </c>
      <c r="AM144" s="12">
        <f t="shared" si="31"/>
        <v>0.5</v>
      </c>
      <c r="AN144" s="12">
        <f t="shared" si="31"/>
        <v>10.9</v>
      </c>
      <c r="AO144" s="12">
        <f t="shared" si="31"/>
        <v>40.9</v>
      </c>
      <c r="AP144" s="12">
        <f t="shared" si="31"/>
        <v>35.5</v>
      </c>
      <c r="AQ144" s="12">
        <f t="shared" si="31"/>
        <v>97.8</v>
      </c>
      <c r="AR144" s="12"/>
      <c r="AS144" s="12">
        <f t="shared" si="32"/>
        <v>1.6</v>
      </c>
      <c r="AT144" s="12">
        <f t="shared" si="32"/>
        <v>97.8</v>
      </c>
      <c r="AU144" s="12">
        <f t="shared" si="32"/>
        <v>0.5</v>
      </c>
      <c r="AV144" s="12">
        <f t="shared" si="32"/>
        <v>40.9</v>
      </c>
      <c r="AW144" s="12">
        <f t="shared" si="32"/>
        <v>48</v>
      </c>
      <c r="AX144" s="12">
        <f t="shared" si="32"/>
        <v>43.7</v>
      </c>
      <c r="AY144" s="12"/>
      <c r="AZ144" s="12">
        <f t="shared" si="26"/>
        <v>23</v>
      </c>
      <c r="BA144" s="12">
        <f t="shared" si="27"/>
        <v>58.5</v>
      </c>
      <c r="BB144" s="12"/>
      <c r="BC144" s="12">
        <f t="shared" si="28"/>
        <v>48</v>
      </c>
      <c r="BD144" s="12">
        <f t="shared" si="29"/>
        <v>16.900000000000002</v>
      </c>
      <c r="BE144" s="12">
        <f t="shared" si="30"/>
        <v>13.700000000000003</v>
      </c>
    </row>
    <row r="145" spans="1:57" ht="15.75" customHeight="1" x14ac:dyDescent="0.25">
      <c r="A145" s="1" t="s">
        <v>239</v>
      </c>
      <c r="B145" s="3" t="s">
        <v>99</v>
      </c>
      <c r="C145" s="4" t="s">
        <v>85</v>
      </c>
      <c r="D145" s="4">
        <v>30</v>
      </c>
      <c r="E145" s="4">
        <v>342</v>
      </c>
      <c r="F145" s="4">
        <v>30</v>
      </c>
      <c r="G145" s="4">
        <v>342</v>
      </c>
      <c r="H145" s="4">
        <v>0.40699999999999997</v>
      </c>
      <c r="I145" s="4">
        <v>17.8</v>
      </c>
      <c r="J145" s="4"/>
      <c r="K145" s="4">
        <v>0.32200000000000001</v>
      </c>
      <c r="L145" s="4">
        <v>0.10199999999999999</v>
      </c>
      <c r="M145" s="4">
        <v>0.186</v>
      </c>
      <c r="N145" s="4">
        <v>3.4000000000000002E-2</v>
      </c>
      <c r="O145" s="4">
        <v>0</v>
      </c>
      <c r="P145" s="4">
        <v>0.67800000000000005</v>
      </c>
      <c r="Q145" s="4"/>
      <c r="R145" s="4">
        <v>0.52600000000000002</v>
      </c>
      <c r="S145" s="4">
        <v>0.66700000000000004</v>
      </c>
      <c r="T145" s="4">
        <v>0.45500000000000002</v>
      </c>
      <c r="U145" s="4">
        <v>0.5</v>
      </c>
      <c r="V145" s="4">
        <v>0</v>
      </c>
      <c r="W145" s="4">
        <v>0.35</v>
      </c>
      <c r="X145" s="4"/>
      <c r="Y145" s="4">
        <v>0.5</v>
      </c>
      <c r="Z145" s="4">
        <v>1</v>
      </c>
      <c r="AA145" s="4"/>
      <c r="AB145" s="4">
        <v>0.42499999999999999</v>
      </c>
      <c r="AC145" s="4">
        <v>0.17599999999999999</v>
      </c>
      <c r="AD145" s="10">
        <f t="shared" si="24"/>
        <v>0.83900000000000008</v>
      </c>
      <c r="AE145" s="9"/>
      <c r="AF145" s="9"/>
      <c r="AG145" s="12">
        <f t="shared" si="25"/>
        <v>30.599999999999998</v>
      </c>
      <c r="AH145" s="12">
        <f t="shared" si="25"/>
        <v>22.900000000000002</v>
      </c>
      <c r="AI145" s="12">
        <f t="shared" si="25"/>
        <v>34.4</v>
      </c>
      <c r="AJ145" s="12">
        <f t="shared" si="23"/>
        <v>83</v>
      </c>
      <c r="AK145" s="12"/>
      <c r="AL145" s="12">
        <f t="shared" si="31"/>
        <v>9.1999999999999993</v>
      </c>
      <c r="AM145" s="12">
        <f t="shared" si="31"/>
        <v>15.8</v>
      </c>
      <c r="AN145" s="12">
        <f t="shared" si="31"/>
        <v>27.800000000000004</v>
      </c>
      <c r="AO145" s="12">
        <f t="shared" si="31"/>
        <v>24</v>
      </c>
      <c r="AP145" s="12">
        <f t="shared" si="31"/>
        <v>0</v>
      </c>
      <c r="AQ145" s="12">
        <f t="shared" si="31"/>
        <v>90.7</v>
      </c>
      <c r="AR145" s="12"/>
      <c r="AS145" s="12">
        <f t="shared" si="32"/>
        <v>59</v>
      </c>
      <c r="AT145" s="12">
        <f t="shared" si="32"/>
        <v>46.400000000000006</v>
      </c>
      <c r="AU145" s="12">
        <f t="shared" si="32"/>
        <v>53</v>
      </c>
      <c r="AV145" s="12">
        <f t="shared" si="32"/>
        <v>81.399999999999991</v>
      </c>
      <c r="AW145" s="12">
        <f t="shared" si="32"/>
        <v>0</v>
      </c>
      <c r="AX145" s="12">
        <f t="shared" si="32"/>
        <v>61.199999999999996</v>
      </c>
      <c r="AY145" s="12"/>
      <c r="AZ145" s="12">
        <f t="shared" si="26"/>
        <v>68.900000000000006</v>
      </c>
      <c r="BA145" s="12">
        <f t="shared" si="27"/>
        <v>33.899999999999991</v>
      </c>
      <c r="BB145" s="12"/>
      <c r="BC145" s="12">
        <f t="shared" si="28"/>
        <v>90.7</v>
      </c>
      <c r="BD145" s="12">
        <f t="shared" si="29"/>
        <v>16.3</v>
      </c>
      <c r="BE145" s="12">
        <f t="shared" si="30"/>
        <v>25.700000000000003</v>
      </c>
    </row>
    <row r="146" spans="1:57" ht="15.75" customHeight="1" x14ac:dyDescent="0.25">
      <c r="A146" s="1" t="s">
        <v>246</v>
      </c>
      <c r="B146" s="3" t="s">
        <v>99</v>
      </c>
      <c r="C146" s="4" t="s">
        <v>88</v>
      </c>
      <c r="D146" s="4">
        <v>32</v>
      </c>
      <c r="E146" s="4">
        <v>334</v>
      </c>
      <c r="F146" s="4">
        <v>32</v>
      </c>
      <c r="G146" s="4">
        <v>334</v>
      </c>
      <c r="H146" s="4">
        <v>0.38800000000000001</v>
      </c>
      <c r="I146" s="4">
        <v>13.2</v>
      </c>
      <c r="J146" s="4"/>
      <c r="K146" s="4">
        <v>0.56299999999999994</v>
      </c>
      <c r="L146" s="4">
        <v>0.26300000000000001</v>
      </c>
      <c r="M146" s="4">
        <v>0.27500000000000002</v>
      </c>
      <c r="N146" s="4">
        <v>2.5000000000000001E-2</v>
      </c>
      <c r="O146" s="4">
        <v>0</v>
      </c>
      <c r="P146" s="4">
        <v>0.438</v>
      </c>
      <c r="Q146" s="4"/>
      <c r="R146" s="4">
        <v>0.51100000000000001</v>
      </c>
      <c r="S146" s="4">
        <v>0.81</v>
      </c>
      <c r="T146" s="4">
        <v>0.27300000000000002</v>
      </c>
      <c r="U146" s="4">
        <v>0</v>
      </c>
      <c r="V146" s="4">
        <v>0</v>
      </c>
      <c r="W146" s="4">
        <v>0.22900000000000001</v>
      </c>
      <c r="X146" s="4"/>
      <c r="Y146" s="4">
        <v>0.78300000000000003</v>
      </c>
      <c r="Z146" s="4">
        <v>1</v>
      </c>
      <c r="AA146" s="4"/>
      <c r="AB146" s="4">
        <v>0.17100000000000001</v>
      </c>
      <c r="AC146" s="4">
        <v>0.66700000000000004</v>
      </c>
      <c r="AD146" s="10">
        <f t="shared" si="24"/>
        <v>0.87882899999999997</v>
      </c>
      <c r="AE146" s="9"/>
      <c r="AF146" s="9"/>
      <c r="AG146" s="12">
        <f t="shared" si="25"/>
        <v>35.5</v>
      </c>
      <c r="AH146" s="12">
        <f t="shared" si="25"/>
        <v>22.400000000000002</v>
      </c>
      <c r="AI146" s="12">
        <f t="shared" si="25"/>
        <v>21.3</v>
      </c>
      <c r="AJ146" s="12">
        <f t="shared" si="23"/>
        <v>43.1</v>
      </c>
      <c r="AK146" s="12"/>
      <c r="AL146" s="12">
        <f t="shared" si="31"/>
        <v>41.5</v>
      </c>
      <c r="AM146" s="12">
        <f t="shared" si="31"/>
        <v>69.3</v>
      </c>
      <c r="AN146" s="12">
        <f t="shared" si="31"/>
        <v>57.9</v>
      </c>
      <c r="AO146" s="12">
        <f t="shared" si="31"/>
        <v>16.900000000000002</v>
      </c>
      <c r="AP146" s="12">
        <f t="shared" si="31"/>
        <v>0</v>
      </c>
      <c r="AQ146" s="12">
        <f t="shared" si="31"/>
        <v>58.4</v>
      </c>
      <c r="AR146" s="12"/>
      <c r="AS146" s="12">
        <f t="shared" si="32"/>
        <v>46.400000000000006</v>
      </c>
      <c r="AT146" s="12">
        <f t="shared" si="32"/>
        <v>91.2</v>
      </c>
      <c r="AU146" s="12">
        <f t="shared" si="32"/>
        <v>4.3</v>
      </c>
      <c r="AV146" s="12">
        <f t="shared" si="32"/>
        <v>0</v>
      </c>
      <c r="AW146" s="12">
        <f t="shared" si="32"/>
        <v>0</v>
      </c>
      <c r="AX146" s="12">
        <f t="shared" si="32"/>
        <v>13.600000000000001</v>
      </c>
      <c r="AY146" s="12"/>
      <c r="AZ146" s="12">
        <f t="shared" si="26"/>
        <v>16.400000000000006</v>
      </c>
      <c r="BA146" s="12">
        <f t="shared" si="27"/>
        <v>33.899999999999991</v>
      </c>
      <c r="BB146" s="12"/>
      <c r="BC146" s="12">
        <f t="shared" si="28"/>
        <v>45.300000000000004</v>
      </c>
      <c r="BD146" s="12">
        <f t="shared" si="29"/>
        <v>92.800000000000011</v>
      </c>
      <c r="BE146" s="12">
        <f t="shared" si="30"/>
        <v>14.299999999999997</v>
      </c>
    </row>
    <row r="147" spans="1:57" ht="15.75" customHeight="1" x14ac:dyDescent="0.25">
      <c r="A147" s="1" t="s">
        <v>218</v>
      </c>
      <c r="B147" s="3" t="s">
        <v>140</v>
      </c>
      <c r="C147" s="4" t="s">
        <v>85</v>
      </c>
      <c r="D147" s="4">
        <v>36</v>
      </c>
      <c r="E147" s="4">
        <v>326</v>
      </c>
      <c r="F147" s="4">
        <v>36</v>
      </c>
      <c r="G147" s="4">
        <v>326</v>
      </c>
      <c r="H147" s="4">
        <v>0.435</v>
      </c>
      <c r="I147" s="4">
        <v>11.6</v>
      </c>
      <c r="J147" s="4"/>
      <c r="K147" s="4">
        <v>0.65200000000000002</v>
      </c>
      <c r="L147" s="4">
        <v>0.28299999999999997</v>
      </c>
      <c r="M147" s="4">
        <v>0.30399999999999999</v>
      </c>
      <c r="N147" s="4">
        <v>6.5000000000000002E-2</v>
      </c>
      <c r="O147" s="4">
        <v>0</v>
      </c>
      <c r="P147" s="4">
        <v>0.34799999999999998</v>
      </c>
      <c r="Q147" s="4"/>
      <c r="R147" s="4">
        <v>0.6</v>
      </c>
      <c r="S147" s="4">
        <v>0.80800000000000005</v>
      </c>
      <c r="T147" s="4">
        <v>0.42899999999999999</v>
      </c>
      <c r="U147" s="4">
        <v>0.5</v>
      </c>
      <c r="V147" s="4">
        <v>0</v>
      </c>
      <c r="W147" s="4">
        <v>0.125</v>
      </c>
      <c r="X147" s="4"/>
      <c r="Y147" s="4">
        <v>0.83299999999999996</v>
      </c>
      <c r="Z147" s="4">
        <v>1</v>
      </c>
      <c r="AA147" s="4"/>
      <c r="AB147" s="4">
        <v>0.219</v>
      </c>
      <c r="AC147" s="4">
        <v>0.14299999999999999</v>
      </c>
      <c r="AD147" s="10">
        <f t="shared" si="24"/>
        <v>0.89111600000000002</v>
      </c>
      <c r="AE147" s="9"/>
      <c r="AF147" s="9"/>
      <c r="AG147" s="12">
        <f t="shared" si="25"/>
        <v>45.300000000000004</v>
      </c>
      <c r="AH147" s="12">
        <f t="shared" si="25"/>
        <v>21.8</v>
      </c>
      <c r="AI147" s="12">
        <f t="shared" si="25"/>
        <v>49.1</v>
      </c>
      <c r="AJ147" s="12">
        <f t="shared" si="23"/>
        <v>27.800000000000004</v>
      </c>
      <c r="AK147" s="12"/>
      <c r="AL147" s="12">
        <f t="shared" si="31"/>
        <v>63.9</v>
      </c>
      <c r="AM147" s="12">
        <f t="shared" si="31"/>
        <v>75.900000000000006</v>
      </c>
      <c r="AN147" s="12">
        <f t="shared" si="31"/>
        <v>67.2</v>
      </c>
      <c r="AO147" s="12">
        <f t="shared" si="31"/>
        <v>48.6</v>
      </c>
      <c r="AP147" s="12">
        <f t="shared" si="31"/>
        <v>0</v>
      </c>
      <c r="AQ147" s="12">
        <f t="shared" si="31"/>
        <v>36</v>
      </c>
      <c r="AR147" s="12"/>
      <c r="AS147" s="12">
        <f t="shared" si="32"/>
        <v>90.7</v>
      </c>
      <c r="AT147" s="12">
        <f t="shared" si="32"/>
        <v>90.7</v>
      </c>
      <c r="AU147" s="12">
        <f t="shared" si="32"/>
        <v>42.6</v>
      </c>
      <c r="AV147" s="12">
        <f t="shared" si="32"/>
        <v>81.399999999999991</v>
      </c>
      <c r="AW147" s="12">
        <f t="shared" si="32"/>
        <v>0</v>
      </c>
      <c r="AX147" s="12">
        <f t="shared" si="32"/>
        <v>5.4</v>
      </c>
      <c r="AY147" s="12"/>
      <c r="AZ147" s="12">
        <f t="shared" si="26"/>
        <v>7.6999999999999886</v>
      </c>
      <c r="BA147" s="12">
        <f t="shared" si="27"/>
        <v>33.899999999999991</v>
      </c>
      <c r="BB147" s="12"/>
      <c r="BC147" s="12">
        <f t="shared" si="28"/>
        <v>60.6</v>
      </c>
      <c r="BD147" s="12">
        <f t="shared" si="29"/>
        <v>13.100000000000001</v>
      </c>
      <c r="BE147" s="12">
        <f t="shared" si="30"/>
        <v>11</v>
      </c>
    </row>
    <row r="148" spans="1:57" ht="15.75" customHeight="1" x14ac:dyDescent="0.25">
      <c r="A148" s="1" t="s">
        <v>269</v>
      </c>
      <c r="B148" s="3" t="s">
        <v>232</v>
      </c>
      <c r="C148" s="4" t="s">
        <v>8</v>
      </c>
      <c r="D148" s="4">
        <v>29</v>
      </c>
      <c r="E148" s="4">
        <v>325</v>
      </c>
      <c r="F148" s="4">
        <v>29</v>
      </c>
      <c r="G148" s="4">
        <v>325</v>
      </c>
      <c r="H148" s="4">
        <v>0.39300000000000002</v>
      </c>
      <c r="I148" s="4">
        <v>15.8</v>
      </c>
      <c r="J148" s="4"/>
      <c r="K148" s="4">
        <v>0.505</v>
      </c>
      <c r="L148" s="4">
        <v>0.121</v>
      </c>
      <c r="M148" s="4">
        <v>0.33600000000000002</v>
      </c>
      <c r="N148" s="4">
        <v>3.6999999999999998E-2</v>
      </c>
      <c r="O148" s="4">
        <v>8.9999999999999993E-3</v>
      </c>
      <c r="P148" s="4">
        <v>0.495</v>
      </c>
      <c r="Q148" s="4"/>
      <c r="R148" s="4">
        <v>0.59299999999999997</v>
      </c>
      <c r="S148" s="4">
        <v>0.61499999999999999</v>
      </c>
      <c r="T148" s="4">
        <v>0.55600000000000005</v>
      </c>
      <c r="U148" s="4">
        <v>1</v>
      </c>
      <c r="V148" s="4">
        <v>0</v>
      </c>
      <c r="W148" s="4">
        <v>0.189</v>
      </c>
      <c r="X148" s="4"/>
      <c r="Y148" s="4">
        <v>0.75</v>
      </c>
      <c r="Z148" s="4">
        <v>0.6</v>
      </c>
      <c r="AA148" s="4"/>
      <c r="AB148" s="4">
        <v>5.7000000000000002E-2</v>
      </c>
      <c r="AC148" s="4">
        <v>0</v>
      </c>
      <c r="AD148" s="10">
        <f t="shared" si="24"/>
        <v>0.67575000000000007</v>
      </c>
      <c r="AE148" s="9"/>
      <c r="AF148" s="9"/>
      <c r="AG148" s="12">
        <f t="shared" si="25"/>
        <v>28.9</v>
      </c>
      <c r="AH148" s="12">
        <f t="shared" si="25"/>
        <v>21.3</v>
      </c>
      <c r="AI148" s="12">
        <f t="shared" si="25"/>
        <v>24</v>
      </c>
      <c r="AJ148" s="12">
        <f t="shared" si="23"/>
        <v>66.600000000000009</v>
      </c>
      <c r="AK148" s="12"/>
      <c r="AL148" s="12">
        <f t="shared" si="31"/>
        <v>32.200000000000003</v>
      </c>
      <c r="AM148" s="12">
        <f t="shared" si="31"/>
        <v>24</v>
      </c>
      <c r="AN148" s="12">
        <f t="shared" si="31"/>
        <v>75.900000000000006</v>
      </c>
      <c r="AO148" s="12">
        <f t="shared" si="31"/>
        <v>28.9</v>
      </c>
      <c r="AP148" s="12">
        <f t="shared" si="31"/>
        <v>11.4</v>
      </c>
      <c r="AQ148" s="12">
        <f t="shared" si="31"/>
        <v>67.7</v>
      </c>
      <c r="AR148" s="12"/>
      <c r="AS148" s="12">
        <f t="shared" si="32"/>
        <v>90.100000000000009</v>
      </c>
      <c r="AT148" s="12">
        <f t="shared" si="32"/>
        <v>31.6</v>
      </c>
      <c r="AU148" s="12">
        <f t="shared" si="32"/>
        <v>90.100000000000009</v>
      </c>
      <c r="AV148" s="12">
        <f t="shared" si="32"/>
        <v>98.9</v>
      </c>
      <c r="AW148" s="12">
        <f t="shared" si="32"/>
        <v>0</v>
      </c>
      <c r="AX148" s="12">
        <f t="shared" si="32"/>
        <v>9.8000000000000007</v>
      </c>
      <c r="AY148" s="12"/>
      <c r="AZ148" s="12">
        <f t="shared" si="26"/>
        <v>23</v>
      </c>
      <c r="BA148" s="12">
        <f t="shared" si="27"/>
        <v>91.9</v>
      </c>
      <c r="BB148" s="12"/>
      <c r="BC148" s="12">
        <f t="shared" si="28"/>
        <v>7.1</v>
      </c>
      <c r="BD148" s="12">
        <f t="shared" si="29"/>
        <v>0</v>
      </c>
      <c r="BE148" s="12">
        <f t="shared" si="30"/>
        <v>64.5</v>
      </c>
    </row>
    <row r="149" spans="1:57" ht="15.75" customHeight="1" x14ac:dyDescent="0.25">
      <c r="A149" s="1" t="s">
        <v>205</v>
      </c>
      <c r="B149" s="3" t="s">
        <v>117</v>
      </c>
      <c r="C149" s="4" t="s">
        <v>85</v>
      </c>
      <c r="D149" s="4">
        <v>29</v>
      </c>
      <c r="E149" s="4">
        <v>324</v>
      </c>
      <c r="F149" s="4">
        <v>29</v>
      </c>
      <c r="G149" s="4">
        <v>324</v>
      </c>
      <c r="H149" s="4">
        <v>0.52400000000000002</v>
      </c>
      <c r="I149" s="4">
        <v>7.7</v>
      </c>
      <c r="J149" s="4"/>
      <c r="K149" s="4">
        <v>0.83499999999999996</v>
      </c>
      <c r="L149" s="4">
        <v>0.28199999999999997</v>
      </c>
      <c r="M149" s="4">
        <v>0.48499999999999999</v>
      </c>
      <c r="N149" s="4">
        <v>5.8000000000000003E-2</v>
      </c>
      <c r="O149" s="4">
        <v>0.01</v>
      </c>
      <c r="P149" s="4">
        <v>0.16500000000000001</v>
      </c>
      <c r="Q149" s="4"/>
      <c r="R149" s="4">
        <v>0.52300000000000002</v>
      </c>
      <c r="S149" s="4">
        <v>0.69</v>
      </c>
      <c r="T149" s="4">
        <v>0.48</v>
      </c>
      <c r="U149" s="4">
        <v>0.16700000000000001</v>
      </c>
      <c r="V149" s="4">
        <v>0</v>
      </c>
      <c r="W149" s="4">
        <v>0.52900000000000003</v>
      </c>
      <c r="X149" s="4"/>
      <c r="Y149" s="4">
        <v>0.77800000000000002</v>
      </c>
      <c r="Z149" s="4">
        <v>1</v>
      </c>
      <c r="AA149" s="4"/>
      <c r="AB149" s="4">
        <v>0.17599999999999999</v>
      </c>
      <c r="AC149" s="4">
        <v>0.66700000000000004</v>
      </c>
      <c r="AD149" s="10">
        <f t="shared" si="24"/>
        <v>0.81463000000000008</v>
      </c>
      <c r="AE149" s="9"/>
      <c r="AF149" s="9"/>
      <c r="AG149" s="12">
        <f t="shared" ref="AG149:AI164" si="33">(PERCENTRANK(F$4:F$298,F149))*100</f>
        <v>28.9</v>
      </c>
      <c r="AH149" s="12">
        <f t="shared" si="33"/>
        <v>20.7</v>
      </c>
      <c r="AI149" s="12">
        <f t="shared" si="33"/>
        <v>86.3</v>
      </c>
      <c r="AJ149" s="12">
        <f t="shared" si="23"/>
        <v>12.5</v>
      </c>
      <c r="AK149" s="12"/>
      <c r="AL149" s="12">
        <f t="shared" si="31"/>
        <v>85.7</v>
      </c>
      <c r="AM149" s="12">
        <f t="shared" si="31"/>
        <v>75.400000000000006</v>
      </c>
      <c r="AN149" s="12">
        <f t="shared" si="31"/>
        <v>98.3</v>
      </c>
      <c r="AO149" s="12">
        <f t="shared" si="31"/>
        <v>42.6</v>
      </c>
      <c r="AP149" s="12">
        <f t="shared" si="31"/>
        <v>12</v>
      </c>
      <c r="AQ149" s="12">
        <f t="shared" si="31"/>
        <v>14.2</v>
      </c>
      <c r="AR149" s="12"/>
      <c r="AS149" s="12">
        <f t="shared" si="32"/>
        <v>55.1</v>
      </c>
      <c r="AT149" s="12">
        <f t="shared" si="32"/>
        <v>57.3</v>
      </c>
      <c r="AU149" s="12">
        <f t="shared" si="32"/>
        <v>63.9</v>
      </c>
      <c r="AV149" s="12">
        <f t="shared" si="32"/>
        <v>22.900000000000002</v>
      </c>
      <c r="AW149" s="12">
        <f t="shared" si="32"/>
        <v>0</v>
      </c>
      <c r="AX149" s="12">
        <f t="shared" si="32"/>
        <v>99.4</v>
      </c>
      <c r="AY149" s="12"/>
      <c r="AZ149" s="12">
        <f t="shared" si="26"/>
        <v>19.199999999999989</v>
      </c>
      <c r="BA149" s="12">
        <f t="shared" si="27"/>
        <v>33.899999999999991</v>
      </c>
      <c r="BB149" s="12"/>
      <c r="BC149" s="12">
        <f t="shared" si="28"/>
        <v>46.9</v>
      </c>
      <c r="BD149" s="12">
        <f t="shared" si="29"/>
        <v>92.800000000000011</v>
      </c>
      <c r="BE149" s="12">
        <f t="shared" si="30"/>
        <v>30.100000000000009</v>
      </c>
    </row>
    <row r="150" spans="1:57" ht="15.75" customHeight="1" x14ac:dyDescent="0.25">
      <c r="A150" s="1" t="s">
        <v>201</v>
      </c>
      <c r="B150" s="4" t="s">
        <v>107</v>
      </c>
      <c r="C150" s="4" t="s">
        <v>8</v>
      </c>
      <c r="D150" s="4">
        <v>34</v>
      </c>
      <c r="E150" s="4">
        <v>323</v>
      </c>
      <c r="F150" s="4">
        <v>34</v>
      </c>
      <c r="G150" s="4">
        <v>323</v>
      </c>
      <c r="H150" s="4">
        <v>0.36199999999999999</v>
      </c>
      <c r="I150" s="4">
        <v>17</v>
      </c>
      <c r="J150" s="4"/>
      <c r="K150" s="4">
        <v>0.47599999999999998</v>
      </c>
      <c r="L150" s="4">
        <v>0.114</v>
      </c>
      <c r="M150" s="4">
        <v>0.2</v>
      </c>
      <c r="N150" s="4">
        <v>0.14299999999999999</v>
      </c>
      <c r="O150" s="4">
        <v>1.9E-2</v>
      </c>
      <c r="P150" s="4">
        <v>0.52400000000000002</v>
      </c>
      <c r="Q150" s="4"/>
      <c r="R150" s="4">
        <v>0.52</v>
      </c>
      <c r="S150" s="4">
        <v>0.66700000000000004</v>
      </c>
      <c r="T150" s="4">
        <v>0.47599999999999998</v>
      </c>
      <c r="U150" s="4">
        <v>0.53300000000000003</v>
      </c>
      <c r="V150" s="4">
        <v>0</v>
      </c>
      <c r="W150" s="4">
        <v>0.218</v>
      </c>
      <c r="X150" s="4"/>
      <c r="Y150" s="4">
        <v>0.53800000000000003</v>
      </c>
      <c r="Z150" s="4">
        <v>1</v>
      </c>
      <c r="AA150" s="4"/>
      <c r="AB150" s="4">
        <v>0.14499999999999999</v>
      </c>
      <c r="AC150" s="4">
        <v>0.375</v>
      </c>
      <c r="AD150" s="10">
        <f t="shared" si="24"/>
        <v>0.780088</v>
      </c>
      <c r="AE150" s="9"/>
      <c r="AF150" s="9"/>
      <c r="AG150" s="12">
        <f t="shared" si="33"/>
        <v>39.300000000000004</v>
      </c>
      <c r="AH150" s="12">
        <f t="shared" si="33"/>
        <v>19.600000000000001</v>
      </c>
      <c r="AI150" s="12">
        <f t="shared" si="33"/>
        <v>10.9</v>
      </c>
      <c r="AJ150" s="12">
        <f t="shared" si="23"/>
        <v>79.2</v>
      </c>
      <c r="AK150" s="12"/>
      <c r="AL150" s="12">
        <f t="shared" si="31"/>
        <v>24</v>
      </c>
      <c r="AM150" s="12">
        <f t="shared" si="31"/>
        <v>20.200000000000003</v>
      </c>
      <c r="AN150" s="12">
        <f t="shared" si="31"/>
        <v>34.4</v>
      </c>
      <c r="AO150" s="12">
        <f t="shared" si="31"/>
        <v>86.8</v>
      </c>
      <c r="AP150" s="12">
        <f t="shared" si="31"/>
        <v>24.5</v>
      </c>
      <c r="AQ150" s="12">
        <f t="shared" si="31"/>
        <v>75.900000000000006</v>
      </c>
      <c r="AR150" s="12"/>
      <c r="AS150" s="12">
        <f t="shared" si="32"/>
        <v>52.400000000000006</v>
      </c>
      <c r="AT150" s="12">
        <f t="shared" si="32"/>
        <v>46.400000000000006</v>
      </c>
      <c r="AU150" s="12">
        <f t="shared" si="32"/>
        <v>63.3</v>
      </c>
      <c r="AV150" s="12">
        <f t="shared" si="32"/>
        <v>88.5</v>
      </c>
      <c r="AW150" s="12">
        <f t="shared" si="32"/>
        <v>0</v>
      </c>
      <c r="AX150" s="12">
        <f t="shared" si="32"/>
        <v>12</v>
      </c>
      <c r="AY150" s="12"/>
      <c r="AZ150" s="12">
        <f t="shared" si="26"/>
        <v>62.9</v>
      </c>
      <c r="BA150" s="12">
        <f t="shared" si="27"/>
        <v>33.899999999999991</v>
      </c>
      <c r="BB150" s="12"/>
      <c r="BC150" s="12">
        <f t="shared" si="28"/>
        <v>30</v>
      </c>
      <c r="BD150" s="12">
        <f t="shared" si="29"/>
        <v>54.6</v>
      </c>
      <c r="BE150" s="12">
        <f t="shared" si="30"/>
        <v>37.799999999999997</v>
      </c>
    </row>
    <row r="151" spans="1:57" ht="15.75" customHeight="1" x14ac:dyDescent="0.25">
      <c r="A151" s="1" t="s">
        <v>150</v>
      </c>
      <c r="B151" s="3" t="s">
        <v>93</v>
      </c>
      <c r="C151" s="4" t="s">
        <v>8</v>
      </c>
      <c r="D151" s="4">
        <v>16</v>
      </c>
      <c r="E151" s="4">
        <v>323</v>
      </c>
      <c r="F151" s="4">
        <v>16</v>
      </c>
      <c r="G151" s="4">
        <v>323</v>
      </c>
      <c r="H151" s="4">
        <v>0.42</v>
      </c>
      <c r="I151" s="4">
        <v>19</v>
      </c>
      <c r="J151" s="4"/>
      <c r="K151" s="4">
        <v>0.36099999999999999</v>
      </c>
      <c r="L151" s="4">
        <v>0.13400000000000001</v>
      </c>
      <c r="M151" s="4">
        <v>0.126</v>
      </c>
      <c r="N151" s="4">
        <v>6.7000000000000004E-2</v>
      </c>
      <c r="O151" s="4">
        <v>3.4000000000000002E-2</v>
      </c>
      <c r="P151" s="4">
        <v>0.63900000000000001</v>
      </c>
      <c r="Q151" s="4"/>
      <c r="R151" s="4">
        <v>0.41899999999999998</v>
      </c>
      <c r="S151" s="4">
        <v>0.375</v>
      </c>
      <c r="T151" s="4">
        <v>0.46700000000000003</v>
      </c>
      <c r="U151" s="4">
        <v>0.375</v>
      </c>
      <c r="V151" s="4">
        <v>0.5</v>
      </c>
      <c r="W151" s="4">
        <v>0.42099999999999999</v>
      </c>
      <c r="X151" s="4"/>
      <c r="Y151" s="4">
        <v>0.16700000000000001</v>
      </c>
      <c r="Z151" s="4">
        <v>0.75</v>
      </c>
      <c r="AA151" s="4"/>
      <c r="AB151" s="4">
        <v>0.105</v>
      </c>
      <c r="AC151" s="4">
        <v>0.5</v>
      </c>
      <c r="AD151" s="10">
        <f t="shared" si="24"/>
        <v>0.53953700000000004</v>
      </c>
      <c r="AE151" s="9"/>
      <c r="AF151" s="9"/>
      <c r="AG151" s="12">
        <f t="shared" si="33"/>
        <v>8.1</v>
      </c>
      <c r="AH151" s="12">
        <f t="shared" si="33"/>
        <v>19.600000000000001</v>
      </c>
      <c r="AI151" s="12">
        <f t="shared" si="33"/>
        <v>38.200000000000003</v>
      </c>
      <c r="AJ151" s="12">
        <f t="shared" si="23"/>
        <v>90.7</v>
      </c>
      <c r="AK151" s="12"/>
      <c r="AL151" s="12">
        <f t="shared" si="31"/>
        <v>12</v>
      </c>
      <c r="AM151" s="12">
        <f t="shared" si="31"/>
        <v>28.4</v>
      </c>
      <c r="AN151" s="12">
        <f t="shared" si="31"/>
        <v>8.6999999999999993</v>
      </c>
      <c r="AO151" s="12">
        <f t="shared" si="31"/>
        <v>50.2</v>
      </c>
      <c r="AP151" s="12">
        <f t="shared" si="31"/>
        <v>44.2</v>
      </c>
      <c r="AQ151" s="12">
        <f t="shared" si="31"/>
        <v>87.9</v>
      </c>
      <c r="AR151" s="12"/>
      <c r="AS151" s="12">
        <f t="shared" si="32"/>
        <v>13.100000000000001</v>
      </c>
      <c r="AT151" s="12">
        <f t="shared" si="32"/>
        <v>3.2</v>
      </c>
      <c r="AU151" s="12">
        <f t="shared" si="32"/>
        <v>58.4</v>
      </c>
      <c r="AV151" s="12">
        <f t="shared" si="32"/>
        <v>53.5</v>
      </c>
      <c r="AW151" s="12">
        <f t="shared" si="32"/>
        <v>79.7</v>
      </c>
      <c r="AX151" s="12">
        <f t="shared" si="32"/>
        <v>91.8</v>
      </c>
      <c r="AY151" s="12"/>
      <c r="AZ151" s="12">
        <f t="shared" si="26"/>
        <v>97.3</v>
      </c>
      <c r="BA151" s="12">
        <f t="shared" si="27"/>
        <v>80.400000000000006</v>
      </c>
      <c r="BB151" s="12"/>
      <c r="BC151" s="12">
        <f t="shared" si="28"/>
        <v>18</v>
      </c>
      <c r="BD151" s="12">
        <f t="shared" si="29"/>
        <v>80.300000000000011</v>
      </c>
      <c r="BE151" s="12">
        <f t="shared" si="30"/>
        <v>85.3</v>
      </c>
    </row>
    <row r="152" spans="1:57" ht="15.75" customHeight="1" x14ac:dyDescent="0.25">
      <c r="A152" s="1" t="s">
        <v>171</v>
      </c>
      <c r="B152" s="3" t="s">
        <v>107</v>
      </c>
      <c r="C152" s="4" t="s">
        <v>8</v>
      </c>
      <c r="D152" s="4">
        <v>21</v>
      </c>
      <c r="E152" s="4">
        <v>321</v>
      </c>
      <c r="F152" s="4">
        <v>21</v>
      </c>
      <c r="G152" s="4">
        <v>321</v>
      </c>
      <c r="H152" s="4">
        <v>0.40400000000000003</v>
      </c>
      <c r="I152" s="4">
        <v>14.2</v>
      </c>
      <c r="J152" s="4"/>
      <c r="K152" s="4">
        <v>0.66300000000000003</v>
      </c>
      <c r="L152" s="4">
        <v>0.13500000000000001</v>
      </c>
      <c r="M152" s="4">
        <v>0.28799999999999998</v>
      </c>
      <c r="N152" s="4">
        <v>0.14399999999999999</v>
      </c>
      <c r="O152" s="4">
        <v>9.6000000000000002E-2</v>
      </c>
      <c r="P152" s="4">
        <v>0.33700000000000002</v>
      </c>
      <c r="Q152" s="4"/>
      <c r="R152" s="4">
        <v>0.435</v>
      </c>
      <c r="S152" s="4">
        <v>0.57099999999999995</v>
      </c>
      <c r="T152" s="4">
        <v>0.433</v>
      </c>
      <c r="U152" s="4">
        <v>0.33300000000000002</v>
      </c>
      <c r="V152" s="4">
        <v>0.4</v>
      </c>
      <c r="W152" s="4">
        <v>0.34300000000000003</v>
      </c>
      <c r="X152" s="4"/>
      <c r="Y152" s="4">
        <v>0.3</v>
      </c>
      <c r="Z152" s="4">
        <v>1</v>
      </c>
      <c r="AA152" s="4"/>
      <c r="AB152" s="4">
        <v>0.25700000000000001</v>
      </c>
      <c r="AC152" s="4">
        <v>0.55600000000000005</v>
      </c>
      <c r="AD152" s="10">
        <f t="shared" si="24"/>
        <v>0.53590000000000004</v>
      </c>
      <c r="AE152" s="9"/>
      <c r="AF152" s="9"/>
      <c r="AG152" s="12">
        <f t="shared" si="33"/>
        <v>18</v>
      </c>
      <c r="AH152" s="12">
        <f t="shared" si="33"/>
        <v>19.100000000000001</v>
      </c>
      <c r="AI152" s="12">
        <f t="shared" si="33"/>
        <v>31.1</v>
      </c>
      <c r="AJ152" s="12">
        <f t="shared" si="23"/>
        <v>51.300000000000004</v>
      </c>
      <c r="AK152" s="12"/>
      <c r="AL152" s="12">
        <f t="shared" si="31"/>
        <v>66.100000000000009</v>
      </c>
      <c r="AM152" s="12">
        <f t="shared" si="31"/>
        <v>29.5</v>
      </c>
      <c r="AN152" s="12">
        <f t="shared" si="31"/>
        <v>61.7</v>
      </c>
      <c r="AO152" s="12">
        <f t="shared" si="31"/>
        <v>87.4</v>
      </c>
      <c r="AP152" s="12">
        <f t="shared" si="31"/>
        <v>86.8</v>
      </c>
      <c r="AQ152" s="12">
        <f t="shared" si="31"/>
        <v>33.800000000000004</v>
      </c>
      <c r="AR152" s="12"/>
      <c r="AS152" s="12">
        <f t="shared" si="32"/>
        <v>15.8</v>
      </c>
      <c r="AT152" s="12">
        <f t="shared" si="32"/>
        <v>15.8</v>
      </c>
      <c r="AU152" s="12">
        <f t="shared" si="32"/>
        <v>45.300000000000004</v>
      </c>
      <c r="AV152" s="12">
        <f t="shared" si="32"/>
        <v>40.9</v>
      </c>
      <c r="AW152" s="12">
        <f t="shared" si="32"/>
        <v>62.8</v>
      </c>
      <c r="AX152" s="12">
        <f t="shared" si="32"/>
        <v>56.8</v>
      </c>
      <c r="AY152" s="12"/>
      <c r="AZ152" s="12">
        <f t="shared" si="26"/>
        <v>90.2</v>
      </c>
      <c r="BA152" s="12">
        <f t="shared" si="27"/>
        <v>33.899999999999991</v>
      </c>
      <c r="BB152" s="12"/>
      <c r="BC152" s="12">
        <f t="shared" si="28"/>
        <v>72.099999999999994</v>
      </c>
      <c r="BD152" s="12">
        <f t="shared" si="29"/>
        <v>87.4</v>
      </c>
      <c r="BE152" s="12">
        <f t="shared" si="30"/>
        <v>86.4</v>
      </c>
    </row>
    <row r="153" spans="1:57" ht="15.75" customHeight="1" x14ac:dyDescent="0.25">
      <c r="A153" s="1" t="s">
        <v>255</v>
      </c>
      <c r="B153" s="3" t="s">
        <v>137</v>
      </c>
      <c r="C153" s="4" t="s">
        <v>8</v>
      </c>
      <c r="D153" s="4">
        <v>34</v>
      </c>
      <c r="E153" s="4">
        <v>311</v>
      </c>
      <c r="F153" s="4">
        <v>34</v>
      </c>
      <c r="G153" s="4">
        <v>311</v>
      </c>
      <c r="H153" s="4">
        <v>0.40300000000000002</v>
      </c>
      <c r="I153" s="4">
        <v>15.8</v>
      </c>
      <c r="J153" s="4"/>
      <c r="K153" s="4">
        <v>0.50700000000000001</v>
      </c>
      <c r="L153" s="4">
        <v>0.13400000000000001</v>
      </c>
      <c r="M153" s="4">
        <v>0.224</v>
      </c>
      <c r="N153" s="4">
        <v>0.09</v>
      </c>
      <c r="O153" s="4">
        <v>0.06</v>
      </c>
      <c r="P153" s="4">
        <v>0.49299999999999999</v>
      </c>
      <c r="Q153" s="4"/>
      <c r="R153" s="4">
        <v>0.52900000000000003</v>
      </c>
      <c r="S153" s="4">
        <v>0.88900000000000001</v>
      </c>
      <c r="T153" s="4">
        <v>0.6</v>
      </c>
      <c r="U153" s="4">
        <v>0.16700000000000001</v>
      </c>
      <c r="V153" s="4">
        <v>0</v>
      </c>
      <c r="W153" s="4">
        <v>0.27300000000000002</v>
      </c>
      <c r="X153" s="4"/>
      <c r="Y153" s="4">
        <v>0.66700000000000004</v>
      </c>
      <c r="Z153" s="4">
        <v>0.88900000000000001</v>
      </c>
      <c r="AA153" s="4"/>
      <c r="AB153" s="4">
        <v>0.39400000000000002</v>
      </c>
      <c r="AC153" s="4">
        <v>0.308</v>
      </c>
      <c r="AD153" s="10">
        <f t="shared" si="24"/>
        <v>0.77644599999999997</v>
      </c>
      <c r="AE153" s="9"/>
      <c r="AF153" s="9"/>
      <c r="AG153" s="12">
        <f t="shared" si="33"/>
        <v>39.300000000000004</v>
      </c>
      <c r="AH153" s="12">
        <f t="shared" si="33"/>
        <v>18.5</v>
      </c>
      <c r="AI153" s="12">
        <f t="shared" si="33"/>
        <v>30</v>
      </c>
      <c r="AJ153" s="12">
        <f t="shared" si="23"/>
        <v>66.600000000000009</v>
      </c>
      <c r="AK153" s="12"/>
      <c r="AL153" s="12">
        <f t="shared" si="31"/>
        <v>32.700000000000003</v>
      </c>
      <c r="AM153" s="12">
        <f t="shared" si="31"/>
        <v>28.4</v>
      </c>
      <c r="AN153" s="12">
        <f t="shared" si="31"/>
        <v>40.400000000000006</v>
      </c>
      <c r="AO153" s="12">
        <f t="shared" si="31"/>
        <v>64.400000000000006</v>
      </c>
      <c r="AP153" s="12">
        <f t="shared" si="31"/>
        <v>71.5</v>
      </c>
      <c r="AQ153" s="12">
        <f t="shared" si="31"/>
        <v>67.2</v>
      </c>
      <c r="AR153" s="12"/>
      <c r="AS153" s="12">
        <f t="shared" si="32"/>
        <v>60.6</v>
      </c>
      <c r="AT153" s="12">
        <f t="shared" si="32"/>
        <v>96.7</v>
      </c>
      <c r="AU153" s="12">
        <f t="shared" si="32"/>
        <v>95.6</v>
      </c>
      <c r="AV153" s="12">
        <f t="shared" si="32"/>
        <v>22.900000000000002</v>
      </c>
      <c r="AW153" s="12">
        <f t="shared" si="32"/>
        <v>0</v>
      </c>
      <c r="AX153" s="12">
        <f t="shared" si="32"/>
        <v>24.5</v>
      </c>
      <c r="AY153" s="12"/>
      <c r="AZ153" s="12">
        <f t="shared" si="26"/>
        <v>42.1</v>
      </c>
      <c r="BA153" s="12">
        <f t="shared" si="27"/>
        <v>64.5</v>
      </c>
      <c r="BB153" s="12"/>
      <c r="BC153" s="12">
        <f t="shared" si="28"/>
        <v>87.9</v>
      </c>
      <c r="BD153" s="12">
        <f t="shared" si="29"/>
        <v>40.400000000000006</v>
      </c>
      <c r="BE153" s="12">
        <f t="shared" si="30"/>
        <v>38.299999999999997</v>
      </c>
    </row>
    <row r="154" spans="1:57" ht="15.75" customHeight="1" x14ac:dyDescent="0.25">
      <c r="A154" s="1" t="s">
        <v>190</v>
      </c>
      <c r="B154" s="3" t="s">
        <v>240</v>
      </c>
      <c r="C154" s="4" t="s">
        <v>8</v>
      </c>
      <c r="D154" s="4">
        <v>24</v>
      </c>
      <c r="E154" s="4">
        <v>310</v>
      </c>
      <c r="F154" s="4">
        <v>24</v>
      </c>
      <c r="G154" s="4">
        <v>310</v>
      </c>
      <c r="H154" s="4">
        <v>0.35</v>
      </c>
      <c r="I154" s="4">
        <v>19.399999999999999</v>
      </c>
      <c r="J154" s="4"/>
      <c r="K154" s="4">
        <v>0.33</v>
      </c>
      <c r="L154" s="4">
        <v>0.12</v>
      </c>
      <c r="M154" s="4">
        <v>0.15</v>
      </c>
      <c r="N154" s="4">
        <v>0.03</v>
      </c>
      <c r="O154" s="4">
        <v>0.03</v>
      </c>
      <c r="P154" s="4">
        <v>0.67</v>
      </c>
      <c r="Q154" s="4"/>
      <c r="R154" s="4">
        <v>0.48499999999999999</v>
      </c>
      <c r="S154" s="4">
        <v>0.58299999999999996</v>
      </c>
      <c r="T154" s="4">
        <v>0.46700000000000003</v>
      </c>
      <c r="U154" s="4">
        <v>0.33300000000000002</v>
      </c>
      <c r="V154" s="4">
        <v>0.33300000000000002</v>
      </c>
      <c r="W154" s="4">
        <v>0.28399999999999997</v>
      </c>
      <c r="X154" s="4"/>
      <c r="Y154" s="4">
        <v>0.438</v>
      </c>
      <c r="Z154" s="4">
        <v>0.73699999999999999</v>
      </c>
      <c r="AA154" s="4"/>
      <c r="AB154" s="4">
        <v>0.14899999999999999</v>
      </c>
      <c r="AC154" s="4">
        <v>0.5</v>
      </c>
      <c r="AD154" s="10">
        <f t="shared" si="24"/>
        <v>0.63833000000000006</v>
      </c>
      <c r="AE154" s="9"/>
      <c r="AF154" s="9"/>
      <c r="AG154" s="12">
        <f t="shared" si="33"/>
        <v>20.7</v>
      </c>
      <c r="AH154" s="12">
        <f t="shared" si="33"/>
        <v>18</v>
      </c>
      <c r="AI154" s="12">
        <f t="shared" si="33"/>
        <v>8.1</v>
      </c>
      <c r="AJ154" s="12">
        <f t="shared" si="23"/>
        <v>92.800000000000011</v>
      </c>
      <c r="AK154" s="12"/>
      <c r="AL154" s="12">
        <f t="shared" si="31"/>
        <v>10.299999999999999</v>
      </c>
      <c r="AM154" s="12">
        <f t="shared" si="31"/>
        <v>22.400000000000002</v>
      </c>
      <c r="AN154" s="12">
        <f t="shared" si="31"/>
        <v>16.900000000000002</v>
      </c>
      <c r="AO154" s="12">
        <f t="shared" si="31"/>
        <v>19.600000000000001</v>
      </c>
      <c r="AP154" s="12">
        <f t="shared" si="31"/>
        <v>39.800000000000004</v>
      </c>
      <c r="AQ154" s="12">
        <f t="shared" si="31"/>
        <v>89.600000000000009</v>
      </c>
      <c r="AR154" s="12"/>
      <c r="AS154" s="12">
        <f t="shared" si="32"/>
        <v>37.1</v>
      </c>
      <c r="AT154" s="12">
        <f t="shared" si="32"/>
        <v>20.7</v>
      </c>
      <c r="AU154" s="12">
        <f t="shared" si="32"/>
        <v>58.4</v>
      </c>
      <c r="AV154" s="12">
        <f t="shared" si="32"/>
        <v>40.9</v>
      </c>
      <c r="AW154" s="12">
        <f t="shared" si="32"/>
        <v>48</v>
      </c>
      <c r="AX154" s="12">
        <f t="shared" si="32"/>
        <v>30</v>
      </c>
      <c r="AY154" s="12"/>
      <c r="AZ154" s="12">
        <f t="shared" si="26"/>
        <v>78.7</v>
      </c>
      <c r="BA154" s="12">
        <f t="shared" si="27"/>
        <v>82</v>
      </c>
      <c r="BB154" s="12"/>
      <c r="BC154" s="12">
        <f t="shared" si="28"/>
        <v>31.6</v>
      </c>
      <c r="BD154" s="12">
        <f t="shared" si="29"/>
        <v>80.300000000000011</v>
      </c>
      <c r="BE154" s="12">
        <f t="shared" si="30"/>
        <v>72.199999999999989</v>
      </c>
    </row>
    <row r="155" spans="1:57" ht="15.75" customHeight="1" x14ac:dyDescent="0.25">
      <c r="A155" s="1" t="s">
        <v>241</v>
      </c>
      <c r="B155" s="3" t="s">
        <v>96</v>
      </c>
      <c r="C155" s="4" t="s">
        <v>85</v>
      </c>
      <c r="D155" s="4">
        <v>30</v>
      </c>
      <c r="E155" s="4">
        <v>307</v>
      </c>
      <c r="F155" s="4">
        <v>30</v>
      </c>
      <c r="G155" s="4">
        <v>307</v>
      </c>
      <c r="H155" s="4">
        <v>0.47599999999999998</v>
      </c>
      <c r="I155" s="4">
        <v>4.7</v>
      </c>
      <c r="J155" s="4"/>
      <c r="K155" s="4">
        <v>0.96299999999999997</v>
      </c>
      <c r="L155" s="4">
        <v>0.48799999999999999</v>
      </c>
      <c r="M155" s="4">
        <v>0.40200000000000002</v>
      </c>
      <c r="N155" s="4">
        <v>3.6999999999999998E-2</v>
      </c>
      <c r="O155" s="4">
        <v>3.6999999999999998E-2</v>
      </c>
      <c r="P155" s="4">
        <v>3.6999999999999998E-2</v>
      </c>
      <c r="Q155" s="4"/>
      <c r="R155" s="4">
        <v>0.46800000000000003</v>
      </c>
      <c r="S155" s="4">
        <v>0.57499999999999996</v>
      </c>
      <c r="T155" s="4">
        <v>0.39400000000000002</v>
      </c>
      <c r="U155" s="4">
        <v>0.33300000000000002</v>
      </c>
      <c r="V155" s="4">
        <v>0</v>
      </c>
      <c r="W155" s="4">
        <v>0.66700000000000004</v>
      </c>
      <c r="X155" s="4"/>
      <c r="Y155" s="4">
        <v>0.64900000000000002</v>
      </c>
      <c r="Z155" s="4">
        <v>1</v>
      </c>
      <c r="AA155" s="4"/>
      <c r="AB155" s="4">
        <v>0.33300000000000002</v>
      </c>
      <c r="AC155" s="4">
        <v>1</v>
      </c>
      <c r="AD155" s="10">
        <f t="shared" si="24"/>
        <v>0.66198699999999999</v>
      </c>
      <c r="AE155" s="9"/>
      <c r="AF155" s="9"/>
      <c r="AG155" s="12">
        <f t="shared" si="33"/>
        <v>30.599999999999998</v>
      </c>
      <c r="AH155" s="12">
        <f t="shared" si="33"/>
        <v>17.399999999999999</v>
      </c>
      <c r="AI155" s="12">
        <f t="shared" si="33"/>
        <v>69.3</v>
      </c>
      <c r="AJ155" s="12">
        <f t="shared" si="23"/>
        <v>3.2</v>
      </c>
      <c r="AK155" s="12"/>
      <c r="AL155" s="12">
        <f t="shared" si="31"/>
        <v>93.4</v>
      </c>
      <c r="AM155" s="12">
        <f t="shared" si="31"/>
        <v>95</v>
      </c>
      <c r="AN155" s="12">
        <f t="shared" si="31"/>
        <v>90.100000000000009</v>
      </c>
      <c r="AO155" s="12">
        <f t="shared" si="31"/>
        <v>28.9</v>
      </c>
      <c r="AP155" s="12">
        <f t="shared" si="31"/>
        <v>48.6</v>
      </c>
      <c r="AQ155" s="12">
        <f t="shared" si="31"/>
        <v>6</v>
      </c>
      <c r="AR155" s="12"/>
      <c r="AS155" s="12">
        <f t="shared" si="32"/>
        <v>26.700000000000003</v>
      </c>
      <c r="AT155" s="12">
        <f t="shared" si="32"/>
        <v>18.5</v>
      </c>
      <c r="AU155" s="12">
        <f t="shared" si="32"/>
        <v>30.599999999999998</v>
      </c>
      <c r="AV155" s="12">
        <f t="shared" si="32"/>
        <v>40.9</v>
      </c>
      <c r="AW155" s="12">
        <f t="shared" si="32"/>
        <v>0</v>
      </c>
      <c r="AX155" s="12">
        <f t="shared" si="32"/>
        <v>100</v>
      </c>
      <c r="AY155" s="12"/>
      <c r="AZ155" s="12">
        <f t="shared" si="26"/>
        <v>45.4</v>
      </c>
      <c r="BA155" s="12">
        <f t="shared" si="27"/>
        <v>33.899999999999991</v>
      </c>
      <c r="BB155" s="12"/>
      <c r="BC155" s="12">
        <f t="shared" si="28"/>
        <v>81.399999999999991</v>
      </c>
      <c r="BD155" s="12">
        <f t="shared" si="29"/>
        <v>97.2</v>
      </c>
      <c r="BE155" s="12">
        <f t="shared" si="30"/>
        <v>68.900000000000006</v>
      </c>
    </row>
    <row r="156" spans="1:57" ht="15.75" customHeight="1" x14ac:dyDescent="0.25">
      <c r="A156" s="1" t="s">
        <v>275</v>
      </c>
      <c r="B156" s="3" t="s">
        <v>114</v>
      </c>
      <c r="C156" s="4" t="s">
        <v>119</v>
      </c>
      <c r="D156" s="4">
        <v>14</v>
      </c>
      <c r="E156" s="4">
        <v>286</v>
      </c>
      <c r="F156" s="4">
        <v>14</v>
      </c>
      <c r="G156" s="4">
        <v>286</v>
      </c>
      <c r="H156" s="4">
        <v>0.39800000000000002</v>
      </c>
      <c r="I156" s="4">
        <v>10.9</v>
      </c>
      <c r="J156" s="4"/>
      <c r="K156" s="4">
        <v>0.72</v>
      </c>
      <c r="L156" s="4">
        <v>0.20399999999999999</v>
      </c>
      <c r="M156" s="4">
        <v>0.38700000000000001</v>
      </c>
      <c r="N156" s="4">
        <v>0.11799999999999999</v>
      </c>
      <c r="O156" s="4">
        <v>1.0999999999999999E-2</v>
      </c>
      <c r="P156" s="4">
        <v>0.28000000000000003</v>
      </c>
      <c r="Q156" s="4"/>
      <c r="R156" s="4">
        <v>0.433</v>
      </c>
      <c r="S156" s="4">
        <v>0.47399999999999998</v>
      </c>
      <c r="T156" s="4">
        <v>0.47199999999999998</v>
      </c>
      <c r="U156" s="4">
        <v>0.182</v>
      </c>
      <c r="V156" s="4">
        <v>1</v>
      </c>
      <c r="W156" s="4">
        <v>0.308</v>
      </c>
      <c r="X156" s="4"/>
      <c r="Y156" s="4">
        <v>0.82799999999999996</v>
      </c>
      <c r="Z156" s="4">
        <v>1</v>
      </c>
      <c r="AA156" s="4"/>
      <c r="AB156" s="4">
        <v>0.154</v>
      </c>
      <c r="AC156" s="4">
        <v>0.25</v>
      </c>
      <c r="AD156" s="10">
        <f t="shared" si="24"/>
        <v>0.87615999999999994</v>
      </c>
      <c r="AE156" s="9"/>
      <c r="AF156" s="9"/>
      <c r="AG156" s="12">
        <f t="shared" si="33"/>
        <v>6.5</v>
      </c>
      <c r="AH156" s="12">
        <f t="shared" si="33"/>
        <v>16.900000000000002</v>
      </c>
      <c r="AI156" s="12">
        <f t="shared" si="33"/>
        <v>26.200000000000003</v>
      </c>
      <c r="AJ156" s="12">
        <f t="shared" si="23"/>
        <v>23.400000000000002</v>
      </c>
      <c r="AK156" s="12"/>
      <c r="AL156" s="12">
        <f t="shared" si="31"/>
        <v>73.2</v>
      </c>
      <c r="AM156" s="12">
        <f t="shared" si="31"/>
        <v>53</v>
      </c>
      <c r="AN156" s="12">
        <f t="shared" si="31"/>
        <v>85.7</v>
      </c>
      <c r="AO156" s="12">
        <f t="shared" si="31"/>
        <v>79.7</v>
      </c>
      <c r="AP156" s="12">
        <f t="shared" si="31"/>
        <v>12.5</v>
      </c>
      <c r="AQ156" s="12">
        <f t="shared" si="31"/>
        <v>26.700000000000003</v>
      </c>
      <c r="AR156" s="12"/>
      <c r="AS156" s="12">
        <f t="shared" si="32"/>
        <v>14.7</v>
      </c>
      <c r="AT156" s="12">
        <f t="shared" si="32"/>
        <v>7.6</v>
      </c>
      <c r="AU156" s="12">
        <f t="shared" si="32"/>
        <v>62.2</v>
      </c>
      <c r="AV156" s="12">
        <f t="shared" si="32"/>
        <v>25.1</v>
      </c>
      <c r="AW156" s="12">
        <f t="shared" si="32"/>
        <v>98.3</v>
      </c>
      <c r="AX156" s="12">
        <f t="shared" si="32"/>
        <v>39.800000000000004</v>
      </c>
      <c r="AY156" s="12"/>
      <c r="AZ156" s="12">
        <f t="shared" si="26"/>
        <v>9.2999999999999972</v>
      </c>
      <c r="BA156" s="12">
        <f t="shared" si="27"/>
        <v>33.899999999999991</v>
      </c>
      <c r="BB156" s="12"/>
      <c r="BC156" s="12">
        <f t="shared" si="28"/>
        <v>34.9</v>
      </c>
      <c r="BD156" s="12">
        <f t="shared" si="29"/>
        <v>24.5</v>
      </c>
      <c r="BE156" s="12">
        <f t="shared" si="30"/>
        <v>14.799999999999997</v>
      </c>
    </row>
    <row r="157" spans="1:57" ht="15.75" customHeight="1" x14ac:dyDescent="0.25">
      <c r="A157" s="1" t="s">
        <v>197</v>
      </c>
      <c r="B157" s="3" t="s">
        <v>114</v>
      </c>
      <c r="C157" s="4" t="s">
        <v>85</v>
      </c>
      <c r="D157" s="4">
        <v>28</v>
      </c>
      <c r="E157" s="4">
        <v>283</v>
      </c>
      <c r="F157" s="4">
        <v>28</v>
      </c>
      <c r="G157" s="4">
        <v>283</v>
      </c>
      <c r="H157" s="4">
        <v>0.55400000000000005</v>
      </c>
      <c r="I157" s="4">
        <v>9.5</v>
      </c>
      <c r="J157" s="4"/>
      <c r="K157" s="4">
        <v>0.76800000000000002</v>
      </c>
      <c r="L157" s="4">
        <v>0.23200000000000001</v>
      </c>
      <c r="M157" s="4">
        <v>0.46400000000000002</v>
      </c>
      <c r="N157" s="4">
        <v>3.5999999999999997E-2</v>
      </c>
      <c r="O157" s="4">
        <v>3.5999999999999997E-2</v>
      </c>
      <c r="P157" s="4">
        <v>0.23200000000000001</v>
      </c>
      <c r="Q157" s="4"/>
      <c r="R157" s="4">
        <v>0.58099999999999996</v>
      </c>
      <c r="S157" s="4">
        <v>0.69199999999999995</v>
      </c>
      <c r="T157" s="4">
        <v>0.57699999999999996</v>
      </c>
      <c r="U157" s="4">
        <v>0</v>
      </c>
      <c r="V157" s="4">
        <v>0.5</v>
      </c>
      <c r="W157" s="4">
        <v>0.46200000000000002</v>
      </c>
      <c r="X157" s="4"/>
      <c r="Y157" s="4">
        <v>0.8</v>
      </c>
      <c r="Z157" s="4">
        <v>1</v>
      </c>
      <c r="AA157" s="4"/>
      <c r="AB157" s="4">
        <v>0.46200000000000002</v>
      </c>
      <c r="AC157" s="4">
        <v>0.5</v>
      </c>
      <c r="AD157" s="10">
        <f t="shared" si="24"/>
        <v>0.84640000000000004</v>
      </c>
      <c r="AE157" s="9"/>
      <c r="AF157" s="9"/>
      <c r="AG157" s="12">
        <f t="shared" si="33"/>
        <v>25.1</v>
      </c>
      <c r="AH157" s="12">
        <f t="shared" si="33"/>
        <v>16.3</v>
      </c>
      <c r="AI157" s="12">
        <f t="shared" si="33"/>
        <v>95</v>
      </c>
      <c r="AJ157" s="12">
        <f t="shared" si="23"/>
        <v>17.399999999999999</v>
      </c>
      <c r="AK157" s="12"/>
      <c r="AL157" s="12">
        <f t="shared" si="31"/>
        <v>80.800000000000011</v>
      </c>
      <c r="AM157" s="12">
        <f t="shared" si="31"/>
        <v>63.3</v>
      </c>
      <c r="AN157" s="12">
        <f t="shared" si="31"/>
        <v>95</v>
      </c>
      <c r="AO157" s="12">
        <f t="shared" si="31"/>
        <v>26.700000000000003</v>
      </c>
      <c r="AP157" s="12">
        <f t="shared" si="31"/>
        <v>46.400000000000006</v>
      </c>
      <c r="AQ157" s="12">
        <f t="shared" si="31"/>
        <v>19.100000000000001</v>
      </c>
      <c r="AR157" s="12"/>
      <c r="AS157" s="12">
        <f t="shared" si="32"/>
        <v>83.6</v>
      </c>
      <c r="AT157" s="12">
        <f t="shared" si="32"/>
        <v>57.9</v>
      </c>
      <c r="AU157" s="12">
        <f t="shared" si="32"/>
        <v>93.4</v>
      </c>
      <c r="AV157" s="12">
        <f t="shared" si="32"/>
        <v>0</v>
      </c>
      <c r="AW157" s="12">
        <f t="shared" si="32"/>
        <v>79.7</v>
      </c>
      <c r="AX157" s="12">
        <f t="shared" si="32"/>
        <v>96.7</v>
      </c>
      <c r="AY157" s="12"/>
      <c r="AZ157" s="12">
        <f t="shared" si="26"/>
        <v>14.799999999999997</v>
      </c>
      <c r="BA157" s="12">
        <f t="shared" si="27"/>
        <v>33.899999999999991</v>
      </c>
      <c r="BB157" s="12"/>
      <c r="BC157" s="12">
        <f t="shared" si="28"/>
        <v>95</v>
      </c>
      <c r="BD157" s="12">
        <f t="shared" si="29"/>
        <v>80.300000000000011</v>
      </c>
      <c r="BE157" s="12">
        <f t="shared" si="30"/>
        <v>22.5</v>
      </c>
    </row>
    <row r="158" spans="1:57" ht="15.75" customHeight="1" x14ac:dyDescent="0.25">
      <c r="A158" s="1" t="s">
        <v>266</v>
      </c>
      <c r="B158" s="3" t="s">
        <v>96</v>
      </c>
      <c r="C158" s="4" t="s">
        <v>85</v>
      </c>
      <c r="D158" s="4">
        <v>19</v>
      </c>
      <c r="E158" s="4">
        <v>278</v>
      </c>
      <c r="F158" s="4">
        <v>19</v>
      </c>
      <c r="G158" s="4">
        <v>278</v>
      </c>
      <c r="H158" s="4">
        <v>0.39700000000000002</v>
      </c>
      <c r="I158" s="4">
        <v>18.899999999999999</v>
      </c>
      <c r="J158" s="4"/>
      <c r="K158" s="4">
        <v>0.32400000000000001</v>
      </c>
      <c r="L158" s="4">
        <v>0.11799999999999999</v>
      </c>
      <c r="M158" s="4">
        <v>0.10299999999999999</v>
      </c>
      <c r="N158" s="4">
        <v>4.3999999999999997E-2</v>
      </c>
      <c r="O158" s="4">
        <v>5.8999999999999997E-2</v>
      </c>
      <c r="P158" s="4">
        <v>0.67600000000000005</v>
      </c>
      <c r="Q158" s="4"/>
      <c r="R158" s="4">
        <v>0.59099999999999997</v>
      </c>
      <c r="S158" s="4">
        <v>0.875</v>
      </c>
      <c r="T158" s="4">
        <v>0.42899999999999999</v>
      </c>
      <c r="U158" s="4">
        <v>0.33300000000000002</v>
      </c>
      <c r="V158" s="4">
        <v>0.5</v>
      </c>
      <c r="W158" s="4">
        <v>0.30399999999999999</v>
      </c>
      <c r="X158" s="4"/>
      <c r="Y158" s="4">
        <v>0.84599999999999997</v>
      </c>
      <c r="Z158" s="4">
        <v>1</v>
      </c>
      <c r="AA158" s="4"/>
      <c r="AB158" s="4">
        <v>0.152</v>
      </c>
      <c r="AC158" s="4">
        <v>0.42899999999999999</v>
      </c>
      <c r="AD158" s="10">
        <f t="shared" si="24"/>
        <v>0.95010400000000006</v>
      </c>
      <c r="AE158" s="9"/>
      <c r="AF158" s="9"/>
      <c r="AG158" s="12">
        <f t="shared" si="33"/>
        <v>14.2</v>
      </c>
      <c r="AH158" s="12">
        <f t="shared" si="33"/>
        <v>15.8</v>
      </c>
      <c r="AI158" s="12">
        <f t="shared" si="33"/>
        <v>25.1</v>
      </c>
      <c r="AJ158" s="12">
        <f t="shared" si="23"/>
        <v>89</v>
      </c>
      <c r="AK158" s="12"/>
      <c r="AL158" s="12">
        <f t="shared" si="31"/>
        <v>9.8000000000000007</v>
      </c>
      <c r="AM158" s="12">
        <f t="shared" si="31"/>
        <v>21.3</v>
      </c>
      <c r="AN158" s="12">
        <f t="shared" si="31"/>
        <v>4.9000000000000004</v>
      </c>
      <c r="AO158" s="12">
        <f t="shared" si="31"/>
        <v>33.800000000000004</v>
      </c>
      <c r="AP158" s="12">
        <f t="shared" si="31"/>
        <v>69.899999999999991</v>
      </c>
      <c r="AQ158" s="12">
        <f t="shared" si="31"/>
        <v>90.100000000000009</v>
      </c>
      <c r="AR158" s="12"/>
      <c r="AS158" s="12">
        <f t="shared" si="32"/>
        <v>89.600000000000009</v>
      </c>
      <c r="AT158" s="12">
        <f t="shared" si="32"/>
        <v>96.1</v>
      </c>
      <c r="AU158" s="12">
        <f t="shared" si="32"/>
        <v>42.6</v>
      </c>
      <c r="AV158" s="12">
        <f t="shared" si="32"/>
        <v>40.9</v>
      </c>
      <c r="AW158" s="12">
        <f t="shared" si="32"/>
        <v>79.7</v>
      </c>
      <c r="AX158" s="12">
        <f t="shared" si="32"/>
        <v>38.200000000000003</v>
      </c>
      <c r="AY158" s="12"/>
      <c r="AZ158" s="12">
        <f t="shared" si="26"/>
        <v>7.1999999999999886</v>
      </c>
      <c r="BA158" s="12">
        <f t="shared" si="27"/>
        <v>33.899999999999991</v>
      </c>
      <c r="BB158" s="12"/>
      <c r="BC158" s="12">
        <f t="shared" si="28"/>
        <v>32.700000000000003</v>
      </c>
      <c r="BD158" s="12">
        <f t="shared" si="29"/>
        <v>68.300000000000011</v>
      </c>
      <c r="BE158" s="12">
        <f t="shared" si="30"/>
        <v>0.59999999999999432</v>
      </c>
    </row>
    <row r="159" spans="1:57" ht="15.75" customHeight="1" x14ac:dyDescent="0.25">
      <c r="A159" s="1" t="s">
        <v>202</v>
      </c>
      <c r="B159" s="3" t="s">
        <v>117</v>
      </c>
      <c r="C159" s="4" t="s">
        <v>85</v>
      </c>
      <c r="D159" s="4">
        <v>28</v>
      </c>
      <c r="E159" s="4">
        <v>270</v>
      </c>
      <c r="F159" s="4">
        <v>28</v>
      </c>
      <c r="G159" s="4">
        <v>270</v>
      </c>
      <c r="H159" s="4">
        <v>0.27500000000000002</v>
      </c>
      <c r="I159" s="4">
        <v>20.5</v>
      </c>
      <c r="J159" s="4"/>
      <c r="K159" s="4">
        <v>0.27500000000000002</v>
      </c>
      <c r="L159" s="4">
        <v>4.2999999999999997E-2</v>
      </c>
      <c r="M159" s="4">
        <v>0.14499999999999999</v>
      </c>
      <c r="N159" s="4">
        <v>5.8000000000000003E-2</v>
      </c>
      <c r="O159" s="4">
        <v>2.9000000000000001E-2</v>
      </c>
      <c r="P159" s="4">
        <v>0.72499999999999998</v>
      </c>
      <c r="Q159" s="4"/>
      <c r="R159" s="4">
        <v>0.36799999999999999</v>
      </c>
      <c r="S159" s="4">
        <v>1</v>
      </c>
      <c r="T159" s="4">
        <v>0.4</v>
      </c>
      <c r="U159" s="4">
        <v>0</v>
      </c>
      <c r="V159" s="4">
        <v>0</v>
      </c>
      <c r="W159" s="4">
        <v>0.24</v>
      </c>
      <c r="X159" s="4"/>
      <c r="Y159" s="4">
        <v>0.71399999999999997</v>
      </c>
      <c r="Z159" s="4">
        <v>1</v>
      </c>
      <c r="AA159" s="4"/>
      <c r="AB159" s="4">
        <v>0.32</v>
      </c>
      <c r="AC159" s="4">
        <v>0.313</v>
      </c>
      <c r="AD159" s="10">
        <f t="shared" si="24"/>
        <v>0.92135</v>
      </c>
      <c r="AE159" s="9"/>
      <c r="AF159" s="9"/>
      <c r="AG159" s="12">
        <f t="shared" si="33"/>
        <v>25.1</v>
      </c>
      <c r="AH159" s="12">
        <f t="shared" si="33"/>
        <v>15.299999999999999</v>
      </c>
      <c r="AI159" s="12">
        <f t="shared" si="33"/>
        <v>1</v>
      </c>
      <c r="AJ159" s="12">
        <f t="shared" si="23"/>
        <v>96.1</v>
      </c>
      <c r="AK159" s="12"/>
      <c r="AL159" s="12">
        <f t="shared" si="31"/>
        <v>4.9000000000000004</v>
      </c>
      <c r="AM159" s="12">
        <f t="shared" si="31"/>
        <v>4.3</v>
      </c>
      <c r="AN159" s="12">
        <f t="shared" si="31"/>
        <v>14.7</v>
      </c>
      <c r="AO159" s="12">
        <f t="shared" si="31"/>
        <v>42.6</v>
      </c>
      <c r="AP159" s="12">
        <f t="shared" si="31"/>
        <v>37.1</v>
      </c>
      <c r="AQ159" s="12">
        <f t="shared" si="31"/>
        <v>95</v>
      </c>
      <c r="AR159" s="12"/>
      <c r="AS159" s="12">
        <f t="shared" si="32"/>
        <v>4.3</v>
      </c>
      <c r="AT159" s="12">
        <f t="shared" si="32"/>
        <v>97.8</v>
      </c>
      <c r="AU159" s="12">
        <f t="shared" si="32"/>
        <v>33.300000000000004</v>
      </c>
      <c r="AV159" s="12">
        <f t="shared" si="32"/>
        <v>0</v>
      </c>
      <c r="AW159" s="12">
        <f t="shared" si="32"/>
        <v>0</v>
      </c>
      <c r="AX159" s="12">
        <f t="shared" si="32"/>
        <v>15.299999999999999</v>
      </c>
      <c r="AY159" s="12"/>
      <c r="AZ159" s="12">
        <f t="shared" si="26"/>
        <v>30.700000000000003</v>
      </c>
      <c r="BA159" s="12">
        <f t="shared" si="27"/>
        <v>33.899999999999991</v>
      </c>
      <c r="BB159" s="12"/>
      <c r="BC159" s="12">
        <f t="shared" si="28"/>
        <v>80.300000000000011</v>
      </c>
      <c r="BD159" s="12">
        <f t="shared" si="29"/>
        <v>42</v>
      </c>
      <c r="BE159" s="12">
        <f t="shared" si="30"/>
        <v>5</v>
      </c>
    </row>
    <row r="160" spans="1:57" ht="15.75" customHeight="1" x14ac:dyDescent="0.25">
      <c r="A160" s="1" t="s">
        <v>222</v>
      </c>
      <c r="B160" s="3" t="s">
        <v>240</v>
      </c>
      <c r="C160" s="4" t="s">
        <v>8</v>
      </c>
      <c r="D160" s="4">
        <v>25</v>
      </c>
      <c r="E160" s="4">
        <v>257</v>
      </c>
      <c r="F160" s="4">
        <v>25</v>
      </c>
      <c r="G160" s="4">
        <v>257</v>
      </c>
      <c r="H160" s="4">
        <v>0.45900000000000002</v>
      </c>
      <c r="I160" s="4">
        <v>13.5</v>
      </c>
      <c r="J160" s="4"/>
      <c r="K160" s="4">
        <v>0.64900000000000002</v>
      </c>
      <c r="L160" s="4">
        <v>0.16200000000000001</v>
      </c>
      <c r="M160" s="4">
        <v>0.32400000000000001</v>
      </c>
      <c r="N160" s="4">
        <v>0.13500000000000001</v>
      </c>
      <c r="O160" s="4">
        <v>2.7E-2</v>
      </c>
      <c r="P160" s="4">
        <v>0.35099999999999998</v>
      </c>
      <c r="Q160" s="4"/>
      <c r="R160" s="4">
        <v>0.56299999999999994</v>
      </c>
      <c r="S160" s="4">
        <v>0.75</v>
      </c>
      <c r="T160" s="4">
        <v>0.5</v>
      </c>
      <c r="U160" s="4">
        <v>0.6</v>
      </c>
      <c r="V160" s="4">
        <v>0</v>
      </c>
      <c r="W160" s="4">
        <v>0.26900000000000002</v>
      </c>
      <c r="X160" s="4"/>
      <c r="Y160" s="4">
        <v>0.111</v>
      </c>
      <c r="Z160" s="4">
        <v>0.71399999999999997</v>
      </c>
      <c r="AA160" s="4"/>
      <c r="AB160" s="4">
        <v>0.154</v>
      </c>
      <c r="AC160" s="4">
        <v>0.25</v>
      </c>
      <c r="AD160" s="10">
        <f t="shared" si="24"/>
        <v>0.32265299999999997</v>
      </c>
      <c r="AE160" s="9"/>
      <c r="AF160" s="9"/>
      <c r="AG160" s="12">
        <f t="shared" si="33"/>
        <v>21.8</v>
      </c>
      <c r="AH160" s="12">
        <f t="shared" si="33"/>
        <v>14.7</v>
      </c>
      <c r="AI160" s="12">
        <f t="shared" si="33"/>
        <v>62.2</v>
      </c>
      <c r="AJ160" s="12">
        <f t="shared" si="23"/>
        <v>45.9</v>
      </c>
      <c r="AK160" s="12"/>
      <c r="AL160" s="12">
        <f t="shared" si="31"/>
        <v>62.8</v>
      </c>
      <c r="AM160" s="12">
        <f t="shared" si="31"/>
        <v>39.300000000000004</v>
      </c>
      <c r="AN160" s="12">
        <f t="shared" si="31"/>
        <v>72.599999999999994</v>
      </c>
      <c r="AO160" s="12">
        <f t="shared" si="31"/>
        <v>84.6</v>
      </c>
      <c r="AP160" s="12">
        <f t="shared" si="31"/>
        <v>33.300000000000004</v>
      </c>
      <c r="AQ160" s="12">
        <f t="shared" si="31"/>
        <v>37.1</v>
      </c>
      <c r="AR160" s="12"/>
      <c r="AS160" s="12">
        <f t="shared" si="32"/>
        <v>78.600000000000009</v>
      </c>
      <c r="AT160" s="12">
        <f t="shared" si="32"/>
        <v>77</v>
      </c>
      <c r="AU160" s="12">
        <f t="shared" si="32"/>
        <v>74.3</v>
      </c>
      <c r="AV160" s="12">
        <f t="shared" si="32"/>
        <v>91.8</v>
      </c>
      <c r="AW160" s="12">
        <f t="shared" si="32"/>
        <v>0</v>
      </c>
      <c r="AX160" s="12">
        <f t="shared" si="32"/>
        <v>23.400000000000002</v>
      </c>
      <c r="AY160" s="12"/>
      <c r="AZ160" s="12">
        <f t="shared" si="26"/>
        <v>99.5</v>
      </c>
      <c r="BA160" s="12">
        <f t="shared" si="27"/>
        <v>85.3</v>
      </c>
      <c r="BB160" s="12"/>
      <c r="BC160" s="12">
        <f t="shared" si="28"/>
        <v>34.9</v>
      </c>
      <c r="BD160" s="12">
        <f t="shared" si="29"/>
        <v>24.5</v>
      </c>
      <c r="BE160" s="12">
        <f t="shared" si="30"/>
        <v>98.4</v>
      </c>
    </row>
    <row r="161" spans="1:57" ht="15.75" customHeight="1" x14ac:dyDescent="0.25">
      <c r="A161" s="1" t="s">
        <v>270</v>
      </c>
      <c r="B161" s="3" t="s">
        <v>84</v>
      </c>
      <c r="C161" s="4" t="s">
        <v>8</v>
      </c>
      <c r="D161" s="4">
        <v>20</v>
      </c>
      <c r="E161" s="4">
        <v>243</v>
      </c>
      <c r="F161" s="4">
        <v>20</v>
      </c>
      <c r="G161" s="4">
        <v>243</v>
      </c>
      <c r="H161" s="4">
        <v>0.40300000000000002</v>
      </c>
      <c r="I161" s="4">
        <v>17.600000000000001</v>
      </c>
      <c r="J161" s="4"/>
      <c r="K161" s="4">
        <v>0.40300000000000002</v>
      </c>
      <c r="L161" s="4">
        <v>0.17699999999999999</v>
      </c>
      <c r="M161" s="4">
        <v>0.17699999999999999</v>
      </c>
      <c r="N161" s="4">
        <v>3.2000000000000001E-2</v>
      </c>
      <c r="O161" s="4">
        <v>1.6E-2</v>
      </c>
      <c r="P161" s="4">
        <v>0.59699999999999998</v>
      </c>
      <c r="Q161" s="4"/>
      <c r="R161" s="4">
        <v>0.52</v>
      </c>
      <c r="S161" s="4">
        <v>0.81799999999999995</v>
      </c>
      <c r="T161" s="4">
        <v>0.36399999999999999</v>
      </c>
      <c r="U161" s="4">
        <v>0</v>
      </c>
      <c r="V161" s="4">
        <v>0</v>
      </c>
      <c r="W161" s="4">
        <v>0.32400000000000001</v>
      </c>
      <c r="X161" s="4"/>
      <c r="Y161" s="4">
        <v>0.23100000000000001</v>
      </c>
      <c r="Z161" s="4">
        <v>0.58299999999999996</v>
      </c>
      <c r="AA161" s="4"/>
      <c r="AB161" s="4">
        <v>0.216</v>
      </c>
      <c r="AC161" s="4">
        <v>0.25</v>
      </c>
      <c r="AD161" s="10">
        <f t="shared" si="24"/>
        <v>0.44114399999999998</v>
      </c>
      <c r="AE161" s="9"/>
      <c r="AF161" s="9"/>
      <c r="AG161" s="12">
        <f t="shared" si="33"/>
        <v>16.3</v>
      </c>
      <c r="AH161" s="12">
        <f t="shared" si="33"/>
        <v>14.2</v>
      </c>
      <c r="AI161" s="12">
        <f t="shared" si="33"/>
        <v>30</v>
      </c>
      <c r="AJ161" s="12">
        <f t="shared" si="23"/>
        <v>81.399999999999991</v>
      </c>
      <c r="AK161" s="12"/>
      <c r="AL161" s="12">
        <f t="shared" ref="AL161:AQ176" si="34">(PERCENTRANK(K$4:K$298,K161))*100</f>
        <v>16.3</v>
      </c>
      <c r="AM161" s="12">
        <f t="shared" si="34"/>
        <v>44.800000000000004</v>
      </c>
      <c r="AN161" s="12">
        <f t="shared" si="34"/>
        <v>24</v>
      </c>
      <c r="AO161" s="12">
        <f t="shared" si="34"/>
        <v>21.8</v>
      </c>
      <c r="AP161" s="12">
        <f t="shared" si="34"/>
        <v>18.5</v>
      </c>
      <c r="AQ161" s="12">
        <f t="shared" si="34"/>
        <v>83.6</v>
      </c>
      <c r="AR161" s="12"/>
      <c r="AS161" s="12">
        <f t="shared" ref="AS161:AX176" si="35">(PERCENTRANK(R$4:R$298,R161))*100</f>
        <v>52.400000000000006</v>
      </c>
      <c r="AT161" s="12">
        <f t="shared" si="35"/>
        <v>93.4</v>
      </c>
      <c r="AU161" s="12">
        <f t="shared" si="35"/>
        <v>20.7</v>
      </c>
      <c r="AV161" s="12">
        <f t="shared" si="35"/>
        <v>0</v>
      </c>
      <c r="AW161" s="12">
        <f t="shared" si="35"/>
        <v>0</v>
      </c>
      <c r="AX161" s="12">
        <f t="shared" si="35"/>
        <v>45.9</v>
      </c>
      <c r="AY161" s="12"/>
      <c r="AZ161" s="12">
        <f t="shared" si="26"/>
        <v>94</v>
      </c>
      <c r="BA161" s="12">
        <f t="shared" si="27"/>
        <v>92.4</v>
      </c>
      <c r="BB161" s="12"/>
      <c r="BC161" s="12">
        <f t="shared" si="28"/>
        <v>59.5</v>
      </c>
      <c r="BD161" s="12">
        <f t="shared" si="29"/>
        <v>24.5</v>
      </c>
      <c r="BE161" s="12">
        <f t="shared" si="30"/>
        <v>93.5</v>
      </c>
    </row>
    <row r="162" spans="1:57" ht="15.75" customHeight="1" x14ac:dyDescent="0.25">
      <c r="A162" s="1" t="s">
        <v>281</v>
      </c>
      <c r="B162" s="3" t="s">
        <v>107</v>
      </c>
      <c r="C162" s="4" t="s">
        <v>8</v>
      </c>
      <c r="D162" s="4">
        <v>17</v>
      </c>
      <c r="E162" s="4">
        <v>220</v>
      </c>
      <c r="F162" s="4">
        <v>17</v>
      </c>
      <c r="G162" s="4">
        <v>220</v>
      </c>
      <c r="H162" s="4">
        <v>0.32700000000000001</v>
      </c>
      <c r="I162" s="4">
        <v>20.7</v>
      </c>
      <c r="J162" s="4"/>
      <c r="K162" s="4">
        <v>0.27300000000000002</v>
      </c>
      <c r="L162" s="4">
        <v>7.2999999999999995E-2</v>
      </c>
      <c r="M162" s="4">
        <v>9.0999999999999998E-2</v>
      </c>
      <c r="N162" s="4">
        <v>5.5E-2</v>
      </c>
      <c r="O162" s="4">
        <v>5.5E-2</v>
      </c>
      <c r="P162" s="4">
        <v>0.72699999999999998</v>
      </c>
      <c r="Q162" s="4"/>
      <c r="R162" s="4">
        <v>0.53300000000000003</v>
      </c>
      <c r="S162" s="4">
        <v>1</v>
      </c>
      <c r="T162" s="4">
        <v>0.4</v>
      </c>
      <c r="U162" s="4">
        <v>0.33300000000000002</v>
      </c>
      <c r="V162" s="4">
        <v>0.33300000000000002</v>
      </c>
      <c r="W162" s="4">
        <v>0.25</v>
      </c>
      <c r="X162" s="4"/>
      <c r="Y162" s="4">
        <v>0.5</v>
      </c>
      <c r="Z162" s="4">
        <v>1</v>
      </c>
      <c r="AA162" s="4"/>
      <c r="AB162" s="4">
        <v>0.17499999999999999</v>
      </c>
      <c r="AC162" s="4">
        <v>0.14299999999999999</v>
      </c>
      <c r="AD162" s="10">
        <f t="shared" si="24"/>
        <v>0.86349999999999993</v>
      </c>
      <c r="AE162" s="9"/>
      <c r="AF162" s="9"/>
      <c r="AG162" s="12">
        <f t="shared" si="33"/>
        <v>9.8000000000000007</v>
      </c>
      <c r="AH162" s="12">
        <f t="shared" si="33"/>
        <v>13.100000000000001</v>
      </c>
      <c r="AI162" s="12">
        <f t="shared" si="33"/>
        <v>2.7</v>
      </c>
      <c r="AJ162" s="12">
        <f t="shared" si="23"/>
        <v>97.8</v>
      </c>
      <c r="AK162" s="12"/>
      <c r="AL162" s="12">
        <f t="shared" si="34"/>
        <v>3.8</v>
      </c>
      <c r="AM162" s="12">
        <f t="shared" si="34"/>
        <v>8.1</v>
      </c>
      <c r="AN162" s="12">
        <f t="shared" si="34"/>
        <v>2.7</v>
      </c>
      <c r="AO162" s="12">
        <f t="shared" si="34"/>
        <v>39.800000000000004</v>
      </c>
      <c r="AP162" s="12">
        <f t="shared" si="34"/>
        <v>65.5</v>
      </c>
      <c r="AQ162" s="12">
        <f t="shared" si="34"/>
        <v>95.6</v>
      </c>
      <c r="AR162" s="12"/>
      <c r="AS162" s="12">
        <f t="shared" si="35"/>
        <v>63.3</v>
      </c>
      <c r="AT162" s="12">
        <f t="shared" si="35"/>
        <v>97.8</v>
      </c>
      <c r="AU162" s="12">
        <f t="shared" si="35"/>
        <v>33.300000000000004</v>
      </c>
      <c r="AV162" s="12">
        <f t="shared" si="35"/>
        <v>40.9</v>
      </c>
      <c r="AW162" s="12">
        <f t="shared" si="35"/>
        <v>48</v>
      </c>
      <c r="AX162" s="12">
        <f t="shared" si="35"/>
        <v>17.399999999999999</v>
      </c>
      <c r="AY162" s="12"/>
      <c r="AZ162" s="12">
        <f t="shared" si="26"/>
        <v>68.900000000000006</v>
      </c>
      <c r="BA162" s="12">
        <f t="shared" si="27"/>
        <v>33.899999999999991</v>
      </c>
      <c r="BB162" s="12"/>
      <c r="BC162" s="12">
        <f t="shared" si="28"/>
        <v>46.400000000000006</v>
      </c>
      <c r="BD162" s="12">
        <f t="shared" si="29"/>
        <v>13.100000000000001</v>
      </c>
      <c r="BE162" s="12">
        <f t="shared" si="30"/>
        <v>17.5</v>
      </c>
    </row>
    <row r="163" spans="1:57" ht="15.75" customHeight="1" x14ac:dyDescent="0.25">
      <c r="A163" s="1" t="s">
        <v>155</v>
      </c>
      <c r="B163" s="3" t="s">
        <v>117</v>
      </c>
      <c r="C163" s="4" t="s">
        <v>8</v>
      </c>
      <c r="D163" s="4">
        <v>13</v>
      </c>
      <c r="E163" s="4">
        <v>220</v>
      </c>
      <c r="F163" s="4">
        <v>13</v>
      </c>
      <c r="G163" s="4">
        <v>220</v>
      </c>
      <c r="H163" s="4">
        <v>0.6</v>
      </c>
      <c r="I163" s="4">
        <v>10.7</v>
      </c>
      <c r="J163" s="4"/>
      <c r="K163" s="4">
        <v>0.79</v>
      </c>
      <c r="L163" s="4">
        <v>0.33</v>
      </c>
      <c r="M163" s="4">
        <v>0.23</v>
      </c>
      <c r="N163" s="4">
        <v>0.11</v>
      </c>
      <c r="O163" s="4">
        <v>0.12</v>
      </c>
      <c r="P163" s="4">
        <v>0.21</v>
      </c>
      <c r="Q163" s="4"/>
      <c r="R163" s="4">
        <v>0.62</v>
      </c>
      <c r="S163" s="4">
        <v>0.84799999999999998</v>
      </c>
      <c r="T163" s="4">
        <v>0.39100000000000001</v>
      </c>
      <c r="U163" s="4">
        <v>0.63600000000000001</v>
      </c>
      <c r="V163" s="4">
        <v>0.41699999999999998</v>
      </c>
      <c r="W163" s="4">
        <v>0.52400000000000002</v>
      </c>
      <c r="X163" s="4"/>
      <c r="Y163" s="4">
        <v>0.245</v>
      </c>
      <c r="Z163" s="4">
        <v>0.72699999999999998</v>
      </c>
      <c r="AA163" s="4"/>
      <c r="AB163" s="4">
        <v>0.19</v>
      </c>
      <c r="AC163" s="4">
        <v>0.5</v>
      </c>
      <c r="AD163" s="10">
        <f t="shared" si="24"/>
        <v>0.34621999999999997</v>
      </c>
      <c r="AE163" s="9"/>
      <c r="AF163" s="9"/>
      <c r="AG163" s="12">
        <f t="shared" si="33"/>
        <v>4.9000000000000004</v>
      </c>
      <c r="AH163" s="12">
        <f t="shared" si="33"/>
        <v>13.100000000000001</v>
      </c>
      <c r="AI163" s="12">
        <f t="shared" si="33"/>
        <v>98.3</v>
      </c>
      <c r="AJ163" s="12">
        <f t="shared" si="23"/>
        <v>22.400000000000002</v>
      </c>
      <c r="AK163" s="12"/>
      <c r="AL163" s="12">
        <f t="shared" si="34"/>
        <v>83</v>
      </c>
      <c r="AM163" s="12">
        <f t="shared" si="34"/>
        <v>81.899999999999991</v>
      </c>
      <c r="AN163" s="12">
        <f t="shared" si="34"/>
        <v>43.7</v>
      </c>
      <c r="AO163" s="12">
        <f t="shared" si="34"/>
        <v>75.400000000000006</v>
      </c>
      <c r="AP163" s="12">
        <f t="shared" si="34"/>
        <v>92.300000000000011</v>
      </c>
      <c r="AQ163" s="12">
        <f t="shared" si="34"/>
        <v>16.900000000000002</v>
      </c>
      <c r="AR163" s="12"/>
      <c r="AS163" s="12">
        <f t="shared" si="35"/>
        <v>94.5</v>
      </c>
      <c r="AT163" s="12">
        <f t="shared" si="35"/>
        <v>94.5</v>
      </c>
      <c r="AU163" s="12">
        <f t="shared" si="35"/>
        <v>29.5</v>
      </c>
      <c r="AV163" s="12">
        <f t="shared" si="35"/>
        <v>94.5</v>
      </c>
      <c r="AW163" s="12">
        <f t="shared" si="35"/>
        <v>71</v>
      </c>
      <c r="AX163" s="12">
        <f t="shared" si="35"/>
        <v>98.9</v>
      </c>
      <c r="AY163" s="12"/>
      <c r="AZ163" s="12">
        <f t="shared" si="26"/>
        <v>92.9</v>
      </c>
      <c r="BA163" s="12">
        <f t="shared" si="27"/>
        <v>84.2</v>
      </c>
      <c r="BB163" s="12"/>
      <c r="BC163" s="12">
        <f t="shared" si="28"/>
        <v>51.9</v>
      </c>
      <c r="BD163" s="12">
        <f t="shared" si="29"/>
        <v>80.300000000000011</v>
      </c>
      <c r="BE163" s="12">
        <f t="shared" si="30"/>
        <v>97.3</v>
      </c>
    </row>
    <row r="164" spans="1:57" ht="15.75" customHeight="1" x14ac:dyDescent="0.25">
      <c r="A164" s="1" t="s">
        <v>242</v>
      </c>
      <c r="B164" s="3" t="s">
        <v>84</v>
      </c>
      <c r="C164" s="4" t="s">
        <v>85</v>
      </c>
      <c r="D164" s="4">
        <v>13</v>
      </c>
      <c r="E164" s="4">
        <v>218</v>
      </c>
      <c r="F164" s="4">
        <v>13</v>
      </c>
      <c r="G164" s="4">
        <v>218</v>
      </c>
      <c r="H164" s="4">
        <v>0.45900000000000002</v>
      </c>
      <c r="I164" s="4">
        <v>15.7</v>
      </c>
      <c r="J164" s="4"/>
      <c r="K164" s="4">
        <v>0.46899999999999997</v>
      </c>
      <c r="L164" s="4">
        <v>0.214</v>
      </c>
      <c r="M164" s="4">
        <v>0.19400000000000001</v>
      </c>
      <c r="N164" s="4">
        <v>3.1E-2</v>
      </c>
      <c r="O164" s="4">
        <v>3.1E-2</v>
      </c>
      <c r="P164" s="4">
        <v>0.53100000000000003</v>
      </c>
      <c r="Q164" s="4"/>
      <c r="R164" s="4">
        <v>0.54300000000000004</v>
      </c>
      <c r="S164" s="4">
        <v>0.85699999999999998</v>
      </c>
      <c r="T164" s="4">
        <v>0.316</v>
      </c>
      <c r="U164" s="4">
        <v>0</v>
      </c>
      <c r="V164" s="4">
        <v>0.33300000000000002</v>
      </c>
      <c r="W164" s="4">
        <v>0.38500000000000001</v>
      </c>
      <c r="X164" s="4"/>
      <c r="Y164" s="4">
        <v>0.48</v>
      </c>
      <c r="Z164" s="4">
        <v>0.9</v>
      </c>
      <c r="AA164" s="4"/>
      <c r="AB164" s="4">
        <v>0.154</v>
      </c>
      <c r="AC164" s="4">
        <v>0.625</v>
      </c>
      <c r="AD164" s="10">
        <f t="shared" si="24"/>
        <v>0.70301999999999998</v>
      </c>
      <c r="AE164" s="9"/>
      <c r="AF164" s="9"/>
      <c r="AG164" s="12">
        <f t="shared" si="33"/>
        <v>4.9000000000000004</v>
      </c>
      <c r="AH164" s="12">
        <f t="shared" si="33"/>
        <v>12.5</v>
      </c>
      <c r="AI164" s="12">
        <f t="shared" si="33"/>
        <v>62.2</v>
      </c>
      <c r="AJ164" s="12">
        <f t="shared" si="23"/>
        <v>65</v>
      </c>
      <c r="AK164" s="12"/>
      <c r="AL164" s="12">
        <f t="shared" si="34"/>
        <v>22.400000000000002</v>
      </c>
      <c r="AM164" s="12">
        <f t="shared" si="34"/>
        <v>57.9</v>
      </c>
      <c r="AN164" s="12">
        <f t="shared" si="34"/>
        <v>30.599999999999998</v>
      </c>
      <c r="AO164" s="12">
        <f t="shared" si="34"/>
        <v>21.3</v>
      </c>
      <c r="AP164" s="12">
        <f t="shared" si="34"/>
        <v>40.400000000000006</v>
      </c>
      <c r="AQ164" s="12">
        <f t="shared" si="34"/>
        <v>77.5</v>
      </c>
      <c r="AR164" s="12"/>
      <c r="AS164" s="12">
        <f t="shared" si="35"/>
        <v>69.3</v>
      </c>
      <c r="AT164" s="12">
        <f t="shared" si="35"/>
        <v>95.6</v>
      </c>
      <c r="AU164" s="12">
        <f t="shared" si="35"/>
        <v>10.9</v>
      </c>
      <c r="AV164" s="12">
        <f t="shared" si="35"/>
        <v>0</v>
      </c>
      <c r="AW164" s="12">
        <f t="shared" si="35"/>
        <v>48</v>
      </c>
      <c r="AX164" s="12">
        <f t="shared" si="35"/>
        <v>77</v>
      </c>
      <c r="AY164" s="12"/>
      <c r="AZ164" s="12">
        <f t="shared" si="26"/>
        <v>69.400000000000006</v>
      </c>
      <c r="BA164" s="12">
        <f t="shared" si="27"/>
        <v>62.9</v>
      </c>
      <c r="BB164" s="12"/>
      <c r="BC164" s="12">
        <f t="shared" si="28"/>
        <v>34.9</v>
      </c>
      <c r="BD164" s="12">
        <f t="shared" si="29"/>
        <v>91.8</v>
      </c>
      <c r="BE164" s="12">
        <f t="shared" si="30"/>
        <v>58</v>
      </c>
    </row>
    <row r="165" spans="1:57" ht="15.75" customHeight="1" x14ac:dyDescent="0.25">
      <c r="A165" s="1" t="s">
        <v>279</v>
      </c>
      <c r="B165" s="3" t="s">
        <v>232</v>
      </c>
      <c r="C165" s="4" t="s">
        <v>8</v>
      </c>
      <c r="D165" s="4">
        <v>15</v>
      </c>
      <c r="E165" s="4">
        <v>210</v>
      </c>
      <c r="F165" s="4">
        <v>15</v>
      </c>
      <c r="G165" s="4">
        <v>210</v>
      </c>
      <c r="H165" s="4">
        <v>0.43099999999999999</v>
      </c>
      <c r="I165" s="4">
        <v>11.8</v>
      </c>
      <c r="J165" s="4"/>
      <c r="K165" s="4">
        <v>0.63800000000000001</v>
      </c>
      <c r="L165" s="4">
        <v>0.20699999999999999</v>
      </c>
      <c r="M165" s="4">
        <v>0.39700000000000002</v>
      </c>
      <c r="N165" s="4">
        <v>3.4000000000000002E-2</v>
      </c>
      <c r="O165" s="4">
        <v>0</v>
      </c>
      <c r="P165" s="4">
        <v>0.36199999999999999</v>
      </c>
      <c r="Q165" s="4"/>
      <c r="R165" s="4">
        <v>0.51400000000000001</v>
      </c>
      <c r="S165" s="4">
        <v>0.41699999999999998</v>
      </c>
      <c r="T165" s="4">
        <v>0.52200000000000002</v>
      </c>
      <c r="U165" s="4">
        <v>1</v>
      </c>
      <c r="V165" s="4">
        <v>0</v>
      </c>
      <c r="W165" s="4">
        <v>0.28599999999999998</v>
      </c>
      <c r="X165" s="4"/>
      <c r="Y165" s="4">
        <v>0.158</v>
      </c>
      <c r="Z165" s="4">
        <v>0.5</v>
      </c>
      <c r="AA165" s="4"/>
      <c r="AB165" s="4">
        <v>0.14299999999999999</v>
      </c>
      <c r="AC165" s="4">
        <v>0.33300000000000002</v>
      </c>
      <c r="AD165" s="10">
        <f t="shared" si="24"/>
        <v>0.281804</v>
      </c>
      <c r="AE165" s="9"/>
      <c r="AF165" s="9"/>
      <c r="AG165" s="12">
        <f t="shared" ref="AG165:AI176" si="36">(PERCENTRANK(F$4:F$298,F165))*100</f>
        <v>7.6</v>
      </c>
      <c r="AH165" s="12">
        <f t="shared" si="36"/>
        <v>12</v>
      </c>
      <c r="AI165" s="12">
        <f t="shared" si="36"/>
        <v>45.9</v>
      </c>
      <c r="AJ165" s="12">
        <f t="shared" si="23"/>
        <v>28.9</v>
      </c>
      <c r="AK165" s="12"/>
      <c r="AL165" s="12">
        <f t="shared" si="34"/>
        <v>60.6</v>
      </c>
      <c r="AM165" s="12">
        <f t="shared" si="34"/>
        <v>55.1</v>
      </c>
      <c r="AN165" s="12">
        <f t="shared" si="34"/>
        <v>88.5</v>
      </c>
      <c r="AO165" s="12">
        <f t="shared" si="34"/>
        <v>24</v>
      </c>
      <c r="AP165" s="12">
        <f t="shared" si="34"/>
        <v>0</v>
      </c>
      <c r="AQ165" s="12">
        <f t="shared" si="34"/>
        <v>39.300000000000004</v>
      </c>
      <c r="AR165" s="12"/>
      <c r="AS165" s="12">
        <f t="shared" si="35"/>
        <v>48.6</v>
      </c>
      <c r="AT165" s="12">
        <f t="shared" si="35"/>
        <v>5.4</v>
      </c>
      <c r="AU165" s="12">
        <f t="shared" si="35"/>
        <v>81.899999999999991</v>
      </c>
      <c r="AV165" s="12">
        <f t="shared" si="35"/>
        <v>98.9</v>
      </c>
      <c r="AW165" s="12">
        <f t="shared" si="35"/>
        <v>0</v>
      </c>
      <c r="AX165" s="12">
        <f t="shared" si="35"/>
        <v>31.6</v>
      </c>
      <c r="AY165" s="12"/>
      <c r="AZ165" s="12">
        <f t="shared" si="26"/>
        <v>97.9</v>
      </c>
      <c r="BA165" s="12">
        <f t="shared" si="27"/>
        <v>92.9</v>
      </c>
      <c r="BB165" s="12"/>
      <c r="BC165" s="12">
        <f t="shared" si="28"/>
        <v>27.800000000000004</v>
      </c>
      <c r="BD165" s="12">
        <f t="shared" si="29"/>
        <v>44.2</v>
      </c>
      <c r="BE165" s="12">
        <f t="shared" si="30"/>
        <v>99</v>
      </c>
    </row>
    <row r="166" spans="1:57" ht="15.75" customHeight="1" x14ac:dyDescent="0.25">
      <c r="A166" s="1" t="s">
        <v>207</v>
      </c>
      <c r="B166" s="3" t="s">
        <v>93</v>
      </c>
      <c r="C166" s="4" t="s">
        <v>88</v>
      </c>
      <c r="D166" s="4">
        <v>19</v>
      </c>
      <c r="E166" s="4">
        <v>202</v>
      </c>
      <c r="F166" s="4">
        <v>19</v>
      </c>
      <c r="G166" s="4">
        <v>202</v>
      </c>
      <c r="H166" s="4">
        <v>0.32800000000000001</v>
      </c>
      <c r="I166" s="4">
        <v>15.6</v>
      </c>
      <c r="J166" s="4"/>
      <c r="K166" s="4">
        <v>0.55200000000000005</v>
      </c>
      <c r="L166" s="4">
        <v>0.10299999999999999</v>
      </c>
      <c r="M166" s="4">
        <v>0.29299999999999998</v>
      </c>
      <c r="N166" s="4">
        <v>1.7000000000000001E-2</v>
      </c>
      <c r="O166" s="4">
        <v>0.13800000000000001</v>
      </c>
      <c r="P166" s="4">
        <v>0.44800000000000001</v>
      </c>
      <c r="Q166" s="4"/>
      <c r="R166" s="4">
        <v>0.375</v>
      </c>
      <c r="S166" s="4">
        <v>0.33300000000000002</v>
      </c>
      <c r="T166" s="4">
        <v>0.52900000000000003</v>
      </c>
      <c r="U166" s="4">
        <v>0</v>
      </c>
      <c r="V166" s="4">
        <v>0.125</v>
      </c>
      <c r="W166" s="4">
        <v>0.26900000000000002</v>
      </c>
      <c r="X166" s="4"/>
      <c r="Y166" s="4">
        <v>0.91700000000000004</v>
      </c>
      <c r="Z166" s="4">
        <v>0.85699999999999998</v>
      </c>
      <c r="AA166" s="4"/>
      <c r="AB166" s="4">
        <v>0.34599999999999997</v>
      </c>
      <c r="AC166" s="4">
        <v>0.222</v>
      </c>
      <c r="AD166" s="10">
        <f t="shared" si="24"/>
        <v>0.89012000000000002</v>
      </c>
      <c r="AE166" s="9"/>
      <c r="AF166" s="9"/>
      <c r="AG166" s="12">
        <f t="shared" si="36"/>
        <v>14.2</v>
      </c>
      <c r="AH166" s="12">
        <f t="shared" si="36"/>
        <v>11.4</v>
      </c>
      <c r="AI166" s="12">
        <f t="shared" si="36"/>
        <v>3.2</v>
      </c>
      <c r="AJ166" s="12">
        <f t="shared" si="23"/>
        <v>61.7</v>
      </c>
      <c r="AK166" s="12"/>
      <c r="AL166" s="12">
        <f t="shared" si="34"/>
        <v>40.400000000000006</v>
      </c>
      <c r="AM166" s="12">
        <f t="shared" si="34"/>
        <v>16.900000000000002</v>
      </c>
      <c r="AN166" s="12">
        <f t="shared" si="34"/>
        <v>63.9</v>
      </c>
      <c r="AO166" s="12">
        <f t="shared" si="34"/>
        <v>10.299999999999999</v>
      </c>
      <c r="AP166" s="12">
        <f t="shared" si="34"/>
        <v>96.1</v>
      </c>
      <c r="AQ166" s="12">
        <f t="shared" si="34"/>
        <v>59.5</v>
      </c>
      <c r="AR166" s="12"/>
      <c r="AS166" s="12">
        <f t="shared" si="35"/>
        <v>5.4</v>
      </c>
      <c r="AT166" s="12">
        <f t="shared" si="35"/>
        <v>1.6</v>
      </c>
      <c r="AU166" s="12">
        <f t="shared" si="35"/>
        <v>85.2</v>
      </c>
      <c r="AV166" s="12">
        <f t="shared" si="35"/>
        <v>0</v>
      </c>
      <c r="AW166" s="12">
        <f t="shared" si="35"/>
        <v>24.5</v>
      </c>
      <c r="AX166" s="12">
        <f t="shared" si="35"/>
        <v>23.400000000000002</v>
      </c>
      <c r="AY166" s="12"/>
      <c r="AZ166" s="12">
        <f t="shared" si="26"/>
        <v>1.0999999999999943</v>
      </c>
      <c r="BA166" s="12">
        <f t="shared" si="27"/>
        <v>70</v>
      </c>
      <c r="BB166" s="12"/>
      <c r="BC166" s="12">
        <f t="shared" si="28"/>
        <v>83.6</v>
      </c>
      <c r="BD166" s="12">
        <f t="shared" si="29"/>
        <v>20.7</v>
      </c>
      <c r="BE166" s="12">
        <f t="shared" si="30"/>
        <v>11.5</v>
      </c>
    </row>
    <row r="167" spans="1:57" ht="15.75" customHeight="1" x14ac:dyDescent="0.25">
      <c r="A167" s="1" t="s">
        <v>271</v>
      </c>
      <c r="B167" s="3" t="s">
        <v>117</v>
      </c>
      <c r="C167" s="4" t="s">
        <v>8</v>
      </c>
      <c r="D167" s="4">
        <v>13</v>
      </c>
      <c r="E167" s="4">
        <v>200</v>
      </c>
      <c r="F167" s="4">
        <v>13</v>
      </c>
      <c r="G167" s="4">
        <v>200</v>
      </c>
      <c r="H167" s="4">
        <v>0.27400000000000002</v>
      </c>
      <c r="I167" s="4">
        <v>17.600000000000001</v>
      </c>
      <c r="J167" s="4"/>
      <c r="K167" s="4">
        <v>0.51600000000000001</v>
      </c>
      <c r="L167" s="4">
        <v>4.8000000000000001E-2</v>
      </c>
      <c r="M167" s="4">
        <v>0.22600000000000001</v>
      </c>
      <c r="N167" s="4">
        <v>0.113</v>
      </c>
      <c r="O167" s="4">
        <v>0.129</v>
      </c>
      <c r="P167" s="4">
        <v>0.48399999999999999</v>
      </c>
      <c r="Q167" s="4"/>
      <c r="R167" s="4">
        <v>0.188</v>
      </c>
      <c r="S167" s="4">
        <v>0</v>
      </c>
      <c r="T167" s="4">
        <v>0.28599999999999998</v>
      </c>
      <c r="U167" s="4">
        <v>0</v>
      </c>
      <c r="V167" s="4">
        <v>0.25</v>
      </c>
      <c r="W167" s="4">
        <v>0.36699999999999999</v>
      </c>
      <c r="X167" s="4"/>
      <c r="Y167" s="4">
        <v>0</v>
      </c>
      <c r="Z167" s="4">
        <v>0.72699999999999998</v>
      </c>
      <c r="AA167" s="4"/>
      <c r="AB167" s="4">
        <v>0.16700000000000001</v>
      </c>
      <c r="AC167" s="4">
        <v>0.6</v>
      </c>
      <c r="AD167" s="10">
        <f t="shared" si="24"/>
        <v>0.35186799999999996</v>
      </c>
      <c r="AE167" s="9"/>
      <c r="AF167" s="9"/>
      <c r="AG167" s="12">
        <f t="shared" si="36"/>
        <v>4.9000000000000004</v>
      </c>
      <c r="AH167" s="12">
        <f t="shared" si="36"/>
        <v>10.9</v>
      </c>
      <c r="AI167" s="12">
        <f t="shared" si="36"/>
        <v>0.5</v>
      </c>
      <c r="AJ167" s="12">
        <f t="shared" si="23"/>
        <v>81.399999999999991</v>
      </c>
      <c r="AK167" s="12"/>
      <c r="AL167" s="12">
        <f t="shared" si="34"/>
        <v>34.4</v>
      </c>
      <c r="AM167" s="12">
        <f t="shared" si="34"/>
        <v>5.4</v>
      </c>
      <c r="AN167" s="12">
        <f t="shared" si="34"/>
        <v>41.5</v>
      </c>
      <c r="AO167" s="12">
        <f t="shared" si="34"/>
        <v>78.100000000000009</v>
      </c>
      <c r="AP167" s="12">
        <f t="shared" si="34"/>
        <v>95</v>
      </c>
      <c r="AQ167" s="12">
        <f t="shared" si="34"/>
        <v>65</v>
      </c>
      <c r="AR167" s="12"/>
      <c r="AS167" s="12">
        <f t="shared" si="35"/>
        <v>0.5</v>
      </c>
      <c r="AT167" s="12">
        <f t="shared" si="35"/>
        <v>0</v>
      </c>
      <c r="AU167" s="12">
        <f t="shared" si="35"/>
        <v>5.4</v>
      </c>
      <c r="AV167" s="12">
        <f t="shared" si="35"/>
        <v>0</v>
      </c>
      <c r="AW167" s="12">
        <f t="shared" si="35"/>
        <v>32.700000000000003</v>
      </c>
      <c r="AX167" s="12">
        <f t="shared" si="35"/>
        <v>67.2</v>
      </c>
      <c r="AY167" s="12"/>
      <c r="AZ167" s="12">
        <f t="shared" si="26"/>
        <v>100</v>
      </c>
      <c r="BA167" s="12">
        <f t="shared" si="27"/>
        <v>84.2</v>
      </c>
      <c r="BB167" s="12"/>
      <c r="BC167" s="12">
        <f t="shared" si="28"/>
        <v>42.6</v>
      </c>
      <c r="BD167" s="12">
        <f t="shared" si="29"/>
        <v>90.100000000000009</v>
      </c>
      <c r="BE167" s="12">
        <f t="shared" si="30"/>
        <v>96.8</v>
      </c>
    </row>
    <row r="168" spans="1:57" ht="15.75" customHeight="1" x14ac:dyDescent="0.25">
      <c r="A168" s="1" t="s">
        <v>280</v>
      </c>
      <c r="B168" s="3" t="s">
        <v>117</v>
      </c>
      <c r="C168" s="4" t="s">
        <v>8</v>
      </c>
      <c r="D168" s="4">
        <v>12</v>
      </c>
      <c r="E168" s="4">
        <v>188</v>
      </c>
      <c r="F168" s="4">
        <v>12</v>
      </c>
      <c r="G168" s="4">
        <v>188</v>
      </c>
      <c r="H168" s="4">
        <v>0.38200000000000001</v>
      </c>
      <c r="I168" s="4">
        <v>19.600000000000001</v>
      </c>
      <c r="J168" s="4"/>
      <c r="K168" s="4">
        <v>0.309</v>
      </c>
      <c r="L168" s="4">
        <v>3.5999999999999997E-2</v>
      </c>
      <c r="M168" s="4">
        <v>0.23599999999999999</v>
      </c>
      <c r="N168" s="4">
        <v>1.7999999999999999E-2</v>
      </c>
      <c r="O168" s="4">
        <v>1.7999999999999999E-2</v>
      </c>
      <c r="P168" s="4">
        <v>0.69099999999999995</v>
      </c>
      <c r="Q168" s="4"/>
      <c r="R168" s="4">
        <v>0.35299999999999998</v>
      </c>
      <c r="S168" s="4">
        <v>0.5</v>
      </c>
      <c r="T168" s="4">
        <v>0.38500000000000001</v>
      </c>
      <c r="U168" s="4">
        <v>0</v>
      </c>
      <c r="V168" s="4">
        <v>0</v>
      </c>
      <c r="W168" s="4">
        <v>0.39500000000000002</v>
      </c>
      <c r="X168" s="4"/>
      <c r="Y168" s="4">
        <v>0.16700000000000001</v>
      </c>
      <c r="Z168" s="4">
        <v>0.8</v>
      </c>
      <c r="AA168" s="4"/>
      <c r="AB168" s="4">
        <v>0.184</v>
      </c>
      <c r="AC168" s="4">
        <v>0.57099999999999995</v>
      </c>
      <c r="AD168" s="10">
        <f t="shared" si="24"/>
        <v>0.60440299999999991</v>
      </c>
      <c r="AE168" s="9"/>
      <c r="AF168" s="9"/>
      <c r="AG168" s="12">
        <f t="shared" si="36"/>
        <v>3.8</v>
      </c>
      <c r="AH168" s="12">
        <f t="shared" si="36"/>
        <v>10.299999999999999</v>
      </c>
      <c r="AI168" s="12">
        <f t="shared" si="36"/>
        <v>20.7</v>
      </c>
      <c r="AJ168" s="12">
        <f t="shared" si="23"/>
        <v>93.4</v>
      </c>
      <c r="AK168" s="12"/>
      <c r="AL168" s="12">
        <f t="shared" si="34"/>
        <v>7.6</v>
      </c>
      <c r="AM168" s="12">
        <f t="shared" si="34"/>
        <v>3.2</v>
      </c>
      <c r="AN168" s="12">
        <f t="shared" si="34"/>
        <v>45.300000000000004</v>
      </c>
      <c r="AO168" s="12">
        <f t="shared" si="34"/>
        <v>11.4</v>
      </c>
      <c r="AP168" s="12">
        <f t="shared" si="34"/>
        <v>22.400000000000002</v>
      </c>
      <c r="AQ168" s="12">
        <f t="shared" si="34"/>
        <v>92.300000000000011</v>
      </c>
      <c r="AR168" s="12"/>
      <c r="AS168" s="12">
        <f t="shared" si="35"/>
        <v>3.8</v>
      </c>
      <c r="AT168" s="12">
        <f t="shared" si="35"/>
        <v>8.1</v>
      </c>
      <c r="AU168" s="12">
        <f t="shared" si="35"/>
        <v>26.200000000000003</v>
      </c>
      <c r="AV168" s="12">
        <f t="shared" si="35"/>
        <v>0</v>
      </c>
      <c r="AW168" s="12">
        <f t="shared" si="35"/>
        <v>0</v>
      </c>
      <c r="AX168" s="12">
        <f t="shared" si="35"/>
        <v>80.300000000000011</v>
      </c>
      <c r="AY168" s="12"/>
      <c r="AZ168" s="12">
        <f t="shared" si="26"/>
        <v>97.3</v>
      </c>
      <c r="BA168" s="12">
        <f t="shared" si="27"/>
        <v>77.599999999999994</v>
      </c>
      <c r="BB168" s="12"/>
      <c r="BC168" s="12">
        <f t="shared" si="28"/>
        <v>49.1</v>
      </c>
      <c r="BD168" s="12">
        <f t="shared" si="29"/>
        <v>89.600000000000009</v>
      </c>
      <c r="BE168" s="12">
        <f t="shared" si="30"/>
        <v>77.099999999999994</v>
      </c>
    </row>
    <row r="169" spans="1:57" ht="15.75" customHeight="1" x14ac:dyDescent="0.25">
      <c r="A169" s="1" t="s">
        <v>276</v>
      </c>
      <c r="B169" s="3" t="s">
        <v>131</v>
      </c>
      <c r="C169" s="4" t="s">
        <v>94</v>
      </c>
      <c r="D169" s="4">
        <v>11</v>
      </c>
      <c r="E169" s="4">
        <v>178</v>
      </c>
      <c r="F169" s="4">
        <v>11</v>
      </c>
      <c r="G169" s="4">
        <v>178</v>
      </c>
      <c r="H169" s="4">
        <v>0.33</v>
      </c>
      <c r="I169" s="4">
        <v>12.2</v>
      </c>
      <c r="J169" s="4"/>
      <c r="K169" s="4">
        <v>0.73399999999999999</v>
      </c>
      <c r="L169" s="4">
        <v>0.191</v>
      </c>
      <c r="M169" s="4">
        <v>0.245</v>
      </c>
      <c r="N169" s="4">
        <v>0.26600000000000001</v>
      </c>
      <c r="O169" s="4">
        <v>3.2000000000000001E-2</v>
      </c>
      <c r="P169" s="4">
        <v>0.26600000000000001</v>
      </c>
      <c r="Q169" s="4"/>
      <c r="R169" s="4">
        <v>0.34799999999999998</v>
      </c>
      <c r="S169" s="4">
        <v>0.44400000000000001</v>
      </c>
      <c r="T169" s="4">
        <v>0.435</v>
      </c>
      <c r="U169" s="4">
        <v>0.24</v>
      </c>
      <c r="V169" s="4">
        <v>0</v>
      </c>
      <c r="W169" s="4">
        <v>0.28000000000000003</v>
      </c>
      <c r="X169" s="4"/>
      <c r="Y169" s="4">
        <v>0.54200000000000004</v>
      </c>
      <c r="Z169" s="4">
        <v>0.85699999999999998</v>
      </c>
      <c r="AA169" s="4"/>
      <c r="AB169" s="4">
        <v>0.16</v>
      </c>
      <c r="AC169" s="4">
        <v>0.25</v>
      </c>
      <c r="AD169" s="10">
        <f t="shared" si="24"/>
        <v>0.62579000000000007</v>
      </c>
      <c r="AE169" s="9"/>
      <c r="AF169" s="9"/>
      <c r="AG169" s="12">
        <f t="shared" si="36"/>
        <v>3.2</v>
      </c>
      <c r="AH169" s="12">
        <f t="shared" si="36"/>
        <v>9.1999999999999993</v>
      </c>
      <c r="AI169" s="12">
        <f t="shared" si="36"/>
        <v>3.8</v>
      </c>
      <c r="AJ169" s="12">
        <f t="shared" si="23"/>
        <v>32.200000000000003</v>
      </c>
      <c r="AK169" s="12"/>
      <c r="AL169" s="12">
        <f t="shared" si="34"/>
        <v>74.8</v>
      </c>
      <c r="AM169" s="12">
        <f t="shared" si="34"/>
        <v>46.9</v>
      </c>
      <c r="AN169" s="12">
        <f t="shared" si="34"/>
        <v>47.5</v>
      </c>
      <c r="AO169" s="12">
        <f t="shared" si="34"/>
        <v>99.4</v>
      </c>
      <c r="AP169" s="12">
        <f t="shared" si="34"/>
        <v>41.5</v>
      </c>
      <c r="AQ169" s="12">
        <f t="shared" si="34"/>
        <v>25.1</v>
      </c>
      <c r="AR169" s="12"/>
      <c r="AS169" s="12">
        <f t="shared" si="35"/>
        <v>2.7</v>
      </c>
      <c r="AT169" s="12">
        <f t="shared" si="35"/>
        <v>6</v>
      </c>
      <c r="AU169" s="12">
        <f t="shared" si="35"/>
        <v>46.9</v>
      </c>
      <c r="AV169" s="12">
        <f t="shared" si="35"/>
        <v>27.800000000000004</v>
      </c>
      <c r="AW169" s="12">
        <f t="shared" si="35"/>
        <v>0</v>
      </c>
      <c r="AX169" s="12">
        <f t="shared" si="35"/>
        <v>28.4</v>
      </c>
      <c r="AY169" s="12"/>
      <c r="AZ169" s="12">
        <f t="shared" si="26"/>
        <v>62.3</v>
      </c>
      <c r="BA169" s="12">
        <f t="shared" si="27"/>
        <v>70</v>
      </c>
      <c r="BB169" s="12"/>
      <c r="BC169" s="12">
        <f t="shared" si="28"/>
        <v>38.700000000000003</v>
      </c>
      <c r="BD169" s="12">
        <f t="shared" si="29"/>
        <v>24.5</v>
      </c>
      <c r="BE169" s="12">
        <f t="shared" si="30"/>
        <v>73.8</v>
      </c>
    </row>
    <row r="170" spans="1:57" ht="15.75" customHeight="1" x14ac:dyDescent="0.25">
      <c r="A170" s="1" t="s">
        <v>260</v>
      </c>
      <c r="B170" s="3" t="s">
        <v>161</v>
      </c>
      <c r="C170" s="4" t="s">
        <v>8</v>
      </c>
      <c r="D170" s="4">
        <v>19</v>
      </c>
      <c r="E170" s="4">
        <v>178</v>
      </c>
      <c r="F170" s="4">
        <v>19</v>
      </c>
      <c r="G170" s="4">
        <v>178</v>
      </c>
      <c r="H170" s="4">
        <v>0.34499999999999997</v>
      </c>
      <c r="I170" s="4">
        <v>15.6</v>
      </c>
      <c r="J170" s="4"/>
      <c r="K170" s="4">
        <v>0.52700000000000002</v>
      </c>
      <c r="L170" s="4">
        <v>0.23599999999999999</v>
      </c>
      <c r="M170" s="4">
        <v>0.109</v>
      </c>
      <c r="N170" s="4">
        <v>9.0999999999999998E-2</v>
      </c>
      <c r="O170" s="4">
        <v>9.0999999999999998E-2</v>
      </c>
      <c r="P170" s="4">
        <v>0.47299999999999998</v>
      </c>
      <c r="Q170" s="4"/>
      <c r="R170" s="4">
        <v>0.379</v>
      </c>
      <c r="S170" s="4">
        <v>0.53800000000000003</v>
      </c>
      <c r="T170" s="4">
        <v>0.33300000000000002</v>
      </c>
      <c r="U170" s="4">
        <v>0</v>
      </c>
      <c r="V170" s="4">
        <v>0.4</v>
      </c>
      <c r="W170" s="4">
        <v>0.308</v>
      </c>
      <c r="X170" s="4"/>
      <c r="Y170" s="4">
        <v>0.63600000000000001</v>
      </c>
      <c r="Z170" s="4">
        <v>1</v>
      </c>
      <c r="AA170" s="4"/>
      <c r="AB170" s="4">
        <v>0.23100000000000001</v>
      </c>
      <c r="AC170" s="4">
        <v>0.33300000000000002</v>
      </c>
      <c r="AD170" s="10">
        <f t="shared" si="24"/>
        <v>0.808172</v>
      </c>
      <c r="AE170" s="9"/>
      <c r="AF170" s="9"/>
      <c r="AG170" s="12">
        <f t="shared" si="36"/>
        <v>14.2</v>
      </c>
      <c r="AH170" s="12">
        <f t="shared" si="36"/>
        <v>9.1999999999999993</v>
      </c>
      <c r="AI170" s="12">
        <f t="shared" si="36"/>
        <v>7.1</v>
      </c>
      <c r="AJ170" s="12">
        <f t="shared" si="23"/>
        <v>61.7</v>
      </c>
      <c r="AK170" s="12"/>
      <c r="AL170" s="12">
        <f t="shared" si="34"/>
        <v>37.700000000000003</v>
      </c>
      <c r="AM170" s="12">
        <f t="shared" si="34"/>
        <v>66.100000000000009</v>
      </c>
      <c r="AN170" s="12">
        <f t="shared" si="34"/>
        <v>6</v>
      </c>
      <c r="AO170" s="12">
        <f t="shared" si="34"/>
        <v>65.5</v>
      </c>
      <c r="AP170" s="12">
        <f t="shared" si="34"/>
        <v>86.3</v>
      </c>
      <c r="AQ170" s="12">
        <f t="shared" si="34"/>
        <v>62.2</v>
      </c>
      <c r="AR170" s="12"/>
      <c r="AS170" s="12">
        <f t="shared" si="35"/>
        <v>7.1</v>
      </c>
      <c r="AT170" s="12">
        <f t="shared" si="35"/>
        <v>10.9</v>
      </c>
      <c r="AU170" s="12">
        <f t="shared" si="35"/>
        <v>12</v>
      </c>
      <c r="AV170" s="12">
        <f t="shared" si="35"/>
        <v>0</v>
      </c>
      <c r="AW170" s="12">
        <f t="shared" si="35"/>
        <v>62.8</v>
      </c>
      <c r="AX170" s="12">
        <f t="shared" si="35"/>
        <v>39.800000000000004</v>
      </c>
      <c r="AY170" s="12"/>
      <c r="AZ170" s="12">
        <f t="shared" si="26"/>
        <v>47</v>
      </c>
      <c r="BA170" s="12">
        <f t="shared" si="27"/>
        <v>33.899999999999991</v>
      </c>
      <c r="BB170" s="12"/>
      <c r="BC170" s="12">
        <f t="shared" si="28"/>
        <v>65</v>
      </c>
      <c r="BD170" s="12">
        <f t="shared" si="29"/>
        <v>44.2</v>
      </c>
      <c r="BE170" s="12">
        <f t="shared" si="30"/>
        <v>31.699999999999989</v>
      </c>
    </row>
    <row r="171" spans="1:57" ht="15.75" customHeight="1" x14ac:dyDescent="0.25">
      <c r="A171" s="1" t="s">
        <v>261</v>
      </c>
      <c r="B171" s="3" t="s">
        <v>128</v>
      </c>
      <c r="C171" s="4" t="s">
        <v>85</v>
      </c>
      <c r="D171" s="4">
        <v>34</v>
      </c>
      <c r="E171" s="4">
        <v>173</v>
      </c>
      <c r="F171" s="4">
        <v>34</v>
      </c>
      <c r="G171" s="4">
        <v>173</v>
      </c>
      <c r="H171" s="4">
        <v>0.34399999999999997</v>
      </c>
      <c r="I171" s="4">
        <v>14.9</v>
      </c>
      <c r="J171" s="4"/>
      <c r="K171" s="4">
        <v>0.52500000000000002</v>
      </c>
      <c r="L171" s="4">
        <v>0.27900000000000003</v>
      </c>
      <c r="M171" s="4">
        <v>0.14799999999999999</v>
      </c>
      <c r="N171" s="4">
        <v>1.6E-2</v>
      </c>
      <c r="O171" s="4">
        <v>8.2000000000000003E-2</v>
      </c>
      <c r="P171" s="4">
        <v>0.47499999999999998</v>
      </c>
      <c r="Q171" s="4"/>
      <c r="R171" s="4">
        <v>0.46899999999999997</v>
      </c>
      <c r="S171" s="4">
        <v>0.70599999999999996</v>
      </c>
      <c r="T171" s="4">
        <v>0.33300000000000002</v>
      </c>
      <c r="U171" s="4">
        <v>0</v>
      </c>
      <c r="V171" s="4">
        <v>0</v>
      </c>
      <c r="W171" s="4">
        <v>0.20699999999999999</v>
      </c>
      <c r="X171" s="4"/>
      <c r="Y171" s="4">
        <v>0.86699999999999999</v>
      </c>
      <c r="Z171" s="4">
        <v>1</v>
      </c>
      <c r="AA171" s="4"/>
      <c r="AB171" s="4">
        <v>0.41399999999999998</v>
      </c>
      <c r="AC171" s="4">
        <v>0.25</v>
      </c>
      <c r="AD171" s="10">
        <f t="shared" si="24"/>
        <v>0.93017499999999997</v>
      </c>
      <c r="AE171" s="9"/>
      <c r="AF171" s="9"/>
      <c r="AG171" s="12">
        <f t="shared" si="36"/>
        <v>39.300000000000004</v>
      </c>
      <c r="AH171" s="12">
        <f t="shared" si="36"/>
        <v>8.6999999999999993</v>
      </c>
      <c r="AI171" s="12">
        <f t="shared" si="36"/>
        <v>6.5</v>
      </c>
      <c r="AJ171" s="12">
        <f t="shared" si="23"/>
        <v>56.2</v>
      </c>
      <c r="AK171" s="12"/>
      <c r="AL171" s="12">
        <f t="shared" si="34"/>
        <v>37.1</v>
      </c>
      <c r="AM171" s="12">
        <f t="shared" si="34"/>
        <v>74.8</v>
      </c>
      <c r="AN171" s="12">
        <f t="shared" si="34"/>
        <v>15.8</v>
      </c>
      <c r="AO171" s="12">
        <f t="shared" si="34"/>
        <v>9.8000000000000007</v>
      </c>
      <c r="AP171" s="12">
        <f t="shared" si="34"/>
        <v>82.5</v>
      </c>
      <c r="AQ171" s="12">
        <f t="shared" si="34"/>
        <v>62.8</v>
      </c>
      <c r="AR171" s="12"/>
      <c r="AS171" s="12">
        <f t="shared" si="35"/>
        <v>27.3</v>
      </c>
      <c r="AT171" s="12">
        <f t="shared" si="35"/>
        <v>63.9</v>
      </c>
      <c r="AU171" s="12">
        <f t="shared" si="35"/>
        <v>12</v>
      </c>
      <c r="AV171" s="12">
        <f t="shared" si="35"/>
        <v>0</v>
      </c>
      <c r="AW171" s="12">
        <f t="shared" si="35"/>
        <v>0</v>
      </c>
      <c r="AX171" s="12">
        <f t="shared" si="35"/>
        <v>11.4</v>
      </c>
      <c r="AY171" s="12"/>
      <c r="AZ171" s="12">
        <f t="shared" si="26"/>
        <v>4.4000000000000057</v>
      </c>
      <c r="BA171" s="12">
        <f t="shared" si="27"/>
        <v>33.899999999999991</v>
      </c>
      <c r="BB171" s="12"/>
      <c r="BC171" s="12">
        <f t="shared" si="28"/>
        <v>90.100000000000009</v>
      </c>
      <c r="BD171" s="12">
        <f t="shared" si="29"/>
        <v>24.5</v>
      </c>
      <c r="BE171" s="12">
        <f t="shared" si="30"/>
        <v>2.7999999999999972</v>
      </c>
    </row>
    <row r="172" spans="1:57" ht="15.75" customHeight="1" x14ac:dyDescent="0.25">
      <c r="A172" s="1" t="s">
        <v>284</v>
      </c>
      <c r="B172" s="3" t="s">
        <v>161</v>
      </c>
      <c r="C172" s="4" t="s">
        <v>85</v>
      </c>
      <c r="D172" s="4">
        <v>12</v>
      </c>
      <c r="E172" s="4">
        <v>168</v>
      </c>
      <c r="F172" s="4">
        <v>12</v>
      </c>
      <c r="G172" s="4">
        <v>168</v>
      </c>
      <c r="H172" s="4">
        <v>0.5</v>
      </c>
      <c r="I172" s="4">
        <v>12.5</v>
      </c>
      <c r="J172" s="4"/>
      <c r="K172" s="4">
        <v>0.60699999999999998</v>
      </c>
      <c r="L172" s="4">
        <v>0.32100000000000001</v>
      </c>
      <c r="M172" s="4">
        <v>0.214</v>
      </c>
      <c r="N172" s="4">
        <v>0</v>
      </c>
      <c r="O172" s="4">
        <v>7.0999999999999994E-2</v>
      </c>
      <c r="P172" s="4">
        <v>0.39300000000000002</v>
      </c>
      <c r="Q172" s="4"/>
      <c r="R172" s="4">
        <v>0.52900000000000003</v>
      </c>
      <c r="S172" s="4">
        <v>0.77800000000000002</v>
      </c>
      <c r="T172" s="4">
        <v>0.33300000000000002</v>
      </c>
      <c r="U172" s="4">
        <v>0</v>
      </c>
      <c r="V172" s="4">
        <v>0</v>
      </c>
      <c r="W172" s="4">
        <v>0.45500000000000002</v>
      </c>
      <c r="X172" s="4"/>
      <c r="Y172" s="4">
        <v>0.44400000000000001</v>
      </c>
      <c r="Z172" s="4">
        <v>1</v>
      </c>
      <c r="AA172" s="4"/>
      <c r="AB172" s="4">
        <v>0.54500000000000004</v>
      </c>
      <c r="AC172" s="4">
        <v>0.83299999999999996</v>
      </c>
      <c r="AD172" s="10">
        <f t="shared" si="24"/>
        <v>0.66250799999999999</v>
      </c>
      <c r="AE172" s="9"/>
      <c r="AF172" s="9"/>
      <c r="AG172" s="12">
        <f t="shared" si="36"/>
        <v>3.8</v>
      </c>
      <c r="AH172" s="12">
        <f t="shared" si="36"/>
        <v>8.1</v>
      </c>
      <c r="AI172" s="12">
        <f t="shared" si="36"/>
        <v>78.100000000000009</v>
      </c>
      <c r="AJ172" s="12">
        <f t="shared" si="23"/>
        <v>36</v>
      </c>
      <c r="AK172" s="12"/>
      <c r="AL172" s="12">
        <f t="shared" si="34"/>
        <v>54</v>
      </c>
      <c r="AM172" s="12">
        <f t="shared" si="34"/>
        <v>80.800000000000011</v>
      </c>
      <c r="AN172" s="12">
        <f t="shared" si="34"/>
        <v>37.700000000000003</v>
      </c>
      <c r="AO172" s="12">
        <f t="shared" si="34"/>
        <v>0</v>
      </c>
      <c r="AP172" s="12">
        <f t="shared" si="34"/>
        <v>77</v>
      </c>
      <c r="AQ172" s="12">
        <f t="shared" si="34"/>
        <v>45.9</v>
      </c>
      <c r="AR172" s="12"/>
      <c r="AS172" s="12">
        <f t="shared" si="35"/>
        <v>60.6</v>
      </c>
      <c r="AT172" s="12">
        <f t="shared" si="35"/>
        <v>86.3</v>
      </c>
      <c r="AU172" s="12">
        <f t="shared" si="35"/>
        <v>12</v>
      </c>
      <c r="AV172" s="12">
        <f t="shared" si="35"/>
        <v>0</v>
      </c>
      <c r="AW172" s="12">
        <f t="shared" si="35"/>
        <v>0</v>
      </c>
      <c r="AX172" s="12">
        <f t="shared" si="35"/>
        <v>95.6</v>
      </c>
      <c r="AY172" s="12"/>
      <c r="AZ172" s="12">
        <f t="shared" si="26"/>
        <v>77.599999999999994</v>
      </c>
      <c r="BA172" s="12">
        <f t="shared" si="27"/>
        <v>33.899999999999991</v>
      </c>
      <c r="BB172" s="12"/>
      <c r="BC172" s="12">
        <f t="shared" si="28"/>
        <v>97.2</v>
      </c>
      <c r="BD172" s="12">
        <f t="shared" si="29"/>
        <v>96.7</v>
      </c>
      <c r="BE172" s="12">
        <f t="shared" si="30"/>
        <v>67.8</v>
      </c>
    </row>
    <row r="173" spans="1:57" ht="15.75" customHeight="1" x14ac:dyDescent="0.25">
      <c r="A173" s="1" t="s">
        <v>265</v>
      </c>
      <c r="B173" s="3" t="s">
        <v>93</v>
      </c>
      <c r="C173" s="4" t="s">
        <v>85</v>
      </c>
      <c r="D173" s="4">
        <v>18</v>
      </c>
      <c r="E173" s="4">
        <v>163</v>
      </c>
      <c r="F173" s="4">
        <v>18</v>
      </c>
      <c r="G173" s="4">
        <v>163</v>
      </c>
      <c r="H173" s="4">
        <v>0.44</v>
      </c>
      <c r="I173" s="4">
        <v>10.8</v>
      </c>
      <c r="J173" s="4"/>
      <c r="K173" s="4">
        <v>0.66</v>
      </c>
      <c r="L173" s="4">
        <v>0.34</v>
      </c>
      <c r="M173" s="4">
        <v>0.32</v>
      </c>
      <c r="N173" s="4">
        <v>0</v>
      </c>
      <c r="O173" s="4">
        <v>0</v>
      </c>
      <c r="P173" s="4">
        <v>0.34</v>
      </c>
      <c r="Q173" s="4"/>
      <c r="R173" s="4">
        <v>0.51500000000000001</v>
      </c>
      <c r="S173" s="4">
        <v>0.58799999999999997</v>
      </c>
      <c r="T173" s="4">
        <v>0.438</v>
      </c>
      <c r="U173" s="4">
        <v>0</v>
      </c>
      <c r="V173" s="4">
        <v>0</v>
      </c>
      <c r="W173" s="4">
        <v>0.29399999999999998</v>
      </c>
      <c r="X173" s="4"/>
      <c r="Y173" s="4">
        <v>0.52900000000000003</v>
      </c>
      <c r="Z173" s="4">
        <v>1</v>
      </c>
      <c r="AA173" s="4"/>
      <c r="AB173" s="4">
        <v>0.11799999999999999</v>
      </c>
      <c r="AC173" s="4">
        <v>0.5</v>
      </c>
      <c r="AD173" s="10">
        <f t="shared" si="24"/>
        <v>0.68914000000000009</v>
      </c>
      <c r="AE173" s="9"/>
      <c r="AF173" s="9"/>
      <c r="AG173" s="12">
        <f t="shared" si="36"/>
        <v>12.5</v>
      </c>
      <c r="AH173" s="12">
        <f t="shared" si="36"/>
        <v>7.6</v>
      </c>
      <c r="AI173" s="12">
        <f t="shared" si="36"/>
        <v>54</v>
      </c>
      <c r="AJ173" s="12">
        <f t="shared" si="23"/>
        <v>22.900000000000002</v>
      </c>
      <c r="AK173" s="12"/>
      <c r="AL173" s="12">
        <f t="shared" si="34"/>
        <v>65</v>
      </c>
      <c r="AM173" s="12">
        <f t="shared" si="34"/>
        <v>84.6</v>
      </c>
      <c r="AN173" s="12">
        <f t="shared" si="34"/>
        <v>71.5</v>
      </c>
      <c r="AO173" s="12">
        <f t="shared" si="34"/>
        <v>0</v>
      </c>
      <c r="AP173" s="12">
        <f t="shared" si="34"/>
        <v>0</v>
      </c>
      <c r="AQ173" s="12">
        <f t="shared" si="34"/>
        <v>34.9</v>
      </c>
      <c r="AR173" s="12"/>
      <c r="AS173" s="12">
        <f t="shared" si="35"/>
        <v>49.7</v>
      </c>
      <c r="AT173" s="12">
        <f t="shared" si="35"/>
        <v>22.400000000000002</v>
      </c>
      <c r="AU173" s="12">
        <f t="shared" si="35"/>
        <v>47.5</v>
      </c>
      <c r="AV173" s="12">
        <f t="shared" si="35"/>
        <v>0</v>
      </c>
      <c r="AW173" s="12">
        <f t="shared" si="35"/>
        <v>0</v>
      </c>
      <c r="AX173" s="12">
        <f t="shared" si="35"/>
        <v>34.9</v>
      </c>
      <c r="AY173" s="12"/>
      <c r="AZ173" s="12">
        <f t="shared" si="26"/>
        <v>63.4</v>
      </c>
      <c r="BA173" s="12">
        <f t="shared" si="27"/>
        <v>33.899999999999991</v>
      </c>
      <c r="BB173" s="12"/>
      <c r="BC173" s="12">
        <f t="shared" si="28"/>
        <v>21.3</v>
      </c>
      <c r="BD173" s="12">
        <f t="shared" si="29"/>
        <v>80.300000000000011</v>
      </c>
      <c r="BE173" s="12">
        <f t="shared" si="30"/>
        <v>61.3</v>
      </c>
    </row>
    <row r="174" spans="1:57" ht="15.75" customHeight="1" x14ac:dyDescent="0.25">
      <c r="A174" s="1" t="s">
        <v>285</v>
      </c>
      <c r="B174" s="3" t="s">
        <v>137</v>
      </c>
      <c r="C174" s="4" t="s">
        <v>8</v>
      </c>
      <c r="D174" s="4">
        <v>10</v>
      </c>
      <c r="E174" s="4">
        <v>159</v>
      </c>
      <c r="F174" s="4">
        <v>10</v>
      </c>
      <c r="G174" s="4">
        <v>159</v>
      </c>
      <c r="H174" s="4">
        <v>0.51400000000000001</v>
      </c>
      <c r="I174" s="4">
        <v>8.6</v>
      </c>
      <c r="J174" s="4"/>
      <c r="K174" s="4">
        <v>0.78400000000000003</v>
      </c>
      <c r="L174" s="4">
        <v>0.40500000000000003</v>
      </c>
      <c r="M174" s="4">
        <v>0.378</v>
      </c>
      <c r="N174" s="4">
        <v>0</v>
      </c>
      <c r="O174" s="4">
        <v>0</v>
      </c>
      <c r="P174" s="4">
        <v>0.216</v>
      </c>
      <c r="Q174" s="4"/>
      <c r="R174" s="4">
        <v>0.58599999999999997</v>
      </c>
      <c r="S174" s="4">
        <v>0.8</v>
      </c>
      <c r="T174" s="4">
        <v>0.35699999999999998</v>
      </c>
      <c r="U174" s="4">
        <v>0</v>
      </c>
      <c r="V174" s="4">
        <v>0</v>
      </c>
      <c r="W174" s="4">
        <v>0.25</v>
      </c>
      <c r="X174" s="4"/>
      <c r="Y174" s="4">
        <v>0.29399999999999998</v>
      </c>
      <c r="Z174" s="4">
        <v>1</v>
      </c>
      <c r="AA174" s="4"/>
      <c r="AB174" s="4">
        <v>0.25</v>
      </c>
      <c r="AC174" s="4">
        <v>0</v>
      </c>
      <c r="AD174" s="10">
        <f t="shared" si="24"/>
        <v>0.446496</v>
      </c>
      <c r="AE174" s="9"/>
      <c r="AF174" s="9"/>
      <c r="AG174" s="12">
        <f t="shared" si="36"/>
        <v>2.1</v>
      </c>
      <c r="AH174" s="12">
        <f t="shared" si="36"/>
        <v>7.1</v>
      </c>
      <c r="AI174" s="12">
        <f t="shared" si="36"/>
        <v>82.5</v>
      </c>
      <c r="AJ174" s="12">
        <f t="shared" si="23"/>
        <v>14.7</v>
      </c>
      <c r="AK174" s="12"/>
      <c r="AL174" s="12">
        <f t="shared" si="34"/>
        <v>82.5</v>
      </c>
      <c r="AM174" s="12">
        <f t="shared" si="34"/>
        <v>90.100000000000009</v>
      </c>
      <c r="AN174" s="12">
        <f t="shared" si="34"/>
        <v>84.1</v>
      </c>
      <c r="AO174" s="12">
        <f t="shared" si="34"/>
        <v>0</v>
      </c>
      <c r="AP174" s="12">
        <f t="shared" si="34"/>
        <v>0</v>
      </c>
      <c r="AQ174" s="12">
        <f t="shared" si="34"/>
        <v>17.399999999999999</v>
      </c>
      <c r="AR174" s="12"/>
      <c r="AS174" s="12">
        <f t="shared" si="35"/>
        <v>87.4</v>
      </c>
      <c r="AT174" s="12">
        <f t="shared" si="35"/>
        <v>89</v>
      </c>
      <c r="AU174" s="12">
        <f t="shared" si="35"/>
        <v>19.600000000000001</v>
      </c>
      <c r="AV174" s="12">
        <f t="shared" si="35"/>
        <v>0</v>
      </c>
      <c r="AW174" s="12">
        <f t="shared" si="35"/>
        <v>0</v>
      </c>
      <c r="AX174" s="12">
        <f t="shared" si="35"/>
        <v>17.399999999999999</v>
      </c>
      <c r="AY174" s="12"/>
      <c r="AZ174" s="12">
        <f t="shared" si="26"/>
        <v>90.8</v>
      </c>
      <c r="BA174" s="12">
        <f t="shared" si="27"/>
        <v>33.899999999999991</v>
      </c>
      <c r="BB174" s="12"/>
      <c r="BC174" s="12">
        <f t="shared" si="28"/>
        <v>68.300000000000011</v>
      </c>
      <c r="BD174" s="12">
        <f t="shared" si="29"/>
        <v>0</v>
      </c>
      <c r="BE174" s="12">
        <f t="shared" si="30"/>
        <v>92.9</v>
      </c>
    </row>
    <row r="175" spans="1:57" ht="15.75" customHeight="1" x14ac:dyDescent="0.25">
      <c r="A175" s="1" t="s">
        <v>288</v>
      </c>
      <c r="B175" s="3" t="s">
        <v>114</v>
      </c>
      <c r="C175" s="4" t="s">
        <v>94</v>
      </c>
      <c r="D175" s="4">
        <v>16</v>
      </c>
      <c r="E175" s="4">
        <v>153</v>
      </c>
      <c r="F175" s="4">
        <v>16</v>
      </c>
      <c r="G175" s="4">
        <v>153</v>
      </c>
      <c r="H175" s="4">
        <v>0.33300000000000002</v>
      </c>
      <c r="I175" s="4">
        <v>15.5</v>
      </c>
      <c r="J175" s="4"/>
      <c r="K175" s="4">
        <v>0.5</v>
      </c>
      <c r="L175" s="4">
        <v>3.3000000000000002E-2</v>
      </c>
      <c r="M175" s="4">
        <v>0.4</v>
      </c>
      <c r="N175" s="4">
        <v>3.3000000000000002E-2</v>
      </c>
      <c r="O175" s="4">
        <v>3.3000000000000002E-2</v>
      </c>
      <c r="P175" s="4">
        <v>0.5</v>
      </c>
      <c r="Q175" s="4"/>
      <c r="R175" s="4">
        <v>0.33300000000000002</v>
      </c>
      <c r="S175" s="4">
        <v>1</v>
      </c>
      <c r="T175" s="4">
        <v>0.25</v>
      </c>
      <c r="U175" s="4">
        <v>0</v>
      </c>
      <c r="V175" s="4">
        <v>1</v>
      </c>
      <c r="W175" s="4">
        <v>0.33300000000000002</v>
      </c>
      <c r="X175" s="4"/>
      <c r="Y175" s="4">
        <v>0.8</v>
      </c>
      <c r="Z175" s="4">
        <v>1</v>
      </c>
      <c r="AA175" s="4"/>
      <c r="AB175" s="4">
        <v>0.33300000000000002</v>
      </c>
      <c r="AC175" s="4">
        <v>0.2</v>
      </c>
      <c r="AD175" s="10">
        <f t="shared" si="24"/>
        <v>0.9</v>
      </c>
      <c r="AE175" s="9"/>
      <c r="AF175" s="9"/>
      <c r="AG175" s="12">
        <f t="shared" si="36"/>
        <v>8.1</v>
      </c>
      <c r="AH175" s="12">
        <f t="shared" si="36"/>
        <v>6.5</v>
      </c>
      <c r="AI175" s="12">
        <f t="shared" si="36"/>
        <v>4.9000000000000004</v>
      </c>
      <c r="AJ175" s="12">
        <f t="shared" si="23"/>
        <v>61.199999999999996</v>
      </c>
      <c r="AK175" s="9"/>
      <c r="AL175" s="12">
        <f t="shared" si="34"/>
        <v>29.5</v>
      </c>
      <c r="AM175" s="12">
        <f t="shared" si="34"/>
        <v>1.6</v>
      </c>
      <c r="AN175" s="12">
        <f t="shared" si="34"/>
        <v>89.600000000000009</v>
      </c>
      <c r="AO175" s="12">
        <f t="shared" si="34"/>
        <v>22.900000000000002</v>
      </c>
      <c r="AP175" s="12">
        <f t="shared" si="34"/>
        <v>43.1</v>
      </c>
      <c r="AQ175" s="12">
        <f t="shared" si="34"/>
        <v>69.3</v>
      </c>
      <c r="AR175" s="9"/>
      <c r="AS175" s="12">
        <f t="shared" si="35"/>
        <v>2.1</v>
      </c>
      <c r="AT175" s="12">
        <f t="shared" si="35"/>
        <v>97.8</v>
      </c>
      <c r="AU175" s="12">
        <f t="shared" si="35"/>
        <v>2.7</v>
      </c>
      <c r="AV175" s="12">
        <f t="shared" si="35"/>
        <v>0</v>
      </c>
      <c r="AW175" s="12">
        <f t="shared" si="35"/>
        <v>98.3</v>
      </c>
      <c r="AX175" s="12">
        <f t="shared" si="35"/>
        <v>52.400000000000006</v>
      </c>
      <c r="AY175" s="9"/>
      <c r="AZ175" s="12">
        <f t="shared" si="26"/>
        <v>14.799999999999997</v>
      </c>
      <c r="BA175" s="12">
        <f t="shared" si="27"/>
        <v>33.899999999999991</v>
      </c>
      <c r="BB175" s="9"/>
      <c r="BC175" s="12">
        <f t="shared" si="28"/>
        <v>81.399999999999991</v>
      </c>
      <c r="BD175" s="12">
        <f t="shared" si="29"/>
        <v>16.900000000000002</v>
      </c>
      <c r="BE175" s="12">
        <f t="shared" si="30"/>
        <v>9.2999999999999972</v>
      </c>
    </row>
    <row r="176" spans="1:57" ht="15.75" customHeight="1" x14ac:dyDescent="0.25">
      <c r="A176" s="1" t="s">
        <v>274</v>
      </c>
      <c r="B176" s="3" t="s">
        <v>128</v>
      </c>
      <c r="C176" s="4" t="s">
        <v>85</v>
      </c>
      <c r="D176" s="4">
        <v>9</v>
      </c>
      <c r="E176" s="4">
        <v>152</v>
      </c>
      <c r="F176" s="4">
        <v>9</v>
      </c>
      <c r="G176" s="4">
        <v>152</v>
      </c>
      <c r="H176" s="4">
        <v>0.51900000000000002</v>
      </c>
      <c r="I176" s="4">
        <v>5.4</v>
      </c>
      <c r="J176" s="4"/>
      <c r="K176" s="4">
        <v>0.88500000000000001</v>
      </c>
      <c r="L176" s="4">
        <v>0.59599999999999997</v>
      </c>
      <c r="M176" s="4">
        <v>0.26900000000000002</v>
      </c>
      <c r="N176" s="4">
        <v>0</v>
      </c>
      <c r="O176" s="4">
        <v>1.9E-2</v>
      </c>
      <c r="P176" s="4">
        <v>0.115</v>
      </c>
      <c r="Q176" s="4"/>
      <c r="R176" s="4">
        <v>0.56499999999999995</v>
      </c>
      <c r="S176" s="4">
        <v>0.67700000000000005</v>
      </c>
      <c r="T176" s="4">
        <v>0.35699999999999998</v>
      </c>
      <c r="U176" s="4">
        <v>0</v>
      </c>
      <c r="V176" s="4">
        <v>0</v>
      </c>
      <c r="W176" s="4">
        <v>0.16700000000000001</v>
      </c>
      <c r="X176" s="4"/>
      <c r="Y176" s="4">
        <v>0.76900000000000002</v>
      </c>
      <c r="Z176" s="4">
        <v>1</v>
      </c>
      <c r="AA176" s="4"/>
      <c r="AB176" s="4">
        <v>0</v>
      </c>
      <c r="AC176" s="4">
        <v>0</v>
      </c>
      <c r="AD176" s="10">
        <f t="shared" si="24"/>
        <v>0.79556499999999997</v>
      </c>
      <c r="AE176" s="9"/>
      <c r="AF176" s="9"/>
      <c r="AG176" s="12">
        <f t="shared" si="36"/>
        <v>1</v>
      </c>
      <c r="AH176" s="12">
        <f t="shared" si="36"/>
        <v>6</v>
      </c>
      <c r="AI176" s="12">
        <f t="shared" si="36"/>
        <v>84.6</v>
      </c>
      <c r="AJ176" s="12">
        <f t="shared" si="23"/>
        <v>5.4</v>
      </c>
      <c r="AK176" s="9"/>
      <c r="AL176" s="12">
        <f t="shared" si="34"/>
        <v>87.9</v>
      </c>
      <c r="AM176" s="12">
        <f t="shared" si="34"/>
        <v>98.9</v>
      </c>
      <c r="AN176" s="12">
        <f t="shared" si="34"/>
        <v>55.1</v>
      </c>
      <c r="AO176" s="12">
        <f t="shared" si="34"/>
        <v>0</v>
      </c>
      <c r="AP176" s="12">
        <f t="shared" si="34"/>
        <v>24.5</v>
      </c>
      <c r="AQ176" s="12">
        <f t="shared" si="34"/>
        <v>12</v>
      </c>
      <c r="AR176" s="9"/>
      <c r="AS176" s="12">
        <f t="shared" si="35"/>
        <v>79.7</v>
      </c>
      <c r="AT176" s="12">
        <f t="shared" si="35"/>
        <v>51.300000000000004</v>
      </c>
      <c r="AU176" s="12">
        <f t="shared" si="35"/>
        <v>19.600000000000001</v>
      </c>
      <c r="AV176" s="12">
        <f t="shared" si="35"/>
        <v>0</v>
      </c>
      <c r="AW176" s="12">
        <f t="shared" si="35"/>
        <v>0</v>
      </c>
      <c r="AX176" s="12">
        <f t="shared" si="35"/>
        <v>7.1</v>
      </c>
      <c r="AY176" s="9"/>
      <c r="AZ176" s="12">
        <f t="shared" si="26"/>
        <v>20.799999999999997</v>
      </c>
      <c r="BA176" s="12">
        <f t="shared" si="27"/>
        <v>33.899999999999991</v>
      </c>
      <c r="BB176" s="9"/>
      <c r="BC176" s="12">
        <f t="shared" si="28"/>
        <v>0</v>
      </c>
      <c r="BD176" s="12">
        <f t="shared" si="29"/>
        <v>0</v>
      </c>
      <c r="BE176" s="12">
        <f t="shared" si="30"/>
        <v>35.599999999999994</v>
      </c>
    </row>
    <row r="177" spans="1:57" ht="15.75" customHeight="1" x14ac:dyDescent="0.25">
      <c r="A177" s="1" t="s">
        <v>164</v>
      </c>
      <c r="B177" s="3" t="s">
        <v>114</v>
      </c>
      <c r="C177" s="4" t="s">
        <v>8</v>
      </c>
      <c r="D177" s="4">
        <v>10</v>
      </c>
      <c r="E177" s="4">
        <v>148</v>
      </c>
      <c r="F177" s="4">
        <v>10</v>
      </c>
      <c r="G177" s="4">
        <v>148</v>
      </c>
      <c r="H177" s="4">
        <v>0.46200000000000002</v>
      </c>
      <c r="I177" s="4">
        <v>20.5</v>
      </c>
      <c r="J177" s="4"/>
      <c r="K177" s="4">
        <v>0.23100000000000001</v>
      </c>
      <c r="L177" s="4">
        <v>3.7999999999999999E-2</v>
      </c>
      <c r="M177" s="4">
        <v>0.154</v>
      </c>
      <c r="N177" s="4">
        <v>0</v>
      </c>
      <c r="O177" s="4">
        <v>3.7999999999999999E-2</v>
      </c>
      <c r="P177" s="4">
        <v>0.76900000000000002</v>
      </c>
      <c r="Q177" s="4"/>
      <c r="R177" s="4">
        <v>0.5</v>
      </c>
      <c r="S177" s="4">
        <v>1</v>
      </c>
      <c r="T177" s="4">
        <v>0.5</v>
      </c>
      <c r="U177" s="4">
        <v>0</v>
      </c>
      <c r="V177" s="4">
        <v>0</v>
      </c>
      <c r="W177" s="4">
        <v>0.45</v>
      </c>
      <c r="X177" s="4"/>
      <c r="Y177" s="4">
        <v>0.33300000000000002</v>
      </c>
      <c r="Z177" s="4">
        <v>1</v>
      </c>
      <c r="AA177" s="4"/>
      <c r="AB177" s="4">
        <v>0.1</v>
      </c>
      <c r="AC177" s="4">
        <v>0</v>
      </c>
      <c r="AD177" s="10">
        <f t="shared" si="24"/>
        <v>0.84592299999999998</v>
      </c>
      <c r="AE177" s="9"/>
      <c r="AF177" s="9"/>
      <c r="AG177" s="12">
        <f t="shared" ref="AG177" si="37">(PERCENTRANK(F$4:F$298,F177))*100</f>
        <v>2.1</v>
      </c>
      <c r="AH177" s="12">
        <f t="shared" ref="AH177" si="38">(PERCENTRANK(G$4:G$298,G177))*100</f>
        <v>5.4</v>
      </c>
      <c r="AI177" s="12">
        <f t="shared" ref="AI177" si="39">(PERCENTRANK(H$4:H$298,H177))*100</f>
        <v>63.9</v>
      </c>
      <c r="AJ177" s="12">
        <f t="shared" ref="AJ177" si="40">(PERCENTRANK(I$4:I$298,I177))*100</f>
        <v>96.1</v>
      </c>
      <c r="AK177" s="9"/>
      <c r="AL177" s="12">
        <f t="shared" ref="AL177" si="41">(PERCENTRANK(K$4:K$298,K177))*100</f>
        <v>1</v>
      </c>
      <c r="AM177" s="12">
        <f t="shared" ref="AM177" si="42">(PERCENTRANK(L$4:L$298,L177))*100</f>
        <v>3.8</v>
      </c>
      <c r="AN177" s="12">
        <f t="shared" ref="AN177" si="43">(PERCENTRANK(M$4:M$298,M177))*100</f>
        <v>18.5</v>
      </c>
      <c r="AO177" s="12">
        <f t="shared" ref="AO177" si="44">(PERCENTRANK(N$4:N$298,N177))*100</f>
        <v>0</v>
      </c>
      <c r="AP177" s="12">
        <f t="shared" ref="AP177" si="45">(PERCENTRANK(O$4:O$298,O177))*100</f>
        <v>49.1</v>
      </c>
      <c r="AQ177" s="12">
        <f t="shared" ref="AQ177" si="46">(PERCENTRANK(P$4:P$298,P177))*100</f>
        <v>98.9</v>
      </c>
      <c r="AR177" s="9"/>
      <c r="AS177" s="12">
        <f t="shared" ref="AS177" si="47">(PERCENTRANK(R$4:R$298,R177))*100</f>
        <v>41.5</v>
      </c>
      <c r="AT177" s="12">
        <f t="shared" ref="AT177" si="48">(PERCENTRANK(S$4:S$298,S177))*100</f>
        <v>97.8</v>
      </c>
      <c r="AU177" s="12">
        <f t="shared" ref="AU177" si="49">(PERCENTRANK(T$4:T$298,T177))*100</f>
        <v>74.3</v>
      </c>
      <c r="AV177" s="12">
        <f t="shared" ref="AV177" si="50">(PERCENTRANK(U$4:U$298,U177))*100</f>
        <v>0</v>
      </c>
      <c r="AW177" s="12">
        <f t="shared" ref="AW177" si="51">(PERCENTRANK(V$4:V$298,V177))*100</f>
        <v>0</v>
      </c>
      <c r="AX177" s="12">
        <f t="shared" ref="AX177" si="52">(PERCENTRANK(W$4:W$298,W177))*100</f>
        <v>95</v>
      </c>
      <c r="AY177" s="9"/>
      <c r="AZ177" s="12">
        <f t="shared" ref="AZ177" si="53">100-(PERCENTRANK(Y$4:Y$298,Y177))*100</f>
        <v>88.6</v>
      </c>
      <c r="BA177" s="12">
        <f t="shared" ref="BA177" si="54">100-(PERCENTRANK(Z$4:Z$298,Z177))*100</f>
        <v>33.899999999999991</v>
      </c>
      <c r="BB177" s="9"/>
      <c r="BC177" s="12">
        <f t="shared" ref="BC177" si="55">(PERCENTRANK(AB$4:AB$298,AB177))*100</f>
        <v>16.900000000000002</v>
      </c>
      <c r="BD177" s="12">
        <f t="shared" ref="BD177" si="56">(PERCENTRANK(AC$4:AC$298,AC177))*100</f>
        <v>0</v>
      </c>
      <c r="BE177" s="12">
        <f t="shared" ref="BE177" si="57">100-(PERCENTRANK(AD$4:AD$298,AD177))*100</f>
        <v>23</v>
      </c>
    </row>
    <row r="178" spans="1:57" ht="15.75" customHeight="1" x14ac:dyDescent="0.25">
      <c r="A178" s="1" t="s">
        <v>259</v>
      </c>
      <c r="B178" s="3" t="s">
        <v>140</v>
      </c>
      <c r="C178" s="4" t="s">
        <v>8</v>
      </c>
      <c r="D178" s="4">
        <v>21</v>
      </c>
      <c r="E178" s="4">
        <v>143</v>
      </c>
      <c r="F178" s="4">
        <v>21</v>
      </c>
      <c r="G178" s="4">
        <v>143</v>
      </c>
      <c r="H178" s="4">
        <v>0.432</v>
      </c>
      <c r="I178" s="4">
        <v>16</v>
      </c>
      <c r="J178" s="4"/>
      <c r="K178" s="4">
        <v>0.52300000000000002</v>
      </c>
      <c r="L178" s="4">
        <v>9.0999999999999998E-2</v>
      </c>
      <c r="M178" s="4">
        <v>0.20499999999999999</v>
      </c>
      <c r="N178" s="4">
        <v>0.20499999999999999</v>
      </c>
      <c r="O178" s="4">
        <v>2.3E-2</v>
      </c>
      <c r="P178" s="4">
        <v>0.47699999999999998</v>
      </c>
      <c r="Q178" s="4"/>
      <c r="R178" s="4">
        <v>0.47799999999999998</v>
      </c>
      <c r="S178" s="4">
        <v>0.5</v>
      </c>
      <c r="T178" s="4">
        <v>0.33300000000000002</v>
      </c>
      <c r="U178" s="4">
        <v>0.66700000000000004</v>
      </c>
      <c r="V178" s="4">
        <v>0</v>
      </c>
      <c r="W178" s="4">
        <v>0.38100000000000001</v>
      </c>
      <c r="X178" s="4"/>
      <c r="Y178" s="4">
        <v>0.45500000000000002</v>
      </c>
      <c r="Z178" s="4">
        <v>0.875</v>
      </c>
      <c r="AA178" s="4"/>
      <c r="AB178" s="4">
        <v>0.19</v>
      </c>
      <c r="AC178" s="4">
        <v>0.75</v>
      </c>
      <c r="AD178" s="10">
        <f t="shared" si="24"/>
        <v>0.65534000000000003</v>
      </c>
      <c r="AE178" s="9"/>
      <c r="AF178" s="9"/>
      <c r="AG178" s="12">
        <f t="shared" ref="AG178:AG181" si="58">(PERCENTRANK(F$4:F$298,F178))*100</f>
        <v>18</v>
      </c>
      <c r="AH178" s="12">
        <f t="shared" ref="AH178:AH181" si="59">(PERCENTRANK(G$4:G$298,G178))*100</f>
        <v>4.9000000000000004</v>
      </c>
      <c r="AI178" s="12">
        <f t="shared" ref="AI178:AI181" si="60">(PERCENTRANK(H$4:H$298,H178))*100</f>
        <v>46.400000000000006</v>
      </c>
      <c r="AJ178" s="12">
        <f t="shared" ref="AJ178:AJ181" si="61">(PERCENTRANK(I$4:I$298,I178))*100</f>
        <v>68.8</v>
      </c>
      <c r="AK178" s="9"/>
      <c r="AL178" s="12">
        <f t="shared" ref="AL178:AL181" si="62">(PERCENTRANK(K$4:K$298,K178))*100</f>
        <v>36</v>
      </c>
      <c r="AM178" s="12">
        <f t="shared" ref="AM178:AM181" si="63">(PERCENTRANK(L$4:L$298,L178))*100</f>
        <v>12</v>
      </c>
      <c r="AN178" s="12">
        <f t="shared" ref="AN178:AN181" si="64">(PERCENTRANK(M$4:M$298,M178))*100</f>
        <v>36</v>
      </c>
      <c r="AO178" s="12">
        <f t="shared" ref="AO178:AO181" si="65">(PERCENTRANK(N$4:N$298,N178))*100</f>
        <v>97.2</v>
      </c>
      <c r="AP178" s="12">
        <f t="shared" ref="AP178:AP181" si="66">(PERCENTRANK(O$4:O$298,O178))*100</f>
        <v>28.9</v>
      </c>
      <c r="AQ178" s="12">
        <f t="shared" ref="AQ178:AQ181" si="67">(PERCENTRANK(P$4:P$298,P178))*100</f>
        <v>63.3</v>
      </c>
      <c r="AR178" s="9"/>
      <c r="AS178" s="12">
        <f t="shared" ref="AS178:AS181" si="68">(PERCENTRANK(R$4:R$298,R178))*100</f>
        <v>32.700000000000003</v>
      </c>
      <c r="AT178" s="12">
        <f t="shared" ref="AT178:AT181" si="69">(PERCENTRANK(S$4:S$298,S178))*100</f>
        <v>8.1</v>
      </c>
      <c r="AU178" s="12">
        <f t="shared" ref="AU178:AU181" si="70">(PERCENTRANK(T$4:T$298,T178))*100</f>
        <v>12</v>
      </c>
      <c r="AV178" s="12">
        <f t="shared" ref="AV178:AV181" si="71">(PERCENTRANK(U$4:U$298,U178))*100</f>
        <v>96.1</v>
      </c>
      <c r="AW178" s="12">
        <f t="shared" ref="AW178:AW181" si="72">(PERCENTRANK(V$4:V$298,V178))*100</f>
        <v>0</v>
      </c>
      <c r="AX178" s="12">
        <f t="shared" ref="AX178:AX181" si="73">(PERCENTRANK(W$4:W$298,W178))*100</f>
        <v>74.8</v>
      </c>
      <c r="AY178" s="9"/>
      <c r="AZ178" s="12">
        <f t="shared" ref="AZ178:AZ181" si="74">100-(PERCENTRANK(Y$4:Y$298,Y178))*100</f>
        <v>73.8</v>
      </c>
      <c r="BA178" s="12">
        <f t="shared" ref="BA178:BA181" si="75">100-(PERCENTRANK(Z$4:Z$298,Z178))*100</f>
        <v>66.199999999999989</v>
      </c>
      <c r="BB178" s="9"/>
      <c r="BC178" s="12">
        <f t="shared" ref="BC178:BC181" si="76">(PERCENTRANK(AB$4:AB$298,AB178))*100</f>
        <v>51.9</v>
      </c>
      <c r="BD178" s="12">
        <f t="shared" ref="BD178:BD181" si="77">(PERCENTRANK(AC$4:AC$298,AC178))*100</f>
        <v>93.899999999999991</v>
      </c>
      <c r="BE178" s="12">
        <f t="shared" ref="BE178:BE181" si="78">100-(PERCENTRANK(AD$4:AD$298,AD178))*100</f>
        <v>69.400000000000006</v>
      </c>
    </row>
    <row r="179" spans="1:57" ht="15.75" customHeight="1" x14ac:dyDescent="0.25">
      <c r="A179" s="1" t="s">
        <v>286</v>
      </c>
      <c r="B179" s="3" t="s">
        <v>91</v>
      </c>
      <c r="C179" s="4" t="s">
        <v>94</v>
      </c>
      <c r="D179" s="4">
        <v>16</v>
      </c>
      <c r="E179" s="4">
        <v>129</v>
      </c>
      <c r="F179" s="4">
        <v>16</v>
      </c>
      <c r="G179" s="4">
        <v>129</v>
      </c>
      <c r="H179" s="4">
        <v>0.37</v>
      </c>
      <c r="I179" s="4">
        <v>18.3</v>
      </c>
      <c r="J179" s="4"/>
      <c r="K179" s="4">
        <v>0.435</v>
      </c>
      <c r="L179" s="4">
        <v>4.2999999999999997E-2</v>
      </c>
      <c r="M179" s="4">
        <v>0.19600000000000001</v>
      </c>
      <c r="N179" s="4">
        <v>0.109</v>
      </c>
      <c r="O179" s="4">
        <v>8.6999999999999994E-2</v>
      </c>
      <c r="P179" s="4">
        <v>0.56499999999999995</v>
      </c>
      <c r="Q179" s="4"/>
      <c r="R179" s="4">
        <v>0.3</v>
      </c>
      <c r="S179" s="4">
        <v>0</v>
      </c>
      <c r="T179" s="4">
        <v>0.33300000000000002</v>
      </c>
      <c r="U179" s="4">
        <v>0.6</v>
      </c>
      <c r="V179" s="4">
        <v>0</v>
      </c>
      <c r="W179" s="4">
        <v>0.42299999999999999</v>
      </c>
      <c r="X179" s="4"/>
      <c r="Y179" s="4">
        <v>0.66700000000000004</v>
      </c>
      <c r="Z179" s="4">
        <v>0.90900000000000003</v>
      </c>
      <c r="AA179" s="4"/>
      <c r="AB179" s="4">
        <v>0.154</v>
      </c>
      <c r="AC179" s="4">
        <v>0.75</v>
      </c>
      <c r="AD179" s="10">
        <f t="shared" si="24"/>
        <v>0.80373000000000006</v>
      </c>
      <c r="AE179" s="9"/>
      <c r="AF179" s="9"/>
      <c r="AG179" s="12">
        <f t="shared" si="58"/>
        <v>8.1</v>
      </c>
      <c r="AH179" s="12">
        <f t="shared" si="59"/>
        <v>4.3</v>
      </c>
      <c r="AI179" s="12">
        <f t="shared" si="60"/>
        <v>14.7</v>
      </c>
      <c r="AJ179" s="12">
        <f t="shared" si="61"/>
        <v>86.3</v>
      </c>
      <c r="AK179" s="9"/>
      <c r="AL179" s="12">
        <f t="shared" si="62"/>
        <v>16.900000000000002</v>
      </c>
      <c r="AM179" s="12">
        <f t="shared" si="63"/>
        <v>4.3</v>
      </c>
      <c r="AN179" s="12">
        <f t="shared" si="64"/>
        <v>32.200000000000003</v>
      </c>
      <c r="AO179" s="12">
        <f t="shared" si="65"/>
        <v>74.8</v>
      </c>
      <c r="AP179" s="12">
        <f t="shared" si="66"/>
        <v>85.2</v>
      </c>
      <c r="AQ179" s="12">
        <f t="shared" si="67"/>
        <v>83</v>
      </c>
      <c r="AR179" s="9"/>
      <c r="AS179" s="12">
        <f t="shared" si="68"/>
        <v>1</v>
      </c>
      <c r="AT179" s="12">
        <f t="shared" si="69"/>
        <v>0</v>
      </c>
      <c r="AU179" s="12">
        <f t="shared" si="70"/>
        <v>12</v>
      </c>
      <c r="AV179" s="12">
        <f t="shared" si="71"/>
        <v>91.8</v>
      </c>
      <c r="AW179" s="12">
        <f t="shared" si="72"/>
        <v>0</v>
      </c>
      <c r="AX179" s="12">
        <f t="shared" si="73"/>
        <v>92.300000000000011</v>
      </c>
      <c r="AY179" s="9"/>
      <c r="AZ179" s="12">
        <f t="shared" si="74"/>
        <v>42.1</v>
      </c>
      <c r="BA179" s="12">
        <f t="shared" si="75"/>
        <v>60.199999999999996</v>
      </c>
      <c r="BB179" s="9"/>
      <c r="BC179" s="12">
        <f t="shared" si="76"/>
        <v>34.9</v>
      </c>
      <c r="BD179" s="12">
        <f t="shared" si="77"/>
        <v>93.899999999999991</v>
      </c>
      <c r="BE179" s="12">
        <f t="shared" si="78"/>
        <v>33.399999999999991</v>
      </c>
    </row>
    <row r="180" spans="1:57" ht="15.75" customHeight="1" x14ac:dyDescent="0.25">
      <c r="A180" s="1" t="s">
        <v>277</v>
      </c>
      <c r="B180" s="3" t="s">
        <v>84</v>
      </c>
      <c r="C180" s="4" t="s">
        <v>88</v>
      </c>
      <c r="D180" s="4">
        <v>23</v>
      </c>
      <c r="E180" s="4">
        <v>126</v>
      </c>
      <c r="F180" s="4">
        <v>23</v>
      </c>
      <c r="G180" s="4">
        <v>126</v>
      </c>
      <c r="H180" s="4">
        <v>0.55000000000000004</v>
      </c>
      <c r="I180" s="4">
        <v>11.4</v>
      </c>
      <c r="J180" s="4"/>
      <c r="K180" s="4">
        <v>0.6</v>
      </c>
      <c r="L180" s="4">
        <v>0.4</v>
      </c>
      <c r="M180" s="4">
        <v>0.2</v>
      </c>
      <c r="N180" s="4">
        <v>0</v>
      </c>
      <c r="O180" s="4">
        <v>0</v>
      </c>
      <c r="P180" s="4">
        <v>0.4</v>
      </c>
      <c r="Q180" s="4"/>
      <c r="R180" s="4">
        <v>0.75</v>
      </c>
      <c r="S180" s="4">
        <v>0.75</v>
      </c>
      <c r="T180" s="4">
        <v>0.75</v>
      </c>
      <c r="U180" s="4">
        <v>0</v>
      </c>
      <c r="V180" s="4">
        <v>0</v>
      </c>
      <c r="W180" s="4">
        <v>0.25</v>
      </c>
      <c r="X180" s="4"/>
      <c r="Y180" s="4">
        <v>0.77800000000000002</v>
      </c>
      <c r="Z180" s="4">
        <v>1</v>
      </c>
      <c r="AA180" s="4"/>
      <c r="AB180" s="4">
        <v>0.5</v>
      </c>
      <c r="AC180" s="4">
        <v>0.25</v>
      </c>
      <c r="AD180" s="10">
        <f t="shared" si="24"/>
        <v>0.86680000000000001</v>
      </c>
      <c r="AE180" s="9"/>
      <c r="AF180" s="9"/>
      <c r="AG180" s="12">
        <f t="shared" si="58"/>
        <v>20.200000000000003</v>
      </c>
      <c r="AH180" s="12">
        <f t="shared" si="59"/>
        <v>3.8</v>
      </c>
      <c r="AI180" s="12">
        <f t="shared" si="60"/>
        <v>93.4</v>
      </c>
      <c r="AJ180" s="12">
        <f t="shared" si="61"/>
        <v>26.700000000000003</v>
      </c>
      <c r="AK180" s="9"/>
      <c r="AL180" s="12">
        <f t="shared" si="62"/>
        <v>50.8</v>
      </c>
      <c r="AM180" s="12">
        <f t="shared" si="63"/>
        <v>89.600000000000009</v>
      </c>
      <c r="AN180" s="12">
        <f t="shared" si="64"/>
        <v>34.4</v>
      </c>
      <c r="AO180" s="12">
        <f t="shared" si="65"/>
        <v>0</v>
      </c>
      <c r="AP180" s="12">
        <f t="shared" si="66"/>
        <v>0</v>
      </c>
      <c r="AQ180" s="12">
        <f t="shared" si="67"/>
        <v>49.1</v>
      </c>
      <c r="AR180" s="9"/>
      <c r="AS180" s="12">
        <f t="shared" si="68"/>
        <v>99.4</v>
      </c>
      <c r="AT180" s="12">
        <f t="shared" si="69"/>
        <v>77</v>
      </c>
      <c r="AU180" s="12">
        <f t="shared" si="70"/>
        <v>99.4</v>
      </c>
      <c r="AV180" s="12">
        <f t="shared" si="71"/>
        <v>0</v>
      </c>
      <c r="AW180" s="12">
        <f t="shared" si="72"/>
        <v>0</v>
      </c>
      <c r="AX180" s="12">
        <f t="shared" si="73"/>
        <v>17.399999999999999</v>
      </c>
      <c r="AY180" s="9"/>
      <c r="AZ180" s="12">
        <f t="shared" si="74"/>
        <v>19.199999999999989</v>
      </c>
      <c r="BA180" s="12">
        <f t="shared" si="75"/>
        <v>33.899999999999991</v>
      </c>
      <c r="BB180" s="9"/>
      <c r="BC180" s="12">
        <f t="shared" si="76"/>
        <v>96.1</v>
      </c>
      <c r="BD180" s="12">
        <f t="shared" si="77"/>
        <v>24.5</v>
      </c>
      <c r="BE180" s="12">
        <f t="shared" si="78"/>
        <v>15.900000000000006</v>
      </c>
    </row>
    <row r="181" spans="1:57" ht="15.75" customHeight="1" x14ac:dyDescent="0.25">
      <c r="A181" s="1" t="s">
        <v>282</v>
      </c>
      <c r="B181" s="3" t="s">
        <v>137</v>
      </c>
      <c r="C181" s="4" t="s">
        <v>85</v>
      </c>
      <c r="D181" s="4">
        <v>17</v>
      </c>
      <c r="E181" s="4">
        <v>123</v>
      </c>
      <c r="F181" s="4">
        <v>17</v>
      </c>
      <c r="G181" s="4">
        <v>123</v>
      </c>
      <c r="H181" s="4">
        <v>0.5</v>
      </c>
      <c r="I181" s="4">
        <v>16.600000000000001</v>
      </c>
      <c r="J181" s="4"/>
      <c r="K181" s="4">
        <v>0.4</v>
      </c>
      <c r="L181" s="4">
        <v>0.2</v>
      </c>
      <c r="M181" s="4">
        <v>0.15</v>
      </c>
      <c r="N181" s="4">
        <v>2.5000000000000001E-2</v>
      </c>
      <c r="O181" s="4">
        <v>2.5000000000000001E-2</v>
      </c>
      <c r="P181" s="4">
        <v>0.6</v>
      </c>
      <c r="Q181" s="4"/>
      <c r="R181" s="4">
        <v>0.5</v>
      </c>
      <c r="S181" s="4">
        <v>0.75</v>
      </c>
      <c r="T181" s="4">
        <v>0.33300000000000002</v>
      </c>
      <c r="U181" s="4">
        <v>0</v>
      </c>
      <c r="V181" s="4">
        <v>0</v>
      </c>
      <c r="W181" s="4">
        <v>0.5</v>
      </c>
      <c r="X181" s="4"/>
      <c r="Y181" s="4">
        <v>0.875</v>
      </c>
      <c r="Z181" s="4">
        <v>1</v>
      </c>
      <c r="AA181" s="4"/>
      <c r="AB181" s="4">
        <v>4.2000000000000003E-2</v>
      </c>
      <c r="AC181" s="4">
        <v>1</v>
      </c>
      <c r="AD181" s="10">
        <f t="shared" si="24"/>
        <v>0.95</v>
      </c>
      <c r="AE181" s="9"/>
      <c r="AF181" s="9"/>
      <c r="AG181" s="12">
        <f t="shared" si="58"/>
        <v>9.8000000000000007</v>
      </c>
      <c r="AH181" s="12">
        <f t="shared" si="59"/>
        <v>3.2</v>
      </c>
      <c r="AI181" s="12">
        <f t="shared" si="60"/>
        <v>78.100000000000009</v>
      </c>
      <c r="AJ181" s="12">
        <f t="shared" si="61"/>
        <v>74.3</v>
      </c>
      <c r="AK181" s="9"/>
      <c r="AL181" s="12">
        <f t="shared" si="62"/>
        <v>15.299999999999999</v>
      </c>
      <c r="AM181" s="12">
        <f t="shared" si="63"/>
        <v>51.9</v>
      </c>
      <c r="AN181" s="12">
        <f t="shared" si="64"/>
        <v>16.900000000000002</v>
      </c>
      <c r="AO181" s="12">
        <f t="shared" si="65"/>
        <v>16.900000000000002</v>
      </c>
      <c r="AP181" s="12">
        <f t="shared" si="66"/>
        <v>31.6</v>
      </c>
      <c r="AQ181" s="12">
        <f t="shared" si="67"/>
        <v>84.6</v>
      </c>
      <c r="AR181" s="9"/>
      <c r="AS181" s="12">
        <f t="shared" si="68"/>
        <v>41.5</v>
      </c>
      <c r="AT181" s="12">
        <f t="shared" si="69"/>
        <v>77</v>
      </c>
      <c r="AU181" s="12">
        <f t="shared" si="70"/>
        <v>12</v>
      </c>
      <c r="AV181" s="12">
        <f t="shared" si="71"/>
        <v>0</v>
      </c>
      <c r="AW181" s="12">
        <f t="shared" si="72"/>
        <v>0</v>
      </c>
      <c r="AX181" s="12">
        <f t="shared" si="73"/>
        <v>97.8</v>
      </c>
      <c r="AY181" s="9"/>
      <c r="AZ181" s="12">
        <f t="shared" si="74"/>
        <v>3.9000000000000057</v>
      </c>
      <c r="BA181" s="12">
        <f t="shared" si="75"/>
        <v>33.899999999999991</v>
      </c>
      <c r="BB181" s="9"/>
      <c r="BC181" s="12">
        <f t="shared" si="76"/>
        <v>6</v>
      </c>
      <c r="BD181" s="12">
        <f t="shared" si="77"/>
        <v>97.2</v>
      </c>
      <c r="BE181" s="12">
        <f t="shared" si="78"/>
        <v>1.0999999999999943</v>
      </c>
    </row>
    <row r="182" spans="1:57" ht="15.75" customHeight="1" x14ac:dyDescent="0.25">
      <c r="A182" s="1" t="s">
        <v>263</v>
      </c>
      <c r="B182" s="3" t="s">
        <v>137</v>
      </c>
      <c r="C182" s="4" t="s">
        <v>8</v>
      </c>
      <c r="D182" s="4">
        <v>17</v>
      </c>
      <c r="E182" s="4">
        <v>120</v>
      </c>
      <c r="F182" s="4">
        <v>17</v>
      </c>
      <c r="G182" s="4">
        <v>120</v>
      </c>
      <c r="H182" s="4">
        <v>0.371</v>
      </c>
      <c r="I182" s="4">
        <v>20.100000000000001</v>
      </c>
      <c r="J182" s="4"/>
      <c r="K182" s="4">
        <v>0.25700000000000001</v>
      </c>
      <c r="L182" s="4">
        <v>0.114</v>
      </c>
      <c r="M182" s="4">
        <v>0.14299999999999999</v>
      </c>
      <c r="N182" s="4">
        <v>0</v>
      </c>
      <c r="O182" s="4">
        <v>0</v>
      </c>
      <c r="P182" s="4">
        <v>0.74299999999999999</v>
      </c>
      <c r="Q182" s="4"/>
      <c r="R182" s="4">
        <v>0.55600000000000005</v>
      </c>
      <c r="S182" s="4">
        <v>0.75</v>
      </c>
      <c r="T182" s="4">
        <v>0.4</v>
      </c>
      <c r="U182" s="4">
        <v>0</v>
      </c>
      <c r="V182" s="4">
        <v>0</v>
      </c>
      <c r="W182" s="4">
        <v>0.308</v>
      </c>
      <c r="X182" s="4"/>
      <c r="Y182" s="4">
        <v>0.8</v>
      </c>
      <c r="Z182" s="4">
        <v>1</v>
      </c>
      <c r="AA182" s="4"/>
      <c r="AB182" s="4">
        <v>0.34599999999999997</v>
      </c>
      <c r="AC182" s="4">
        <v>0.44400000000000001</v>
      </c>
      <c r="AD182" s="10">
        <f t="shared" ref="AD182:AD187" si="79">(K182*Y182+P182*Z182)</f>
        <v>0.9486</v>
      </c>
      <c r="AE182" s="9"/>
      <c r="AF182" s="9"/>
      <c r="AG182" s="12">
        <f t="shared" ref="AG182:AG183" si="80">(PERCENTRANK(F$4:F$298,F182))*100</f>
        <v>9.8000000000000007</v>
      </c>
      <c r="AH182" s="12">
        <f t="shared" ref="AH182:AH183" si="81">(PERCENTRANK(G$4:G$298,G182))*100</f>
        <v>2.7</v>
      </c>
      <c r="AI182" s="12">
        <f t="shared" ref="AI182:AI183" si="82">(PERCENTRANK(H$4:H$298,H182))*100</f>
        <v>15.8</v>
      </c>
      <c r="AJ182" s="12">
        <f t="shared" ref="AJ182:AJ183" si="83">(PERCENTRANK(I$4:I$298,I182))*100</f>
        <v>94.5</v>
      </c>
      <c r="AK182" s="9"/>
      <c r="AL182" s="12">
        <f t="shared" ref="AL182:AL183" si="84">(PERCENTRANK(K$4:K$298,K182))*100</f>
        <v>2.7</v>
      </c>
      <c r="AM182" s="12">
        <f t="shared" ref="AM182:AM183" si="85">(PERCENTRANK(L$4:L$298,L182))*100</f>
        <v>20.200000000000003</v>
      </c>
      <c r="AN182" s="12">
        <f t="shared" ref="AN182:AN183" si="86">(PERCENTRANK(M$4:M$298,M182))*100</f>
        <v>14.2</v>
      </c>
      <c r="AO182" s="12">
        <f t="shared" ref="AO182:AO183" si="87">(PERCENTRANK(N$4:N$298,N182))*100</f>
        <v>0</v>
      </c>
      <c r="AP182" s="12">
        <f t="shared" ref="AP182:AP183" si="88">(PERCENTRANK(O$4:O$298,O182))*100</f>
        <v>0</v>
      </c>
      <c r="AQ182" s="12">
        <f t="shared" ref="AQ182:AQ183" si="89">(PERCENTRANK(P$4:P$298,P182))*100</f>
        <v>97.2</v>
      </c>
      <c r="AR182" s="9"/>
      <c r="AS182" s="12">
        <f t="shared" ref="AS182:AS183" si="90">(PERCENTRANK(R$4:R$298,R182))*100</f>
        <v>75.900000000000006</v>
      </c>
      <c r="AT182" s="12">
        <f t="shared" ref="AT182:AT183" si="91">(PERCENTRANK(S$4:S$298,S182))*100</f>
        <v>77</v>
      </c>
      <c r="AU182" s="12">
        <f t="shared" ref="AU182:AU183" si="92">(PERCENTRANK(T$4:T$298,T182))*100</f>
        <v>33.300000000000004</v>
      </c>
      <c r="AV182" s="12">
        <f t="shared" ref="AV182:AV183" si="93">(PERCENTRANK(U$4:U$298,U182))*100</f>
        <v>0</v>
      </c>
      <c r="AW182" s="12">
        <f t="shared" ref="AW182:AW183" si="94">(PERCENTRANK(V$4:V$298,V182))*100</f>
        <v>0</v>
      </c>
      <c r="AX182" s="12">
        <f t="shared" ref="AX182:AX183" si="95">(PERCENTRANK(W$4:W$298,W182))*100</f>
        <v>39.800000000000004</v>
      </c>
      <c r="AY182" s="9"/>
      <c r="AZ182" s="12">
        <f t="shared" ref="AZ182:AZ183" si="96">100-(PERCENTRANK(Y$4:Y$298,Y182))*100</f>
        <v>14.799999999999997</v>
      </c>
      <c r="BA182" s="12">
        <f t="shared" ref="BA182:BA183" si="97">100-(PERCENTRANK(Z$4:Z$298,Z182))*100</f>
        <v>33.899999999999991</v>
      </c>
      <c r="BB182" s="9"/>
      <c r="BC182" s="12">
        <f t="shared" ref="BC182:BC183" si="98">(PERCENTRANK(AB$4:AB$298,AB182))*100</f>
        <v>83.6</v>
      </c>
      <c r="BD182" s="12">
        <f t="shared" ref="BD182:BD183" si="99">(PERCENTRANK(AC$4:AC$298,AC182))*100</f>
        <v>72.599999999999994</v>
      </c>
      <c r="BE182" s="12">
        <f t="shared" ref="BE182:BE183" si="100">100-(PERCENTRANK(AD$4:AD$298,AD182))*100</f>
        <v>1.7000000000000028</v>
      </c>
    </row>
    <row r="183" spans="1:57" ht="15.75" customHeight="1" x14ac:dyDescent="0.25">
      <c r="A183" s="1" t="s">
        <v>130</v>
      </c>
      <c r="B183" s="3" t="s">
        <v>131</v>
      </c>
      <c r="C183" s="4" t="s">
        <v>85</v>
      </c>
      <c r="D183" s="4">
        <v>4</v>
      </c>
      <c r="E183" s="4">
        <v>118</v>
      </c>
      <c r="F183" s="4">
        <v>4</v>
      </c>
      <c r="G183" s="4">
        <v>118</v>
      </c>
      <c r="H183" s="4">
        <v>0.4</v>
      </c>
      <c r="I183" s="4">
        <v>14.1</v>
      </c>
      <c r="J183" s="4"/>
      <c r="K183" s="4">
        <v>0.65</v>
      </c>
      <c r="L183" s="4">
        <v>0.1</v>
      </c>
      <c r="M183" s="4">
        <v>0.28299999999999997</v>
      </c>
      <c r="N183" s="4">
        <v>0.16700000000000001</v>
      </c>
      <c r="O183" s="4">
        <v>0.1</v>
      </c>
      <c r="P183" s="4">
        <v>0.35</v>
      </c>
      <c r="Q183" s="4"/>
      <c r="R183" s="4">
        <v>0.46200000000000002</v>
      </c>
      <c r="S183" s="4">
        <v>0.66700000000000004</v>
      </c>
      <c r="T183" s="4">
        <v>0.41199999999999998</v>
      </c>
      <c r="U183" s="4">
        <v>0.5</v>
      </c>
      <c r="V183" s="4">
        <v>0.33300000000000002</v>
      </c>
      <c r="W183" s="4">
        <v>0.28599999999999998</v>
      </c>
      <c r="X183" s="4"/>
      <c r="Y183" s="4">
        <v>0.55600000000000005</v>
      </c>
      <c r="Z183" s="4">
        <v>0.83299999999999996</v>
      </c>
      <c r="AA183" s="4"/>
      <c r="AB183" s="4">
        <v>0.19</v>
      </c>
      <c r="AC183" s="4">
        <v>0.75</v>
      </c>
      <c r="AD183" s="10">
        <f t="shared" si="79"/>
        <v>0.65295000000000003</v>
      </c>
      <c r="AE183" s="9"/>
      <c r="AF183" s="9"/>
      <c r="AG183" s="12">
        <f t="shared" si="80"/>
        <v>0</v>
      </c>
      <c r="AH183" s="12">
        <f t="shared" si="81"/>
        <v>2.1</v>
      </c>
      <c r="AI183" s="12">
        <f t="shared" si="82"/>
        <v>26.700000000000003</v>
      </c>
      <c r="AJ183" s="12">
        <f t="shared" si="83"/>
        <v>50.8</v>
      </c>
      <c r="AK183" s="9"/>
      <c r="AL183" s="12">
        <f t="shared" si="84"/>
        <v>63.3</v>
      </c>
      <c r="AM183" s="12">
        <f t="shared" si="85"/>
        <v>15.299999999999999</v>
      </c>
      <c r="AN183" s="12">
        <f t="shared" si="86"/>
        <v>60.099999999999994</v>
      </c>
      <c r="AO183" s="12">
        <f t="shared" si="87"/>
        <v>91.2</v>
      </c>
      <c r="AP183" s="12">
        <f t="shared" si="88"/>
        <v>89.600000000000009</v>
      </c>
      <c r="AQ183" s="12">
        <f t="shared" si="89"/>
        <v>36.6</v>
      </c>
      <c r="AR183" s="9"/>
      <c r="AS183" s="12">
        <f t="shared" si="90"/>
        <v>22.900000000000002</v>
      </c>
      <c r="AT183" s="12">
        <f t="shared" si="91"/>
        <v>46.400000000000006</v>
      </c>
      <c r="AU183" s="12">
        <f t="shared" si="92"/>
        <v>38.200000000000003</v>
      </c>
      <c r="AV183" s="12">
        <f t="shared" si="93"/>
        <v>81.399999999999991</v>
      </c>
      <c r="AW183" s="12">
        <f t="shared" si="94"/>
        <v>48</v>
      </c>
      <c r="AX183" s="12">
        <f t="shared" si="95"/>
        <v>31.6</v>
      </c>
      <c r="AY183" s="9"/>
      <c r="AZ183" s="12">
        <f t="shared" si="96"/>
        <v>59.1</v>
      </c>
      <c r="BA183" s="12">
        <f t="shared" si="97"/>
        <v>72.7</v>
      </c>
      <c r="BB183" s="9"/>
      <c r="BC183" s="12">
        <f t="shared" si="98"/>
        <v>51.9</v>
      </c>
      <c r="BD183" s="12">
        <f t="shared" si="99"/>
        <v>93.899999999999991</v>
      </c>
      <c r="BE183" s="12">
        <f t="shared" si="100"/>
        <v>70.5</v>
      </c>
    </row>
    <row r="184" spans="1:57" ht="15.75" customHeight="1" x14ac:dyDescent="0.25">
      <c r="A184" s="1" t="s">
        <v>287</v>
      </c>
      <c r="B184" s="3" t="s">
        <v>96</v>
      </c>
      <c r="C184" s="4" t="s">
        <v>8</v>
      </c>
      <c r="D184" s="4">
        <v>21</v>
      </c>
      <c r="E184" s="4">
        <v>112</v>
      </c>
      <c r="F184" s="4">
        <v>21</v>
      </c>
      <c r="G184" s="4">
        <v>112</v>
      </c>
      <c r="H184" s="4">
        <v>0.435</v>
      </c>
      <c r="I184" s="4">
        <v>9.6</v>
      </c>
      <c r="J184" s="4"/>
      <c r="K184" s="4">
        <v>0.73899999999999999</v>
      </c>
      <c r="L184" s="4">
        <v>0.435</v>
      </c>
      <c r="M184" s="4">
        <v>0.26100000000000001</v>
      </c>
      <c r="N184" s="4">
        <v>4.2999999999999997E-2</v>
      </c>
      <c r="O184" s="4">
        <v>0</v>
      </c>
      <c r="P184" s="4">
        <v>0.26100000000000001</v>
      </c>
      <c r="Q184" s="4"/>
      <c r="R184" s="4">
        <v>0.58799999999999997</v>
      </c>
      <c r="S184" s="4">
        <v>0.7</v>
      </c>
      <c r="T184" s="4">
        <v>0.33300000000000002</v>
      </c>
      <c r="U184" s="4">
        <v>1</v>
      </c>
      <c r="V184" s="4">
        <v>0</v>
      </c>
      <c r="W184" s="4">
        <v>0</v>
      </c>
      <c r="X184" s="4"/>
      <c r="Y184" s="4">
        <v>0.5</v>
      </c>
      <c r="Z184" s="4">
        <v>0</v>
      </c>
      <c r="AA184" s="4"/>
      <c r="AB184" s="4">
        <v>0.16700000000000001</v>
      </c>
      <c r="AC184" s="4">
        <v>0</v>
      </c>
      <c r="AD184" s="10">
        <f t="shared" si="79"/>
        <v>0.3695</v>
      </c>
      <c r="AE184" s="9"/>
      <c r="AF184" s="9"/>
      <c r="AG184" s="12">
        <f t="shared" ref="AG184:AG185" si="101">(PERCENTRANK(F$4:F$298,F184))*100</f>
        <v>18</v>
      </c>
      <c r="AH184" s="12">
        <f t="shared" ref="AH184:AH185" si="102">(PERCENTRANK(G$4:G$298,G184))*100</f>
        <v>1.6</v>
      </c>
      <c r="AI184" s="12">
        <f t="shared" ref="AI184:AI185" si="103">(PERCENTRANK(H$4:H$298,H184))*100</f>
        <v>49.1</v>
      </c>
      <c r="AJ184" s="12">
        <f t="shared" ref="AJ184:AJ185" si="104">(PERCENTRANK(I$4:I$298,I184))*100</f>
        <v>19.100000000000001</v>
      </c>
      <c r="AK184" s="9"/>
      <c r="AL184" s="12">
        <f t="shared" ref="AL184:AL185" si="105">(PERCENTRANK(K$4:K$298,K184))*100</f>
        <v>75.900000000000006</v>
      </c>
      <c r="AM184" s="12">
        <f t="shared" ref="AM184:AM185" si="106">(PERCENTRANK(L$4:L$298,L184))*100</f>
        <v>92.800000000000011</v>
      </c>
      <c r="AN184" s="12">
        <f t="shared" ref="AN184:AN185" si="107">(PERCENTRANK(M$4:M$298,M184))*100</f>
        <v>53</v>
      </c>
      <c r="AO184" s="12">
        <f t="shared" ref="AO184:AO185" si="108">(PERCENTRANK(N$4:N$298,N184))*100</f>
        <v>33.300000000000004</v>
      </c>
      <c r="AP184" s="12">
        <f t="shared" ref="AP184:AP185" si="109">(PERCENTRANK(O$4:O$298,O184))*100</f>
        <v>0</v>
      </c>
      <c r="AQ184" s="12">
        <f t="shared" ref="AQ184:AQ185" si="110">(PERCENTRANK(P$4:P$298,P184))*100</f>
        <v>23.400000000000002</v>
      </c>
      <c r="AR184" s="9"/>
      <c r="AS184" s="12">
        <f t="shared" ref="AS184:AS185" si="111">(PERCENTRANK(R$4:R$298,R184))*100</f>
        <v>88.5</v>
      </c>
      <c r="AT184" s="12">
        <f t="shared" ref="AT184:AT185" si="112">(PERCENTRANK(S$4:S$298,S184))*100</f>
        <v>61.7</v>
      </c>
      <c r="AU184" s="12">
        <f t="shared" ref="AU184:AU185" si="113">(PERCENTRANK(T$4:T$298,T184))*100</f>
        <v>12</v>
      </c>
      <c r="AV184" s="12">
        <f t="shared" ref="AV184:AV185" si="114">(PERCENTRANK(U$4:U$298,U184))*100</f>
        <v>98.9</v>
      </c>
      <c r="AW184" s="12">
        <f t="shared" ref="AW184:AW185" si="115">(PERCENTRANK(V$4:V$298,V184))*100</f>
        <v>0</v>
      </c>
      <c r="AX184" s="12">
        <f t="shared" ref="AX184:AX185" si="116">(PERCENTRANK(W$4:W$298,W184))*100</f>
        <v>0</v>
      </c>
      <c r="AY184" s="9"/>
      <c r="AZ184" s="12">
        <f t="shared" ref="AZ184:AZ185" si="117">100-(PERCENTRANK(Y$4:Y$298,Y184))*100</f>
        <v>68.900000000000006</v>
      </c>
      <c r="BA184" s="12">
        <f t="shared" ref="BA184:BA185" si="118">100-(PERCENTRANK(Z$4:Z$298,Z184))*100</f>
        <v>100</v>
      </c>
      <c r="BB184" s="9"/>
      <c r="BC184" s="12">
        <f t="shared" ref="BC184:BC185" si="119">(PERCENTRANK(AB$4:AB$298,AB184))*100</f>
        <v>42.6</v>
      </c>
      <c r="BD184" s="12">
        <f t="shared" ref="BD184:BD185" si="120">(PERCENTRANK(AC$4:AC$298,AC184))*100</f>
        <v>0</v>
      </c>
      <c r="BE184" s="12">
        <f t="shared" ref="BE184:BE185" si="121">100-(PERCENTRANK(AD$4:AD$298,AD184))*100</f>
        <v>96.2</v>
      </c>
    </row>
    <row r="185" spans="1:57" ht="15.75" customHeight="1" x14ac:dyDescent="0.25">
      <c r="A185" s="1" t="s">
        <v>289</v>
      </c>
      <c r="B185" s="3" t="s">
        <v>240</v>
      </c>
      <c r="C185" s="4" t="s">
        <v>85</v>
      </c>
      <c r="D185" s="4">
        <v>9</v>
      </c>
      <c r="E185" s="4">
        <v>107</v>
      </c>
      <c r="F185" s="4">
        <v>9</v>
      </c>
      <c r="G185" s="4">
        <v>107</v>
      </c>
      <c r="H185" s="4">
        <v>0.192</v>
      </c>
      <c r="I185" s="4">
        <v>14.9</v>
      </c>
      <c r="J185" s="4"/>
      <c r="K185" s="4">
        <v>0.53800000000000003</v>
      </c>
      <c r="L185" s="4">
        <v>0.154</v>
      </c>
      <c r="M185" s="4">
        <v>0.26900000000000002</v>
      </c>
      <c r="N185" s="4">
        <v>0.115</v>
      </c>
      <c r="O185" s="4">
        <v>0</v>
      </c>
      <c r="P185" s="4">
        <v>0.46200000000000002</v>
      </c>
      <c r="Q185" s="4"/>
      <c r="R185" s="4">
        <v>0.14299999999999999</v>
      </c>
      <c r="S185" s="4">
        <v>0.25</v>
      </c>
      <c r="T185" s="4">
        <v>0.14299999999999999</v>
      </c>
      <c r="U185" s="4">
        <v>0</v>
      </c>
      <c r="V185" s="4">
        <v>0</v>
      </c>
      <c r="W185" s="4">
        <v>0.25</v>
      </c>
      <c r="X185" s="4"/>
      <c r="Y185" s="4">
        <v>0.5</v>
      </c>
      <c r="Z185" s="4">
        <v>1</v>
      </c>
      <c r="AA185" s="4"/>
      <c r="AB185" s="4">
        <v>8.3000000000000004E-2</v>
      </c>
      <c r="AC185" s="4">
        <v>0</v>
      </c>
      <c r="AD185" s="10">
        <f t="shared" si="79"/>
        <v>0.73100000000000009</v>
      </c>
      <c r="AE185" s="9"/>
      <c r="AF185" s="9"/>
      <c r="AG185" s="12">
        <f t="shared" si="101"/>
        <v>1</v>
      </c>
      <c r="AH185" s="12">
        <f t="shared" si="102"/>
        <v>1</v>
      </c>
      <c r="AI185" s="12">
        <f t="shared" si="103"/>
        <v>0</v>
      </c>
      <c r="AJ185" s="12">
        <f t="shared" si="104"/>
        <v>56.2</v>
      </c>
      <c r="AK185" s="9"/>
      <c r="AL185" s="12">
        <f t="shared" si="105"/>
        <v>38.200000000000003</v>
      </c>
      <c r="AM185" s="12">
        <f t="shared" si="106"/>
        <v>34.9</v>
      </c>
      <c r="AN185" s="12">
        <f t="shared" si="107"/>
        <v>55.1</v>
      </c>
      <c r="AO185" s="12">
        <f t="shared" si="108"/>
        <v>78.600000000000009</v>
      </c>
      <c r="AP185" s="12">
        <f t="shared" si="109"/>
        <v>0</v>
      </c>
      <c r="AQ185" s="12">
        <f t="shared" si="110"/>
        <v>61.7</v>
      </c>
      <c r="AR185" s="9"/>
      <c r="AS185" s="12">
        <f t="shared" si="111"/>
        <v>0</v>
      </c>
      <c r="AT185" s="12">
        <f t="shared" si="112"/>
        <v>1</v>
      </c>
      <c r="AU185" s="12">
        <f t="shared" si="113"/>
        <v>0.5</v>
      </c>
      <c r="AV185" s="12">
        <f t="shared" si="114"/>
        <v>0</v>
      </c>
      <c r="AW185" s="12">
        <f t="shared" si="115"/>
        <v>0</v>
      </c>
      <c r="AX185" s="12">
        <f t="shared" si="116"/>
        <v>17.399999999999999</v>
      </c>
      <c r="AY185" s="9"/>
      <c r="AZ185" s="12">
        <f t="shared" si="117"/>
        <v>68.900000000000006</v>
      </c>
      <c r="BA185" s="12">
        <f t="shared" si="118"/>
        <v>33.899999999999991</v>
      </c>
      <c r="BB185" s="9"/>
      <c r="BC185" s="12">
        <f t="shared" si="119"/>
        <v>11.4</v>
      </c>
      <c r="BD185" s="12">
        <f t="shared" si="120"/>
        <v>0</v>
      </c>
      <c r="BE185" s="12">
        <f t="shared" si="121"/>
        <v>49.2</v>
      </c>
    </row>
    <row r="186" spans="1:57" ht="15.75" customHeight="1" x14ac:dyDescent="0.25">
      <c r="A186" s="1" t="s">
        <v>290</v>
      </c>
      <c r="B186" s="3" t="s">
        <v>93</v>
      </c>
      <c r="C186" s="4" t="s">
        <v>8</v>
      </c>
      <c r="D186" s="4">
        <v>7</v>
      </c>
      <c r="E186" s="4">
        <v>106</v>
      </c>
      <c r="F186" s="4">
        <v>7</v>
      </c>
      <c r="G186" s="4">
        <v>106</v>
      </c>
      <c r="H186" s="4">
        <v>0.48599999999999999</v>
      </c>
      <c r="I186" s="4">
        <v>14.4</v>
      </c>
      <c r="J186" s="4"/>
      <c r="K186" s="4">
        <v>0.57099999999999995</v>
      </c>
      <c r="L186" s="4">
        <v>0.14299999999999999</v>
      </c>
      <c r="M186" s="4">
        <v>0.34300000000000003</v>
      </c>
      <c r="N186" s="4">
        <v>5.7000000000000002E-2</v>
      </c>
      <c r="O186" s="4">
        <v>2.9000000000000001E-2</v>
      </c>
      <c r="P186" s="4">
        <v>0.42899999999999999</v>
      </c>
      <c r="Q186" s="4"/>
      <c r="R186" s="4">
        <v>0.55000000000000004</v>
      </c>
      <c r="S186" s="4">
        <v>0.6</v>
      </c>
      <c r="T186" s="4">
        <v>0.66700000000000004</v>
      </c>
      <c r="U186" s="4">
        <v>0</v>
      </c>
      <c r="V186" s="4">
        <v>0</v>
      </c>
      <c r="W186" s="4">
        <v>0.4</v>
      </c>
      <c r="X186" s="4"/>
      <c r="Y186" s="4">
        <v>0.36399999999999999</v>
      </c>
      <c r="Z186" s="4">
        <v>0.66700000000000004</v>
      </c>
      <c r="AA186" s="4"/>
      <c r="AB186" s="4">
        <v>0.13300000000000001</v>
      </c>
      <c r="AC186" s="4">
        <v>0.5</v>
      </c>
      <c r="AD186" s="10">
        <f t="shared" si="79"/>
        <v>0.49398700000000001</v>
      </c>
      <c r="AE186" s="9"/>
      <c r="AF186" s="9"/>
      <c r="AG186" s="12">
        <f t="shared" ref="AG186:AG187" si="122">(PERCENTRANK(F$4:F$298,F186))*100</f>
        <v>0.5</v>
      </c>
      <c r="AH186" s="12">
        <f t="shared" ref="AH186:AH187" si="123">(PERCENTRANK(G$4:G$298,G186))*100</f>
        <v>0.5</v>
      </c>
      <c r="AI186" s="12">
        <f t="shared" ref="AI186:AI187" si="124">(PERCENTRANK(H$4:H$298,H186))*100</f>
        <v>72.599999999999994</v>
      </c>
      <c r="AJ186" s="12">
        <f t="shared" ref="AJ186:AJ187" si="125">(PERCENTRANK(I$4:I$298,I186))*100</f>
        <v>53.5</v>
      </c>
      <c r="AK186" s="9"/>
      <c r="AL186" s="12">
        <f t="shared" ref="AL186:AL187" si="126">(PERCENTRANK(K$4:K$298,K186))*100</f>
        <v>44.2</v>
      </c>
      <c r="AM186" s="12">
        <f t="shared" ref="AM186:AM187" si="127">(PERCENTRANK(L$4:L$298,L186))*100</f>
        <v>32.700000000000003</v>
      </c>
      <c r="AN186" s="12">
        <f t="shared" ref="AN186:AN187" si="128">(PERCENTRANK(M$4:M$298,M186))*100</f>
        <v>78.100000000000009</v>
      </c>
      <c r="AO186" s="12">
        <f t="shared" ref="AO186:AO187" si="129">(PERCENTRANK(N$4:N$298,N186))*100</f>
        <v>41.5</v>
      </c>
      <c r="AP186" s="12">
        <f t="shared" ref="AP186:AP187" si="130">(PERCENTRANK(O$4:O$298,O186))*100</f>
        <v>37.1</v>
      </c>
      <c r="AQ186" s="12">
        <f t="shared" ref="AQ186:AQ187" si="131">(PERCENTRANK(P$4:P$298,P186))*100</f>
        <v>55.7</v>
      </c>
      <c r="AR186" s="9"/>
      <c r="AS186" s="12">
        <f t="shared" ref="AS186:AS187" si="132">(PERCENTRANK(R$4:R$298,R186))*100</f>
        <v>72.599999999999994</v>
      </c>
      <c r="AT186" s="12">
        <f t="shared" ref="AT186:AT187" si="133">(PERCENTRANK(S$4:S$298,S186))*100</f>
        <v>24.5</v>
      </c>
      <c r="AU186" s="12">
        <f t="shared" ref="AU186:AU187" si="134">(PERCENTRANK(T$4:T$298,T186))*100</f>
        <v>97.8</v>
      </c>
      <c r="AV186" s="12">
        <f t="shared" ref="AV186:AV187" si="135">(PERCENTRANK(U$4:U$298,U186))*100</f>
        <v>0</v>
      </c>
      <c r="AW186" s="12">
        <f t="shared" ref="AW186:AW187" si="136">(PERCENTRANK(V$4:V$298,V186))*100</f>
        <v>0</v>
      </c>
      <c r="AX186" s="12">
        <f t="shared" ref="AX186:AX187" si="137">(PERCENTRANK(W$4:W$298,W186))*100</f>
        <v>83.6</v>
      </c>
      <c r="AY186" s="9"/>
      <c r="AZ186" s="12">
        <f t="shared" ref="AZ186:AZ187" si="138">100-(PERCENTRANK(Y$4:Y$298,Y186))*100</f>
        <v>84.7</v>
      </c>
      <c r="BA186" s="12">
        <f t="shared" ref="BA186:BA187" si="139">100-(PERCENTRANK(Z$4:Z$298,Z186))*100</f>
        <v>88.6</v>
      </c>
      <c r="BB186" s="9"/>
      <c r="BC186" s="12">
        <f t="shared" ref="BC186:BC187" si="140">(PERCENTRANK(AB$4:AB$298,AB186))*100</f>
        <v>26.700000000000003</v>
      </c>
      <c r="BD186" s="12">
        <f t="shared" ref="BD186:BD187" si="141">(PERCENTRANK(AC$4:AC$298,AC186))*100</f>
        <v>80.300000000000011</v>
      </c>
      <c r="BE186" s="12">
        <f t="shared" ref="BE186:BE187" si="142">100-(PERCENTRANK(AD$4:AD$298,AD186))*100</f>
        <v>90.2</v>
      </c>
    </row>
    <row r="187" spans="1:57" ht="15.75" customHeight="1" x14ac:dyDescent="0.25">
      <c r="A187" s="1" t="s">
        <v>283</v>
      </c>
      <c r="B187" s="3" t="s">
        <v>240</v>
      </c>
      <c r="C187" s="4" t="s">
        <v>8</v>
      </c>
      <c r="D187" s="4">
        <v>18</v>
      </c>
      <c r="E187" s="4">
        <v>103</v>
      </c>
      <c r="F187" s="4">
        <v>18</v>
      </c>
      <c r="G187" s="4">
        <v>103</v>
      </c>
      <c r="H187" s="4">
        <v>0.441</v>
      </c>
      <c r="I187" s="4">
        <v>10.5</v>
      </c>
      <c r="J187" s="4"/>
      <c r="K187" s="4">
        <v>0.70599999999999996</v>
      </c>
      <c r="L187" s="4">
        <v>0.20599999999999999</v>
      </c>
      <c r="M187" s="4">
        <v>0.47099999999999997</v>
      </c>
      <c r="N187" s="4">
        <v>2.9000000000000001E-2</v>
      </c>
      <c r="O187" s="4">
        <v>0</v>
      </c>
      <c r="P187" s="4">
        <v>0.29399999999999998</v>
      </c>
      <c r="Q187" s="4"/>
      <c r="R187" s="4">
        <v>0.45800000000000002</v>
      </c>
      <c r="S187" s="4">
        <v>0.57099999999999995</v>
      </c>
      <c r="T187" s="4">
        <v>0.438</v>
      </c>
      <c r="U187" s="4">
        <v>0</v>
      </c>
      <c r="V187" s="4">
        <v>0</v>
      </c>
      <c r="W187" s="4">
        <v>0.4</v>
      </c>
      <c r="X187" s="4"/>
      <c r="Y187" s="4">
        <v>0.54500000000000004</v>
      </c>
      <c r="Z187" s="4">
        <v>1</v>
      </c>
      <c r="AA187" s="4"/>
      <c r="AB187" s="4">
        <v>0.4</v>
      </c>
      <c r="AC187" s="4">
        <v>0.5</v>
      </c>
      <c r="AD187" s="10">
        <f t="shared" si="79"/>
        <v>0.67876999999999998</v>
      </c>
      <c r="AE187" s="9"/>
      <c r="AF187" s="9"/>
      <c r="AG187" s="12">
        <f t="shared" si="122"/>
        <v>12.5</v>
      </c>
      <c r="AH187" s="12">
        <f t="shared" si="123"/>
        <v>0</v>
      </c>
      <c r="AI187" s="12">
        <f t="shared" si="124"/>
        <v>54.6</v>
      </c>
      <c r="AJ187" s="12">
        <f t="shared" si="125"/>
        <v>21.8</v>
      </c>
      <c r="AK187" s="9"/>
      <c r="AL187" s="12">
        <f t="shared" si="126"/>
        <v>71</v>
      </c>
      <c r="AM187" s="12">
        <f t="shared" si="127"/>
        <v>54.6</v>
      </c>
      <c r="AN187" s="12">
        <f t="shared" si="128"/>
        <v>95.6</v>
      </c>
      <c r="AO187" s="12">
        <f t="shared" si="129"/>
        <v>18.5</v>
      </c>
      <c r="AP187" s="12">
        <f t="shared" si="130"/>
        <v>0</v>
      </c>
      <c r="AQ187" s="12">
        <f t="shared" si="131"/>
        <v>28.9</v>
      </c>
      <c r="AR187" s="9"/>
      <c r="AS187" s="12">
        <f t="shared" si="132"/>
        <v>20.7</v>
      </c>
      <c r="AT187" s="12">
        <f t="shared" si="133"/>
        <v>15.8</v>
      </c>
      <c r="AU187" s="12">
        <f t="shared" si="134"/>
        <v>47.5</v>
      </c>
      <c r="AV187" s="12">
        <f t="shared" si="135"/>
        <v>0</v>
      </c>
      <c r="AW187" s="12">
        <f t="shared" si="136"/>
        <v>0</v>
      </c>
      <c r="AX187" s="12">
        <f t="shared" si="137"/>
        <v>83.6</v>
      </c>
      <c r="AY187" s="9"/>
      <c r="AZ187" s="12">
        <f t="shared" si="138"/>
        <v>61.3</v>
      </c>
      <c r="BA187" s="12">
        <f t="shared" si="139"/>
        <v>33.899999999999991</v>
      </c>
      <c r="BB187" s="9"/>
      <c r="BC187" s="12">
        <f t="shared" si="140"/>
        <v>88.5</v>
      </c>
      <c r="BD187" s="12">
        <f t="shared" si="141"/>
        <v>80.300000000000011</v>
      </c>
      <c r="BE187" s="12">
        <f t="shared" si="142"/>
        <v>63.4</v>
      </c>
    </row>
    <row r="188" spans="1:57" ht="15.75" customHeight="1" x14ac:dyDescent="0.25">
      <c r="A188" s="1"/>
      <c r="B188" s="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10"/>
      <c r="AE188" s="9"/>
      <c r="AF188" s="9"/>
      <c r="AG188" s="12"/>
      <c r="AH188" s="12"/>
      <c r="AI188" s="12"/>
      <c r="AJ188" s="12"/>
      <c r="AK188" s="9"/>
      <c r="AL188" s="12"/>
      <c r="AM188" s="12"/>
      <c r="AN188" s="12"/>
      <c r="AO188" s="12"/>
      <c r="AP188" s="12"/>
      <c r="AQ188" s="12"/>
      <c r="AR188" s="9"/>
      <c r="AS188" s="12"/>
      <c r="AT188" s="12"/>
      <c r="AU188" s="12"/>
      <c r="AV188" s="12"/>
      <c r="AW188" s="12"/>
      <c r="AX188" s="12"/>
      <c r="AY188" s="9"/>
      <c r="AZ188" s="12"/>
      <c r="BA188" s="12"/>
      <c r="BB188" s="9"/>
      <c r="BC188" s="12"/>
      <c r="BD188" s="12"/>
      <c r="BE188" s="12"/>
    </row>
    <row r="189" spans="1:57" ht="15.75" customHeight="1" x14ac:dyDescent="0.25">
      <c r="A189" s="1"/>
      <c r="B189" s="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10"/>
      <c r="AE189" s="9"/>
      <c r="AF189" s="9"/>
      <c r="AG189" s="12"/>
      <c r="AH189" s="12"/>
      <c r="AI189" s="12"/>
      <c r="AJ189" s="12"/>
      <c r="AK189" s="9"/>
      <c r="AL189" s="12"/>
      <c r="AM189" s="12"/>
      <c r="AN189" s="12"/>
      <c r="AO189" s="12"/>
      <c r="AP189" s="12"/>
      <c r="AQ189" s="12"/>
      <c r="AR189" s="9"/>
      <c r="AS189" s="12"/>
      <c r="AT189" s="12"/>
      <c r="AU189" s="12"/>
      <c r="AV189" s="12"/>
      <c r="AW189" s="12"/>
      <c r="AX189" s="12"/>
      <c r="AY189" s="9"/>
      <c r="AZ189" s="12"/>
      <c r="BA189" s="12"/>
      <c r="BB189" s="9"/>
      <c r="BC189" s="12"/>
      <c r="BD189" s="12"/>
      <c r="BE189" s="12"/>
    </row>
    <row r="190" spans="1:57" ht="15.75" customHeight="1" x14ac:dyDescent="0.25">
      <c r="A190" s="1"/>
      <c r="B190" s="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10"/>
      <c r="AE190" s="9"/>
      <c r="AF190" s="9"/>
      <c r="AG190" s="12"/>
      <c r="AH190" s="12"/>
      <c r="AI190" s="12"/>
      <c r="AJ190" s="12"/>
      <c r="AK190" s="9"/>
      <c r="AL190" s="12"/>
      <c r="AM190" s="12"/>
      <c r="AN190" s="12"/>
      <c r="AO190" s="12"/>
      <c r="AP190" s="12"/>
      <c r="AQ190" s="12"/>
      <c r="AR190" s="9"/>
      <c r="AS190" s="12"/>
      <c r="AT190" s="12"/>
      <c r="AU190" s="12"/>
      <c r="AV190" s="12"/>
      <c r="AW190" s="12"/>
      <c r="AX190" s="12"/>
      <c r="AY190" s="9"/>
      <c r="AZ190" s="12"/>
      <c r="BA190" s="12"/>
      <c r="BB190" s="9"/>
      <c r="BC190" s="12"/>
      <c r="BD190" s="12"/>
      <c r="BE190" s="12"/>
    </row>
    <row r="191" spans="1:57" ht="15.75" customHeight="1" x14ac:dyDescent="0.25">
      <c r="A191" s="1"/>
      <c r="B191" s="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10"/>
      <c r="AE191" s="9"/>
      <c r="AF191" s="9"/>
      <c r="AG191" s="12"/>
      <c r="AH191" s="12"/>
      <c r="AI191" s="12"/>
      <c r="AJ191" s="12"/>
      <c r="AK191" s="9"/>
      <c r="AL191" s="12"/>
      <c r="AM191" s="12"/>
      <c r="AN191" s="12"/>
      <c r="AO191" s="12"/>
      <c r="AP191" s="12"/>
      <c r="AQ191" s="12"/>
      <c r="AR191" s="9"/>
      <c r="AS191" s="12"/>
      <c r="AT191" s="12"/>
      <c r="AU191" s="12"/>
      <c r="AV191" s="12"/>
      <c r="AW191" s="12"/>
      <c r="AX191" s="12"/>
      <c r="AY191" s="9"/>
      <c r="AZ191" s="12"/>
      <c r="BA191" s="12"/>
      <c r="BB191" s="9"/>
      <c r="BC191" s="12"/>
      <c r="BD191" s="12"/>
      <c r="BE191" s="12"/>
    </row>
    <row r="192" spans="1:57" ht="15.75" customHeight="1" x14ac:dyDescent="0.25">
      <c r="A192" s="1"/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10"/>
      <c r="AE192" s="9"/>
      <c r="AF192" s="9"/>
      <c r="AG192" s="12"/>
      <c r="AH192" s="12"/>
      <c r="AI192" s="12"/>
      <c r="AJ192" s="12"/>
      <c r="AK192" s="9"/>
      <c r="AL192" s="12"/>
      <c r="AM192" s="12"/>
      <c r="AN192" s="12"/>
      <c r="AO192" s="12"/>
      <c r="AP192" s="12"/>
      <c r="AQ192" s="12"/>
      <c r="AR192" s="9"/>
      <c r="AS192" s="12"/>
      <c r="AT192" s="12"/>
      <c r="AU192" s="12"/>
      <c r="AV192" s="12"/>
      <c r="AW192" s="12"/>
      <c r="AX192" s="12"/>
      <c r="AY192" s="9"/>
      <c r="AZ192" s="12"/>
      <c r="BA192" s="12"/>
      <c r="BB192" s="9"/>
      <c r="BC192" s="12"/>
      <c r="BD192" s="12"/>
      <c r="BE192" s="12"/>
    </row>
    <row r="193" spans="1:57" ht="15.75" customHeight="1" x14ac:dyDescent="0.25">
      <c r="A193" s="1"/>
      <c r="B193" s="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10"/>
      <c r="AE193" s="9"/>
      <c r="AF193" s="9"/>
      <c r="AG193" s="12"/>
      <c r="AH193" s="12"/>
      <c r="AI193" s="12"/>
      <c r="AJ193" s="12"/>
      <c r="AK193" s="9"/>
      <c r="AL193" s="12"/>
      <c r="AM193" s="12"/>
      <c r="AN193" s="12"/>
      <c r="AO193" s="12"/>
      <c r="AP193" s="12"/>
      <c r="AQ193" s="12"/>
      <c r="AR193" s="9"/>
      <c r="AS193" s="12"/>
      <c r="AT193" s="12"/>
      <c r="AU193" s="12"/>
      <c r="AV193" s="12"/>
      <c r="AW193" s="12"/>
      <c r="AX193" s="12"/>
      <c r="AY193" s="9"/>
      <c r="AZ193" s="12"/>
      <c r="BA193" s="12"/>
      <c r="BB193" s="9"/>
      <c r="BC193" s="12"/>
      <c r="BD193" s="12"/>
      <c r="BE193" s="12"/>
    </row>
    <row r="194" spans="1:57" ht="15.75" customHeight="1" x14ac:dyDescent="0.25">
      <c r="A194" s="1"/>
      <c r="B194" s="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10"/>
      <c r="AE194" s="9"/>
      <c r="AF194" s="9"/>
      <c r="AG194" s="12"/>
      <c r="AH194" s="12"/>
      <c r="AI194" s="12"/>
      <c r="AJ194" s="12"/>
      <c r="AK194" s="9"/>
      <c r="AL194" s="12"/>
      <c r="AM194" s="12"/>
      <c r="AN194" s="12"/>
      <c r="AO194" s="12"/>
      <c r="AP194" s="12"/>
      <c r="AQ194" s="12"/>
      <c r="AR194" s="9"/>
      <c r="AS194" s="12"/>
      <c r="AT194" s="12"/>
      <c r="AU194" s="12"/>
      <c r="AV194" s="12"/>
      <c r="AW194" s="12"/>
      <c r="AX194" s="12"/>
      <c r="AY194" s="9"/>
      <c r="AZ194" s="12"/>
      <c r="BA194" s="12"/>
      <c r="BB194" s="9"/>
      <c r="BC194" s="12"/>
      <c r="BD194" s="12"/>
      <c r="BE194" s="12"/>
    </row>
    <row r="195" spans="1:57" ht="15.75" customHeight="1" x14ac:dyDescent="0.25">
      <c r="A195" s="1"/>
      <c r="B195" s="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10"/>
      <c r="AE195" s="9"/>
      <c r="AF195" s="9"/>
      <c r="AG195" s="12"/>
      <c r="AH195" s="12"/>
      <c r="AI195" s="12"/>
      <c r="AJ195" s="12"/>
      <c r="AK195" s="9"/>
      <c r="AL195" s="12"/>
      <c r="AM195" s="12"/>
      <c r="AN195" s="12"/>
      <c r="AO195" s="12"/>
      <c r="AP195" s="12"/>
      <c r="AQ195" s="12"/>
      <c r="AR195" s="9"/>
      <c r="AS195" s="12"/>
      <c r="AT195" s="12"/>
      <c r="AU195" s="12"/>
      <c r="AV195" s="12"/>
      <c r="AW195" s="12"/>
      <c r="AX195" s="12"/>
      <c r="AY195" s="9"/>
      <c r="AZ195" s="12"/>
      <c r="BA195" s="12"/>
      <c r="BB195" s="9"/>
      <c r="BC195" s="12"/>
      <c r="BD195" s="12"/>
      <c r="BE195" s="12"/>
    </row>
    <row r="196" spans="1:57" ht="15.75" customHeight="1" x14ac:dyDescent="0.25">
      <c r="A196" s="1"/>
      <c r="B196" s="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10"/>
      <c r="AE196" s="9"/>
      <c r="AF196" s="9"/>
      <c r="AG196" s="12"/>
      <c r="AH196" s="12"/>
      <c r="AI196" s="12"/>
      <c r="AJ196" s="12"/>
      <c r="AK196" s="9"/>
      <c r="AL196" s="12"/>
      <c r="AM196" s="12"/>
      <c r="AN196" s="12"/>
      <c r="AO196" s="12"/>
      <c r="AP196" s="12"/>
      <c r="AQ196" s="12"/>
      <c r="AR196" s="9"/>
      <c r="AS196" s="12"/>
      <c r="AT196" s="12"/>
      <c r="AU196" s="12"/>
      <c r="AV196" s="12"/>
      <c r="AW196" s="12"/>
      <c r="AX196" s="12"/>
      <c r="AY196" s="9"/>
      <c r="AZ196" s="12"/>
      <c r="BA196" s="12"/>
      <c r="BB196" s="9"/>
      <c r="BC196" s="12"/>
      <c r="BD196" s="12"/>
      <c r="BE196" s="12"/>
    </row>
    <row r="197" spans="1:57" ht="15.75" customHeight="1" x14ac:dyDescent="0.25">
      <c r="A197" s="1"/>
      <c r="B197" s="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10"/>
      <c r="AE197" s="9"/>
      <c r="AF197" s="9"/>
      <c r="AG197" s="12"/>
      <c r="AH197" s="12"/>
      <c r="AI197" s="12"/>
      <c r="AJ197" s="12"/>
      <c r="AK197" s="9"/>
      <c r="AL197" s="12"/>
      <c r="AM197" s="12"/>
      <c r="AN197" s="12"/>
      <c r="AO197" s="12"/>
      <c r="AP197" s="12"/>
      <c r="AQ197" s="12"/>
      <c r="AR197" s="9"/>
      <c r="AS197" s="12"/>
      <c r="AT197" s="12"/>
      <c r="AU197" s="12"/>
      <c r="AV197" s="12"/>
      <c r="AW197" s="12"/>
      <c r="AX197" s="12"/>
      <c r="AY197" s="9"/>
      <c r="AZ197" s="12"/>
      <c r="BA197" s="12"/>
      <c r="BB197" s="9"/>
      <c r="BC197" s="12"/>
      <c r="BD197" s="12"/>
      <c r="BE197" s="12"/>
    </row>
    <row r="198" spans="1:57" ht="15.75" customHeight="1" x14ac:dyDescent="0.25">
      <c r="A198" s="1"/>
      <c r="B198" s="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10"/>
      <c r="AE198" s="9"/>
      <c r="AF198" s="9"/>
      <c r="AG198" s="12"/>
      <c r="AH198" s="12"/>
      <c r="AI198" s="12"/>
      <c r="AJ198" s="12"/>
      <c r="AK198" s="9"/>
      <c r="AL198" s="12"/>
      <c r="AM198" s="12"/>
      <c r="AN198" s="12"/>
      <c r="AO198" s="12"/>
      <c r="AP198" s="12"/>
      <c r="AQ198" s="12"/>
      <c r="AR198" s="9"/>
      <c r="AS198" s="12"/>
      <c r="AT198" s="12"/>
      <c r="AU198" s="12"/>
      <c r="AV198" s="12"/>
      <c r="AW198" s="12"/>
      <c r="AX198" s="12"/>
      <c r="AY198" s="9"/>
      <c r="AZ198" s="12"/>
      <c r="BA198" s="12"/>
      <c r="BB198" s="9"/>
      <c r="BC198" s="12"/>
      <c r="BD198" s="12"/>
      <c r="BE198" s="12"/>
    </row>
    <row r="199" spans="1:57" ht="15.75" customHeight="1" x14ac:dyDescent="0.25">
      <c r="A199" s="1"/>
      <c r="B199" s="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10"/>
      <c r="AE199" s="9"/>
      <c r="AF199" s="9"/>
      <c r="AG199" s="12"/>
      <c r="AH199" s="12"/>
      <c r="AI199" s="12"/>
      <c r="AJ199" s="12"/>
      <c r="AK199" s="9"/>
      <c r="AL199" s="12"/>
      <c r="AM199" s="12"/>
      <c r="AN199" s="12"/>
      <c r="AO199" s="12"/>
      <c r="AP199" s="12"/>
      <c r="AQ199" s="12"/>
      <c r="AR199" s="9"/>
      <c r="AS199" s="12"/>
      <c r="AT199" s="12"/>
      <c r="AU199" s="12"/>
      <c r="AV199" s="12"/>
      <c r="AW199" s="12"/>
      <c r="AX199" s="12"/>
      <c r="AY199" s="9"/>
      <c r="AZ199" s="12"/>
      <c r="BA199" s="12"/>
      <c r="BB199" s="9"/>
      <c r="BC199" s="12"/>
      <c r="BD199" s="12"/>
      <c r="BE199" s="12"/>
    </row>
    <row r="200" spans="1:57" ht="15.75" customHeight="1" x14ac:dyDescent="0.25">
      <c r="A200" s="1"/>
      <c r="B200" s="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10"/>
      <c r="AE200" s="9"/>
      <c r="AF200" s="9"/>
      <c r="AG200" s="12"/>
      <c r="AH200" s="12"/>
      <c r="AI200" s="12"/>
      <c r="AJ200" s="12"/>
      <c r="AK200" s="9"/>
      <c r="AL200" s="12"/>
      <c r="AM200" s="12"/>
      <c r="AN200" s="12"/>
      <c r="AO200" s="12"/>
      <c r="AP200" s="12"/>
      <c r="AQ200" s="12"/>
      <c r="AR200" s="9"/>
      <c r="AS200" s="12"/>
      <c r="AT200" s="12"/>
      <c r="AU200" s="12"/>
      <c r="AV200" s="12"/>
      <c r="AW200" s="12"/>
      <c r="AX200" s="12"/>
      <c r="AY200" s="9"/>
      <c r="AZ200" s="12"/>
      <c r="BA200" s="12"/>
      <c r="BB200" s="9"/>
      <c r="BC200" s="12"/>
      <c r="BD200" s="12"/>
      <c r="BE200" s="12"/>
    </row>
    <row r="201" spans="1:57" ht="15.75" customHeight="1" x14ac:dyDescent="0.25">
      <c r="A201" s="1"/>
      <c r="B201" s="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10"/>
      <c r="AE201" s="9"/>
      <c r="AF201" s="9"/>
      <c r="AG201" s="12"/>
      <c r="AH201" s="12"/>
      <c r="AI201" s="12"/>
      <c r="AJ201" s="12"/>
      <c r="AK201" s="9"/>
      <c r="AL201" s="12"/>
      <c r="AM201" s="12"/>
      <c r="AN201" s="12"/>
      <c r="AO201" s="12"/>
      <c r="AP201" s="12"/>
      <c r="AQ201" s="12"/>
      <c r="AR201" s="9"/>
      <c r="AS201" s="12"/>
      <c r="AT201" s="12"/>
      <c r="AU201" s="12"/>
      <c r="AV201" s="12"/>
      <c r="AW201" s="12"/>
      <c r="AX201" s="12"/>
      <c r="AY201" s="9"/>
      <c r="AZ201" s="12"/>
      <c r="BA201" s="12"/>
      <c r="BB201" s="9"/>
      <c r="BC201" s="12"/>
      <c r="BD201" s="12"/>
      <c r="BE201" s="12"/>
    </row>
    <row r="202" spans="1:57" ht="15.75" customHeight="1" x14ac:dyDescent="0.25">
      <c r="A202" s="1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10"/>
      <c r="AE202" s="9"/>
      <c r="AF202" s="9"/>
      <c r="AG202" s="12"/>
      <c r="AH202" s="12"/>
      <c r="AI202" s="12"/>
      <c r="AJ202" s="12"/>
      <c r="AK202" s="9"/>
      <c r="AL202" s="12"/>
      <c r="AM202" s="12"/>
      <c r="AN202" s="12"/>
      <c r="AO202" s="12"/>
      <c r="AP202" s="12"/>
      <c r="AQ202" s="12"/>
      <c r="AR202" s="9"/>
      <c r="AS202" s="12"/>
      <c r="AT202" s="12"/>
      <c r="AU202" s="12"/>
      <c r="AV202" s="12"/>
      <c r="AW202" s="12"/>
      <c r="AX202" s="12"/>
      <c r="AY202" s="9"/>
      <c r="AZ202" s="12"/>
      <c r="BA202" s="12"/>
      <c r="BB202" s="9"/>
      <c r="BC202" s="12"/>
      <c r="BD202" s="12"/>
      <c r="BE202" s="12"/>
    </row>
    <row r="203" spans="1:57" ht="15.75" customHeight="1" x14ac:dyDescent="0.25">
      <c r="A203" s="1"/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10"/>
      <c r="AE203" s="9"/>
      <c r="AF203" s="9"/>
      <c r="AG203" s="12"/>
      <c r="AH203" s="12"/>
      <c r="AI203" s="12"/>
      <c r="AJ203" s="12"/>
      <c r="AK203" s="9"/>
      <c r="AL203" s="12"/>
      <c r="AM203" s="12"/>
      <c r="AN203" s="12"/>
      <c r="AO203" s="12"/>
      <c r="AP203" s="12"/>
      <c r="AQ203" s="12"/>
      <c r="AR203" s="9"/>
      <c r="AS203" s="12"/>
      <c r="AT203" s="12"/>
      <c r="AU203" s="12"/>
      <c r="AV203" s="12"/>
      <c r="AW203" s="12"/>
      <c r="AX203" s="12"/>
      <c r="AY203" s="9"/>
      <c r="AZ203" s="12"/>
      <c r="BA203" s="12"/>
      <c r="BB203" s="9"/>
      <c r="BC203" s="12"/>
      <c r="BD203" s="12"/>
      <c r="BE203" s="12"/>
    </row>
    <row r="204" spans="1:57" ht="15.75" customHeight="1" x14ac:dyDescent="0.25">
      <c r="A204" s="1"/>
      <c r="B204" s="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10"/>
      <c r="AE204" s="9"/>
      <c r="AF204" s="9"/>
      <c r="AG204" s="12"/>
      <c r="AH204" s="12"/>
      <c r="AI204" s="12"/>
      <c r="AJ204" s="12"/>
      <c r="AK204" s="9"/>
      <c r="AL204" s="12"/>
      <c r="AM204" s="12"/>
      <c r="AN204" s="12"/>
      <c r="AO204" s="12"/>
      <c r="AP204" s="12"/>
      <c r="AQ204" s="12"/>
      <c r="AR204" s="9"/>
      <c r="AS204" s="12"/>
      <c r="AT204" s="12"/>
      <c r="AU204" s="12"/>
      <c r="AV204" s="12"/>
      <c r="AW204" s="12"/>
      <c r="AX204" s="12"/>
      <c r="AY204" s="9"/>
      <c r="AZ204" s="12"/>
      <c r="BA204" s="12"/>
      <c r="BB204" s="9"/>
      <c r="BC204" s="12"/>
      <c r="BD204" s="12"/>
      <c r="BE204" s="12"/>
    </row>
    <row r="205" spans="1:57" ht="15.75" customHeight="1" x14ac:dyDescent="0.25">
      <c r="A205" s="1"/>
      <c r="B205" s="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10"/>
      <c r="AE205" s="9"/>
      <c r="AF205" s="9"/>
      <c r="AG205" s="12"/>
      <c r="AH205" s="12"/>
      <c r="AI205" s="12"/>
      <c r="AJ205" s="12"/>
      <c r="AK205" s="9"/>
      <c r="AL205" s="12"/>
      <c r="AM205" s="12"/>
      <c r="AN205" s="12"/>
      <c r="AO205" s="12"/>
      <c r="AP205" s="12"/>
      <c r="AQ205" s="12"/>
      <c r="AR205" s="9"/>
      <c r="AS205" s="12"/>
      <c r="AT205" s="12"/>
      <c r="AU205" s="12"/>
      <c r="AV205" s="12"/>
      <c r="AW205" s="12"/>
      <c r="AX205" s="12"/>
      <c r="AY205" s="9"/>
      <c r="AZ205" s="12"/>
      <c r="BA205" s="12"/>
      <c r="BB205" s="9"/>
      <c r="BC205" s="12"/>
      <c r="BD205" s="12"/>
      <c r="BE205" s="12"/>
    </row>
    <row r="206" spans="1:57" ht="15.75" customHeight="1" x14ac:dyDescent="0.25">
      <c r="A206" s="1"/>
      <c r="B206" s="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10"/>
      <c r="AE206" s="9"/>
      <c r="AF206" s="9"/>
      <c r="AG206" s="12"/>
      <c r="AH206" s="12"/>
      <c r="AI206" s="12"/>
      <c r="AJ206" s="12"/>
      <c r="AK206" s="9"/>
      <c r="AL206" s="12"/>
      <c r="AM206" s="12"/>
      <c r="AN206" s="12"/>
      <c r="AO206" s="12"/>
      <c r="AP206" s="12"/>
      <c r="AQ206" s="12"/>
      <c r="AR206" s="9"/>
      <c r="AS206" s="12"/>
      <c r="AT206" s="12"/>
      <c r="AU206" s="12"/>
      <c r="AV206" s="12"/>
      <c r="AW206" s="12"/>
      <c r="AX206" s="12"/>
      <c r="AY206" s="9"/>
      <c r="AZ206" s="12"/>
      <c r="BA206" s="12"/>
      <c r="BB206" s="9"/>
      <c r="BC206" s="12"/>
      <c r="BD206" s="12"/>
      <c r="BE206" s="12"/>
    </row>
    <row r="207" spans="1:57" ht="15.75" customHeight="1" x14ac:dyDescent="0.25">
      <c r="A207" s="1"/>
      <c r="B207" s="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10"/>
      <c r="AE207" s="9"/>
      <c r="AF207" s="9"/>
      <c r="AG207" s="12"/>
      <c r="AH207" s="12"/>
      <c r="AI207" s="12"/>
      <c r="AJ207" s="12"/>
      <c r="AK207" s="9"/>
      <c r="AL207" s="12"/>
      <c r="AM207" s="12"/>
      <c r="AN207" s="12"/>
      <c r="AO207" s="12"/>
      <c r="AP207" s="12"/>
      <c r="AQ207" s="12"/>
      <c r="AR207" s="9"/>
      <c r="AS207" s="12"/>
      <c r="AT207" s="12"/>
      <c r="AU207" s="12"/>
      <c r="AV207" s="12"/>
      <c r="AW207" s="12"/>
      <c r="AX207" s="12"/>
      <c r="AY207" s="9"/>
      <c r="AZ207" s="12"/>
      <c r="BA207" s="12"/>
      <c r="BB207" s="9"/>
      <c r="BC207" s="12"/>
      <c r="BD207" s="12"/>
      <c r="BE207" s="12"/>
    </row>
    <row r="208" spans="1:57" ht="15.75" customHeight="1" x14ac:dyDescent="0.25">
      <c r="A208" s="1"/>
      <c r="B208" s="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10"/>
      <c r="AE208" s="9"/>
      <c r="AF208" s="9"/>
      <c r="AG208" s="12"/>
      <c r="AH208" s="12"/>
      <c r="AI208" s="12"/>
      <c r="AJ208" s="12"/>
      <c r="AK208" s="9"/>
      <c r="AL208" s="12"/>
      <c r="AM208" s="12"/>
      <c r="AN208" s="12"/>
      <c r="AO208" s="12"/>
      <c r="AP208" s="12"/>
      <c r="AQ208" s="12"/>
      <c r="AR208" s="9"/>
      <c r="AS208" s="12"/>
      <c r="AT208" s="12"/>
      <c r="AU208" s="12"/>
      <c r="AV208" s="12"/>
      <c r="AW208" s="12"/>
      <c r="AX208" s="12"/>
      <c r="AY208" s="9"/>
      <c r="AZ208" s="12"/>
      <c r="BA208" s="12"/>
      <c r="BB208" s="9"/>
      <c r="BC208" s="12"/>
      <c r="BD208" s="12"/>
      <c r="BE208" s="12"/>
    </row>
    <row r="209" spans="1:57" ht="15.75" customHeight="1" x14ac:dyDescent="0.25">
      <c r="A209" s="1"/>
      <c r="B209" s="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10"/>
      <c r="AE209" s="9"/>
      <c r="AF209" s="9"/>
      <c r="AG209" s="12"/>
      <c r="AH209" s="12"/>
      <c r="AI209" s="12"/>
      <c r="AJ209" s="12"/>
      <c r="AK209" s="9"/>
      <c r="AL209" s="12"/>
      <c r="AM209" s="12"/>
      <c r="AN209" s="12"/>
      <c r="AO209" s="12"/>
      <c r="AP209" s="12"/>
      <c r="AQ209" s="12"/>
      <c r="AR209" s="9"/>
      <c r="AS209" s="12"/>
      <c r="AT209" s="12"/>
      <c r="AU209" s="12"/>
      <c r="AV209" s="12"/>
      <c r="AW209" s="12"/>
      <c r="AX209" s="12"/>
      <c r="AY209" s="9"/>
      <c r="AZ209" s="12"/>
      <c r="BA209" s="12"/>
      <c r="BB209" s="9"/>
      <c r="BC209" s="12"/>
      <c r="BD209" s="12"/>
      <c r="BE209" s="12"/>
    </row>
    <row r="210" spans="1:57" ht="15.75" customHeight="1" x14ac:dyDescent="0.25">
      <c r="A210" s="1"/>
      <c r="B210" s="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10"/>
      <c r="AE210" s="9"/>
      <c r="AF210" s="9"/>
      <c r="AG210" s="12"/>
      <c r="AH210" s="12"/>
      <c r="AI210" s="12"/>
      <c r="AJ210" s="12"/>
      <c r="AK210" s="9"/>
      <c r="AL210" s="12"/>
      <c r="AM210" s="12"/>
      <c r="AN210" s="12"/>
      <c r="AO210" s="12"/>
      <c r="AP210" s="12"/>
      <c r="AQ210" s="12"/>
      <c r="AR210" s="9"/>
      <c r="AS210" s="12"/>
      <c r="AT210" s="12"/>
      <c r="AU210" s="12"/>
      <c r="AV210" s="12"/>
      <c r="AW210" s="12"/>
      <c r="AX210" s="12"/>
      <c r="AY210" s="9"/>
      <c r="AZ210" s="12"/>
      <c r="BA210" s="12"/>
      <c r="BB210" s="9"/>
      <c r="BC210" s="12"/>
      <c r="BD210" s="12"/>
      <c r="BE210" s="12"/>
    </row>
    <row r="211" spans="1:57" ht="15.75" customHeight="1" x14ac:dyDescent="0.25">
      <c r="A211" s="1"/>
      <c r="B211" s="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10"/>
      <c r="AE211" s="9"/>
      <c r="AF211" s="9"/>
      <c r="AG211" s="12"/>
      <c r="AH211" s="12"/>
      <c r="AI211" s="12"/>
      <c r="AJ211" s="12"/>
      <c r="AK211" s="9"/>
      <c r="AL211" s="12"/>
      <c r="AM211" s="12"/>
      <c r="AN211" s="12"/>
      <c r="AO211" s="12"/>
      <c r="AP211" s="12"/>
      <c r="AQ211" s="12"/>
      <c r="AR211" s="9"/>
      <c r="AS211" s="12"/>
      <c r="AT211" s="12"/>
      <c r="AU211" s="12"/>
      <c r="AV211" s="12"/>
      <c r="AW211" s="12"/>
      <c r="AX211" s="12"/>
      <c r="AY211" s="9"/>
      <c r="AZ211" s="12"/>
      <c r="BA211" s="12"/>
      <c r="BB211" s="9"/>
      <c r="BC211" s="12"/>
      <c r="BD211" s="12"/>
      <c r="BE211" s="12"/>
    </row>
    <row r="212" spans="1:57" ht="15.75" customHeight="1" x14ac:dyDescent="0.25">
      <c r="A212" s="1"/>
      <c r="B212" s="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10"/>
      <c r="AE212" s="9"/>
      <c r="AF212" s="9"/>
      <c r="AG212" s="12"/>
      <c r="AH212" s="12"/>
      <c r="AI212" s="12"/>
      <c r="AJ212" s="12"/>
      <c r="AK212" s="9"/>
      <c r="AL212" s="12"/>
      <c r="AM212" s="12"/>
      <c r="AN212" s="12"/>
      <c r="AO212" s="12"/>
      <c r="AP212" s="12"/>
      <c r="AQ212" s="12"/>
      <c r="AR212" s="9"/>
      <c r="AS212" s="12"/>
      <c r="AT212" s="12"/>
      <c r="AU212" s="12"/>
      <c r="AV212" s="12"/>
      <c r="AW212" s="12"/>
      <c r="AX212" s="12"/>
      <c r="AY212" s="9"/>
      <c r="AZ212" s="12"/>
      <c r="BA212" s="12"/>
      <c r="BB212" s="9"/>
      <c r="BC212" s="12"/>
      <c r="BD212" s="12"/>
      <c r="BE212" s="12"/>
    </row>
    <row r="213" spans="1:57" ht="15.75" customHeight="1" x14ac:dyDescent="0.25">
      <c r="A213" s="1"/>
      <c r="B213" s="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10"/>
      <c r="AE213" s="9"/>
      <c r="AF213" s="9"/>
      <c r="AG213" s="12"/>
      <c r="AH213" s="12"/>
      <c r="AI213" s="12"/>
      <c r="AJ213" s="12"/>
      <c r="AK213" s="9"/>
      <c r="AL213" s="12"/>
      <c r="AM213" s="12"/>
      <c r="AN213" s="12"/>
      <c r="AO213" s="12"/>
      <c r="AP213" s="12"/>
      <c r="AQ213" s="12"/>
      <c r="AR213" s="9"/>
      <c r="AS213" s="12"/>
      <c r="AT213" s="12"/>
      <c r="AU213" s="12"/>
      <c r="AV213" s="12"/>
      <c r="AW213" s="12"/>
      <c r="AX213" s="12"/>
      <c r="AY213" s="9"/>
      <c r="AZ213" s="12"/>
      <c r="BA213" s="12"/>
      <c r="BB213" s="9"/>
      <c r="BC213" s="12"/>
      <c r="BD213" s="12"/>
      <c r="BE213" s="12"/>
    </row>
    <row r="214" spans="1:57" ht="15.75" customHeight="1" x14ac:dyDescent="0.25">
      <c r="A214" s="1"/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10"/>
      <c r="AE214" s="9"/>
      <c r="AF214" s="9"/>
      <c r="AG214" s="12"/>
      <c r="AH214" s="12"/>
      <c r="AI214" s="12"/>
      <c r="AJ214" s="12"/>
      <c r="AK214" s="9"/>
      <c r="AL214" s="12"/>
      <c r="AM214" s="12"/>
      <c r="AN214" s="12"/>
      <c r="AO214" s="12"/>
      <c r="AP214" s="12"/>
      <c r="AQ214" s="12"/>
      <c r="AR214" s="9"/>
      <c r="AS214" s="12"/>
      <c r="AT214" s="12"/>
      <c r="AU214" s="12"/>
      <c r="AV214" s="12"/>
      <c r="AW214" s="12"/>
      <c r="AX214" s="12"/>
      <c r="AY214" s="9"/>
      <c r="AZ214" s="12"/>
      <c r="BA214" s="12"/>
      <c r="BB214" s="9"/>
      <c r="BC214" s="12"/>
      <c r="BD214" s="12"/>
      <c r="BE214" s="12"/>
    </row>
    <row r="215" spans="1:57" ht="15.75" customHeight="1" x14ac:dyDescent="0.25">
      <c r="A215" s="1"/>
      <c r="B215" s="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10"/>
      <c r="AE215" s="9"/>
      <c r="AF215" s="9"/>
      <c r="AG215" s="12"/>
      <c r="AH215" s="12"/>
      <c r="AI215" s="12"/>
      <c r="AJ215" s="12"/>
      <c r="AK215" s="9"/>
      <c r="AL215" s="12"/>
      <c r="AM215" s="12"/>
      <c r="AN215" s="12"/>
      <c r="AO215" s="12"/>
      <c r="AP215" s="12"/>
      <c r="AQ215" s="12"/>
      <c r="AR215" s="9"/>
      <c r="AS215" s="12"/>
      <c r="AT215" s="12"/>
      <c r="AU215" s="12"/>
      <c r="AV215" s="12"/>
      <c r="AW215" s="12"/>
      <c r="AX215" s="12"/>
      <c r="AY215" s="9"/>
      <c r="AZ215" s="12"/>
      <c r="BA215" s="12"/>
      <c r="BB215" s="9"/>
      <c r="BC215" s="12"/>
      <c r="BD215" s="12"/>
      <c r="BE215" s="12"/>
    </row>
    <row r="216" spans="1:57" ht="15.75" customHeight="1" x14ac:dyDescent="0.25">
      <c r="A216" s="1"/>
      <c r="B216" s="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10"/>
      <c r="AE216" s="9"/>
      <c r="AF216" s="9"/>
      <c r="AG216" s="12"/>
      <c r="AH216" s="12"/>
      <c r="AI216" s="12"/>
      <c r="AJ216" s="12"/>
      <c r="AK216" s="9"/>
      <c r="AL216" s="12"/>
      <c r="AM216" s="12"/>
      <c r="AN216" s="12"/>
      <c r="AO216" s="12"/>
      <c r="AP216" s="12"/>
      <c r="AQ216" s="12"/>
      <c r="AR216" s="9"/>
      <c r="AS216" s="12"/>
      <c r="AT216" s="12"/>
      <c r="AU216" s="12"/>
      <c r="AV216" s="12"/>
      <c r="AW216" s="12"/>
      <c r="AX216" s="12"/>
      <c r="AY216" s="9"/>
      <c r="AZ216" s="12"/>
      <c r="BA216" s="12"/>
      <c r="BB216" s="9"/>
      <c r="BC216" s="12"/>
      <c r="BD216" s="12"/>
      <c r="BE216" s="12"/>
    </row>
    <row r="217" spans="1:57" ht="15.75" customHeight="1" x14ac:dyDescent="0.25">
      <c r="A217" s="1"/>
      <c r="B217" s="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10"/>
      <c r="AE217" s="9"/>
      <c r="AF217" s="9"/>
      <c r="AG217" s="12"/>
      <c r="AH217" s="12"/>
      <c r="AI217" s="12"/>
      <c r="AJ217" s="12"/>
      <c r="AK217" s="9"/>
      <c r="AL217" s="12"/>
      <c r="AM217" s="12"/>
      <c r="AN217" s="12"/>
      <c r="AO217" s="12"/>
      <c r="AP217" s="12"/>
      <c r="AQ217" s="12"/>
      <c r="AR217" s="9"/>
      <c r="AS217" s="12"/>
      <c r="AT217" s="12"/>
      <c r="AU217" s="12"/>
      <c r="AV217" s="12"/>
      <c r="AW217" s="12"/>
      <c r="AX217" s="12"/>
      <c r="AY217" s="9"/>
      <c r="AZ217" s="12"/>
      <c r="BA217" s="12"/>
      <c r="BB217" s="9"/>
      <c r="BC217" s="12"/>
      <c r="BD217" s="12"/>
      <c r="BE217" s="12"/>
    </row>
    <row r="218" spans="1:57" ht="15.75" customHeight="1" x14ac:dyDescent="0.25">
      <c r="A218" s="1"/>
      <c r="B218" s="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10"/>
      <c r="AE218" s="9"/>
      <c r="AF218" s="9"/>
      <c r="AG218" s="12"/>
      <c r="AH218" s="12"/>
      <c r="AI218" s="12"/>
      <c r="AJ218" s="12"/>
      <c r="AK218" s="9"/>
      <c r="AL218" s="12"/>
      <c r="AM218" s="12"/>
      <c r="AN218" s="12"/>
      <c r="AO218" s="12"/>
      <c r="AP218" s="12"/>
      <c r="AQ218" s="12"/>
      <c r="AR218" s="9"/>
      <c r="AS218" s="12"/>
      <c r="AT218" s="12"/>
      <c r="AU218" s="12"/>
      <c r="AV218" s="12"/>
      <c r="AW218" s="12"/>
      <c r="AX218" s="12"/>
      <c r="AY218" s="9"/>
      <c r="AZ218" s="12"/>
      <c r="BA218" s="12"/>
      <c r="BB218" s="9"/>
      <c r="BC218" s="12"/>
      <c r="BD218" s="12"/>
      <c r="BE218" s="12"/>
    </row>
    <row r="219" spans="1:57" ht="15.75" customHeight="1" x14ac:dyDescent="0.25">
      <c r="A219" s="1"/>
      <c r="B219" s="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10"/>
      <c r="AE219" s="9"/>
      <c r="AF219" s="9"/>
      <c r="AG219" s="12"/>
      <c r="AH219" s="12"/>
      <c r="AI219" s="12"/>
      <c r="AJ219" s="12"/>
      <c r="AK219" s="9"/>
      <c r="AL219" s="12"/>
      <c r="AM219" s="12"/>
      <c r="AN219" s="12"/>
      <c r="AO219" s="12"/>
      <c r="AP219" s="12"/>
      <c r="AQ219" s="12"/>
      <c r="AR219" s="9"/>
      <c r="AS219" s="12"/>
      <c r="AT219" s="12"/>
      <c r="AU219" s="12"/>
      <c r="AV219" s="12"/>
      <c r="AW219" s="12"/>
      <c r="AX219" s="12"/>
      <c r="AY219" s="9"/>
      <c r="AZ219" s="12"/>
      <c r="BA219" s="12"/>
      <c r="BB219" s="9"/>
      <c r="BC219" s="12"/>
      <c r="BD219" s="12"/>
      <c r="BE219" s="12"/>
    </row>
    <row r="220" spans="1:57" ht="15.75" customHeight="1" x14ac:dyDescent="0.25">
      <c r="A220" s="1"/>
      <c r="B220" s="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10"/>
      <c r="AE220" s="9"/>
      <c r="AF220" s="9"/>
      <c r="AG220" s="12"/>
      <c r="AH220" s="12"/>
      <c r="AI220" s="12"/>
      <c r="AJ220" s="12"/>
      <c r="AK220" s="9"/>
      <c r="AL220" s="12"/>
      <c r="AM220" s="12"/>
      <c r="AN220" s="12"/>
      <c r="AO220" s="12"/>
      <c r="AP220" s="12"/>
      <c r="AQ220" s="12"/>
      <c r="AR220" s="9"/>
      <c r="AS220" s="12"/>
      <c r="AT220" s="12"/>
      <c r="AU220" s="12"/>
      <c r="AV220" s="12"/>
      <c r="AW220" s="12"/>
      <c r="AX220" s="12"/>
      <c r="AY220" s="9"/>
      <c r="AZ220" s="12"/>
      <c r="BA220" s="12"/>
      <c r="BB220" s="9"/>
      <c r="BC220" s="12"/>
      <c r="BD220" s="12"/>
      <c r="BE220" s="12"/>
    </row>
    <row r="221" spans="1:57" ht="15.75" customHeight="1" x14ac:dyDescent="0.25">
      <c r="A221" s="1"/>
      <c r="B221" s="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10"/>
      <c r="AE221" s="9"/>
      <c r="AF221" s="9"/>
      <c r="AG221" s="12"/>
      <c r="AH221" s="12"/>
      <c r="AI221" s="12"/>
      <c r="AJ221" s="12"/>
      <c r="AK221" s="9"/>
      <c r="AL221" s="12"/>
      <c r="AM221" s="12"/>
      <c r="AN221" s="12"/>
      <c r="AO221" s="12"/>
      <c r="AP221" s="12"/>
      <c r="AQ221" s="12"/>
      <c r="AR221" s="9"/>
      <c r="AS221" s="12"/>
      <c r="AT221" s="12"/>
      <c r="AU221" s="12"/>
      <c r="AV221" s="12"/>
      <c r="AW221" s="12"/>
      <c r="AX221" s="12"/>
      <c r="AY221" s="9"/>
      <c r="AZ221" s="12"/>
      <c r="BA221" s="12"/>
      <c r="BB221" s="9"/>
      <c r="BC221" s="12"/>
      <c r="BD221" s="12"/>
      <c r="BE221" s="12"/>
    </row>
    <row r="222" spans="1:57" ht="15.75" customHeight="1" x14ac:dyDescent="0.25">
      <c r="A222" s="1"/>
      <c r="B222" s="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10"/>
      <c r="AE222" s="9"/>
      <c r="AF222" s="9"/>
      <c r="AG222" s="12"/>
      <c r="AH222" s="12"/>
      <c r="AI222" s="12"/>
      <c r="AJ222" s="12"/>
      <c r="AK222" s="9"/>
      <c r="AL222" s="12"/>
      <c r="AM222" s="12"/>
      <c r="AN222" s="12"/>
      <c r="AO222" s="12"/>
      <c r="AP222" s="12"/>
      <c r="AQ222" s="12"/>
      <c r="AR222" s="9"/>
      <c r="AS222" s="12"/>
      <c r="AT222" s="12"/>
      <c r="AU222" s="12"/>
      <c r="AV222" s="12"/>
      <c r="AW222" s="12"/>
      <c r="AX222" s="12"/>
      <c r="AY222" s="9"/>
      <c r="AZ222" s="12"/>
      <c r="BA222" s="12"/>
      <c r="BB222" s="9"/>
      <c r="BC222" s="12"/>
      <c r="BD222" s="12"/>
      <c r="BE222" s="12"/>
    </row>
    <row r="223" spans="1:57" ht="15.75" customHeight="1" x14ac:dyDescent="0.25">
      <c r="A223" s="1"/>
      <c r="B223" s="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10"/>
      <c r="AE223" s="9"/>
      <c r="AF223" s="9"/>
      <c r="AG223" s="12"/>
      <c r="AH223" s="12"/>
      <c r="AI223" s="12"/>
      <c r="AJ223" s="12"/>
      <c r="AK223" s="9"/>
      <c r="AL223" s="12"/>
      <c r="AM223" s="12"/>
      <c r="AN223" s="12"/>
      <c r="AO223" s="12"/>
      <c r="AP223" s="12"/>
      <c r="AQ223" s="12"/>
      <c r="AR223" s="9"/>
      <c r="AS223" s="12"/>
      <c r="AT223" s="12"/>
      <c r="AU223" s="12"/>
      <c r="AV223" s="12"/>
      <c r="AW223" s="12"/>
      <c r="AX223" s="12"/>
      <c r="AY223" s="9"/>
      <c r="AZ223" s="12"/>
      <c r="BA223" s="12"/>
      <c r="BB223" s="9"/>
      <c r="BC223" s="12"/>
      <c r="BD223" s="12"/>
      <c r="BE223" s="12"/>
    </row>
    <row r="224" spans="1:57" ht="15.75" customHeight="1" x14ac:dyDescent="0.25">
      <c r="A224" s="1"/>
      <c r="B224" s="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10"/>
      <c r="AE224" s="9"/>
      <c r="AF224" s="9"/>
      <c r="AG224" s="12"/>
      <c r="AH224" s="12"/>
      <c r="AI224" s="12"/>
      <c r="AJ224" s="12"/>
      <c r="AK224" s="9"/>
      <c r="AL224" s="12"/>
      <c r="AM224" s="12"/>
      <c r="AN224" s="12"/>
      <c r="AO224" s="12"/>
      <c r="AP224" s="12"/>
      <c r="AQ224" s="12"/>
      <c r="AR224" s="9"/>
      <c r="AS224" s="12"/>
      <c r="AT224" s="12"/>
      <c r="AU224" s="12"/>
      <c r="AV224" s="12"/>
      <c r="AW224" s="12"/>
      <c r="AX224" s="12"/>
      <c r="AY224" s="9"/>
      <c r="AZ224" s="12"/>
      <c r="BA224" s="12"/>
      <c r="BB224" s="9"/>
      <c r="BC224" s="12"/>
      <c r="BD224" s="12"/>
      <c r="BE224" s="12"/>
    </row>
    <row r="225" spans="1:57" ht="15.75" customHeight="1" x14ac:dyDescent="0.25">
      <c r="A225" s="1"/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10"/>
      <c r="AE225" s="9"/>
      <c r="AF225" s="9"/>
      <c r="AG225" s="12"/>
      <c r="AH225" s="12"/>
      <c r="AI225" s="12"/>
      <c r="AJ225" s="12"/>
      <c r="AK225" s="9"/>
      <c r="AL225" s="12"/>
      <c r="AM225" s="12"/>
      <c r="AN225" s="12"/>
      <c r="AO225" s="12"/>
      <c r="AP225" s="12"/>
      <c r="AQ225" s="12"/>
      <c r="AR225" s="9"/>
      <c r="AS225" s="12"/>
      <c r="AT225" s="12"/>
      <c r="AU225" s="12"/>
      <c r="AV225" s="12"/>
      <c r="AW225" s="12"/>
      <c r="AX225" s="12"/>
      <c r="AY225" s="9"/>
      <c r="AZ225" s="12"/>
      <c r="BA225" s="12"/>
      <c r="BB225" s="9"/>
      <c r="BC225" s="12"/>
      <c r="BD225" s="12"/>
      <c r="BE225" s="12"/>
    </row>
    <row r="226" spans="1:57" ht="15.75" customHeight="1" x14ac:dyDescent="0.25">
      <c r="A226" s="1"/>
      <c r="B226" s="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10"/>
      <c r="AE226" s="9"/>
      <c r="AF226" s="9"/>
      <c r="AG226" s="12"/>
      <c r="AH226" s="12"/>
      <c r="AI226" s="12"/>
      <c r="AJ226" s="12"/>
      <c r="AK226" s="9"/>
      <c r="AL226" s="12"/>
      <c r="AM226" s="12"/>
      <c r="AN226" s="12"/>
      <c r="AO226" s="12"/>
      <c r="AP226" s="12"/>
      <c r="AQ226" s="12"/>
      <c r="AR226" s="9"/>
      <c r="AS226" s="12"/>
      <c r="AT226" s="12"/>
      <c r="AU226" s="12"/>
      <c r="AV226" s="12"/>
      <c r="AW226" s="12"/>
      <c r="AX226" s="12"/>
      <c r="AY226" s="9"/>
      <c r="AZ226" s="12"/>
      <c r="BA226" s="12"/>
      <c r="BB226" s="9"/>
      <c r="BC226" s="12"/>
      <c r="BD226" s="12"/>
      <c r="BE226" s="12"/>
    </row>
    <row r="227" spans="1:57" ht="15.75" customHeight="1" x14ac:dyDescent="0.25">
      <c r="A227" s="1"/>
      <c r="B227" s="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10"/>
      <c r="AE227" s="9"/>
      <c r="AF227" s="9"/>
      <c r="AG227" s="12"/>
      <c r="AH227" s="12"/>
      <c r="AI227" s="12"/>
      <c r="AJ227" s="12"/>
      <c r="AK227" s="9"/>
      <c r="AL227" s="12"/>
      <c r="AM227" s="12"/>
      <c r="AN227" s="12"/>
      <c r="AO227" s="12"/>
      <c r="AP227" s="12"/>
      <c r="AQ227" s="12"/>
      <c r="AR227" s="9"/>
      <c r="AS227" s="12"/>
      <c r="AT227" s="12"/>
      <c r="AU227" s="12"/>
      <c r="AV227" s="12"/>
      <c r="AW227" s="12"/>
      <c r="AX227" s="12"/>
      <c r="AY227" s="9"/>
      <c r="AZ227" s="12"/>
      <c r="BA227" s="12"/>
      <c r="BB227" s="9"/>
      <c r="BC227" s="12"/>
      <c r="BD227" s="12"/>
      <c r="BE227" s="12"/>
    </row>
    <row r="228" spans="1:57" ht="15.75" customHeight="1" x14ac:dyDescent="0.25">
      <c r="A228" s="1"/>
      <c r="B228" s="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10"/>
      <c r="AE228" s="9"/>
      <c r="AF228" s="9"/>
      <c r="AG228" s="12"/>
      <c r="AH228" s="12"/>
      <c r="AI228" s="12"/>
      <c r="AJ228" s="12"/>
      <c r="AK228" s="9"/>
      <c r="AL228" s="12"/>
      <c r="AM228" s="12"/>
      <c r="AN228" s="12"/>
      <c r="AO228" s="12"/>
      <c r="AP228" s="12"/>
      <c r="AQ228" s="12"/>
      <c r="AR228" s="9"/>
      <c r="AS228" s="12"/>
      <c r="AT228" s="12"/>
      <c r="AU228" s="12"/>
      <c r="AV228" s="12"/>
      <c r="AW228" s="12"/>
      <c r="AX228" s="12"/>
      <c r="AY228" s="9"/>
      <c r="AZ228" s="12"/>
      <c r="BA228" s="12"/>
      <c r="BB228" s="9"/>
      <c r="BC228" s="12"/>
      <c r="BD228" s="12"/>
      <c r="BE228" s="12"/>
    </row>
    <row r="229" spans="1:57" ht="15.75" customHeight="1" x14ac:dyDescent="0.25">
      <c r="A229" s="1"/>
      <c r="B229" s="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10"/>
      <c r="AE229" s="9"/>
      <c r="AF229" s="9"/>
      <c r="AG229" s="12"/>
      <c r="AH229" s="12"/>
      <c r="AI229" s="12"/>
      <c r="AJ229" s="12"/>
      <c r="AK229" s="9"/>
      <c r="AL229" s="12"/>
      <c r="AM229" s="12"/>
      <c r="AN229" s="12"/>
      <c r="AO229" s="12"/>
      <c r="AP229" s="12"/>
      <c r="AQ229" s="12"/>
      <c r="AR229" s="9"/>
      <c r="AS229" s="12"/>
      <c r="AT229" s="12"/>
      <c r="AU229" s="12"/>
      <c r="AV229" s="12"/>
      <c r="AW229" s="12"/>
      <c r="AX229" s="12"/>
      <c r="AY229" s="9"/>
      <c r="AZ229" s="12"/>
      <c r="BA229" s="12"/>
      <c r="BB229" s="9"/>
      <c r="BC229" s="12"/>
      <c r="BD229" s="12"/>
      <c r="BE229" s="12"/>
    </row>
    <row r="230" spans="1:57" ht="15.75" customHeight="1" x14ac:dyDescent="0.25">
      <c r="A230" s="1"/>
      <c r="B230" s="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10"/>
      <c r="AE230" s="9"/>
      <c r="AF230" s="9"/>
      <c r="AG230" s="12"/>
      <c r="AH230" s="12"/>
      <c r="AI230" s="12"/>
      <c r="AJ230" s="12"/>
      <c r="AK230" s="9"/>
      <c r="AL230" s="12"/>
      <c r="AM230" s="12"/>
      <c r="AN230" s="12"/>
      <c r="AO230" s="12"/>
      <c r="AP230" s="12"/>
      <c r="AQ230" s="12"/>
      <c r="AR230" s="9"/>
      <c r="AS230" s="12"/>
      <c r="AT230" s="12"/>
      <c r="AU230" s="12"/>
      <c r="AV230" s="12"/>
      <c r="AW230" s="12"/>
      <c r="AX230" s="12"/>
      <c r="AY230" s="9"/>
      <c r="AZ230" s="12"/>
      <c r="BA230" s="12"/>
      <c r="BB230" s="9"/>
      <c r="BC230" s="12"/>
      <c r="BD230" s="12"/>
      <c r="BE230" s="12"/>
    </row>
    <row r="231" spans="1:57" ht="15.75" customHeight="1" x14ac:dyDescent="0.25">
      <c r="A231" s="1"/>
      <c r="B231" s="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10"/>
      <c r="AE231" s="9"/>
      <c r="AF231" s="9"/>
      <c r="AG231" s="12"/>
      <c r="AH231" s="12"/>
      <c r="AI231" s="12"/>
      <c r="AJ231" s="12"/>
      <c r="AK231" s="9"/>
      <c r="AL231" s="12"/>
      <c r="AM231" s="12"/>
      <c r="AN231" s="12"/>
      <c r="AO231" s="12"/>
      <c r="AP231" s="12"/>
      <c r="AQ231" s="12"/>
      <c r="AR231" s="9"/>
      <c r="AS231" s="12"/>
      <c r="AT231" s="12"/>
      <c r="AU231" s="12"/>
      <c r="AV231" s="12"/>
      <c r="AW231" s="12"/>
      <c r="AX231" s="12"/>
      <c r="AY231" s="9"/>
      <c r="AZ231" s="12"/>
      <c r="BA231" s="12"/>
      <c r="BB231" s="9"/>
      <c r="BC231" s="12"/>
      <c r="BD231" s="12"/>
      <c r="BE231" s="12"/>
    </row>
    <row r="232" spans="1:57" ht="15.75" customHeight="1" x14ac:dyDescent="0.25">
      <c r="A232" s="1"/>
      <c r="B232" s="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10"/>
      <c r="AE232" s="9"/>
      <c r="AF232" s="9"/>
      <c r="AG232" s="12"/>
      <c r="AH232" s="12"/>
      <c r="AI232" s="12"/>
      <c r="AJ232" s="12"/>
      <c r="AK232" s="9"/>
      <c r="AL232" s="12"/>
      <c r="AM232" s="12"/>
      <c r="AN232" s="12"/>
      <c r="AO232" s="12"/>
      <c r="AP232" s="12"/>
      <c r="AQ232" s="12"/>
      <c r="AR232" s="9"/>
      <c r="AS232" s="12"/>
      <c r="AT232" s="12"/>
      <c r="AU232" s="12"/>
      <c r="AV232" s="12"/>
      <c r="AW232" s="12"/>
      <c r="AX232" s="12"/>
      <c r="AY232" s="9"/>
      <c r="AZ232" s="12"/>
      <c r="BA232" s="12"/>
      <c r="BB232" s="9"/>
      <c r="BC232" s="12"/>
      <c r="BD232" s="12"/>
      <c r="BE232" s="12"/>
    </row>
    <row r="233" spans="1:57" ht="15.75" customHeight="1" x14ac:dyDescent="0.25">
      <c r="A233" s="1"/>
      <c r="B233" s="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10"/>
      <c r="AE233" s="9"/>
      <c r="AF233" s="9"/>
      <c r="AG233" s="12"/>
      <c r="AH233" s="12"/>
      <c r="AI233" s="12"/>
      <c r="AJ233" s="12"/>
      <c r="AK233" s="9"/>
      <c r="AL233" s="12"/>
      <c r="AM233" s="12"/>
      <c r="AN233" s="12"/>
      <c r="AO233" s="12"/>
      <c r="AP233" s="12"/>
      <c r="AQ233" s="12"/>
      <c r="AR233" s="9"/>
      <c r="AS233" s="12"/>
      <c r="AT233" s="12"/>
      <c r="AU233" s="12"/>
      <c r="AV233" s="12"/>
      <c r="AW233" s="12"/>
      <c r="AX233" s="12"/>
      <c r="AY233" s="9"/>
      <c r="AZ233" s="12"/>
      <c r="BA233" s="12"/>
      <c r="BB233" s="9"/>
      <c r="BC233" s="12"/>
      <c r="BD233" s="12"/>
      <c r="BE233" s="12"/>
    </row>
    <row r="234" spans="1:57" ht="15.75" customHeight="1" x14ac:dyDescent="0.25">
      <c r="A234" s="1"/>
      <c r="B234" s="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10"/>
      <c r="AE234" s="9"/>
      <c r="AF234" s="9"/>
      <c r="AG234" s="12"/>
      <c r="AH234" s="12"/>
      <c r="AI234" s="12"/>
      <c r="AJ234" s="12"/>
      <c r="AK234" s="9"/>
      <c r="AL234" s="12"/>
      <c r="AM234" s="12"/>
      <c r="AN234" s="12"/>
      <c r="AO234" s="12"/>
      <c r="AP234" s="12"/>
      <c r="AQ234" s="12"/>
      <c r="AR234" s="9"/>
      <c r="AS234" s="12"/>
      <c r="AT234" s="12"/>
      <c r="AU234" s="12"/>
      <c r="AV234" s="12"/>
      <c r="AW234" s="12"/>
      <c r="AX234" s="12"/>
      <c r="AY234" s="9"/>
      <c r="AZ234" s="12"/>
      <c r="BA234" s="12"/>
      <c r="BB234" s="9"/>
      <c r="BC234" s="12"/>
      <c r="BD234" s="12"/>
      <c r="BE234" s="12"/>
    </row>
    <row r="235" spans="1:57" ht="15.75" customHeight="1" x14ac:dyDescent="0.25">
      <c r="A235" s="1"/>
      <c r="B235" s="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10"/>
      <c r="AE235" s="9"/>
      <c r="AF235" s="9"/>
      <c r="AG235" s="12"/>
      <c r="AH235" s="12"/>
      <c r="AI235" s="12"/>
      <c r="AJ235" s="12"/>
      <c r="AK235" s="9"/>
      <c r="AL235" s="12"/>
      <c r="AM235" s="12"/>
      <c r="AN235" s="12"/>
      <c r="AO235" s="12"/>
      <c r="AP235" s="12"/>
      <c r="AQ235" s="12"/>
      <c r="AR235" s="9"/>
      <c r="AS235" s="12"/>
      <c r="AT235" s="12"/>
      <c r="AU235" s="12"/>
      <c r="AV235" s="12"/>
      <c r="AW235" s="12"/>
      <c r="AX235" s="12"/>
      <c r="AY235" s="9"/>
      <c r="AZ235" s="12"/>
      <c r="BA235" s="12"/>
      <c r="BB235" s="9"/>
      <c r="BC235" s="12"/>
      <c r="BD235" s="12"/>
      <c r="BE235" s="12"/>
    </row>
    <row r="236" spans="1:57" ht="15.75" customHeight="1" x14ac:dyDescent="0.25">
      <c r="A236" s="1"/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10"/>
      <c r="AE236" s="9"/>
      <c r="AF236" s="9"/>
      <c r="AG236" s="12"/>
      <c r="AH236" s="12"/>
      <c r="AI236" s="12"/>
      <c r="AJ236" s="12"/>
      <c r="AK236" s="9"/>
      <c r="AL236" s="12"/>
      <c r="AM236" s="12"/>
      <c r="AN236" s="12"/>
      <c r="AO236" s="12"/>
      <c r="AP236" s="12"/>
      <c r="AQ236" s="12"/>
      <c r="AR236" s="9"/>
      <c r="AS236" s="12"/>
      <c r="AT236" s="12"/>
      <c r="AU236" s="12"/>
      <c r="AV236" s="12"/>
      <c r="AW236" s="12"/>
      <c r="AX236" s="12"/>
      <c r="AY236" s="9"/>
      <c r="AZ236" s="12"/>
      <c r="BA236" s="12"/>
      <c r="BB236" s="9"/>
      <c r="BC236" s="12"/>
      <c r="BD236" s="12"/>
      <c r="BE236" s="12"/>
    </row>
    <row r="237" spans="1:57" ht="15.75" customHeight="1" x14ac:dyDescent="0.25">
      <c r="A237" s="1"/>
      <c r="B237" s="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10"/>
      <c r="AE237" s="9"/>
      <c r="AF237" s="9"/>
      <c r="AG237" s="12"/>
      <c r="AH237" s="12"/>
      <c r="AI237" s="12"/>
      <c r="AJ237" s="12"/>
      <c r="AK237" s="9"/>
      <c r="AL237" s="12"/>
      <c r="AM237" s="12"/>
      <c r="AN237" s="12"/>
      <c r="AO237" s="12"/>
      <c r="AP237" s="12"/>
      <c r="AQ237" s="12"/>
      <c r="AR237" s="9"/>
      <c r="AS237" s="12"/>
      <c r="AT237" s="12"/>
      <c r="AU237" s="12"/>
      <c r="AV237" s="12"/>
      <c r="AW237" s="12"/>
      <c r="AX237" s="12"/>
      <c r="AY237" s="9"/>
      <c r="AZ237" s="12"/>
      <c r="BA237" s="12"/>
      <c r="BB237" s="9"/>
      <c r="BC237" s="12"/>
      <c r="BD237" s="12"/>
      <c r="BE237" s="12"/>
    </row>
    <row r="238" spans="1:57" ht="15.75" customHeight="1" x14ac:dyDescent="0.25">
      <c r="A238" s="1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10"/>
      <c r="AE238" s="9"/>
      <c r="AF238" s="9"/>
      <c r="AG238" s="12"/>
      <c r="AH238" s="12"/>
      <c r="AI238" s="12"/>
      <c r="AJ238" s="12"/>
      <c r="AK238" s="9"/>
      <c r="AL238" s="12"/>
      <c r="AM238" s="12"/>
      <c r="AN238" s="12"/>
      <c r="AO238" s="12"/>
      <c r="AP238" s="12"/>
      <c r="AQ238" s="12"/>
      <c r="AR238" s="9"/>
      <c r="AS238" s="12"/>
      <c r="AT238" s="12"/>
      <c r="AU238" s="12"/>
      <c r="AV238" s="12"/>
      <c r="AW238" s="12"/>
      <c r="AX238" s="12"/>
      <c r="AY238" s="9"/>
      <c r="AZ238" s="12"/>
      <c r="BA238" s="12"/>
      <c r="BB238" s="9"/>
      <c r="BC238" s="12"/>
      <c r="BD238" s="12"/>
      <c r="BE238" s="12"/>
    </row>
    <row r="239" spans="1:57" ht="15.75" customHeight="1" x14ac:dyDescent="0.25">
      <c r="A239" s="1"/>
      <c r="B239" s="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10"/>
      <c r="AE239" s="9"/>
      <c r="AF239" s="9"/>
      <c r="AG239" s="12"/>
      <c r="AH239" s="12"/>
      <c r="AI239" s="12"/>
      <c r="AJ239" s="12"/>
      <c r="AK239" s="9"/>
      <c r="AL239" s="12"/>
      <c r="AM239" s="12"/>
      <c r="AN239" s="12"/>
      <c r="AO239" s="12"/>
      <c r="AP239" s="12"/>
      <c r="AQ239" s="12"/>
      <c r="AR239" s="9"/>
      <c r="AS239" s="12"/>
      <c r="AT239" s="12"/>
      <c r="AU239" s="12"/>
      <c r="AV239" s="12"/>
      <c r="AW239" s="12"/>
      <c r="AX239" s="12"/>
      <c r="AY239" s="9"/>
      <c r="AZ239" s="12"/>
      <c r="BA239" s="12"/>
      <c r="BB239" s="9"/>
      <c r="BC239" s="12"/>
      <c r="BD239" s="12"/>
      <c r="BE239" s="12"/>
    </row>
    <row r="240" spans="1:57" ht="15.75" customHeight="1" x14ac:dyDescent="0.25">
      <c r="A240" s="1"/>
      <c r="B240" s="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10"/>
      <c r="AE240" s="9"/>
      <c r="AF240" s="9"/>
      <c r="AG240" s="12"/>
      <c r="AH240" s="12"/>
      <c r="AI240" s="12"/>
      <c r="AJ240" s="12"/>
      <c r="AK240" s="9"/>
      <c r="AL240" s="12"/>
      <c r="AM240" s="12"/>
      <c r="AN240" s="12"/>
      <c r="AO240" s="12"/>
      <c r="AP240" s="12"/>
      <c r="AQ240" s="12"/>
      <c r="AR240" s="9"/>
      <c r="AS240" s="12"/>
      <c r="AT240" s="12"/>
      <c r="AU240" s="12"/>
      <c r="AV240" s="12"/>
      <c r="AW240" s="12"/>
      <c r="AX240" s="12"/>
      <c r="AY240" s="9"/>
      <c r="AZ240" s="12"/>
      <c r="BA240" s="12"/>
      <c r="BB240" s="9"/>
      <c r="BC240" s="12"/>
      <c r="BD240" s="12"/>
      <c r="BE240" s="12"/>
    </row>
    <row r="241" spans="1:57" ht="15.75" customHeight="1" x14ac:dyDescent="0.25">
      <c r="A241" s="1"/>
      <c r="B241" s="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10"/>
      <c r="AE241" s="9"/>
      <c r="AF241" s="9"/>
      <c r="AG241" s="12"/>
      <c r="AH241" s="12"/>
      <c r="AI241" s="12"/>
      <c r="AJ241" s="12"/>
      <c r="AK241" s="9"/>
      <c r="AL241" s="12"/>
      <c r="AM241" s="12"/>
      <c r="AN241" s="12"/>
      <c r="AO241" s="12"/>
      <c r="AP241" s="12"/>
      <c r="AQ241" s="12"/>
      <c r="AR241" s="9"/>
      <c r="AS241" s="12"/>
      <c r="AT241" s="12"/>
      <c r="AU241" s="12"/>
      <c r="AV241" s="12"/>
      <c r="AW241" s="12"/>
      <c r="AX241" s="12"/>
      <c r="AY241" s="9"/>
      <c r="AZ241" s="12"/>
      <c r="BA241" s="12"/>
      <c r="BB241" s="9"/>
      <c r="BC241" s="12"/>
      <c r="BD241" s="12"/>
      <c r="BE241" s="12"/>
    </row>
    <row r="242" spans="1:57" ht="15.75" customHeight="1" x14ac:dyDescent="0.25">
      <c r="A242" s="1"/>
      <c r="B242" s="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10"/>
      <c r="AE242" s="9"/>
      <c r="AF242" s="9"/>
      <c r="AG242" s="12"/>
      <c r="AH242" s="12"/>
      <c r="AI242" s="12"/>
      <c r="AJ242" s="12"/>
      <c r="AK242" s="9"/>
      <c r="AL242" s="12"/>
      <c r="AM242" s="12"/>
      <c r="AN242" s="12"/>
      <c r="AO242" s="12"/>
      <c r="AP242" s="12"/>
      <c r="AQ242" s="12"/>
      <c r="AR242" s="9"/>
      <c r="AS242" s="12"/>
      <c r="AT242" s="12"/>
      <c r="AU242" s="12"/>
      <c r="AV242" s="12"/>
      <c r="AW242" s="12"/>
      <c r="AX242" s="12"/>
      <c r="AY242" s="9"/>
      <c r="AZ242" s="12"/>
      <c r="BA242" s="12"/>
      <c r="BB242" s="9"/>
      <c r="BC242" s="12"/>
      <c r="BD242" s="12"/>
      <c r="BE242" s="12"/>
    </row>
    <row r="243" spans="1:57" ht="15.75" customHeight="1" x14ac:dyDescent="0.25">
      <c r="A243" s="1"/>
      <c r="B243" s="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10"/>
      <c r="AE243" s="9"/>
      <c r="AF243" s="9"/>
      <c r="AG243" s="12"/>
      <c r="AH243" s="12"/>
      <c r="AI243" s="12"/>
      <c r="AJ243" s="12"/>
      <c r="AK243" s="9"/>
      <c r="AL243" s="12"/>
      <c r="AM243" s="12"/>
      <c r="AN243" s="12"/>
      <c r="AO243" s="12"/>
      <c r="AP243" s="12"/>
      <c r="AQ243" s="12"/>
      <c r="AR243" s="9"/>
      <c r="AS243" s="12"/>
      <c r="AT243" s="12"/>
      <c r="AU243" s="12"/>
      <c r="AV243" s="12"/>
      <c r="AW243" s="12"/>
      <c r="AX243" s="12"/>
      <c r="AY243" s="9"/>
      <c r="AZ243" s="12"/>
      <c r="BA243" s="12"/>
      <c r="BB243" s="9"/>
      <c r="BC243" s="12"/>
      <c r="BD243" s="12"/>
      <c r="BE243" s="12"/>
    </row>
    <row r="244" spans="1:57" ht="15.75" customHeight="1" x14ac:dyDescent="0.25">
      <c r="A244" s="1"/>
      <c r="B244" s="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10"/>
      <c r="AE244" s="9"/>
      <c r="AF244" s="9"/>
      <c r="AG244" s="12"/>
      <c r="AH244" s="12"/>
      <c r="AI244" s="12"/>
      <c r="AJ244" s="12"/>
      <c r="AK244" s="9"/>
      <c r="AL244" s="12"/>
      <c r="AM244" s="12"/>
      <c r="AN244" s="12"/>
      <c r="AO244" s="12"/>
      <c r="AP244" s="12"/>
      <c r="AQ244" s="12"/>
      <c r="AR244" s="9"/>
      <c r="AS244" s="12"/>
      <c r="AT244" s="12"/>
      <c r="AU244" s="12"/>
      <c r="AV244" s="12"/>
      <c r="AW244" s="12"/>
      <c r="AX244" s="12"/>
      <c r="AY244" s="9"/>
      <c r="AZ244" s="12"/>
      <c r="BA244" s="12"/>
      <c r="BB244" s="9"/>
      <c r="BC244" s="12"/>
      <c r="BD244" s="12"/>
      <c r="BE244" s="12"/>
    </row>
    <row r="245" spans="1:57" ht="15.75" customHeight="1" x14ac:dyDescent="0.25">
      <c r="A245" s="1"/>
      <c r="B245" s="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10"/>
      <c r="AE245" s="9"/>
      <c r="AF245" s="9"/>
      <c r="AG245" s="12"/>
      <c r="AH245" s="12"/>
      <c r="AI245" s="12"/>
      <c r="AJ245" s="12"/>
      <c r="AK245" s="9"/>
      <c r="AL245" s="12"/>
      <c r="AM245" s="12"/>
      <c r="AN245" s="12"/>
      <c r="AO245" s="12"/>
      <c r="AP245" s="12"/>
      <c r="AQ245" s="12"/>
      <c r="AR245" s="9"/>
      <c r="AS245" s="12"/>
      <c r="AT245" s="12"/>
      <c r="AU245" s="12"/>
      <c r="AV245" s="12"/>
      <c r="AW245" s="12"/>
      <c r="AX245" s="12"/>
      <c r="AY245" s="9"/>
      <c r="AZ245" s="12"/>
      <c r="BA245" s="12"/>
      <c r="BB245" s="9"/>
      <c r="BC245" s="12"/>
      <c r="BD245" s="12"/>
      <c r="BE245" s="12"/>
    </row>
    <row r="246" spans="1:57" ht="15.75" customHeight="1" x14ac:dyDescent="0.25">
      <c r="A246" s="1"/>
      <c r="B246" s="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10"/>
      <c r="AE246" s="9"/>
      <c r="AF246" s="9"/>
      <c r="AG246" s="12"/>
      <c r="AH246" s="12"/>
      <c r="AI246" s="12"/>
      <c r="AJ246" s="12"/>
      <c r="AK246" s="9"/>
      <c r="AL246" s="12"/>
      <c r="AM246" s="12"/>
      <c r="AN246" s="12"/>
      <c r="AO246" s="12"/>
      <c r="AP246" s="12"/>
      <c r="AQ246" s="12"/>
      <c r="AR246" s="9"/>
      <c r="AS246" s="12"/>
      <c r="AT246" s="12"/>
      <c r="AU246" s="12"/>
      <c r="AV246" s="12"/>
      <c r="AW246" s="12"/>
      <c r="AX246" s="12"/>
      <c r="AY246" s="9"/>
      <c r="AZ246" s="12"/>
      <c r="BA246" s="12"/>
      <c r="BB246" s="9"/>
      <c r="BC246" s="12"/>
      <c r="BD246" s="12"/>
      <c r="BE246" s="12"/>
    </row>
    <row r="247" spans="1:57" ht="15.75" customHeight="1" x14ac:dyDescent="0.25">
      <c r="A247" s="1"/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10"/>
      <c r="AE247" s="9"/>
      <c r="AF247" s="9"/>
      <c r="AG247" s="12"/>
      <c r="AH247" s="12"/>
      <c r="AI247" s="12"/>
      <c r="AJ247" s="12"/>
      <c r="AK247" s="9"/>
      <c r="AL247" s="12"/>
      <c r="AM247" s="12"/>
      <c r="AN247" s="12"/>
      <c r="AO247" s="12"/>
      <c r="AP247" s="12"/>
      <c r="AQ247" s="12"/>
      <c r="AR247" s="9"/>
      <c r="AS247" s="12"/>
      <c r="AT247" s="12"/>
      <c r="AU247" s="12"/>
      <c r="AV247" s="12"/>
      <c r="AW247" s="12"/>
      <c r="AX247" s="12"/>
      <c r="AY247" s="9"/>
      <c r="AZ247" s="12"/>
      <c r="BA247" s="12"/>
      <c r="BB247" s="9"/>
      <c r="BC247" s="12"/>
      <c r="BD247" s="12"/>
      <c r="BE247" s="12"/>
    </row>
    <row r="248" spans="1:57" ht="15.75" customHeight="1" x14ac:dyDescent="0.25">
      <c r="A248" s="1"/>
      <c r="B248" s="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10"/>
      <c r="AE248" s="9"/>
      <c r="AF248" s="9"/>
      <c r="AG248" s="12"/>
      <c r="AH248" s="12"/>
      <c r="AI248" s="12"/>
      <c r="AJ248" s="12"/>
      <c r="AK248" s="9"/>
      <c r="AL248" s="12"/>
      <c r="AM248" s="12"/>
      <c r="AN248" s="12"/>
      <c r="AO248" s="12"/>
      <c r="AP248" s="12"/>
      <c r="AQ248" s="12"/>
      <c r="AR248" s="9"/>
      <c r="AS248" s="12"/>
      <c r="AT248" s="12"/>
      <c r="AU248" s="12"/>
      <c r="AV248" s="12"/>
      <c r="AW248" s="12"/>
      <c r="AX248" s="12"/>
      <c r="AY248" s="9"/>
      <c r="AZ248" s="12"/>
      <c r="BA248" s="12"/>
      <c r="BB248" s="9"/>
      <c r="BC248" s="12"/>
      <c r="BD248" s="12"/>
      <c r="BE248" s="12"/>
    </row>
    <row r="249" spans="1:57" ht="15.75" customHeight="1" x14ac:dyDescent="0.25">
      <c r="A249" s="1"/>
      <c r="B249" s="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10"/>
      <c r="AE249" s="9"/>
      <c r="AF249" s="9"/>
      <c r="AG249" s="12"/>
      <c r="AH249" s="12"/>
      <c r="AI249" s="12"/>
      <c r="AJ249" s="12"/>
      <c r="AK249" s="9"/>
      <c r="AL249" s="12"/>
      <c r="AM249" s="12"/>
      <c r="AN249" s="12"/>
      <c r="AO249" s="12"/>
      <c r="AP249" s="12"/>
      <c r="AQ249" s="12"/>
      <c r="AR249" s="9"/>
      <c r="AS249" s="12"/>
      <c r="AT249" s="12"/>
      <c r="AU249" s="12"/>
      <c r="AV249" s="12"/>
      <c r="AW249" s="12"/>
      <c r="AX249" s="12"/>
      <c r="AY249" s="9"/>
      <c r="AZ249" s="12"/>
      <c r="BA249" s="12"/>
      <c r="BB249" s="9"/>
      <c r="BC249" s="12"/>
      <c r="BD249" s="12"/>
      <c r="BE249" s="12"/>
    </row>
    <row r="250" spans="1:57" ht="15.75" customHeight="1" x14ac:dyDescent="0.25">
      <c r="A250" s="1"/>
      <c r="B250" s="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10"/>
      <c r="AE250" s="9"/>
      <c r="AF250" s="9"/>
      <c r="AG250" s="12"/>
      <c r="AH250" s="12"/>
      <c r="AI250" s="12"/>
      <c r="AJ250" s="12"/>
      <c r="AK250" s="9"/>
      <c r="AL250" s="12"/>
      <c r="AM250" s="12"/>
      <c r="AN250" s="12"/>
      <c r="AO250" s="12"/>
      <c r="AP250" s="12"/>
      <c r="AQ250" s="12"/>
      <c r="AR250" s="9"/>
      <c r="AS250" s="12"/>
      <c r="AT250" s="12"/>
      <c r="AU250" s="12"/>
      <c r="AV250" s="12"/>
      <c r="AW250" s="12"/>
      <c r="AX250" s="12"/>
      <c r="AY250" s="9"/>
      <c r="AZ250" s="12"/>
      <c r="BA250" s="12"/>
      <c r="BB250" s="9"/>
      <c r="BC250" s="12"/>
      <c r="BD250" s="12"/>
      <c r="BE250" s="12"/>
    </row>
    <row r="251" spans="1:57" ht="15.75" customHeight="1" x14ac:dyDescent="0.25">
      <c r="A251" s="1"/>
      <c r="B251" s="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10"/>
      <c r="AE251" s="9"/>
      <c r="AF251" s="9"/>
      <c r="AG251" s="12"/>
      <c r="AH251" s="12"/>
      <c r="AI251" s="12"/>
      <c r="AJ251" s="12"/>
      <c r="AK251" s="9"/>
      <c r="AL251" s="12"/>
      <c r="AM251" s="12"/>
      <c r="AN251" s="12"/>
      <c r="AO251" s="12"/>
      <c r="AP251" s="12"/>
      <c r="AQ251" s="12"/>
      <c r="AR251" s="9"/>
      <c r="AS251" s="12"/>
      <c r="AT251" s="12"/>
      <c r="AU251" s="12"/>
      <c r="AV251" s="12"/>
      <c r="AW251" s="12"/>
      <c r="AX251" s="12"/>
      <c r="AY251" s="9"/>
      <c r="AZ251" s="12"/>
      <c r="BA251" s="12"/>
      <c r="BB251" s="9"/>
      <c r="BC251" s="12"/>
      <c r="BD251" s="12"/>
      <c r="BE251" s="12"/>
    </row>
    <row r="252" spans="1:57" ht="15.75" customHeight="1" x14ac:dyDescent="0.25">
      <c r="A252" s="1"/>
      <c r="B252" s="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10"/>
      <c r="AE252" s="9"/>
      <c r="AF252" s="9"/>
      <c r="AG252" s="12"/>
      <c r="AH252" s="12"/>
      <c r="AI252" s="12"/>
      <c r="AJ252" s="12"/>
      <c r="AK252" s="9"/>
      <c r="AL252" s="12"/>
      <c r="AM252" s="12"/>
      <c r="AN252" s="12"/>
      <c r="AO252" s="12"/>
      <c r="AP252" s="12"/>
      <c r="AQ252" s="12"/>
      <c r="AR252" s="9"/>
      <c r="AS252" s="12"/>
      <c r="AT252" s="12"/>
      <c r="AU252" s="12"/>
      <c r="AV252" s="12"/>
      <c r="AW252" s="12"/>
      <c r="AX252" s="12"/>
      <c r="AY252" s="9"/>
      <c r="AZ252" s="12"/>
      <c r="BA252" s="12"/>
      <c r="BB252" s="9"/>
      <c r="BC252" s="12"/>
      <c r="BD252" s="12"/>
      <c r="BE252" s="12"/>
    </row>
    <row r="253" spans="1:57" ht="15.75" customHeight="1" x14ac:dyDescent="0.25">
      <c r="A253" s="1"/>
      <c r="B253" s="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10"/>
      <c r="AE253" s="9"/>
      <c r="AF253" s="9"/>
      <c r="AG253" s="12"/>
      <c r="AH253" s="12"/>
      <c r="AI253" s="12"/>
      <c r="AJ253" s="12"/>
      <c r="AK253" s="9"/>
      <c r="AL253" s="12"/>
      <c r="AM253" s="12"/>
      <c r="AN253" s="12"/>
      <c r="AO253" s="12"/>
      <c r="AP253" s="12"/>
      <c r="AQ253" s="12"/>
      <c r="AR253" s="9"/>
      <c r="AS253" s="12"/>
      <c r="AT253" s="12"/>
      <c r="AU253" s="12"/>
      <c r="AV253" s="12"/>
      <c r="AW253" s="12"/>
      <c r="AX253" s="12"/>
      <c r="AY253" s="9"/>
      <c r="AZ253" s="12"/>
      <c r="BA253" s="12"/>
      <c r="BB253" s="9"/>
      <c r="BC253" s="12"/>
      <c r="BD253" s="12"/>
      <c r="BE253" s="12"/>
    </row>
    <row r="254" spans="1:57" ht="15.75" customHeight="1" x14ac:dyDescent="0.25">
      <c r="A254" s="1"/>
      <c r="B254" s="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10"/>
      <c r="AE254" s="9"/>
      <c r="AF254" s="9"/>
      <c r="AG254" s="12"/>
      <c r="AH254" s="12"/>
      <c r="AI254" s="12"/>
      <c r="AJ254" s="12"/>
      <c r="AK254" s="9"/>
      <c r="AL254" s="12"/>
      <c r="AM254" s="12"/>
      <c r="AN254" s="12"/>
      <c r="AO254" s="12"/>
      <c r="AP254" s="12"/>
      <c r="AQ254" s="12"/>
      <c r="AR254" s="9"/>
      <c r="AS254" s="12"/>
      <c r="AT254" s="12"/>
      <c r="AU254" s="12"/>
      <c r="AV254" s="12"/>
      <c r="AW254" s="12"/>
      <c r="AX254" s="12"/>
      <c r="AY254" s="9"/>
      <c r="AZ254" s="12"/>
      <c r="BA254" s="12"/>
      <c r="BB254" s="9"/>
      <c r="BC254" s="12"/>
      <c r="BD254" s="12"/>
      <c r="BE254" s="12"/>
    </row>
    <row r="255" spans="1:57" ht="15.75" customHeight="1" x14ac:dyDescent="0.25">
      <c r="A255" s="1"/>
      <c r="B255" s="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10"/>
      <c r="AE255" s="9"/>
      <c r="AF255" s="9"/>
      <c r="AG255" s="12"/>
      <c r="AH255" s="12"/>
      <c r="AI255" s="12"/>
      <c r="AJ255" s="12"/>
      <c r="AK255" s="9"/>
      <c r="AL255" s="12"/>
      <c r="AM255" s="12"/>
      <c r="AN255" s="12"/>
      <c r="AO255" s="12"/>
      <c r="AP255" s="12"/>
      <c r="AQ255" s="12"/>
      <c r="AR255" s="9"/>
      <c r="AS255" s="12"/>
      <c r="AT255" s="12"/>
      <c r="AU255" s="12"/>
      <c r="AV255" s="12"/>
      <c r="AW255" s="12"/>
      <c r="AX255" s="12"/>
      <c r="AY255" s="9"/>
      <c r="AZ255" s="12"/>
      <c r="BA255" s="12"/>
      <c r="BB255" s="9"/>
      <c r="BC255" s="12"/>
      <c r="BD255" s="12"/>
      <c r="BE255" s="12"/>
    </row>
    <row r="256" spans="1:57" ht="15.75" customHeight="1" x14ac:dyDescent="0.25">
      <c r="A256" s="1"/>
      <c r="B256" s="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10"/>
      <c r="AE256" s="9"/>
      <c r="AF256" s="9"/>
      <c r="AG256" s="12"/>
      <c r="AH256" s="12"/>
      <c r="AI256" s="12"/>
      <c r="AJ256" s="12"/>
      <c r="AK256" s="9"/>
      <c r="AL256" s="12"/>
      <c r="AM256" s="12"/>
      <c r="AN256" s="12"/>
      <c r="AO256" s="12"/>
      <c r="AP256" s="12"/>
      <c r="AQ256" s="12"/>
      <c r="AR256" s="9"/>
      <c r="AS256" s="12"/>
      <c r="AT256" s="12"/>
      <c r="AU256" s="12"/>
      <c r="AV256" s="12"/>
      <c r="AW256" s="12"/>
      <c r="AX256" s="12"/>
      <c r="AY256" s="9"/>
      <c r="AZ256" s="12"/>
      <c r="BA256" s="12"/>
      <c r="BB256" s="9"/>
      <c r="BC256" s="12"/>
      <c r="BD256" s="12"/>
      <c r="BE256" s="12"/>
    </row>
    <row r="257" spans="1:57" ht="15.75" customHeight="1" x14ac:dyDescent="0.25">
      <c r="A257" s="1"/>
      <c r="B257" s="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10"/>
      <c r="AE257" s="9"/>
      <c r="AF257" s="9"/>
      <c r="AG257" s="12"/>
      <c r="AH257" s="12"/>
      <c r="AI257" s="12"/>
      <c r="AJ257" s="12"/>
      <c r="AK257" s="9"/>
      <c r="AL257" s="12"/>
      <c r="AM257" s="12"/>
      <c r="AN257" s="12"/>
      <c r="AO257" s="12"/>
      <c r="AP257" s="12"/>
      <c r="AQ257" s="12"/>
      <c r="AR257" s="9"/>
      <c r="AS257" s="12"/>
      <c r="AT257" s="12"/>
      <c r="AU257" s="12"/>
      <c r="AV257" s="12"/>
      <c r="AW257" s="12"/>
      <c r="AX257" s="12"/>
      <c r="AY257" s="9"/>
      <c r="AZ257" s="12"/>
      <c r="BA257" s="12"/>
      <c r="BB257" s="9"/>
      <c r="BC257" s="12"/>
      <c r="BD257" s="12"/>
      <c r="BE257" s="12"/>
    </row>
    <row r="258" spans="1:57" ht="15.75" customHeight="1" x14ac:dyDescent="0.25">
      <c r="A258" s="1"/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10"/>
      <c r="AE258" s="9"/>
      <c r="AF258" s="9"/>
      <c r="AG258" s="12"/>
      <c r="AH258" s="12"/>
      <c r="AI258" s="12"/>
      <c r="AJ258" s="12"/>
      <c r="AK258" s="9"/>
      <c r="AL258" s="12"/>
      <c r="AM258" s="12"/>
      <c r="AN258" s="12"/>
      <c r="AO258" s="12"/>
      <c r="AP258" s="12"/>
      <c r="AQ258" s="12"/>
      <c r="AR258" s="9"/>
      <c r="AS258" s="12"/>
      <c r="AT258" s="12"/>
      <c r="AU258" s="12"/>
      <c r="AV258" s="12"/>
      <c r="AW258" s="12"/>
      <c r="AX258" s="12"/>
      <c r="AY258" s="9"/>
      <c r="AZ258" s="12"/>
      <c r="BA258" s="12"/>
      <c r="BB258" s="9"/>
      <c r="BC258" s="12"/>
      <c r="BD258" s="12"/>
      <c r="BE258" s="12"/>
    </row>
    <row r="259" spans="1:57" ht="15.75" customHeight="1" x14ac:dyDescent="0.25">
      <c r="A259" s="1"/>
      <c r="B259" s="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10"/>
      <c r="AE259" s="9"/>
      <c r="AF259" s="9"/>
      <c r="AG259" s="12"/>
      <c r="AH259" s="12"/>
      <c r="AI259" s="12"/>
      <c r="AJ259" s="12"/>
      <c r="AK259" s="9"/>
      <c r="AL259" s="12"/>
      <c r="AM259" s="12"/>
      <c r="AN259" s="12"/>
      <c r="AO259" s="12"/>
      <c r="AP259" s="12"/>
      <c r="AQ259" s="12"/>
      <c r="AR259" s="9"/>
      <c r="AS259" s="12"/>
      <c r="AT259" s="12"/>
      <c r="AU259" s="12"/>
      <c r="AV259" s="12"/>
      <c r="AW259" s="12"/>
      <c r="AX259" s="12"/>
      <c r="AY259" s="9"/>
      <c r="AZ259" s="12"/>
      <c r="BA259" s="12"/>
      <c r="BB259" s="9"/>
      <c r="BC259" s="12"/>
      <c r="BD259" s="12"/>
      <c r="BE259" s="12"/>
    </row>
    <row r="260" spans="1:57" ht="15.75" customHeight="1" x14ac:dyDescent="0.25">
      <c r="A260" s="1"/>
      <c r="B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10"/>
      <c r="AE260" s="9"/>
      <c r="AF260" s="9"/>
      <c r="AG260" s="12"/>
      <c r="AH260" s="12"/>
      <c r="AI260" s="12"/>
      <c r="AJ260" s="12"/>
      <c r="AK260" s="9"/>
      <c r="AL260" s="12"/>
      <c r="AM260" s="12"/>
      <c r="AN260" s="12"/>
      <c r="AO260" s="12"/>
      <c r="AP260" s="12"/>
      <c r="AQ260" s="12"/>
      <c r="AR260" s="9"/>
      <c r="AS260" s="12"/>
      <c r="AT260" s="12"/>
      <c r="AU260" s="12"/>
      <c r="AV260" s="12"/>
      <c r="AW260" s="12"/>
      <c r="AX260" s="12"/>
      <c r="AY260" s="9"/>
      <c r="AZ260" s="12"/>
      <c r="BA260" s="12"/>
      <c r="BB260" s="9"/>
      <c r="BC260" s="12"/>
      <c r="BD260" s="12"/>
      <c r="BE260" s="12"/>
    </row>
    <row r="261" spans="1:57" ht="15.75" customHeight="1" x14ac:dyDescent="0.25">
      <c r="A261" s="1"/>
      <c r="B261" s="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10"/>
      <c r="AE261" s="9"/>
      <c r="AF261" s="9"/>
      <c r="AG261" s="12"/>
      <c r="AH261" s="12"/>
      <c r="AI261" s="12"/>
      <c r="AJ261" s="12"/>
      <c r="AK261" s="9"/>
      <c r="AL261" s="12"/>
      <c r="AM261" s="12"/>
      <c r="AN261" s="12"/>
      <c r="AO261" s="12"/>
      <c r="AP261" s="12"/>
      <c r="AQ261" s="12"/>
      <c r="AR261" s="9"/>
      <c r="AS261" s="12"/>
      <c r="AT261" s="12"/>
      <c r="AU261" s="12"/>
      <c r="AV261" s="12"/>
      <c r="AW261" s="12"/>
      <c r="AX261" s="12"/>
      <c r="AY261" s="9"/>
      <c r="AZ261" s="12"/>
      <c r="BA261" s="12"/>
      <c r="BB261" s="9"/>
      <c r="BC261" s="12"/>
      <c r="BD261" s="12"/>
      <c r="BE261" s="12"/>
    </row>
    <row r="262" spans="1:57" ht="15.75" customHeight="1" x14ac:dyDescent="0.25">
      <c r="A262" s="1"/>
      <c r="B262" s="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10"/>
      <c r="AE262" s="9"/>
      <c r="AF262" s="9"/>
      <c r="AG262" s="12"/>
      <c r="AH262" s="12"/>
      <c r="AI262" s="12"/>
      <c r="AJ262" s="12"/>
      <c r="AK262" s="9"/>
      <c r="AL262" s="12"/>
      <c r="AM262" s="12"/>
      <c r="AN262" s="12"/>
      <c r="AO262" s="12"/>
      <c r="AP262" s="12"/>
      <c r="AQ262" s="12"/>
      <c r="AR262" s="9"/>
      <c r="AS262" s="12"/>
      <c r="AT262" s="12"/>
      <c r="AU262" s="12"/>
      <c r="AV262" s="12"/>
      <c r="AW262" s="12"/>
      <c r="AX262" s="12"/>
      <c r="AY262" s="9"/>
      <c r="AZ262" s="12"/>
      <c r="BA262" s="12"/>
      <c r="BB262" s="9"/>
      <c r="BC262" s="12"/>
      <c r="BD262" s="12"/>
      <c r="BE262" s="12"/>
    </row>
    <row r="263" spans="1:57" ht="15.75" customHeight="1" x14ac:dyDescent="0.25">
      <c r="A263" s="1"/>
      <c r="B263" s="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10"/>
      <c r="AE263" s="9"/>
      <c r="AF263" s="9"/>
      <c r="AG263" s="12"/>
      <c r="AH263" s="12"/>
      <c r="AI263" s="12"/>
      <c r="AJ263" s="12"/>
      <c r="AK263" s="9"/>
      <c r="AL263" s="12"/>
      <c r="AM263" s="12"/>
      <c r="AN263" s="12"/>
      <c r="AO263" s="12"/>
      <c r="AP263" s="12"/>
      <c r="AQ263" s="12"/>
      <c r="AR263" s="9"/>
      <c r="AS263" s="12"/>
      <c r="AT263" s="12"/>
      <c r="AU263" s="12"/>
      <c r="AV263" s="12"/>
      <c r="AW263" s="12"/>
      <c r="AX263" s="12"/>
      <c r="AY263" s="9"/>
      <c r="AZ263" s="12"/>
      <c r="BA263" s="12"/>
      <c r="BB263" s="9"/>
      <c r="BC263" s="12"/>
      <c r="BD263" s="12"/>
      <c r="BE263" s="12"/>
    </row>
    <row r="264" spans="1:57" ht="15.75" customHeight="1" x14ac:dyDescent="0.25">
      <c r="A264" s="1"/>
      <c r="B264" s="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10"/>
      <c r="AE264" s="9"/>
      <c r="AF264" s="9"/>
      <c r="AG264" s="12"/>
      <c r="AH264" s="12"/>
      <c r="AI264" s="12"/>
      <c r="AJ264" s="12"/>
      <c r="AK264" s="9"/>
      <c r="AL264" s="12"/>
      <c r="AM264" s="12"/>
      <c r="AN264" s="12"/>
      <c r="AO264" s="12"/>
      <c r="AP264" s="12"/>
      <c r="AQ264" s="12"/>
      <c r="AR264" s="9"/>
      <c r="AS264" s="12"/>
      <c r="AT264" s="12"/>
      <c r="AU264" s="12"/>
      <c r="AV264" s="12"/>
      <c r="AW264" s="12"/>
      <c r="AX264" s="12"/>
      <c r="AY264" s="9"/>
      <c r="AZ264" s="12"/>
      <c r="BA264" s="12"/>
      <c r="BB264" s="9"/>
      <c r="BC264" s="12"/>
      <c r="BD264" s="12"/>
      <c r="BE264" s="12"/>
    </row>
    <row r="265" spans="1:57" ht="15.75" customHeight="1" x14ac:dyDescent="0.25">
      <c r="A265" s="1"/>
      <c r="B265" s="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10"/>
      <c r="AE265" s="9"/>
      <c r="AF265" s="9"/>
      <c r="AG265" s="12"/>
      <c r="AH265" s="12"/>
      <c r="AI265" s="12"/>
      <c r="AJ265" s="12"/>
      <c r="AK265" s="9"/>
      <c r="AL265" s="12"/>
      <c r="AM265" s="12"/>
      <c r="AN265" s="12"/>
      <c r="AO265" s="12"/>
      <c r="AP265" s="12"/>
      <c r="AQ265" s="12"/>
      <c r="AR265" s="9"/>
      <c r="AS265" s="12"/>
      <c r="AT265" s="12"/>
      <c r="AU265" s="12"/>
      <c r="AV265" s="12"/>
      <c r="AW265" s="12"/>
      <c r="AX265" s="12"/>
      <c r="AY265" s="9"/>
      <c r="AZ265" s="12"/>
      <c r="BA265" s="12"/>
      <c r="BB265" s="9"/>
      <c r="BC265" s="12"/>
      <c r="BD265" s="12"/>
      <c r="BE265" s="12"/>
    </row>
    <row r="266" spans="1:57" ht="15.75" customHeight="1" x14ac:dyDescent="0.25">
      <c r="A266" s="1"/>
      <c r="B266" s="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10"/>
      <c r="AE266" s="9"/>
      <c r="AF266" s="9"/>
      <c r="AG266" s="12"/>
      <c r="AH266" s="12"/>
      <c r="AI266" s="12"/>
      <c r="AJ266" s="12"/>
      <c r="AK266" s="9"/>
      <c r="AL266" s="12"/>
      <c r="AM266" s="12"/>
      <c r="AN266" s="12"/>
      <c r="AO266" s="12"/>
      <c r="AP266" s="12"/>
      <c r="AQ266" s="12"/>
      <c r="AR266" s="9"/>
      <c r="AS266" s="12"/>
      <c r="AT266" s="12"/>
      <c r="AU266" s="12"/>
      <c r="AV266" s="12"/>
      <c r="AW266" s="12"/>
      <c r="AX266" s="12"/>
      <c r="AY266" s="9"/>
      <c r="AZ266" s="12"/>
      <c r="BA266" s="12"/>
      <c r="BB266" s="9"/>
      <c r="BC266" s="12"/>
      <c r="BD266" s="12"/>
      <c r="BE266" s="12"/>
    </row>
    <row r="267" spans="1:57" ht="15.75" customHeight="1" x14ac:dyDescent="0.25">
      <c r="A267" s="1"/>
      <c r="B267" s="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10"/>
      <c r="AE267" s="9"/>
      <c r="AF267" s="9"/>
      <c r="AG267" s="12"/>
      <c r="AH267" s="12"/>
      <c r="AI267" s="12"/>
      <c r="AJ267" s="12"/>
      <c r="AK267" s="9"/>
      <c r="AL267" s="12"/>
      <c r="AM267" s="12"/>
      <c r="AN267" s="12"/>
      <c r="AO267" s="12"/>
      <c r="AP267" s="12"/>
      <c r="AQ267" s="12"/>
      <c r="AR267" s="9"/>
      <c r="AS267" s="12"/>
      <c r="AT267" s="12"/>
      <c r="AU267" s="12"/>
      <c r="AV267" s="12"/>
      <c r="AW267" s="12"/>
      <c r="AX267" s="12"/>
      <c r="AY267" s="9"/>
      <c r="AZ267" s="12"/>
      <c r="BA267" s="12"/>
      <c r="BB267" s="9"/>
      <c r="BC267" s="12"/>
      <c r="BD267" s="12"/>
      <c r="BE267" s="12"/>
    </row>
    <row r="268" spans="1:57" ht="15.75" customHeight="1" x14ac:dyDescent="0.25">
      <c r="A268" s="1"/>
      <c r="B268" s="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10"/>
      <c r="AE268" s="9"/>
      <c r="AF268" s="9"/>
      <c r="AG268" s="12"/>
      <c r="AH268" s="12"/>
      <c r="AI268" s="12"/>
      <c r="AJ268" s="12"/>
      <c r="AK268" s="9"/>
      <c r="AL268" s="12"/>
      <c r="AM268" s="12"/>
      <c r="AN268" s="12"/>
      <c r="AO268" s="12"/>
      <c r="AP268" s="12"/>
      <c r="AQ268" s="12"/>
      <c r="AR268" s="9"/>
      <c r="AS268" s="12"/>
      <c r="AT268" s="12"/>
      <c r="AU268" s="12"/>
      <c r="AV268" s="12"/>
      <c r="AW268" s="12"/>
      <c r="AX268" s="12"/>
      <c r="AY268" s="9"/>
      <c r="AZ268" s="12"/>
      <c r="BA268" s="12"/>
      <c r="BB268" s="9"/>
      <c r="BC268" s="12"/>
      <c r="BD268" s="12"/>
      <c r="BE268" s="12"/>
    </row>
    <row r="269" spans="1:57" ht="15.75" customHeight="1" x14ac:dyDescent="0.25">
      <c r="A269" s="1"/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10"/>
      <c r="AE269" s="9"/>
      <c r="AF269" s="9"/>
      <c r="AG269" s="12"/>
      <c r="AH269" s="12"/>
      <c r="AI269" s="12"/>
      <c r="AJ269" s="12"/>
      <c r="AK269" s="9"/>
      <c r="AL269" s="12"/>
      <c r="AM269" s="12"/>
      <c r="AN269" s="12"/>
      <c r="AO269" s="12"/>
      <c r="AP269" s="12"/>
      <c r="AQ269" s="12"/>
      <c r="AR269" s="9"/>
      <c r="AS269" s="12"/>
      <c r="AT269" s="12"/>
      <c r="AU269" s="12"/>
      <c r="AV269" s="12"/>
      <c r="AW269" s="12"/>
      <c r="AX269" s="12"/>
      <c r="AY269" s="9"/>
      <c r="AZ269" s="12"/>
      <c r="BA269" s="12"/>
      <c r="BB269" s="9"/>
      <c r="BC269" s="12"/>
      <c r="BD269" s="12"/>
      <c r="BE269" s="12"/>
    </row>
    <row r="270" spans="1:57" ht="15.75" customHeight="1" x14ac:dyDescent="0.25">
      <c r="A270" s="1"/>
      <c r="B270" s="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10"/>
      <c r="AE270" s="9"/>
      <c r="AF270" s="9"/>
      <c r="AG270" s="12"/>
      <c r="AH270" s="12"/>
      <c r="AI270" s="12"/>
      <c r="AJ270" s="12"/>
      <c r="AK270" s="9"/>
      <c r="AL270" s="12"/>
      <c r="AM270" s="12"/>
      <c r="AN270" s="12"/>
      <c r="AO270" s="12"/>
      <c r="AP270" s="12"/>
      <c r="AQ270" s="12"/>
      <c r="AR270" s="9"/>
      <c r="AS270" s="12"/>
      <c r="AT270" s="12"/>
      <c r="AU270" s="12"/>
      <c r="AV270" s="12"/>
      <c r="AW270" s="12"/>
      <c r="AX270" s="12"/>
      <c r="AY270" s="9"/>
      <c r="AZ270" s="12"/>
      <c r="BA270" s="12"/>
      <c r="BB270" s="9"/>
      <c r="BC270" s="12"/>
      <c r="BD270" s="12"/>
      <c r="BE270" s="12"/>
    </row>
    <row r="271" spans="1:57" ht="15.75" customHeight="1" x14ac:dyDescent="0.25">
      <c r="A271" s="1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10"/>
      <c r="AE271" s="9"/>
      <c r="AF271" s="9"/>
      <c r="AG271" s="12"/>
      <c r="AH271" s="12"/>
      <c r="AI271" s="12"/>
      <c r="AJ271" s="12"/>
      <c r="AK271" s="9"/>
      <c r="AL271" s="12"/>
      <c r="AM271" s="12"/>
      <c r="AN271" s="12"/>
      <c r="AO271" s="12"/>
      <c r="AP271" s="12"/>
      <c r="AQ271" s="12"/>
      <c r="AR271" s="9"/>
      <c r="AS271" s="12"/>
      <c r="AT271" s="12"/>
      <c r="AU271" s="12"/>
      <c r="AV271" s="12"/>
      <c r="AW271" s="12"/>
      <c r="AX271" s="12"/>
      <c r="AY271" s="9"/>
      <c r="AZ271" s="12"/>
      <c r="BA271" s="12"/>
      <c r="BB271" s="9"/>
      <c r="BC271" s="12"/>
      <c r="BD271" s="12"/>
      <c r="BE271" s="12"/>
    </row>
    <row r="272" spans="1:57" ht="15.75" customHeight="1" x14ac:dyDescent="0.25">
      <c r="A272" s="1"/>
      <c r="B272" s="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10"/>
      <c r="AE272" s="9"/>
      <c r="AF272" s="9"/>
      <c r="AG272" s="12"/>
      <c r="AH272" s="12"/>
      <c r="AI272" s="12"/>
      <c r="AJ272" s="12"/>
      <c r="AK272" s="9"/>
      <c r="AL272" s="12"/>
      <c r="AM272" s="12"/>
      <c r="AN272" s="12"/>
      <c r="AO272" s="12"/>
      <c r="AP272" s="12"/>
      <c r="AQ272" s="12"/>
      <c r="AR272" s="9"/>
      <c r="AS272" s="12"/>
      <c r="AT272" s="12"/>
      <c r="AU272" s="12"/>
      <c r="AV272" s="12"/>
      <c r="AW272" s="12"/>
      <c r="AX272" s="12"/>
      <c r="AY272" s="9"/>
      <c r="AZ272" s="12"/>
      <c r="BA272" s="12"/>
      <c r="BB272" s="9"/>
      <c r="BC272" s="12"/>
      <c r="BD272" s="12"/>
      <c r="BE272" s="12"/>
    </row>
    <row r="273" spans="1:57" ht="15.75" customHeight="1" x14ac:dyDescent="0.25">
      <c r="A273" s="1"/>
      <c r="B273" s="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10"/>
      <c r="AE273" s="9"/>
      <c r="AF273" s="9"/>
      <c r="AG273" s="12"/>
      <c r="AH273" s="12"/>
      <c r="AI273" s="12"/>
      <c r="AJ273" s="12"/>
      <c r="AK273" s="9"/>
      <c r="AL273" s="12"/>
      <c r="AM273" s="12"/>
      <c r="AN273" s="12"/>
      <c r="AO273" s="12"/>
      <c r="AP273" s="12"/>
      <c r="AQ273" s="12"/>
      <c r="AR273" s="9"/>
      <c r="AS273" s="12"/>
      <c r="AT273" s="12"/>
      <c r="AU273" s="12"/>
      <c r="AV273" s="12"/>
      <c r="AW273" s="12"/>
      <c r="AX273" s="12"/>
      <c r="AY273" s="9"/>
      <c r="AZ273" s="12"/>
      <c r="BA273" s="12"/>
      <c r="BB273" s="9"/>
      <c r="BC273" s="12"/>
      <c r="BD273" s="12"/>
      <c r="BE273" s="12"/>
    </row>
    <row r="274" spans="1:57" ht="15.75" customHeight="1" x14ac:dyDescent="0.25">
      <c r="A274" s="1"/>
      <c r="B274" s="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10"/>
      <c r="AE274" s="9"/>
      <c r="AF274" s="9"/>
      <c r="AG274" s="12"/>
      <c r="AH274" s="12"/>
      <c r="AI274" s="12"/>
      <c r="AJ274" s="12"/>
      <c r="AK274" s="9"/>
      <c r="AL274" s="12"/>
      <c r="AM274" s="12"/>
      <c r="AN274" s="12"/>
      <c r="AO274" s="12"/>
      <c r="AP274" s="12"/>
      <c r="AQ274" s="12"/>
      <c r="AR274" s="9"/>
      <c r="AS274" s="12"/>
      <c r="AT274" s="12"/>
      <c r="AU274" s="12"/>
      <c r="AV274" s="12"/>
      <c r="AW274" s="12"/>
      <c r="AX274" s="12"/>
      <c r="AY274" s="9"/>
      <c r="AZ274" s="12"/>
      <c r="BA274" s="12"/>
      <c r="BB274" s="9"/>
      <c r="BC274" s="12"/>
      <c r="BD274" s="12"/>
      <c r="BE274" s="12"/>
    </row>
    <row r="275" spans="1:57" ht="15.75" customHeight="1" x14ac:dyDescent="0.25">
      <c r="A275" s="1"/>
      <c r="B275" s="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10"/>
      <c r="AE275" s="9"/>
      <c r="AF275" s="9"/>
      <c r="AG275" s="12"/>
      <c r="AH275" s="12"/>
      <c r="AI275" s="12"/>
      <c r="AJ275" s="12"/>
      <c r="AK275" s="9"/>
      <c r="AL275" s="12"/>
      <c r="AM275" s="12"/>
      <c r="AN275" s="12"/>
      <c r="AO275" s="12"/>
      <c r="AP275" s="12"/>
      <c r="AQ275" s="12"/>
      <c r="AR275" s="9"/>
      <c r="AS275" s="12"/>
      <c r="AT275" s="12"/>
      <c r="AU275" s="12"/>
      <c r="AV275" s="12"/>
      <c r="AW275" s="12"/>
      <c r="AX275" s="12"/>
      <c r="AY275" s="9"/>
      <c r="AZ275" s="12"/>
      <c r="BA275" s="12"/>
      <c r="BB275" s="9"/>
      <c r="BC275" s="12"/>
      <c r="BD275" s="12"/>
      <c r="BE275" s="12"/>
    </row>
    <row r="276" spans="1:57" ht="15.75" customHeight="1" x14ac:dyDescent="0.25">
      <c r="A276" s="1"/>
      <c r="B276" s="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10"/>
      <c r="AE276" s="9"/>
      <c r="AF276" s="9"/>
      <c r="AG276" s="12"/>
      <c r="AH276" s="12"/>
      <c r="AI276" s="12"/>
      <c r="AJ276" s="12"/>
      <c r="AK276" s="9"/>
      <c r="AL276" s="12"/>
      <c r="AM276" s="12"/>
      <c r="AN276" s="12"/>
      <c r="AO276" s="12"/>
      <c r="AP276" s="12"/>
      <c r="AQ276" s="12"/>
      <c r="AR276" s="9"/>
      <c r="AS276" s="12"/>
      <c r="AT276" s="12"/>
      <c r="AU276" s="12"/>
      <c r="AV276" s="12"/>
      <c r="AW276" s="12"/>
      <c r="AX276" s="12"/>
      <c r="AY276" s="9"/>
      <c r="AZ276" s="12"/>
      <c r="BA276" s="12"/>
      <c r="BB276" s="9"/>
      <c r="BC276" s="12"/>
      <c r="BD276" s="12"/>
      <c r="BE276" s="12"/>
    </row>
    <row r="277" spans="1:57" ht="15.75" customHeight="1" x14ac:dyDescent="0.25">
      <c r="A277" s="1"/>
      <c r="B277" s="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10"/>
      <c r="AE277" s="9"/>
      <c r="AF277" s="9"/>
      <c r="AG277" s="12"/>
      <c r="AH277" s="12"/>
      <c r="AI277" s="12"/>
      <c r="AJ277" s="12"/>
      <c r="AK277" s="9"/>
      <c r="AL277" s="12"/>
      <c r="AM277" s="12"/>
      <c r="AN277" s="12"/>
      <c r="AO277" s="12"/>
      <c r="AP277" s="12"/>
      <c r="AQ277" s="12"/>
      <c r="AR277" s="9"/>
      <c r="AS277" s="12"/>
      <c r="AT277" s="12"/>
      <c r="AU277" s="12"/>
      <c r="AV277" s="12"/>
      <c r="AW277" s="12"/>
      <c r="AX277" s="12"/>
      <c r="AY277" s="9"/>
      <c r="AZ277" s="12"/>
      <c r="BA277" s="12"/>
      <c r="BB277" s="9"/>
      <c r="BC277" s="12"/>
      <c r="BD277" s="12"/>
      <c r="BE277" s="12"/>
    </row>
    <row r="278" spans="1:57" ht="15.75" customHeight="1" x14ac:dyDescent="0.25">
      <c r="A278" s="1"/>
      <c r="B278" s="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10"/>
      <c r="AE278" s="9"/>
      <c r="AF278" s="9"/>
      <c r="AG278" s="12"/>
      <c r="AH278" s="12"/>
      <c r="AI278" s="12"/>
      <c r="AJ278" s="12"/>
      <c r="AK278" s="9"/>
      <c r="AL278" s="12"/>
      <c r="AM278" s="12"/>
      <c r="AN278" s="12"/>
      <c r="AO278" s="12"/>
      <c r="AP278" s="12"/>
      <c r="AQ278" s="12"/>
      <c r="AR278" s="9"/>
      <c r="AS278" s="12"/>
      <c r="AT278" s="12"/>
      <c r="AU278" s="12"/>
      <c r="AV278" s="12"/>
      <c r="AW278" s="12"/>
      <c r="AX278" s="12"/>
      <c r="AY278" s="9"/>
      <c r="AZ278" s="12"/>
      <c r="BA278" s="12"/>
      <c r="BB278" s="9"/>
      <c r="BC278" s="12"/>
      <c r="BD278" s="12"/>
      <c r="BE278" s="12"/>
    </row>
    <row r="279" spans="1:57" ht="15.75" customHeight="1" x14ac:dyDescent="0.25">
      <c r="A279" s="1"/>
      <c r="B279" s="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10"/>
      <c r="AE279" s="9"/>
      <c r="AF279" s="9"/>
      <c r="AG279" s="12"/>
      <c r="AH279" s="12"/>
      <c r="AI279" s="12"/>
      <c r="AJ279" s="12"/>
      <c r="AK279" s="9"/>
      <c r="AL279" s="12"/>
      <c r="AM279" s="12"/>
      <c r="AN279" s="12"/>
      <c r="AO279" s="12"/>
      <c r="AP279" s="12"/>
      <c r="AQ279" s="12"/>
      <c r="AR279" s="9"/>
      <c r="AS279" s="12"/>
      <c r="AT279" s="12"/>
      <c r="AU279" s="12"/>
      <c r="AV279" s="12"/>
      <c r="AW279" s="12"/>
      <c r="AX279" s="12"/>
      <c r="AY279" s="9"/>
      <c r="AZ279" s="12"/>
      <c r="BA279" s="12"/>
      <c r="BB279" s="9"/>
      <c r="BC279" s="12"/>
      <c r="BD279" s="12"/>
      <c r="BE279" s="12"/>
    </row>
    <row r="280" spans="1:57" ht="15.75" customHeight="1" x14ac:dyDescent="0.25">
      <c r="A280" s="1"/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10"/>
      <c r="AE280" s="9"/>
      <c r="AF280" s="9"/>
      <c r="AG280" s="12"/>
      <c r="AH280" s="12"/>
      <c r="AI280" s="12"/>
      <c r="AJ280" s="12"/>
      <c r="AK280" s="9"/>
      <c r="AL280" s="12"/>
      <c r="AM280" s="12"/>
      <c r="AN280" s="12"/>
      <c r="AO280" s="12"/>
      <c r="AP280" s="12"/>
      <c r="AQ280" s="12"/>
      <c r="AR280" s="9"/>
      <c r="AS280" s="12"/>
      <c r="AT280" s="12"/>
      <c r="AU280" s="12"/>
      <c r="AV280" s="12"/>
      <c r="AW280" s="12"/>
      <c r="AX280" s="12"/>
      <c r="AY280" s="9"/>
      <c r="AZ280" s="12"/>
      <c r="BA280" s="12"/>
      <c r="BB280" s="9"/>
      <c r="BC280" s="12"/>
      <c r="BD280" s="12"/>
      <c r="BE280" s="12"/>
    </row>
    <row r="281" spans="1:57" ht="15.75" customHeight="1" x14ac:dyDescent="0.25">
      <c r="A281" s="1"/>
      <c r="B281" s="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10"/>
      <c r="AE281" s="9"/>
      <c r="AF281" s="9"/>
      <c r="AG281" s="12"/>
      <c r="AH281" s="12"/>
      <c r="AI281" s="12"/>
      <c r="AJ281" s="12"/>
      <c r="AK281" s="9"/>
      <c r="AL281" s="12"/>
      <c r="AM281" s="12"/>
      <c r="AN281" s="12"/>
      <c r="AO281" s="12"/>
      <c r="AP281" s="12"/>
      <c r="AQ281" s="12"/>
      <c r="AR281" s="9"/>
      <c r="AS281" s="12"/>
      <c r="AT281" s="12"/>
      <c r="AU281" s="12"/>
      <c r="AV281" s="12"/>
      <c r="AW281" s="12"/>
      <c r="AX281" s="12"/>
      <c r="AY281" s="9"/>
      <c r="AZ281" s="12"/>
      <c r="BA281" s="12"/>
      <c r="BB281" s="9"/>
      <c r="BC281" s="12"/>
      <c r="BD281" s="12"/>
      <c r="BE281" s="12"/>
    </row>
    <row r="282" spans="1:57" ht="15.75" customHeight="1" x14ac:dyDescent="0.25">
      <c r="A282" s="1"/>
      <c r="B282" s="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10"/>
      <c r="AE282" s="9"/>
      <c r="AF282" s="9"/>
      <c r="AG282" s="12"/>
      <c r="AH282" s="12"/>
      <c r="AI282" s="12"/>
      <c r="AJ282" s="12"/>
      <c r="AK282" s="9"/>
      <c r="AL282" s="12"/>
      <c r="AM282" s="12"/>
      <c r="AN282" s="12"/>
      <c r="AO282" s="12"/>
      <c r="AP282" s="12"/>
      <c r="AQ282" s="12"/>
      <c r="AR282" s="9"/>
      <c r="AS282" s="12"/>
      <c r="AT282" s="12"/>
      <c r="AU282" s="12"/>
      <c r="AV282" s="12"/>
      <c r="AW282" s="12"/>
      <c r="AX282" s="12"/>
      <c r="AY282" s="9"/>
      <c r="AZ282" s="12"/>
      <c r="BA282" s="12"/>
      <c r="BB282" s="9"/>
      <c r="BC282" s="12"/>
      <c r="BD282" s="12"/>
      <c r="BE282" s="12"/>
    </row>
    <row r="283" spans="1:57" ht="15.75" customHeight="1" x14ac:dyDescent="0.25">
      <c r="A283" s="1"/>
      <c r="B283" s="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10"/>
      <c r="AE283" s="9"/>
      <c r="AF283" s="9"/>
      <c r="AG283" s="12"/>
      <c r="AH283" s="12"/>
      <c r="AI283" s="12"/>
      <c r="AJ283" s="12"/>
      <c r="AK283" s="9"/>
      <c r="AL283" s="12"/>
      <c r="AM283" s="12"/>
      <c r="AN283" s="12"/>
      <c r="AO283" s="12"/>
      <c r="AP283" s="12"/>
      <c r="AQ283" s="12"/>
      <c r="AR283" s="9"/>
      <c r="AS283" s="12"/>
      <c r="AT283" s="12"/>
      <c r="AU283" s="12"/>
      <c r="AV283" s="12"/>
      <c r="AW283" s="12"/>
      <c r="AX283" s="12"/>
      <c r="AY283" s="9"/>
      <c r="AZ283" s="12"/>
      <c r="BA283" s="12"/>
      <c r="BB283" s="9"/>
      <c r="BC283" s="12"/>
      <c r="BD283" s="12"/>
      <c r="BE283" s="12"/>
    </row>
    <row r="284" spans="1:57" ht="15.75" customHeight="1" x14ac:dyDescent="0.25">
      <c r="A284" s="1"/>
      <c r="B284" s="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10"/>
      <c r="AE284" s="9"/>
      <c r="AF284" s="9"/>
      <c r="AG284" s="12"/>
      <c r="AH284" s="12"/>
      <c r="AI284" s="12"/>
      <c r="AJ284" s="12"/>
      <c r="AK284" s="9"/>
      <c r="AL284" s="12"/>
      <c r="AM284" s="12"/>
      <c r="AN284" s="12"/>
      <c r="AO284" s="12"/>
      <c r="AP284" s="12"/>
      <c r="AQ284" s="12"/>
      <c r="AR284" s="9"/>
      <c r="AS284" s="12"/>
      <c r="AT284" s="12"/>
      <c r="AU284" s="12"/>
      <c r="AV284" s="12"/>
      <c r="AW284" s="12"/>
      <c r="AX284" s="12"/>
      <c r="AY284" s="9"/>
      <c r="AZ284" s="12"/>
      <c r="BA284" s="12"/>
      <c r="BB284" s="9"/>
      <c r="BC284" s="12"/>
      <c r="BD284" s="12"/>
      <c r="BE284" s="12"/>
    </row>
    <row r="285" spans="1:57" ht="15.75" customHeight="1" x14ac:dyDescent="0.25">
      <c r="A285" s="1"/>
      <c r="B285" s="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10"/>
      <c r="AE285" s="9"/>
      <c r="AF285" s="9"/>
      <c r="AG285" s="12"/>
      <c r="AH285" s="12"/>
      <c r="AI285" s="12"/>
      <c r="AJ285" s="12"/>
      <c r="AK285" s="9"/>
      <c r="AL285" s="12"/>
      <c r="AM285" s="12"/>
      <c r="AN285" s="12"/>
      <c r="AO285" s="12"/>
      <c r="AP285" s="12"/>
      <c r="AQ285" s="12"/>
      <c r="AR285" s="9"/>
      <c r="AS285" s="12"/>
      <c r="AT285" s="12"/>
      <c r="AU285" s="12"/>
      <c r="AV285" s="12"/>
      <c r="AW285" s="12"/>
      <c r="AX285" s="12"/>
      <c r="AY285" s="9"/>
      <c r="AZ285" s="12"/>
      <c r="BA285" s="12"/>
      <c r="BB285" s="9"/>
      <c r="BC285" s="12"/>
      <c r="BD285" s="12"/>
      <c r="BE285" s="12"/>
    </row>
    <row r="286" spans="1:57" ht="15.75" customHeight="1" x14ac:dyDescent="0.25">
      <c r="A286" s="1"/>
      <c r="B286" s="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10"/>
      <c r="AE286" s="9"/>
      <c r="AF286" s="9"/>
      <c r="AG286" s="12"/>
      <c r="AH286" s="12"/>
      <c r="AI286" s="12"/>
      <c r="AJ286" s="12"/>
      <c r="AK286" s="9"/>
      <c r="AL286" s="12"/>
      <c r="AM286" s="12"/>
      <c r="AN286" s="12"/>
      <c r="AO286" s="12"/>
      <c r="AP286" s="12"/>
      <c r="AQ286" s="12"/>
      <c r="AR286" s="9"/>
      <c r="AS286" s="12"/>
      <c r="AT286" s="12"/>
      <c r="AU286" s="12"/>
      <c r="AV286" s="12"/>
      <c r="AW286" s="12"/>
      <c r="AX286" s="12"/>
      <c r="AY286" s="9"/>
      <c r="AZ286" s="12"/>
      <c r="BA286" s="12"/>
      <c r="BB286" s="9"/>
      <c r="BC286" s="12"/>
      <c r="BD286" s="12"/>
      <c r="BE286" s="12"/>
    </row>
    <row r="287" spans="1:57" ht="15.75" customHeight="1" x14ac:dyDescent="0.25">
      <c r="A287" s="1"/>
      <c r="B287" s="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10"/>
      <c r="AE287" s="9"/>
      <c r="AF287" s="9"/>
      <c r="AG287" s="12"/>
      <c r="AH287" s="12"/>
      <c r="AI287" s="12"/>
      <c r="AJ287" s="12"/>
      <c r="AK287" s="9"/>
      <c r="AL287" s="12"/>
      <c r="AM287" s="12"/>
      <c r="AN287" s="12"/>
      <c r="AO287" s="12"/>
      <c r="AP287" s="12"/>
      <c r="AQ287" s="12"/>
      <c r="AR287" s="9"/>
      <c r="AS287" s="12"/>
      <c r="AT287" s="12"/>
      <c r="AU287" s="12"/>
      <c r="AV287" s="12"/>
      <c r="AW287" s="12"/>
      <c r="AX287" s="12"/>
      <c r="AY287" s="9"/>
      <c r="AZ287" s="12"/>
      <c r="BA287" s="12"/>
      <c r="BB287" s="9"/>
      <c r="BC287" s="12"/>
      <c r="BD287" s="12"/>
      <c r="BE287" s="12"/>
    </row>
    <row r="288" spans="1:57" ht="15.75" customHeight="1" x14ac:dyDescent="0.25">
      <c r="A288" s="1"/>
      <c r="B288" s="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10"/>
      <c r="AE288" s="9"/>
      <c r="AF288" s="9"/>
      <c r="AG288" s="12"/>
      <c r="AH288" s="12"/>
      <c r="AI288" s="12"/>
      <c r="AJ288" s="12"/>
      <c r="AK288" s="9"/>
      <c r="AL288" s="12"/>
      <c r="AM288" s="12"/>
      <c r="AN288" s="12"/>
      <c r="AO288" s="12"/>
      <c r="AP288" s="12"/>
      <c r="AQ288" s="12"/>
      <c r="AR288" s="9"/>
      <c r="AS288" s="12"/>
      <c r="AT288" s="12"/>
      <c r="AU288" s="12"/>
      <c r="AV288" s="12"/>
      <c r="AW288" s="12"/>
      <c r="AX288" s="12"/>
      <c r="AY288" s="9"/>
      <c r="AZ288" s="12"/>
      <c r="BA288" s="12"/>
      <c r="BB288" s="9"/>
      <c r="BC288" s="12"/>
      <c r="BD288" s="12"/>
      <c r="BE288" s="12"/>
    </row>
    <row r="289" spans="1:57" ht="15.75" customHeight="1" x14ac:dyDescent="0.25">
      <c r="A289" s="1"/>
      <c r="B289" s="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10"/>
      <c r="AE289" s="9"/>
      <c r="AF289" s="9"/>
      <c r="AG289" s="12"/>
      <c r="AH289" s="12"/>
      <c r="AI289" s="12"/>
      <c r="AJ289" s="12"/>
      <c r="AK289" s="9"/>
      <c r="AL289" s="12"/>
      <c r="AM289" s="12"/>
      <c r="AN289" s="12"/>
      <c r="AO289" s="12"/>
      <c r="AP289" s="12"/>
      <c r="AQ289" s="12"/>
      <c r="AR289" s="9"/>
      <c r="AS289" s="12"/>
      <c r="AT289" s="12"/>
      <c r="AU289" s="12"/>
      <c r="AV289" s="12"/>
      <c r="AW289" s="12"/>
      <c r="AX289" s="12"/>
      <c r="AY289" s="9"/>
      <c r="AZ289" s="12"/>
      <c r="BA289" s="12"/>
      <c r="BB289" s="9"/>
      <c r="BC289" s="12"/>
      <c r="BD289" s="12"/>
      <c r="BE289" s="12"/>
    </row>
    <row r="290" spans="1:57" ht="15.75" customHeight="1" x14ac:dyDescent="0.25">
      <c r="A290" s="1"/>
      <c r="B290" s="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10"/>
      <c r="AE290" s="9"/>
      <c r="AF290" s="9"/>
      <c r="AG290" s="12"/>
      <c r="AH290" s="12"/>
      <c r="AI290" s="12"/>
      <c r="AJ290" s="12"/>
      <c r="AK290" s="9"/>
      <c r="AL290" s="12"/>
      <c r="AM290" s="12"/>
      <c r="AN290" s="12"/>
      <c r="AO290" s="12"/>
      <c r="AP290" s="12"/>
      <c r="AQ290" s="12"/>
      <c r="AR290" s="9"/>
      <c r="AS290" s="12"/>
      <c r="AT290" s="12"/>
      <c r="AU290" s="12"/>
      <c r="AV290" s="12"/>
      <c r="AW290" s="12"/>
      <c r="AX290" s="12"/>
      <c r="AY290" s="9"/>
      <c r="AZ290" s="12"/>
      <c r="BA290" s="12"/>
      <c r="BB290" s="9"/>
      <c r="BC290" s="12"/>
      <c r="BD290" s="12"/>
      <c r="BE290" s="12"/>
    </row>
    <row r="291" spans="1:57" ht="15.75" customHeight="1" x14ac:dyDescent="0.25">
      <c r="A291" s="1"/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10"/>
      <c r="AE291" s="9"/>
      <c r="AF291" s="9"/>
      <c r="AG291" s="12"/>
      <c r="AH291" s="12"/>
      <c r="AI291" s="12"/>
      <c r="AJ291" s="12"/>
      <c r="AK291" s="9"/>
      <c r="AL291" s="12"/>
      <c r="AM291" s="12"/>
      <c r="AN291" s="12"/>
      <c r="AO291" s="12"/>
      <c r="AP291" s="12"/>
      <c r="AQ291" s="12"/>
      <c r="AR291" s="9"/>
      <c r="AS291" s="12"/>
      <c r="AT291" s="12"/>
      <c r="AU291" s="12"/>
      <c r="AV291" s="12"/>
      <c r="AW291" s="12"/>
      <c r="AX291" s="12"/>
      <c r="AY291" s="9"/>
      <c r="AZ291" s="12"/>
      <c r="BA291" s="12"/>
      <c r="BB291" s="9"/>
      <c r="BC291" s="12"/>
      <c r="BD291" s="12"/>
      <c r="BE291" s="12"/>
    </row>
    <row r="292" spans="1:57" ht="15.75" customHeight="1" x14ac:dyDescent="0.25">
      <c r="A292" s="1"/>
      <c r="B292" s="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10"/>
      <c r="AE292" s="9"/>
      <c r="AF292" s="9"/>
      <c r="AG292" s="12"/>
      <c r="AH292" s="12"/>
      <c r="AI292" s="12"/>
      <c r="AJ292" s="12"/>
      <c r="AK292" s="9"/>
      <c r="AL292" s="12"/>
      <c r="AM292" s="12"/>
      <c r="AN292" s="12"/>
      <c r="AO292" s="12"/>
      <c r="AP292" s="12"/>
      <c r="AQ292" s="12"/>
      <c r="AR292" s="9"/>
      <c r="AS292" s="12"/>
      <c r="AT292" s="12"/>
      <c r="AU292" s="12"/>
      <c r="AV292" s="12"/>
      <c r="AW292" s="12"/>
      <c r="AX292" s="12"/>
      <c r="AY292" s="9"/>
      <c r="AZ292" s="12"/>
      <c r="BA292" s="12"/>
      <c r="BB292" s="9"/>
      <c r="BC292" s="12"/>
      <c r="BD292" s="12"/>
      <c r="BE292" s="12"/>
    </row>
    <row r="293" spans="1:57" ht="15.75" customHeight="1" x14ac:dyDescent="0.25">
      <c r="A293" s="1"/>
      <c r="B293" s="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10"/>
      <c r="AE293" s="9"/>
      <c r="AF293" s="9"/>
      <c r="AG293" s="12"/>
      <c r="AH293" s="12"/>
      <c r="AI293" s="12"/>
      <c r="AJ293" s="12"/>
      <c r="AK293" s="9"/>
      <c r="AL293" s="12"/>
      <c r="AM293" s="12"/>
      <c r="AN293" s="12"/>
      <c r="AO293" s="12"/>
      <c r="AP293" s="12"/>
      <c r="AQ293" s="12"/>
      <c r="AR293" s="9"/>
      <c r="AS293" s="12"/>
      <c r="AT293" s="12"/>
      <c r="AU293" s="12"/>
      <c r="AV293" s="12"/>
      <c r="AW293" s="12"/>
      <c r="AX293" s="12"/>
      <c r="AY293" s="9"/>
      <c r="AZ293" s="12"/>
      <c r="BA293" s="12"/>
      <c r="BB293" s="9"/>
      <c r="BC293" s="12"/>
      <c r="BD293" s="12"/>
      <c r="BE293" s="12"/>
    </row>
    <row r="294" spans="1:57" ht="15.75" customHeight="1" x14ac:dyDescent="0.25">
      <c r="A294" s="1"/>
      <c r="B294" s="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10"/>
      <c r="AE294" s="9"/>
      <c r="AF294" s="9"/>
      <c r="AG294" s="12"/>
      <c r="AH294" s="12"/>
      <c r="AI294" s="12"/>
      <c r="AJ294" s="12"/>
      <c r="AK294" s="9"/>
      <c r="AL294" s="12"/>
      <c r="AM294" s="12"/>
      <c r="AN294" s="12"/>
      <c r="AO294" s="12"/>
      <c r="AP294" s="12"/>
      <c r="AQ294" s="12"/>
      <c r="AR294" s="9"/>
      <c r="AS294" s="12"/>
      <c r="AT294" s="12"/>
      <c r="AU294" s="12"/>
      <c r="AV294" s="12"/>
      <c r="AW294" s="12"/>
      <c r="AX294" s="12"/>
      <c r="AY294" s="9"/>
      <c r="AZ294" s="12"/>
      <c r="BA294" s="12"/>
      <c r="BB294" s="9"/>
      <c r="BC294" s="12"/>
      <c r="BD294" s="12"/>
      <c r="BE294" s="12"/>
    </row>
    <row r="295" spans="1:57" ht="15.75" customHeight="1" x14ac:dyDescent="0.25">
      <c r="A295" s="1"/>
      <c r="B295" s="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10"/>
      <c r="AE295" s="9"/>
      <c r="AF295" s="9"/>
      <c r="AG295" s="12"/>
      <c r="AH295" s="12"/>
      <c r="AI295" s="12"/>
      <c r="AJ295" s="12"/>
      <c r="AK295" s="9"/>
      <c r="AL295" s="12"/>
      <c r="AM295" s="12"/>
      <c r="AN295" s="12"/>
      <c r="AO295" s="12"/>
      <c r="AP295" s="12"/>
      <c r="AQ295" s="12"/>
      <c r="AR295" s="9"/>
      <c r="AS295" s="12"/>
      <c r="AT295" s="12"/>
      <c r="AU295" s="12"/>
      <c r="AV295" s="12"/>
      <c r="AW295" s="12"/>
      <c r="AX295" s="12"/>
      <c r="AY295" s="9"/>
      <c r="AZ295" s="12"/>
      <c r="BA295" s="12"/>
      <c r="BB295" s="9"/>
      <c r="BC295" s="12"/>
      <c r="BD295" s="12"/>
      <c r="BE295" s="12"/>
    </row>
    <row r="296" spans="1:57" ht="15.75" customHeight="1" x14ac:dyDescent="0.25">
      <c r="A296" s="1"/>
      <c r="B296" s="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10"/>
      <c r="AE296" s="9"/>
      <c r="AF296" s="9"/>
      <c r="AG296" s="12"/>
      <c r="AH296" s="12"/>
      <c r="AI296" s="12"/>
      <c r="AJ296" s="12"/>
      <c r="AK296" s="9"/>
      <c r="AL296" s="12"/>
      <c r="AM296" s="12"/>
      <c r="AN296" s="12"/>
      <c r="AO296" s="12"/>
      <c r="AP296" s="12"/>
      <c r="AQ296" s="12"/>
      <c r="AR296" s="9"/>
      <c r="AS296" s="12"/>
      <c r="AT296" s="12"/>
      <c r="AU296" s="12"/>
      <c r="AV296" s="12"/>
      <c r="AW296" s="12"/>
      <c r="AX296" s="12"/>
      <c r="AY296" s="9"/>
      <c r="AZ296" s="12"/>
      <c r="BA296" s="12"/>
      <c r="BB296" s="9"/>
      <c r="BC296" s="12"/>
      <c r="BD296" s="12"/>
      <c r="BE296" s="12"/>
    </row>
    <row r="297" spans="1:57" ht="15.75" customHeight="1" x14ac:dyDescent="0.25">
      <c r="A297" s="1"/>
      <c r="B297" s="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10"/>
      <c r="AE297" s="9"/>
      <c r="AF297" s="9"/>
      <c r="AG297" s="12"/>
      <c r="AH297" s="12"/>
      <c r="AI297" s="12"/>
      <c r="AJ297" s="12"/>
      <c r="AK297" s="9"/>
      <c r="AL297" s="12"/>
      <c r="AM297" s="12"/>
      <c r="AN297" s="12"/>
      <c r="AO297" s="12"/>
      <c r="AP297" s="12"/>
      <c r="AQ297" s="12"/>
      <c r="AR297" s="9"/>
      <c r="AS297" s="12"/>
      <c r="AT297" s="12"/>
      <c r="AU297" s="12"/>
      <c r="AV297" s="12"/>
      <c r="AW297" s="12"/>
      <c r="AX297" s="12"/>
      <c r="AY297" s="9"/>
      <c r="AZ297" s="12"/>
      <c r="BA297" s="12"/>
      <c r="BB297" s="9"/>
      <c r="BC297" s="12"/>
      <c r="BD297" s="12"/>
      <c r="BE297" s="12"/>
    </row>
    <row r="298" spans="1:57" ht="15.75" customHeight="1" x14ac:dyDescent="0.25">
      <c r="A298" s="1"/>
      <c r="B298" s="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10"/>
      <c r="AE298" s="9"/>
      <c r="AF298" s="9"/>
      <c r="AG298" s="12"/>
      <c r="AH298" s="12"/>
      <c r="AI298" s="12"/>
      <c r="AJ298" s="12"/>
      <c r="AK298" s="9"/>
      <c r="AL298" s="12"/>
      <c r="AM298" s="12"/>
      <c r="AN298" s="12"/>
      <c r="AO298" s="12"/>
      <c r="AP298" s="12"/>
      <c r="AQ298" s="12"/>
      <c r="AR298" s="9"/>
      <c r="AS298" s="12"/>
      <c r="AT298" s="12"/>
      <c r="AU298" s="12"/>
      <c r="AV298" s="12"/>
      <c r="AW298" s="12"/>
      <c r="AX298" s="12"/>
      <c r="AY298" s="9"/>
      <c r="AZ298" s="12"/>
      <c r="BA298" s="12"/>
      <c r="BB298" s="9"/>
      <c r="BC298" s="12"/>
      <c r="BD298" s="12"/>
      <c r="BE298" s="12"/>
    </row>
    <row r="299" spans="1:57" ht="15.75" customHeight="1" x14ac:dyDescent="0.25"/>
    <row r="300" spans="1:57" ht="15.75" customHeight="1" x14ac:dyDescent="0.25">
      <c r="A300" s="1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spans="1:57" ht="15.75" customHeight="1" x14ac:dyDescent="0.25">
      <c r="A301" s="1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spans="1:57" ht="15.75" customHeight="1" x14ac:dyDescent="0.25">
      <c r="A302" s="1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spans="1:57" ht="15.75" customHeight="1" x14ac:dyDescent="0.25"/>
    <row r="304" spans="1:57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  <row r="1073" ht="15.75" customHeight="1" x14ac:dyDescent="0.25"/>
    <row r="1074" ht="15.75" customHeight="1" x14ac:dyDescent="0.25"/>
    <row r="1075" ht="15.75" customHeight="1" x14ac:dyDescent="0.25"/>
    <row r="1076" ht="15.75" customHeight="1" x14ac:dyDescent="0.25"/>
    <row r="1077" ht="15.75" customHeight="1" x14ac:dyDescent="0.25"/>
    <row r="1078" ht="15.75" customHeight="1" x14ac:dyDescent="0.25"/>
    <row r="1079" ht="15.75" customHeight="1" x14ac:dyDescent="0.25"/>
    <row r="1080" ht="15.75" customHeight="1" x14ac:dyDescent="0.25"/>
    <row r="1081" ht="15.75" customHeight="1" x14ac:dyDescent="0.25"/>
    <row r="1082" ht="15.75" customHeight="1" x14ac:dyDescent="0.25"/>
    <row r="1083" ht="15.75" customHeight="1" x14ac:dyDescent="0.25"/>
    <row r="1084" ht="15.75" customHeight="1" x14ac:dyDescent="0.25"/>
    <row r="1085" ht="15.75" customHeight="1" x14ac:dyDescent="0.25"/>
    <row r="1086" ht="15.75" customHeight="1" x14ac:dyDescent="0.25"/>
    <row r="1087" ht="15.75" customHeight="1" x14ac:dyDescent="0.25"/>
    <row r="1088" ht="15.75" customHeight="1" x14ac:dyDescent="0.25"/>
    <row r="1089" ht="15.75" customHeight="1" x14ac:dyDescent="0.25"/>
    <row r="1090" ht="15.75" customHeight="1" x14ac:dyDescent="0.25"/>
    <row r="1091" ht="15.75" customHeight="1" x14ac:dyDescent="0.25"/>
    <row r="1092" ht="15.75" customHeight="1" x14ac:dyDescent="0.25"/>
    <row r="1093" ht="15.75" customHeight="1" x14ac:dyDescent="0.25"/>
    <row r="1094" ht="15.75" customHeight="1" x14ac:dyDescent="0.25"/>
    <row r="1095" ht="15.75" customHeight="1" x14ac:dyDescent="0.25"/>
    <row r="1096" ht="15.75" customHeight="1" x14ac:dyDescent="0.25"/>
    <row r="1097" ht="15.75" customHeight="1" x14ac:dyDescent="0.25"/>
    <row r="1098" ht="15.75" customHeight="1" x14ac:dyDescent="0.25"/>
    <row r="1099" ht="15.75" customHeight="1" x14ac:dyDescent="0.25"/>
    <row r="1100" ht="15.75" customHeight="1" x14ac:dyDescent="0.25"/>
    <row r="1101" ht="15.75" customHeight="1" x14ac:dyDescent="0.25"/>
    <row r="1102" ht="15.75" customHeight="1" x14ac:dyDescent="0.25"/>
    <row r="1103" ht="15.75" customHeight="1" x14ac:dyDescent="0.25"/>
    <row r="1104" ht="15.75" customHeight="1" x14ac:dyDescent="0.25"/>
    <row r="1105" ht="15.75" customHeight="1" x14ac:dyDescent="0.25"/>
    <row r="1106" ht="15.75" customHeight="1" x14ac:dyDescent="0.25"/>
    <row r="1107" ht="15.75" customHeight="1" x14ac:dyDescent="0.25"/>
    <row r="1108" ht="15.75" customHeight="1" x14ac:dyDescent="0.25"/>
    <row r="1109" ht="15.75" customHeight="1" x14ac:dyDescent="0.25"/>
    <row r="1110" ht="15.75" customHeight="1" x14ac:dyDescent="0.25"/>
    <row r="1111" ht="15.75" customHeight="1" x14ac:dyDescent="0.25"/>
    <row r="1112" ht="15.75" customHeight="1" x14ac:dyDescent="0.25"/>
    <row r="1113" ht="15.75" customHeight="1" x14ac:dyDescent="0.25"/>
    <row r="1114" ht="15.75" customHeight="1" x14ac:dyDescent="0.25"/>
    <row r="1115" ht="15.75" customHeight="1" x14ac:dyDescent="0.25"/>
    <row r="1116" ht="15.75" customHeight="1" x14ac:dyDescent="0.25"/>
    <row r="1117" ht="15.75" customHeight="1" x14ac:dyDescent="0.25"/>
    <row r="1118" ht="15.75" customHeight="1" x14ac:dyDescent="0.25"/>
    <row r="1119" ht="15.75" customHeight="1" x14ac:dyDescent="0.25"/>
    <row r="1120" ht="15.75" customHeight="1" x14ac:dyDescent="0.25"/>
    <row r="1121" ht="15.75" customHeight="1" x14ac:dyDescent="0.25"/>
    <row r="1122" ht="15.75" customHeight="1" x14ac:dyDescent="0.25"/>
    <row r="1123" ht="15.75" customHeight="1" x14ac:dyDescent="0.25"/>
    <row r="1124" ht="15.75" customHeight="1" x14ac:dyDescent="0.25"/>
    <row r="1125" ht="15.75" customHeight="1" x14ac:dyDescent="0.25"/>
    <row r="1126" ht="15.75" customHeight="1" x14ac:dyDescent="0.25"/>
    <row r="1127" ht="15.75" customHeight="1" x14ac:dyDescent="0.25"/>
    <row r="1128" ht="15.75" customHeight="1" x14ac:dyDescent="0.25"/>
    <row r="1129" ht="15.75" customHeight="1" x14ac:dyDescent="0.25"/>
    <row r="1130" ht="15.75" customHeight="1" x14ac:dyDescent="0.25"/>
    <row r="1131" ht="15.75" customHeight="1" x14ac:dyDescent="0.25"/>
    <row r="1132" ht="15.75" customHeight="1" x14ac:dyDescent="0.25"/>
    <row r="1133" ht="15.75" customHeight="1" x14ac:dyDescent="0.25"/>
    <row r="1134" ht="15.75" customHeight="1" x14ac:dyDescent="0.25"/>
    <row r="1135" ht="15.75" customHeight="1" x14ac:dyDescent="0.25"/>
    <row r="1136" ht="15.75" customHeight="1" x14ac:dyDescent="0.25"/>
    <row r="1137" ht="15.75" customHeight="1" x14ac:dyDescent="0.25"/>
    <row r="1138" ht="15.75" customHeight="1" x14ac:dyDescent="0.25"/>
  </sheetData>
  <autoFilter ref="A3:AD3" xr:uid="{00000000-0009-0000-0000-000004000000}"/>
  <mergeCells count="12">
    <mergeCell ref="AL2:AQ2"/>
    <mergeCell ref="AS2:AX2"/>
    <mergeCell ref="AZ2:BA2"/>
    <mergeCell ref="BC2:BD2"/>
    <mergeCell ref="A1:AD1"/>
    <mergeCell ref="AG2:AJ2"/>
    <mergeCell ref="AG1:BE1"/>
    <mergeCell ref="R2:W2"/>
    <mergeCell ref="Y2:Z2"/>
    <mergeCell ref="AB2:AC2"/>
    <mergeCell ref="A2:I2"/>
    <mergeCell ref="K2:P2"/>
  </mergeCells>
  <conditionalFormatting sqref="D4:D298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4:E298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4:H298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4:I298">
    <cfRule type="colorScale" priority="2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K4:K298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4:L298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4:M298">
    <cfRule type="colorScale" priority="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4:N298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4:O298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4:P298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4:R298"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4:S298"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4:T298"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4:U298"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4:V298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4:W298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4:Y298">
    <cfRule type="colorScale" priority="3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Z4:Z298">
    <cfRule type="colorScale" priority="4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4:AB298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4:AC298">
    <cfRule type="colorScale" priority="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4:AD298">
    <cfRule type="colorScale" priority="22">
      <colorScale>
        <cfvo type="min"/>
        <cfvo type="percentile" val="50"/>
        <cfvo type="max"/>
        <color rgb="FF63BE7B"/>
        <color theme="0"/>
        <color rgb="FFF8696B"/>
      </colorScale>
    </cfRule>
  </conditionalFormatting>
  <conditionalFormatting sqref="AH4:AH298">
    <cfRule type="colorScale" priority="20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H4:AX4 AG4:AG185 AH5:AJ185 AG177:AJ298 AL5:AQ298 AS5:AX298">
    <cfRule type="colorScale" priority="21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I4:AI298">
    <cfRule type="colorScale" priority="1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J4:AJ298">
    <cfRule type="colorScale" priority="18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L4:AL298">
    <cfRule type="colorScale" priority="1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M4:AM298">
    <cfRule type="colorScale" priority="1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N4:AN298">
    <cfRule type="colorScale" priority="1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O4:AO298">
    <cfRule type="colorScale" priority="1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P4:AP298">
    <cfRule type="colorScale" priority="1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Q4:AQ298">
    <cfRule type="colorScale" priority="1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S4:AS298">
    <cfRule type="colorScale" priority="11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T4:AT298">
    <cfRule type="colorScale" priority="10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U4:AU298">
    <cfRule type="colorScale" priority="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V4:AV298">
    <cfRule type="colorScale" priority="8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W4:AW298">
    <cfRule type="colorScale" priority="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X4:AX298">
    <cfRule type="colorScale" priority="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Z4:AZ298">
    <cfRule type="colorScale" priority="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A4:BA298">
    <cfRule type="colorScale" priority="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C4:BC298">
    <cfRule type="colorScale" priority="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D4:BD298">
    <cfRule type="colorScale" priority="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E4:BE298">
    <cfRule type="colorScale" priority="1">
      <colorScale>
        <cfvo type="min"/>
        <cfvo type="percentile" val="50"/>
        <cfvo type="max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  <ignoredErrors>
    <ignoredError sqref="U3 N3 AO3 AV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EXP</vt:lpstr>
      <vt:lpstr>TOTAL_BASIC</vt:lpstr>
      <vt:lpstr>PER_GAME_BASIC</vt:lpstr>
      <vt:lpstr>ADVANCED</vt:lpstr>
      <vt:lpstr>SHOOTING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 Clement</dc:creator>
  <cp:lastModifiedBy>Ghislain Clement</cp:lastModifiedBy>
  <dcterms:created xsi:type="dcterms:W3CDTF">2025-02-21T07:49:38Z</dcterms:created>
  <dcterms:modified xsi:type="dcterms:W3CDTF">2026-09-22T09:58:54Z</dcterms:modified>
</cp:coreProperties>
</file>